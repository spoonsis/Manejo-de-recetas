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REMEZCLAS/"/>
    </mc:Choice>
  </mc:AlternateContent>
  <xr:revisionPtr revIDLastSave="7" documentId="8_{72964C2A-6A48-4CA7-8685-4CFD40A248EA}" xr6:coauthVersionLast="47" xr6:coauthVersionMax="47" xr10:uidLastSave="{3DE1BA6B-E2FA-4A65-9C23-1E205B08F12A}"/>
  <bookViews>
    <workbookView xWindow="-120" yWindow="-120" windowWidth="29040" windowHeight="15840" tabRatio="810" firstSheet="1" activeTab="1" xr2:uid="{9DCFF1B8-A7D6-4FBA-8785-0E7679339CAC}"/>
  </bookViews>
  <sheets>
    <sheet name="Costo Premezcla " sheetId="18" state="hidden" r:id="rId1"/>
    <sheet name="Hoja1" sheetId="27" r:id="rId2"/>
    <sheet name="Costo Batido" sheetId="19" state="hidden" r:id="rId3"/>
    <sheet name="Mezcla engrase moldes" sheetId="16" state="hidden" r:id="rId4"/>
    <sheet name="Costo Rosquete " sheetId="20" state="hidden" r:id="rId5"/>
    <sheet name="Costo Chesse Cake Dulce Leche " sheetId="21" state="hidden" r:id="rId6"/>
    <sheet name="Relleno Suspiro Limeño" sheetId="14" state="hidden" r:id="rId7"/>
    <sheet name="Costo Crema Vino tinto" sheetId="22" state="hidden" r:id="rId8"/>
    <sheet name="Costo Ensamble locales " sheetId="23" state="hidden" r:id="rId9"/>
    <sheet name="Costo ensamble Industria " sheetId="26" state="hidden" r:id="rId10"/>
    <sheet name="Hoja8" sheetId="8" state="hidden" r:id="rId11"/>
    <sheet name="Hoja9" sheetId="9" state="hidden" r:id="rId12"/>
  </sheets>
  <externalReferences>
    <externalReference r:id="rId13"/>
    <externalReference r:id="rId14"/>
    <externalReference r:id="rId15"/>
  </externalReferences>
  <definedNames>
    <definedName name="_xlnm.Print_Area" localSheetId="1">Hoja1!$A$1:$I$54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1" i="26" l="1"/>
  <c r="C31" i="26"/>
  <c r="D31" i="26"/>
  <c r="E31" i="26"/>
  <c r="F31" i="26"/>
  <c r="D74" i="26"/>
  <c r="D75" i="26"/>
  <c r="D77" i="26"/>
  <c r="C74" i="26"/>
  <c r="C86" i="26"/>
  <c r="D72" i="26"/>
  <c r="D70" i="26"/>
  <c r="F66" i="26"/>
  <c r="D61" i="26"/>
  <c r="D82" i="26"/>
  <c r="C52" i="26"/>
  <c r="E51" i="26"/>
  <c r="D51" i="26"/>
  <c r="B51" i="26"/>
  <c r="E50" i="26"/>
  <c r="D50" i="26"/>
  <c r="B50" i="26"/>
  <c r="E49" i="26"/>
  <c r="D49" i="26"/>
  <c r="B49" i="26"/>
  <c r="E48" i="26"/>
  <c r="F48" i="26"/>
  <c r="E47" i="26"/>
  <c r="F47" i="26"/>
  <c r="E46" i="26"/>
  <c r="E45" i="26"/>
  <c r="E42" i="26"/>
  <c r="F42" i="26"/>
  <c r="D42" i="26"/>
  <c r="B42" i="26"/>
  <c r="A42" i="26"/>
  <c r="C42" i="26"/>
  <c r="E41" i="26"/>
  <c r="D41" i="26"/>
  <c r="B41" i="26"/>
  <c r="A41" i="26"/>
  <c r="A50" i="26"/>
  <c r="C50" i="26"/>
  <c r="E40" i="26"/>
  <c r="D40" i="26"/>
  <c r="C40" i="26"/>
  <c r="F40" i="26"/>
  <c r="B40" i="26"/>
  <c r="A40" i="26"/>
  <c r="A49" i="26"/>
  <c r="C49" i="26"/>
  <c r="E39" i="26"/>
  <c r="C39" i="26"/>
  <c r="A39" i="26"/>
  <c r="A48" i="26"/>
  <c r="C48" i="26"/>
  <c r="E38" i="26"/>
  <c r="A38" i="26"/>
  <c r="A47" i="26"/>
  <c r="C47" i="26"/>
  <c r="E37" i="26"/>
  <c r="A37" i="26"/>
  <c r="A46" i="26"/>
  <c r="C46" i="26"/>
  <c r="F46" i="26"/>
  <c r="E36" i="26"/>
  <c r="A36" i="26"/>
  <c r="C36" i="26"/>
  <c r="E33" i="26"/>
  <c r="D33" i="26"/>
  <c r="C33" i="26"/>
  <c r="B33" i="26"/>
  <c r="E32" i="26"/>
  <c r="D32" i="26"/>
  <c r="C32" i="26"/>
  <c r="F32" i="26"/>
  <c r="B32" i="26"/>
  <c r="E30" i="26"/>
  <c r="D30" i="26"/>
  <c r="C30" i="26"/>
  <c r="B30" i="26"/>
  <c r="E29" i="26"/>
  <c r="D29" i="26"/>
  <c r="C29" i="26"/>
  <c r="F29" i="26"/>
  <c r="B29" i="26"/>
  <c r="C28" i="26"/>
  <c r="F28" i="26"/>
  <c r="D27" i="26"/>
  <c r="C27" i="26"/>
  <c r="F27" i="26"/>
  <c r="B27" i="26"/>
  <c r="E24" i="26"/>
  <c r="D24" i="26"/>
  <c r="C24" i="26"/>
  <c r="B24" i="26"/>
  <c r="E23" i="26"/>
  <c r="F23" i="26"/>
  <c r="D23" i="26"/>
  <c r="C23" i="26"/>
  <c r="B23" i="26"/>
  <c r="E22" i="26"/>
  <c r="F22" i="26"/>
  <c r="D22" i="26"/>
  <c r="C22" i="26"/>
  <c r="B22" i="26"/>
  <c r="E21" i="26"/>
  <c r="F21" i="26"/>
  <c r="D21" i="26"/>
  <c r="C21" i="26"/>
  <c r="B21" i="26"/>
  <c r="E20" i="26"/>
  <c r="F20" i="26"/>
  <c r="C20" i="26"/>
  <c r="E19" i="26"/>
  <c r="C19" i="26"/>
  <c r="E18" i="26"/>
  <c r="F18" i="26"/>
  <c r="C18" i="26"/>
  <c r="E17" i="26"/>
  <c r="C17" i="26"/>
  <c r="B15" i="26"/>
  <c r="E14" i="26"/>
  <c r="D14" i="26"/>
  <c r="C14" i="26"/>
  <c r="F14" i="26"/>
  <c r="B14" i="26"/>
  <c r="E13" i="26"/>
  <c r="D13" i="26"/>
  <c r="C13" i="26"/>
  <c r="B13" i="26"/>
  <c r="E12" i="26"/>
  <c r="F12" i="26"/>
  <c r="D12" i="26"/>
  <c r="C12" i="26"/>
  <c r="B12" i="26"/>
  <c r="E11" i="26"/>
  <c r="F11" i="26"/>
  <c r="D11" i="26"/>
  <c r="C11" i="26"/>
  <c r="B11" i="26"/>
  <c r="F10" i="26"/>
  <c r="D10" i="26"/>
  <c r="C10" i="26"/>
  <c r="B10" i="26"/>
  <c r="D9" i="26"/>
  <c r="C9" i="26"/>
  <c r="F9" i="26"/>
  <c r="B9" i="26"/>
  <c r="D8" i="26"/>
  <c r="C8" i="26"/>
  <c r="F8" i="26"/>
  <c r="B8" i="26"/>
  <c r="H6" i="26"/>
  <c r="E46" i="23"/>
  <c r="E19" i="23"/>
  <c r="J19" i="14"/>
  <c r="I19" i="14"/>
  <c r="A45" i="26"/>
  <c r="C45" i="26"/>
  <c r="F45" i="26"/>
  <c r="F13" i="26"/>
  <c r="F17" i="26"/>
  <c r="F19" i="26"/>
  <c r="F54" i="26"/>
  <c r="F39" i="26"/>
  <c r="F49" i="26"/>
  <c r="E86" i="26"/>
  <c r="F36" i="26"/>
  <c r="C41" i="26"/>
  <c r="F41" i="26"/>
  <c r="F24" i="26"/>
  <c r="F30" i="26"/>
  <c r="F33" i="26"/>
  <c r="D86" i="26"/>
  <c r="D87" i="26"/>
  <c r="F50" i="26"/>
  <c r="E74" i="26"/>
  <c r="D84" i="26"/>
  <c r="C37" i="26"/>
  <c r="F37" i="26"/>
  <c r="C38" i="26"/>
  <c r="F38" i="26"/>
  <c r="A51" i="26"/>
  <c r="C51" i="26"/>
  <c r="F51" i="26"/>
  <c r="E52" i="26"/>
  <c r="F52" i="26"/>
  <c r="F55" i="26"/>
  <c r="H55" i="26"/>
  <c r="G2" i="26"/>
  <c r="F65" i="26"/>
  <c r="H54" i="26"/>
  <c r="F2" i="26"/>
  <c r="C70" i="26"/>
  <c r="F57" i="26"/>
  <c r="E37" i="23"/>
  <c r="C16" i="21"/>
  <c r="D15" i="21"/>
  <c r="C15" i="21"/>
  <c r="B15" i="21"/>
  <c r="D14" i="21"/>
  <c r="C14" i="21"/>
  <c r="B14" i="21"/>
  <c r="E13" i="21"/>
  <c r="D13" i="21"/>
  <c r="C13" i="21"/>
  <c r="B13" i="21"/>
  <c r="D12" i="21"/>
  <c r="C12" i="21"/>
  <c r="B12" i="21"/>
  <c r="D11" i="21"/>
  <c r="C11" i="21"/>
  <c r="B11" i="21"/>
  <c r="E43" i="18"/>
  <c r="D83" i="23"/>
  <c r="D73" i="23"/>
  <c r="D74" i="23"/>
  <c r="D76" i="23"/>
  <c r="D71" i="23"/>
  <c r="D69" i="23"/>
  <c r="F65" i="23"/>
  <c r="C73" i="23"/>
  <c r="D60" i="23"/>
  <c r="D85" i="23"/>
  <c r="D86" i="23"/>
  <c r="C51" i="23"/>
  <c r="E50" i="23"/>
  <c r="D50" i="23"/>
  <c r="B50" i="23"/>
  <c r="E49" i="23"/>
  <c r="D49" i="23"/>
  <c r="B49" i="23"/>
  <c r="E48" i="23"/>
  <c r="D48" i="23"/>
  <c r="B48" i="23"/>
  <c r="A47" i="23"/>
  <c r="C47" i="23"/>
  <c r="E41" i="23"/>
  <c r="D41" i="23"/>
  <c r="B41" i="23"/>
  <c r="A41" i="23"/>
  <c r="C41" i="23"/>
  <c r="E40" i="23"/>
  <c r="D40" i="23"/>
  <c r="B40" i="23"/>
  <c r="A40" i="23"/>
  <c r="C40" i="23"/>
  <c r="E39" i="23"/>
  <c r="D39" i="23"/>
  <c r="C39" i="23"/>
  <c r="B39" i="23"/>
  <c r="A39" i="23"/>
  <c r="A48" i="23"/>
  <c r="C48" i="23"/>
  <c r="C38" i="23"/>
  <c r="A38" i="23"/>
  <c r="A37" i="23"/>
  <c r="C37" i="23"/>
  <c r="A36" i="23"/>
  <c r="C36" i="23"/>
  <c r="A35" i="23"/>
  <c r="A44" i="23"/>
  <c r="C44" i="23"/>
  <c r="E32" i="23"/>
  <c r="F32" i="23"/>
  <c r="D32" i="23"/>
  <c r="C32" i="23"/>
  <c r="B32" i="23"/>
  <c r="E31" i="23"/>
  <c r="F31" i="23"/>
  <c r="D31" i="23"/>
  <c r="C31" i="23"/>
  <c r="B31" i="23"/>
  <c r="E30" i="23"/>
  <c r="F30" i="23"/>
  <c r="D30" i="23"/>
  <c r="C30" i="23"/>
  <c r="B30" i="23"/>
  <c r="E29" i="23"/>
  <c r="F29" i="23"/>
  <c r="D29" i="23"/>
  <c r="C29" i="23"/>
  <c r="B29" i="23"/>
  <c r="F28" i="23"/>
  <c r="C28" i="23"/>
  <c r="F27" i="23"/>
  <c r="D27" i="23"/>
  <c r="C27" i="23"/>
  <c r="B27" i="23"/>
  <c r="E24" i="23"/>
  <c r="F24" i="23"/>
  <c r="D24" i="23"/>
  <c r="C24" i="23"/>
  <c r="B24" i="23"/>
  <c r="E23" i="23"/>
  <c r="F23" i="23"/>
  <c r="D23" i="23"/>
  <c r="C23" i="23"/>
  <c r="B23" i="23"/>
  <c r="E22" i="23"/>
  <c r="F22" i="23"/>
  <c r="D22" i="23"/>
  <c r="C22" i="23"/>
  <c r="B22" i="23"/>
  <c r="E21" i="23"/>
  <c r="F21" i="23"/>
  <c r="D21" i="23"/>
  <c r="C21" i="23"/>
  <c r="B21" i="23"/>
  <c r="C20" i="23"/>
  <c r="C19" i="23"/>
  <c r="C18" i="23"/>
  <c r="C17" i="23"/>
  <c r="B15" i="23"/>
  <c r="E14" i="23"/>
  <c r="D14" i="23"/>
  <c r="C14" i="23"/>
  <c r="B14" i="23"/>
  <c r="E13" i="23"/>
  <c r="D13" i="23"/>
  <c r="C13" i="23"/>
  <c r="B13" i="23"/>
  <c r="E12" i="23"/>
  <c r="D12" i="23"/>
  <c r="C12" i="23"/>
  <c r="B12" i="23"/>
  <c r="E11" i="23"/>
  <c r="D11" i="23"/>
  <c r="C11" i="23"/>
  <c r="B11" i="23"/>
  <c r="D10" i="23"/>
  <c r="C10" i="23"/>
  <c r="B10" i="23"/>
  <c r="D9" i="23"/>
  <c r="C9" i="23"/>
  <c r="B9" i="23"/>
  <c r="D8" i="23"/>
  <c r="C8" i="23"/>
  <c r="B8" i="23"/>
  <c r="H6" i="23"/>
  <c r="D74" i="22"/>
  <c r="D76" i="22"/>
  <c r="D73" i="22"/>
  <c r="D71" i="22"/>
  <c r="D69" i="22"/>
  <c r="F65" i="22"/>
  <c r="C73" i="22"/>
  <c r="D60" i="22"/>
  <c r="D85" i="22"/>
  <c r="D86" i="22"/>
  <c r="C51" i="22"/>
  <c r="E50" i="22"/>
  <c r="D50" i="22"/>
  <c r="B50" i="22"/>
  <c r="E49" i="22"/>
  <c r="D49" i="22"/>
  <c r="B49" i="22"/>
  <c r="E48" i="22"/>
  <c r="D48" i="22"/>
  <c r="B48" i="22"/>
  <c r="E47" i="22"/>
  <c r="D47" i="22"/>
  <c r="B47" i="22"/>
  <c r="E46" i="22"/>
  <c r="D46" i="22"/>
  <c r="B46" i="22"/>
  <c r="E45" i="22"/>
  <c r="D45" i="22"/>
  <c r="B45" i="22"/>
  <c r="E44" i="22"/>
  <c r="D44" i="22"/>
  <c r="B44" i="22"/>
  <c r="E41" i="22"/>
  <c r="D41" i="22"/>
  <c r="C41" i="22"/>
  <c r="B41" i="22"/>
  <c r="A41" i="22"/>
  <c r="A50" i="22"/>
  <c r="C50" i="22"/>
  <c r="E40" i="22"/>
  <c r="D40" i="22"/>
  <c r="B40" i="22"/>
  <c r="A40" i="22"/>
  <c r="C40" i="22"/>
  <c r="E39" i="22"/>
  <c r="D39" i="22"/>
  <c r="B39" i="22"/>
  <c r="A39" i="22"/>
  <c r="A48" i="22"/>
  <c r="C48" i="22"/>
  <c r="E38" i="22"/>
  <c r="D38" i="22"/>
  <c r="B38" i="22"/>
  <c r="A38" i="22"/>
  <c r="C38" i="22"/>
  <c r="E37" i="22"/>
  <c r="D37" i="22"/>
  <c r="C37" i="22"/>
  <c r="B37" i="22"/>
  <c r="A37" i="22"/>
  <c r="A46" i="22"/>
  <c r="C46" i="22"/>
  <c r="E36" i="22"/>
  <c r="D36" i="22"/>
  <c r="B36" i="22"/>
  <c r="A36" i="22"/>
  <c r="C36" i="22"/>
  <c r="E35" i="22"/>
  <c r="D35" i="22"/>
  <c r="B35" i="22"/>
  <c r="A35" i="22"/>
  <c r="A44" i="22"/>
  <c r="C44" i="22"/>
  <c r="E32" i="22"/>
  <c r="D32" i="22"/>
  <c r="C32" i="22"/>
  <c r="B32" i="22"/>
  <c r="E31" i="22"/>
  <c r="D31" i="22"/>
  <c r="C31" i="22"/>
  <c r="B31" i="22"/>
  <c r="E30" i="22"/>
  <c r="F30" i="22"/>
  <c r="D30" i="22"/>
  <c r="C30" i="22"/>
  <c r="B30" i="22"/>
  <c r="E29" i="22"/>
  <c r="D29" i="22"/>
  <c r="C29" i="22"/>
  <c r="B29" i="22"/>
  <c r="E28" i="22"/>
  <c r="F28" i="22"/>
  <c r="D28" i="22"/>
  <c r="C28" i="22"/>
  <c r="B28" i="22"/>
  <c r="E27" i="22"/>
  <c r="D27" i="22"/>
  <c r="C27" i="22"/>
  <c r="B27" i="22"/>
  <c r="E24" i="22"/>
  <c r="F24" i="22"/>
  <c r="D24" i="22"/>
  <c r="C24" i="22"/>
  <c r="B24" i="22"/>
  <c r="E23" i="22"/>
  <c r="F23" i="22"/>
  <c r="D23" i="22"/>
  <c r="C23" i="22"/>
  <c r="B23" i="22"/>
  <c r="E22" i="22"/>
  <c r="F22" i="22"/>
  <c r="D22" i="22"/>
  <c r="C22" i="22"/>
  <c r="B22" i="22"/>
  <c r="E21" i="22"/>
  <c r="F21" i="22"/>
  <c r="D21" i="22"/>
  <c r="C21" i="22"/>
  <c r="B21" i="22"/>
  <c r="E20" i="22"/>
  <c r="F20" i="22"/>
  <c r="D20" i="22"/>
  <c r="C20" i="22"/>
  <c r="B20" i="22"/>
  <c r="E19" i="22"/>
  <c r="D19" i="22"/>
  <c r="C19" i="22"/>
  <c r="B19" i="22"/>
  <c r="E18" i="22"/>
  <c r="F18" i="22"/>
  <c r="D18" i="22"/>
  <c r="C18" i="22"/>
  <c r="B18" i="22"/>
  <c r="E17" i="22"/>
  <c r="F17" i="22"/>
  <c r="D17" i="22"/>
  <c r="C17" i="22"/>
  <c r="B17" i="22"/>
  <c r="B15" i="22"/>
  <c r="E14" i="22"/>
  <c r="D14" i="22"/>
  <c r="C14" i="22"/>
  <c r="B14" i="22"/>
  <c r="E13" i="22"/>
  <c r="F13" i="22"/>
  <c r="D13" i="22"/>
  <c r="C13" i="22"/>
  <c r="B13" i="22"/>
  <c r="E12" i="22"/>
  <c r="D12" i="22"/>
  <c r="C12" i="22"/>
  <c r="B12" i="22"/>
  <c r="E11" i="22"/>
  <c r="F11" i="22"/>
  <c r="D11" i="22"/>
  <c r="C11" i="22"/>
  <c r="B11" i="22"/>
  <c r="D10" i="22"/>
  <c r="C10" i="22"/>
  <c r="B10" i="22"/>
  <c r="F9" i="22"/>
  <c r="C9" i="22"/>
  <c r="C8" i="22"/>
  <c r="H6" i="22"/>
  <c r="D79" i="21"/>
  <c r="D80" i="21"/>
  <c r="D82" i="21"/>
  <c r="D77" i="21"/>
  <c r="D75" i="21"/>
  <c r="F71" i="21"/>
  <c r="C79" i="21"/>
  <c r="D66" i="21"/>
  <c r="D91" i="21"/>
  <c r="D92" i="21"/>
  <c r="C57" i="21"/>
  <c r="E56" i="21"/>
  <c r="D56" i="21"/>
  <c r="B56" i="21"/>
  <c r="E55" i="21"/>
  <c r="D55" i="21"/>
  <c r="B55" i="21"/>
  <c r="E54" i="21"/>
  <c r="D54" i="21"/>
  <c r="B54" i="21"/>
  <c r="E53" i="21"/>
  <c r="D53" i="21"/>
  <c r="B53" i="21"/>
  <c r="E52" i="21"/>
  <c r="D52" i="21"/>
  <c r="B52" i="21"/>
  <c r="E51" i="21"/>
  <c r="D51" i="21"/>
  <c r="B51" i="21"/>
  <c r="D50" i="21"/>
  <c r="B50" i="21"/>
  <c r="E47" i="21"/>
  <c r="D47" i="21"/>
  <c r="B47" i="21"/>
  <c r="A47" i="21"/>
  <c r="C47" i="21"/>
  <c r="E46" i="21"/>
  <c r="D46" i="21"/>
  <c r="B46" i="21"/>
  <c r="A46" i="21"/>
  <c r="C46" i="21"/>
  <c r="E45" i="21"/>
  <c r="D45" i="21"/>
  <c r="B45" i="21"/>
  <c r="A45" i="21"/>
  <c r="A54" i="21"/>
  <c r="C54" i="21"/>
  <c r="E44" i="21"/>
  <c r="D44" i="21"/>
  <c r="B44" i="21"/>
  <c r="A44" i="21"/>
  <c r="C44" i="21"/>
  <c r="E43" i="21"/>
  <c r="D43" i="21"/>
  <c r="B43" i="21"/>
  <c r="A43" i="21"/>
  <c r="C43" i="21"/>
  <c r="E42" i="21"/>
  <c r="D42" i="21"/>
  <c r="B42" i="21"/>
  <c r="A42" i="21"/>
  <c r="C42" i="21"/>
  <c r="E41" i="21"/>
  <c r="D41" i="21"/>
  <c r="B41" i="21"/>
  <c r="A41" i="21"/>
  <c r="A50" i="21"/>
  <c r="C50" i="21"/>
  <c r="E38" i="21"/>
  <c r="D38" i="21"/>
  <c r="C38" i="21"/>
  <c r="B38" i="21"/>
  <c r="E37" i="21"/>
  <c r="D37" i="21"/>
  <c r="C37" i="21"/>
  <c r="B37" i="21"/>
  <c r="E36" i="21"/>
  <c r="D36" i="21"/>
  <c r="C36" i="21"/>
  <c r="B36" i="21"/>
  <c r="E35" i="21"/>
  <c r="D35" i="21"/>
  <c r="C35" i="21"/>
  <c r="B35" i="21"/>
  <c r="E34" i="21"/>
  <c r="D34" i="21"/>
  <c r="C34" i="21"/>
  <c r="B34" i="21"/>
  <c r="E33" i="21"/>
  <c r="D33" i="21"/>
  <c r="C33" i="21"/>
  <c r="B33" i="21"/>
  <c r="E30" i="21"/>
  <c r="F30" i="21"/>
  <c r="D30" i="21"/>
  <c r="C30" i="21"/>
  <c r="B30" i="21"/>
  <c r="E29" i="21"/>
  <c r="D29" i="21"/>
  <c r="C29" i="21"/>
  <c r="B29" i="21"/>
  <c r="E28" i="21"/>
  <c r="F28" i="21"/>
  <c r="D28" i="21"/>
  <c r="C28" i="21"/>
  <c r="B28" i="21"/>
  <c r="E27" i="21"/>
  <c r="F27" i="21"/>
  <c r="D27" i="21"/>
  <c r="C27" i="21"/>
  <c r="B27" i="21"/>
  <c r="E26" i="21"/>
  <c r="F26" i="21"/>
  <c r="D26" i="21"/>
  <c r="C26" i="21"/>
  <c r="B26" i="21"/>
  <c r="E25" i="21"/>
  <c r="F25" i="21"/>
  <c r="D25" i="21"/>
  <c r="C25" i="21"/>
  <c r="B25" i="21"/>
  <c r="E24" i="21"/>
  <c r="D24" i="21"/>
  <c r="C24" i="21"/>
  <c r="B24" i="21"/>
  <c r="D23" i="21"/>
  <c r="C23" i="21"/>
  <c r="B23" i="21"/>
  <c r="B21" i="21"/>
  <c r="E20" i="21"/>
  <c r="D20" i="21"/>
  <c r="C20" i="21"/>
  <c r="B20" i="21"/>
  <c r="E19" i="21"/>
  <c r="D19" i="21"/>
  <c r="C19" i="21"/>
  <c r="B19" i="21"/>
  <c r="E18" i="21"/>
  <c r="D18" i="21"/>
  <c r="C18" i="21"/>
  <c r="B18" i="21"/>
  <c r="E17" i="21"/>
  <c r="D17" i="21"/>
  <c r="C17" i="21"/>
  <c r="B17" i="21"/>
  <c r="D10" i="21"/>
  <c r="C10" i="21"/>
  <c r="B10" i="21"/>
  <c r="D9" i="21"/>
  <c r="C9" i="21"/>
  <c r="B9" i="21"/>
  <c r="D8" i="21"/>
  <c r="C8" i="21"/>
  <c r="B8" i="21"/>
  <c r="H6" i="21"/>
  <c r="D73" i="20"/>
  <c r="D74" i="20"/>
  <c r="D76" i="20"/>
  <c r="D71" i="20"/>
  <c r="D69" i="20"/>
  <c r="F65" i="20"/>
  <c r="C73" i="20"/>
  <c r="D60" i="20"/>
  <c r="D85" i="20"/>
  <c r="D86" i="20"/>
  <c r="C51" i="20"/>
  <c r="E50" i="20"/>
  <c r="D50" i="20"/>
  <c r="B50" i="20"/>
  <c r="E49" i="20"/>
  <c r="D49" i="20"/>
  <c r="B49" i="20"/>
  <c r="E48" i="20"/>
  <c r="D48" i="20"/>
  <c r="B48" i="20"/>
  <c r="E47" i="20"/>
  <c r="D47" i="20"/>
  <c r="B47" i="20"/>
  <c r="A47" i="20"/>
  <c r="C47" i="20"/>
  <c r="E46" i="20"/>
  <c r="D46" i="20"/>
  <c r="B46" i="20"/>
  <c r="E45" i="20"/>
  <c r="D45" i="20"/>
  <c r="B45" i="20"/>
  <c r="E41" i="20"/>
  <c r="F41" i="20"/>
  <c r="D41" i="20"/>
  <c r="B41" i="20"/>
  <c r="A41" i="20"/>
  <c r="C41" i="20"/>
  <c r="E40" i="20"/>
  <c r="F40" i="20"/>
  <c r="D40" i="20"/>
  <c r="B40" i="20"/>
  <c r="A40" i="20"/>
  <c r="C40" i="20"/>
  <c r="E39" i="20"/>
  <c r="D39" i="20"/>
  <c r="B39" i="20"/>
  <c r="A39" i="20"/>
  <c r="A48" i="20"/>
  <c r="C48" i="20"/>
  <c r="F48" i="20"/>
  <c r="E38" i="20"/>
  <c r="F38" i="20"/>
  <c r="D38" i="20"/>
  <c r="C38" i="20"/>
  <c r="B38" i="20"/>
  <c r="A38" i="20"/>
  <c r="E37" i="20"/>
  <c r="D37" i="20"/>
  <c r="B37" i="20"/>
  <c r="A37" i="20"/>
  <c r="C37" i="20"/>
  <c r="E36" i="20"/>
  <c r="D36" i="20"/>
  <c r="B36" i="20"/>
  <c r="A36" i="20"/>
  <c r="C36" i="20"/>
  <c r="A35" i="20"/>
  <c r="A44" i="20"/>
  <c r="C44" i="20"/>
  <c r="E32" i="20"/>
  <c r="F32" i="20"/>
  <c r="D32" i="20"/>
  <c r="C32" i="20"/>
  <c r="B32" i="20"/>
  <c r="E31" i="20"/>
  <c r="F31" i="20"/>
  <c r="D31" i="20"/>
  <c r="C31" i="20"/>
  <c r="B31" i="20"/>
  <c r="E30" i="20"/>
  <c r="F30" i="20"/>
  <c r="D30" i="20"/>
  <c r="C30" i="20"/>
  <c r="B30" i="20"/>
  <c r="E29" i="20"/>
  <c r="F29" i="20"/>
  <c r="D29" i="20"/>
  <c r="C29" i="20"/>
  <c r="B29" i="20"/>
  <c r="E28" i="20"/>
  <c r="F28" i="20"/>
  <c r="D28" i="20"/>
  <c r="C28" i="20"/>
  <c r="B28" i="20"/>
  <c r="F27" i="20"/>
  <c r="D27" i="20"/>
  <c r="C27" i="20"/>
  <c r="B27" i="20"/>
  <c r="E24" i="20"/>
  <c r="F24" i="20"/>
  <c r="D24" i="20"/>
  <c r="C24" i="20"/>
  <c r="B24" i="20"/>
  <c r="E23" i="20"/>
  <c r="F23" i="20"/>
  <c r="D23" i="20"/>
  <c r="C23" i="20"/>
  <c r="B23" i="20"/>
  <c r="E22" i="20"/>
  <c r="F22" i="20"/>
  <c r="D22" i="20"/>
  <c r="C22" i="20"/>
  <c r="B22" i="20"/>
  <c r="E21" i="20"/>
  <c r="F21" i="20"/>
  <c r="D21" i="20"/>
  <c r="C21" i="20"/>
  <c r="B21" i="20"/>
  <c r="E20" i="20"/>
  <c r="F20" i="20"/>
  <c r="D20" i="20"/>
  <c r="C20" i="20"/>
  <c r="B20" i="20"/>
  <c r="E19" i="20"/>
  <c r="F19" i="20"/>
  <c r="D19" i="20"/>
  <c r="C19" i="20"/>
  <c r="B19" i="20"/>
  <c r="F18" i="20"/>
  <c r="D18" i="20"/>
  <c r="C18" i="20"/>
  <c r="B18" i="20"/>
  <c r="C17" i="20"/>
  <c r="B15" i="20"/>
  <c r="E14" i="20"/>
  <c r="D14" i="20"/>
  <c r="C14" i="20"/>
  <c r="B14" i="20"/>
  <c r="E13" i="20"/>
  <c r="F13" i="20"/>
  <c r="D13" i="20"/>
  <c r="C13" i="20"/>
  <c r="B13" i="20"/>
  <c r="E12" i="20"/>
  <c r="D12" i="20"/>
  <c r="C12" i="20"/>
  <c r="B12" i="20"/>
  <c r="E11" i="20"/>
  <c r="F11" i="20"/>
  <c r="D11" i="20"/>
  <c r="C11" i="20"/>
  <c r="B11" i="20"/>
  <c r="E10" i="20"/>
  <c r="D10" i="20"/>
  <c r="C10" i="20"/>
  <c r="B10" i="20"/>
  <c r="E9" i="20"/>
  <c r="F9" i="20"/>
  <c r="D9" i="20"/>
  <c r="C9" i="20"/>
  <c r="B9" i="20"/>
  <c r="E8" i="20"/>
  <c r="D8" i="20"/>
  <c r="C8" i="20"/>
  <c r="B8" i="20"/>
  <c r="H6" i="20"/>
  <c r="D73" i="19"/>
  <c r="D74" i="19"/>
  <c r="D76" i="19"/>
  <c r="D71" i="19"/>
  <c r="D69" i="19"/>
  <c r="F65" i="19"/>
  <c r="C73" i="19"/>
  <c r="D60" i="19"/>
  <c r="D85" i="19"/>
  <c r="D86" i="19"/>
  <c r="C51" i="19"/>
  <c r="E50" i="19"/>
  <c r="D50" i="19"/>
  <c r="B50" i="19"/>
  <c r="E49" i="19"/>
  <c r="D49" i="19"/>
  <c r="B49" i="19"/>
  <c r="E48" i="19"/>
  <c r="D48" i="19"/>
  <c r="B48" i="19"/>
  <c r="E47" i="19"/>
  <c r="D47" i="19"/>
  <c r="B47" i="19"/>
  <c r="A47" i="19"/>
  <c r="C47" i="19"/>
  <c r="E46" i="19"/>
  <c r="D46" i="19"/>
  <c r="B46" i="19"/>
  <c r="E45" i="19"/>
  <c r="D45" i="19"/>
  <c r="B45" i="19"/>
  <c r="E41" i="19"/>
  <c r="D41" i="19"/>
  <c r="B41" i="19"/>
  <c r="A41" i="19"/>
  <c r="C41" i="19"/>
  <c r="E40" i="19"/>
  <c r="F40" i="19"/>
  <c r="D40" i="19"/>
  <c r="B40" i="19"/>
  <c r="A40" i="19"/>
  <c r="C40" i="19"/>
  <c r="E39" i="19"/>
  <c r="D39" i="19"/>
  <c r="C39" i="19"/>
  <c r="B39" i="19"/>
  <c r="A39" i="19"/>
  <c r="A48" i="19"/>
  <c r="C48" i="19"/>
  <c r="E38" i="19"/>
  <c r="D38" i="19"/>
  <c r="B38" i="19"/>
  <c r="A38" i="19"/>
  <c r="C38" i="19"/>
  <c r="E37" i="19"/>
  <c r="F37" i="19"/>
  <c r="D37" i="19"/>
  <c r="B37" i="19"/>
  <c r="A37" i="19"/>
  <c r="C37" i="19"/>
  <c r="E36" i="19"/>
  <c r="F36" i="19"/>
  <c r="D36" i="19"/>
  <c r="B36" i="19"/>
  <c r="A36" i="19"/>
  <c r="C36" i="19"/>
  <c r="A35" i="19"/>
  <c r="A44" i="19"/>
  <c r="C44" i="19"/>
  <c r="E32" i="19"/>
  <c r="F32" i="19"/>
  <c r="D32" i="19"/>
  <c r="C32" i="19"/>
  <c r="B32" i="19"/>
  <c r="E31" i="19"/>
  <c r="D31" i="19"/>
  <c r="C31" i="19"/>
  <c r="B31" i="19"/>
  <c r="E30" i="19"/>
  <c r="D30" i="19"/>
  <c r="C30" i="19"/>
  <c r="B30" i="19"/>
  <c r="E29" i="19"/>
  <c r="D29" i="19"/>
  <c r="C29" i="19"/>
  <c r="B29" i="19"/>
  <c r="E28" i="19"/>
  <c r="F28" i="19"/>
  <c r="D28" i="19"/>
  <c r="C28" i="19"/>
  <c r="B28" i="19"/>
  <c r="E27" i="19"/>
  <c r="F27" i="19"/>
  <c r="D27" i="19"/>
  <c r="C27" i="19"/>
  <c r="B27" i="19"/>
  <c r="E24" i="19"/>
  <c r="F24" i="19"/>
  <c r="D24" i="19"/>
  <c r="C24" i="19"/>
  <c r="B24" i="19"/>
  <c r="E23" i="19"/>
  <c r="F23" i="19"/>
  <c r="D23" i="19"/>
  <c r="C23" i="19"/>
  <c r="B23" i="19"/>
  <c r="E22" i="19"/>
  <c r="F22" i="19"/>
  <c r="D22" i="19"/>
  <c r="C22" i="19"/>
  <c r="B22" i="19"/>
  <c r="E21" i="19"/>
  <c r="F21" i="19"/>
  <c r="D21" i="19"/>
  <c r="C21" i="19"/>
  <c r="B21" i="19"/>
  <c r="E20" i="19"/>
  <c r="F20" i="19"/>
  <c r="D20" i="19"/>
  <c r="C20" i="19"/>
  <c r="B20" i="19"/>
  <c r="E19" i="19"/>
  <c r="F19" i="19"/>
  <c r="D19" i="19"/>
  <c r="C19" i="19"/>
  <c r="B19" i="19"/>
  <c r="E18" i="19"/>
  <c r="F18" i="19"/>
  <c r="D18" i="19"/>
  <c r="C18" i="19"/>
  <c r="B18" i="19"/>
  <c r="C17" i="19"/>
  <c r="B15" i="19"/>
  <c r="E14" i="19"/>
  <c r="D14" i="19"/>
  <c r="C14" i="19"/>
  <c r="B14" i="19"/>
  <c r="E13" i="19"/>
  <c r="D13" i="19"/>
  <c r="C13" i="19"/>
  <c r="B13" i="19"/>
  <c r="E12" i="19"/>
  <c r="D12" i="19"/>
  <c r="C12" i="19"/>
  <c r="B12" i="19"/>
  <c r="E11" i="19"/>
  <c r="D11" i="19"/>
  <c r="C11" i="19"/>
  <c r="B11" i="19"/>
  <c r="D10" i="19"/>
  <c r="C10" i="19"/>
  <c r="B10" i="19"/>
  <c r="D9" i="19"/>
  <c r="C9" i="19"/>
  <c r="B9" i="19"/>
  <c r="D8" i="19"/>
  <c r="C8" i="19"/>
  <c r="B8" i="19"/>
  <c r="H6" i="19"/>
  <c r="D72" i="18"/>
  <c r="D73" i="18"/>
  <c r="D75" i="18"/>
  <c r="C72" i="18"/>
  <c r="C84" i="18"/>
  <c r="D70" i="18"/>
  <c r="D68" i="18"/>
  <c r="F64" i="18"/>
  <c r="E50" i="18"/>
  <c r="F50" i="18"/>
  <c r="D59" i="18"/>
  <c r="D84" i="18"/>
  <c r="D85" i="18"/>
  <c r="C50" i="18"/>
  <c r="E49" i="18"/>
  <c r="D49" i="18"/>
  <c r="B49" i="18"/>
  <c r="E48" i="18"/>
  <c r="D48" i="18"/>
  <c r="B48" i="18"/>
  <c r="E47" i="18"/>
  <c r="D47" i="18"/>
  <c r="B47" i="18"/>
  <c r="E46" i="18"/>
  <c r="D46" i="18"/>
  <c r="B46" i="18"/>
  <c r="E45" i="18"/>
  <c r="D45" i="18"/>
  <c r="B45" i="18"/>
  <c r="E44" i="18"/>
  <c r="D44" i="18"/>
  <c r="B44" i="18"/>
  <c r="D43" i="18"/>
  <c r="B43" i="18"/>
  <c r="E40" i="18"/>
  <c r="D40" i="18"/>
  <c r="B40" i="18"/>
  <c r="A40" i="18"/>
  <c r="A49" i="18"/>
  <c r="C49" i="18"/>
  <c r="E39" i="18"/>
  <c r="D39" i="18"/>
  <c r="B39" i="18"/>
  <c r="A39" i="18"/>
  <c r="C39" i="18"/>
  <c r="E38" i="18"/>
  <c r="D38" i="18"/>
  <c r="B38" i="18"/>
  <c r="A38" i="18"/>
  <c r="A47" i="18"/>
  <c r="C47" i="18"/>
  <c r="E37" i="18"/>
  <c r="D37" i="18"/>
  <c r="B37" i="18"/>
  <c r="A37" i="18"/>
  <c r="A46" i="18"/>
  <c r="C46" i="18"/>
  <c r="E36" i="18"/>
  <c r="D36" i="18"/>
  <c r="B36" i="18"/>
  <c r="A36" i="18"/>
  <c r="A45" i="18"/>
  <c r="C45" i="18"/>
  <c r="E35" i="18"/>
  <c r="D35" i="18"/>
  <c r="B35" i="18"/>
  <c r="A35" i="18"/>
  <c r="C35" i="18"/>
  <c r="D34" i="18"/>
  <c r="B34" i="18"/>
  <c r="A34" i="18"/>
  <c r="A43" i="18"/>
  <c r="C43" i="18"/>
  <c r="E31" i="18"/>
  <c r="D31" i="18"/>
  <c r="C31" i="18"/>
  <c r="B31" i="18"/>
  <c r="E30" i="18"/>
  <c r="D30" i="18"/>
  <c r="C30" i="18"/>
  <c r="B30" i="18"/>
  <c r="E29" i="18"/>
  <c r="D29" i="18"/>
  <c r="C29" i="18"/>
  <c r="B29" i="18"/>
  <c r="E28" i="18"/>
  <c r="D28" i="18"/>
  <c r="C28" i="18"/>
  <c r="B28" i="18"/>
  <c r="E27" i="18"/>
  <c r="D27" i="18"/>
  <c r="C27" i="18"/>
  <c r="B27" i="18"/>
  <c r="E26" i="18"/>
  <c r="D26" i="18"/>
  <c r="C26" i="18"/>
  <c r="B26" i="18"/>
  <c r="E23" i="18"/>
  <c r="F23" i="18"/>
  <c r="D23" i="18"/>
  <c r="C23" i="18"/>
  <c r="B23" i="18"/>
  <c r="E22" i="18"/>
  <c r="D22" i="18"/>
  <c r="C22" i="18"/>
  <c r="B22" i="18"/>
  <c r="E21" i="18"/>
  <c r="D21" i="18"/>
  <c r="C21" i="18"/>
  <c r="B21" i="18"/>
  <c r="E20" i="18"/>
  <c r="D20" i="18"/>
  <c r="C20" i="18"/>
  <c r="B20" i="18"/>
  <c r="E19" i="18"/>
  <c r="D19" i="18"/>
  <c r="C19" i="18"/>
  <c r="B19" i="18"/>
  <c r="E18" i="18"/>
  <c r="F18" i="18"/>
  <c r="D18" i="18"/>
  <c r="C18" i="18"/>
  <c r="B18" i="18"/>
  <c r="E17" i="18"/>
  <c r="F17" i="18"/>
  <c r="D17" i="18"/>
  <c r="C17" i="18"/>
  <c r="B17" i="18"/>
  <c r="E16" i="18"/>
  <c r="D16" i="18"/>
  <c r="C16" i="18"/>
  <c r="B16" i="18"/>
  <c r="B14" i="18"/>
  <c r="E13" i="18"/>
  <c r="D13" i="18"/>
  <c r="C13" i="18"/>
  <c r="B13" i="18"/>
  <c r="D12" i="18"/>
  <c r="C12" i="18"/>
  <c r="B12" i="18"/>
  <c r="E11" i="18"/>
  <c r="D11" i="18"/>
  <c r="C11" i="18"/>
  <c r="B11" i="18"/>
  <c r="D10" i="18"/>
  <c r="C10" i="18"/>
  <c r="B10" i="18"/>
  <c r="D9" i="18"/>
  <c r="C9" i="18"/>
  <c r="B9" i="18"/>
  <c r="C8" i="18"/>
  <c r="H6" i="18"/>
  <c r="C20" i="16"/>
  <c r="C19" i="16"/>
  <c r="F12" i="16"/>
  <c r="F10" i="16"/>
  <c r="D13" i="14"/>
  <c r="C21" i="14"/>
  <c r="F56" i="26"/>
  <c r="C77" i="26"/>
  <c r="E77" i="26"/>
  <c r="E70" i="26"/>
  <c r="C82" i="26"/>
  <c r="E82" i="26"/>
  <c r="C75" i="26"/>
  <c r="H57" i="26"/>
  <c r="O55" i="26"/>
  <c r="H56" i="26"/>
  <c r="F64" i="26"/>
  <c r="F13" i="18"/>
  <c r="F11" i="18"/>
  <c r="F22" i="18"/>
  <c r="F14" i="19"/>
  <c r="F29" i="19"/>
  <c r="F30" i="19"/>
  <c r="F31" i="19"/>
  <c r="F48" i="19"/>
  <c r="F48" i="22"/>
  <c r="F40" i="22"/>
  <c r="F29" i="22"/>
  <c r="D81" i="23"/>
  <c r="F48" i="23"/>
  <c r="F31" i="22"/>
  <c r="F32" i="22"/>
  <c r="F11" i="23"/>
  <c r="F12" i="23"/>
  <c r="F13" i="23"/>
  <c r="F14" i="23"/>
  <c r="F46" i="18"/>
  <c r="F36" i="22"/>
  <c r="F39" i="23"/>
  <c r="F40" i="23"/>
  <c r="F41" i="23"/>
  <c r="F10" i="23"/>
  <c r="F9" i="23"/>
  <c r="F19" i="23"/>
  <c r="F37" i="23"/>
  <c r="C35" i="23"/>
  <c r="F8" i="23"/>
  <c r="D81" i="22"/>
  <c r="D83" i="22"/>
  <c r="F44" i="22"/>
  <c r="F46" i="22"/>
  <c r="F38" i="22"/>
  <c r="F27" i="22"/>
  <c r="F19" i="22"/>
  <c r="A47" i="22"/>
  <c r="C47" i="22"/>
  <c r="F47" i="22"/>
  <c r="F41" i="22"/>
  <c r="A45" i="22"/>
  <c r="C45" i="22"/>
  <c r="F45" i="22"/>
  <c r="F37" i="22"/>
  <c r="F12" i="22"/>
  <c r="F14" i="22"/>
  <c r="F8" i="22"/>
  <c r="F10" i="22"/>
  <c r="F42" i="21"/>
  <c r="F16" i="21"/>
  <c r="F11" i="21"/>
  <c r="F13" i="21"/>
  <c r="F12" i="21"/>
  <c r="F14" i="21"/>
  <c r="F15" i="21"/>
  <c r="D87" i="21"/>
  <c r="D89" i="21"/>
  <c r="F33" i="21"/>
  <c r="F37" i="21"/>
  <c r="F34" i="21"/>
  <c r="F35" i="21"/>
  <c r="F36" i="21"/>
  <c r="F50" i="21"/>
  <c r="F9" i="21"/>
  <c r="F17" i="21"/>
  <c r="F19" i="21"/>
  <c r="F38" i="21"/>
  <c r="F44" i="21"/>
  <c r="F54" i="21"/>
  <c r="F24" i="21"/>
  <c r="C41" i="21"/>
  <c r="F41" i="21"/>
  <c r="C45" i="21"/>
  <c r="F45" i="21"/>
  <c r="A53" i="21"/>
  <c r="C53" i="21"/>
  <c r="F53" i="21"/>
  <c r="F43" i="21"/>
  <c r="F23" i="21"/>
  <c r="F29" i="21"/>
  <c r="F8" i="21"/>
  <c r="F10" i="21"/>
  <c r="F18" i="21"/>
  <c r="F20" i="21"/>
  <c r="F46" i="21"/>
  <c r="F47" i="21"/>
  <c r="D83" i="20"/>
  <c r="D81" i="20"/>
  <c r="F37" i="20"/>
  <c r="C39" i="20"/>
  <c r="F39" i="20"/>
  <c r="F47" i="20"/>
  <c r="F8" i="20"/>
  <c r="F10" i="20"/>
  <c r="F12" i="20"/>
  <c r="F14" i="20"/>
  <c r="F36" i="20"/>
  <c r="C35" i="20"/>
  <c r="D83" i="19"/>
  <c r="F38" i="19"/>
  <c r="F39" i="19"/>
  <c r="F41" i="19"/>
  <c r="F11" i="19"/>
  <c r="F12" i="19"/>
  <c r="F13" i="19"/>
  <c r="F8" i="19"/>
  <c r="F9" i="19"/>
  <c r="F10" i="19"/>
  <c r="C35" i="19"/>
  <c r="F45" i="18"/>
  <c r="F49" i="18"/>
  <c r="F35" i="18"/>
  <c r="F29" i="18"/>
  <c r="F30" i="18"/>
  <c r="F31" i="18"/>
  <c r="F26" i="18"/>
  <c r="F28" i="18"/>
  <c r="F20" i="18"/>
  <c r="C40" i="18"/>
  <c r="F40" i="18"/>
  <c r="F16" i="18"/>
  <c r="F19" i="18"/>
  <c r="C36" i="18"/>
  <c r="F36" i="18"/>
  <c r="F39" i="18"/>
  <c r="A44" i="18"/>
  <c r="C44" i="18"/>
  <c r="F44" i="18"/>
  <c r="F21" i="18"/>
  <c r="F27" i="18"/>
  <c r="C37" i="18"/>
  <c r="F37" i="18"/>
  <c r="A48" i="18"/>
  <c r="C48" i="18"/>
  <c r="F48" i="18"/>
  <c r="F8" i="18"/>
  <c r="F10" i="18"/>
  <c r="F12" i="18"/>
  <c r="F9" i="18"/>
  <c r="C85" i="23"/>
  <c r="E85" i="23"/>
  <c r="E73" i="23"/>
  <c r="A46" i="23"/>
  <c r="C46" i="23"/>
  <c r="F46" i="23"/>
  <c r="A50" i="23"/>
  <c r="C50" i="23"/>
  <c r="F50" i="23"/>
  <c r="E51" i="23"/>
  <c r="F51" i="23"/>
  <c r="A45" i="23"/>
  <c r="C45" i="23"/>
  <c r="A49" i="23"/>
  <c r="C49" i="23"/>
  <c r="F49" i="23"/>
  <c r="F50" i="22"/>
  <c r="C85" i="22"/>
  <c r="E85" i="22"/>
  <c r="E73" i="22"/>
  <c r="C35" i="22"/>
  <c r="F35" i="22"/>
  <c r="C39" i="22"/>
  <c r="F39" i="22"/>
  <c r="E51" i="22"/>
  <c r="F51" i="22"/>
  <c r="A49" i="22"/>
  <c r="C49" i="22"/>
  <c r="F49" i="22"/>
  <c r="C91" i="21"/>
  <c r="E91" i="21"/>
  <c r="E79" i="21"/>
  <c r="A52" i="21"/>
  <c r="C52" i="21"/>
  <c r="F52" i="21"/>
  <c r="A56" i="21"/>
  <c r="C56" i="21"/>
  <c r="F56" i="21"/>
  <c r="E57" i="21"/>
  <c r="F57" i="21"/>
  <c r="A51" i="21"/>
  <c r="C51" i="21"/>
  <c r="F51" i="21"/>
  <c r="A55" i="21"/>
  <c r="C55" i="21"/>
  <c r="F55" i="21"/>
  <c r="C85" i="20"/>
  <c r="E85" i="20"/>
  <c r="E73" i="20"/>
  <c r="A46" i="20"/>
  <c r="C46" i="20"/>
  <c r="F46" i="20"/>
  <c r="A50" i="20"/>
  <c r="C50" i="20"/>
  <c r="F50" i="20"/>
  <c r="E51" i="20"/>
  <c r="F51" i="20"/>
  <c r="A45" i="20"/>
  <c r="C45" i="20"/>
  <c r="F45" i="20"/>
  <c r="A49" i="20"/>
  <c r="C49" i="20"/>
  <c r="F49" i="20"/>
  <c r="F47" i="19"/>
  <c r="C85" i="19"/>
  <c r="E85" i="19"/>
  <c r="E73" i="19"/>
  <c r="A46" i="19"/>
  <c r="C46" i="19"/>
  <c r="F46" i="19"/>
  <c r="A50" i="19"/>
  <c r="C50" i="19"/>
  <c r="F50" i="19"/>
  <c r="E51" i="19"/>
  <c r="F51" i="19"/>
  <c r="D81" i="19"/>
  <c r="A45" i="19"/>
  <c r="C45" i="19"/>
  <c r="F45" i="19"/>
  <c r="A49" i="19"/>
  <c r="C49" i="19"/>
  <c r="F49" i="19"/>
  <c r="F43" i="18"/>
  <c r="E84" i="18"/>
  <c r="F47" i="18"/>
  <c r="C34" i="18"/>
  <c r="F34" i="18"/>
  <c r="C38" i="18"/>
  <c r="F38" i="18"/>
  <c r="E72" i="18"/>
  <c r="D82" i="18"/>
  <c r="D80" i="18"/>
  <c r="E75" i="26"/>
  <c r="C87" i="26"/>
  <c r="E87" i="26"/>
  <c r="O56" i="26"/>
  <c r="H2" i="26"/>
  <c r="O57" i="26"/>
  <c r="O59" i="26"/>
  <c r="C72" i="26"/>
  <c r="E64" i="26"/>
  <c r="F67" i="26"/>
  <c r="G31" i="26"/>
  <c r="E79" i="26"/>
  <c r="F53" i="22"/>
  <c r="F64" i="22"/>
  <c r="F60" i="21"/>
  <c r="H60" i="21"/>
  <c r="F59" i="21"/>
  <c r="F52" i="18"/>
  <c r="F63" i="18"/>
  <c r="F56" i="22"/>
  <c r="F54" i="22"/>
  <c r="F62" i="21"/>
  <c r="F53" i="18"/>
  <c r="F55" i="18"/>
  <c r="O58" i="26"/>
  <c r="O60" i="26"/>
  <c r="G64" i="26"/>
  <c r="O61" i="26"/>
  <c r="C84" i="26"/>
  <c r="E84" i="26"/>
  <c r="E72" i="26"/>
  <c r="G67" i="26"/>
  <c r="G8" i="26"/>
  <c r="G13" i="26"/>
  <c r="G27" i="26"/>
  <c r="G14" i="26"/>
  <c r="G41" i="26"/>
  <c r="G9" i="26"/>
  <c r="G22" i="26"/>
  <c r="G30" i="26"/>
  <c r="G29" i="26"/>
  <c r="G36" i="26"/>
  <c r="G47" i="26"/>
  <c r="G23" i="26"/>
  <c r="G20" i="26"/>
  <c r="G24" i="26"/>
  <c r="G46" i="26"/>
  <c r="G42" i="26"/>
  <c r="G39" i="26"/>
  <c r="G49" i="26"/>
  <c r="G11" i="26"/>
  <c r="G12" i="26"/>
  <c r="G28" i="26"/>
  <c r="G40" i="26"/>
  <c r="G17" i="26"/>
  <c r="G45" i="26"/>
  <c r="G18" i="26"/>
  <c r="G33" i="26"/>
  <c r="G21" i="26"/>
  <c r="G10" i="26"/>
  <c r="G19" i="26"/>
  <c r="G32" i="26"/>
  <c r="G48" i="26"/>
  <c r="G66" i="26"/>
  <c r="G51" i="26"/>
  <c r="G50" i="26"/>
  <c r="G38" i="26"/>
  <c r="G37" i="26"/>
  <c r="G52" i="26"/>
  <c r="G54" i="26"/>
  <c r="G55" i="26"/>
  <c r="G57" i="26"/>
  <c r="G56" i="26"/>
  <c r="G65" i="26"/>
  <c r="C69" i="22"/>
  <c r="G2" i="21"/>
  <c r="E36" i="23"/>
  <c r="F36" i="23"/>
  <c r="H53" i="22"/>
  <c r="F2" i="22"/>
  <c r="C82" i="21"/>
  <c r="E82" i="21"/>
  <c r="F55" i="22"/>
  <c r="H55" i="22"/>
  <c r="F61" i="21"/>
  <c r="O60" i="21"/>
  <c r="C75" i="21"/>
  <c r="E75" i="21"/>
  <c r="H59" i="21"/>
  <c r="F70" i="21"/>
  <c r="F54" i="18"/>
  <c r="O53" i="18"/>
  <c r="C68" i="18"/>
  <c r="C80" i="18"/>
  <c r="E80" i="18"/>
  <c r="H52" i="18"/>
  <c r="F2" i="18"/>
  <c r="E69" i="22"/>
  <c r="E20" i="23"/>
  <c r="F20" i="23"/>
  <c r="C81" i="22"/>
  <c r="E81" i="22"/>
  <c r="O54" i="22"/>
  <c r="H54" i="22"/>
  <c r="G2" i="22"/>
  <c r="C76" i="22"/>
  <c r="E76" i="22"/>
  <c r="E38" i="23"/>
  <c r="F38" i="23"/>
  <c r="C74" i="22"/>
  <c r="H56" i="22"/>
  <c r="F69" i="21"/>
  <c r="C80" i="21"/>
  <c r="H62" i="21"/>
  <c r="E45" i="23"/>
  <c r="F45" i="23"/>
  <c r="C73" i="18"/>
  <c r="H55" i="18"/>
  <c r="H53" i="18"/>
  <c r="G2" i="18"/>
  <c r="C75" i="18"/>
  <c r="E75" i="18"/>
  <c r="E35" i="19"/>
  <c r="F35" i="19"/>
  <c r="F54" i="19"/>
  <c r="O62" i="26"/>
  <c r="O63" i="26"/>
  <c r="P63" i="26"/>
  <c r="E2" i="26"/>
  <c r="H61" i="21"/>
  <c r="C87" i="21"/>
  <c r="E87" i="21"/>
  <c r="F63" i="22"/>
  <c r="F2" i="21"/>
  <c r="E18" i="23"/>
  <c r="F18" i="23"/>
  <c r="C76" i="19"/>
  <c r="E76" i="19"/>
  <c r="E35" i="20"/>
  <c r="F35" i="20"/>
  <c r="F54" i="20"/>
  <c r="H54" i="19"/>
  <c r="G2" i="19"/>
  <c r="F62" i="18"/>
  <c r="F65" i="18"/>
  <c r="E68" i="18"/>
  <c r="E17" i="19"/>
  <c r="F17" i="19"/>
  <c r="F53" i="19"/>
  <c r="H54" i="18"/>
  <c r="O55" i="22"/>
  <c r="H2" i="22"/>
  <c r="O56" i="22"/>
  <c r="O58" i="22"/>
  <c r="E74" i="22"/>
  <c r="C86" i="22"/>
  <c r="E86" i="22"/>
  <c r="C71" i="22"/>
  <c r="E63" i="22"/>
  <c r="F66" i="22"/>
  <c r="G63" i="22"/>
  <c r="O61" i="21"/>
  <c r="H2" i="21"/>
  <c r="O62" i="21"/>
  <c r="O64" i="21"/>
  <c r="E80" i="21"/>
  <c r="E84" i="21"/>
  <c r="C92" i="21"/>
  <c r="E92" i="21"/>
  <c r="C77" i="21"/>
  <c r="E69" i="21"/>
  <c r="F72" i="21"/>
  <c r="G69" i="21"/>
  <c r="C70" i="18"/>
  <c r="E62" i="18"/>
  <c r="O54" i="18"/>
  <c r="H2" i="18"/>
  <c r="O55" i="18"/>
  <c r="O57" i="18"/>
  <c r="E73" i="18"/>
  <c r="C85" i="18"/>
  <c r="E85" i="18"/>
  <c r="O56" i="18"/>
  <c r="O58" i="18"/>
  <c r="O63" i="21"/>
  <c r="O65" i="21"/>
  <c r="E77" i="18"/>
  <c r="E44" i="19"/>
  <c r="F44" i="19"/>
  <c r="F64" i="19"/>
  <c r="F55" i="19"/>
  <c r="H53" i="19"/>
  <c r="F2" i="19"/>
  <c r="C69" i="19"/>
  <c r="H54" i="20"/>
  <c r="C76" i="20"/>
  <c r="E76" i="20"/>
  <c r="E78" i="22"/>
  <c r="E47" i="23"/>
  <c r="F47" i="23"/>
  <c r="O57" i="22"/>
  <c r="O59" i="22"/>
  <c r="O60" i="22"/>
  <c r="O61" i="22"/>
  <c r="O62" i="22"/>
  <c r="G12" i="21"/>
  <c r="G11" i="21"/>
  <c r="G14" i="21"/>
  <c r="G13" i="21"/>
  <c r="G15" i="21"/>
  <c r="G16" i="21"/>
  <c r="C83" i="22"/>
  <c r="E83" i="22"/>
  <c r="E71" i="22"/>
  <c r="G66" i="22"/>
  <c r="G20" i="22"/>
  <c r="G13" i="22"/>
  <c r="G38" i="22"/>
  <c r="G30" i="22"/>
  <c r="G17" i="22"/>
  <c r="G8" i="22"/>
  <c r="G18" i="22"/>
  <c r="G47" i="22"/>
  <c r="G21" i="22"/>
  <c r="G46" i="22"/>
  <c r="G22" i="22"/>
  <c r="G48" i="22"/>
  <c r="G10" i="22"/>
  <c r="G19" i="22"/>
  <c r="G44" i="22"/>
  <c r="G27" i="22"/>
  <c r="G45" i="22"/>
  <c r="G23" i="22"/>
  <c r="G11" i="22"/>
  <c r="G65" i="22"/>
  <c r="G9" i="22"/>
  <c r="G28" i="22"/>
  <c r="G40" i="22"/>
  <c r="G24" i="22"/>
  <c r="G12" i="22"/>
  <c r="G36" i="22"/>
  <c r="G31" i="22"/>
  <c r="G32" i="22"/>
  <c r="G41" i="22"/>
  <c r="G14" i="22"/>
  <c r="G29" i="22"/>
  <c r="G37" i="22"/>
  <c r="G49" i="22"/>
  <c r="G35" i="22"/>
  <c r="G53" i="22"/>
  <c r="G50" i="22"/>
  <c r="G51" i="22"/>
  <c r="G39" i="22"/>
  <c r="G54" i="22"/>
  <c r="G64" i="22"/>
  <c r="G55" i="22"/>
  <c r="G56" i="22"/>
  <c r="C89" i="21"/>
  <c r="E89" i="21"/>
  <c r="E77" i="21"/>
  <c r="O66" i="21"/>
  <c r="O67" i="21"/>
  <c r="O68" i="21"/>
  <c r="G72" i="21"/>
  <c r="G23" i="21"/>
  <c r="G43" i="21"/>
  <c r="G24" i="21"/>
  <c r="G47" i="21"/>
  <c r="G28" i="21"/>
  <c r="G30" i="21"/>
  <c r="G17" i="21"/>
  <c r="G34" i="21"/>
  <c r="G36" i="21"/>
  <c r="G19" i="21"/>
  <c r="G38" i="21"/>
  <c r="G50" i="21"/>
  <c r="G26" i="21"/>
  <c r="G33" i="21"/>
  <c r="G41" i="21"/>
  <c r="G18" i="21"/>
  <c r="G46" i="21"/>
  <c r="G37" i="21"/>
  <c r="G42" i="21"/>
  <c r="G20" i="21"/>
  <c r="G9" i="21"/>
  <c r="G29" i="21"/>
  <c r="G44" i="21"/>
  <c r="G25" i="21"/>
  <c r="G53" i="21"/>
  <c r="G8" i="21"/>
  <c r="G45" i="21"/>
  <c r="G35" i="21"/>
  <c r="G10" i="21"/>
  <c r="G54" i="21"/>
  <c r="G27" i="21"/>
  <c r="G71" i="21"/>
  <c r="G55" i="21"/>
  <c r="G52" i="21"/>
  <c r="G60" i="21"/>
  <c r="G56" i="21"/>
  <c r="G57" i="21"/>
  <c r="G51" i="21"/>
  <c r="G59" i="21"/>
  <c r="G62" i="21"/>
  <c r="G61" i="21"/>
  <c r="G70" i="21"/>
  <c r="G65" i="18"/>
  <c r="G9" i="18"/>
  <c r="G30" i="18"/>
  <c r="G22" i="18"/>
  <c r="G45" i="18"/>
  <c r="G8" i="18"/>
  <c r="G31" i="18"/>
  <c r="G28" i="18"/>
  <c r="G26" i="18"/>
  <c r="G19" i="18"/>
  <c r="G49" i="18"/>
  <c r="G12" i="18"/>
  <c r="G23" i="18"/>
  <c r="G40" i="18"/>
  <c r="G13" i="18"/>
  <c r="G46" i="18"/>
  <c r="G10" i="18"/>
  <c r="G36" i="18"/>
  <c r="G20" i="18"/>
  <c r="G11" i="18"/>
  <c r="G29" i="18"/>
  <c r="G50" i="18"/>
  <c r="G17" i="18"/>
  <c r="G37" i="18"/>
  <c r="G18" i="18"/>
  <c r="G39" i="18"/>
  <c r="G64" i="18"/>
  <c r="G27" i="18"/>
  <c r="G16" i="18"/>
  <c r="G35" i="18"/>
  <c r="G21" i="18"/>
  <c r="G34" i="18"/>
  <c r="G48" i="18"/>
  <c r="G43" i="18"/>
  <c r="G44" i="18"/>
  <c r="G38" i="18"/>
  <c r="G52" i="18"/>
  <c r="G47" i="18"/>
  <c r="G63" i="18"/>
  <c r="G53" i="18"/>
  <c r="G55" i="18"/>
  <c r="G54" i="18"/>
  <c r="O59" i="18"/>
  <c r="O60" i="18"/>
  <c r="O61" i="18"/>
  <c r="C82" i="18"/>
  <c r="E82" i="18"/>
  <c r="E70" i="18"/>
  <c r="G62" i="18"/>
  <c r="F56" i="19"/>
  <c r="C81" i="19"/>
  <c r="E81" i="19"/>
  <c r="E69" i="19"/>
  <c r="E17" i="20"/>
  <c r="F17" i="20"/>
  <c r="G2" i="20"/>
  <c r="E35" i="23"/>
  <c r="F35" i="23"/>
  <c r="O54" i="19"/>
  <c r="F63" i="19"/>
  <c r="H55" i="19"/>
  <c r="E2" i="22"/>
  <c r="P62" i="22"/>
  <c r="P68" i="21"/>
  <c r="E2" i="21"/>
  <c r="P61" i="18"/>
  <c r="E2" i="18"/>
  <c r="C71" i="19"/>
  <c r="E63" i="19"/>
  <c r="F66" i="19"/>
  <c r="G63" i="19"/>
  <c r="O56" i="19"/>
  <c r="O58" i="19"/>
  <c r="H56" i="19"/>
  <c r="C74" i="19"/>
  <c r="F54" i="23"/>
  <c r="F53" i="20"/>
  <c r="C69" i="20"/>
  <c r="F64" i="20"/>
  <c r="H53" i="20"/>
  <c r="F55" i="20"/>
  <c r="E74" i="19"/>
  <c r="C86" i="19"/>
  <c r="E86" i="19"/>
  <c r="H2" i="19"/>
  <c r="O55" i="19"/>
  <c r="O57" i="19"/>
  <c r="O59" i="19"/>
  <c r="O60" i="19"/>
  <c r="O61" i="19"/>
  <c r="O62" i="19"/>
  <c r="G66" i="19"/>
  <c r="G38" i="19"/>
  <c r="G35" i="19"/>
  <c r="G14" i="19"/>
  <c r="G39" i="19"/>
  <c r="G31" i="19"/>
  <c r="G45" i="19"/>
  <c r="G51" i="19"/>
  <c r="G9" i="19"/>
  <c r="G10" i="19"/>
  <c r="G65" i="19"/>
  <c r="G18" i="19"/>
  <c r="G17" i="19"/>
  <c r="G30" i="19"/>
  <c r="G41" i="19"/>
  <c r="G20" i="19"/>
  <c r="G50" i="19"/>
  <c r="G46" i="19"/>
  <c r="G55" i="19"/>
  <c r="G27" i="19"/>
  <c r="G40" i="19"/>
  <c r="G36" i="19"/>
  <c r="G48" i="19"/>
  <c r="G24" i="19"/>
  <c r="G29" i="19"/>
  <c r="G23" i="19"/>
  <c r="G53" i="19"/>
  <c r="G49" i="19"/>
  <c r="G21" i="19"/>
  <c r="G28" i="19"/>
  <c r="G64" i="19"/>
  <c r="G37" i="19"/>
  <c r="G32" i="19"/>
  <c r="G22" i="19"/>
  <c r="G8" i="19"/>
  <c r="G54" i="19"/>
  <c r="G19" i="19"/>
  <c r="G11" i="19"/>
  <c r="G47" i="19"/>
  <c r="G13" i="19"/>
  <c r="G12" i="19"/>
  <c r="G44" i="19"/>
  <c r="H54" i="23"/>
  <c r="G2" i="23"/>
  <c r="C76" i="23"/>
  <c r="E76" i="23"/>
  <c r="G56" i="19"/>
  <c r="E71" i="19"/>
  <c r="C83" i="19"/>
  <c r="E83" i="19"/>
  <c r="F2" i="20"/>
  <c r="E17" i="23"/>
  <c r="F17" i="23"/>
  <c r="E78" i="19"/>
  <c r="E44" i="20"/>
  <c r="F44" i="20"/>
  <c r="E2" i="19"/>
  <c r="P62" i="19"/>
  <c r="O54" i="20"/>
  <c r="H55" i="20"/>
  <c r="F63" i="20"/>
  <c r="C81" i="20"/>
  <c r="E81" i="20"/>
  <c r="E69" i="20"/>
  <c r="F56" i="20"/>
  <c r="E63" i="20"/>
  <c r="F66" i="20"/>
  <c r="C71" i="20"/>
  <c r="F53" i="23"/>
  <c r="O58" i="20"/>
  <c r="O56" i="20"/>
  <c r="G38" i="20"/>
  <c r="G27" i="20"/>
  <c r="G65" i="20"/>
  <c r="G30" i="20"/>
  <c r="G31" i="20"/>
  <c r="G35" i="20"/>
  <c r="G46" i="20"/>
  <c r="G11" i="20"/>
  <c r="G36" i="20"/>
  <c r="G21" i="20"/>
  <c r="G37" i="20"/>
  <c r="G22" i="20"/>
  <c r="G8" i="20"/>
  <c r="G9" i="20"/>
  <c r="G47" i="20"/>
  <c r="G49" i="20"/>
  <c r="G54" i="20"/>
  <c r="G66" i="20"/>
  <c r="G32" i="20"/>
  <c r="G10" i="20"/>
  <c r="G13" i="20"/>
  <c r="G12" i="20"/>
  <c r="G39" i="20"/>
  <c r="G14" i="20"/>
  <c r="G23" i="20"/>
  <c r="G18" i="20"/>
  <c r="G20" i="20"/>
  <c r="G41" i="20"/>
  <c r="G19" i="20"/>
  <c r="G48" i="20"/>
  <c r="G28" i="20"/>
  <c r="G24" i="20"/>
  <c r="G29" i="20"/>
  <c r="G40" i="20"/>
  <c r="G50" i="20"/>
  <c r="G45" i="20"/>
  <c r="G51" i="20"/>
  <c r="G17" i="20"/>
  <c r="G53" i="20"/>
  <c r="G64" i="20"/>
  <c r="G55" i="20"/>
  <c r="C69" i="23"/>
  <c r="F55" i="23"/>
  <c r="F64" i="23"/>
  <c r="H53" i="23"/>
  <c r="F2" i="23"/>
  <c r="G63" i="20"/>
  <c r="G44" i="20"/>
  <c r="C83" i="20"/>
  <c r="E83" i="20"/>
  <c r="E71" i="20"/>
  <c r="H56" i="20"/>
  <c r="C74" i="20"/>
  <c r="G56" i="20"/>
  <c r="E44" i="23"/>
  <c r="F44" i="23"/>
  <c r="O55" i="20"/>
  <c r="O57" i="20"/>
  <c r="O59" i="20"/>
  <c r="H2" i="20"/>
  <c r="O54" i="23"/>
  <c r="F63" i="23"/>
  <c r="H55" i="23"/>
  <c r="E74" i="20"/>
  <c r="E78" i="20"/>
  <c r="C86" i="20"/>
  <c r="E86" i="20"/>
  <c r="E69" i="23"/>
  <c r="C81" i="23"/>
  <c r="E81" i="23"/>
  <c r="O60" i="20"/>
  <c r="O61" i="20"/>
  <c r="O62" i="20"/>
  <c r="C71" i="23"/>
  <c r="E63" i="23"/>
  <c r="F66" i="23"/>
  <c r="G44" i="23"/>
  <c r="F56" i="23"/>
  <c r="O56" i="23"/>
  <c r="O58" i="23"/>
  <c r="G63" i="23"/>
  <c r="H56" i="23"/>
  <c r="C74" i="23"/>
  <c r="G56" i="23"/>
  <c r="E71" i="23"/>
  <c r="C83" i="23"/>
  <c r="E83" i="23"/>
  <c r="P62" i="20"/>
  <c r="E2" i="20"/>
  <c r="G66" i="23"/>
  <c r="G40" i="23"/>
  <c r="G32" i="23"/>
  <c r="G27" i="23"/>
  <c r="G48" i="23"/>
  <c r="G29" i="23"/>
  <c r="G8" i="23"/>
  <c r="G18" i="23"/>
  <c r="G9" i="23"/>
  <c r="G41" i="23"/>
  <c r="G31" i="23"/>
  <c r="G50" i="23"/>
  <c r="G38" i="23"/>
  <c r="G13" i="23"/>
  <c r="G65" i="23"/>
  <c r="G10" i="23"/>
  <c r="G28" i="23"/>
  <c r="G22" i="23"/>
  <c r="G24" i="23"/>
  <c r="G46" i="23"/>
  <c r="G51" i="23"/>
  <c r="G23" i="23"/>
  <c r="G21" i="23"/>
  <c r="G14" i="23"/>
  <c r="G30" i="23"/>
  <c r="G37" i="23"/>
  <c r="G39" i="23"/>
  <c r="G49" i="23"/>
  <c r="G45" i="23"/>
  <c r="G20" i="23"/>
  <c r="G19" i="23"/>
  <c r="G36" i="23"/>
  <c r="G11" i="23"/>
  <c r="G12" i="23"/>
  <c r="G47" i="23"/>
  <c r="G35" i="23"/>
  <c r="G54" i="23"/>
  <c r="G17" i="23"/>
  <c r="G53" i="23"/>
  <c r="G64" i="23"/>
  <c r="G55" i="23"/>
  <c r="E74" i="23"/>
  <c r="E78" i="23"/>
  <c r="C86" i="23"/>
  <c r="E86" i="23"/>
  <c r="H2" i="23"/>
  <c r="O55" i="23"/>
  <c r="O57" i="23"/>
  <c r="O59" i="23"/>
  <c r="O60" i="23"/>
  <c r="O61" i="23"/>
  <c r="O62" i="23"/>
  <c r="E2" i="23"/>
  <c r="P62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Esteban Ramirez</author>
  </authors>
  <commentList>
    <comment ref="E9" authorId="0" shapeId="0" xr:uid="{00151761-0A93-4784-902F-E0CF9839E1C9}">
      <text>
        <r>
          <rPr>
            <b/>
            <sz val="9"/>
            <color indexed="81"/>
            <rFont val="Tahoma"/>
            <family val="2"/>
          </rPr>
          <t>Esteban Ramirez:</t>
        </r>
        <r>
          <rPr>
            <sz val="9"/>
            <color indexed="81"/>
            <rFont val="Tahoma"/>
            <family val="2"/>
          </rPr>
          <t xml:space="preserve">
Costo Aprox. Se pide Cotizacion
</t>
        </r>
      </text>
    </comment>
  </commentList>
</comments>
</file>

<file path=xl/sharedStrings.xml><?xml version="1.0" encoding="utf-8"?>
<sst xmlns="http://schemas.openxmlformats.org/spreadsheetml/2006/main" count="975" uniqueCount="219">
  <si>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</si>
  <si>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</si>
  <si>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</si>
  <si>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</si>
  <si>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</si>
  <si>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</si>
  <si>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</si>
  <si>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AREA QUE PRODUCE: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</si>
  <si>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</si>
  <si>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</si>
  <si>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</si>
  <si>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</si>
  <si>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</si>
  <si>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</si>
  <si>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</si>
  <si>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</si>
  <si>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</si>
  <si>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</si>
  <si>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90100131</t>
  </si>
  <si>
    <t>AZUCAR BLANCO INDUSTRIAL KILO</t>
  </si>
  <si>
    <t>g</t>
  </si>
  <si>
    <t>10100046</t>
  </si>
  <si>
    <t>POLVO HORNEAR FLEISHMAN (PAQ:2.5 K)</t>
  </si>
  <si>
    <t>FLEISHMAN</t>
  </si>
  <si>
    <t>1950702</t>
  </si>
  <si>
    <t>BOLSA 12x18 TRANSP KILO</t>
  </si>
  <si>
    <t>ETIPLAST</t>
  </si>
  <si>
    <t>ud</t>
  </si>
  <si>
    <t>Unidad</t>
  </si>
  <si>
    <t>PESO TOTAL OBTENIDO</t>
  </si>
  <si>
    <t>TIEMPO TOTAL DE PREPARACION</t>
  </si>
  <si>
    <t>min</t>
  </si>
  <si>
    <t>CANTIDAD DE PORCIONES OBTENIDAS</t>
  </si>
  <si>
    <t>PESO DE CADA PORCIÓN</t>
  </si>
  <si>
    <t>MERMA</t>
  </si>
  <si>
    <t>PROCEDIMIENTO DE PREPARACION DE LA  RECETA</t>
  </si>
  <si>
    <t>CONTROL DE CAMBIOS</t>
  </si>
  <si>
    <t>Esteban Cartin, Gerente de Manufactura</t>
  </si>
  <si>
    <t>0702123</t>
  </si>
  <si>
    <t>ETIQUETA BLANCA 2 5/8X1 15/16 (UND)</t>
  </si>
  <si>
    <t>60100010</t>
  </si>
  <si>
    <t>ETIQUETA ROJA LETRA ALERJENO (UND)</t>
  </si>
  <si>
    <t>HARINA FHACASA VERDE (SACO: 25 K)</t>
  </si>
  <si>
    <t>FHACASA</t>
  </si>
  <si>
    <t>COCOA DUTCH PROCESS (SACO: 25 KG)</t>
  </si>
  <si>
    <t>1.- Empacar en una bolsa 12x18 el azucar.</t>
  </si>
  <si>
    <t>06</t>
  </si>
  <si>
    <t>0310107</t>
  </si>
  <si>
    <t>11300009</t>
  </si>
  <si>
    <t>11300011</t>
  </si>
  <si>
    <t>0510262</t>
  </si>
  <si>
    <t>PECANA ENTERA (CAJA:13.6 K)</t>
  </si>
  <si>
    <t>Maria Jose Rodriguez, Chef</t>
  </si>
  <si>
    <t>Mayca</t>
  </si>
  <si>
    <t>Tiempo de Horneo:</t>
  </si>
  <si>
    <t>Horno:</t>
  </si>
  <si>
    <t>Temperatura de Horneo:</t>
  </si>
  <si>
    <t>Otros</t>
  </si>
  <si>
    <t>PREMEZCLA PARA TURRON DE CHOCOLATE Y PECANAS</t>
  </si>
  <si>
    <t>4.- Etiquetar con nombre y alerjeno</t>
  </si>
  <si>
    <t>3.- Pesar en una bolsa 12x18 las pecanas.</t>
  </si>
  <si>
    <t>FAS</t>
  </si>
  <si>
    <t>cm</t>
  </si>
  <si>
    <t>EMPAQUE</t>
  </si>
  <si>
    <t>703020</t>
  </si>
  <si>
    <t>0702069</t>
  </si>
  <si>
    <t>1730660</t>
  </si>
  <si>
    <t>11400046</t>
  </si>
  <si>
    <t>LECHE CONDENSADA (PAQ:11 K)</t>
  </si>
  <si>
    <t>Nestle</t>
  </si>
  <si>
    <t>101000073</t>
  </si>
  <si>
    <t>0510186</t>
  </si>
  <si>
    <t>10415</t>
  </si>
  <si>
    <t>1010339</t>
  </si>
  <si>
    <t>1212410</t>
  </si>
  <si>
    <t>95717</t>
  </si>
  <si>
    <t>Tiempo de Horneo</t>
  </si>
  <si>
    <t>Min.</t>
  </si>
  <si>
    <t>Und.</t>
  </si>
  <si>
    <t>Temperatura de Horneo</t>
  </si>
  <si>
    <t>Otros:</t>
  </si>
  <si>
    <t>LECHE EVAPORADA (UND: 1 L)</t>
  </si>
  <si>
    <t>1210443</t>
  </si>
  <si>
    <t>YEMA DE HUEVO PASTEURIZADA (CAJA:2 Kg)</t>
  </si>
  <si>
    <t>GLUCOSA</t>
  </si>
  <si>
    <t>510215</t>
  </si>
  <si>
    <t xml:space="preserve">ALMIDON MODIFICADO (SACO:25 K) </t>
  </si>
  <si>
    <t>Innovo</t>
  </si>
  <si>
    <t>Nuevo</t>
  </si>
  <si>
    <t>1212412</t>
  </si>
  <si>
    <t>PRESERVANTE 1017S (PAQ=5 KILO)</t>
  </si>
  <si>
    <t>BATIDO TURRON DE CHOCOLATE Y PECANAS</t>
  </si>
  <si>
    <t>1.- Colocar en una olla la leche condensada y la evaporada y cocinar moviendo constantemete por 10 minutos.</t>
  </si>
  <si>
    <t>2,- Una vez pasados los 10 minutos, agregar el almidon disuelto en el agua junto con el preservante, mezclar constantemente.</t>
  </si>
  <si>
    <t>3,- Apagar el fuego y agregar las yemas temperadas y la glucosa, mezclar y retirar del fuego.</t>
  </si>
  <si>
    <t>TURRON DE CHOCOLATE Y PECANAS</t>
  </si>
  <si>
    <t>CHEESE CAKE DE DULCE DE LECHE</t>
  </si>
  <si>
    <t>0702012</t>
  </si>
  <si>
    <t>SUSPIRO LIMEÑO</t>
  </si>
  <si>
    <t>CREMA DE VINO TINTO</t>
  </si>
  <si>
    <t>Tanda</t>
  </si>
  <si>
    <t>CREMA AMBIENTE</t>
  </si>
  <si>
    <t>AGUA POTABLE</t>
  </si>
  <si>
    <t>2.- En la otra bolsa colocar la harina, cocoa, preservante y el polvo de hornear, colocar esta bolsa dentro del azucar.</t>
  </si>
  <si>
    <t>ESP-RE-BAS-006</t>
  </si>
  <si>
    <t xml:space="preserve"> Mezcla para engrase moldes 29800g 902000019</t>
  </si>
  <si>
    <t>Javier Tong, Chef</t>
  </si>
  <si>
    <t>Jeffry Rodriguez. Gte de Manufactura</t>
  </si>
  <si>
    <t>Medida Costeo</t>
  </si>
  <si>
    <t>1210401</t>
  </si>
  <si>
    <t>MANTECA MAX PAN (CAJA:25 k)</t>
  </si>
  <si>
    <t>Max Pan</t>
  </si>
  <si>
    <t>Caja</t>
  </si>
  <si>
    <t>0510188</t>
  </si>
  <si>
    <t>HARINA ESTANDAR  (SACO: 25 KG )</t>
  </si>
  <si>
    <t>Harisol</t>
  </si>
  <si>
    <t>Saco</t>
  </si>
  <si>
    <t>512000002</t>
  </si>
  <si>
    <t>PLASTICO  AUTOAD (UND: 18 * 2000 M)</t>
  </si>
  <si>
    <t>Und</t>
  </si>
  <si>
    <t>1,- Colocar la manteca en la batidora y batir por 3 minutos hasta que se suavise.</t>
  </si>
  <si>
    <t>2,- Agregar el harina y batir 40 minutos mas hasta homogenizar en velocidad 1.</t>
  </si>
  <si>
    <t>3,- Colocar la mezcla en botes de plastico.Cubrir con papel autoadhesivo.</t>
  </si>
  <si>
    <t>Control de cambios</t>
  </si>
  <si>
    <t>5, Actualizacion de codigos</t>
  </si>
  <si>
    <t xml:space="preserve">Revisión #6: Actualización de procedimiento. 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</si>
  <si>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</si>
  <si>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</si>
  <si>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</si>
  <si>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</si>
  <si>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</si>
  <si>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</si>
  <si>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</si>
  <si>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</si>
  <si>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</si>
  <si>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</si>
  <si>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</si>
  <si>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</si>
  <si>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</si>
  <si>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</si>
  <si>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</si>
  <si>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</si>
  <si>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</si>
  <si>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</si>
  <si>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</si>
  <si>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</si>
  <si>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</si>
  <si>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</si>
  <si>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</si>
  <si>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</si>
  <si>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</si>
  <si>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</si>
  <si>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</si>
  <si>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</si>
  <si>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</si>
  <si>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</si>
  <si>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</si>
  <si>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</si>
  <si>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</si>
  <si>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</si>
  <si>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</si>
  <si>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</si>
  <si>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</si>
  <si>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</si>
  <si>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</si>
  <si>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</si>
  <si>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58 COLONES X MIN</t>
  </si>
  <si>
    <t xml:space="preserve">Gf 57 colones min 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</si>
  <si>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</si>
  <si>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</si>
  <si>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</si>
  <si>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</si>
  <si>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</si>
  <si>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</si>
  <si>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</si>
  <si>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</si>
  <si>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11200071</t>
  </si>
  <si>
    <t>0512255</t>
  </si>
  <si>
    <t>Gramos</t>
  </si>
  <si>
    <t>NUEVO</t>
  </si>
  <si>
    <t>902000019</t>
  </si>
  <si>
    <t>1950772</t>
  </si>
  <si>
    <t>11400066</t>
  </si>
  <si>
    <t>114000002</t>
  </si>
  <si>
    <t>MANJAR LECHE CONDENSADA (PAQ: 6 K)</t>
  </si>
  <si>
    <t>10100050</t>
  </si>
  <si>
    <t xml:space="preserve">UND </t>
  </si>
  <si>
    <t>UND</t>
  </si>
  <si>
    <t>10100122</t>
  </si>
  <si>
    <t>1950693</t>
  </si>
  <si>
    <t>51400021</t>
  </si>
  <si>
    <t>und</t>
  </si>
  <si>
    <t>QUEQUERA RED C/BASE ALTA 9" (CAJA:100 U)</t>
  </si>
  <si>
    <t>VINO TINTO TORO</t>
  </si>
  <si>
    <t>Mililitros</t>
  </si>
  <si>
    <t>902000170 Relleno Suspiro Limeño</t>
  </si>
  <si>
    <t>0510143</t>
  </si>
  <si>
    <t>702182</t>
  </si>
  <si>
    <t>01</t>
  </si>
  <si>
    <t>906000145 (SE00471) Premezcla para Turron de chocolate y pecanas</t>
  </si>
  <si>
    <t># Código Netsuite</t>
  </si>
  <si>
    <t>SE00016</t>
  </si>
  <si>
    <t>MP10479</t>
  </si>
  <si>
    <t>MP10146</t>
  </si>
  <si>
    <t>MP10304</t>
  </si>
  <si>
    <t>MP10025</t>
  </si>
  <si>
    <t>MP10562</t>
  </si>
  <si>
    <t>EM10016</t>
  </si>
  <si>
    <t>EM10011</t>
  </si>
  <si>
    <t>EM10133</t>
  </si>
  <si>
    <t>Esteban Cartin, Gte Manufactura</t>
  </si>
  <si>
    <t>Premezclas</t>
  </si>
  <si>
    <t>Ensamble</t>
  </si>
  <si>
    <t>CR COCOA</t>
  </si>
  <si>
    <t>MAYCA</t>
  </si>
  <si>
    <t>NUECES INDUSTRIALES</t>
  </si>
  <si>
    <t>Decoración</t>
  </si>
  <si>
    <t>Empaque</t>
  </si>
  <si>
    <t>ESP-RE-PRES-027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</si>
</sst>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* #,##0.00_);_(* \(#,##0.00\);_(* &quot;-&quot;??_);_(@_)"/>
    <numFmt numFmtId="166" formatCode="&quot;$&quot;#,##0_);[Red]\(&quot;$&quot;#,##0\)"/>
    <numFmt numFmtId="167" formatCode="0.000"/>
    <numFmt numFmtId="168" formatCode="0.0"/>
    <numFmt numFmtId="169" formatCode="_-* #,##0.0\ _€_-;\-* #,##0.0\ _€_-;_-* &quot;-&quot;??\ _€_-;_-@_-"/>
    <numFmt numFmtId="170" formatCode="[$-409]d\-mmm\-yy;@"/>
    <numFmt numFmtId="171" formatCode="_(* #,##0.000_);_(* \(#,##0.000\);_(* &quot;-&quot;??_);_(@_)"/>
  </numFmts>
  <fonts count="61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b/>
      <sz val="14"/>
      <name val="Century Gothic"/>
      <family val="2"/>
    </font>
    <font>
      <b/>
      <sz val="10"/>
      <name val="Century Gothic"/>
      <family val="2"/>
    </font>
    <font>
      <b/>
      <i/>
      <sz val="12"/>
      <name val="Century Gothic"/>
      <family val="2"/>
    </font>
    <font>
      <sz val="10"/>
      <color indexed="8"/>
      <name val="Century Gothic"/>
      <family val="2"/>
    </font>
    <font>
      <sz val="10"/>
      <color theme="1"/>
      <name val="Century Gothic"/>
      <family val="2"/>
    </font>
    <font>
      <b/>
      <sz val="12"/>
      <name val="Century Gothic"/>
      <family val="2"/>
    </font>
    <font>
      <sz val="12"/>
      <name val="Times New Roman"/>
      <family val="1"/>
    </font>
    <font>
      <sz val="9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sz val="9.85"/>
      <color indexed="8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sz val="14"/>
      <color indexed="12"/>
      <name val="Arial Black"/>
      <family val="2"/>
    </font>
    <font>
      <b/>
      <sz val="10"/>
      <color indexed="21"/>
      <name val="Times New Roman"/>
      <family val="1"/>
    </font>
    <font>
      <b/>
      <sz val="14"/>
      <name val="Modern"/>
      <family val="3"/>
      <charset val="255"/>
    </font>
    <font>
      <b/>
      <sz val="10"/>
      <color indexed="16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sz val="10"/>
      <color indexed="10"/>
      <name val="Times New Roman"/>
      <family val="1"/>
    </font>
    <font>
      <b/>
      <sz val="10"/>
      <color indexed="12"/>
      <name val="Times New Roman"/>
      <family val="1"/>
    </font>
    <font>
      <sz val="8"/>
      <name val="Times New Roman"/>
      <family val="1"/>
    </font>
    <font>
      <sz val="10"/>
      <color indexed="17"/>
      <name val="Times New Roman"/>
      <family val="1"/>
    </font>
    <font>
      <b/>
      <sz val="10"/>
      <color indexed="17"/>
      <name val="Times New Roman"/>
      <family val="1"/>
    </font>
    <font>
      <b/>
      <sz val="10"/>
      <color indexed="10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0"/>
      <color indexed="19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18"/>
      <name val="Times New Roman"/>
      <family val="1"/>
    </font>
    <font>
      <b/>
      <sz val="9"/>
      <color indexed="1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color indexed="57"/>
      <name val="Times New Roman"/>
      <family val="1"/>
    </font>
    <font>
      <b/>
      <sz val="10"/>
      <color indexed="18"/>
      <name val="Times New Roman"/>
      <family val="1"/>
    </font>
    <font>
      <sz val="10"/>
      <color indexed="18"/>
      <name val="Palatino Linotype"/>
      <family val="1"/>
    </font>
    <font>
      <sz val="10"/>
      <color indexed="8"/>
      <name val="Times New Roman"/>
      <family val="1"/>
    </font>
    <font>
      <sz val="10"/>
      <name val="Arial Black"/>
      <family val="2"/>
    </font>
    <font>
      <b/>
      <sz val="9"/>
      <color rgb="FFFF0000"/>
      <name val="Times New Roman"/>
      <family val="1"/>
    </font>
    <font>
      <sz val="12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theme="1"/>
      <name val="Calibri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name val="Arial"/>
      <family val="2"/>
    </font>
    <font>
      <sz val="1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98">
    <xf numFmtId="0" fontId="0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4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0" fontId="2" fillId="0" borderId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7" fillId="0" borderId="0"/>
    <xf numFmtId="165" fontId="47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51" fillId="0" borderId="0"/>
    <xf numFmtId="165" fontId="47" fillId="0" borderId="0" applyFont="0" applyFill="0" applyBorder="0" applyAlignment="0" applyProtection="0"/>
    <xf numFmtId="0" fontId="48" fillId="0" borderId="0">
      <alignment vertical="top"/>
    </xf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4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441">
    <xf numFmtId="0" fontId="0" fillId="0" borderId="0" xfId="0"/>
    <xf numFmtId="0" fontId="7" fillId="2" borderId="2" xfId="1" applyFont="1" applyFill="1" applyBorder="1" applyAlignment="1">
      <alignment horizontal="right"/>
    </xf>
    <xf numFmtId="0" fontId="5" fillId="2" borderId="3" xfId="1" applyFont="1" applyFill="1" applyBorder="1" applyAlignment="1">
      <alignment horizontal="center"/>
    </xf>
    <xf numFmtId="0" fontId="7" fillId="2" borderId="5" xfId="1" applyFont="1" applyFill="1" applyBorder="1" applyAlignment="1">
      <alignment horizontal="right"/>
    </xf>
    <xf numFmtId="49" fontId="5" fillId="2" borderId="6" xfId="1" applyNumberFormat="1" applyFont="1" applyFill="1" applyBorder="1" applyAlignment="1">
      <alignment horizontal="center"/>
    </xf>
    <xf numFmtId="0" fontId="5" fillId="2" borderId="5" xfId="1" applyFont="1" applyFill="1" applyBorder="1" applyAlignment="1">
      <alignment horizontal="right"/>
    </xf>
    <xf numFmtId="0" fontId="7" fillId="4" borderId="3" xfId="2" applyFont="1" applyFill="1" applyBorder="1" applyAlignment="1">
      <alignment horizontal="center" vertical="center" wrapText="1"/>
    </xf>
    <xf numFmtId="1" fontId="7" fillId="4" borderId="8" xfId="2" applyNumberFormat="1" applyFont="1" applyFill="1" applyBorder="1" applyAlignment="1">
      <alignment horizontal="center"/>
    </xf>
    <xf numFmtId="1" fontId="7" fillId="4" borderId="8" xfId="2" applyNumberFormat="1" applyFont="1" applyFill="1" applyBorder="1" applyAlignment="1">
      <alignment horizontal="center" wrapText="1"/>
    </xf>
    <xf numFmtId="0" fontId="7" fillId="4" borderId="9" xfId="2" applyFont="1" applyFill="1" applyBorder="1" applyAlignment="1">
      <alignment horizontal="center"/>
    </xf>
    <xf numFmtId="0" fontId="5" fillId="0" borderId="5" xfId="2" applyFont="1" applyBorder="1"/>
    <xf numFmtId="1" fontId="5" fillId="0" borderId="5" xfId="2" applyNumberFormat="1" applyFont="1" applyBorder="1" applyAlignment="1">
      <alignment horizontal="center" wrapText="1"/>
    </xf>
    <xf numFmtId="0" fontId="5" fillId="0" borderId="6" xfId="2" applyFont="1" applyBorder="1" applyAlignment="1">
      <alignment horizontal="center"/>
    </xf>
    <xf numFmtId="49" fontId="9" fillId="2" borderId="13" xfId="2" applyNumberFormat="1" applyFont="1" applyFill="1" applyBorder="1" applyAlignment="1">
      <alignment horizontal="center" vertical="center"/>
    </xf>
    <xf numFmtId="1" fontId="5" fillId="2" borderId="0" xfId="2" applyNumberFormat="1" applyFont="1" applyFill="1" applyAlignment="1">
      <alignment horizontal="center"/>
    </xf>
    <xf numFmtId="167" fontId="5" fillId="2" borderId="0" xfId="2" applyNumberFormat="1" applyFont="1" applyFill="1" applyAlignment="1">
      <alignment horizontal="center" wrapText="1"/>
    </xf>
    <xf numFmtId="0" fontId="5" fillId="2" borderId="14" xfId="2" applyFont="1" applyFill="1" applyBorder="1" applyAlignment="1">
      <alignment horizontal="center"/>
    </xf>
    <xf numFmtId="0" fontId="5" fillId="4" borderId="15" xfId="2" applyFont="1" applyFill="1" applyBorder="1" applyAlignment="1">
      <alignment horizontal="center"/>
    </xf>
    <xf numFmtId="0" fontId="5" fillId="4" borderId="16" xfId="2" applyFont="1" applyFill="1" applyBorder="1"/>
    <xf numFmtId="0" fontId="7" fillId="4" borderId="16" xfId="2" applyFont="1" applyFill="1" applyBorder="1" applyAlignment="1">
      <alignment horizontal="center"/>
    </xf>
    <xf numFmtId="1" fontId="7" fillId="4" borderId="16" xfId="2" applyNumberFormat="1" applyFont="1" applyFill="1" applyBorder="1" applyAlignment="1">
      <alignment horizontal="center"/>
    </xf>
    <xf numFmtId="167" fontId="5" fillId="4" borderId="16" xfId="2" applyNumberFormat="1" applyFont="1" applyFill="1" applyBorder="1" applyAlignment="1">
      <alignment horizontal="center" wrapText="1"/>
    </xf>
    <xf numFmtId="0" fontId="5" fillId="4" borderId="17" xfId="2" applyFont="1" applyFill="1" applyBorder="1" applyAlignment="1">
      <alignment horizontal="center"/>
    </xf>
    <xf numFmtId="0" fontId="5" fillId="0" borderId="5" xfId="2" applyFont="1" applyBorder="1" applyAlignment="1">
      <alignment horizontal="center"/>
    </xf>
    <xf numFmtId="1" fontId="5" fillId="0" borderId="5" xfId="2" applyNumberFormat="1" applyFont="1" applyBorder="1" applyAlignment="1">
      <alignment horizontal="center"/>
    </xf>
    <xf numFmtId="0" fontId="5" fillId="0" borderId="23" xfId="2" quotePrefix="1" applyFont="1" applyBorder="1"/>
    <xf numFmtId="0" fontId="10" fillId="5" borderId="4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2" borderId="0" xfId="0" applyFont="1" applyFill="1"/>
    <xf numFmtId="0" fontId="5" fillId="2" borderId="11" xfId="1" applyFont="1" applyFill="1" applyBorder="1" applyAlignment="1">
      <alignment horizontal="right"/>
    </xf>
    <xf numFmtId="0" fontId="9" fillId="2" borderId="0" xfId="0" applyFont="1" applyFill="1" applyAlignment="1">
      <alignment vertical="center"/>
    </xf>
    <xf numFmtId="0" fontId="12" fillId="0" borderId="0" xfId="2" applyFont="1"/>
    <xf numFmtId="1" fontId="5" fillId="0" borderId="5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" fontId="5" fillId="0" borderId="5" xfId="0" applyNumberFormat="1" applyFont="1" applyBorder="1" applyAlignment="1">
      <alignment horizontal="center" wrapText="1"/>
    </xf>
    <xf numFmtId="1" fontId="7" fillId="0" borderId="11" xfId="0" applyNumberFormat="1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3" fillId="2" borderId="3" xfId="1" applyFont="1" applyFill="1" applyBorder="1" applyAlignment="1">
      <alignment horizontal="center" vertical="center"/>
    </xf>
    <xf numFmtId="49" fontId="13" fillId="2" borderId="6" xfId="1" applyNumberFormat="1" applyFont="1" applyFill="1" applyBorder="1" applyAlignment="1">
      <alignment horizontal="center" vertical="center"/>
    </xf>
    <xf numFmtId="16" fontId="5" fillId="0" borderId="5" xfId="2" applyNumberFormat="1" applyFont="1" applyBorder="1" applyAlignment="1">
      <alignment horizontal="center"/>
    </xf>
    <xf numFmtId="0" fontId="5" fillId="0" borderId="6" xfId="2" applyFont="1" applyBorder="1"/>
    <xf numFmtId="49" fontId="9" fillId="0" borderId="4" xfId="0" applyNumberFormat="1" applyFont="1" applyBorder="1" applyAlignment="1">
      <alignment horizontal="left"/>
    </xf>
    <xf numFmtId="0" fontId="5" fillId="0" borderId="5" xfId="0" applyFont="1" applyBorder="1"/>
    <xf numFmtId="1" fontId="7" fillId="4" borderId="32" xfId="0" applyNumberFormat="1" applyFont="1" applyFill="1" applyBorder="1" applyAlignment="1">
      <alignment horizontal="center"/>
    </xf>
    <xf numFmtId="1" fontId="7" fillId="4" borderId="32" xfId="0" applyNumberFormat="1" applyFont="1" applyFill="1" applyBorder="1" applyAlignment="1">
      <alignment horizontal="center" wrapText="1"/>
    </xf>
    <xf numFmtId="0" fontId="5" fillId="4" borderId="29" xfId="0" applyFont="1" applyFill="1" applyBorder="1" applyAlignment="1">
      <alignment horizontal="center"/>
    </xf>
    <xf numFmtId="0" fontId="5" fillId="4" borderId="10" xfId="0" applyFont="1" applyFill="1" applyBorder="1"/>
    <xf numFmtId="0" fontId="7" fillId="4" borderId="10" xfId="0" applyFont="1" applyFill="1" applyBorder="1" applyAlignment="1">
      <alignment horizontal="center"/>
    </xf>
    <xf numFmtId="1" fontId="7" fillId="4" borderId="10" xfId="0" applyNumberFormat="1" applyFont="1" applyFill="1" applyBorder="1" applyAlignment="1">
      <alignment horizontal="center"/>
    </xf>
    <xf numFmtId="167" fontId="5" fillId="4" borderId="10" xfId="0" applyNumberFormat="1" applyFont="1" applyFill="1" applyBorder="1" applyAlignment="1">
      <alignment horizontal="center" wrapText="1"/>
    </xf>
    <xf numFmtId="0" fontId="5" fillId="4" borderId="30" xfId="0" applyFont="1" applyFill="1" applyBorder="1" applyAlignment="1">
      <alignment horizontal="center"/>
    </xf>
    <xf numFmtId="0" fontId="5" fillId="0" borderId="5" xfId="0" applyFont="1" applyBorder="1" applyAlignment="1">
      <alignment horizontal="left" vertical="top" wrapText="1"/>
    </xf>
    <xf numFmtId="16" fontId="5" fillId="0" borderId="5" xfId="0" applyNumberFormat="1" applyFont="1" applyBorder="1" applyAlignment="1">
      <alignment horizontal="center"/>
    </xf>
    <xf numFmtId="16" fontId="5" fillId="0" borderId="2" xfId="2" applyNumberFormat="1" applyFont="1" applyBorder="1" applyAlignment="1">
      <alignment horizontal="center"/>
    </xf>
    <xf numFmtId="0" fontId="5" fillId="5" borderId="2" xfId="2" applyFont="1" applyFill="1" applyBorder="1" applyAlignment="1">
      <alignment horizontal="center"/>
    </xf>
    <xf numFmtId="0" fontId="5" fillId="0" borderId="2" xfId="2" applyFont="1" applyBorder="1" applyAlignment="1">
      <alignment horizontal="center"/>
    </xf>
    <xf numFmtId="0" fontId="5" fillId="0" borderId="3" xfId="2" applyFont="1" applyBorder="1" applyAlignment="1">
      <alignment horizontal="center"/>
    </xf>
    <xf numFmtId="0" fontId="5" fillId="0" borderId="4" xfId="0" applyFont="1" applyBorder="1" applyAlignment="1">
      <alignment horizontal="center" vertical="top" wrapText="1"/>
    </xf>
    <xf numFmtId="49" fontId="9" fillId="2" borderId="7" xfId="0" applyNumberFormat="1" applyFont="1" applyFill="1" applyBorder="1" applyAlignment="1">
      <alignment horizontal="center" vertical="center"/>
    </xf>
    <xf numFmtId="0" fontId="5" fillId="2" borderId="8" xfId="0" applyFont="1" applyFill="1" applyBorder="1"/>
    <xf numFmtId="1" fontId="5" fillId="2" borderId="8" xfId="0" applyNumberFormat="1" applyFont="1" applyFill="1" applyBorder="1" applyAlignment="1">
      <alignment horizontal="center"/>
    </xf>
    <xf numFmtId="167" fontId="5" fillId="2" borderId="8" xfId="0" applyNumberFormat="1" applyFont="1" applyFill="1" applyBorder="1" applyAlignment="1">
      <alignment horizontal="center" wrapText="1"/>
    </xf>
    <xf numFmtId="0" fontId="5" fillId="2" borderId="9" xfId="0" applyFont="1" applyFill="1" applyBorder="1" applyAlignment="1">
      <alignment horizontal="center"/>
    </xf>
    <xf numFmtId="2" fontId="5" fillId="0" borderId="2" xfId="2" applyNumberFormat="1" applyFont="1" applyBorder="1"/>
    <xf numFmtId="2" fontId="5" fillId="0" borderId="5" xfId="2" applyNumberFormat="1" applyFont="1" applyBorder="1"/>
    <xf numFmtId="0" fontId="10" fillId="5" borderId="4" xfId="0" quotePrefix="1" applyFont="1" applyFill="1" applyBorder="1" applyAlignment="1">
      <alignment horizontal="center"/>
    </xf>
    <xf numFmtId="0" fontId="14" fillId="2" borderId="0" xfId="0" applyFont="1" applyFill="1"/>
    <xf numFmtId="1" fontId="5" fillId="0" borderId="8" xfId="0" applyNumberFormat="1" applyFont="1" applyBorder="1" applyAlignment="1">
      <alignment horizontal="center"/>
    </xf>
    <xf numFmtId="0" fontId="7" fillId="4" borderId="3" xfId="0" applyFont="1" applyFill="1" applyBorder="1" applyAlignment="1">
      <alignment horizontal="center" vertical="center" wrapText="1"/>
    </xf>
    <xf numFmtId="1" fontId="7" fillId="4" borderId="8" xfId="0" applyNumberFormat="1" applyFont="1" applyFill="1" applyBorder="1" applyAlignment="1">
      <alignment horizontal="center"/>
    </xf>
    <xf numFmtId="1" fontId="7" fillId="4" borderId="8" xfId="0" applyNumberFormat="1" applyFont="1" applyFill="1" applyBorder="1" applyAlignment="1">
      <alignment horizontal="center" wrapText="1"/>
    </xf>
    <xf numFmtId="0" fontId="5" fillId="0" borderId="5" xfId="0" quotePrefix="1" applyFont="1" applyBorder="1"/>
    <xf numFmtId="49" fontId="9" fillId="2" borderId="13" xfId="0" applyNumberFormat="1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/>
    </xf>
    <xf numFmtId="0" fontId="5" fillId="2" borderId="0" xfId="0" applyFont="1" applyFill="1" applyAlignment="1">
      <alignment horizontal="left" indent="1"/>
    </xf>
    <xf numFmtId="0" fontId="5" fillId="4" borderId="15" xfId="0" applyFont="1" applyFill="1" applyBorder="1" applyAlignment="1">
      <alignment horizontal="center"/>
    </xf>
    <xf numFmtId="0" fontId="5" fillId="4" borderId="16" xfId="0" applyFont="1" applyFill="1" applyBorder="1"/>
    <xf numFmtId="0" fontId="7" fillId="4" borderId="16" xfId="0" applyFont="1" applyFill="1" applyBorder="1" applyAlignment="1">
      <alignment horizontal="center"/>
    </xf>
    <xf numFmtId="1" fontId="7" fillId="4" borderId="16" xfId="0" applyNumberFormat="1" applyFont="1" applyFill="1" applyBorder="1" applyAlignment="1">
      <alignment horizontal="center"/>
    </xf>
    <xf numFmtId="167" fontId="5" fillId="4" borderId="16" xfId="0" applyNumberFormat="1" applyFont="1" applyFill="1" applyBorder="1" applyAlignment="1">
      <alignment horizontal="center" wrapText="1"/>
    </xf>
    <xf numFmtId="0" fontId="5" fillId="4" borderId="17" xfId="0" applyFont="1" applyFill="1" applyBorder="1" applyAlignment="1">
      <alignment horizontal="center"/>
    </xf>
    <xf numFmtId="1" fontId="5" fillId="0" borderId="11" xfId="0" applyNumberFormat="1" applyFont="1" applyBorder="1" applyAlignment="1">
      <alignment horizontal="center"/>
    </xf>
    <xf numFmtId="9" fontId="5" fillId="2" borderId="0" xfId="3" applyFont="1" applyFill="1"/>
    <xf numFmtId="167" fontId="5" fillId="0" borderId="5" xfId="0" applyNumberFormat="1" applyFont="1" applyBorder="1" applyAlignment="1">
      <alignment horizontal="center"/>
    </xf>
    <xf numFmtId="1" fontId="5" fillId="2" borderId="0" xfId="0" applyNumberFormat="1" applyFont="1" applyFill="1" applyAlignment="1">
      <alignment horizontal="center"/>
    </xf>
    <xf numFmtId="167" fontId="5" fillId="2" borderId="0" xfId="0" applyNumberFormat="1" applyFont="1" applyFill="1" applyAlignment="1">
      <alignment horizontal="center" wrapText="1"/>
    </xf>
    <xf numFmtId="0" fontId="5" fillId="2" borderId="19" xfId="1" applyFont="1" applyFill="1" applyBorder="1" applyAlignment="1">
      <alignment horizontal="right"/>
    </xf>
    <xf numFmtId="0" fontId="5" fillId="2" borderId="23" xfId="1" applyFont="1" applyFill="1" applyBorder="1" applyAlignment="1">
      <alignment horizontal="right"/>
    </xf>
    <xf numFmtId="0" fontId="7" fillId="4" borderId="43" xfId="0" applyFont="1" applyFill="1" applyBorder="1" applyAlignment="1">
      <alignment horizontal="center"/>
    </xf>
    <xf numFmtId="0" fontId="16" fillId="0" borderId="22" xfId="0" applyFont="1" applyBorder="1" applyAlignment="1">
      <alignment horizontal="center" vertical="center"/>
    </xf>
    <xf numFmtId="49" fontId="17" fillId="0" borderId="5" xfId="0" applyNumberFormat="1" applyFont="1" applyBorder="1"/>
    <xf numFmtId="0" fontId="12" fillId="0" borderId="23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5" xfId="0" applyBorder="1"/>
    <xf numFmtId="0" fontId="18" fillId="0" borderId="5" xfId="0" applyFont="1" applyBorder="1" applyAlignment="1">
      <alignment horizontal="center"/>
    </xf>
    <xf numFmtId="1" fontId="18" fillId="0" borderId="5" xfId="0" applyNumberFormat="1" applyFont="1" applyBorder="1" applyAlignment="1">
      <alignment horizontal="center"/>
    </xf>
    <xf numFmtId="1" fontId="18" fillId="0" borderId="5" xfId="0" applyNumberFormat="1" applyFont="1" applyBorder="1" applyAlignment="1">
      <alignment horizontal="center" wrapText="1"/>
    </xf>
    <xf numFmtId="2" fontId="18" fillId="0" borderId="5" xfId="0" applyNumberFormat="1" applyFont="1" applyBorder="1" applyAlignment="1">
      <alignment horizontal="center"/>
    </xf>
    <xf numFmtId="168" fontId="18" fillId="0" borderId="5" xfId="0" applyNumberFormat="1" applyFont="1" applyBorder="1" applyAlignment="1">
      <alignment horizontal="center"/>
    </xf>
    <xf numFmtId="0" fontId="5" fillId="0" borderId="4" xfId="0" quotePrefix="1" applyFont="1" applyBorder="1" applyAlignment="1">
      <alignment horizontal="right"/>
    </xf>
    <xf numFmtId="0" fontId="18" fillId="0" borderId="5" xfId="0" applyFont="1" applyBorder="1"/>
    <xf numFmtId="10" fontId="23" fillId="0" borderId="0" xfId="3" applyNumberFormat="1" applyFont="1" applyFill="1" applyAlignment="1">
      <alignment vertical="center"/>
    </xf>
    <xf numFmtId="10" fontId="20" fillId="0" borderId="0" xfId="3" applyNumberFormat="1" applyFont="1" applyFill="1" applyAlignment="1">
      <alignment vertical="center"/>
    </xf>
    <xf numFmtId="10" fontId="17" fillId="0" borderId="0" xfId="3" applyNumberFormat="1" applyFont="1" applyFill="1" applyAlignment="1">
      <alignment vertical="center"/>
    </xf>
    <xf numFmtId="10" fontId="30" fillId="0" borderId="0" xfId="3" applyNumberFormat="1" applyFont="1" applyFill="1" applyAlignment="1">
      <alignment vertical="center"/>
    </xf>
    <xf numFmtId="10" fontId="30" fillId="0" borderId="0" xfId="3" applyNumberFormat="1" applyFont="1" applyFill="1" applyBorder="1" applyAlignment="1">
      <alignment vertical="center"/>
    </xf>
    <xf numFmtId="10" fontId="38" fillId="0" borderId="0" xfId="3" applyNumberFormat="1" applyFont="1" applyFill="1" applyAlignment="1">
      <alignment horizontal="right"/>
    </xf>
    <xf numFmtId="10" fontId="20" fillId="7" borderId="56" xfId="3" applyNumberFormat="1" applyFont="1" applyFill="1" applyBorder="1" applyAlignment="1">
      <alignment vertical="center"/>
    </xf>
    <xf numFmtId="10" fontId="20" fillId="7" borderId="57" xfId="3" applyNumberFormat="1" applyFont="1" applyFill="1" applyBorder="1" applyAlignment="1">
      <alignment vertical="center"/>
    </xf>
    <xf numFmtId="10" fontId="20" fillId="0" borderId="0" xfId="3" applyNumberFormat="1" applyFont="1" applyFill="1" applyBorder="1" applyAlignment="1">
      <alignment vertical="center"/>
    </xf>
    <xf numFmtId="9" fontId="46" fillId="0" borderId="0" xfId="3" applyFont="1" applyFill="1" applyAlignment="1">
      <alignment horizontal="center"/>
    </xf>
    <xf numFmtId="0" fontId="17" fillId="5" borderId="0" xfId="0" applyFont="1" applyFill="1" applyAlignment="1">
      <alignment vertical="center"/>
    </xf>
    <xf numFmtId="0" fontId="23" fillId="11" borderId="5" xfId="0" applyFont="1" applyFill="1" applyBorder="1" applyAlignment="1">
      <alignment horizontal="center" vertical="center" wrapText="1"/>
    </xf>
    <xf numFmtId="0" fontId="23" fillId="11" borderId="5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165" fontId="23" fillId="0" borderId="5" xfId="10" applyFont="1" applyFill="1" applyBorder="1" applyAlignment="1">
      <alignment horizontal="center" vertical="center"/>
    </xf>
    <xf numFmtId="165" fontId="23" fillId="0" borderId="0" xfId="10" applyFont="1" applyFill="1" applyBorder="1" applyAlignment="1">
      <alignment horizontal="center" vertical="center"/>
    </xf>
    <xf numFmtId="165" fontId="45" fillId="0" borderId="0" xfId="1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170" fontId="43" fillId="0" borderId="0" xfId="0" applyNumberFormat="1" applyFont="1" applyAlignment="1">
      <alignment horizontal="center" vertical="center" wrapText="1"/>
    </xf>
    <xf numFmtId="0" fontId="23" fillId="7" borderId="39" xfId="0" applyFont="1" applyFill="1" applyBorder="1" applyAlignment="1">
      <alignment horizontal="center" vertical="center"/>
    </xf>
    <xf numFmtId="0" fontId="23" fillId="7" borderId="40" xfId="0" applyFont="1" applyFill="1" applyBorder="1" applyAlignment="1">
      <alignment horizontal="center" vertical="center"/>
    </xf>
    <xf numFmtId="0" fontId="23" fillId="7" borderId="40" xfId="0" applyFont="1" applyFill="1" applyBorder="1" applyAlignment="1">
      <alignment horizontal="center" vertical="center" wrapText="1"/>
    </xf>
    <xf numFmtId="0" fontId="23" fillId="7" borderId="41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2" fontId="24" fillId="0" borderId="0" xfId="0" applyNumberFormat="1" applyFont="1" applyAlignment="1">
      <alignment horizontal="center"/>
    </xf>
    <xf numFmtId="4" fontId="24" fillId="0" borderId="0" xfId="11" applyNumberFormat="1" applyFont="1" applyFill="1" applyAlignment="1">
      <alignment horizontal="center" vertical="center"/>
    </xf>
    <xf numFmtId="4" fontId="23" fillId="0" borderId="0" xfId="11" applyNumberFormat="1" applyFont="1" applyFill="1" applyAlignment="1">
      <alignment horizontal="center" vertical="center"/>
    </xf>
    <xf numFmtId="49" fontId="23" fillId="0" borderId="0" xfId="0" applyNumberFormat="1" applyFont="1" applyAlignment="1">
      <alignment horizontal="center" vertical="center"/>
    </xf>
    <xf numFmtId="0" fontId="17" fillId="0" borderId="0" xfId="0" applyFont="1"/>
    <xf numFmtId="49" fontId="23" fillId="0" borderId="0" xfId="0" applyNumberFormat="1" applyFont="1" applyAlignment="1">
      <alignment horizontal="center"/>
    </xf>
    <xf numFmtId="166" fontId="17" fillId="0" borderId="0" xfId="0" applyNumberFormat="1" applyFont="1" applyAlignment="1">
      <alignment vertical="center"/>
    </xf>
    <xf numFmtId="0" fontId="17" fillId="0" borderId="0" xfId="0" applyFont="1" applyAlignment="1">
      <alignment horizontal="left" vertical="center"/>
    </xf>
    <xf numFmtId="165" fontId="17" fillId="0" borderId="0" xfId="10" applyFont="1" applyFill="1" applyAlignment="1">
      <alignment vertical="center"/>
    </xf>
    <xf numFmtId="49" fontId="25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3" fillId="0" borderId="0" xfId="0" applyFont="1" applyAlignment="1">
      <alignment horizontal="right" vertical="center"/>
    </xf>
    <xf numFmtId="4" fontId="23" fillId="0" borderId="0" xfId="10" applyNumberFormat="1" applyFont="1" applyFill="1" applyAlignment="1">
      <alignment vertical="center"/>
    </xf>
    <xf numFmtId="165" fontId="27" fillId="0" borderId="0" xfId="10" applyFont="1" applyFill="1" applyAlignment="1">
      <alignment horizontal="center" vertical="center"/>
    </xf>
    <xf numFmtId="0" fontId="17" fillId="7" borderId="16" xfId="0" applyFont="1" applyFill="1" applyBorder="1" applyAlignment="1">
      <alignment vertical="center"/>
    </xf>
    <xf numFmtId="0" fontId="17" fillId="7" borderId="56" xfId="0" applyFont="1" applyFill="1" applyBorder="1" applyAlignment="1">
      <alignment vertical="center"/>
    </xf>
    <xf numFmtId="165" fontId="27" fillId="7" borderId="57" xfId="10" applyFont="1" applyFill="1" applyBorder="1" applyAlignment="1">
      <alignment horizontal="center" vertical="center"/>
    </xf>
    <xf numFmtId="165" fontId="35" fillId="0" borderId="0" xfId="10" applyFont="1" applyFill="1" applyBorder="1" applyAlignment="1">
      <alignment horizontal="right"/>
    </xf>
    <xf numFmtId="0" fontId="17" fillId="7" borderId="57" xfId="0" applyFont="1" applyFill="1" applyBorder="1" applyAlignment="1">
      <alignment vertical="center"/>
    </xf>
    <xf numFmtId="0" fontId="37" fillId="0" borderId="0" xfId="0" applyFont="1" applyAlignment="1">
      <alignment horizontal="right"/>
    </xf>
    <xf numFmtId="0" fontId="37" fillId="0" borderId="0" xfId="0" applyFont="1"/>
    <xf numFmtId="9" fontId="37" fillId="0" borderId="0" xfId="0" applyNumberFormat="1" applyFont="1"/>
    <xf numFmtId="0" fontId="27" fillId="0" borderId="0" xfId="0" applyFont="1" applyAlignment="1">
      <alignment horizontal="right" vertical="center"/>
    </xf>
    <xf numFmtId="4" fontId="27" fillId="0" borderId="0" xfId="10" applyNumberFormat="1" applyFont="1" applyFill="1" applyAlignment="1">
      <alignment vertical="center"/>
    </xf>
    <xf numFmtId="4" fontId="27" fillId="0" borderId="0" xfId="11" applyNumberFormat="1" applyFont="1" applyAlignment="1">
      <alignment horizontal="center" vertical="center"/>
    </xf>
    <xf numFmtId="0" fontId="39" fillId="0" borderId="0" xfId="0" applyFont="1" applyAlignment="1">
      <alignment horizontal="right"/>
    </xf>
    <xf numFmtId="0" fontId="40" fillId="0" borderId="0" xfId="0" applyFont="1" applyAlignment="1">
      <alignment horizontal="right"/>
    </xf>
    <xf numFmtId="0" fontId="40" fillId="0" borderId="14" xfId="0" applyFont="1" applyBorder="1" applyAlignment="1">
      <alignment horizontal="right"/>
    </xf>
    <xf numFmtId="165" fontId="36" fillId="3" borderId="60" xfId="10" applyFont="1" applyFill="1" applyBorder="1" applyAlignment="1">
      <alignment horizontal="right"/>
    </xf>
    <xf numFmtId="165" fontId="36" fillId="0" borderId="0" xfId="10" applyFont="1" applyFill="1" applyBorder="1" applyAlignment="1">
      <alignment horizontal="right"/>
    </xf>
    <xf numFmtId="165" fontId="23" fillId="0" borderId="5" xfId="10" applyFont="1" applyFill="1" applyBorder="1" applyAlignment="1">
      <alignment vertical="center"/>
    </xf>
    <xf numFmtId="0" fontId="28" fillId="0" borderId="0" xfId="0" applyFont="1" applyAlignment="1">
      <alignment horizontal="left" vertical="center"/>
    </xf>
    <xf numFmtId="4" fontId="27" fillId="0" borderId="0" xfId="11" applyNumberFormat="1" applyFont="1" applyFill="1" applyAlignment="1">
      <alignment horizontal="center" vertical="center"/>
    </xf>
    <xf numFmtId="169" fontId="23" fillId="7" borderId="5" xfId="10" applyNumberFormat="1" applyFont="1" applyFill="1" applyBorder="1" applyAlignment="1">
      <alignment vertical="center"/>
    </xf>
    <xf numFmtId="4" fontId="17" fillId="0" borderId="0" xfId="0" applyNumberFormat="1" applyFont="1" applyAlignment="1">
      <alignment horizontal="center" vertical="center"/>
    </xf>
    <xf numFmtId="165" fontId="23" fillId="10" borderId="5" xfId="10" applyFont="1" applyFill="1" applyBorder="1" applyAlignment="1">
      <alignment vertical="center"/>
    </xf>
    <xf numFmtId="165" fontId="30" fillId="0" borderId="0" xfId="0" applyNumberFormat="1" applyFont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4" fontId="23" fillId="0" borderId="0" xfId="0" applyNumberFormat="1" applyFont="1" applyAlignment="1">
      <alignment horizontal="center" vertical="center"/>
    </xf>
    <xf numFmtId="0" fontId="20" fillId="7" borderId="59" xfId="0" applyFont="1" applyFill="1" applyBorder="1" applyAlignment="1">
      <alignment vertical="center"/>
    </xf>
    <xf numFmtId="0" fontId="26" fillId="0" borderId="0" xfId="0" applyFont="1" applyAlignment="1">
      <alignment vertical="center"/>
    </xf>
    <xf numFmtId="2" fontId="38" fillId="0" borderId="0" xfId="10" applyNumberFormat="1" applyFont="1" applyFill="1" applyBorder="1" applyAlignment="1">
      <alignment horizontal="center"/>
    </xf>
    <xf numFmtId="2" fontId="40" fillId="0" borderId="0" xfId="10" applyNumberFormat="1" applyFont="1" applyFill="1" applyBorder="1" applyAlignment="1">
      <alignment horizontal="center"/>
    </xf>
    <xf numFmtId="0" fontId="17" fillId="7" borderId="59" xfId="0" applyFont="1" applyFill="1" applyBorder="1" applyAlignment="1">
      <alignment vertical="center"/>
    </xf>
    <xf numFmtId="4" fontId="17" fillId="0" borderId="0" xfId="10" applyNumberFormat="1" applyFont="1" applyFill="1" applyAlignment="1">
      <alignment vertical="center"/>
    </xf>
    <xf numFmtId="165" fontId="36" fillId="7" borderId="16" xfId="10" applyFont="1" applyFill="1" applyBorder="1" applyAlignment="1">
      <alignment horizontal="right"/>
    </xf>
    <xf numFmtId="0" fontId="23" fillId="7" borderId="17" xfId="0" applyFont="1" applyFill="1" applyBorder="1" applyAlignment="1">
      <alignment horizontal="right" vertical="center"/>
    </xf>
    <xf numFmtId="10" fontId="29" fillId="0" borderId="0" xfId="10" applyNumberFormat="1" applyFont="1" applyFill="1" applyAlignment="1">
      <alignment vertical="center"/>
    </xf>
    <xf numFmtId="165" fontId="42" fillId="0" borderId="0" xfId="0" applyNumberFormat="1" applyFont="1" applyAlignment="1">
      <alignment horizontal="center" vertical="center"/>
    </xf>
    <xf numFmtId="0" fontId="17" fillId="5" borderId="60" xfId="0" applyFont="1" applyFill="1" applyBorder="1" applyAlignment="1">
      <alignment horizontal="center" vertical="center"/>
    </xf>
    <xf numFmtId="165" fontId="31" fillId="0" borderId="0" xfId="10" applyFont="1" applyFill="1" applyAlignment="1">
      <alignment vertical="center"/>
    </xf>
    <xf numFmtId="4" fontId="22" fillId="0" borderId="0" xfId="11" applyNumberFormat="1" applyFont="1" applyFill="1" applyAlignment="1">
      <alignment horizontal="center" vertical="center" wrapText="1"/>
    </xf>
    <xf numFmtId="9" fontId="17" fillId="0" borderId="0" xfId="10" applyNumberFormat="1" applyFont="1" applyFill="1" applyAlignment="1">
      <alignment vertical="center"/>
    </xf>
    <xf numFmtId="0" fontId="27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25" fillId="0" borderId="0" xfId="0" applyFont="1" applyAlignment="1">
      <alignment horizontal="right" vertical="center"/>
    </xf>
    <xf numFmtId="4" fontId="25" fillId="0" borderId="0" xfId="10" applyNumberFormat="1" applyFont="1" applyFill="1" applyAlignment="1">
      <alignment vertical="center"/>
    </xf>
    <xf numFmtId="4" fontId="23" fillId="8" borderId="60" xfId="10" applyNumberFormat="1" applyFon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165" fontId="44" fillId="0" borderId="0" xfId="10" applyFont="1" applyFill="1" applyAlignment="1">
      <alignment vertical="center"/>
    </xf>
    <xf numFmtId="9" fontId="44" fillId="0" borderId="0" xfId="10" applyNumberFormat="1" applyFont="1" applyFill="1" applyAlignment="1">
      <alignment vertical="center"/>
    </xf>
    <xf numFmtId="4" fontId="23" fillId="0" borderId="0" xfId="10" applyNumberFormat="1" applyFont="1" applyFill="1" applyAlignment="1">
      <alignment horizontal="center" vertical="center"/>
    </xf>
    <xf numFmtId="165" fontId="30" fillId="0" borderId="0" xfId="10" applyFont="1" applyFill="1" applyBorder="1" applyAlignment="1">
      <alignment vertical="center"/>
    </xf>
    <xf numFmtId="4" fontId="17" fillId="0" borderId="0" xfId="0" applyNumberFormat="1" applyFont="1" applyAlignment="1">
      <alignment horizontal="center"/>
    </xf>
    <xf numFmtId="165" fontId="17" fillId="0" borderId="0" xfId="10" applyFont="1" applyFill="1" applyBorder="1"/>
    <xf numFmtId="0" fontId="30" fillId="0" borderId="0" xfId="0" applyFont="1" applyAlignment="1">
      <alignment horizontal="right"/>
    </xf>
    <xf numFmtId="165" fontId="17" fillId="0" borderId="0" xfId="10" applyFont="1" applyFill="1" applyBorder="1" applyAlignment="1">
      <alignment horizontal="center"/>
    </xf>
    <xf numFmtId="9" fontId="33" fillId="0" borderId="0" xfId="0" applyNumberFormat="1" applyFont="1" applyAlignment="1">
      <alignment horizontal="left"/>
    </xf>
    <xf numFmtId="4" fontId="23" fillId="0" borderId="0" xfId="0" applyNumberFormat="1" applyFont="1" applyAlignment="1">
      <alignment horizontal="center"/>
    </xf>
    <xf numFmtId="165" fontId="23" fillId="0" borderId="0" xfId="0" applyNumberFormat="1" applyFont="1"/>
    <xf numFmtId="49" fontId="5" fillId="0" borderId="4" xfId="0" applyNumberFormat="1" applyFont="1" applyBorder="1" applyAlignment="1">
      <alignment horizontal="center" vertical="top" wrapText="1"/>
    </xf>
    <xf numFmtId="49" fontId="9" fillId="2" borderId="0" xfId="2" applyNumberFormat="1" applyFont="1" applyFill="1" applyAlignment="1">
      <alignment horizontal="center" vertical="center"/>
    </xf>
    <xf numFmtId="0" fontId="5" fillId="4" borderId="16" xfId="2" applyFont="1" applyFill="1" applyBorder="1" applyAlignment="1">
      <alignment horizontal="center"/>
    </xf>
    <xf numFmtId="14" fontId="53" fillId="2" borderId="0" xfId="1" applyNumberFormat="1" applyFont="1" applyFill="1" applyAlignment="1">
      <alignment horizontal="center" vertical="center" wrapText="1"/>
    </xf>
    <xf numFmtId="0" fontId="54" fillId="0" borderId="4" xfId="2" applyFont="1" applyBorder="1" applyAlignment="1">
      <alignment horizontal="center" vertical="center"/>
    </xf>
    <xf numFmtId="0" fontId="54" fillId="0" borderId="23" xfId="2" applyFont="1" applyBorder="1" applyAlignment="1">
      <alignment horizontal="center" vertical="center"/>
    </xf>
    <xf numFmtId="0" fontId="55" fillId="0" borderId="5" xfId="2" applyFont="1" applyBorder="1" applyAlignment="1">
      <alignment vertical="center"/>
    </xf>
    <xf numFmtId="0" fontId="54" fillId="0" borderId="5" xfId="2" applyFont="1" applyBorder="1" applyAlignment="1">
      <alignment horizontal="center" vertical="center"/>
    </xf>
    <xf numFmtId="1" fontId="54" fillId="0" borderId="5" xfId="2" applyNumberFormat="1" applyFont="1" applyBorder="1" applyAlignment="1">
      <alignment horizontal="center"/>
    </xf>
    <xf numFmtId="1" fontId="54" fillId="0" borderId="5" xfId="2" applyNumberFormat="1" applyFont="1" applyBorder="1" applyAlignment="1">
      <alignment horizontal="center" wrapText="1"/>
    </xf>
    <xf numFmtId="0" fontId="18" fillId="0" borderId="6" xfId="2" applyFont="1" applyBorder="1" applyAlignment="1">
      <alignment horizontal="center"/>
    </xf>
    <xf numFmtId="0" fontId="2" fillId="0" borderId="62" xfId="2" applyBorder="1" applyAlignment="1">
      <alignment horizontal="center" vertical="center"/>
    </xf>
    <xf numFmtId="0" fontId="2" fillId="0" borderId="5" xfId="2" applyBorder="1" applyAlignment="1">
      <alignment horizontal="center" vertical="center"/>
    </xf>
    <xf numFmtId="0" fontId="2" fillId="0" borderId="63" xfId="2" applyBorder="1" applyAlignment="1">
      <alignment horizontal="left" vertical="center"/>
    </xf>
    <xf numFmtId="16" fontId="5" fillId="0" borderId="11" xfId="2" applyNumberFormat="1" applyFont="1" applyBorder="1" applyAlignment="1">
      <alignment horizontal="center"/>
    </xf>
    <xf numFmtId="0" fontId="5" fillId="0" borderId="11" xfId="0" applyFont="1" applyBorder="1" applyAlignment="1">
      <alignment horizontal="center" wrapText="1"/>
    </xf>
    <xf numFmtId="12" fontId="5" fillId="0" borderId="11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5" fillId="0" borderId="24" xfId="2" quotePrefix="1" applyFont="1" applyBorder="1" applyAlignment="1">
      <alignment horizontal="center"/>
    </xf>
    <xf numFmtId="0" fontId="5" fillId="0" borderId="5" xfId="2" quotePrefix="1" applyFont="1" applyBorder="1" applyAlignment="1">
      <alignment horizontal="center"/>
    </xf>
    <xf numFmtId="0" fontId="0" fillId="0" borderId="5" xfId="0" applyBorder="1" applyAlignment="1">
      <alignment horizontal="left"/>
    </xf>
    <xf numFmtId="0" fontId="16" fillId="0" borderId="5" xfId="0" applyFont="1" applyBorder="1" applyAlignment="1">
      <alignment horizontal="center" vertical="center"/>
    </xf>
    <xf numFmtId="0" fontId="56" fillId="0" borderId="5" xfId="0" applyFont="1" applyBorder="1"/>
    <xf numFmtId="49" fontId="18" fillId="0" borderId="4" xfId="2" applyNumberFormat="1" applyFont="1" applyBorder="1" applyAlignment="1">
      <alignment horizontal="center"/>
    </xf>
    <xf numFmtId="49" fontId="18" fillId="0" borderId="23" xfId="2" applyNumberFormat="1" applyFont="1" applyBorder="1" applyAlignment="1">
      <alignment horizontal="center"/>
    </xf>
    <xf numFmtId="0" fontId="56" fillId="5" borderId="5" xfId="2" applyFont="1" applyFill="1" applyBorder="1" applyAlignment="1">
      <alignment horizontal="left"/>
    </xf>
    <xf numFmtId="1" fontId="0" fillId="0" borderId="5" xfId="0" applyNumberFormat="1" applyBorder="1"/>
    <xf numFmtId="0" fontId="5" fillId="5" borderId="5" xfId="2" applyFont="1" applyFill="1" applyBorder="1" applyAlignment="1">
      <alignment horizontal="center"/>
    </xf>
    <xf numFmtId="0" fontId="18" fillId="0" borderId="5" xfId="2" applyFont="1" applyBorder="1" applyAlignment="1">
      <alignment horizontal="center"/>
    </xf>
    <xf numFmtId="168" fontId="18" fillId="0" borderId="5" xfId="2" applyNumberFormat="1" applyFont="1" applyBorder="1" applyAlignment="1">
      <alignment horizontal="center"/>
    </xf>
    <xf numFmtId="1" fontId="18" fillId="0" borderId="5" xfId="2" applyNumberFormat="1" applyFont="1" applyBorder="1" applyAlignment="1">
      <alignment horizontal="center" wrapText="1"/>
    </xf>
    <xf numFmtId="0" fontId="10" fillId="5" borderId="19" xfId="0" applyFont="1" applyFill="1" applyBorder="1" applyAlignment="1">
      <alignment horizontal="center"/>
    </xf>
    <xf numFmtId="0" fontId="10" fillId="5" borderId="11" xfId="0" applyFont="1" applyFill="1" applyBorder="1"/>
    <xf numFmtId="0" fontId="5" fillId="5" borderId="23" xfId="0" applyFont="1" applyFill="1" applyBorder="1" applyAlignment="1">
      <alignment horizontal="center"/>
    </xf>
    <xf numFmtId="1" fontId="5" fillId="5" borderId="11" xfId="0" applyNumberFormat="1" applyFont="1" applyFill="1" applyBorder="1" applyAlignment="1">
      <alignment horizontal="center"/>
    </xf>
    <xf numFmtId="1" fontId="5" fillId="5" borderId="11" xfId="0" applyNumberFormat="1" applyFont="1" applyFill="1" applyBorder="1" applyAlignment="1">
      <alignment horizontal="center" wrapText="1"/>
    </xf>
    <xf numFmtId="49" fontId="5" fillId="5" borderId="11" xfId="0" applyNumberFormat="1" applyFont="1" applyFill="1" applyBorder="1" applyAlignment="1">
      <alignment horizontal="center"/>
    </xf>
    <xf numFmtId="1" fontId="5" fillId="5" borderId="5" xfId="2" applyNumberFormat="1" applyFont="1" applyFill="1" applyBorder="1" applyAlignment="1">
      <alignment horizontal="center"/>
    </xf>
    <xf numFmtId="1" fontId="5" fillId="5" borderId="5" xfId="2" applyNumberFormat="1" applyFont="1" applyFill="1" applyBorder="1" applyAlignment="1">
      <alignment horizontal="center" wrapText="1"/>
    </xf>
    <xf numFmtId="49" fontId="54" fillId="0" borderId="22" xfId="2" applyNumberFormat="1" applyFont="1" applyBorder="1" applyAlignment="1">
      <alignment horizontal="center"/>
    </xf>
    <xf numFmtId="49" fontId="54" fillId="0" borderId="36" xfId="2" applyNumberFormat="1" applyFont="1" applyBorder="1" applyAlignment="1">
      <alignment horizontal="center"/>
    </xf>
    <xf numFmtId="0" fontId="57" fillId="5" borderId="5" xfId="2" applyFont="1" applyFill="1" applyBorder="1" applyAlignment="1">
      <alignment vertical="center"/>
    </xf>
    <xf numFmtId="0" fontId="54" fillId="0" borderId="23" xfId="2" applyFont="1" applyBorder="1" applyAlignment="1">
      <alignment horizontal="center"/>
    </xf>
    <xf numFmtId="168" fontId="54" fillId="0" borderId="5" xfId="2" applyNumberFormat="1" applyFont="1" applyBorder="1" applyAlignment="1">
      <alignment horizontal="center"/>
    </xf>
    <xf numFmtId="49" fontId="18" fillId="0" borderId="4" xfId="0" applyNumberFormat="1" applyFont="1" applyBorder="1" applyAlignment="1">
      <alignment horizontal="center"/>
    </xf>
    <xf numFmtId="49" fontId="18" fillId="0" borderId="23" xfId="0" applyNumberFormat="1" applyFont="1" applyBorder="1" applyAlignment="1">
      <alignment horizontal="center"/>
    </xf>
    <xf numFmtId="49" fontId="23" fillId="0" borderId="5" xfId="0" applyNumberFormat="1" applyFont="1" applyBorder="1"/>
    <xf numFmtId="171" fontId="7" fillId="5" borderId="5" xfId="10" applyNumberFormat="1" applyFont="1" applyFill="1" applyBorder="1" applyAlignment="1">
      <alignment horizontal="center"/>
    </xf>
    <xf numFmtId="0" fontId="58" fillId="0" borderId="4" xfId="0" applyFont="1" applyBorder="1" applyAlignment="1">
      <alignment horizontal="center"/>
    </xf>
    <xf numFmtId="0" fontId="58" fillId="0" borderId="23" xfId="0" applyFont="1" applyBorder="1" applyAlignment="1">
      <alignment horizontal="center"/>
    </xf>
    <xf numFmtId="0" fontId="44" fillId="0" borderId="5" xfId="0" applyFont="1" applyBorder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2" fontId="18" fillId="0" borderId="5" xfId="2" applyNumberFormat="1" applyFont="1" applyBorder="1" applyAlignment="1">
      <alignment horizontal="center"/>
    </xf>
    <xf numFmtId="1" fontId="18" fillId="0" borderId="5" xfId="2" applyNumberFormat="1" applyFont="1" applyBorder="1" applyAlignment="1">
      <alignment horizontal="center"/>
    </xf>
    <xf numFmtId="0" fontId="5" fillId="0" borderId="5" xfId="0" quotePrefix="1" applyFont="1" applyBorder="1" applyAlignment="1">
      <alignment horizontal="center"/>
    </xf>
    <xf numFmtId="49" fontId="18" fillId="0" borderId="5" xfId="0" applyNumberFormat="1" applyFont="1" applyBorder="1" applyAlignment="1">
      <alignment horizontal="center"/>
    </xf>
    <xf numFmtId="16" fontId="18" fillId="0" borderId="5" xfId="0" applyNumberFormat="1" applyFont="1" applyBorder="1" applyAlignment="1">
      <alignment horizontal="center"/>
    </xf>
    <xf numFmtId="1" fontId="12" fillId="0" borderId="5" xfId="2" applyNumberFormat="1" applyFont="1" applyBorder="1" applyAlignment="1">
      <alignment horizontal="center"/>
    </xf>
    <xf numFmtId="49" fontId="17" fillId="0" borderId="5" xfId="2" applyNumberFormat="1" applyFont="1" applyBorder="1"/>
    <xf numFmtId="0" fontId="12" fillId="0" borderId="5" xfId="2" applyFont="1" applyBorder="1" applyAlignment="1">
      <alignment horizontal="center"/>
    </xf>
    <xf numFmtId="0" fontId="5" fillId="2" borderId="0" xfId="2" applyFont="1" applyFill="1"/>
    <xf numFmtId="0" fontId="32" fillId="0" borderId="0" xfId="0" applyFont="1" applyAlignment="1">
      <alignment horizontal="right"/>
    </xf>
    <xf numFmtId="0" fontId="27" fillId="0" borderId="0" xfId="0" applyFont="1" applyAlignment="1">
      <alignment horizontal="center" vertical="center"/>
    </xf>
    <xf numFmtId="0" fontId="23" fillId="9" borderId="15" xfId="0" applyFont="1" applyFill="1" applyBorder="1" applyAlignment="1">
      <alignment horizontal="right" vertical="center"/>
    </xf>
    <xf numFmtId="0" fontId="23" fillId="9" borderId="16" xfId="0" applyFont="1" applyFill="1" applyBorder="1" applyAlignment="1">
      <alignment horizontal="right" vertical="center"/>
    </xf>
    <xf numFmtId="0" fontId="23" fillId="9" borderId="17" xfId="0" applyFont="1" applyFill="1" applyBorder="1" applyAlignment="1">
      <alignment horizontal="right" vertical="center"/>
    </xf>
    <xf numFmtId="0" fontId="23" fillId="0" borderId="10" xfId="0" applyFont="1" applyBorder="1" applyAlignment="1">
      <alignment horizontal="right" vertical="center"/>
    </xf>
    <xf numFmtId="0" fontId="23" fillId="0" borderId="30" xfId="0" applyFont="1" applyBorder="1" applyAlignment="1">
      <alignment horizontal="right" vertical="center"/>
    </xf>
    <xf numFmtId="0" fontId="34" fillId="0" borderId="15" xfId="0" applyFont="1" applyBorder="1" applyAlignment="1">
      <alignment horizontal="right" vertical="center"/>
    </xf>
    <xf numFmtId="0" fontId="34" fillId="0" borderId="16" xfId="0" applyFont="1" applyBorder="1" applyAlignment="1">
      <alignment horizontal="right" vertical="center"/>
    </xf>
    <xf numFmtId="0" fontId="34" fillId="0" borderId="17" xfId="0" applyFont="1" applyBorder="1" applyAlignment="1">
      <alignment horizontal="right" vertical="center"/>
    </xf>
    <xf numFmtId="0" fontId="19" fillId="0" borderId="10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36" fillId="7" borderId="15" xfId="0" applyFont="1" applyFill="1" applyBorder="1" applyAlignment="1">
      <alignment horizontal="right"/>
    </xf>
    <xf numFmtId="0" fontId="36" fillId="7" borderId="16" xfId="0" applyFont="1" applyFill="1" applyBorder="1" applyAlignment="1">
      <alignment horizontal="right"/>
    </xf>
    <xf numFmtId="0" fontId="23" fillId="0" borderId="0" xfId="0" applyFont="1" applyAlignment="1">
      <alignment horizontal="right" vertical="center"/>
    </xf>
    <xf numFmtId="0" fontId="38" fillId="0" borderId="10" xfId="0" applyFont="1" applyBorder="1" applyAlignment="1">
      <alignment horizontal="right"/>
    </xf>
    <xf numFmtId="0" fontId="21" fillId="0" borderId="15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43" fillId="0" borderId="16" xfId="0" applyFont="1" applyBorder="1" applyAlignment="1">
      <alignment horizontal="right" vertical="center" wrapText="1"/>
    </xf>
    <xf numFmtId="0" fontId="30" fillId="0" borderId="5" xfId="0" applyFont="1" applyBorder="1" applyAlignment="1">
      <alignment horizontal="right" vertical="center"/>
    </xf>
    <xf numFmtId="0" fontId="27" fillId="0" borderId="0" xfId="0" applyFont="1" applyAlignment="1">
      <alignment horizontal="right" vertical="center"/>
    </xf>
    <xf numFmtId="0" fontId="37" fillId="0" borderId="0" xfId="0" applyFont="1" applyAlignment="1">
      <alignment horizontal="right"/>
    </xf>
    <xf numFmtId="0" fontId="37" fillId="0" borderId="48" xfId="0" applyFont="1" applyBorder="1" applyAlignment="1">
      <alignment horizontal="right"/>
    </xf>
    <xf numFmtId="0" fontId="37" fillId="0" borderId="49" xfId="0" applyFont="1" applyBorder="1" applyAlignment="1">
      <alignment horizontal="right"/>
    </xf>
    <xf numFmtId="4" fontId="22" fillId="0" borderId="0" xfId="11" applyNumberFormat="1" applyFont="1" applyFill="1" applyAlignment="1">
      <alignment horizontal="center" vertical="center" wrapText="1"/>
    </xf>
    <xf numFmtId="0" fontId="41" fillId="0" borderId="13" xfId="0" applyFont="1" applyBorder="1" applyAlignment="1">
      <alignment horizontal="right"/>
    </xf>
    <xf numFmtId="0" fontId="41" fillId="0" borderId="0" xfId="0" applyFont="1" applyAlignment="1">
      <alignment horizontal="right"/>
    </xf>
    <xf numFmtId="0" fontId="41" fillId="0" borderId="14" xfId="0" applyFont="1" applyBorder="1" applyAlignment="1">
      <alignment horizontal="right"/>
    </xf>
    <xf numFmtId="0" fontId="17" fillId="0" borderId="5" xfId="0" applyFont="1" applyBorder="1" applyAlignment="1">
      <alignment horizontal="right" vertical="center"/>
    </xf>
    <xf numFmtId="0" fontId="17" fillId="0" borderId="0" xfId="0" applyFont="1" applyAlignment="1">
      <alignment horizontal="right" vertical="center"/>
    </xf>
    <xf numFmtId="14" fontId="5" fillId="2" borderId="43" xfId="1" applyNumberFormat="1" applyFont="1" applyFill="1" applyBorder="1" applyAlignment="1">
      <alignment horizontal="center" vertical="center" wrapText="1"/>
    </xf>
    <xf numFmtId="14" fontId="5" fillId="2" borderId="46" xfId="1" applyNumberFormat="1" applyFont="1" applyFill="1" applyBorder="1" applyAlignment="1">
      <alignment horizontal="center" vertical="center" wrapText="1"/>
    </xf>
    <xf numFmtId="14" fontId="5" fillId="2" borderId="12" xfId="1" applyNumberFormat="1" applyFont="1" applyFill="1" applyBorder="1" applyAlignment="1">
      <alignment horizontal="center" vertical="center" wrapText="1"/>
    </xf>
    <xf numFmtId="0" fontId="5" fillId="2" borderId="44" xfId="1" applyFont="1" applyFill="1" applyBorder="1" applyAlignment="1">
      <alignment horizontal="left"/>
    </xf>
    <xf numFmtId="0" fontId="5" fillId="2" borderId="34" xfId="1" applyFont="1" applyFill="1" applyBorder="1" applyAlignment="1">
      <alignment horizontal="left"/>
    </xf>
    <xf numFmtId="0" fontId="5" fillId="2" borderId="35" xfId="1" applyFont="1" applyFill="1" applyBorder="1" applyAlignment="1">
      <alignment horizontal="left"/>
    </xf>
    <xf numFmtId="0" fontId="5" fillId="2" borderId="24" xfId="1" applyFont="1" applyFill="1" applyBorder="1" applyAlignment="1">
      <alignment horizontal="left"/>
    </xf>
    <xf numFmtId="0" fontId="5" fillId="2" borderId="36" xfId="1" applyFont="1" applyFill="1" applyBorder="1" applyAlignment="1">
      <alignment horizontal="left"/>
    </xf>
    <xf numFmtId="0" fontId="5" fillId="2" borderId="23" xfId="1" applyFont="1" applyFill="1" applyBorder="1" applyAlignment="1">
      <alignment horizontal="left"/>
    </xf>
    <xf numFmtId="0" fontId="5" fillId="2" borderId="48" xfId="1" applyFont="1" applyFill="1" applyBorder="1" applyAlignment="1">
      <alignment horizontal="center"/>
    </xf>
    <xf numFmtId="0" fontId="5" fillId="2" borderId="49" xfId="1" applyFont="1" applyFill="1" applyBorder="1" applyAlignment="1">
      <alignment horizontal="center"/>
    </xf>
    <xf numFmtId="0" fontId="5" fillId="2" borderId="13" xfId="1" applyFont="1" applyFill="1" applyBorder="1" applyAlignment="1">
      <alignment horizontal="center"/>
    </xf>
    <xf numFmtId="0" fontId="5" fillId="2" borderId="0" xfId="1" applyFont="1" applyFill="1" applyAlignment="1">
      <alignment horizontal="center"/>
    </xf>
    <xf numFmtId="0" fontId="5" fillId="2" borderId="18" xfId="1" applyFont="1" applyFill="1" applyBorder="1" applyAlignment="1">
      <alignment horizontal="center"/>
    </xf>
    <xf numFmtId="0" fontId="5" fillId="2" borderId="28" xfId="1" applyFont="1" applyFill="1" applyBorder="1" applyAlignment="1">
      <alignment horizontal="center"/>
    </xf>
    <xf numFmtId="0" fontId="11" fillId="2" borderId="2" xfId="1" applyFont="1" applyFill="1" applyBorder="1" applyAlignment="1">
      <alignment horizontal="center"/>
    </xf>
    <xf numFmtId="0" fontId="11" fillId="2" borderId="26" xfId="1" applyFont="1" applyFill="1" applyBorder="1" applyAlignment="1">
      <alignment horizontal="center"/>
    </xf>
    <xf numFmtId="0" fontId="11" fillId="2" borderId="51" xfId="1" applyFont="1" applyFill="1" applyBorder="1" applyAlignment="1">
      <alignment horizontal="center"/>
    </xf>
    <xf numFmtId="0" fontId="11" fillId="2" borderId="61" xfId="1" applyFont="1" applyFill="1" applyBorder="1" applyAlignment="1">
      <alignment horizontal="center"/>
    </xf>
    <xf numFmtId="0" fontId="8" fillId="3" borderId="5" xfId="1" applyFont="1" applyFill="1" applyBorder="1" applyAlignment="1">
      <alignment horizontal="center" vertical="center" wrapText="1"/>
    </xf>
    <xf numFmtId="0" fontId="7" fillId="2" borderId="42" xfId="1" applyFont="1" applyFill="1" applyBorder="1" applyAlignment="1">
      <alignment horizontal="right" vertical="top" wrapText="1"/>
    </xf>
    <xf numFmtId="0" fontId="7" fillId="2" borderId="45" xfId="1" applyFont="1" applyFill="1" applyBorder="1" applyAlignment="1">
      <alignment horizontal="right" vertical="top" wrapText="1"/>
    </xf>
    <xf numFmtId="0" fontId="7" fillId="2" borderId="47" xfId="1" applyFont="1" applyFill="1" applyBorder="1" applyAlignment="1">
      <alignment horizontal="right" vertical="top" wrapText="1"/>
    </xf>
    <xf numFmtId="0" fontId="52" fillId="2" borderId="0" xfId="1" applyFont="1" applyFill="1" applyAlignment="1">
      <alignment horizontal="right"/>
    </xf>
    <xf numFmtId="0" fontId="53" fillId="2" borderId="10" xfId="1" applyFont="1" applyFill="1" applyBorder="1" applyAlignment="1">
      <alignment horizontal="center"/>
    </xf>
    <xf numFmtId="0" fontId="52" fillId="2" borderId="0" xfId="1" applyFont="1" applyFill="1"/>
    <xf numFmtId="0" fontId="7" fillId="4" borderId="1" xfId="2" applyFont="1" applyFill="1" applyBorder="1" applyAlignment="1">
      <alignment horizontal="center" vertical="center"/>
    </xf>
    <xf numFmtId="0" fontId="7" fillId="4" borderId="7" xfId="2" applyFont="1" applyFill="1" applyBorder="1" applyAlignment="1">
      <alignment horizontal="center" vertical="center"/>
    </xf>
    <xf numFmtId="0" fontId="7" fillId="4" borderId="1" xfId="2" applyFont="1" applyFill="1" applyBorder="1" applyAlignment="1">
      <alignment horizontal="center" vertical="center" wrapText="1"/>
    </xf>
    <xf numFmtId="0" fontId="7" fillId="4" borderId="7" xfId="2" applyFont="1" applyFill="1" applyBorder="1" applyAlignment="1">
      <alignment horizontal="center" vertical="center" wrapText="1"/>
    </xf>
    <xf numFmtId="0" fontId="7" fillId="4" borderId="2" xfId="2" applyFont="1" applyFill="1" applyBorder="1" applyAlignment="1">
      <alignment horizontal="center" vertical="center"/>
    </xf>
    <xf numFmtId="0" fontId="7" fillId="4" borderId="8" xfId="2" applyFont="1" applyFill="1" applyBorder="1" applyAlignment="1">
      <alignment horizontal="center" vertical="center"/>
    </xf>
    <xf numFmtId="0" fontId="7" fillId="0" borderId="18" xfId="2" applyFont="1" applyBorder="1" applyAlignment="1">
      <alignment horizontal="right"/>
    </xf>
    <xf numFmtId="0" fontId="7" fillId="0" borderId="28" xfId="2" applyFont="1" applyBorder="1" applyAlignment="1">
      <alignment horizontal="right"/>
    </xf>
    <xf numFmtId="0" fontId="7" fillId="0" borderId="19" xfId="2" applyFont="1" applyBorder="1" applyAlignment="1">
      <alignment horizontal="right"/>
    </xf>
    <xf numFmtId="167" fontId="5" fillId="0" borderId="11" xfId="2" applyNumberFormat="1" applyFont="1" applyBorder="1" applyAlignment="1">
      <alignment horizontal="right"/>
    </xf>
    <xf numFmtId="0" fontId="5" fillId="2" borderId="20" xfId="2" applyFont="1" applyFill="1" applyBorder="1" applyAlignment="1">
      <alignment horizontal="center"/>
    </xf>
    <xf numFmtId="0" fontId="5" fillId="2" borderId="21" xfId="2" applyFont="1" applyFill="1" applyBorder="1" applyAlignment="1">
      <alignment horizontal="center"/>
    </xf>
    <xf numFmtId="0" fontId="7" fillId="0" borderId="22" xfId="2" applyFont="1" applyBorder="1" applyAlignment="1">
      <alignment horizontal="right"/>
    </xf>
    <xf numFmtId="0" fontId="7" fillId="0" borderId="36" xfId="2" applyFont="1" applyBorder="1" applyAlignment="1">
      <alignment horizontal="right"/>
    </xf>
    <xf numFmtId="0" fontId="7" fillId="0" borderId="23" xfId="2" applyFont="1" applyBorder="1" applyAlignment="1">
      <alignment horizontal="right"/>
    </xf>
    <xf numFmtId="0" fontId="5" fillId="0" borderId="5" xfId="2" applyFont="1" applyBorder="1" applyAlignment="1">
      <alignment horizontal="right"/>
    </xf>
    <xf numFmtId="167" fontId="5" fillId="0" borderId="24" xfId="2" applyNumberFormat="1" applyFont="1" applyBorder="1" applyAlignment="1">
      <alignment horizontal="center"/>
    </xf>
    <xf numFmtId="167" fontId="5" fillId="0" borderId="25" xfId="2" applyNumberFormat="1" applyFont="1" applyBorder="1" applyAlignment="1">
      <alignment horizontal="center"/>
    </xf>
    <xf numFmtId="0" fontId="7" fillId="0" borderId="18" xfId="2" applyFont="1" applyBorder="1" applyAlignment="1">
      <alignment horizontal="left" wrapText="1"/>
    </xf>
    <xf numFmtId="0" fontId="7" fillId="0" borderId="28" xfId="2" applyFont="1" applyBorder="1" applyAlignment="1">
      <alignment horizontal="left" wrapText="1"/>
    </xf>
    <xf numFmtId="0" fontId="7" fillId="0" borderId="21" xfId="2" applyFont="1" applyBorder="1" applyAlignment="1">
      <alignment horizontal="left" wrapText="1"/>
    </xf>
    <xf numFmtId="167" fontId="5" fillId="0" borderId="24" xfId="2" applyNumberFormat="1" applyFont="1" applyBorder="1" applyAlignment="1">
      <alignment horizontal="right" wrapText="1"/>
    </xf>
    <xf numFmtId="167" fontId="5" fillId="0" borderId="23" xfId="2" applyNumberFormat="1" applyFont="1" applyBorder="1" applyAlignment="1">
      <alignment horizontal="right" wrapText="1"/>
    </xf>
    <xf numFmtId="167" fontId="5" fillId="0" borderId="24" xfId="0" applyNumberFormat="1" applyFont="1" applyBorder="1" applyAlignment="1">
      <alignment horizontal="center" wrapText="1"/>
    </xf>
    <xf numFmtId="167" fontId="5" fillId="0" borderId="25" xfId="0" applyNumberFormat="1" applyFont="1" applyBorder="1" applyAlignment="1">
      <alignment horizontal="center" wrapText="1"/>
    </xf>
    <xf numFmtId="0" fontId="7" fillId="0" borderId="7" xfId="2" applyFont="1" applyBorder="1" applyAlignment="1">
      <alignment horizontal="right"/>
    </xf>
    <xf numFmtId="0" fontId="7" fillId="0" borderId="61" xfId="2" applyFont="1" applyBorder="1" applyAlignment="1">
      <alignment horizontal="right"/>
    </xf>
    <xf numFmtId="0" fontId="7" fillId="0" borderId="8" xfId="2" applyFont="1" applyBorder="1" applyAlignment="1">
      <alignment horizontal="right"/>
    </xf>
    <xf numFmtId="0" fontId="5" fillId="0" borderId="8" xfId="2" applyFont="1" applyBorder="1" applyAlignment="1">
      <alignment horizontal="right"/>
    </xf>
    <xf numFmtId="0" fontId="7" fillId="4" borderId="15" xfId="2" applyFont="1" applyFill="1" applyBorder="1" applyAlignment="1">
      <alignment horizontal="left"/>
    </xf>
    <xf numFmtId="0" fontId="7" fillId="4" borderId="16" xfId="2" applyFont="1" applyFill="1" applyBorder="1" applyAlignment="1">
      <alignment horizontal="left"/>
    </xf>
    <xf numFmtId="0" fontId="7" fillId="4" borderId="17" xfId="2" applyFont="1" applyFill="1" applyBorder="1" applyAlignment="1">
      <alignment horizontal="left"/>
    </xf>
    <xf numFmtId="0" fontId="7" fillId="12" borderId="64" xfId="1" applyFont="1" applyFill="1" applyBorder="1" applyAlignment="1">
      <alignment horizontal="center"/>
    </xf>
    <xf numFmtId="0" fontId="7" fillId="12" borderId="49" xfId="1" applyFont="1" applyFill="1" applyBorder="1" applyAlignment="1">
      <alignment horizontal="center"/>
    </xf>
    <xf numFmtId="0" fontId="5" fillId="2" borderId="65" xfId="1" applyFont="1" applyFill="1" applyBorder="1" applyAlignment="1">
      <alignment horizontal="left"/>
    </xf>
    <xf numFmtId="0" fontId="5" fillId="2" borderId="0" xfId="1" applyFont="1" applyFill="1" applyAlignment="1">
      <alignment horizontal="left"/>
    </xf>
    <xf numFmtId="0" fontId="59" fillId="0" borderId="18" xfId="2" applyFont="1" applyBorder="1" applyAlignment="1">
      <alignment horizontal="left" wrapText="1"/>
    </xf>
    <xf numFmtId="0" fontId="59" fillId="0" borderId="28" xfId="2" applyFont="1" applyBorder="1" applyAlignment="1">
      <alignment horizontal="left" wrapText="1"/>
    </xf>
    <xf numFmtId="0" fontId="59" fillId="0" borderId="21" xfId="2" applyFont="1" applyBorder="1" applyAlignment="1">
      <alignment horizontal="left" wrapText="1"/>
    </xf>
    <xf numFmtId="0" fontId="60" fillId="0" borderId="18" xfId="2" applyFont="1" applyBorder="1" applyAlignment="1">
      <alignment horizontal="left"/>
    </xf>
    <xf numFmtId="0" fontId="60" fillId="0" borderId="28" xfId="2" applyFont="1" applyBorder="1" applyAlignment="1">
      <alignment horizontal="left"/>
    </xf>
    <xf numFmtId="0" fontId="60" fillId="0" borderId="21" xfId="2" applyFont="1" applyBorder="1" applyAlignment="1">
      <alignment horizontal="left"/>
    </xf>
    <xf numFmtId="0" fontId="7" fillId="0" borderId="18" xfId="0" applyFont="1" applyBorder="1" applyAlignment="1">
      <alignment horizontal="right"/>
    </xf>
    <xf numFmtId="0" fontId="7" fillId="0" borderId="19" xfId="0" applyFont="1" applyBorder="1" applyAlignment="1">
      <alignment horizontal="right"/>
    </xf>
    <xf numFmtId="167" fontId="5" fillId="0" borderId="11" xfId="0" applyNumberFormat="1" applyFont="1" applyBorder="1" applyAlignment="1">
      <alignment horizontal="right"/>
    </xf>
    <xf numFmtId="0" fontId="5" fillId="2" borderId="20" xfId="0" applyFont="1" applyFill="1" applyBorder="1" applyAlignment="1">
      <alignment horizontal="center"/>
    </xf>
    <xf numFmtId="0" fontId="5" fillId="2" borderId="21" xfId="0" applyFont="1" applyFill="1" applyBorder="1" applyAlignment="1">
      <alignment horizontal="center"/>
    </xf>
    <xf numFmtId="0" fontId="5" fillId="2" borderId="56" xfId="1" applyFont="1" applyFill="1" applyBorder="1" applyAlignment="1">
      <alignment horizontal="center"/>
    </xf>
    <xf numFmtId="0" fontId="5" fillId="2" borderId="57" xfId="1" applyFont="1" applyFill="1" applyBorder="1" applyAlignment="1">
      <alignment horizontal="center"/>
    </xf>
    <xf numFmtId="0" fontId="5" fillId="2" borderId="59" xfId="1" applyFont="1" applyFill="1" applyBorder="1" applyAlignment="1">
      <alignment horizontal="center"/>
    </xf>
    <xf numFmtId="0" fontId="11" fillId="2" borderId="35" xfId="1" applyFont="1" applyFill="1" applyBorder="1" applyAlignment="1">
      <alignment horizontal="center"/>
    </xf>
    <xf numFmtId="0" fontId="11" fillId="2" borderId="42" xfId="1" applyFont="1" applyFill="1" applyBorder="1" applyAlignment="1">
      <alignment horizontal="center"/>
    </xf>
    <xf numFmtId="0" fontId="11" fillId="2" borderId="32" xfId="1" applyFont="1" applyFill="1" applyBorder="1" applyAlignment="1">
      <alignment horizontal="center"/>
    </xf>
    <xf numFmtId="0" fontId="6" fillId="3" borderId="58" xfId="1" applyFont="1" applyFill="1" applyBorder="1" applyAlignment="1">
      <alignment horizontal="center"/>
    </xf>
    <xf numFmtId="0" fontId="6" fillId="3" borderId="40" xfId="1" applyFont="1" applyFill="1" applyBorder="1" applyAlignment="1">
      <alignment horizontal="center"/>
    </xf>
    <xf numFmtId="0" fontId="6" fillId="3" borderId="41" xfId="1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0" borderId="22" xfId="0" applyFont="1" applyBorder="1" applyAlignment="1">
      <alignment horizontal="right"/>
    </xf>
    <xf numFmtId="0" fontId="7" fillId="0" borderId="23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167" fontId="5" fillId="0" borderId="24" xfId="0" applyNumberFormat="1" applyFont="1" applyBorder="1" applyAlignment="1">
      <alignment horizontal="center"/>
    </xf>
    <xf numFmtId="167" fontId="5" fillId="0" borderId="25" xfId="0" applyNumberFormat="1" applyFont="1" applyBorder="1" applyAlignment="1">
      <alignment horizontal="center"/>
    </xf>
    <xf numFmtId="167" fontId="5" fillId="0" borderId="24" xfId="0" applyNumberFormat="1" applyFont="1" applyBorder="1" applyAlignment="1">
      <alignment horizontal="right" wrapText="1"/>
    </xf>
    <xf numFmtId="167" fontId="5" fillId="0" borderId="23" xfId="0" applyNumberFormat="1" applyFont="1" applyBorder="1" applyAlignment="1">
      <alignment horizontal="right" wrapText="1"/>
    </xf>
    <xf numFmtId="0" fontId="7" fillId="0" borderId="7" xfId="0" applyFont="1" applyBorder="1" applyAlignment="1">
      <alignment horizontal="right"/>
    </xf>
    <xf numFmtId="0" fontId="7" fillId="0" borderId="8" xfId="0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167" fontId="5" fillId="0" borderId="26" xfId="0" applyNumberFormat="1" applyFont="1" applyBorder="1" applyAlignment="1">
      <alignment horizontal="center"/>
    </xf>
    <xf numFmtId="167" fontId="5" fillId="0" borderId="27" xfId="0" applyNumberFormat="1" applyFont="1" applyBorder="1" applyAlignment="1">
      <alignment horizontal="center"/>
    </xf>
    <xf numFmtId="0" fontId="7" fillId="4" borderId="15" xfId="0" applyFont="1" applyFill="1" applyBorder="1" applyAlignment="1">
      <alignment horizontal="left"/>
    </xf>
    <xf numFmtId="0" fontId="7" fillId="4" borderId="16" xfId="0" applyFont="1" applyFill="1" applyBorder="1" applyAlignment="1">
      <alignment horizontal="left"/>
    </xf>
    <xf numFmtId="0" fontId="7" fillId="4" borderId="17" xfId="0" applyFont="1" applyFill="1" applyBorder="1" applyAlignment="1">
      <alignment horizontal="left"/>
    </xf>
    <xf numFmtId="0" fontId="18" fillId="0" borderId="18" xfId="0" applyFont="1" applyBorder="1" applyAlignment="1">
      <alignment horizontal="left"/>
    </xf>
    <xf numFmtId="0" fontId="18" fillId="0" borderId="28" xfId="0" applyFont="1" applyBorder="1" applyAlignment="1">
      <alignment horizontal="left"/>
    </xf>
    <xf numFmtId="0" fontId="18" fillId="0" borderId="21" xfId="0" applyFont="1" applyBorder="1" applyAlignment="1">
      <alignment horizontal="left"/>
    </xf>
    <xf numFmtId="0" fontId="18" fillId="0" borderId="22" xfId="0" applyFont="1" applyBorder="1" applyAlignment="1">
      <alignment horizontal="left"/>
    </xf>
    <xf numFmtId="0" fontId="18" fillId="0" borderId="36" xfId="0" applyFont="1" applyBorder="1" applyAlignment="1">
      <alignment horizontal="left"/>
    </xf>
    <xf numFmtId="0" fontId="18" fillId="0" borderId="25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5" fillId="2" borderId="5" xfId="1" applyFont="1" applyFill="1" applyBorder="1" applyAlignment="1">
      <alignment horizontal="left"/>
    </xf>
    <xf numFmtId="0" fontId="5" fillId="2" borderId="8" xfId="1" applyFont="1" applyFill="1" applyBorder="1" applyAlignment="1">
      <alignment horizontal="left"/>
    </xf>
    <xf numFmtId="0" fontId="5" fillId="2" borderId="37" xfId="1" applyFont="1" applyFill="1" applyBorder="1" applyAlignment="1">
      <alignment horizontal="center"/>
    </xf>
    <xf numFmtId="0" fontId="5" fillId="2" borderId="38" xfId="1" applyFont="1" applyFill="1" applyBorder="1" applyAlignment="1">
      <alignment horizontal="center"/>
    </xf>
    <xf numFmtId="0" fontId="6" fillId="3" borderId="39" xfId="1" applyFont="1" applyFill="1" applyBorder="1" applyAlignment="1">
      <alignment horizontal="center"/>
    </xf>
    <xf numFmtId="0" fontId="7" fillId="4" borderId="31" xfId="0" applyFont="1" applyFill="1" applyBorder="1" applyAlignment="1">
      <alignment horizontal="center" vertical="center"/>
    </xf>
    <xf numFmtId="0" fontId="7" fillId="4" borderId="32" xfId="0" applyFont="1" applyFill="1" applyBorder="1" applyAlignment="1">
      <alignment horizontal="center" vertical="center"/>
    </xf>
    <xf numFmtId="0" fontId="7" fillId="4" borderId="44" xfId="0" applyFont="1" applyFill="1" applyBorder="1" applyAlignment="1">
      <alignment horizontal="center" vertical="center"/>
    </xf>
    <xf numFmtId="0" fontId="7" fillId="4" borderId="34" xfId="0" applyFont="1" applyFill="1" applyBorder="1" applyAlignment="1">
      <alignment horizontal="center" vertical="center"/>
    </xf>
    <xf numFmtId="0" fontId="7" fillId="4" borderId="50" xfId="0" applyFont="1" applyFill="1" applyBorder="1" applyAlignment="1">
      <alignment horizontal="center" vertical="center"/>
    </xf>
    <xf numFmtId="1" fontId="7" fillId="4" borderId="53" xfId="0" applyNumberFormat="1" applyFont="1" applyFill="1" applyBorder="1" applyAlignment="1">
      <alignment horizontal="center"/>
    </xf>
    <xf numFmtId="1" fontId="7" fillId="4" borderId="54" xfId="0" applyNumberFormat="1" applyFont="1" applyFill="1" applyBorder="1" applyAlignment="1">
      <alignment horizontal="center"/>
    </xf>
    <xf numFmtId="1" fontId="7" fillId="4" borderId="55" xfId="0" applyNumberFormat="1" applyFont="1" applyFill="1" applyBorder="1" applyAlignment="1">
      <alignment horizontal="center"/>
    </xf>
    <xf numFmtId="0" fontId="5" fillId="0" borderId="52" xfId="0" applyFont="1" applyBorder="1" applyAlignment="1">
      <alignment horizontal="left"/>
    </xf>
    <xf numFmtId="0" fontId="5" fillId="0" borderId="51" xfId="0" applyFont="1" applyBorder="1" applyAlignment="1">
      <alignment horizontal="left"/>
    </xf>
    <xf numFmtId="0" fontId="5" fillId="0" borderId="27" xfId="0" applyFont="1" applyBorder="1" applyAlignment="1">
      <alignment horizontal="left"/>
    </xf>
    <xf numFmtId="0" fontId="5" fillId="0" borderId="18" xfId="2" applyFont="1" applyBorder="1" applyAlignment="1">
      <alignment horizontal="left" wrapText="1"/>
    </xf>
    <xf numFmtId="0" fontId="5" fillId="0" borderId="28" xfId="2" applyFont="1" applyBorder="1" applyAlignment="1">
      <alignment horizontal="left" wrapText="1"/>
    </xf>
    <xf numFmtId="0" fontId="5" fillId="0" borderId="21" xfId="2" applyFont="1" applyBorder="1" applyAlignment="1">
      <alignment horizontal="left" wrapText="1"/>
    </xf>
    <xf numFmtId="0" fontId="5" fillId="0" borderId="22" xfId="2" applyFont="1" applyBorder="1" applyAlignment="1">
      <alignment horizontal="left" wrapText="1"/>
    </xf>
    <xf numFmtId="0" fontId="5" fillId="0" borderId="36" xfId="2" applyFont="1" applyBorder="1" applyAlignment="1">
      <alignment horizontal="left" wrapText="1"/>
    </xf>
    <xf numFmtId="0" fontId="5" fillId="0" borderId="25" xfId="2" applyFont="1" applyBorder="1" applyAlignment="1">
      <alignment horizontal="left" wrapText="1"/>
    </xf>
    <xf numFmtId="0" fontId="5" fillId="0" borderId="22" xfId="2" applyFont="1" applyBorder="1" applyAlignment="1">
      <alignment horizontal="left"/>
    </xf>
    <xf numFmtId="0" fontId="5" fillId="0" borderId="36" xfId="2" applyFont="1" applyBorder="1" applyAlignment="1">
      <alignment horizontal="left"/>
    </xf>
    <xf numFmtId="0" fontId="5" fillId="0" borderId="25" xfId="2" applyFont="1" applyBorder="1" applyAlignment="1">
      <alignment horizontal="left"/>
    </xf>
    <xf numFmtId="0" fontId="14" fillId="0" borderId="33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4" fillId="0" borderId="12" xfId="0" applyFont="1" applyBorder="1" applyAlignment="1">
      <alignment horizontal="left"/>
    </xf>
    <xf numFmtId="0" fontId="15" fillId="6" borderId="33" xfId="0" applyFont="1" applyFill="1" applyBorder="1" applyAlignment="1">
      <alignment horizontal="left"/>
    </xf>
    <xf numFmtId="0" fontId="15" fillId="6" borderId="11" xfId="0" applyFont="1" applyFill="1" applyBorder="1" applyAlignment="1">
      <alignment horizontal="left"/>
    </xf>
    <xf numFmtId="0" fontId="15" fillId="6" borderId="12" xfId="0" applyFont="1" applyFill="1" applyBorder="1" applyAlignment="1">
      <alignment horizontal="left"/>
    </xf>
    <xf numFmtId="0" fontId="14" fillId="0" borderId="22" xfId="0" applyFont="1" applyBorder="1" applyAlignment="1">
      <alignment horizontal="left"/>
    </xf>
    <xf numFmtId="0" fontId="14" fillId="0" borderId="36" xfId="0" applyFont="1" applyBorder="1" applyAlignment="1">
      <alignment horizontal="left"/>
    </xf>
    <xf numFmtId="0" fontId="14" fillId="0" borderId="25" xfId="0" applyFont="1" applyBorder="1" applyAlignment="1">
      <alignment horizontal="left"/>
    </xf>
  </cellXfs>
  <cellStyles count="98">
    <cellStyle name="Millares" xfId="10" builtinId="3"/>
    <cellStyle name="Millares [0]" xfId="11" builtinId="6"/>
    <cellStyle name="Millares [0] 2" xfId="6" xr:uid="{A5543CEF-1192-43C8-8A1D-E0C8D5FA6A48}"/>
    <cellStyle name="Millares [0] 2 2" xfId="15" xr:uid="{2ED155CC-0067-4A37-AB43-12C211201D4E}"/>
    <cellStyle name="Millares [0] 2 2 2" xfId="16" xr:uid="{F25E3FB5-CA1E-47C3-AC86-B80FCE9ED68F}"/>
    <cellStyle name="Millares [0] 2 2 2 2" xfId="17" xr:uid="{B11B183C-53FD-4C80-8FAC-661AF779BC3B}"/>
    <cellStyle name="Millares [0] 2 2 2 2 2" xfId="18" xr:uid="{FAB7318B-6742-4E70-AB53-FCAA5EB93E0C}"/>
    <cellStyle name="Millares [0] 2 2 2 3" xfId="19" xr:uid="{A064C11D-9F80-4BE0-AB1E-04814DD0FD70}"/>
    <cellStyle name="Millares [0] 2 2 3" xfId="20" xr:uid="{94B10224-F3E5-4C8B-A0AD-99DEE4A642D8}"/>
    <cellStyle name="Millares [0] 2 2 3 2" xfId="21" xr:uid="{D274D490-CEF5-432D-BFCB-868288100BCD}"/>
    <cellStyle name="Millares [0] 2 2 4" xfId="22" xr:uid="{CF734A38-B022-4A60-AB8D-3AC664BC40D0}"/>
    <cellStyle name="Millares [0] 2 3" xfId="23" xr:uid="{0599C5D9-6EFB-43E3-B4EA-FD38A2E8F0C6}"/>
    <cellStyle name="Millares [0] 2 3 2" xfId="24" xr:uid="{62E92AE3-E9B3-44D9-994C-1E51E528ACE7}"/>
    <cellStyle name="Millares [0] 2 4" xfId="25" xr:uid="{B6EDC23C-2E0A-42D8-8BC5-72DE4FFC02BB}"/>
    <cellStyle name="Millares [0] 2 5" xfId="14" xr:uid="{A6989D90-50E1-4312-A74E-76908674881C}"/>
    <cellStyle name="Millares [0] 2 6" xfId="97" xr:uid="{E40F37E7-C5A9-48A5-A0C9-E538F718FE83}"/>
    <cellStyle name="Millares [0] 3" xfId="26" xr:uid="{31E37447-4905-479D-8725-6300EFA51034}"/>
    <cellStyle name="Millares [0] 3 2" xfId="27" xr:uid="{45AD8959-BF1E-4132-A2B0-D15D4B15D657}"/>
    <cellStyle name="Millares [0] 3 2 2" xfId="28" xr:uid="{C4004986-50C9-4D1B-92C2-0940261A308B}"/>
    <cellStyle name="Millares [0] 3 2 3" xfId="29" xr:uid="{13A150C7-C8DD-423B-BE69-558D49E6F06A}"/>
    <cellStyle name="Millares [0] 3 2 3 2" xfId="30" xr:uid="{868285B8-A61A-406A-BAF3-0318C981A2DB}"/>
    <cellStyle name="Millares [0] 3 2 3 2 2" xfId="31" xr:uid="{0E90166E-B9F9-4101-AFA4-75164D1FA51D}"/>
    <cellStyle name="Millares [0] 3 2 3 2 2 2" xfId="32" xr:uid="{4B257CFB-64EB-45CD-9775-2420068E4F1C}"/>
    <cellStyle name="Millares [0] 3 2 3 2 3" xfId="33" xr:uid="{BF82DD48-C7F1-4138-B1D7-CF48B1452DC4}"/>
    <cellStyle name="Millares [0] 3 3" xfId="34" xr:uid="{2E7F6266-293D-4143-8695-D791426BCE8F}"/>
    <cellStyle name="Millares [0] 3 3 2" xfId="35" xr:uid="{44BF7D6D-25F1-4479-9F9E-16B86C3349B2}"/>
    <cellStyle name="Millares [0] 4" xfId="36" xr:uid="{228B5F68-2B40-410B-86A9-9FA16BD855FA}"/>
    <cellStyle name="Millares [0] 4 2" xfId="37" xr:uid="{FF1B6DE6-11DB-4A9B-A46E-BD238B353121}"/>
    <cellStyle name="Millares [0] 5" xfId="38" xr:uid="{530EF7F4-32B0-4AEA-988E-FBA4DF5C5CB1}"/>
    <cellStyle name="Millares 10" xfId="39" xr:uid="{EC9F8152-A91C-4E42-AB11-4A9510E57FB8}"/>
    <cellStyle name="Millares 11" xfId="40" xr:uid="{F1AA276F-B79A-43D7-9F3E-BBAF63834280}"/>
    <cellStyle name="Millares 12" xfId="41" xr:uid="{C031BFC0-8246-46E2-8FEB-A1A333592735}"/>
    <cellStyle name="Millares 13" xfId="42" xr:uid="{4F33BCC2-B1BA-418D-9683-EE0DB1DAB133}"/>
    <cellStyle name="Millares 14" xfId="43" xr:uid="{76C0EC7B-AA17-4F7B-ABC0-6F0C7424C38A}"/>
    <cellStyle name="Millares 15" xfId="44" xr:uid="{E8C6FC0D-319B-458D-9B10-C09576027E65}"/>
    <cellStyle name="Millares 16" xfId="45" xr:uid="{5B5889F8-88B9-4421-A1B3-D102F3805815}"/>
    <cellStyle name="Millares 17" xfId="46" xr:uid="{3D19A22D-2965-4A30-8542-B1BEBCAAC0B9}"/>
    <cellStyle name="Millares 18" xfId="47" xr:uid="{43B55DD0-C1AA-48F4-AF97-E3D45DCDC7E2}"/>
    <cellStyle name="Millares 19" xfId="48" xr:uid="{BBF78E9F-27A1-43AC-A41F-3C84FEF26E57}"/>
    <cellStyle name="Millares 2" xfId="5" xr:uid="{5683EB97-EDEF-46E8-907C-AAB19034AC7F}"/>
    <cellStyle name="Millares 2 2" xfId="50" xr:uid="{9EE1C51A-C0CB-435E-BF6C-67ED71A9ACBE}"/>
    <cellStyle name="Millares 2 2 2" xfId="51" xr:uid="{BEB4A63C-990A-40B4-A316-0593828CBDC3}"/>
    <cellStyle name="Millares 2 2 2 2" xfId="52" xr:uid="{01CAEAC8-C8C8-4932-AAC2-95A2F63B4D5E}"/>
    <cellStyle name="Millares 2 2 3" xfId="53" xr:uid="{015C4323-A672-4D7D-AEC8-978BB628BB6E}"/>
    <cellStyle name="Millares 2 3" xfId="54" xr:uid="{0D25BFFE-A377-4447-B313-2D5F5E310244}"/>
    <cellStyle name="Millares 2 3 2" xfId="55" xr:uid="{5EC74DCA-3FAD-42F6-81AE-3223CDE7AA9B}"/>
    <cellStyle name="Millares 2 4" xfId="56" xr:uid="{98113F5C-F418-4A70-8EAB-4473907C3D5A}"/>
    <cellStyle name="Millares 2 5" xfId="49" xr:uid="{84C5485E-D826-4D0B-B77C-91FC193CBE88}"/>
    <cellStyle name="Millares 2 6" xfId="96" xr:uid="{1B5BB256-AC6B-4D2E-80CB-7BA237FCB85D}"/>
    <cellStyle name="Millares 20" xfId="57" xr:uid="{93D7E157-B8D9-4AA5-B5BE-B765B4F566D8}"/>
    <cellStyle name="Millares 21" xfId="58" xr:uid="{7798824A-190B-4A12-AA15-A15D79C85063}"/>
    <cellStyle name="Millares 22" xfId="59" xr:uid="{3AB68BBF-946D-4000-8C45-C6067DA51764}"/>
    <cellStyle name="Millares 23" xfId="60" xr:uid="{DEA44715-37F0-4BF0-A485-A1AE9F3C2EDC}"/>
    <cellStyle name="Millares 24" xfId="61" xr:uid="{DD7A0347-B707-4AB4-BC27-FB4E1BE9C920}"/>
    <cellStyle name="Millares 25" xfId="62" xr:uid="{BA7943F2-9400-4AD4-9AB0-A50CE4F45932}"/>
    <cellStyle name="Millares 26" xfId="63" xr:uid="{385C84DB-B295-4972-B50C-6257F21A3125}"/>
    <cellStyle name="Millares 27" xfId="13" xr:uid="{2617D12E-AA92-49E5-AFE8-F05AF6AD1F3F}"/>
    <cellStyle name="Millares 28" xfId="80" xr:uid="{98BCC5DE-563D-4348-BD64-6B1D7C1D5974}"/>
    <cellStyle name="Millares 3" xfId="9" xr:uid="{1BE381F1-B1CC-49BA-BD1B-9E565FB98FDF}"/>
    <cellStyle name="Millares 3 2" xfId="65" xr:uid="{4DAC475F-F48F-4952-849F-BD954867BB05}"/>
    <cellStyle name="Millares 3 2 2" xfId="66" xr:uid="{97866328-1CBF-4703-BD60-68BC3252BBF9}"/>
    <cellStyle name="Millares 3 3" xfId="67" xr:uid="{322997E7-C05B-423F-9990-59C3FAB4EE92}"/>
    <cellStyle name="Millares 3 3 2" xfId="68" xr:uid="{E46F1A22-55CA-4732-868A-02F7604C50B3}"/>
    <cellStyle name="Millares 3 4" xfId="69" xr:uid="{D284B6F1-539A-47ED-8889-6FBF7165D589}"/>
    <cellStyle name="Millares 3 5" xfId="64" xr:uid="{E1000D45-888D-4C94-90B7-E332F1CAFB60}"/>
    <cellStyle name="Millares 4" xfId="70" xr:uid="{576B42B9-00CD-437C-B372-92630E40745D}"/>
    <cellStyle name="Millares 4 2" xfId="71" xr:uid="{56C0807A-C2EB-4621-86E1-B655EE636D38}"/>
    <cellStyle name="Millares 5" xfId="72" xr:uid="{685C85DE-AD3D-4886-84DC-8240FACF258D}"/>
    <cellStyle name="Millares 5 2" xfId="73" xr:uid="{CB3C6BF2-4512-45E9-9EC4-11CB303D72CD}"/>
    <cellStyle name="Millares 5 3" xfId="74" xr:uid="{6467E830-706A-472A-9F65-F061F9AC08D3}"/>
    <cellStyle name="Millares 6" xfId="75" xr:uid="{6DEA26FA-801C-4599-864B-71EEEA3B200A}"/>
    <cellStyle name="Millares 7" xfId="76" xr:uid="{0E5E220F-8367-4A6A-A1E6-F60B980D8CDD}"/>
    <cellStyle name="Millares 8" xfId="77" xr:uid="{55A101E7-A0B3-4B13-9166-20C463F05461}"/>
    <cellStyle name="Millares 9" xfId="78" xr:uid="{4656F18F-4EC6-4A30-AEB2-62594858D82E}"/>
    <cellStyle name="Normal" xfId="0" builtinId="0"/>
    <cellStyle name="Normal 2" xfId="2" xr:uid="{1CA1BF72-C67A-42C8-BBD6-CB4A9BBE6E0E}"/>
    <cellStyle name="Normal 2 2" xfId="8" xr:uid="{FF90BD19-4090-4E42-8DFB-5D9A6E89EAAB}"/>
    <cellStyle name="Normal 2 3" xfId="79" xr:uid="{C07AED92-3E2E-4CF6-B308-63440AC22934}"/>
    <cellStyle name="Normal 3" xfId="4" xr:uid="{0DCD69D1-75C7-425B-AD82-E80A58B43CA5}"/>
    <cellStyle name="Normal 3 2" xfId="82" xr:uid="{91797ADE-5049-42F6-9A45-9BF5A7CF0E38}"/>
    <cellStyle name="Normal 3 2 2" xfId="83" xr:uid="{D8ECE85E-3FAB-4316-969F-CA84024DF8B7}"/>
    <cellStyle name="Normal 3 3" xfId="84" xr:uid="{B0BC0DA8-F7D8-45C7-A12A-70378FF538F5}"/>
    <cellStyle name="Normal 3 4" xfId="81" xr:uid="{BCBAD100-7C4F-46B5-82E4-97A79665C644}"/>
    <cellStyle name="Normal 4" xfId="7" xr:uid="{7DC8E56D-FC31-4989-A727-EBA01EE2F98F}"/>
    <cellStyle name="Normal 4 2" xfId="86" xr:uid="{02E3F679-DBE6-498F-B471-F776E6B82950}"/>
    <cellStyle name="Normal 4 3" xfId="85" xr:uid="{583533AC-AB10-45D5-A1CC-27547B9EAB3B}"/>
    <cellStyle name="Normal 5" xfId="87" xr:uid="{06198F87-AC83-4011-AD20-B64318F30BEA}"/>
    <cellStyle name="Normal 5 2" xfId="88" xr:uid="{3F3E95C5-3487-4290-BF03-542F06F886AD}"/>
    <cellStyle name="Normal 6" xfId="89" xr:uid="{349DE3B1-016F-4671-9AD5-BDA07ED0AAFE}"/>
    <cellStyle name="Normal 7" xfId="12" xr:uid="{E5D95712-BF5A-42D1-9FA4-3D4D89B0F4DE}"/>
    <cellStyle name="Normal_CRITERIOS DE EVALUACION PT DE GB 2" xfId="1" xr:uid="{58160EFD-CB8E-4C85-A035-76F2C776129B}"/>
    <cellStyle name="Porcentaje 2" xfId="3" xr:uid="{281A71A4-E3EC-4C70-A8F5-CEE347EC930C}"/>
    <cellStyle name="Porcentaje 2 2" xfId="91" xr:uid="{A8B4297E-AF25-4AD9-9415-9201DB72DBA3}"/>
    <cellStyle name="Porcentaje 3" xfId="92" xr:uid="{D54766C0-0757-40F6-97B9-7AD6927EBDEF}"/>
    <cellStyle name="Porcentaje 3 2" xfId="93" xr:uid="{45B829B4-26B0-4AD1-BBB6-DD03A9DF6840}"/>
    <cellStyle name="Porcentaje 3 2 2" xfId="94" xr:uid="{95ADEA52-D249-4C9F-9229-76333CEED009}"/>
    <cellStyle name="Porcentaje 4" xfId="95" xr:uid="{C5EE65BB-EB0B-44E8-A669-23F712B94CBB}"/>
    <cellStyle name="Porcentaje 5" xfId="90" xr:uid="{5A72293A-634B-41BB-9E1E-1A55C48A77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95250</xdr:rowOff>
    </xdr:from>
    <xdr:to>
      <xdr:col>1</xdr:col>
      <xdr:colOff>219075</xdr:colOff>
      <xdr:row>5</xdr:row>
      <xdr:rowOff>47625</xdr:rowOff>
    </xdr:to>
    <xdr:pic>
      <xdr:nvPicPr>
        <xdr:cNvPr id="2" name="Imagen 8">
          <a:extLst>
            <a:ext uri="{FF2B5EF4-FFF2-40B4-BE49-F238E27FC236}">
              <a16:creationId xmlns:a16="http://schemas.microsoft.com/office/drawing/2014/main" id="{D4E195D0-0C2D-4900-929E-3DF29B4C6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95250"/>
          <a:ext cx="8763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30480</xdr:rowOff>
    </xdr:from>
    <xdr:to>
      <xdr:col>0</xdr:col>
      <xdr:colOff>998220</xdr:colOff>
      <xdr:row>4</xdr:row>
      <xdr:rowOff>99060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1D1FA355-F644-4589-AE24-E8E14AB92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820" y="30480"/>
          <a:ext cx="94488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depast-my.sharepoint.com/personal/eramirez_fascr_com/Documents/Escritorio/FACTIBILIDAD/FACTIBILIDAD%202023/DIA%20DE%20LA%20MADRE%202023/Relleno%20Suspiro%20lime&#241;o%20(004).xlsx" TargetMode="External"/><Relationship Id="rId1" Type="http://schemas.openxmlformats.org/officeDocument/2006/relationships/externalLinkPath" Target="/personal/eramirez_fascr_com/Documents/Escritorio/FACTIBILIDAD/FACTIBILIDAD%202023/DIA%20DE%20LA%20MADRE%202023/Relleno%20Suspiro%20lime&#241;o%20(00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/>
          <cell r="B361" t="str">
            <v/>
          </cell>
          <cell r="C361" t="str">
            <v/>
          </cell>
          <cell r="D361" t="str">
            <v/>
          </cell>
          <cell r="E361"/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/>
          <cell r="B362"/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</row>
        <row r="363">
          <cell r="A363"/>
          <cell r="B363"/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</row>
        <row r="364">
          <cell r="A364"/>
          <cell r="B364"/>
          <cell r="C364"/>
          <cell r="D364"/>
          <cell r="E364"/>
          <cell r="F364"/>
          <cell r="G364"/>
          <cell r="H364"/>
          <cell r="I364"/>
          <cell r="J364"/>
          <cell r="K364"/>
          <cell r="L364"/>
          <cell r="M364"/>
        </row>
        <row r="365">
          <cell r="B365"/>
          <cell r="C365"/>
          <cell r="D365"/>
          <cell r="F365"/>
          <cell r="G365"/>
          <cell r="H365"/>
          <cell r="I365"/>
          <cell r="J365"/>
          <cell r="K365"/>
          <cell r="L365"/>
          <cell r="M365"/>
        </row>
        <row r="366">
          <cell r="B366"/>
          <cell r="C366"/>
          <cell r="D366"/>
          <cell r="F366"/>
          <cell r="G366"/>
          <cell r="H366"/>
          <cell r="I366"/>
          <cell r="J366"/>
          <cell r="K366"/>
          <cell r="L366"/>
          <cell r="M366"/>
        </row>
        <row r="367">
          <cell r="B367"/>
          <cell r="C367"/>
          <cell r="D367"/>
          <cell r="F367"/>
          <cell r="G367"/>
          <cell r="H367"/>
          <cell r="I367"/>
          <cell r="J367"/>
          <cell r="K367"/>
          <cell r="L367"/>
          <cell r="M367"/>
        </row>
        <row r="368">
          <cell r="B368"/>
          <cell r="C368"/>
          <cell r="D368"/>
          <cell r="F368"/>
          <cell r="G368"/>
          <cell r="H368"/>
          <cell r="I368"/>
          <cell r="J368"/>
          <cell r="K368"/>
          <cell r="L368"/>
          <cell r="M368"/>
        </row>
        <row r="369">
          <cell r="B369"/>
          <cell r="C369"/>
          <cell r="D369"/>
          <cell r="F369"/>
          <cell r="G369"/>
          <cell r="H369"/>
          <cell r="I369"/>
          <cell r="J369"/>
          <cell r="K369"/>
          <cell r="L369"/>
          <cell r="M369"/>
        </row>
        <row r="370">
          <cell r="B370"/>
          <cell r="C370"/>
          <cell r="D370"/>
          <cell r="F370"/>
          <cell r="G370"/>
          <cell r="H370"/>
          <cell r="I370"/>
          <cell r="J370"/>
          <cell r="K370"/>
          <cell r="L370"/>
          <cell r="M370"/>
        </row>
        <row r="371">
          <cell r="B371"/>
          <cell r="C371"/>
          <cell r="D371"/>
          <cell r="F371"/>
          <cell r="G371"/>
          <cell r="H371"/>
          <cell r="I371"/>
          <cell r="J371"/>
          <cell r="K371"/>
          <cell r="L371"/>
          <cell r="M371"/>
        </row>
        <row r="372">
          <cell r="B372"/>
          <cell r="C372"/>
          <cell r="D372"/>
          <cell r="F372"/>
          <cell r="G372"/>
          <cell r="H372"/>
          <cell r="I372"/>
          <cell r="J372"/>
          <cell r="K372"/>
          <cell r="L372"/>
          <cell r="M372"/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/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spiro Limeño"/>
      <sheetName val="Hoja1"/>
      <sheetName val="Hoja6"/>
      <sheetName val="Hoja7"/>
      <sheetName val="Hoja8"/>
      <sheetName val="Hoja9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58D8A-FC37-47A9-8EE4-8A277FC07178}">
  <dimension ref="A1:Q90"/>
  <sheetViews>
    <sheetView topLeftCell="A10" workbookViewId="0">
      <selection activeCell="M33" sqref="M33"/>
    </sheetView>
  </sheetViews>
  <sheetFormatPr baseColWidth="10" defaultColWidth="8.42578125" defaultRowHeight="12.75" x14ac:dyDescent="0.25"/>
  <cols>
    <col min="1" max="1" width="10" style="119" bestFit="1" customWidth="1"/>
    <col min="2" max="2" width="44.42578125" style="119" bestFit="1" customWidth="1"/>
    <col min="3" max="3" width="10.42578125" style="119" bestFit="1" customWidth="1"/>
    <col min="4" max="4" width="10.42578125" style="119" customWidth="1"/>
    <col min="5" max="6" width="9.5703125" style="119" bestFit="1" customWidth="1"/>
    <col min="7" max="7" width="9.5703125" style="107" bestFit="1" customWidth="1"/>
    <col min="8" max="8" width="10.42578125" style="184" bestFit="1" customWidth="1"/>
    <col min="9" max="9" width="4.5703125" style="184" customWidth="1"/>
    <col min="10" max="10" width="1.85546875" style="118" customWidth="1"/>
    <col min="11" max="11" width="7" style="119" bestFit="1" customWidth="1"/>
    <col min="12" max="12" width="6.42578125" style="119" customWidth="1"/>
    <col min="13" max="13" width="20.42578125" style="119" customWidth="1"/>
    <col min="14" max="14" width="6.42578125" style="119" bestFit="1" customWidth="1"/>
    <col min="15" max="16" width="8.42578125" style="119"/>
    <col min="17" max="17" width="3.42578125" style="119" customWidth="1"/>
    <col min="18" max="256" width="8.42578125" style="119"/>
    <col min="257" max="257" width="10" style="119" bestFit="1" customWidth="1"/>
    <col min="258" max="258" width="44.42578125" style="119" bestFit="1" customWidth="1"/>
    <col min="259" max="259" width="10.42578125" style="119" bestFit="1" customWidth="1"/>
    <col min="260" max="260" width="10.42578125" style="119" customWidth="1"/>
    <col min="261" max="263" width="9.5703125" style="119" bestFit="1" customWidth="1"/>
    <col min="264" max="264" width="10.42578125" style="119" bestFit="1" customWidth="1"/>
    <col min="265" max="265" width="4.5703125" style="119" customWidth="1"/>
    <col min="266" max="266" width="1.85546875" style="119" customWidth="1"/>
    <col min="267" max="267" width="7" style="119" bestFit="1" customWidth="1"/>
    <col min="268" max="268" width="6.42578125" style="119" customWidth="1"/>
    <col min="269" max="269" width="20.42578125" style="119" customWidth="1"/>
    <col min="270" max="270" width="6.42578125" style="119" bestFit="1" customWidth="1"/>
    <col min="271" max="272" width="8.42578125" style="119"/>
    <col min="273" max="273" width="3.42578125" style="119" customWidth="1"/>
    <col min="274" max="512" width="8.42578125" style="119"/>
    <col min="513" max="513" width="10" style="119" bestFit="1" customWidth="1"/>
    <col min="514" max="514" width="44.42578125" style="119" bestFit="1" customWidth="1"/>
    <col min="515" max="515" width="10.42578125" style="119" bestFit="1" customWidth="1"/>
    <col min="516" max="516" width="10.42578125" style="119" customWidth="1"/>
    <col min="517" max="519" width="9.5703125" style="119" bestFit="1" customWidth="1"/>
    <col min="520" max="520" width="10.42578125" style="119" bestFit="1" customWidth="1"/>
    <col min="521" max="521" width="4.5703125" style="119" customWidth="1"/>
    <col min="522" max="522" width="1.85546875" style="119" customWidth="1"/>
    <col min="523" max="523" width="7" style="119" bestFit="1" customWidth="1"/>
    <col min="524" max="524" width="6.42578125" style="119" customWidth="1"/>
    <col min="525" max="525" width="20.42578125" style="119" customWidth="1"/>
    <col min="526" max="526" width="6.42578125" style="119" bestFit="1" customWidth="1"/>
    <col min="527" max="528" width="8.42578125" style="119"/>
    <col min="529" max="529" width="3.42578125" style="119" customWidth="1"/>
    <col min="530" max="768" width="8.42578125" style="119"/>
    <col min="769" max="769" width="10" style="119" bestFit="1" customWidth="1"/>
    <col min="770" max="770" width="44.42578125" style="119" bestFit="1" customWidth="1"/>
    <col min="771" max="771" width="10.42578125" style="119" bestFit="1" customWidth="1"/>
    <col min="772" max="772" width="10.42578125" style="119" customWidth="1"/>
    <col min="773" max="775" width="9.5703125" style="119" bestFit="1" customWidth="1"/>
    <col min="776" max="776" width="10.42578125" style="119" bestFit="1" customWidth="1"/>
    <col min="777" max="777" width="4.5703125" style="119" customWidth="1"/>
    <col min="778" max="778" width="1.85546875" style="119" customWidth="1"/>
    <col min="779" max="779" width="7" style="119" bestFit="1" customWidth="1"/>
    <col min="780" max="780" width="6.42578125" style="119" customWidth="1"/>
    <col min="781" max="781" width="20.42578125" style="119" customWidth="1"/>
    <col min="782" max="782" width="6.42578125" style="119" bestFit="1" customWidth="1"/>
    <col min="783" max="784" width="8.42578125" style="119"/>
    <col min="785" max="785" width="3.42578125" style="119" customWidth="1"/>
    <col min="786" max="1024" width="8.42578125" style="119"/>
    <col min="1025" max="1025" width="10" style="119" bestFit="1" customWidth="1"/>
    <col min="1026" max="1026" width="44.42578125" style="119" bestFit="1" customWidth="1"/>
    <col min="1027" max="1027" width="10.42578125" style="119" bestFit="1" customWidth="1"/>
    <col min="1028" max="1028" width="10.42578125" style="119" customWidth="1"/>
    <col min="1029" max="1031" width="9.5703125" style="119" bestFit="1" customWidth="1"/>
    <col min="1032" max="1032" width="10.42578125" style="119" bestFit="1" customWidth="1"/>
    <col min="1033" max="1033" width="4.5703125" style="119" customWidth="1"/>
    <col min="1034" max="1034" width="1.85546875" style="119" customWidth="1"/>
    <col min="1035" max="1035" width="7" style="119" bestFit="1" customWidth="1"/>
    <col min="1036" max="1036" width="6.42578125" style="119" customWidth="1"/>
    <col min="1037" max="1037" width="20.42578125" style="119" customWidth="1"/>
    <col min="1038" max="1038" width="6.42578125" style="119" bestFit="1" customWidth="1"/>
    <col min="1039" max="1040" width="8.42578125" style="119"/>
    <col min="1041" max="1041" width="3.42578125" style="119" customWidth="1"/>
    <col min="1042" max="1280" width="8.42578125" style="119"/>
    <col min="1281" max="1281" width="10" style="119" bestFit="1" customWidth="1"/>
    <col min="1282" max="1282" width="44.42578125" style="119" bestFit="1" customWidth="1"/>
    <col min="1283" max="1283" width="10.42578125" style="119" bestFit="1" customWidth="1"/>
    <col min="1284" max="1284" width="10.42578125" style="119" customWidth="1"/>
    <col min="1285" max="1287" width="9.5703125" style="119" bestFit="1" customWidth="1"/>
    <col min="1288" max="1288" width="10.42578125" style="119" bestFit="1" customWidth="1"/>
    <col min="1289" max="1289" width="4.5703125" style="119" customWidth="1"/>
    <col min="1290" max="1290" width="1.85546875" style="119" customWidth="1"/>
    <col min="1291" max="1291" width="7" style="119" bestFit="1" customWidth="1"/>
    <col min="1292" max="1292" width="6.42578125" style="119" customWidth="1"/>
    <col min="1293" max="1293" width="20.42578125" style="119" customWidth="1"/>
    <col min="1294" max="1294" width="6.42578125" style="119" bestFit="1" customWidth="1"/>
    <col min="1295" max="1296" width="8.42578125" style="119"/>
    <col min="1297" max="1297" width="3.42578125" style="119" customWidth="1"/>
    <col min="1298" max="1536" width="8.42578125" style="119"/>
    <col min="1537" max="1537" width="10" style="119" bestFit="1" customWidth="1"/>
    <col min="1538" max="1538" width="44.42578125" style="119" bestFit="1" customWidth="1"/>
    <col min="1539" max="1539" width="10.42578125" style="119" bestFit="1" customWidth="1"/>
    <col min="1540" max="1540" width="10.42578125" style="119" customWidth="1"/>
    <col min="1541" max="1543" width="9.5703125" style="119" bestFit="1" customWidth="1"/>
    <col min="1544" max="1544" width="10.42578125" style="119" bestFit="1" customWidth="1"/>
    <col min="1545" max="1545" width="4.5703125" style="119" customWidth="1"/>
    <col min="1546" max="1546" width="1.85546875" style="119" customWidth="1"/>
    <col min="1547" max="1547" width="7" style="119" bestFit="1" customWidth="1"/>
    <col min="1548" max="1548" width="6.42578125" style="119" customWidth="1"/>
    <col min="1549" max="1549" width="20.42578125" style="119" customWidth="1"/>
    <col min="1550" max="1550" width="6.42578125" style="119" bestFit="1" customWidth="1"/>
    <col min="1551" max="1552" width="8.42578125" style="119"/>
    <col min="1553" max="1553" width="3.42578125" style="119" customWidth="1"/>
    <col min="1554" max="1792" width="8.42578125" style="119"/>
    <col min="1793" max="1793" width="10" style="119" bestFit="1" customWidth="1"/>
    <col min="1794" max="1794" width="44.42578125" style="119" bestFit="1" customWidth="1"/>
    <col min="1795" max="1795" width="10.42578125" style="119" bestFit="1" customWidth="1"/>
    <col min="1796" max="1796" width="10.42578125" style="119" customWidth="1"/>
    <col min="1797" max="1799" width="9.5703125" style="119" bestFit="1" customWidth="1"/>
    <col min="1800" max="1800" width="10.42578125" style="119" bestFit="1" customWidth="1"/>
    <col min="1801" max="1801" width="4.5703125" style="119" customWidth="1"/>
    <col min="1802" max="1802" width="1.85546875" style="119" customWidth="1"/>
    <col min="1803" max="1803" width="7" style="119" bestFit="1" customWidth="1"/>
    <col min="1804" max="1804" width="6.42578125" style="119" customWidth="1"/>
    <col min="1805" max="1805" width="20.42578125" style="119" customWidth="1"/>
    <col min="1806" max="1806" width="6.42578125" style="119" bestFit="1" customWidth="1"/>
    <col min="1807" max="1808" width="8.42578125" style="119"/>
    <col min="1809" max="1809" width="3.42578125" style="119" customWidth="1"/>
    <col min="1810" max="2048" width="8.42578125" style="119"/>
    <col min="2049" max="2049" width="10" style="119" bestFit="1" customWidth="1"/>
    <col min="2050" max="2050" width="44.42578125" style="119" bestFit="1" customWidth="1"/>
    <col min="2051" max="2051" width="10.42578125" style="119" bestFit="1" customWidth="1"/>
    <col min="2052" max="2052" width="10.42578125" style="119" customWidth="1"/>
    <col min="2053" max="2055" width="9.5703125" style="119" bestFit="1" customWidth="1"/>
    <col min="2056" max="2056" width="10.42578125" style="119" bestFit="1" customWidth="1"/>
    <col min="2057" max="2057" width="4.5703125" style="119" customWidth="1"/>
    <col min="2058" max="2058" width="1.85546875" style="119" customWidth="1"/>
    <col min="2059" max="2059" width="7" style="119" bestFit="1" customWidth="1"/>
    <col min="2060" max="2060" width="6.42578125" style="119" customWidth="1"/>
    <col min="2061" max="2061" width="20.42578125" style="119" customWidth="1"/>
    <col min="2062" max="2062" width="6.42578125" style="119" bestFit="1" customWidth="1"/>
    <col min="2063" max="2064" width="8.42578125" style="119"/>
    <col min="2065" max="2065" width="3.42578125" style="119" customWidth="1"/>
    <col min="2066" max="2304" width="8.42578125" style="119"/>
    <col min="2305" max="2305" width="10" style="119" bestFit="1" customWidth="1"/>
    <col min="2306" max="2306" width="44.42578125" style="119" bestFit="1" customWidth="1"/>
    <col min="2307" max="2307" width="10.42578125" style="119" bestFit="1" customWidth="1"/>
    <col min="2308" max="2308" width="10.42578125" style="119" customWidth="1"/>
    <col min="2309" max="2311" width="9.5703125" style="119" bestFit="1" customWidth="1"/>
    <col min="2312" max="2312" width="10.42578125" style="119" bestFit="1" customWidth="1"/>
    <col min="2313" max="2313" width="4.5703125" style="119" customWidth="1"/>
    <col min="2314" max="2314" width="1.85546875" style="119" customWidth="1"/>
    <col min="2315" max="2315" width="7" style="119" bestFit="1" customWidth="1"/>
    <col min="2316" max="2316" width="6.42578125" style="119" customWidth="1"/>
    <col min="2317" max="2317" width="20.42578125" style="119" customWidth="1"/>
    <col min="2318" max="2318" width="6.42578125" style="119" bestFit="1" customWidth="1"/>
    <col min="2319" max="2320" width="8.42578125" style="119"/>
    <col min="2321" max="2321" width="3.42578125" style="119" customWidth="1"/>
    <col min="2322" max="2560" width="8.42578125" style="119"/>
    <col min="2561" max="2561" width="10" style="119" bestFit="1" customWidth="1"/>
    <col min="2562" max="2562" width="44.42578125" style="119" bestFit="1" customWidth="1"/>
    <col min="2563" max="2563" width="10.42578125" style="119" bestFit="1" customWidth="1"/>
    <col min="2564" max="2564" width="10.42578125" style="119" customWidth="1"/>
    <col min="2565" max="2567" width="9.5703125" style="119" bestFit="1" customWidth="1"/>
    <col min="2568" max="2568" width="10.42578125" style="119" bestFit="1" customWidth="1"/>
    <col min="2569" max="2569" width="4.5703125" style="119" customWidth="1"/>
    <col min="2570" max="2570" width="1.85546875" style="119" customWidth="1"/>
    <col min="2571" max="2571" width="7" style="119" bestFit="1" customWidth="1"/>
    <col min="2572" max="2572" width="6.42578125" style="119" customWidth="1"/>
    <col min="2573" max="2573" width="20.42578125" style="119" customWidth="1"/>
    <col min="2574" max="2574" width="6.42578125" style="119" bestFit="1" customWidth="1"/>
    <col min="2575" max="2576" width="8.42578125" style="119"/>
    <col min="2577" max="2577" width="3.42578125" style="119" customWidth="1"/>
    <col min="2578" max="2816" width="8.42578125" style="119"/>
    <col min="2817" max="2817" width="10" style="119" bestFit="1" customWidth="1"/>
    <col min="2818" max="2818" width="44.42578125" style="119" bestFit="1" customWidth="1"/>
    <col min="2819" max="2819" width="10.42578125" style="119" bestFit="1" customWidth="1"/>
    <col min="2820" max="2820" width="10.42578125" style="119" customWidth="1"/>
    <col min="2821" max="2823" width="9.5703125" style="119" bestFit="1" customWidth="1"/>
    <col min="2824" max="2824" width="10.42578125" style="119" bestFit="1" customWidth="1"/>
    <col min="2825" max="2825" width="4.5703125" style="119" customWidth="1"/>
    <col min="2826" max="2826" width="1.85546875" style="119" customWidth="1"/>
    <col min="2827" max="2827" width="7" style="119" bestFit="1" customWidth="1"/>
    <col min="2828" max="2828" width="6.42578125" style="119" customWidth="1"/>
    <col min="2829" max="2829" width="20.42578125" style="119" customWidth="1"/>
    <col min="2830" max="2830" width="6.42578125" style="119" bestFit="1" customWidth="1"/>
    <col min="2831" max="2832" width="8.42578125" style="119"/>
    <col min="2833" max="2833" width="3.42578125" style="119" customWidth="1"/>
    <col min="2834" max="3072" width="8.42578125" style="119"/>
    <col min="3073" max="3073" width="10" style="119" bestFit="1" customWidth="1"/>
    <col min="3074" max="3074" width="44.42578125" style="119" bestFit="1" customWidth="1"/>
    <col min="3075" max="3075" width="10.42578125" style="119" bestFit="1" customWidth="1"/>
    <col min="3076" max="3076" width="10.42578125" style="119" customWidth="1"/>
    <col min="3077" max="3079" width="9.5703125" style="119" bestFit="1" customWidth="1"/>
    <col min="3080" max="3080" width="10.42578125" style="119" bestFit="1" customWidth="1"/>
    <col min="3081" max="3081" width="4.5703125" style="119" customWidth="1"/>
    <col min="3082" max="3082" width="1.85546875" style="119" customWidth="1"/>
    <col min="3083" max="3083" width="7" style="119" bestFit="1" customWidth="1"/>
    <col min="3084" max="3084" width="6.42578125" style="119" customWidth="1"/>
    <col min="3085" max="3085" width="20.42578125" style="119" customWidth="1"/>
    <col min="3086" max="3086" width="6.42578125" style="119" bestFit="1" customWidth="1"/>
    <col min="3087" max="3088" width="8.42578125" style="119"/>
    <col min="3089" max="3089" width="3.42578125" style="119" customWidth="1"/>
    <col min="3090" max="3328" width="8.42578125" style="119"/>
    <col min="3329" max="3329" width="10" style="119" bestFit="1" customWidth="1"/>
    <col min="3330" max="3330" width="44.42578125" style="119" bestFit="1" customWidth="1"/>
    <col min="3331" max="3331" width="10.42578125" style="119" bestFit="1" customWidth="1"/>
    <col min="3332" max="3332" width="10.42578125" style="119" customWidth="1"/>
    <col min="3333" max="3335" width="9.5703125" style="119" bestFit="1" customWidth="1"/>
    <col min="3336" max="3336" width="10.42578125" style="119" bestFit="1" customWidth="1"/>
    <col min="3337" max="3337" width="4.5703125" style="119" customWidth="1"/>
    <col min="3338" max="3338" width="1.85546875" style="119" customWidth="1"/>
    <col min="3339" max="3339" width="7" style="119" bestFit="1" customWidth="1"/>
    <col min="3340" max="3340" width="6.42578125" style="119" customWidth="1"/>
    <col min="3341" max="3341" width="20.42578125" style="119" customWidth="1"/>
    <col min="3342" max="3342" width="6.42578125" style="119" bestFit="1" customWidth="1"/>
    <col min="3343" max="3344" width="8.42578125" style="119"/>
    <col min="3345" max="3345" width="3.42578125" style="119" customWidth="1"/>
    <col min="3346" max="3584" width="8.42578125" style="119"/>
    <col min="3585" max="3585" width="10" style="119" bestFit="1" customWidth="1"/>
    <col min="3586" max="3586" width="44.42578125" style="119" bestFit="1" customWidth="1"/>
    <col min="3587" max="3587" width="10.42578125" style="119" bestFit="1" customWidth="1"/>
    <col min="3588" max="3588" width="10.42578125" style="119" customWidth="1"/>
    <col min="3589" max="3591" width="9.5703125" style="119" bestFit="1" customWidth="1"/>
    <col min="3592" max="3592" width="10.42578125" style="119" bestFit="1" customWidth="1"/>
    <col min="3593" max="3593" width="4.5703125" style="119" customWidth="1"/>
    <col min="3594" max="3594" width="1.85546875" style="119" customWidth="1"/>
    <col min="3595" max="3595" width="7" style="119" bestFit="1" customWidth="1"/>
    <col min="3596" max="3596" width="6.42578125" style="119" customWidth="1"/>
    <col min="3597" max="3597" width="20.42578125" style="119" customWidth="1"/>
    <col min="3598" max="3598" width="6.42578125" style="119" bestFit="1" customWidth="1"/>
    <col min="3599" max="3600" width="8.42578125" style="119"/>
    <col min="3601" max="3601" width="3.42578125" style="119" customWidth="1"/>
    <col min="3602" max="3840" width="8.42578125" style="119"/>
    <col min="3841" max="3841" width="10" style="119" bestFit="1" customWidth="1"/>
    <col min="3842" max="3842" width="44.42578125" style="119" bestFit="1" customWidth="1"/>
    <col min="3843" max="3843" width="10.42578125" style="119" bestFit="1" customWidth="1"/>
    <col min="3844" max="3844" width="10.42578125" style="119" customWidth="1"/>
    <col min="3845" max="3847" width="9.5703125" style="119" bestFit="1" customWidth="1"/>
    <col min="3848" max="3848" width="10.42578125" style="119" bestFit="1" customWidth="1"/>
    <col min="3849" max="3849" width="4.5703125" style="119" customWidth="1"/>
    <col min="3850" max="3850" width="1.85546875" style="119" customWidth="1"/>
    <col min="3851" max="3851" width="7" style="119" bestFit="1" customWidth="1"/>
    <col min="3852" max="3852" width="6.42578125" style="119" customWidth="1"/>
    <col min="3853" max="3853" width="20.42578125" style="119" customWidth="1"/>
    <col min="3854" max="3854" width="6.42578125" style="119" bestFit="1" customWidth="1"/>
    <col min="3855" max="3856" width="8.42578125" style="119"/>
    <col min="3857" max="3857" width="3.42578125" style="119" customWidth="1"/>
    <col min="3858" max="4096" width="8.42578125" style="119"/>
    <col min="4097" max="4097" width="10" style="119" bestFit="1" customWidth="1"/>
    <col min="4098" max="4098" width="44.42578125" style="119" bestFit="1" customWidth="1"/>
    <col min="4099" max="4099" width="10.42578125" style="119" bestFit="1" customWidth="1"/>
    <col min="4100" max="4100" width="10.42578125" style="119" customWidth="1"/>
    <col min="4101" max="4103" width="9.5703125" style="119" bestFit="1" customWidth="1"/>
    <col min="4104" max="4104" width="10.42578125" style="119" bestFit="1" customWidth="1"/>
    <col min="4105" max="4105" width="4.5703125" style="119" customWidth="1"/>
    <col min="4106" max="4106" width="1.85546875" style="119" customWidth="1"/>
    <col min="4107" max="4107" width="7" style="119" bestFit="1" customWidth="1"/>
    <col min="4108" max="4108" width="6.42578125" style="119" customWidth="1"/>
    <col min="4109" max="4109" width="20.42578125" style="119" customWidth="1"/>
    <col min="4110" max="4110" width="6.42578125" style="119" bestFit="1" customWidth="1"/>
    <col min="4111" max="4112" width="8.42578125" style="119"/>
    <col min="4113" max="4113" width="3.42578125" style="119" customWidth="1"/>
    <col min="4114" max="4352" width="8.42578125" style="119"/>
    <col min="4353" max="4353" width="10" style="119" bestFit="1" customWidth="1"/>
    <col min="4354" max="4354" width="44.42578125" style="119" bestFit="1" customWidth="1"/>
    <col min="4355" max="4355" width="10.42578125" style="119" bestFit="1" customWidth="1"/>
    <col min="4356" max="4356" width="10.42578125" style="119" customWidth="1"/>
    <col min="4357" max="4359" width="9.5703125" style="119" bestFit="1" customWidth="1"/>
    <col min="4360" max="4360" width="10.42578125" style="119" bestFit="1" customWidth="1"/>
    <col min="4361" max="4361" width="4.5703125" style="119" customWidth="1"/>
    <col min="4362" max="4362" width="1.85546875" style="119" customWidth="1"/>
    <col min="4363" max="4363" width="7" style="119" bestFit="1" customWidth="1"/>
    <col min="4364" max="4364" width="6.42578125" style="119" customWidth="1"/>
    <col min="4365" max="4365" width="20.42578125" style="119" customWidth="1"/>
    <col min="4366" max="4366" width="6.42578125" style="119" bestFit="1" customWidth="1"/>
    <col min="4367" max="4368" width="8.42578125" style="119"/>
    <col min="4369" max="4369" width="3.42578125" style="119" customWidth="1"/>
    <col min="4370" max="4608" width="8.42578125" style="119"/>
    <col min="4609" max="4609" width="10" style="119" bestFit="1" customWidth="1"/>
    <col min="4610" max="4610" width="44.42578125" style="119" bestFit="1" customWidth="1"/>
    <col min="4611" max="4611" width="10.42578125" style="119" bestFit="1" customWidth="1"/>
    <col min="4612" max="4612" width="10.42578125" style="119" customWidth="1"/>
    <col min="4613" max="4615" width="9.5703125" style="119" bestFit="1" customWidth="1"/>
    <col min="4616" max="4616" width="10.42578125" style="119" bestFit="1" customWidth="1"/>
    <col min="4617" max="4617" width="4.5703125" style="119" customWidth="1"/>
    <col min="4618" max="4618" width="1.85546875" style="119" customWidth="1"/>
    <col min="4619" max="4619" width="7" style="119" bestFit="1" customWidth="1"/>
    <col min="4620" max="4620" width="6.42578125" style="119" customWidth="1"/>
    <col min="4621" max="4621" width="20.42578125" style="119" customWidth="1"/>
    <col min="4622" max="4622" width="6.42578125" style="119" bestFit="1" customWidth="1"/>
    <col min="4623" max="4624" width="8.42578125" style="119"/>
    <col min="4625" max="4625" width="3.42578125" style="119" customWidth="1"/>
    <col min="4626" max="4864" width="8.42578125" style="119"/>
    <col min="4865" max="4865" width="10" style="119" bestFit="1" customWidth="1"/>
    <col min="4866" max="4866" width="44.42578125" style="119" bestFit="1" customWidth="1"/>
    <col min="4867" max="4867" width="10.42578125" style="119" bestFit="1" customWidth="1"/>
    <col min="4868" max="4868" width="10.42578125" style="119" customWidth="1"/>
    <col min="4869" max="4871" width="9.5703125" style="119" bestFit="1" customWidth="1"/>
    <col min="4872" max="4872" width="10.42578125" style="119" bestFit="1" customWidth="1"/>
    <col min="4873" max="4873" width="4.5703125" style="119" customWidth="1"/>
    <col min="4874" max="4874" width="1.85546875" style="119" customWidth="1"/>
    <col min="4875" max="4875" width="7" style="119" bestFit="1" customWidth="1"/>
    <col min="4876" max="4876" width="6.42578125" style="119" customWidth="1"/>
    <col min="4877" max="4877" width="20.42578125" style="119" customWidth="1"/>
    <col min="4878" max="4878" width="6.42578125" style="119" bestFit="1" customWidth="1"/>
    <col min="4879" max="4880" width="8.42578125" style="119"/>
    <col min="4881" max="4881" width="3.42578125" style="119" customWidth="1"/>
    <col min="4882" max="5120" width="8.42578125" style="119"/>
    <col min="5121" max="5121" width="10" style="119" bestFit="1" customWidth="1"/>
    <col min="5122" max="5122" width="44.42578125" style="119" bestFit="1" customWidth="1"/>
    <col min="5123" max="5123" width="10.42578125" style="119" bestFit="1" customWidth="1"/>
    <col min="5124" max="5124" width="10.42578125" style="119" customWidth="1"/>
    <col min="5125" max="5127" width="9.5703125" style="119" bestFit="1" customWidth="1"/>
    <col min="5128" max="5128" width="10.42578125" style="119" bestFit="1" customWidth="1"/>
    <col min="5129" max="5129" width="4.5703125" style="119" customWidth="1"/>
    <col min="5130" max="5130" width="1.85546875" style="119" customWidth="1"/>
    <col min="5131" max="5131" width="7" style="119" bestFit="1" customWidth="1"/>
    <col min="5132" max="5132" width="6.42578125" style="119" customWidth="1"/>
    <col min="5133" max="5133" width="20.42578125" style="119" customWidth="1"/>
    <col min="5134" max="5134" width="6.42578125" style="119" bestFit="1" customWidth="1"/>
    <col min="5135" max="5136" width="8.42578125" style="119"/>
    <col min="5137" max="5137" width="3.42578125" style="119" customWidth="1"/>
    <col min="5138" max="5376" width="8.42578125" style="119"/>
    <col min="5377" max="5377" width="10" style="119" bestFit="1" customWidth="1"/>
    <col min="5378" max="5378" width="44.42578125" style="119" bestFit="1" customWidth="1"/>
    <col min="5379" max="5379" width="10.42578125" style="119" bestFit="1" customWidth="1"/>
    <col min="5380" max="5380" width="10.42578125" style="119" customWidth="1"/>
    <col min="5381" max="5383" width="9.5703125" style="119" bestFit="1" customWidth="1"/>
    <col min="5384" max="5384" width="10.42578125" style="119" bestFit="1" customWidth="1"/>
    <col min="5385" max="5385" width="4.5703125" style="119" customWidth="1"/>
    <col min="5386" max="5386" width="1.85546875" style="119" customWidth="1"/>
    <col min="5387" max="5387" width="7" style="119" bestFit="1" customWidth="1"/>
    <col min="5388" max="5388" width="6.42578125" style="119" customWidth="1"/>
    <col min="5389" max="5389" width="20.42578125" style="119" customWidth="1"/>
    <col min="5390" max="5390" width="6.42578125" style="119" bestFit="1" customWidth="1"/>
    <col min="5391" max="5392" width="8.42578125" style="119"/>
    <col min="5393" max="5393" width="3.42578125" style="119" customWidth="1"/>
    <col min="5394" max="5632" width="8.42578125" style="119"/>
    <col min="5633" max="5633" width="10" style="119" bestFit="1" customWidth="1"/>
    <col min="5634" max="5634" width="44.42578125" style="119" bestFit="1" customWidth="1"/>
    <col min="5635" max="5635" width="10.42578125" style="119" bestFit="1" customWidth="1"/>
    <col min="5636" max="5636" width="10.42578125" style="119" customWidth="1"/>
    <col min="5637" max="5639" width="9.5703125" style="119" bestFit="1" customWidth="1"/>
    <col min="5640" max="5640" width="10.42578125" style="119" bestFit="1" customWidth="1"/>
    <col min="5641" max="5641" width="4.5703125" style="119" customWidth="1"/>
    <col min="5642" max="5642" width="1.85546875" style="119" customWidth="1"/>
    <col min="5643" max="5643" width="7" style="119" bestFit="1" customWidth="1"/>
    <col min="5644" max="5644" width="6.42578125" style="119" customWidth="1"/>
    <col min="5645" max="5645" width="20.42578125" style="119" customWidth="1"/>
    <col min="5646" max="5646" width="6.42578125" style="119" bestFit="1" customWidth="1"/>
    <col min="5647" max="5648" width="8.42578125" style="119"/>
    <col min="5649" max="5649" width="3.42578125" style="119" customWidth="1"/>
    <col min="5650" max="5888" width="8.42578125" style="119"/>
    <col min="5889" max="5889" width="10" style="119" bestFit="1" customWidth="1"/>
    <col min="5890" max="5890" width="44.42578125" style="119" bestFit="1" customWidth="1"/>
    <col min="5891" max="5891" width="10.42578125" style="119" bestFit="1" customWidth="1"/>
    <col min="5892" max="5892" width="10.42578125" style="119" customWidth="1"/>
    <col min="5893" max="5895" width="9.5703125" style="119" bestFit="1" customWidth="1"/>
    <col min="5896" max="5896" width="10.42578125" style="119" bestFit="1" customWidth="1"/>
    <col min="5897" max="5897" width="4.5703125" style="119" customWidth="1"/>
    <col min="5898" max="5898" width="1.85546875" style="119" customWidth="1"/>
    <col min="5899" max="5899" width="7" style="119" bestFit="1" customWidth="1"/>
    <col min="5900" max="5900" width="6.42578125" style="119" customWidth="1"/>
    <col min="5901" max="5901" width="20.42578125" style="119" customWidth="1"/>
    <col min="5902" max="5902" width="6.42578125" style="119" bestFit="1" customWidth="1"/>
    <col min="5903" max="5904" width="8.42578125" style="119"/>
    <col min="5905" max="5905" width="3.42578125" style="119" customWidth="1"/>
    <col min="5906" max="6144" width="8.42578125" style="119"/>
    <col min="6145" max="6145" width="10" style="119" bestFit="1" customWidth="1"/>
    <col min="6146" max="6146" width="44.42578125" style="119" bestFit="1" customWidth="1"/>
    <col min="6147" max="6147" width="10.42578125" style="119" bestFit="1" customWidth="1"/>
    <col min="6148" max="6148" width="10.42578125" style="119" customWidth="1"/>
    <col min="6149" max="6151" width="9.5703125" style="119" bestFit="1" customWidth="1"/>
    <col min="6152" max="6152" width="10.42578125" style="119" bestFit="1" customWidth="1"/>
    <col min="6153" max="6153" width="4.5703125" style="119" customWidth="1"/>
    <col min="6154" max="6154" width="1.85546875" style="119" customWidth="1"/>
    <col min="6155" max="6155" width="7" style="119" bestFit="1" customWidth="1"/>
    <col min="6156" max="6156" width="6.42578125" style="119" customWidth="1"/>
    <col min="6157" max="6157" width="20.42578125" style="119" customWidth="1"/>
    <col min="6158" max="6158" width="6.42578125" style="119" bestFit="1" customWidth="1"/>
    <col min="6159" max="6160" width="8.42578125" style="119"/>
    <col min="6161" max="6161" width="3.42578125" style="119" customWidth="1"/>
    <col min="6162" max="6400" width="8.42578125" style="119"/>
    <col min="6401" max="6401" width="10" style="119" bestFit="1" customWidth="1"/>
    <col min="6402" max="6402" width="44.42578125" style="119" bestFit="1" customWidth="1"/>
    <col min="6403" max="6403" width="10.42578125" style="119" bestFit="1" customWidth="1"/>
    <col min="6404" max="6404" width="10.42578125" style="119" customWidth="1"/>
    <col min="6405" max="6407" width="9.5703125" style="119" bestFit="1" customWidth="1"/>
    <col min="6408" max="6408" width="10.42578125" style="119" bestFit="1" customWidth="1"/>
    <col min="6409" max="6409" width="4.5703125" style="119" customWidth="1"/>
    <col min="6410" max="6410" width="1.85546875" style="119" customWidth="1"/>
    <col min="6411" max="6411" width="7" style="119" bestFit="1" customWidth="1"/>
    <col min="6412" max="6412" width="6.42578125" style="119" customWidth="1"/>
    <col min="6413" max="6413" width="20.42578125" style="119" customWidth="1"/>
    <col min="6414" max="6414" width="6.42578125" style="119" bestFit="1" customWidth="1"/>
    <col min="6415" max="6416" width="8.42578125" style="119"/>
    <col min="6417" max="6417" width="3.42578125" style="119" customWidth="1"/>
    <col min="6418" max="6656" width="8.42578125" style="119"/>
    <col min="6657" max="6657" width="10" style="119" bestFit="1" customWidth="1"/>
    <col min="6658" max="6658" width="44.42578125" style="119" bestFit="1" customWidth="1"/>
    <col min="6659" max="6659" width="10.42578125" style="119" bestFit="1" customWidth="1"/>
    <col min="6660" max="6660" width="10.42578125" style="119" customWidth="1"/>
    <col min="6661" max="6663" width="9.5703125" style="119" bestFit="1" customWidth="1"/>
    <col min="6664" max="6664" width="10.42578125" style="119" bestFit="1" customWidth="1"/>
    <col min="6665" max="6665" width="4.5703125" style="119" customWidth="1"/>
    <col min="6666" max="6666" width="1.85546875" style="119" customWidth="1"/>
    <col min="6667" max="6667" width="7" style="119" bestFit="1" customWidth="1"/>
    <col min="6668" max="6668" width="6.42578125" style="119" customWidth="1"/>
    <col min="6669" max="6669" width="20.42578125" style="119" customWidth="1"/>
    <col min="6670" max="6670" width="6.42578125" style="119" bestFit="1" customWidth="1"/>
    <col min="6671" max="6672" width="8.42578125" style="119"/>
    <col min="6673" max="6673" width="3.42578125" style="119" customWidth="1"/>
    <col min="6674" max="6912" width="8.42578125" style="119"/>
    <col min="6913" max="6913" width="10" style="119" bestFit="1" customWidth="1"/>
    <col min="6914" max="6914" width="44.42578125" style="119" bestFit="1" customWidth="1"/>
    <col min="6915" max="6915" width="10.42578125" style="119" bestFit="1" customWidth="1"/>
    <col min="6916" max="6916" width="10.42578125" style="119" customWidth="1"/>
    <col min="6917" max="6919" width="9.5703125" style="119" bestFit="1" customWidth="1"/>
    <col min="6920" max="6920" width="10.42578125" style="119" bestFit="1" customWidth="1"/>
    <col min="6921" max="6921" width="4.5703125" style="119" customWidth="1"/>
    <col min="6922" max="6922" width="1.85546875" style="119" customWidth="1"/>
    <col min="6923" max="6923" width="7" style="119" bestFit="1" customWidth="1"/>
    <col min="6924" max="6924" width="6.42578125" style="119" customWidth="1"/>
    <col min="6925" max="6925" width="20.42578125" style="119" customWidth="1"/>
    <col min="6926" max="6926" width="6.42578125" style="119" bestFit="1" customWidth="1"/>
    <col min="6927" max="6928" width="8.42578125" style="119"/>
    <col min="6929" max="6929" width="3.42578125" style="119" customWidth="1"/>
    <col min="6930" max="7168" width="8.42578125" style="119"/>
    <col min="7169" max="7169" width="10" style="119" bestFit="1" customWidth="1"/>
    <col min="7170" max="7170" width="44.42578125" style="119" bestFit="1" customWidth="1"/>
    <col min="7171" max="7171" width="10.42578125" style="119" bestFit="1" customWidth="1"/>
    <col min="7172" max="7172" width="10.42578125" style="119" customWidth="1"/>
    <col min="7173" max="7175" width="9.5703125" style="119" bestFit="1" customWidth="1"/>
    <col min="7176" max="7176" width="10.42578125" style="119" bestFit="1" customWidth="1"/>
    <col min="7177" max="7177" width="4.5703125" style="119" customWidth="1"/>
    <col min="7178" max="7178" width="1.85546875" style="119" customWidth="1"/>
    <col min="7179" max="7179" width="7" style="119" bestFit="1" customWidth="1"/>
    <col min="7180" max="7180" width="6.42578125" style="119" customWidth="1"/>
    <col min="7181" max="7181" width="20.42578125" style="119" customWidth="1"/>
    <col min="7182" max="7182" width="6.42578125" style="119" bestFit="1" customWidth="1"/>
    <col min="7183" max="7184" width="8.42578125" style="119"/>
    <col min="7185" max="7185" width="3.42578125" style="119" customWidth="1"/>
    <col min="7186" max="7424" width="8.42578125" style="119"/>
    <col min="7425" max="7425" width="10" style="119" bestFit="1" customWidth="1"/>
    <col min="7426" max="7426" width="44.42578125" style="119" bestFit="1" customWidth="1"/>
    <col min="7427" max="7427" width="10.42578125" style="119" bestFit="1" customWidth="1"/>
    <col min="7428" max="7428" width="10.42578125" style="119" customWidth="1"/>
    <col min="7429" max="7431" width="9.5703125" style="119" bestFit="1" customWidth="1"/>
    <col min="7432" max="7432" width="10.42578125" style="119" bestFit="1" customWidth="1"/>
    <col min="7433" max="7433" width="4.5703125" style="119" customWidth="1"/>
    <col min="7434" max="7434" width="1.85546875" style="119" customWidth="1"/>
    <col min="7435" max="7435" width="7" style="119" bestFit="1" customWidth="1"/>
    <col min="7436" max="7436" width="6.42578125" style="119" customWidth="1"/>
    <col min="7437" max="7437" width="20.42578125" style="119" customWidth="1"/>
    <col min="7438" max="7438" width="6.42578125" style="119" bestFit="1" customWidth="1"/>
    <col min="7439" max="7440" width="8.42578125" style="119"/>
    <col min="7441" max="7441" width="3.42578125" style="119" customWidth="1"/>
    <col min="7442" max="7680" width="8.42578125" style="119"/>
    <col min="7681" max="7681" width="10" style="119" bestFit="1" customWidth="1"/>
    <col min="7682" max="7682" width="44.42578125" style="119" bestFit="1" customWidth="1"/>
    <col min="7683" max="7683" width="10.42578125" style="119" bestFit="1" customWidth="1"/>
    <col min="7684" max="7684" width="10.42578125" style="119" customWidth="1"/>
    <col min="7685" max="7687" width="9.5703125" style="119" bestFit="1" customWidth="1"/>
    <col min="7688" max="7688" width="10.42578125" style="119" bestFit="1" customWidth="1"/>
    <col min="7689" max="7689" width="4.5703125" style="119" customWidth="1"/>
    <col min="7690" max="7690" width="1.85546875" style="119" customWidth="1"/>
    <col min="7691" max="7691" width="7" style="119" bestFit="1" customWidth="1"/>
    <col min="7692" max="7692" width="6.42578125" style="119" customWidth="1"/>
    <col min="7693" max="7693" width="20.42578125" style="119" customWidth="1"/>
    <col min="7694" max="7694" width="6.42578125" style="119" bestFit="1" customWidth="1"/>
    <col min="7695" max="7696" width="8.42578125" style="119"/>
    <col min="7697" max="7697" width="3.42578125" style="119" customWidth="1"/>
    <col min="7698" max="7936" width="8.42578125" style="119"/>
    <col min="7937" max="7937" width="10" style="119" bestFit="1" customWidth="1"/>
    <col min="7938" max="7938" width="44.42578125" style="119" bestFit="1" customWidth="1"/>
    <col min="7939" max="7939" width="10.42578125" style="119" bestFit="1" customWidth="1"/>
    <col min="7940" max="7940" width="10.42578125" style="119" customWidth="1"/>
    <col min="7941" max="7943" width="9.5703125" style="119" bestFit="1" customWidth="1"/>
    <col min="7944" max="7944" width="10.42578125" style="119" bestFit="1" customWidth="1"/>
    <col min="7945" max="7945" width="4.5703125" style="119" customWidth="1"/>
    <col min="7946" max="7946" width="1.85546875" style="119" customWidth="1"/>
    <col min="7947" max="7947" width="7" style="119" bestFit="1" customWidth="1"/>
    <col min="7948" max="7948" width="6.42578125" style="119" customWidth="1"/>
    <col min="7949" max="7949" width="20.42578125" style="119" customWidth="1"/>
    <col min="7950" max="7950" width="6.42578125" style="119" bestFit="1" customWidth="1"/>
    <col min="7951" max="7952" width="8.42578125" style="119"/>
    <col min="7953" max="7953" width="3.42578125" style="119" customWidth="1"/>
    <col min="7954" max="8192" width="8.42578125" style="119"/>
    <col min="8193" max="8193" width="10" style="119" bestFit="1" customWidth="1"/>
    <col min="8194" max="8194" width="44.42578125" style="119" bestFit="1" customWidth="1"/>
    <col min="8195" max="8195" width="10.42578125" style="119" bestFit="1" customWidth="1"/>
    <col min="8196" max="8196" width="10.42578125" style="119" customWidth="1"/>
    <col min="8197" max="8199" width="9.5703125" style="119" bestFit="1" customWidth="1"/>
    <col min="8200" max="8200" width="10.42578125" style="119" bestFit="1" customWidth="1"/>
    <col min="8201" max="8201" width="4.5703125" style="119" customWidth="1"/>
    <col min="8202" max="8202" width="1.85546875" style="119" customWidth="1"/>
    <col min="8203" max="8203" width="7" style="119" bestFit="1" customWidth="1"/>
    <col min="8204" max="8204" width="6.42578125" style="119" customWidth="1"/>
    <col min="8205" max="8205" width="20.42578125" style="119" customWidth="1"/>
    <col min="8206" max="8206" width="6.42578125" style="119" bestFit="1" customWidth="1"/>
    <col min="8207" max="8208" width="8.42578125" style="119"/>
    <col min="8209" max="8209" width="3.42578125" style="119" customWidth="1"/>
    <col min="8210" max="8448" width="8.42578125" style="119"/>
    <col min="8449" max="8449" width="10" style="119" bestFit="1" customWidth="1"/>
    <col min="8450" max="8450" width="44.42578125" style="119" bestFit="1" customWidth="1"/>
    <col min="8451" max="8451" width="10.42578125" style="119" bestFit="1" customWidth="1"/>
    <col min="8452" max="8452" width="10.42578125" style="119" customWidth="1"/>
    <col min="8453" max="8455" width="9.5703125" style="119" bestFit="1" customWidth="1"/>
    <col min="8456" max="8456" width="10.42578125" style="119" bestFit="1" customWidth="1"/>
    <col min="8457" max="8457" width="4.5703125" style="119" customWidth="1"/>
    <col min="8458" max="8458" width="1.85546875" style="119" customWidth="1"/>
    <col min="8459" max="8459" width="7" style="119" bestFit="1" customWidth="1"/>
    <col min="8460" max="8460" width="6.42578125" style="119" customWidth="1"/>
    <col min="8461" max="8461" width="20.42578125" style="119" customWidth="1"/>
    <col min="8462" max="8462" width="6.42578125" style="119" bestFit="1" customWidth="1"/>
    <col min="8463" max="8464" width="8.42578125" style="119"/>
    <col min="8465" max="8465" width="3.42578125" style="119" customWidth="1"/>
    <col min="8466" max="8704" width="8.42578125" style="119"/>
    <col min="8705" max="8705" width="10" style="119" bestFit="1" customWidth="1"/>
    <col min="8706" max="8706" width="44.42578125" style="119" bestFit="1" customWidth="1"/>
    <col min="8707" max="8707" width="10.42578125" style="119" bestFit="1" customWidth="1"/>
    <col min="8708" max="8708" width="10.42578125" style="119" customWidth="1"/>
    <col min="8709" max="8711" width="9.5703125" style="119" bestFit="1" customWidth="1"/>
    <col min="8712" max="8712" width="10.42578125" style="119" bestFit="1" customWidth="1"/>
    <col min="8713" max="8713" width="4.5703125" style="119" customWidth="1"/>
    <col min="8714" max="8714" width="1.85546875" style="119" customWidth="1"/>
    <col min="8715" max="8715" width="7" style="119" bestFit="1" customWidth="1"/>
    <col min="8716" max="8716" width="6.42578125" style="119" customWidth="1"/>
    <col min="8717" max="8717" width="20.42578125" style="119" customWidth="1"/>
    <col min="8718" max="8718" width="6.42578125" style="119" bestFit="1" customWidth="1"/>
    <col min="8719" max="8720" width="8.42578125" style="119"/>
    <col min="8721" max="8721" width="3.42578125" style="119" customWidth="1"/>
    <col min="8722" max="8960" width="8.42578125" style="119"/>
    <col min="8961" max="8961" width="10" style="119" bestFit="1" customWidth="1"/>
    <col min="8962" max="8962" width="44.42578125" style="119" bestFit="1" customWidth="1"/>
    <col min="8963" max="8963" width="10.42578125" style="119" bestFit="1" customWidth="1"/>
    <col min="8964" max="8964" width="10.42578125" style="119" customWidth="1"/>
    <col min="8965" max="8967" width="9.5703125" style="119" bestFit="1" customWidth="1"/>
    <col min="8968" max="8968" width="10.42578125" style="119" bestFit="1" customWidth="1"/>
    <col min="8969" max="8969" width="4.5703125" style="119" customWidth="1"/>
    <col min="8970" max="8970" width="1.85546875" style="119" customWidth="1"/>
    <col min="8971" max="8971" width="7" style="119" bestFit="1" customWidth="1"/>
    <col min="8972" max="8972" width="6.42578125" style="119" customWidth="1"/>
    <col min="8973" max="8973" width="20.42578125" style="119" customWidth="1"/>
    <col min="8974" max="8974" width="6.42578125" style="119" bestFit="1" customWidth="1"/>
    <col min="8975" max="8976" width="8.42578125" style="119"/>
    <col min="8977" max="8977" width="3.42578125" style="119" customWidth="1"/>
    <col min="8978" max="9216" width="8.42578125" style="119"/>
    <col min="9217" max="9217" width="10" style="119" bestFit="1" customWidth="1"/>
    <col min="9218" max="9218" width="44.42578125" style="119" bestFit="1" customWidth="1"/>
    <col min="9219" max="9219" width="10.42578125" style="119" bestFit="1" customWidth="1"/>
    <col min="9220" max="9220" width="10.42578125" style="119" customWidth="1"/>
    <col min="9221" max="9223" width="9.5703125" style="119" bestFit="1" customWidth="1"/>
    <col min="9224" max="9224" width="10.42578125" style="119" bestFit="1" customWidth="1"/>
    <col min="9225" max="9225" width="4.5703125" style="119" customWidth="1"/>
    <col min="9226" max="9226" width="1.85546875" style="119" customWidth="1"/>
    <col min="9227" max="9227" width="7" style="119" bestFit="1" customWidth="1"/>
    <col min="9228" max="9228" width="6.42578125" style="119" customWidth="1"/>
    <col min="9229" max="9229" width="20.42578125" style="119" customWidth="1"/>
    <col min="9230" max="9230" width="6.42578125" style="119" bestFit="1" customWidth="1"/>
    <col min="9231" max="9232" width="8.42578125" style="119"/>
    <col min="9233" max="9233" width="3.42578125" style="119" customWidth="1"/>
    <col min="9234" max="9472" width="8.42578125" style="119"/>
    <col min="9473" max="9473" width="10" style="119" bestFit="1" customWidth="1"/>
    <col min="9474" max="9474" width="44.42578125" style="119" bestFit="1" customWidth="1"/>
    <col min="9475" max="9475" width="10.42578125" style="119" bestFit="1" customWidth="1"/>
    <col min="9476" max="9476" width="10.42578125" style="119" customWidth="1"/>
    <col min="9477" max="9479" width="9.5703125" style="119" bestFit="1" customWidth="1"/>
    <col min="9480" max="9480" width="10.42578125" style="119" bestFit="1" customWidth="1"/>
    <col min="9481" max="9481" width="4.5703125" style="119" customWidth="1"/>
    <col min="9482" max="9482" width="1.85546875" style="119" customWidth="1"/>
    <col min="9483" max="9483" width="7" style="119" bestFit="1" customWidth="1"/>
    <col min="9484" max="9484" width="6.42578125" style="119" customWidth="1"/>
    <col min="9485" max="9485" width="20.42578125" style="119" customWidth="1"/>
    <col min="9486" max="9486" width="6.42578125" style="119" bestFit="1" customWidth="1"/>
    <col min="9487" max="9488" width="8.42578125" style="119"/>
    <col min="9489" max="9489" width="3.42578125" style="119" customWidth="1"/>
    <col min="9490" max="9728" width="8.42578125" style="119"/>
    <col min="9729" max="9729" width="10" style="119" bestFit="1" customWidth="1"/>
    <col min="9730" max="9730" width="44.42578125" style="119" bestFit="1" customWidth="1"/>
    <col min="9731" max="9731" width="10.42578125" style="119" bestFit="1" customWidth="1"/>
    <col min="9732" max="9732" width="10.42578125" style="119" customWidth="1"/>
    <col min="9733" max="9735" width="9.5703125" style="119" bestFit="1" customWidth="1"/>
    <col min="9736" max="9736" width="10.42578125" style="119" bestFit="1" customWidth="1"/>
    <col min="9737" max="9737" width="4.5703125" style="119" customWidth="1"/>
    <col min="9738" max="9738" width="1.85546875" style="119" customWidth="1"/>
    <col min="9739" max="9739" width="7" style="119" bestFit="1" customWidth="1"/>
    <col min="9740" max="9740" width="6.42578125" style="119" customWidth="1"/>
    <col min="9741" max="9741" width="20.42578125" style="119" customWidth="1"/>
    <col min="9742" max="9742" width="6.42578125" style="119" bestFit="1" customWidth="1"/>
    <col min="9743" max="9744" width="8.42578125" style="119"/>
    <col min="9745" max="9745" width="3.42578125" style="119" customWidth="1"/>
    <col min="9746" max="9984" width="8.42578125" style="119"/>
    <col min="9985" max="9985" width="10" style="119" bestFit="1" customWidth="1"/>
    <col min="9986" max="9986" width="44.42578125" style="119" bestFit="1" customWidth="1"/>
    <col min="9987" max="9987" width="10.42578125" style="119" bestFit="1" customWidth="1"/>
    <col min="9988" max="9988" width="10.42578125" style="119" customWidth="1"/>
    <col min="9989" max="9991" width="9.5703125" style="119" bestFit="1" customWidth="1"/>
    <col min="9992" max="9992" width="10.42578125" style="119" bestFit="1" customWidth="1"/>
    <col min="9993" max="9993" width="4.5703125" style="119" customWidth="1"/>
    <col min="9994" max="9994" width="1.85546875" style="119" customWidth="1"/>
    <col min="9995" max="9995" width="7" style="119" bestFit="1" customWidth="1"/>
    <col min="9996" max="9996" width="6.42578125" style="119" customWidth="1"/>
    <col min="9997" max="9997" width="20.42578125" style="119" customWidth="1"/>
    <col min="9998" max="9998" width="6.42578125" style="119" bestFit="1" customWidth="1"/>
    <col min="9999" max="10000" width="8.42578125" style="119"/>
    <col min="10001" max="10001" width="3.42578125" style="119" customWidth="1"/>
    <col min="10002" max="10240" width="8.42578125" style="119"/>
    <col min="10241" max="10241" width="10" style="119" bestFit="1" customWidth="1"/>
    <col min="10242" max="10242" width="44.42578125" style="119" bestFit="1" customWidth="1"/>
    <col min="10243" max="10243" width="10.42578125" style="119" bestFit="1" customWidth="1"/>
    <col min="10244" max="10244" width="10.42578125" style="119" customWidth="1"/>
    <col min="10245" max="10247" width="9.5703125" style="119" bestFit="1" customWidth="1"/>
    <col min="10248" max="10248" width="10.42578125" style="119" bestFit="1" customWidth="1"/>
    <col min="10249" max="10249" width="4.5703125" style="119" customWidth="1"/>
    <col min="10250" max="10250" width="1.85546875" style="119" customWidth="1"/>
    <col min="10251" max="10251" width="7" style="119" bestFit="1" customWidth="1"/>
    <col min="10252" max="10252" width="6.42578125" style="119" customWidth="1"/>
    <col min="10253" max="10253" width="20.42578125" style="119" customWidth="1"/>
    <col min="10254" max="10254" width="6.42578125" style="119" bestFit="1" customWidth="1"/>
    <col min="10255" max="10256" width="8.42578125" style="119"/>
    <col min="10257" max="10257" width="3.42578125" style="119" customWidth="1"/>
    <col min="10258" max="10496" width="8.42578125" style="119"/>
    <col min="10497" max="10497" width="10" style="119" bestFit="1" customWidth="1"/>
    <col min="10498" max="10498" width="44.42578125" style="119" bestFit="1" customWidth="1"/>
    <col min="10499" max="10499" width="10.42578125" style="119" bestFit="1" customWidth="1"/>
    <col min="10500" max="10500" width="10.42578125" style="119" customWidth="1"/>
    <col min="10501" max="10503" width="9.5703125" style="119" bestFit="1" customWidth="1"/>
    <col min="10504" max="10504" width="10.42578125" style="119" bestFit="1" customWidth="1"/>
    <col min="10505" max="10505" width="4.5703125" style="119" customWidth="1"/>
    <col min="10506" max="10506" width="1.85546875" style="119" customWidth="1"/>
    <col min="10507" max="10507" width="7" style="119" bestFit="1" customWidth="1"/>
    <col min="10508" max="10508" width="6.42578125" style="119" customWidth="1"/>
    <col min="10509" max="10509" width="20.42578125" style="119" customWidth="1"/>
    <col min="10510" max="10510" width="6.42578125" style="119" bestFit="1" customWidth="1"/>
    <col min="10511" max="10512" width="8.42578125" style="119"/>
    <col min="10513" max="10513" width="3.42578125" style="119" customWidth="1"/>
    <col min="10514" max="10752" width="8.42578125" style="119"/>
    <col min="10753" max="10753" width="10" style="119" bestFit="1" customWidth="1"/>
    <col min="10754" max="10754" width="44.42578125" style="119" bestFit="1" customWidth="1"/>
    <col min="10755" max="10755" width="10.42578125" style="119" bestFit="1" customWidth="1"/>
    <col min="10756" max="10756" width="10.42578125" style="119" customWidth="1"/>
    <col min="10757" max="10759" width="9.5703125" style="119" bestFit="1" customWidth="1"/>
    <col min="10760" max="10760" width="10.42578125" style="119" bestFit="1" customWidth="1"/>
    <col min="10761" max="10761" width="4.5703125" style="119" customWidth="1"/>
    <col min="10762" max="10762" width="1.85546875" style="119" customWidth="1"/>
    <col min="10763" max="10763" width="7" style="119" bestFit="1" customWidth="1"/>
    <col min="10764" max="10764" width="6.42578125" style="119" customWidth="1"/>
    <col min="10765" max="10765" width="20.42578125" style="119" customWidth="1"/>
    <col min="10766" max="10766" width="6.42578125" style="119" bestFit="1" customWidth="1"/>
    <col min="10767" max="10768" width="8.42578125" style="119"/>
    <col min="10769" max="10769" width="3.42578125" style="119" customWidth="1"/>
    <col min="10770" max="11008" width="8.42578125" style="119"/>
    <col min="11009" max="11009" width="10" style="119" bestFit="1" customWidth="1"/>
    <col min="11010" max="11010" width="44.42578125" style="119" bestFit="1" customWidth="1"/>
    <col min="11011" max="11011" width="10.42578125" style="119" bestFit="1" customWidth="1"/>
    <col min="11012" max="11012" width="10.42578125" style="119" customWidth="1"/>
    <col min="11013" max="11015" width="9.5703125" style="119" bestFit="1" customWidth="1"/>
    <col min="11016" max="11016" width="10.42578125" style="119" bestFit="1" customWidth="1"/>
    <col min="11017" max="11017" width="4.5703125" style="119" customWidth="1"/>
    <col min="11018" max="11018" width="1.85546875" style="119" customWidth="1"/>
    <col min="11019" max="11019" width="7" style="119" bestFit="1" customWidth="1"/>
    <col min="11020" max="11020" width="6.42578125" style="119" customWidth="1"/>
    <col min="11021" max="11021" width="20.42578125" style="119" customWidth="1"/>
    <col min="11022" max="11022" width="6.42578125" style="119" bestFit="1" customWidth="1"/>
    <col min="11023" max="11024" width="8.42578125" style="119"/>
    <col min="11025" max="11025" width="3.42578125" style="119" customWidth="1"/>
    <col min="11026" max="11264" width="8.42578125" style="119"/>
    <col min="11265" max="11265" width="10" style="119" bestFit="1" customWidth="1"/>
    <col min="11266" max="11266" width="44.42578125" style="119" bestFit="1" customWidth="1"/>
    <col min="11267" max="11267" width="10.42578125" style="119" bestFit="1" customWidth="1"/>
    <col min="11268" max="11268" width="10.42578125" style="119" customWidth="1"/>
    <col min="11269" max="11271" width="9.5703125" style="119" bestFit="1" customWidth="1"/>
    <col min="11272" max="11272" width="10.42578125" style="119" bestFit="1" customWidth="1"/>
    <col min="11273" max="11273" width="4.5703125" style="119" customWidth="1"/>
    <col min="11274" max="11274" width="1.85546875" style="119" customWidth="1"/>
    <col min="11275" max="11275" width="7" style="119" bestFit="1" customWidth="1"/>
    <col min="11276" max="11276" width="6.42578125" style="119" customWidth="1"/>
    <col min="11277" max="11277" width="20.42578125" style="119" customWidth="1"/>
    <col min="11278" max="11278" width="6.42578125" style="119" bestFit="1" customWidth="1"/>
    <col min="11279" max="11280" width="8.42578125" style="119"/>
    <col min="11281" max="11281" width="3.42578125" style="119" customWidth="1"/>
    <col min="11282" max="11520" width="8.42578125" style="119"/>
    <col min="11521" max="11521" width="10" style="119" bestFit="1" customWidth="1"/>
    <col min="11522" max="11522" width="44.42578125" style="119" bestFit="1" customWidth="1"/>
    <col min="11523" max="11523" width="10.42578125" style="119" bestFit="1" customWidth="1"/>
    <col min="11524" max="11524" width="10.42578125" style="119" customWidth="1"/>
    <col min="11525" max="11527" width="9.5703125" style="119" bestFit="1" customWidth="1"/>
    <col min="11528" max="11528" width="10.42578125" style="119" bestFit="1" customWidth="1"/>
    <col min="11529" max="11529" width="4.5703125" style="119" customWidth="1"/>
    <col min="11530" max="11530" width="1.85546875" style="119" customWidth="1"/>
    <col min="11531" max="11531" width="7" style="119" bestFit="1" customWidth="1"/>
    <col min="11532" max="11532" width="6.42578125" style="119" customWidth="1"/>
    <col min="11533" max="11533" width="20.42578125" style="119" customWidth="1"/>
    <col min="11534" max="11534" width="6.42578125" style="119" bestFit="1" customWidth="1"/>
    <col min="11535" max="11536" width="8.42578125" style="119"/>
    <col min="11537" max="11537" width="3.42578125" style="119" customWidth="1"/>
    <col min="11538" max="11776" width="8.42578125" style="119"/>
    <col min="11777" max="11777" width="10" style="119" bestFit="1" customWidth="1"/>
    <col min="11778" max="11778" width="44.42578125" style="119" bestFit="1" customWidth="1"/>
    <col min="11779" max="11779" width="10.42578125" style="119" bestFit="1" customWidth="1"/>
    <col min="11780" max="11780" width="10.42578125" style="119" customWidth="1"/>
    <col min="11781" max="11783" width="9.5703125" style="119" bestFit="1" customWidth="1"/>
    <col min="11784" max="11784" width="10.42578125" style="119" bestFit="1" customWidth="1"/>
    <col min="11785" max="11785" width="4.5703125" style="119" customWidth="1"/>
    <col min="11786" max="11786" width="1.85546875" style="119" customWidth="1"/>
    <col min="11787" max="11787" width="7" style="119" bestFit="1" customWidth="1"/>
    <col min="11788" max="11788" width="6.42578125" style="119" customWidth="1"/>
    <col min="11789" max="11789" width="20.42578125" style="119" customWidth="1"/>
    <col min="11790" max="11790" width="6.42578125" style="119" bestFit="1" customWidth="1"/>
    <col min="11791" max="11792" width="8.42578125" style="119"/>
    <col min="11793" max="11793" width="3.42578125" style="119" customWidth="1"/>
    <col min="11794" max="12032" width="8.42578125" style="119"/>
    <col min="12033" max="12033" width="10" style="119" bestFit="1" customWidth="1"/>
    <col min="12034" max="12034" width="44.42578125" style="119" bestFit="1" customWidth="1"/>
    <col min="12035" max="12035" width="10.42578125" style="119" bestFit="1" customWidth="1"/>
    <col min="12036" max="12036" width="10.42578125" style="119" customWidth="1"/>
    <col min="12037" max="12039" width="9.5703125" style="119" bestFit="1" customWidth="1"/>
    <col min="12040" max="12040" width="10.42578125" style="119" bestFit="1" customWidth="1"/>
    <col min="12041" max="12041" width="4.5703125" style="119" customWidth="1"/>
    <col min="12042" max="12042" width="1.85546875" style="119" customWidth="1"/>
    <col min="12043" max="12043" width="7" style="119" bestFit="1" customWidth="1"/>
    <col min="12044" max="12044" width="6.42578125" style="119" customWidth="1"/>
    <col min="12045" max="12045" width="20.42578125" style="119" customWidth="1"/>
    <col min="12046" max="12046" width="6.42578125" style="119" bestFit="1" customWidth="1"/>
    <col min="12047" max="12048" width="8.42578125" style="119"/>
    <col min="12049" max="12049" width="3.42578125" style="119" customWidth="1"/>
    <col min="12050" max="12288" width="8.42578125" style="119"/>
    <col min="12289" max="12289" width="10" style="119" bestFit="1" customWidth="1"/>
    <col min="12290" max="12290" width="44.42578125" style="119" bestFit="1" customWidth="1"/>
    <col min="12291" max="12291" width="10.42578125" style="119" bestFit="1" customWidth="1"/>
    <col min="12292" max="12292" width="10.42578125" style="119" customWidth="1"/>
    <col min="12293" max="12295" width="9.5703125" style="119" bestFit="1" customWidth="1"/>
    <col min="12296" max="12296" width="10.42578125" style="119" bestFit="1" customWidth="1"/>
    <col min="12297" max="12297" width="4.5703125" style="119" customWidth="1"/>
    <col min="12298" max="12298" width="1.85546875" style="119" customWidth="1"/>
    <col min="12299" max="12299" width="7" style="119" bestFit="1" customWidth="1"/>
    <col min="12300" max="12300" width="6.42578125" style="119" customWidth="1"/>
    <col min="12301" max="12301" width="20.42578125" style="119" customWidth="1"/>
    <col min="12302" max="12302" width="6.42578125" style="119" bestFit="1" customWidth="1"/>
    <col min="12303" max="12304" width="8.42578125" style="119"/>
    <col min="12305" max="12305" width="3.42578125" style="119" customWidth="1"/>
    <col min="12306" max="12544" width="8.42578125" style="119"/>
    <col min="12545" max="12545" width="10" style="119" bestFit="1" customWidth="1"/>
    <col min="12546" max="12546" width="44.42578125" style="119" bestFit="1" customWidth="1"/>
    <col min="12547" max="12547" width="10.42578125" style="119" bestFit="1" customWidth="1"/>
    <col min="12548" max="12548" width="10.42578125" style="119" customWidth="1"/>
    <col min="12549" max="12551" width="9.5703125" style="119" bestFit="1" customWidth="1"/>
    <col min="12552" max="12552" width="10.42578125" style="119" bestFit="1" customWidth="1"/>
    <col min="12553" max="12553" width="4.5703125" style="119" customWidth="1"/>
    <col min="12554" max="12554" width="1.85546875" style="119" customWidth="1"/>
    <col min="12555" max="12555" width="7" style="119" bestFit="1" customWidth="1"/>
    <col min="12556" max="12556" width="6.42578125" style="119" customWidth="1"/>
    <col min="12557" max="12557" width="20.42578125" style="119" customWidth="1"/>
    <col min="12558" max="12558" width="6.42578125" style="119" bestFit="1" customWidth="1"/>
    <col min="12559" max="12560" width="8.42578125" style="119"/>
    <col min="12561" max="12561" width="3.42578125" style="119" customWidth="1"/>
    <col min="12562" max="12800" width="8.42578125" style="119"/>
    <col min="12801" max="12801" width="10" style="119" bestFit="1" customWidth="1"/>
    <col min="12802" max="12802" width="44.42578125" style="119" bestFit="1" customWidth="1"/>
    <col min="12803" max="12803" width="10.42578125" style="119" bestFit="1" customWidth="1"/>
    <col min="12804" max="12804" width="10.42578125" style="119" customWidth="1"/>
    <col min="12805" max="12807" width="9.5703125" style="119" bestFit="1" customWidth="1"/>
    <col min="12808" max="12808" width="10.42578125" style="119" bestFit="1" customWidth="1"/>
    <col min="12809" max="12809" width="4.5703125" style="119" customWidth="1"/>
    <col min="12810" max="12810" width="1.85546875" style="119" customWidth="1"/>
    <col min="12811" max="12811" width="7" style="119" bestFit="1" customWidth="1"/>
    <col min="12812" max="12812" width="6.42578125" style="119" customWidth="1"/>
    <col min="12813" max="12813" width="20.42578125" style="119" customWidth="1"/>
    <col min="12814" max="12814" width="6.42578125" style="119" bestFit="1" customWidth="1"/>
    <col min="12815" max="12816" width="8.42578125" style="119"/>
    <col min="12817" max="12817" width="3.42578125" style="119" customWidth="1"/>
    <col min="12818" max="13056" width="8.42578125" style="119"/>
    <col min="13057" max="13057" width="10" style="119" bestFit="1" customWidth="1"/>
    <col min="13058" max="13058" width="44.42578125" style="119" bestFit="1" customWidth="1"/>
    <col min="13059" max="13059" width="10.42578125" style="119" bestFit="1" customWidth="1"/>
    <col min="13060" max="13060" width="10.42578125" style="119" customWidth="1"/>
    <col min="13061" max="13063" width="9.5703125" style="119" bestFit="1" customWidth="1"/>
    <col min="13064" max="13064" width="10.42578125" style="119" bestFit="1" customWidth="1"/>
    <col min="13065" max="13065" width="4.5703125" style="119" customWidth="1"/>
    <col min="13066" max="13066" width="1.85546875" style="119" customWidth="1"/>
    <col min="13067" max="13067" width="7" style="119" bestFit="1" customWidth="1"/>
    <col min="13068" max="13068" width="6.42578125" style="119" customWidth="1"/>
    <col min="13069" max="13069" width="20.42578125" style="119" customWidth="1"/>
    <col min="13070" max="13070" width="6.42578125" style="119" bestFit="1" customWidth="1"/>
    <col min="13071" max="13072" width="8.42578125" style="119"/>
    <col min="13073" max="13073" width="3.42578125" style="119" customWidth="1"/>
    <col min="13074" max="13312" width="8.42578125" style="119"/>
    <col min="13313" max="13313" width="10" style="119" bestFit="1" customWidth="1"/>
    <col min="13314" max="13314" width="44.42578125" style="119" bestFit="1" customWidth="1"/>
    <col min="13315" max="13315" width="10.42578125" style="119" bestFit="1" customWidth="1"/>
    <col min="13316" max="13316" width="10.42578125" style="119" customWidth="1"/>
    <col min="13317" max="13319" width="9.5703125" style="119" bestFit="1" customWidth="1"/>
    <col min="13320" max="13320" width="10.42578125" style="119" bestFit="1" customWidth="1"/>
    <col min="13321" max="13321" width="4.5703125" style="119" customWidth="1"/>
    <col min="13322" max="13322" width="1.85546875" style="119" customWidth="1"/>
    <col min="13323" max="13323" width="7" style="119" bestFit="1" customWidth="1"/>
    <col min="13324" max="13324" width="6.42578125" style="119" customWidth="1"/>
    <col min="13325" max="13325" width="20.42578125" style="119" customWidth="1"/>
    <col min="13326" max="13326" width="6.42578125" style="119" bestFit="1" customWidth="1"/>
    <col min="13327" max="13328" width="8.42578125" style="119"/>
    <col min="13329" max="13329" width="3.42578125" style="119" customWidth="1"/>
    <col min="13330" max="13568" width="8.42578125" style="119"/>
    <col min="13569" max="13569" width="10" style="119" bestFit="1" customWidth="1"/>
    <col min="13570" max="13570" width="44.42578125" style="119" bestFit="1" customWidth="1"/>
    <col min="13571" max="13571" width="10.42578125" style="119" bestFit="1" customWidth="1"/>
    <col min="13572" max="13572" width="10.42578125" style="119" customWidth="1"/>
    <col min="13573" max="13575" width="9.5703125" style="119" bestFit="1" customWidth="1"/>
    <col min="13576" max="13576" width="10.42578125" style="119" bestFit="1" customWidth="1"/>
    <col min="13577" max="13577" width="4.5703125" style="119" customWidth="1"/>
    <col min="13578" max="13578" width="1.85546875" style="119" customWidth="1"/>
    <col min="13579" max="13579" width="7" style="119" bestFit="1" customWidth="1"/>
    <col min="13580" max="13580" width="6.42578125" style="119" customWidth="1"/>
    <col min="13581" max="13581" width="20.42578125" style="119" customWidth="1"/>
    <col min="13582" max="13582" width="6.42578125" style="119" bestFit="1" customWidth="1"/>
    <col min="13583" max="13584" width="8.42578125" style="119"/>
    <col min="13585" max="13585" width="3.42578125" style="119" customWidth="1"/>
    <col min="13586" max="13824" width="8.42578125" style="119"/>
    <col min="13825" max="13825" width="10" style="119" bestFit="1" customWidth="1"/>
    <col min="13826" max="13826" width="44.42578125" style="119" bestFit="1" customWidth="1"/>
    <col min="13827" max="13827" width="10.42578125" style="119" bestFit="1" customWidth="1"/>
    <col min="13828" max="13828" width="10.42578125" style="119" customWidth="1"/>
    <col min="13829" max="13831" width="9.5703125" style="119" bestFit="1" customWidth="1"/>
    <col min="13832" max="13832" width="10.42578125" style="119" bestFit="1" customWidth="1"/>
    <col min="13833" max="13833" width="4.5703125" style="119" customWidth="1"/>
    <col min="13834" max="13834" width="1.85546875" style="119" customWidth="1"/>
    <col min="13835" max="13835" width="7" style="119" bestFit="1" customWidth="1"/>
    <col min="13836" max="13836" width="6.42578125" style="119" customWidth="1"/>
    <col min="13837" max="13837" width="20.42578125" style="119" customWidth="1"/>
    <col min="13838" max="13838" width="6.42578125" style="119" bestFit="1" customWidth="1"/>
    <col min="13839" max="13840" width="8.42578125" style="119"/>
    <col min="13841" max="13841" width="3.42578125" style="119" customWidth="1"/>
    <col min="13842" max="14080" width="8.42578125" style="119"/>
    <col min="14081" max="14081" width="10" style="119" bestFit="1" customWidth="1"/>
    <col min="14082" max="14082" width="44.42578125" style="119" bestFit="1" customWidth="1"/>
    <col min="14083" max="14083" width="10.42578125" style="119" bestFit="1" customWidth="1"/>
    <col min="14084" max="14084" width="10.42578125" style="119" customWidth="1"/>
    <col min="14085" max="14087" width="9.5703125" style="119" bestFit="1" customWidth="1"/>
    <col min="14088" max="14088" width="10.42578125" style="119" bestFit="1" customWidth="1"/>
    <col min="14089" max="14089" width="4.5703125" style="119" customWidth="1"/>
    <col min="14090" max="14090" width="1.85546875" style="119" customWidth="1"/>
    <col min="14091" max="14091" width="7" style="119" bestFit="1" customWidth="1"/>
    <col min="14092" max="14092" width="6.42578125" style="119" customWidth="1"/>
    <col min="14093" max="14093" width="20.42578125" style="119" customWidth="1"/>
    <col min="14094" max="14094" width="6.42578125" style="119" bestFit="1" customWidth="1"/>
    <col min="14095" max="14096" width="8.42578125" style="119"/>
    <col min="14097" max="14097" width="3.42578125" style="119" customWidth="1"/>
    <col min="14098" max="14336" width="8.42578125" style="119"/>
    <col min="14337" max="14337" width="10" style="119" bestFit="1" customWidth="1"/>
    <col min="14338" max="14338" width="44.42578125" style="119" bestFit="1" customWidth="1"/>
    <col min="14339" max="14339" width="10.42578125" style="119" bestFit="1" customWidth="1"/>
    <col min="14340" max="14340" width="10.42578125" style="119" customWidth="1"/>
    <col min="14341" max="14343" width="9.5703125" style="119" bestFit="1" customWidth="1"/>
    <col min="14344" max="14344" width="10.42578125" style="119" bestFit="1" customWidth="1"/>
    <col min="14345" max="14345" width="4.5703125" style="119" customWidth="1"/>
    <col min="14346" max="14346" width="1.85546875" style="119" customWidth="1"/>
    <col min="14347" max="14347" width="7" style="119" bestFit="1" customWidth="1"/>
    <col min="14348" max="14348" width="6.42578125" style="119" customWidth="1"/>
    <col min="14349" max="14349" width="20.42578125" style="119" customWidth="1"/>
    <col min="14350" max="14350" width="6.42578125" style="119" bestFit="1" customWidth="1"/>
    <col min="14351" max="14352" width="8.42578125" style="119"/>
    <col min="14353" max="14353" width="3.42578125" style="119" customWidth="1"/>
    <col min="14354" max="14592" width="8.42578125" style="119"/>
    <col min="14593" max="14593" width="10" style="119" bestFit="1" customWidth="1"/>
    <col min="14594" max="14594" width="44.42578125" style="119" bestFit="1" customWidth="1"/>
    <col min="14595" max="14595" width="10.42578125" style="119" bestFit="1" customWidth="1"/>
    <col min="14596" max="14596" width="10.42578125" style="119" customWidth="1"/>
    <col min="14597" max="14599" width="9.5703125" style="119" bestFit="1" customWidth="1"/>
    <col min="14600" max="14600" width="10.42578125" style="119" bestFit="1" customWidth="1"/>
    <col min="14601" max="14601" width="4.5703125" style="119" customWidth="1"/>
    <col min="14602" max="14602" width="1.85546875" style="119" customWidth="1"/>
    <col min="14603" max="14603" width="7" style="119" bestFit="1" customWidth="1"/>
    <col min="14604" max="14604" width="6.42578125" style="119" customWidth="1"/>
    <col min="14605" max="14605" width="20.42578125" style="119" customWidth="1"/>
    <col min="14606" max="14606" width="6.42578125" style="119" bestFit="1" customWidth="1"/>
    <col min="14607" max="14608" width="8.42578125" style="119"/>
    <col min="14609" max="14609" width="3.42578125" style="119" customWidth="1"/>
    <col min="14610" max="14848" width="8.42578125" style="119"/>
    <col min="14849" max="14849" width="10" style="119" bestFit="1" customWidth="1"/>
    <col min="14850" max="14850" width="44.42578125" style="119" bestFit="1" customWidth="1"/>
    <col min="14851" max="14851" width="10.42578125" style="119" bestFit="1" customWidth="1"/>
    <col min="14852" max="14852" width="10.42578125" style="119" customWidth="1"/>
    <col min="14853" max="14855" width="9.5703125" style="119" bestFit="1" customWidth="1"/>
    <col min="14856" max="14856" width="10.42578125" style="119" bestFit="1" customWidth="1"/>
    <col min="14857" max="14857" width="4.5703125" style="119" customWidth="1"/>
    <col min="14858" max="14858" width="1.85546875" style="119" customWidth="1"/>
    <col min="14859" max="14859" width="7" style="119" bestFit="1" customWidth="1"/>
    <col min="14860" max="14860" width="6.42578125" style="119" customWidth="1"/>
    <col min="14861" max="14861" width="20.42578125" style="119" customWidth="1"/>
    <col min="14862" max="14862" width="6.42578125" style="119" bestFit="1" customWidth="1"/>
    <col min="14863" max="14864" width="8.42578125" style="119"/>
    <col min="14865" max="14865" width="3.42578125" style="119" customWidth="1"/>
    <col min="14866" max="15104" width="8.42578125" style="119"/>
    <col min="15105" max="15105" width="10" style="119" bestFit="1" customWidth="1"/>
    <col min="15106" max="15106" width="44.42578125" style="119" bestFit="1" customWidth="1"/>
    <col min="15107" max="15107" width="10.42578125" style="119" bestFit="1" customWidth="1"/>
    <col min="15108" max="15108" width="10.42578125" style="119" customWidth="1"/>
    <col min="15109" max="15111" width="9.5703125" style="119" bestFit="1" customWidth="1"/>
    <col min="15112" max="15112" width="10.42578125" style="119" bestFit="1" customWidth="1"/>
    <col min="15113" max="15113" width="4.5703125" style="119" customWidth="1"/>
    <col min="15114" max="15114" width="1.85546875" style="119" customWidth="1"/>
    <col min="15115" max="15115" width="7" style="119" bestFit="1" customWidth="1"/>
    <col min="15116" max="15116" width="6.42578125" style="119" customWidth="1"/>
    <col min="15117" max="15117" width="20.42578125" style="119" customWidth="1"/>
    <col min="15118" max="15118" width="6.42578125" style="119" bestFit="1" customWidth="1"/>
    <col min="15119" max="15120" width="8.42578125" style="119"/>
    <col min="15121" max="15121" width="3.42578125" style="119" customWidth="1"/>
    <col min="15122" max="15360" width="8.42578125" style="119"/>
    <col min="15361" max="15361" width="10" style="119" bestFit="1" customWidth="1"/>
    <col min="15362" max="15362" width="44.42578125" style="119" bestFit="1" customWidth="1"/>
    <col min="15363" max="15363" width="10.42578125" style="119" bestFit="1" customWidth="1"/>
    <col min="15364" max="15364" width="10.42578125" style="119" customWidth="1"/>
    <col min="15365" max="15367" width="9.5703125" style="119" bestFit="1" customWidth="1"/>
    <col min="15368" max="15368" width="10.42578125" style="119" bestFit="1" customWidth="1"/>
    <col min="15369" max="15369" width="4.5703125" style="119" customWidth="1"/>
    <col min="15370" max="15370" width="1.85546875" style="119" customWidth="1"/>
    <col min="15371" max="15371" width="7" style="119" bestFit="1" customWidth="1"/>
    <col min="15372" max="15372" width="6.42578125" style="119" customWidth="1"/>
    <col min="15373" max="15373" width="20.42578125" style="119" customWidth="1"/>
    <col min="15374" max="15374" width="6.42578125" style="119" bestFit="1" customWidth="1"/>
    <col min="15375" max="15376" width="8.42578125" style="119"/>
    <col min="15377" max="15377" width="3.42578125" style="119" customWidth="1"/>
    <col min="15378" max="15616" width="8.42578125" style="119"/>
    <col min="15617" max="15617" width="10" style="119" bestFit="1" customWidth="1"/>
    <col min="15618" max="15618" width="44.42578125" style="119" bestFit="1" customWidth="1"/>
    <col min="15619" max="15619" width="10.42578125" style="119" bestFit="1" customWidth="1"/>
    <col min="15620" max="15620" width="10.42578125" style="119" customWidth="1"/>
    <col min="15621" max="15623" width="9.5703125" style="119" bestFit="1" customWidth="1"/>
    <col min="15624" max="15624" width="10.42578125" style="119" bestFit="1" customWidth="1"/>
    <col min="15625" max="15625" width="4.5703125" style="119" customWidth="1"/>
    <col min="15626" max="15626" width="1.85546875" style="119" customWidth="1"/>
    <col min="15627" max="15627" width="7" style="119" bestFit="1" customWidth="1"/>
    <col min="15628" max="15628" width="6.42578125" style="119" customWidth="1"/>
    <col min="15629" max="15629" width="20.42578125" style="119" customWidth="1"/>
    <col min="15630" max="15630" width="6.42578125" style="119" bestFit="1" customWidth="1"/>
    <col min="15631" max="15632" width="8.42578125" style="119"/>
    <col min="15633" max="15633" width="3.42578125" style="119" customWidth="1"/>
    <col min="15634" max="15872" width="8.42578125" style="119"/>
    <col min="15873" max="15873" width="10" style="119" bestFit="1" customWidth="1"/>
    <col min="15874" max="15874" width="44.42578125" style="119" bestFit="1" customWidth="1"/>
    <col min="15875" max="15875" width="10.42578125" style="119" bestFit="1" customWidth="1"/>
    <col min="15876" max="15876" width="10.42578125" style="119" customWidth="1"/>
    <col min="15877" max="15879" width="9.5703125" style="119" bestFit="1" customWidth="1"/>
    <col min="15880" max="15880" width="10.42578125" style="119" bestFit="1" customWidth="1"/>
    <col min="15881" max="15881" width="4.5703125" style="119" customWidth="1"/>
    <col min="15882" max="15882" width="1.85546875" style="119" customWidth="1"/>
    <col min="15883" max="15883" width="7" style="119" bestFit="1" customWidth="1"/>
    <col min="15884" max="15884" width="6.42578125" style="119" customWidth="1"/>
    <col min="15885" max="15885" width="20.42578125" style="119" customWidth="1"/>
    <col min="15886" max="15886" width="6.42578125" style="119" bestFit="1" customWidth="1"/>
    <col min="15887" max="15888" width="8.42578125" style="119"/>
    <col min="15889" max="15889" width="3.42578125" style="119" customWidth="1"/>
    <col min="15890" max="16128" width="8.42578125" style="119"/>
    <col min="16129" max="16129" width="10" style="119" bestFit="1" customWidth="1"/>
    <col min="16130" max="16130" width="44.42578125" style="119" bestFit="1" customWidth="1"/>
    <col min="16131" max="16131" width="10.42578125" style="119" bestFit="1" customWidth="1"/>
    <col min="16132" max="16132" width="10.42578125" style="119" customWidth="1"/>
    <col min="16133" max="16135" width="9.5703125" style="119" bestFit="1" customWidth="1"/>
    <col min="16136" max="16136" width="10.42578125" style="119" bestFit="1" customWidth="1"/>
    <col min="16137" max="16137" width="4.5703125" style="119" customWidth="1"/>
    <col min="16138" max="16138" width="1.85546875" style="119" customWidth="1"/>
    <col min="16139" max="16139" width="7" style="119" bestFit="1" customWidth="1"/>
    <col min="16140" max="16140" width="6.42578125" style="119" customWidth="1"/>
    <col min="16141" max="16141" width="20.42578125" style="119" customWidth="1"/>
    <col min="16142" max="16142" width="6.42578125" style="119" bestFit="1" customWidth="1"/>
    <col min="16143" max="16144" width="8.42578125" style="119"/>
    <col min="16145" max="16145" width="3.42578125" style="119" customWidth="1"/>
    <col min="16146" max="16384" width="8.42578125" style="119"/>
  </cols>
  <sheetData>
    <row r="1" spans="1:10" ht="27.75" customHeight="1" x14ac:dyDescent="0.25">
      <c r="A1" s="114"/>
      <c r="B1" s="114"/>
      <c r="C1" s="114"/>
      <c r="D1" s="114"/>
      <c r="E1" s="115" t="s">
        <v>126</v>
      </c>
      <c r="F1" s="116" t="s">
        <v>127</v>
      </c>
      <c r="G1" s="116" t="s">
        <v>128</v>
      </c>
      <c r="H1" s="116" t="s">
        <v>129</v>
      </c>
      <c r="I1" s="117"/>
    </row>
    <row r="2" spans="1:10" ht="30.75" customHeight="1" x14ac:dyDescent="0.25">
      <c r="A2" s="114"/>
      <c r="B2" s="114"/>
      <c r="C2" s="114"/>
      <c r="D2" s="114"/>
      <c r="E2" s="120">
        <f>IFERROR(O61,"")</f>
        <v>7174.0411758857144</v>
      </c>
      <c r="F2" s="120">
        <f>IFERROR(H52,"")</f>
        <v>5799.3063000000002</v>
      </c>
      <c r="G2" s="120">
        <f>IFERROR(H53,"")</f>
        <v>153.72800000000001</v>
      </c>
      <c r="H2" s="120">
        <f>IFERROR(H55,"")</f>
        <v>268.52138788571426</v>
      </c>
      <c r="I2" s="121"/>
    </row>
    <row r="3" spans="1:10" ht="15" customHeight="1" x14ac:dyDescent="0.25">
      <c r="A3" s="114"/>
      <c r="B3" s="114"/>
      <c r="C3" s="114"/>
      <c r="D3" s="114"/>
      <c r="E3" s="114"/>
      <c r="F3" s="122"/>
      <c r="G3" s="122"/>
      <c r="H3" s="122"/>
      <c r="I3" s="122"/>
    </row>
    <row r="4" spans="1:10" ht="24.75" customHeight="1" thickBot="1" x14ac:dyDescent="0.3">
      <c r="A4" s="273"/>
      <c r="B4" s="273"/>
      <c r="C4" s="273"/>
      <c r="D4" s="273"/>
      <c r="E4" s="273"/>
      <c r="F4" s="273"/>
      <c r="G4" s="273"/>
      <c r="H4" s="273"/>
      <c r="I4" s="123"/>
    </row>
    <row r="5" spans="1:10" ht="19.5" customHeight="1" thickBot="1" x14ac:dyDescent="0.3">
      <c r="A5" s="279" t="s">
        <v>130</v>
      </c>
      <c r="B5" s="280"/>
      <c r="C5" s="280"/>
      <c r="D5" s="280"/>
      <c r="E5" s="280"/>
      <c r="F5" s="280"/>
      <c r="G5" s="280"/>
      <c r="H5" s="281"/>
      <c r="I5" s="124"/>
    </row>
    <row r="6" spans="1:10" ht="19.5" thickBot="1" x14ac:dyDescent="0.3">
      <c r="A6" s="124"/>
      <c r="B6" s="124"/>
      <c r="C6" s="124"/>
      <c r="D6" s="124"/>
      <c r="E6" s="124"/>
      <c r="F6" s="282" t="s">
        <v>131</v>
      </c>
      <c r="G6" s="282"/>
      <c r="H6" s="125">
        <f ca="1">TODAY()</f>
        <v>45663</v>
      </c>
      <c r="I6" s="125"/>
    </row>
    <row r="7" spans="1:10" ht="39" thickBot="1" x14ac:dyDescent="0.3">
      <c r="A7" s="126" t="s">
        <v>132</v>
      </c>
      <c r="B7" s="127" t="s">
        <v>133</v>
      </c>
      <c r="C7" s="127" t="s">
        <v>132</v>
      </c>
      <c r="D7" s="128" t="s">
        <v>134</v>
      </c>
      <c r="E7" s="128" t="s">
        <v>135</v>
      </c>
      <c r="F7" s="128" t="s">
        <v>136</v>
      </c>
      <c r="G7" s="128" t="s">
        <v>137</v>
      </c>
      <c r="H7" s="129" t="s">
        <v>138</v>
      </c>
      <c r="I7" s="130"/>
    </row>
    <row r="8" spans="1:10" ht="13.5" x14ac:dyDescent="0.25">
      <c r="A8" s="131">
        <v>884</v>
      </c>
      <c r="B8" s="119" t="s">
        <v>42</v>
      </c>
      <c r="C8" s="132">
        <f t="shared" ref="C8:C13" si="0">+A8</f>
        <v>884</v>
      </c>
      <c r="D8" s="133" t="s">
        <v>178</v>
      </c>
      <c r="E8" s="133">
        <v>0.61</v>
      </c>
      <c r="F8" s="133">
        <f t="shared" ref="F8:F13" si="1">IFERROR(C8*E8,"")</f>
        <v>539.24</v>
      </c>
      <c r="G8" s="104">
        <f t="shared" ref="G8:G13" si="2">IFERROR(F8/$F$65,"")</f>
        <v>8.7184837374698759E-2</v>
      </c>
      <c r="H8" s="134" t="s">
        <v>176</v>
      </c>
      <c r="I8" s="134"/>
      <c r="J8" s="105"/>
    </row>
    <row r="9" spans="1:10" ht="13.5" x14ac:dyDescent="0.25">
      <c r="A9" s="131">
        <v>56</v>
      </c>
      <c r="B9" s="119" t="str">
        <f>IFERROR(VLOOKUP(H9,'[1]Consolidado MP Planta'!$A$2:$M$823,3,0),"")</f>
        <v>COCOA DUTCH PROCESS (SACO:25 KG)</v>
      </c>
      <c r="C9" s="132">
        <f t="shared" si="0"/>
        <v>56</v>
      </c>
      <c r="D9" s="133" t="str">
        <f>IFERROR(VLOOKUP(H9,'[1]Consolidado MP Planta'!$A$2:$M$823,13,0),"")</f>
        <v>Gramos</v>
      </c>
      <c r="E9" s="133">
        <v>3.15</v>
      </c>
      <c r="F9" s="133">
        <f t="shared" si="1"/>
        <v>176.4</v>
      </c>
      <c r="G9" s="104">
        <f t="shared" si="2"/>
        <v>2.8520520200461502E-2</v>
      </c>
      <c r="H9" s="134" t="s">
        <v>177</v>
      </c>
      <c r="I9" s="134"/>
      <c r="J9" s="105"/>
    </row>
    <row r="10" spans="1:10" ht="13.5" x14ac:dyDescent="0.25">
      <c r="A10" s="131">
        <v>10</v>
      </c>
      <c r="B10" s="119" t="str">
        <f>IFERROR(VLOOKUP(H10,'[1]Consolidado MP Planta'!$A$2:$M$823,3,0),"")</f>
        <v>POLVO HORNEAR FLEISHMAN (PAQ:2.5 K)</v>
      </c>
      <c r="C10" s="132">
        <f t="shared" si="0"/>
        <v>10</v>
      </c>
      <c r="D10" s="133" t="str">
        <f>IFERROR(VLOOKUP(H10,'[1]Consolidado MP Planta'!$A$2:$M$823,13,0),"")</f>
        <v>Gramos</v>
      </c>
      <c r="E10" s="133">
        <v>1.03</v>
      </c>
      <c r="F10" s="133">
        <f t="shared" si="1"/>
        <v>10.3</v>
      </c>
      <c r="G10" s="104">
        <f t="shared" si="2"/>
        <v>1.6653138212287613E-3</v>
      </c>
      <c r="H10" s="134" t="s">
        <v>21</v>
      </c>
      <c r="I10" s="134"/>
      <c r="J10" s="105"/>
    </row>
    <row r="11" spans="1:10" ht="13.5" x14ac:dyDescent="0.25">
      <c r="A11" s="131">
        <v>10</v>
      </c>
      <c r="B11" s="119" t="str">
        <f>IFERROR(VLOOKUP(H11,'[1]Consolidado MP Planta'!$A$2:$M$823,3,0),"")</f>
        <v>PRESERVANTE 1017S (PAQ=5 KILO)</v>
      </c>
      <c r="C11" s="132">
        <f t="shared" si="0"/>
        <v>10</v>
      </c>
      <c r="D11" s="133" t="str">
        <f>IFERROR(VLOOKUP(H11,'[1]Consolidado MP Planta'!$A$2:$M$823,13,0),"")</f>
        <v>Gramos</v>
      </c>
      <c r="E11" s="133">
        <f>IFERROR(VLOOKUP(H11,'[1]Consolidado MP Planta'!$A$2:$M$823,12,0),"")</f>
        <v>11.66863</v>
      </c>
      <c r="F11" s="133">
        <f t="shared" si="1"/>
        <v>116.6863</v>
      </c>
      <c r="G11" s="104">
        <f t="shared" si="2"/>
        <v>1.8865952246412195E-2</v>
      </c>
      <c r="H11" s="134" t="s">
        <v>89</v>
      </c>
      <c r="I11" s="134"/>
      <c r="J11" s="105"/>
    </row>
    <row r="12" spans="1:10" ht="13.5" x14ac:dyDescent="0.25">
      <c r="A12" s="131">
        <v>450</v>
      </c>
      <c r="B12" s="119" t="str">
        <f>IFERROR(VLOOKUP(H12,'[1]Consolidado MP Planta'!$A$2:$M$823,3,0),"")</f>
        <v>PECANA ENTERA (CAJA:13.6 K)</v>
      </c>
      <c r="C12" s="132">
        <f t="shared" si="0"/>
        <v>450</v>
      </c>
      <c r="D12" s="133" t="str">
        <f>IFERROR(VLOOKUP(H12,'[1]Consolidado MP Planta'!$A$2:$M$823,13,0),"")</f>
        <v>Gramos</v>
      </c>
      <c r="E12" s="133">
        <v>9.2799999999999994</v>
      </c>
      <c r="F12" s="133">
        <f t="shared" si="1"/>
        <v>4176</v>
      </c>
      <c r="G12" s="104">
        <f t="shared" si="2"/>
        <v>0.67517966188847633</v>
      </c>
      <c r="H12" s="134" t="s">
        <v>50</v>
      </c>
      <c r="I12" s="134"/>
      <c r="J12" s="105"/>
    </row>
    <row r="13" spans="1:10" ht="13.5" x14ac:dyDescent="0.25">
      <c r="A13" s="131"/>
      <c r="B13" s="119" t="str">
        <f>IFERROR(VLOOKUP(H13,'[1]Consolidado MP Planta'!$A$2:$M$823,3,0),"")</f>
        <v/>
      </c>
      <c r="C13" s="132">
        <f t="shared" si="0"/>
        <v>0</v>
      </c>
      <c r="D13" s="133" t="str">
        <f>IFERROR(VLOOKUP(H13,'[1]Consolidado MP Planta'!$A$2:$M$823,13,0),"")</f>
        <v/>
      </c>
      <c r="E13" s="133" t="str">
        <f>IFERROR(VLOOKUP(H13,'[1]Consolidado MP Planta'!$A$2:$M$823,12,0),"")</f>
        <v/>
      </c>
      <c r="F13" s="133" t="str">
        <f t="shared" si="1"/>
        <v/>
      </c>
      <c r="G13" s="104" t="str">
        <f t="shared" si="2"/>
        <v/>
      </c>
      <c r="H13" s="134"/>
      <c r="I13" s="134"/>
      <c r="J13" s="105"/>
    </row>
    <row r="14" spans="1:10" ht="14.25" thickBot="1" x14ac:dyDescent="0.3">
      <c r="A14" s="131"/>
      <c r="B14" s="119" t="str">
        <f>IFERROR(VLOOKUP(H14,'[2]ARTICULOS MP PLANTA'!$A$2:$G$589,2,0),"")</f>
        <v/>
      </c>
      <c r="C14" s="132"/>
      <c r="D14" s="133"/>
      <c r="E14" s="133"/>
      <c r="F14" s="133"/>
      <c r="G14" s="104"/>
      <c r="H14" s="134"/>
      <c r="I14" s="134"/>
      <c r="J14" s="105"/>
    </row>
    <row r="15" spans="1:10" ht="39" thickBot="1" x14ac:dyDescent="0.3">
      <c r="A15" s="126" t="s">
        <v>132</v>
      </c>
      <c r="B15" s="127" t="s">
        <v>139</v>
      </c>
      <c r="C15" s="127" t="s">
        <v>132</v>
      </c>
      <c r="D15" s="128" t="s">
        <v>134</v>
      </c>
      <c r="E15" s="128" t="s">
        <v>135</v>
      </c>
      <c r="F15" s="128" t="s">
        <v>136</v>
      </c>
      <c r="G15" s="128" t="s">
        <v>137</v>
      </c>
      <c r="H15" s="129" t="s">
        <v>138</v>
      </c>
      <c r="I15" s="130"/>
      <c r="J15" s="105"/>
    </row>
    <row r="16" spans="1:10" ht="13.5" x14ac:dyDescent="0.25">
      <c r="A16" s="131">
        <v>2000</v>
      </c>
      <c r="B16" s="119" t="str">
        <f>IFERROR(VLOOKUP(H16,[1]SEMIELABORADOS!$A$2:$M$6000,2,0),"")</f>
        <v>AZUCAR BLANCO INDUSTRIAL KILO</v>
      </c>
      <c r="C16" s="132">
        <f>+A16</f>
        <v>2000</v>
      </c>
      <c r="D16" s="132" t="str">
        <f>IFERROR(VLOOKUP(H16,[1]SEMIELABORADOS!$A$2:$M$6000,6,0),"")</f>
        <v>Gramo</v>
      </c>
      <c r="E16" s="133">
        <f>IFERROR(VLOOKUP(H16,[1]SEMIELABORADOS!$A$2:$H$65536,8,0),"")</f>
        <v>0.39034000000000002</v>
      </c>
      <c r="F16" s="133">
        <f>IFERROR(E16*C16,"")</f>
        <v>780.68000000000006</v>
      </c>
      <c r="G16" s="104">
        <f t="shared" ref="G16:G23" si="3">IFERROR(F16/$F$65,"")</f>
        <v>0.12622108679192906</v>
      </c>
      <c r="H16" s="134" t="s">
        <v>18</v>
      </c>
      <c r="I16" s="134"/>
      <c r="J16" s="105"/>
    </row>
    <row r="17" spans="1:12" ht="13.5" hidden="1" x14ac:dyDescent="0.25">
      <c r="A17" s="131"/>
      <c r="B17" s="119" t="str">
        <f>IFERROR(VLOOKUP(H17,[1]SEMIELABORADOS!$A$2:$M$6000,2,0),"")</f>
        <v/>
      </c>
      <c r="C17" s="132">
        <f t="shared" ref="C17:C23" si="4">+A17</f>
        <v>0</v>
      </c>
      <c r="D17" s="132" t="str">
        <f>IFERROR(VLOOKUP(H17,[1]SEMIELABORADOS!$A$2:$M$6000,6,0),"")</f>
        <v/>
      </c>
      <c r="E17" s="133" t="str">
        <f>IFERROR(VLOOKUP(H17,[1]SEMIELABORADOS!$A$2:$H$65536,8,0),"")</f>
        <v/>
      </c>
      <c r="F17" s="133" t="str">
        <f t="shared" ref="F17:F23" si="5">IFERROR(E17*C17,"")</f>
        <v/>
      </c>
      <c r="G17" s="104" t="str">
        <f t="shared" si="3"/>
        <v/>
      </c>
      <c r="H17" s="134"/>
      <c r="I17" s="134"/>
      <c r="J17" s="105"/>
    </row>
    <row r="18" spans="1:12" ht="13.5" hidden="1" x14ac:dyDescent="0.25">
      <c r="A18" s="131"/>
      <c r="B18" s="119" t="str">
        <f>IFERROR(VLOOKUP(H18,[1]SEMIELABORADOS!$A$2:$M$6000,2,0),"")</f>
        <v/>
      </c>
      <c r="C18" s="132">
        <f>+A18</f>
        <v>0</v>
      </c>
      <c r="D18" s="132" t="str">
        <f>IFERROR(VLOOKUP(H18,[1]SEMIELABORADOS!$A$2:$M$6000,6,0),"")</f>
        <v/>
      </c>
      <c r="E18" s="133" t="str">
        <f>IFERROR(VLOOKUP(H18,[1]SEMIELABORADOS!$A$2:$H$65536,8,0),"")</f>
        <v/>
      </c>
      <c r="F18" s="133" t="str">
        <f>IFERROR(E18*C18,"")</f>
        <v/>
      </c>
      <c r="G18" s="104" t="str">
        <f t="shared" si="3"/>
        <v/>
      </c>
      <c r="H18" s="134"/>
      <c r="I18" s="134"/>
      <c r="J18" s="105"/>
    </row>
    <row r="19" spans="1:12" ht="13.5" hidden="1" x14ac:dyDescent="0.25">
      <c r="A19" s="131"/>
      <c r="B19" s="119" t="str">
        <f>IFERROR(VLOOKUP(H19,[1]SEMIELABORADOS!$A$2:$M$6000,2,0),"")</f>
        <v/>
      </c>
      <c r="C19" s="132">
        <f>+A19</f>
        <v>0</v>
      </c>
      <c r="D19" s="132" t="str">
        <f>IFERROR(VLOOKUP(H19,[1]SEMIELABORADOS!$A$2:$M$6000,6,0),"")</f>
        <v/>
      </c>
      <c r="E19" s="133" t="str">
        <f>IFERROR(VLOOKUP(H19,[1]SEMIELABORADOS!$A$2:$H$65536,8,0),"")</f>
        <v/>
      </c>
      <c r="F19" s="133" t="str">
        <f>IFERROR(E19*C19,"")</f>
        <v/>
      </c>
      <c r="G19" s="104" t="str">
        <f t="shared" si="3"/>
        <v/>
      </c>
      <c r="H19" s="134"/>
      <c r="I19" s="134"/>
      <c r="J19" s="105"/>
    </row>
    <row r="20" spans="1:12" ht="13.5" hidden="1" x14ac:dyDescent="0.25">
      <c r="A20" s="131"/>
      <c r="B20" s="119" t="str">
        <f>IFERROR(VLOOKUP(H20,[1]SEMIELABORADOS!$A$2:$M$6000,2,0),"")</f>
        <v/>
      </c>
      <c r="C20" s="132">
        <f>+A20</f>
        <v>0</v>
      </c>
      <c r="D20" s="132" t="str">
        <f>IFERROR(VLOOKUP(H20,[1]SEMIELABORADOS!$A$2:$M$6000,6,0),"")</f>
        <v/>
      </c>
      <c r="E20" s="133" t="str">
        <f>IFERROR(VLOOKUP(H20,[1]SEMIELABORADOS!$A$2:$H$65536,8,0),"")</f>
        <v/>
      </c>
      <c r="F20" s="133" t="str">
        <f>IFERROR(E20*C20,"")</f>
        <v/>
      </c>
      <c r="G20" s="104" t="str">
        <f t="shared" si="3"/>
        <v/>
      </c>
      <c r="H20" s="134"/>
      <c r="I20" s="134"/>
      <c r="J20" s="105"/>
    </row>
    <row r="21" spans="1:12" ht="13.5" hidden="1" x14ac:dyDescent="0.25">
      <c r="A21" s="131"/>
      <c r="B21" s="119" t="str">
        <f>IFERROR(VLOOKUP(H21,[1]SEMIELABORADOS!$A$2:$M$6000,2,0),"")</f>
        <v/>
      </c>
      <c r="C21" s="132">
        <f t="shared" si="4"/>
        <v>0</v>
      </c>
      <c r="D21" s="132" t="str">
        <f>IFERROR(VLOOKUP(H21,[1]SEMIELABORADOS!$A$2:$M$6000,6,0),"")</f>
        <v/>
      </c>
      <c r="E21" s="133" t="str">
        <f>IFERROR(VLOOKUP(H21,[1]SEMIELABORADOS!$A$2:$H$65536,8,0),"")</f>
        <v/>
      </c>
      <c r="F21" s="133" t="str">
        <f t="shared" si="5"/>
        <v/>
      </c>
      <c r="G21" s="104" t="str">
        <f t="shared" si="3"/>
        <v/>
      </c>
      <c r="H21" s="134"/>
      <c r="I21" s="134"/>
      <c r="J21" s="105"/>
    </row>
    <row r="22" spans="1:12" ht="13.5" hidden="1" x14ac:dyDescent="0.25">
      <c r="A22" s="131"/>
      <c r="B22" s="119" t="str">
        <f>IFERROR(VLOOKUP(H22,[1]SEMIELABORADOS!$A$2:$M$6000,2,0),"")</f>
        <v/>
      </c>
      <c r="C22" s="132">
        <f t="shared" si="4"/>
        <v>0</v>
      </c>
      <c r="D22" s="132" t="str">
        <f>IFERROR(VLOOKUP(H22,[1]SEMIELABORADOS!$A$2:$M$6000,6,0),"")</f>
        <v/>
      </c>
      <c r="E22" s="133" t="str">
        <f>IFERROR(VLOOKUP(H22,[1]SEMIELABORADOS!$A$2:$H$65536,8,0),"")</f>
        <v/>
      </c>
      <c r="F22" s="133" t="str">
        <f t="shared" si="5"/>
        <v/>
      </c>
      <c r="G22" s="104" t="str">
        <f t="shared" si="3"/>
        <v/>
      </c>
      <c r="H22" s="134"/>
      <c r="I22" s="134"/>
      <c r="J22" s="105"/>
    </row>
    <row r="23" spans="1:12" ht="13.5" hidden="1" x14ac:dyDescent="0.25">
      <c r="A23" s="131"/>
      <c r="B23" s="119" t="str">
        <f>IFERROR(VLOOKUP(H23,[1]SEMIELABORADOS!$A$2:$M$6000,2,0),"")</f>
        <v/>
      </c>
      <c r="C23" s="132">
        <f t="shared" si="4"/>
        <v>0</v>
      </c>
      <c r="D23" s="132" t="str">
        <f>IFERROR(VLOOKUP(H23,[1]SEMIELABORADOS!$A$2:$M$6000,6,0),"")</f>
        <v/>
      </c>
      <c r="E23" s="133" t="str">
        <f>IFERROR(VLOOKUP(H23,[1]SEMIELABORADOS!$A$2:$H$65536,8,0),"")</f>
        <v/>
      </c>
      <c r="F23" s="133" t="str">
        <f t="shared" si="5"/>
        <v/>
      </c>
      <c r="G23" s="104" t="str">
        <f t="shared" si="3"/>
        <v/>
      </c>
      <c r="H23" s="134"/>
      <c r="I23" s="134"/>
      <c r="J23" s="105"/>
    </row>
    <row r="24" spans="1:12" ht="14.25" thickBot="1" x14ac:dyDescent="0.3">
      <c r="A24" s="131"/>
      <c r="C24" s="132"/>
      <c r="D24" s="132"/>
      <c r="E24" s="133"/>
      <c r="F24" s="133"/>
      <c r="G24" s="104"/>
      <c r="H24" s="134"/>
      <c r="I24" s="134"/>
      <c r="J24" s="105"/>
    </row>
    <row r="25" spans="1:12" ht="39" thickBot="1" x14ac:dyDescent="0.3">
      <c r="A25" s="126" t="s">
        <v>132</v>
      </c>
      <c r="B25" s="127" t="s">
        <v>63</v>
      </c>
      <c r="C25" s="127" t="s">
        <v>132</v>
      </c>
      <c r="D25" s="128" t="s">
        <v>134</v>
      </c>
      <c r="E25" s="128" t="s">
        <v>135</v>
      </c>
      <c r="F25" s="128" t="s">
        <v>136</v>
      </c>
      <c r="G25" s="128" t="s">
        <v>137</v>
      </c>
      <c r="H25" s="129" t="s">
        <v>138</v>
      </c>
      <c r="I25" s="130"/>
    </row>
    <row r="26" spans="1:12" ht="13.5" x14ac:dyDescent="0.25">
      <c r="A26" s="131">
        <v>3</v>
      </c>
      <c r="B26" s="135" t="str">
        <f>IFERROR(VLOOKUP(H26,'[1]Consolidado MP Planta'!$A$2:$M$823,3,0),"")</f>
        <v>BOLSA 12x18 TRANSP KILO</v>
      </c>
      <c r="C26" s="132">
        <f t="shared" ref="C26:C31" si="6">+A26</f>
        <v>3</v>
      </c>
      <c r="D26" s="133" t="str">
        <f>IFERROR(VLOOKUP(H26,'[1]Consolidado MP Planta'!$A$2:$M$823,13,0),"")</f>
        <v>Und</v>
      </c>
      <c r="E26" s="133">
        <f>IFERROR(VLOOKUP(H26,'[1]Consolidado MP Planta'!$A$2:$M$823,12,0),"")</f>
        <v>16</v>
      </c>
      <c r="F26" s="133">
        <f t="shared" ref="F26:F31" si="7">IFERROR(C26*E26,"")</f>
        <v>48</v>
      </c>
      <c r="G26" s="104">
        <f t="shared" ref="G26:G31" si="8">IFERROR(F26/$F$65,"")</f>
        <v>7.7606857688330613E-3</v>
      </c>
      <c r="H26" s="136" t="s">
        <v>24</v>
      </c>
      <c r="I26" s="136"/>
      <c r="J26" s="105"/>
      <c r="K26" s="274"/>
      <c r="L26" s="274"/>
    </row>
    <row r="27" spans="1:12" ht="13.5" x14ac:dyDescent="0.25">
      <c r="A27" s="131">
        <v>1</v>
      </c>
      <c r="B27" s="135" t="str">
        <f>IFERROR(VLOOKUP(H27,'[1]Consolidado MP Planta'!$A$2:$M$823,3,0),"")</f>
        <v>ETIQUETA BLANCA 2 5/8X1 15/16 (UND)</v>
      </c>
      <c r="C27" s="132">
        <f t="shared" si="6"/>
        <v>1</v>
      </c>
      <c r="D27" s="133" t="str">
        <f>IFERROR(VLOOKUP(H27,'[1]Consolidado MP Planta'!$A$2:$M$823,13,0),"")</f>
        <v>Und</v>
      </c>
      <c r="E27" s="133">
        <f>IFERROR(VLOOKUP(H27,'[1]Consolidado MP Planta'!$A$2:$M$823,12,0),"")</f>
        <v>2.1280000000000001</v>
      </c>
      <c r="F27" s="133">
        <f t="shared" si="7"/>
        <v>2.1280000000000001</v>
      </c>
      <c r="G27" s="104">
        <f t="shared" si="8"/>
        <v>3.4405706908493243E-4</v>
      </c>
      <c r="H27" s="136" t="s">
        <v>38</v>
      </c>
      <c r="I27" s="136"/>
      <c r="J27" s="105"/>
      <c r="K27" s="274"/>
      <c r="L27" s="274"/>
    </row>
    <row r="28" spans="1:12" ht="13.5" x14ac:dyDescent="0.25">
      <c r="A28" s="131">
        <v>1</v>
      </c>
      <c r="B28" s="135" t="str">
        <f>IFERROR(VLOOKUP(H28,'[1]Consolidado MP Planta'!$A$2:$M$823,3,0),"")</f>
        <v>ETIQUETA ROJA LETRA ALERJENO (UND)</v>
      </c>
      <c r="C28" s="132">
        <f t="shared" si="6"/>
        <v>1</v>
      </c>
      <c r="D28" s="133" t="str">
        <f>IFERROR(VLOOKUP(H28,'[1]Consolidado MP Planta'!$A$2:$M$823,13,0),"")</f>
        <v>Und</v>
      </c>
      <c r="E28" s="133">
        <f>IFERROR(VLOOKUP(H28,'[1]Consolidado MP Planta'!$A$2:$M$823,12,0),"")</f>
        <v>3.6</v>
      </c>
      <c r="F28" s="133">
        <f t="shared" si="7"/>
        <v>3.6</v>
      </c>
      <c r="G28" s="104">
        <f t="shared" si="8"/>
        <v>5.8205143266247962E-4</v>
      </c>
      <c r="H28" s="136" t="s">
        <v>40</v>
      </c>
      <c r="I28" s="136"/>
      <c r="J28" s="105"/>
      <c r="K28" s="274"/>
      <c r="L28" s="274"/>
    </row>
    <row r="29" spans="1:12" ht="13.5" hidden="1" x14ac:dyDescent="0.25">
      <c r="A29" s="131"/>
      <c r="B29" s="135" t="str">
        <f>IFERROR(VLOOKUP(H29,'[1]Consolidado MP Planta'!$A$2:$M$823,3,0),"")</f>
        <v/>
      </c>
      <c r="C29" s="132">
        <f t="shared" si="6"/>
        <v>0</v>
      </c>
      <c r="D29" s="133" t="str">
        <f>IFERROR(VLOOKUP(H29,'[1]Consolidado MP Planta'!$A$2:$M$823,13,0),"")</f>
        <v/>
      </c>
      <c r="E29" s="133" t="str">
        <f>IFERROR(VLOOKUP(H29,'[1]Consolidado MP Planta'!$A$2:$M$823,12,0),"")</f>
        <v/>
      </c>
      <c r="F29" s="133" t="str">
        <f t="shared" si="7"/>
        <v/>
      </c>
      <c r="G29" s="104" t="str">
        <f t="shared" si="8"/>
        <v/>
      </c>
      <c r="H29" s="136"/>
      <c r="I29" s="136"/>
      <c r="J29" s="105"/>
      <c r="K29" s="274"/>
      <c r="L29" s="274"/>
    </row>
    <row r="30" spans="1:12" ht="13.5" hidden="1" x14ac:dyDescent="0.25">
      <c r="A30" s="131"/>
      <c r="B30" s="135" t="str">
        <f>IFERROR(VLOOKUP(H30,'[1]Consolidado MP Planta'!$A$2:$M$823,3,0),"")</f>
        <v/>
      </c>
      <c r="C30" s="132">
        <f t="shared" si="6"/>
        <v>0</v>
      </c>
      <c r="D30" s="133" t="str">
        <f>IFERROR(VLOOKUP(H30,'[1]Consolidado MP Planta'!$A$2:$M$823,13,0),"")</f>
        <v/>
      </c>
      <c r="E30" s="133" t="str">
        <f>IFERROR(VLOOKUP(H30,'[1]Consolidado MP Planta'!$A$2:$M$823,12,0),"")</f>
        <v/>
      </c>
      <c r="F30" s="133" t="str">
        <f t="shared" si="7"/>
        <v/>
      </c>
      <c r="G30" s="104" t="str">
        <f t="shared" si="8"/>
        <v/>
      </c>
      <c r="H30" s="136"/>
      <c r="I30" s="136"/>
      <c r="J30" s="105"/>
      <c r="K30" s="137"/>
      <c r="L30" s="138"/>
    </row>
    <row r="31" spans="1:12" ht="13.5" hidden="1" x14ac:dyDescent="0.25">
      <c r="A31" s="131"/>
      <c r="B31" s="135" t="str">
        <f>IFERROR(VLOOKUP(H31,'[1]Consolidado MP Planta'!$A$2:$M$823,3,0),"")</f>
        <v/>
      </c>
      <c r="C31" s="132">
        <f t="shared" si="6"/>
        <v>0</v>
      </c>
      <c r="D31" s="133" t="str">
        <f>IFERROR(VLOOKUP(H31,'[1]Consolidado MP Planta'!$A$2:$M$823,13,0),"")</f>
        <v/>
      </c>
      <c r="E31" s="133" t="str">
        <f>IFERROR(VLOOKUP(H31,'[1]Consolidado MP Planta'!$A$2:$M$823,12,0),"")</f>
        <v/>
      </c>
      <c r="F31" s="133" t="str">
        <f t="shared" si="7"/>
        <v/>
      </c>
      <c r="G31" s="104" t="str">
        <f t="shared" si="8"/>
        <v/>
      </c>
      <c r="H31" s="136"/>
      <c r="I31" s="136"/>
      <c r="J31" s="105"/>
    </row>
    <row r="32" spans="1:12" ht="14.25" thickBot="1" x14ac:dyDescent="0.3">
      <c r="A32" s="131"/>
      <c r="B32" s="135"/>
      <c r="C32" s="132"/>
      <c r="D32" s="133"/>
      <c r="E32" s="133"/>
      <c r="F32" s="133"/>
      <c r="G32" s="104"/>
      <c r="H32" s="136"/>
      <c r="I32" s="136"/>
      <c r="J32" s="105"/>
    </row>
    <row r="33" spans="1:13" ht="39" thickBot="1" x14ac:dyDescent="0.25">
      <c r="A33" s="126" t="s">
        <v>132</v>
      </c>
      <c r="B33" s="127" t="s">
        <v>140</v>
      </c>
      <c r="C33" s="127" t="s">
        <v>132</v>
      </c>
      <c r="D33" s="128" t="s">
        <v>134</v>
      </c>
      <c r="E33" s="128" t="s">
        <v>135</v>
      </c>
      <c r="F33" s="128" t="s">
        <v>136</v>
      </c>
      <c r="G33" s="128" t="s">
        <v>137</v>
      </c>
      <c r="H33" s="129" t="s">
        <v>138</v>
      </c>
      <c r="I33" s="136"/>
      <c r="J33" s="105"/>
    </row>
    <row r="34" spans="1:13" ht="13.5" x14ac:dyDescent="0.25">
      <c r="A34" s="131">
        <f>+A16</f>
        <v>2000</v>
      </c>
      <c r="B34" s="135" t="str">
        <f>IFERROR(VLOOKUP(H34,[1]SEMIELABORADOS!$A$2:$M$6000,2,0),"")</f>
        <v>AZUCAR BLANCO INDUSTRIAL KILO</v>
      </c>
      <c r="C34" s="132">
        <f>+A34</f>
        <v>2000</v>
      </c>
      <c r="D34" s="133" t="str">
        <f>IFERROR(VLOOKUP(H34,[1]SEMIELABORADOS!$A$2:$M$6000,6,0),"")</f>
        <v>Gramo</v>
      </c>
      <c r="E34" s="133">
        <v>0.05</v>
      </c>
      <c r="F34" s="133">
        <f>IFERROR(E34*C34,"")</f>
        <v>100</v>
      </c>
      <c r="G34" s="104">
        <f t="shared" ref="G34:G40" si="9">IFERROR(F34/$F$65,"")</f>
        <v>1.6168095351735544E-2</v>
      </c>
      <c r="H34" s="136" t="s">
        <v>18</v>
      </c>
      <c r="I34" s="136"/>
      <c r="J34" s="105"/>
    </row>
    <row r="35" spans="1:13" ht="13.5" hidden="1" x14ac:dyDescent="0.25">
      <c r="A35" s="131">
        <f t="shared" ref="A35:A40" si="10">+A17</f>
        <v>0</v>
      </c>
      <c r="B35" s="135" t="str">
        <f>IFERROR(VLOOKUP(H35,[1]SEMIELABORADOS!$A$2:$M$6000,2,0),"")</f>
        <v/>
      </c>
      <c r="C35" s="132">
        <f t="shared" ref="C35:C40" si="11">+A35</f>
        <v>0</v>
      </c>
      <c r="D35" s="133" t="str">
        <f>IFERROR(VLOOKUP(H35,[1]SEMIELABORADOS!$A$2:$M$6000,6,0),"")</f>
        <v/>
      </c>
      <c r="E35" s="133" t="str">
        <f>IFERROR(VLOOKUP(H35,[1]SEMIELABORADOS!$A$2:$M$65536,10,0),"")</f>
        <v/>
      </c>
      <c r="F35" s="133" t="str">
        <f t="shared" ref="F35:F40" si="12">IFERROR(E35*C35,"")</f>
        <v/>
      </c>
      <c r="G35" s="104" t="str">
        <f t="shared" si="9"/>
        <v/>
      </c>
      <c r="H35" s="136"/>
      <c r="I35" s="136"/>
      <c r="J35" s="105"/>
    </row>
    <row r="36" spans="1:13" ht="13.5" hidden="1" x14ac:dyDescent="0.25">
      <c r="A36" s="131">
        <f t="shared" si="10"/>
        <v>0</v>
      </c>
      <c r="B36" s="135" t="str">
        <f>IFERROR(VLOOKUP(H36,[1]SEMIELABORADOS!$A$2:$M$6000,2,0),"")</f>
        <v/>
      </c>
      <c r="C36" s="132">
        <f t="shared" si="11"/>
        <v>0</v>
      </c>
      <c r="D36" s="133" t="str">
        <f>IFERROR(VLOOKUP(H36,[1]SEMIELABORADOS!$A$2:$M$6000,6,0),"")</f>
        <v/>
      </c>
      <c r="E36" s="133" t="str">
        <f>IFERROR(VLOOKUP(H36,[1]SEMIELABORADOS!$A$2:$M$65536,10,0),"")</f>
        <v/>
      </c>
      <c r="F36" s="133" t="str">
        <f t="shared" si="12"/>
        <v/>
      </c>
      <c r="G36" s="104" t="str">
        <f t="shared" si="9"/>
        <v/>
      </c>
      <c r="H36" s="136"/>
      <c r="I36" s="136"/>
      <c r="J36" s="105"/>
    </row>
    <row r="37" spans="1:13" ht="13.5" hidden="1" x14ac:dyDescent="0.25">
      <c r="A37" s="131">
        <f t="shared" si="10"/>
        <v>0</v>
      </c>
      <c r="B37" s="135" t="str">
        <f>IFERROR(VLOOKUP(H37,[1]SEMIELABORADOS!$A$2:$M$6000,2,0),"")</f>
        <v/>
      </c>
      <c r="C37" s="132">
        <f>+A37</f>
        <v>0</v>
      </c>
      <c r="D37" s="133" t="str">
        <f>IFERROR(VLOOKUP(H37,[1]SEMIELABORADOS!$A$2:$M$6000,6,0),"")</f>
        <v/>
      </c>
      <c r="E37" s="133" t="str">
        <f>IFERROR(VLOOKUP(H37,[1]SEMIELABORADOS!$A$2:$M$65536,10,0),"")</f>
        <v/>
      </c>
      <c r="F37" s="133" t="str">
        <f>IFERROR(E37*C37,"")</f>
        <v/>
      </c>
      <c r="G37" s="104" t="str">
        <f t="shared" si="9"/>
        <v/>
      </c>
      <c r="H37" s="136"/>
      <c r="I37" s="136"/>
      <c r="J37" s="105"/>
    </row>
    <row r="38" spans="1:13" ht="13.5" hidden="1" x14ac:dyDescent="0.25">
      <c r="A38" s="131">
        <f t="shared" si="10"/>
        <v>0</v>
      </c>
      <c r="B38" s="135" t="str">
        <f>IFERROR(VLOOKUP(H38,[1]SEMIELABORADOS!$A$2:$M$6000,2,0),"")</f>
        <v/>
      </c>
      <c r="C38" s="132">
        <f>+A38</f>
        <v>0</v>
      </c>
      <c r="D38" s="133" t="str">
        <f>IFERROR(VLOOKUP(H38,[1]SEMIELABORADOS!$A$2:$M$6000,6,0),"")</f>
        <v/>
      </c>
      <c r="E38" s="133" t="str">
        <f>IFERROR(VLOOKUP(H38,[1]SEMIELABORADOS!$A$2:$M$65536,10,0),"")</f>
        <v/>
      </c>
      <c r="F38" s="133" t="str">
        <f>IFERROR(E38*C38,"")</f>
        <v/>
      </c>
      <c r="G38" s="104" t="str">
        <f t="shared" si="9"/>
        <v/>
      </c>
      <c r="H38" s="136"/>
      <c r="I38" s="136"/>
      <c r="J38" s="105"/>
    </row>
    <row r="39" spans="1:13" ht="13.5" hidden="1" x14ac:dyDescent="0.25">
      <c r="A39" s="131">
        <f t="shared" si="10"/>
        <v>0</v>
      </c>
      <c r="B39" s="135" t="str">
        <f>IFERROR(VLOOKUP(H39,[1]SEMIELABORADOS!$A$2:$M$6000,2,0),"")</f>
        <v/>
      </c>
      <c r="C39" s="132">
        <f t="shared" si="11"/>
        <v>0</v>
      </c>
      <c r="D39" s="133" t="str">
        <f>IFERROR(VLOOKUP(H39,[1]SEMIELABORADOS!$A$2:$M$6000,6,0),"")</f>
        <v/>
      </c>
      <c r="E39" s="133" t="str">
        <f>IFERROR(VLOOKUP(H39,[1]SEMIELABORADOS!$A$2:$M$65536,10,0),"")</f>
        <v/>
      </c>
      <c r="F39" s="133" t="str">
        <f t="shared" si="12"/>
        <v/>
      </c>
      <c r="G39" s="104" t="str">
        <f t="shared" si="9"/>
        <v/>
      </c>
      <c r="H39" s="136"/>
      <c r="I39" s="136"/>
      <c r="J39" s="105"/>
    </row>
    <row r="40" spans="1:13" ht="13.5" hidden="1" x14ac:dyDescent="0.25">
      <c r="A40" s="131">
        <f t="shared" si="10"/>
        <v>0</v>
      </c>
      <c r="B40" s="135" t="str">
        <f>IFERROR(VLOOKUP(H40,[1]SEMIELABORADOS!$A$2:$M$6000,2,0),"")</f>
        <v/>
      </c>
      <c r="C40" s="132">
        <f t="shared" si="11"/>
        <v>0</v>
      </c>
      <c r="D40" s="133" t="str">
        <f>IFERROR(VLOOKUP(H40,[1]SEMIELABORADOS!$A$2:$M$6000,6,0),"")</f>
        <v/>
      </c>
      <c r="E40" s="133" t="str">
        <f>IFERROR(VLOOKUP(H40,[1]SEMIELABORADOS!$A$2:$M$65536,10,0),"")</f>
        <v/>
      </c>
      <c r="F40" s="133" t="str">
        <f t="shared" si="12"/>
        <v/>
      </c>
      <c r="G40" s="104" t="str">
        <f t="shared" si="9"/>
        <v/>
      </c>
      <c r="H40" s="136"/>
      <c r="I40" s="136"/>
      <c r="J40" s="105"/>
    </row>
    <row r="41" spans="1:13" ht="14.25" thickBot="1" x14ac:dyDescent="0.3">
      <c r="A41" s="131"/>
      <c r="B41" s="135"/>
      <c r="C41" s="132"/>
      <c r="D41" s="133"/>
      <c r="E41" s="133"/>
      <c r="F41" s="133"/>
      <c r="G41" s="104"/>
      <c r="H41" s="136"/>
      <c r="I41" s="136"/>
      <c r="J41" s="105"/>
    </row>
    <row r="42" spans="1:13" ht="39" thickBot="1" x14ac:dyDescent="0.3">
      <c r="A42" s="126" t="s">
        <v>132</v>
      </c>
      <c r="B42" s="127" t="s">
        <v>141</v>
      </c>
      <c r="C42" s="127" t="s">
        <v>132</v>
      </c>
      <c r="D42" s="128" t="s">
        <v>134</v>
      </c>
      <c r="E42" s="128" t="s">
        <v>135</v>
      </c>
      <c r="F42" s="128" t="s">
        <v>136</v>
      </c>
      <c r="G42" s="128" t="s">
        <v>137</v>
      </c>
      <c r="H42" s="129" t="s">
        <v>138</v>
      </c>
      <c r="I42" s="130"/>
      <c r="J42" s="105"/>
    </row>
    <row r="43" spans="1:13" ht="13.5" x14ac:dyDescent="0.25">
      <c r="A43" s="131">
        <f>+A34</f>
        <v>2000</v>
      </c>
      <c r="B43" s="135" t="str">
        <f>IFERROR(VLOOKUP(H43,[1]SEMIELABORADOS!$A$2:$M$6000,2,0),"")</f>
        <v>AZUCAR BLANCO INDUSTRIAL KILO</v>
      </c>
      <c r="C43" s="132">
        <f>+A43</f>
        <v>2000</v>
      </c>
      <c r="D43" s="133" t="str">
        <f>IFERROR(VLOOKUP(H43,[1]SEMIELABORADOS!$A$2:$M$6000,6,0),"")</f>
        <v>Gramo</v>
      </c>
      <c r="E43" s="133">
        <f>IFERROR(VLOOKUP(H43,[1]SEMIELABORADOS!$A$2:$M$65536,12,0),"")</f>
        <v>7.6260693942857144E-2</v>
      </c>
      <c r="F43" s="133">
        <f>IFERROR(E43*C43,"")</f>
        <v>152.52138788571429</v>
      </c>
      <c r="G43" s="104">
        <f>IFERROR(F43/$F$65,"")</f>
        <v>2.4659803425152713E-2</v>
      </c>
      <c r="H43" s="136" t="s">
        <v>18</v>
      </c>
      <c r="I43" s="130"/>
      <c r="J43" s="105"/>
    </row>
    <row r="44" spans="1:13" ht="13.5" hidden="1" x14ac:dyDescent="0.25">
      <c r="A44" s="131">
        <f t="shared" ref="A44:A49" si="13">+A35</f>
        <v>0</v>
      </c>
      <c r="B44" s="135" t="str">
        <f>IFERROR(VLOOKUP(H44,[1]SEMIELABORADOS!$A$2:$M$6000,2,0),"")</f>
        <v/>
      </c>
      <c r="C44" s="132">
        <f t="shared" ref="C44:C49" si="14">+A44</f>
        <v>0</v>
      </c>
      <c r="D44" s="133" t="str">
        <f>IFERROR(VLOOKUP(H44,[1]SEMIELABORADOS!$A$2:$M$6000,6,0),"")</f>
        <v/>
      </c>
      <c r="E44" s="133" t="str">
        <f>IFERROR(VLOOKUP(H44,[1]SEMIELABORADOS!$A$2:$M$65536,12,0),"")</f>
        <v/>
      </c>
      <c r="F44" s="133" t="str">
        <f t="shared" ref="F44:F49" si="15">IFERROR(E44*C44,"")</f>
        <v/>
      </c>
      <c r="G44" s="104" t="str">
        <f t="shared" ref="G44:G49" si="16">IFERROR(F44/$F$65,"")</f>
        <v/>
      </c>
      <c r="H44" s="136"/>
      <c r="I44" s="130"/>
      <c r="J44" s="105"/>
      <c r="M44" s="139"/>
    </row>
    <row r="45" spans="1:13" ht="13.5" hidden="1" x14ac:dyDescent="0.25">
      <c r="A45" s="131">
        <f t="shared" si="13"/>
        <v>0</v>
      </c>
      <c r="B45" s="135" t="str">
        <f>IFERROR(VLOOKUP(H45,[1]SEMIELABORADOS!$A$2:$M$6000,2,0),"")</f>
        <v/>
      </c>
      <c r="C45" s="132">
        <f t="shared" si="14"/>
        <v>0</v>
      </c>
      <c r="D45" s="133" t="str">
        <f>IFERROR(VLOOKUP(H45,[1]SEMIELABORADOS!$A$2:$M$6000,6,0),"")</f>
        <v/>
      </c>
      <c r="E45" s="133" t="str">
        <f>IFERROR(VLOOKUP(H45,[1]SEMIELABORADOS!$A$2:$M$65536,12,0),"")</f>
        <v/>
      </c>
      <c r="F45" s="133" t="str">
        <f t="shared" si="15"/>
        <v/>
      </c>
      <c r="G45" s="104" t="str">
        <f t="shared" si="16"/>
        <v/>
      </c>
      <c r="H45" s="136"/>
      <c r="I45" s="130"/>
      <c r="J45" s="105"/>
    </row>
    <row r="46" spans="1:13" ht="13.5" hidden="1" x14ac:dyDescent="0.25">
      <c r="A46" s="131">
        <f t="shared" si="13"/>
        <v>0</v>
      </c>
      <c r="B46" s="135" t="str">
        <f>IFERROR(VLOOKUP(H46,[1]SEMIELABORADOS!$A$2:$M$6000,2,0),"")</f>
        <v/>
      </c>
      <c r="C46" s="132">
        <f t="shared" si="14"/>
        <v>0</v>
      </c>
      <c r="D46" s="133" t="str">
        <f>IFERROR(VLOOKUP(H46,[1]SEMIELABORADOS!$A$2:$M$6000,6,0),"")</f>
        <v/>
      </c>
      <c r="E46" s="133" t="str">
        <f>IFERROR(VLOOKUP(H46,[1]SEMIELABORADOS!$A$2:$M$65536,12,0),"")</f>
        <v/>
      </c>
      <c r="F46" s="133" t="str">
        <f t="shared" si="15"/>
        <v/>
      </c>
      <c r="G46" s="104" t="str">
        <f t="shared" si="16"/>
        <v/>
      </c>
      <c r="H46" s="136"/>
      <c r="I46" s="130"/>
      <c r="J46" s="105"/>
    </row>
    <row r="47" spans="1:13" ht="13.5" hidden="1" x14ac:dyDescent="0.25">
      <c r="A47" s="131">
        <f t="shared" si="13"/>
        <v>0</v>
      </c>
      <c r="B47" s="135" t="str">
        <f>IFERROR(VLOOKUP(H47,[1]SEMIELABORADOS!$A$2:$M$6000,2,0),"")</f>
        <v/>
      </c>
      <c r="C47" s="132">
        <f t="shared" si="14"/>
        <v>0</v>
      </c>
      <c r="D47" s="133" t="str">
        <f>IFERROR(VLOOKUP(H47,[1]SEMIELABORADOS!$A$2:$M$6000,6,0),"")</f>
        <v/>
      </c>
      <c r="E47" s="133" t="str">
        <f>IFERROR(VLOOKUP(H47,[1]SEMIELABORADOS!$A$2:$M$65536,12,0),"")</f>
        <v/>
      </c>
      <c r="F47" s="133" t="str">
        <f t="shared" si="15"/>
        <v/>
      </c>
      <c r="G47" s="104" t="str">
        <f t="shared" si="16"/>
        <v/>
      </c>
      <c r="H47" s="136"/>
      <c r="I47" s="130"/>
      <c r="J47" s="105"/>
    </row>
    <row r="48" spans="1:13" ht="13.5" hidden="1" x14ac:dyDescent="0.25">
      <c r="A48" s="131">
        <f t="shared" si="13"/>
        <v>0</v>
      </c>
      <c r="B48" s="135" t="str">
        <f>IFERROR(VLOOKUP(H48,[1]SEMIELABORADOS!$A$2:$M$6000,2,0),"")</f>
        <v/>
      </c>
      <c r="C48" s="132">
        <f t="shared" si="14"/>
        <v>0</v>
      </c>
      <c r="D48" s="133" t="str">
        <f>IFERROR(VLOOKUP(H48,[1]SEMIELABORADOS!$A$2:$M$6000,6,0),"")</f>
        <v/>
      </c>
      <c r="E48" s="133" t="str">
        <f>IFERROR(VLOOKUP(H48,[1]SEMIELABORADOS!$A$2:$M$65536,12,0),"")</f>
        <v/>
      </c>
      <c r="F48" s="133" t="str">
        <f t="shared" si="15"/>
        <v/>
      </c>
      <c r="G48" s="104" t="str">
        <f t="shared" si="16"/>
        <v/>
      </c>
      <c r="H48" s="136"/>
      <c r="I48" s="130"/>
      <c r="J48" s="105"/>
    </row>
    <row r="49" spans="1:17" ht="13.5" hidden="1" x14ac:dyDescent="0.25">
      <c r="A49" s="131">
        <f t="shared" si="13"/>
        <v>0</v>
      </c>
      <c r="B49" s="135" t="str">
        <f>IFERROR(VLOOKUP(H49,[1]SEMIELABORADOS!$A$2:$M$6000,2,0),"")</f>
        <v/>
      </c>
      <c r="C49" s="132">
        <f t="shared" si="14"/>
        <v>0</v>
      </c>
      <c r="D49" s="133" t="str">
        <f>IFERROR(VLOOKUP(H49,[1]SEMIELABORADOS!$A$2:$M$6000,6,0),"")</f>
        <v/>
      </c>
      <c r="E49" s="133" t="str">
        <f>IFERROR(VLOOKUP(H49,[1]SEMIELABORADOS!$A$2:$M$65536,12,0),"")</f>
        <v/>
      </c>
      <c r="F49" s="133" t="str">
        <f t="shared" si="15"/>
        <v/>
      </c>
      <c r="G49" s="104" t="str">
        <f t="shared" si="16"/>
        <v/>
      </c>
      <c r="H49" s="135"/>
      <c r="I49" s="130"/>
      <c r="J49" s="105"/>
    </row>
    <row r="50" spans="1:17" ht="13.5" x14ac:dyDescent="0.25">
      <c r="A50" s="131">
        <v>1</v>
      </c>
      <c r="B50" s="135" t="s">
        <v>142</v>
      </c>
      <c r="C50" s="132">
        <f>+A50</f>
        <v>1</v>
      </c>
      <c r="D50" s="132" t="s">
        <v>143</v>
      </c>
      <c r="E50" s="133">
        <f>+F64</f>
        <v>116</v>
      </c>
      <c r="F50" s="133">
        <f>IFERROR(C50*E50,"")</f>
        <v>116</v>
      </c>
      <c r="G50" s="104">
        <f>IFERROR(F50/$F$65,"")</f>
        <v>1.8754990608013233E-2</v>
      </c>
      <c r="H50" s="140"/>
      <c r="I50" s="140"/>
      <c r="J50" s="105"/>
    </row>
    <row r="51" spans="1:17" ht="14.25" thickBot="1" x14ac:dyDescent="0.3">
      <c r="A51" s="131"/>
      <c r="B51" s="135"/>
      <c r="C51" s="132"/>
      <c r="D51" s="132"/>
      <c r="E51" s="133"/>
      <c r="F51" s="133"/>
      <c r="G51" s="104"/>
      <c r="H51" s="140"/>
      <c r="I51" s="140"/>
      <c r="J51" s="105"/>
    </row>
    <row r="52" spans="1:17" ht="13.5" thickBot="1" x14ac:dyDescent="0.3">
      <c r="A52" s="141"/>
      <c r="B52" s="277" t="s">
        <v>144</v>
      </c>
      <c r="C52" s="277"/>
      <c r="D52" s="277"/>
      <c r="E52" s="277"/>
      <c r="F52" s="143">
        <f>SUM(F8:F13,F16:F23)</f>
        <v>5799.3063000000002</v>
      </c>
      <c r="G52" s="104">
        <f>+F52/$F$65</f>
        <v>0.93763737232320665</v>
      </c>
      <c r="H52" s="144">
        <f>+F52/$D$59</f>
        <v>5799.3063000000002</v>
      </c>
      <c r="I52" s="144"/>
      <c r="J52" s="110"/>
      <c r="K52" s="145"/>
      <c r="L52" s="145"/>
      <c r="M52" s="145"/>
      <c r="N52" s="145"/>
      <c r="O52" s="145"/>
      <c r="P52" s="145"/>
      <c r="Q52" s="146"/>
    </row>
    <row r="53" spans="1:17" x14ac:dyDescent="0.2">
      <c r="A53" s="141"/>
      <c r="B53" s="277" t="s">
        <v>145</v>
      </c>
      <c r="C53" s="277"/>
      <c r="D53" s="277"/>
      <c r="E53" s="277"/>
      <c r="F53" s="143">
        <f>SUM(F26:F31,F34:F40)</f>
        <v>153.72800000000001</v>
      </c>
      <c r="G53" s="104">
        <f>+F53/$F$65</f>
        <v>2.485488962231602E-2</v>
      </c>
      <c r="H53" s="144">
        <f>+F53/$D$59</f>
        <v>153.72800000000001</v>
      </c>
      <c r="I53" s="144"/>
      <c r="J53" s="147"/>
      <c r="K53" s="286" t="s">
        <v>146</v>
      </c>
      <c r="L53" s="287"/>
      <c r="M53" s="287"/>
      <c r="N53" s="287"/>
      <c r="O53" s="148">
        <f>+F54</f>
        <v>5953.0343000000003</v>
      </c>
      <c r="P53" s="148"/>
      <c r="Q53" s="149"/>
    </row>
    <row r="54" spans="1:17" x14ac:dyDescent="0.2">
      <c r="A54" s="141"/>
      <c r="B54" s="277" t="s">
        <v>147</v>
      </c>
      <c r="C54" s="277"/>
      <c r="D54" s="277"/>
      <c r="E54" s="277"/>
      <c r="F54" s="143">
        <f>+F52+F53</f>
        <v>5953.0343000000003</v>
      </c>
      <c r="G54" s="104">
        <f>+F54/$F$65</f>
        <v>0.96249226194552262</v>
      </c>
      <c r="H54" s="144">
        <f>+F54/$D$59</f>
        <v>5953.0343000000003</v>
      </c>
      <c r="I54" s="144"/>
      <c r="J54" s="111"/>
      <c r="K54" s="150"/>
      <c r="M54" s="151" t="s">
        <v>148</v>
      </c>
      <c r="N54" s="152"/>
      <c r="O54" s="148">
        <f>+H55</f>
        <v>268.52138788571426</v>
      </c>
      <c r="P54" s="148"/>
      <c r="Q54" s="149"/>
    </row>
    <row r="55" spans="1:17" ht="13.5" thickBot="1" x14ac:dyDescent="0.25">
      <c r="A55" s="141"/>
      <c r="B55" s="142"/>
      <c r="C55" s="277" t="s">
        <v>149</v>
      </c>
      <c r="D55" s="277"/>
      <c r="E55" s="277"/>
      <c r="F55" s="143">
        <f>SUM(F43:F50)</f>
        <v>268.52138788571426</v>
      </c>
      <c r="G55" s="104">
        <f>+F55/$F$65</f>
        <v>4.3414794033165942E-2</v>
      </c>
      <c r="H55" s="144">
        <f>+F55/$D$59</f>
        <v>268.52138788571426</v>
      </c>
      <c r="I55" s="144"/>
      <c r="J55" s="111"/>
      <c r="K55" s="150"/>
      <c r="L55" s="150"/>
      <c r="M55" s="150" t="s">
        <v>150</v>
      </c>
      <c r="N55" s="113"/>
      <c r="O55" s="148">
        <f>O53*N55</f>
        <v>0</v>
      </c>
      <c r="P55" s="148"/>
      <c r="Q55" s="149"/>
    </row>
    <row r="56" spans="1:17" ht="13.5" thickBot="1" x14ac:dyDescent="0.25">
      <c r="A56" s="141"/>
      <c r="B56" s="153"/>
      <c r="C56" s="153"/>
      <c r="D56" s="153"/>
      <c r="E56" s="153"/>
      <c r="F56" s="154"/>
      <c r="G56" s="104"/>
      <c r="H56" s="155"/>
      <c r="I56" s="144"/>
      <c r="J56" s="111"/>
      <c r="K56" s="156"/>
      <c r="M56" s="157" t="s">
        <v>151</v>
      </c>
      <c r="N56" s="158"/>
      <c r="O56" s="159">
        <f>SUM(O53:O55)</f>
        <v>6221.5556878857142</v>
      </c>
      <c r="P56" s="160"/>
      <c r="Q56" s="149"/>
    </row>
    <row r="57" spans="1:17" x14ac:dyDescent="0.2">
      <c r="B57" s="292" t="s">
        <v>152</v>
      </c>
      <c r="C57" s="292"/>
      <c r="D57" s="161">
        <v>3410</v>
      </c>
      <c r="E57" s="162"/>
      <c r="G57" s="104"/>
      <c r="H57" s="155"/>
      <c r="I57" s="163"/>
      <c r="J57" s="111"/>
      <c r="K57" s="156"/>
      <c r="L57" s="150"/>
      <c r="M57" s="150" t="s">
        <v>153</v>
      </c>
      <c r="N57" s="109">
        <v>0.16</v>
      </c>
      <c r="O57" s="148">
        <f>+O53*N57</f>
        <v>952.48548800000003</v>
      </c>
      <c r="P57" s="148"/>
      <c r="Q57" s="149"/>
    </row>
    <row r="58" spans="1:17" x14ac:dyDescent="0.2">
      <c r="B58" s="292" t="s">
        <v>154</v>
      </c>
      <c r="C58" s="292"/>
      <c r="D58" s="164">
        <v>3410</v>
      </c>
      <c r="E58" s="162"/>
      <c r="G58" s="104"/>
      <c r="H58" s="155"/>
      <c r="I58" s="163"/>
      <c r="J58" s="111"/>
      <c r="K58" s="156"/>
      <c r="L58" s="150"/>
      <c r="M58" s="285" t="s">
        <v>151</v>
      </c>
      <c r="N58" s="285"/>
      <c r="O58" s="148">
        <f>SUM(O56:O57)</f>
        <v>7174.0411758857144</v>
      </c>
      <c r="P58" s="148"/>
      <c r="Q58" s="149"/>
    </row>
    <row r="59" spans="1:17" ht="13.5" thickBot="1" x14ac:dyDescent="0.25">
      <c r="B59" s="283" t="s">
        <v>155</v>
      </c>
      <c r="C59" s="283"/>
      <c r="D59" s="161">
        <f>+D57/D58</f>
        <v>1</v>
      </c>
      <c r="E59" s="162"/>
      <c r="F59" s="165"/>
      <c r="G59" s="104"/>
      <c r="H59" s="155"/>
      <c r="I59" s="163"/>
      <c r="J59" s="111"/>
      <c r="K59" s="156"/>
      <c r="L59" s="285"/>
      <c r="M59" s="285"/>
      <c r="N59" s="109"/>
      <c r="O59" s="148">
        <f>+O58*N59</f>
        <v>0</v>
      </c>
      <c r="P59" s="148"/>
      <c r="Q59" s="149"/>
    </row>
    <row r="60" spans="1:17" ht="13.5" thickBot="1" x14ac:dyDescent="0.25">
      <c r="B60" s="283" t="s">
        <v>156</v>
      </c>
      <c r="C60" s="283"/>
      <c r="D60" s="166"/>
      <c r="E60" s="162"/>
      <c r="F60" s="165"/>
      <c r="G60" s="104"/>
      <c r="H60" s="155"/>
      <c r="I60" s="163"/>
      <c r="J60" s="111"/>
      <c r="K60" s="289" t="s">
        <v>157</v>
      </c>
      <c r="L60" s="290"/>
      <c r="M60" s="290"/>
      <c r="N60" s="291"/>
      <c r="O60" s="159">
        <f>SUM(O58:O59)</f>
        <v>7174.0411758857144</v>
      </c>
      <c r="P60" s="167" t="s">
        <v>158</v>
      </c>
      <c r="Q60" s="149"/>
    </row>
    <row r="61" spans="1:17" ht="13.5" thickBot="1" x14ac:dyDescent="0.25">
      <c r="C61" s="141" t="s">
        <v>159</v>
      </c>
      <c r="D61" s="168"/>
      <c r="E61" s="117" t="s">
        <v>160</v>
      </c>
      <c r="F61" s="169" t="s">
        <v>161</v>
      </c>
      <c r="G61" s="104"/>
      <c r="H61" s="155"/>
      <c r="I61" s="163"/>
      <c r="J61" s="170"/>
      <c r="K61" s="171"/>
      <c r="L61" s="278" t="s">
        <v>162</v>
      </c>
      <c r="M61" s="278"/>
      <c r="N61" s="278"/>
      <c r="O61" s="172">
        <f>+O60/D59</f>
        <v>7174.0411758857144</v>
      </c>
      <c r="P61" s="173">
        <f>+O61/D58</f>
        <v>2.1038243917553414</v>
      </c>
      <c r="Q61" s="174"/>
    </row>
    <row r="62" spans="1:17" ht="13.5" thickBot="1" x14ac:dyDescent="0.25">
      <c r="B62" s="284" t="s">
        <v>147</v>
      </c>
      <c r="C62" s="284"/>
      <c r="D62" s="284"/>
      <c r="E62" s="106">
        <f>+F62/F62</f>
        <v>1</v>
      </c>
      <c r="F62" s="175">
        <f>SUM(F54)</f>
        <v>5953.0343000000003</v>
      </c>
      <c r="G62" s="104">
        <f>+F62/$F$65</f>
        <v>0.96249226194552262</v>
      </c>
      <c r="H62" s="155"/>
      <c r="I62" s="163"/>
      <c r="K62" s="275"/>
      <c r="L62" s="276"/>
      <c r="M62" s="276"/>
      <c r="N62" s="276"/>
      <c r="O62" s="176"/>
      <c r="P62" s="177"/>
    </row>
    <row r="63" spans="1:17" ht="13.5" thickBot="1" x14ac:dyDescent="0.3">
      <c r="B63" s="293" t="s">
        <v>163</v>
      </c>
      <c r="C63" s="293"/>
      <c r="D63" s="293"/>
      <c r="E63" s="178">
        <v>0.02</v>
      </c>
      <c r="F63" s="175">
        <f>+F52*E63</f>
        <v>115.98612600000001</v>
      </c>
      <c r="G63" s="104">
        <f>+F63/$F$65</f>
        <v>1.8752747446464133E-2</v>
      </c>
      <c r="H63" s="144"/>
      <c r="I63" s="163"/>
      <c r="J63" s="112"/>
      <c r="O63" s="179"/>
      <c r="P63" s="142"/>
    </row>
    <row r="64" spans="1:17" ht="13.5" thickBot="1" x14ac:dyDescent="0.3">
      <c r="B64" s="268" t="s">
        <v>164</v>
      </c>
      <c r="C64" s="269"/>
      <c r="D64" s="180">
        <v>2</v>
      </c>
      <c r="E64" s="181">
        <v>58</v>
      </c>
      <c r="F64" s="175">
        <f>+E64*D64</f>
        <v>116</v>
      </c>
      <c r="G64" s="104">
        <f>+F64/$F$65</f>
        <v>1.8754990608013233E-2</v>
      </c>
      <c r="H64" s="144"/>
      <c r="I64" s="144"/>
      <c r="J64" s="105"/>
    </row>
    <row r="65" spans="2:13" ht="13.5" thickBot="1" x14ac:dyDescent="0.3">
      <c r="B65" s="265" t="s">
        <v>165</v>
      </c>
      <c r="C65" s="266"/>
      <c r="D65" s="266"/>
      <c r="E65" s="267"/>
      <c r="F65" s="154">
        <f>SUM(F62:F64)</f>
        <v>6185.020426</v>
      </c>
      <c r="G65" s="104">
        <f>+F65/$F$65</f>
        <v>1</v>
      </c>
      <c r="H65" s="288"/>
      <c r="I65" s="144"/>
      <c r="J65" s="105"/>
      <c r="M65" s="119" t="s">
        <v>166</v>
      </c>
    </row>
    <row r="66" spans="2:13" x14ac:dyDescent="0.25">
      <c r="C66" s="139"/>
      <c r="D66" s="139"/>
      <c r="E66" s="183"/>
      <c r="F66" s="175"/>
      <c r="G66" s="104"/>
      <c r="H66" s="288"/>
      <c r="I66" s="182"/>
      <c r="J66" s="119"/>
      <c r="M66" s="119" t="s">
        <v>167</v>
      </c>
    </row>
    <row r="67" spans="2:13" ht="13.5" thickBot="1" x14ac:dyDescent="0.3">
      <c r="B67" s="264" t="s">
        <v>168</v>
      </c>
      <c r="C67" s="264"/>
      <c r="D67" s="264"/>
      <c r="E67" s="264"/>
      <c r="F67" s="264"/>
      <c r="G67" s="104"/>
      <c r="H67" s="185"/>
      <c r="I67" s="182"/>
      <c r="J67" s="119"/>
    </row>
    <row r="68" spans="2:13" ht="13.5" thickBot="1" x14ac:dyDescent="0.3">
      <c r="B68" s="186" t="s">
        <v>169</v>
      </c>
      <c r="C68" s="187">
        <f>+F52</f>
        <v>5799.3063000000002</v>
      </c>
      <c r="D68" s="187">
        <f>+D57</f>
        <v>3410</v>
      </c>
      <c r="E68" s="188">
        <f>+C68/D68</f>
        <v>1.7006763343108504</v>
      </c>
      <c r="F68" s="104"/>
      <c r="G68" s="185"/>
      <c r="H68" s="105"/>
      <c r="I68" s="185"/>
      <c r="J68" s="119"/>
    </row>
    <row r="69" spans="2:13" x14ac:dyDescent="0.25">
      <c r="B69" s="189"/>
      <c r="C69" s="190"/>
      <c r="D69" s="191"/>
      <c r="E69" s="175"/>
      <c r="F69" s="104"/>
      <c r="G69" s="185"/>
      <c r="H69" s="105"/>
      <c r="I69" s="105"/>
      <c r="J69" s="119"/>
    </row>
    <row r="70" spans="2:13" x14ac:dyDescent="0.25">
      <c r="B70" s="186" t="s">
        <v>170</v>
      </c>
      <c r="C70" s="187">
        <f>SUM(F62:F63)</f>
        <v>6069.020426</v>
      </c>
      <c r="D70" s="187">
        <f>+D57</f>
        <v>3410</v>
      </c>
      <c r="E70" s="192">
        <f>+C70/D70</f>
        <v>1.7797713859237536</v>
      </c>
      <c r="F70" s="104"/>
      <c r="G70" s="185"/>
      <c r="H70" s="105"/>
      <c r="I70" s="105"/>
      <c r="J70" s="119"/>
    </row>
    <row r="71" spans="2:13" x14ac:dyDescent="0.25">
      <c r="B71" s="186"/>
      <c r="C71" s="187"/>
      <c r="D71" s="187"/>
      <c r="E71" s="192"/>
      <c r="F71" s="104"/>
      <c r="G71" s="185"/>
      <c r="H71" s="105"/>
      <c r="I71" s="105"/>
      <c r="J71" s="119"/>
    </row>
    <row r="72" spans="2:13" ht="13.5" thickBot="1" x14ac:dyDescent="0.3">
      <c r="B72" s="186" t="s">
        <v>171</v>
      </c>
      <c r="C72" s="187">
        <f>+F64</f>
        <v>116</v>
      </c>
      <c r="D72" s="187">
        <f>+D57</f>
        <v>3410</v>
      </c>
      <c r="E72" s="192">
        <f>+C72/D72</f>
        <v>3.401759530791789E-2</v>
      </c>
      <c r="F72" s="104"/>
      <c r="G72" s="185"/>
      <c r="H72" s="105"/>
      <c r="I72" s="105"/>
      <c r="J72" s="119"/>
    </row>
    <row r="73" spans="2:13" ht="13.5" thickBot="1" x14ac:dyDescent="0.3">
      <c r="B73" s="186" t="s">
        <v>172</v>
      </c>
      <c r="C73" s="187">
        <f>+F55</f>
        <v>268.52138788571426</v>
      </c>
      <c r="D73" s="187">
        <f>+D72</f>
        <v>3410</v>
      </c>
      <c r="E73" s="188">
        <f>+C73/D73</f>
        <v>7.8745275039798904E-2</v>
      </c>
      <c r="F73" s="104"/>
      <c r="G73" s="185"/>
      <c r="H73" s="105"/>
      <c r="I73" s="105"/>
      <c r="J73" s="119"/>
    </row>
    <row r="74" spans="2:13" ht="13.5" thickBot="1" x14ac:dyDescent="0.3">
      <c r="B74" s="153"/>
      <c r="C74" s="154"/>
      <c r="D74" s="154"/>
      <c r="E74" s="192"/>
      <c r="F74" s="104"/>
      <c r="G74" s="185"/>
      <c r="H74" s="105"/>
      <c r="I74" s="105"/>
      <c r="J74" s="119"/>
    </row>
    <row r="75" spans="2:13" ht="13.5" thickBot="1" x14ac:dyDescent="0.3">
      <c r="B75" s="186" t="s">
        <v>173</v>
      </c>
      <c r="C75" s="187">
        <f>+F53</f>
        <v>153.72800000000001</v>
      </c>
      <c r="D75" s="187">
        <f>+D73</f>
        <v>3410</v>
      </c>
      <c r="E75" s="188">
        <f>+C75/D75</f>
        <v>4.5081524926686219E-2</v>
      </c>
      <c r="F75" s="104"/>
      <c r="G75" s="185"/>
      <c r="H75" s="105"/>
      <c r="I75" s="105"/>
      <c r="J75" s="105"/>
    </row>
    <row r="76" spans="2:13" ht="13.5" thickBot="1" x14ac:dyDescent="0.3">
      <c r="B76" s="153"/>
      <c r="C76" s="154"/>
      <c r="D76" s="154"/>
      <c r="E76" s="192"/>
      <c r="F76" s="104"/>
      <c r="G76" s="185"/>
      <c r="H76" s="105"/>
      <c r="I76" s="105"/>
    </row>
    <row r="77" spans="2:13" ht="13.5" thickBot="1" x14ac:dyDescent="0.3">
      <c r="B77" s="270" t="s">
        <v>174</v>
      </c>
      <c r="C77" s="271"/>
      <c r="D77" s="272"/>
      <c r="E77" s="188">
        <f>+E68+E73</f>
        <v>1.7794216093506494</v>
      </c>
      <c r="G77" s="104"/>
      <c r="H77" s="185"/>
      <c r="I77" s="105"/>
      <c r="J77" s="192"/>
    </row>
    <row r="78" spans="2:13" x14ac:dyDescent="0.25">
      <c r="I78" s="185"/>
      <c r="J78" s="119"/>
    </row>
    <row r="79" spans="2:13" ht="13.5" thickBot="1" x14ac:dyDescent="0.3">
      <c r="B79" s="264" t="s">
        <v>175</v>
      </c>
      <c r="C79" s="264"/>
      <c r="D79" s="264"/>
      <c r="E79" s="264"/>
      <c r="F79" s="264"/>
      <c r="G79" s="104"/>
      <c r="H79" s="185"/>
      <c r="J79" s="119"/>
    </row>
    <row r="80" spans="2:13" ht="13.5" thickBot="1" x14ac:dyDescent="0.3">
      <c r="B80" s="186" t="s">
        <v>169</v>
      </c>
      <c r="C80" s="187">
        <f>+C68</f>
        <v>5799.3063000000002</v>
      </c>
      <c r="D80" s="187">
        <f>+D59</f>
        <v>1</v>
      </c>
      <c r="E80" s="188">
        <f>+C80/D80</f>
        <v>5799.3063000000002</v>
      </c>
      <c r="F80" s="104"/>
      <c r="G80" s="185"/>
      <c r="H80" s="105"/>
      <c r="I80" s="185"/>
      <c r="J80" s="119"/>
    </row>
    <row r="81" spans="1:10" x14ac:dyDescent="0.25">
      <c r="B81" s="189"/>
      <c r="C81" s="190"/>
      <c r="D81" s="191"/>
      <c r="E81" s="175"/>
      <c r="F81" s="104"/>
      <c r="G81" s="185"/>
      <c r="H81" s="105"/>
      <c r="I81" s="105"/>
      <c r="J81" s="119"/>
    </row>
    <row r="82" spans="1:10" x14ac:dyDescent="0.25">
      <c r="B82" s="186" t="s">
        <v>170</v>
      </c>
      <c r="C82" s="187">
        <f>+C70</f>
        <v>6069.020426</v>
      </c>
      <c r="D82" s="187">
        <f>+D59</f>
        <v>1</v>
      </c>
      <c r="E82" s="192">
        <f>+C82/D82</f>
        <v>6069.020426</v>
      </c>
      <c r="F82" s="104"/>
      <c r="G82" s="185"/>
      <c r="H82" s="105"/>
      <c r="I82" s="105"/>
      <c r="J82" s="119"/>
    </row>
    <row r="83" spans="1:10" x14ac:dyDescent="0.25">
      <c r="B83" s="186"/>
      <c r="C83" s="187"/>
      <c r="D83" s="187"/>
      <c r="E83" s="192"/>
      <c r="F83" s="104"/>
      <c r="G83" s="185"/>
      <c r="H83" s="105"/>
      <c r="I83" s="105"/>
      <c r="J83" s="119"/>
    </row>
    <row r="84" spans="1:10" ht="13.5" thickBot="1" x14ac:dyDescent="0.3">
      <c r="B84" s="186" t="s">
        <v>172</v>
      </c>
      <c r="C84" s="187">
        <f>+C72</f>
        <v>116</v>
      </c>
      <c r="D84" s="187">
        <f>+D59</f>
        <v>1</v>
      </c>
      <c r="E84" s="192">
        <f>+C84/D84</f>
        <v>116</v>
      </c>
      <c r="F84" s="193"/>
      <c r="G84" s="184"/>
      <c r="H84" s="118"/>
      <c r="I84" s="105"/>
    </row>
    <row r="85" spans="1:10" ht="13.5" thickBot="1" x14ac:dyDescent="0.3">
      <c r="B85" s="186" t="s">
        <v>172</v>
      </c>
      <c r="C85" s="187">
        <f>+C73</f>
        <v>268.52138788571426</v>
      </c>
      <c r="D85" s="187">
        <f>+D84</f>
        <v>1</v>
      </c>
      <c r="E85" s="188">
        <f>+C85/D85</f>
        <v>268.52138788571426</v>
      </c>
      <c r="F85" s="107"/>
      <c r="G85" s="184"/>
      <c r="H85" s="118"/>
      <c r="I85" s="118"/>
    </row>
    <row r="86" spans="1:10" x14ac:dyDescent="0.25">
      <c r="I86" s="118"/>
    </row>
    <row r="87" spans="1:10" x14ac:dyDescent="0.2">
      <c r="A87" s="263"/>
      <c r="B87" s="263"/>
      <c r="C87" s="194"/>
      <c r="D87" s="194"/>
      <c r="E87" s="195"/>
      <c r="G87" s="108"/>
    </row>
    <row r="88" spans="1:10" x14ac:dyDescent="0.2">
      <c r="A88" s="135"/>
      <c r="B88" s="196"/>
      <c r="C88" s="197"/>
      <c r="D88" s="197"/>
      <c r="E88" s="198"/>
      <c r="G88" s="108"/>
    </row>
    <row r="89" spans="1:10" x14ac:dyDescent="0.2">
      <c r="A89" s="135"/>
      <c r="B89" s="196"/>
      <c r="C89" s="199"/>
      <c r="D89" s="199"/>
      <c r="E89" s="135"/>
      <c r="G89" s="108"/>
    </row>
    <row r="90" spans="1:10" x14ac:dyDescent="0.2">
      <c r="A90" s="135"/>
      <c r="B90" s="196"/>
      <c r="C90" s="200"/>
      <c r="D90" s="200"/>
      <c r="E90" s="135"/>
      <c r="G90" s="108"/>
    </row>
  </sheetData>
  <mergeCells count="30">
    <mergeCell ref="K53:N53"/>
    <mergeCell ref="H65:H66"/>
    <mergeCell ref="C55:E55"/>
    <mergeCell ref="K60:N60"/>
    <mergeCell ref="B58:C58"/>
    <mergeCell ref="B57:C57"/>
    <mergeCell ref="B59:C59"/>
    <mergeCell ref="B63:D63"/>
    <mergeCell ref="A4:H4"/>
    <mergeCell ref="K29:L29"/>
    <mergeCell ref="K62:N62"/>
    <mergeCell ref="B52:E52"/>
    <mergeCell ref="L61:N61"/>
    <mergeCell ref="A5:H5"/>
    <mergeCell ref="B53:E53"/>
    <mergeCell ref="F6:G6"/>
    <mergeCell ref="B54:E54"/>
    <mergeCell ref="B60:C60"/>
    <mergeCell ref="B62:D62"/>
    <mergeCell ref="K26:L26"/>
    <mergeCell ref="L59:M59"/>
    <mergeCell ref="M58:N58"/>
    <mergeCell ref="K27:L27"/>
    <mergeCell ref="K28:L28"/>
    <mergeCell ref="A87:B87"/>
    <mergeCell ref="B67:F67"/>
    <mergeCell ref="B79:F79"/>
    <mergeCell ref="B65:E65"/>
    <mergeCell ref="B64:C64"/>
    <mergeCell ref="B77:D7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7C869-56A4-4322-A32F-F6F75CFE9437}">
  <dimension ref="A1:I59"/>
  <sheetViews>
    <sheetView tabSelected="1" view="pageBreakPreview" zoomScale="60" zoomScaleNormal="55" workbookViewId="0">
      <selection activeCell="P11" sqref="P11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9.140625" customWidth="1"/>
    <col min="9" max="9" width="18.140625" bestFit="1" customWidth="1"/>
  </cols>
  <sheetData>
    <row r="1" spans="1:9" ht="15.75" x14ac:dyDescent="0.25">
      <c r="A1" s="303"/>
      <c r="B1" s="304"/>
      <c r="C1" s="309" t="s">
        <v>0</v>
      </c>
      <c r="D1" s="309"/>
      <c r="E1" s="309"/>
      <c r="F1" s="309"/>
      <c r="G1" s="309"/>
      <c r="H1" s="1" t="s">
        <v>1</v>
      </c>
      <c r="I1" s="2" t="s">
        <v>218</v>
      </c>
    </row>
    <row r="2" spans="1:9" ht="18" customHeight="1" thickBot="1" x14ac:dyDescent="0.3">
      <c r="A2" s="305"/>
      <c r="B2" s="306"/>
      <c r="C2" s="310" t="s">
        <v>2</v>
      </c>
      <c r="D2" s="311"/>
      <c r="E2" s="311"/>
      <c r="F2" s="311"/>
      <c r="G2" s="312"/>
      <c r="H2" s="3" t="s">
        <v>3</v>
      </c>
      <c r="I2" s="4" t="s">
        <v>198</v>
      </c>
    </row>
    <row r="3" spans="1:9" ht="31.5" customHeight="1" thickBot="1" x14ac:dyDescent="0.3">
      <c r="A3" s="305"/>
      <c r="B3" s="306"/>
      <c r="C3" s="313" t="s">
        <v>199</v>
      </c>
      <c r="D3" s="313"/>
      <c r="E3" s="313"/>
      <c r="F3" s="313"/>
      <c r="G3" s="313"/>
      <c r="H3" s="314" t="s">
        <v>4</v>
      </c>
      <c r="I3" s="294">
        <v>45617</v>
      </c>
    </row>
    <row r="4" spans="1:9" ht="18" customHeight="1" x14ac:dyDescent="0.25">
      <c r="A4" s="305"/>
      <c r="B4" s="306"/>
      <c r="C4" s="29" t="s">
        <v>5</v>
      </c>
      <c r="D4" s="297" t="s">
        <v>106</v>
      </c>
      <c r="E4" s="298"/>
      <c r="F4" s="298"/>
      <c r="G4" s="299"/>
      <c r="H4" s="315"/>
      <c r="I4" s="295"/>
    </row>
    <row r="5" spans="1:9" ht="15.75" thickBot="1" x14ac:dyDescent="0.3">
      <c r="A5" s="307"/>
      <c r="B5" s="308"/>
      <c r="C5" s="5" t="s">
        <v>6</v>
      </c>
      <c r="D5" s="300" t="s">
        <v>210</v>
      </c>
      <c r="E5" s="301"/>
      <c r="F5" s="301"/>
      <c r="G5" s="302"/>
      <c r="H5" s="316"/>
      <c r="I5" s="296"/>
    </row>
    <row r="6" spans="1:9" ht="18.75" thickBot="1" x14ac:dyDescent="0.3">
      <c r="A6" s="317" t="s">
        <v>7</v>
      </c>
      <c r="B6" s="317"/>
      <c r="C6" s="317"/>
      <c r="D6" s="318" t="s">
        <v>211</v>
      </c>
      <c r="E6" s="318"/>
      <c r="F6" s="318"/>
      <c r="G6" s="319" t="s">
        <v>8</v>
      </c>
      <c r="H6" s="319"/>
      <c r="I6" s="204" t="s">
        <v>211</v>
      </c>
    </row>
    <row r="7" spans="1:9" ht="25.5" x14ac:dyDescent="0.25">
      <c r="A7" s="320" t="s">
        <v>9</v>
      </c>
      <c r="B7" s="322" t="s">
        <v>200</v>
      </c>
      <c r="C7" s="324" t="s">
        <v>10</v>
      </c>
      <c r="D7" s="324" t="s">
        <v>11</v>
      </c>
      <c r="E7" s="324" t="s">
        <v>12</v>
      </c>
      <c r="F7" s="324"/>
      <c r="G7" s="324" t="s">
        <v>13</v>
      </c>
      <c r="H7" s="324"/>
      <c r="I7" s="6" t="s">
        <v>14</v>
      </c>
    </row>
    <row r="8" spans="1:9" ht="27" thickBot="1" x14ac:dyDescent="0.3">
      <c r="A8" s="321"/>
      <c r="B8" s="323"/>
      <c r="C8" s="325"/>
      <c r="D8" s="325"/>
      <c r="E8" s="7" t="s">
        <v>15</v>
      </c>
      <c r="F8" s="8" t="s">
        <v>16</v>
      </c>
      <c r="G8" s="7" t="s">
        <v>15</v>
      </c>
      <c r="H8" s="8" t="s">
        <v>16</v>
      </c>
      <c r="I8" s="9" t="s">
        <v>17</v>
      </c>
    </row>
    <row r="9" spans="1:9" ht="18.600000000000001" customHeight="1" x14ac:dyDescent="0.25">
      <c r="A9" s="205"/>
      <c r="B9" s="206"/>
      <c r="C9" s="207" t="s">
        <v>212</v>
      </c>
      <c r="D9" s="208"/>
      <c r="E9" s="209"/>
      <c r="F9" s="210"/>
      <c r="G9" s="209"/>
      <c r="H9" s="210"/>
      <c r="I9" s="211"/>
    </row>
    <row r="10" spans="1:9" ht="18" customHeight="1" x14ac:dyDescent="0.25">
      <c r="A10" s="212">
        <v>90100131</v>
      </c>
      <c r="B10" s="213" t="s">
        <v>201</v>
      </c>
      <c r="C10" s="214" t="s">
        <v>19</v>
      </c>
      <c r="D10" s="215" t="s">
        <v>61</v>
      </c>
      <c r="E10" s="24">
        <v>2000</v>
      </c>
      <c r="F10" s="11" t="s">
        <v>20</v>
      </c>
      <c r="G10" s="216"/>
      <c r="H10" s="217"/>
      <c r="I10" s="211"/>
    </row>
    <row r="11" spans="1:9" x14ac:dyDescent="0.25">
      <c r="A11" s="212">
        <v>11200071</v>
      </c>
      <c r="B11" s="218" t="s">
        <v>202</v>
      </c>
      <c r="C11" s="214" t="s">
        <v>42</v>
      </c>
      <c r="D11" s="215" t="s">
        <v>43</v>
      </c>
      <c r="E11" s="24">
        <v>884</v>
      </c>
      <c r="F11" s="11" t="s">
        <v>20</v>
      </c>
      <c r="G11" s="216"/>
      <c r="H11" s="217"/>
      <c r="I11" s="211"/>
    </row>
    <row r="12" spans="1:9" x14ac:dyDescent="0.25">
      <c r="A12" s="219">
        <v>512255</v>
      </c>
      <c r="B12" s="220" t="s">
        <v>203</v>
      </c>
      <c r="C12" s="25" t="s">
        <v>44</v>
      </c>
      <c r="D12" s="40" t="s">
        <v>213</v>
      </c>
      <c r="E12" s="24">
        <v>56</v>
      </c>
      <c r="F12" s="11" t="s">
        <v>20</v>
      </c>
      <c r="G12" s="27"/>
      <c r="H12" s="217"/>
      <c r="I12" s="211"/>
    </row>
    <row r="13" spans="1:9" ht="15.75" x14ac:dyDescent="0.25">
      <c r="A13" s="218">
        <v>10100046</v>
      </c>
      <c r="B13" s="218" t="s">
        <v>204</v>
      </c>
      <c r="C13" s="221" t="s">
        <v>22</v>
      </c>
      <c r="D13" s="93" t="s">
        <v>23</v>
      </c>
      <c r="E13" s="93">
        <v>10</v>
      </c>
      <c r="F13" s="93" t="s">
        <v>20</v>
      </c>
      <c r="G13" s="27"/>
      <c r="H13" s="217"/>
      <c r="I13" s="211"/>
    </row>
    <row r="14" spans="1:9" ht="15.75" x14ac:dyDescent="0.25">
      <c r="A14" s="222">
        <v>1212412</v>
      </c>
      <c r="B14" s="222" t="s">
        <v>205</v>
      </c>
      <c r="C14" s="223" t="s">
        <v>90</v>
      </c>
      <c r="D14" s="93" t="s">
        <v>214</v>
      </c>
      <c r="E14" s="93">
        <v>10</v>
      </c>
      <c r="F14" s="93" t="s">
        <v>20</v>
      </c>
      <c r="G14" s="27"/>
      <c r="H14" s="217"/>
      <c r="I14" s="211"/>
    </row>
    <row r="15" spans="1:9" ht="15.75" x14ac:dyDescent="0.25">
      <c r="A15" s="222">
        <v>11900028</v>
      </c>
      <c r="B15" s="222" t="s">
        <v>206</v>
      </c>
      <c r="C15" s="223" t="s">
        <v>51</v>
      </c>
      <c r="D15" s="93" t="s">
        <v>215</v>
      </c>
      <c r="E15" s="93">
        <v>450</v>
      </c>
      <c r="F15" s="93" t="s">
        <v>20</v>
      </c>
      <c r="G15" s="27"/>
      <c r="H15" s="217"/>
      <c r="I15" s="211"/>
    </row>
    <row r="16" spans="1:9" ht="15.75" x14ac:dyDescent="0.25">
      <c r="A16" s="222"/>
      <c r="B16" s="222"/>
      <c r="C16" s="223"/>
      <c r="D16" s="93"/>
      <c r="E16" s="93"/>
      <c r="F16" s="93"/>
      <c r="G16" s="27"/>
      <c r="H16" s="217"/>
      <c r="I16" s="211"/>
    </row>
    <row r="17" spans="1:9" ht="15.75" x14ac:dyDescent="0.25">
      <c r="A17" s="222"/>
      <c r="B17" s="222"/>
      <c r="C17" s="223"/>
      <c r="D17" s="93"/>
      <c r="E17" s="93"/>
      <c r="F17" s="93"/>
      <c r="G17" s="27"/>
      <c r="H17" s="217"/>
      <c r="I17" s="211"/>
    </row>
    <row r="18" spans="1:9" ht="15.75" x14ac:dyDescent="0.25">
      <c r="A18" s="222"/>
      <c r="B18" s="222"/>
      <c r="C18" s="223"/>
      <c r="D18" s="93"/>
      <c r="E18" s="93"/>
      <c r="F18" s="93"/>
      <c r="G18" s="27"/>
      <c r="H18" s="217"/>
      <c r="I18" s="211"/>
    </row>
    <row r="19" spans="1:9" ht="15.75" x14ac:dyDescent="0.25">
      <c r="A19" s="218"/>
      <c r="B19" s="218"/>
      <c r="C19" s="96"/>
      <c r="D19" s="93"/>
      <c r="E19" s="93"/>
      <c r="F19" s="93"/>
      <c r="G19" s="27"/>
      <c r="H19" s="217"/>
      <c r="I19" s="211"/>
    </row>
    <row r="20" spans="1:9" ht="15.75" x14ac:dyDescent="0.25">
      <c r="A20" s="218"/>
      <c r="B20" s="218"/>
      <c r="C20" s="96"/>
      <c r="D20" s="93"/>
      <c r="E20" s="93"/>
      <c r="F20" s="93"/>
      <c r="G20" s="27"/>
      <c r="H20" s="217"/>
      <c r="I20" s="211"/>
    </row>
    <row r="21" spans="1:9" ht="15.75" x14ac:dyDescent="0.25">
      <c r="A21" s="224"/>
      <c r="B21" s="225"/>
      <c r="C21" s="226" t="s">
        <v>216</v>
      </c>
      <c r="D21" s="93"/>
      <c r="E21" s="93"/>
      <c r="F21" s="93"/>
      <c r="G21" s="27"/>
      <c r="H21" s="217"/>
      <c r="I21" s="211"/>
    </row>
    <row r="22" spans="1:9" x14ac:dyDescent="0.25">
      <c r="A22" s="227"/>
      <c r="B22" s="218"/>
      <c r="C22" s="96"/>
      <c r="D22" s="228"/>
      <c r="E22" s="228"/>
      <c r="F22" s="228"/>
      <c r="G22" s="209"/>
      <c r="H22" s="217"/>
      <c r="I22" s="211"/>
    </row>
    <row r="23" spans="1:9" ht="15.75" x14ac:dyDescent="0.25">
      <c r="A23" s="224"/>
      <c r="B23" s="225"/>
      <c r="C23" s="226"/>
      <c r="D23" s="229"/>
      <c r="E23" s="230"/>
      <c r="F23" s="231"/>
      <c r="G23" s="209"/>
      <c r="H23" s="217"/>
      <c r="I23" s="211"/>
    </row>
    <row r="24" spans="1:9" x14ac:dyDescent="0.25">
      <c r="A24" s="26"/>
      <c r="B24" s="232"/>
      <c r="C24" s="233"/>
      <c r="D24" s="234"/>
      <c r="E24" s="235"/>
      <c r="F24" s="236"/>
      <c r="G24" s="209"/>
      <c r="H24" s="217"/>
      <c r="I24" s="211"/>
    </row>
    <row r="25" spans="1:9" x14ac:dyDescent="0.25">
      <c r="A25" s="26"/>
      <c r="B25" s="232"/>
      <c r="C25" s="233"/>
      <c r="D25" s="234"/>
      <c r="E25" s="237"/>
      <c r="F25" s="236"/>
      <c r="G25" s="209"/>
      <c r="H25" s="210"/>
      <c r="I25" s="211"/>
    </row>
    <row r="26" spans="1:9" x14ac:dyDescent="0.25">
      <c r="A26" s="26"/>
      <c r="B26" s="232"/>
      <c r="C26" s="233"/>
      <c r="D26" s="234"/>
      <c r="E26" s="235"/>
      <c r="F26" s="236"/>
      <c r="G26" s="209"/>
      <c r="H26" s="210"/>
      <c r="I26" s="211"/>
    </row>
    <row r="27" spans="1:9" x14ac:dyDescent="0.25">
      <c r="A27" s="26"/>
      <c r="B27" s="232"/>
      <c r="C27" s="233"/>
      <c r="D27" s="234"/>
      <c r="E27" s="238"/>
      <c r="F27" s="239"/>
      <c r="G27" s="209"/>
      <c r="H27" s="210"/>
      <c r="I27" s="211"/>
    </row>
    <row r="28" spans="1:9" x14ac:dyDescent="0.25">
      <c r="A28" s="218"/>
      <c r="B28" s="218"/>
      <c r="C28" s="96"/>
      <c r="D28" s="53"/>
      <c r="E28" s="32"/>
      <c r="F28" s="34"/>
      <c r="G28" s="209"/>
      <c r="H28" s="210"/>
      <c r="I28" s="211"/>
    </row>
    <row r="29" spans="1:9" ht="15.75" x14ac:dyDescent="0.25">
      <c r="A29" s="240"/>
      <c r="B29" s="241"/>
      <c r="C29" s="242" t="s">
        <v>217</v>
      </c>
      <c r="D29" s="243"/>
      <c r="E29" s="244"/>
      <c r="F29" s="210"/>
      <c r="G29" s="209"/>
      <c r="I29" s="211"/>
    </row>
    <row r="30" spans="1:9" x14ac:dyDescent="0.25">
      <c r="A30" s="245" t="s">
        <v>24</v>
      </c>
      <c r="B30" s="246" t="s">
        <v>207</v>
      </c>
      <c r="C30" s="247" t="s">
        <v>25</v>
      </c>
      <c r="D30" s="97" t="s">
        <v>26</v>
      </c>
      <c r="E30" s="98">
        <v>3</v>
      </c>
      <c r="F30" s="99" t="s">
        <v>27</v>
      </c>
      <c r="G30" s="248"/>
      <c r="H30" s="210"/>
      <c r="I30" s="211"/>
    </row>
    <row r="31" spans="1:9" x14ac:dyDescent="0.25">
      <c r="A31" s="245" t="s">
        <v>38</v>
      </c>
      <c r="B31" s="246" t="s">
        <v>208</v>
      </c>
      <c r="C31" s="247" t="s">
        <v>39</v>
      </c>
      <c r="D31" s="97" t="s">
        <v>26</v>
      </c>
      <c r="E31" s="98">
        <v>1</v>
      </c>
      <c r="F31" s="99" t="s">
        <v>27</v>
      </c>
      <c r="G31" s="248"/>
      <c r="H31" s="210"/>
      <c r="I31" s="211"/>
    </row>
    <row r="32" spans="1:9" x14ac:dyDescent="0.25">
      <c r="A32" s="249" t="s">
        <v>40</v>
      </c>
      <c r="B32" s="250" t="s">
        <v>209</v>
      </c>
      <c r="C32" s="251" t="s">
        <v>41</v>
      </c>
      <c r="D32" s="97" t="s">
        <v>26</v>
      </c>
      <c r="E32" s="98">
        <v>1</v>
      </c>
      <c r="F32" s="99" t="s">
        <v>27</v>
      </c>
      <c r="G32" s="248"/>
      <c r="H32" s="210"/>
      <c r="I32" s="211"/>
    </row>
    <row r="33" spans="1:9" x14ac:dyDescent="0.25">
      <c r="A33" s="252"/>
      <c r="B33" s="252"/>
      <c r="C33" s="253"/>
      <c r="D33" s="97"/>
      <c r="E33" s="98"/>
      <c r="F33" s="99"/>
      <c r="G33" s="209"/>
      <c r="H33" s="210"/>
      <c r="I33" s="211"/>
    </row>
    <row r="34" spans="1:9" x14ac:dyDescent="0.25">
      <c r="A34" s="252"/>
      <c r="B34" s="252"/>
      <c r="C34" s="253"/>
      <c r="D34" s="97"/>
      <c r="E34" s="98"/>
      <c r="F34" s="99"/>
      <c r="G34" s="209"/>
      <c r="H34" s="210"/>
      <c r="I34" s="211"/>
    </row>
    <row r="35" spans="1:9" x14ac:dyDescent="0.25">
      <c r="A35" s="252"/>
      <c r="B35" s="252"/>
      <c r="C35" s="253"/>
      <c r="D35" s="97"/>
      <c r="E35" s="98"/>
      <c r="F35" s="99"/>
      <c r="G35" s="254"/>
      <c r="H35" s="210"/>
      <c r="I35" s="211"/>
    </row>
    <row r="36" spans="1:9" ht="15.75" x14ac:dyDescent="0.25">
      <c r="A36" s="252"/>
      <c r="B36" s="252"/>
      <c r="C36" s="253"/>
      <c r="D36" s="93"/>
      <c r="E36" s="98"/>
      <c r="F36" s="99"/>
      <c r="G36" s="255"/>
      <c r="H36" s="210"/>
      <c r="I36" s="211"/>
    </row>
    <row r="37" spans="1:9" x14ac:dyDescent="0.25">
      <c r="A37" s="256"/>
      <c r="B37" s="256"/>
      <c r="C37" s="72"/>
      <c r="D37" s="97"/>
      <c r="E37" s="34"/>
      <c r="F37" s="34"/>
      <c r="G37" s="255"/>
      <c r="H37" s="210"/>
      <c r="I37" s="211"/>
    </row>
    <row r="38" spans="1:9" x14ac:dyDescent="0.25">
      <c r="A38" s="257"/>
      <c r="B38" s="218"/>
      <c r="C38" s="91"/>
      <c r="D38" s="258"/>
      <c r="E38" s="32"/>
      <c r="F38" s="27"/>
      <c r="G38" s="255"/>
      <c r="H38" s="210"/>
      <c r="I38" s="211"/>
    </row>
    <row r="39" spans="1:9" ht="15.75" x14ac:dyDescent="0.25">
      <c r="A39" s="252"/>
      <c r="B39" s="252"/>
      <c r="C39" s="253"/>
      <c r="D39" s="97"/>
      <c r="E39" s="32"/>
      <c r="F39" s="27"/>
      <c r="G39" s="259"/>
      <c r="H39" s="210"/>
      <c r="I39" s="211"/>
    </row>
    <row r="40" spans="1:9" ht="15.75" x14ac:dyDescent="0.25">
      <c r="A40" s="224"/>
      <c r="B40" s="225"/>
      <c r="C40" s="260"/>
      <c r="D40" s="229"/>
      <c r="E40" s="229"/>
      <c r="F40" s="231"/>
      <c r="G40" s="261"/>
      <c r="H40" s="261"/>
      <c r="I40" s="211"/>
    </row>
    <row r="41" spans="1:9" ht="15.75" thickBot="1" x14ac:dyDescent="0.3">
      <c r="A41" s="13"/>
      <c r="B41" s="202"/>
      <c r="C41" s="262"/>
      <c r="D41" s="262"/>
      <c r="E41" s="14"/>
      <c r="F41" s="15"/>
      <c r="G41" s="262"/>
      <c r="H41" s="262"/>
      <c r="I41" s="16"/>
    </row>
    <row r="42" spans="1:9" ht="15.75" thickBot="1" x14ac:dyDescent="0.3">
      <c r="A42" s="17"/>
      <c r="B42" s="203"/>
      <c r="C42" s="18"/>
      <c r="D42" s="19" t="s">
        <v>15</v>
      </c>
      <c r="E42" s="20" t="s">
        <v>28</v>
      </c>
      <c r="F42" s="21"/>
      <c r="G42" s="18"/>
      <c r="H42" s="18"/>
      <c r="I42" s="22"/>
    </row>
    <row r="43" spans="1:9" x14ac:dyDescent="0.25">
      <c r="A43" s="326" t="s">
        <v>29</v>
      </c>
      <c r="B43" s="327"/>
      <c r="C43" s="328"/>
      <c r="D43" s="82">
        <v>3410</v>
      </c>
      <c r="E43" s="36" t="s">
        <v>20</v>
      </c>
      <c r="F43" s="329" t="s">
        <v>54</v>
      </c>
      <c r="G43" s="329"/>
      <c r="H43" s="330"/>
      <c r="I43" s="331"/>
    </row>
    <row r="44" spans="1:9" x14ac:dyDescent="0.25">
      <c r="A44" s="332" t="s">
        <v>30</v>
      </c>
      <c r="B44" s="333"/>
      <c r="C44" s="334"/>
      <c r="D44" s="32">
        <v>2</v>
      </c>
      <c r="E44" s="27" t="s">
        <v>31</v>
      </c>
      <c r="F44" s="335" t="s">
        <v>55</v>
      </c>
      <c r="G44" s="335"/>
      <c r="H44" s="336"/>
      <c r="I44" s="337"/>
    </row>
    <row r="45" spans="1:9" x14ac:dyDescent="0.25">
      <c r="A45" s="332" t="s">
        <v>32</v>
      </c>
      <c r="B45" s="333"/>
      <c r="C45" s="334"/>
      <c r="D45" s="32">
        <v>1</v>
      </c>
      <c r="E45" s="27" t="s">
        <v>27</v>
      </c>
      <c r="F45" s="335" t="s">
        <v>56</v>
      </c>
      <c r="G45" s="335"/>
      <c r="H45" s="336"/>
      <c r="I45" s="337"/>
    </row>
    <row r="46" spans="1:9" x14ac:dyDescent="0.25">
      <c r="A46" s="332" t="s">
        <v>33</v>
      </c>
      <c r="B46" s="333"/>
      <c r="C46" s="334"/>
      <c r="D46" s="32">
        <v>3410</v>
      </c>
      <c r="E46" s="27" t="s">
        <v>20</v>
      </c>
      <c r="F46" s="341" t="s">
        <v>57</v>
      </c>
      <c r="G46" s="342"/>
      <c r="H46" s="343"/>
      <c r="I46" s="344"/>
    </row>
    <row r="47" spans="1:9" ht="15.75" thickBot="1" x14ac:dyDescent="0.3">
      <c r="A47" s="345" t="s">
        <v>34</v>
      </c>
      <c r="B47" s="346"/>
      <c r="C47" s="347"/>
      <c r="D47" s="68">
        <v>0</v>
      </c>
      <c r="E47" s="37" t="s">
        <v>20</v>
      </c>
      <c r="F47" s="348"/>
      <c r="G47" s="348"/>
      <c r="H47" s="336"/>
      <c r="I47" s="337"/>
    </row>
    <row r="48" spans="1:9" ht="15.75" thickBot="1" x14ac:dyDescent="0.3">
      <c r="A48" s="349" t="s">
        <v>35</v>
      </c>
      <c r="B48" s="350"/>
      <c r="C48" s="350"/>
      <c r="D48" s="350"/>
      <c r="E48" s="350"/>
      <c r="F48" s="350"/>
      <c r="G48" s="350"/>
      <c r="H48" s="350"/>
      <c r="I48" s="351"/>
    </row>
    <row r="49" spans="1:9" ht="14.45" customHeight="1" x14ac:dyDescent="0.25">
      <c r="A49" s="338" t="s">
        <v>45</v>
      </c>
      <c r="B49" s="339"/>
      <c r="C49" s="339"/>
      <c r="D49" s="339"/>
      <c r="E49" s="339"/>
      <c r="F49" s="339"/>
      <c r="G49" s="339"/>
      <c r="H49" s="339"/>
      <c r="I49" s="340"/>
    </row>
    <row r="50" spans="1:9" ht="15.6" customHeight="1" x14ac:dyDescent="0.25">
      <c r="A50" s="338" t="s">
        <v>103</v>
      </c>
      <c r="B50" s="339"/>
      <c r="C50" s="339"/>
      <c r="D50" s="339"/>
      <c r="E50" s="339"/>
      <c r="F50" s="339"/>
      <c r="G50" s="339"/>
      <c r="H50" s="339"/>
      <c r="I50" s="340"/>
    </row>
    <row r="51" spans="1:9" ht="14.45" customHeight="1" x14ac:dyDescent="0.25">
      <c r="A51" s="338" t="s">
        <v>60</v>
      </c>
      <c r="B51" s="339"/>
      <c r="C51" s="339"/>
      <c r="D51" s="339"/>
      <c r="E51" s="339"/>
      <c r="F51" s="339"/>
      <c r="G51" s="339"/>
      <c r="H51" s="339"/>
      <c r="I51" s="340"/>
    </row>
    <row r="52" spans="1:9" ht="14.45" customHeight="1" x14ac:dyDescent="0.25">
      <c r="A52" s="338" t="s">
        <v>59</v>
      </c>
      <c r="B52" s="339"/>
      <c r="C52" s="339"/>
      <c r="D52" s="339"/>
      <c r="E52" s="339"/>
      <c r="F52" s="339"/>
      <c r="G52" s="339"/>
      <c r="H52" s="339"/>
      <c r="I52" s="340"/>
    </row>
    <row r="53" spans="1:9" ht="14.45" customHeight="1" x14ac:dyDescent="0.25">
      <c r="A53" s="338"/>
      <c r="B53" s="339"/>
      <c r="C53" s="339"/>
      <c r="D53" s="339"/>
      <c r="E53" s="339"/>
      <c r="F53" s="339"/>
      <c r="G53" s="339"/>
      <c r="H53" s="339"/>
      <c r="I53" s="340"/>
    </row>
    <row r="54" spans="1:9" ht="18" customHeight="1" x14ac:dyDescent="0.25">
      <c r="A54" s="356"/>
      <c r="B54" s="357"/>
      <c r="C54" s="357"/>
      <c r="D54" s="357"/>
      <c r="E54" s="357"/>
      <c r="F54" s="357"/>
      <c r="G54" s="357"/>
      <c r="H54" s="357"/>
      <c r="I54" s="358"/>
    </row>
    <row r="55" spans="1:9" x14ac:dyDescent="0.25">
      <c r="A55" s="359"/>
      <c r="B55" s="360"/>
      <c r="C55" s="360"/>
      <c r="D55" s="360"/>
      <c r="E55" s="360"/>
      <c r="F55" s="360"/>
      <c r="G55" s="360"/>
      <c r="H55" s="360"/>
      <c r="I55" s="361"/>
    </row>
    <row r="56" spans="1:9" ht="15.75" thickBot="1" x14ac:dyDescent="0.3">
      <c r="A56" s="359"/>
      <c r="B56" s="360"/>
      <c r="C56" s="360"/>
      <c r="D56" s="360"/>
      <c r="E56" s="360"/>
      <c r="F56" s="360"/>
      <c r="G56" s="360"/>
      <c r="H56" s="360"/>
      <c r="I56" s="361"/>
    </row>
    <row r="57" spans="1:9" x14ac:dyDescent="0.25">
      <c r="A57" s="352" t="s">
        <v>36</v>
      </c>
      <c r="B57" s="353"/>
      <c r="C57" s="353"/>
      <c r="D57" s="353"/>
      <c r="E57" s="353"/>
      <c r="F57" s="353"/>
      <c r="G57" s="353"/>
      <c r="H57" s="353"/>
      <c r="I57" s="353"/>
    </row>
    <row r="58" spans="1:9" x14ac:dyDescent="0.25">
      <c r="A58" s="354"/>
      <c r="B58" s="355"/>
      <c r="C58" s="355"/>
      <c r="D58" s="355"/>
      <c r="E58" s="355"/>
      <c r="F58" s="355"/>
      <c r="G58" s="355"/>
      <c r="H58" s="355"/>
      <c r="I58" s="355"/>
    </row>
    <row r="59" spans="1:9" x14ac:dyDescent="0.25">
      <c r="A59" s="354"/>
      <c r="B59" s="355"/>
      <c r="C59" s="355"/>
      <c r="D59" s="355"/>
      <c r="E59" s="355"/>
      <c r="F59" s="355"/>
      <c r="G59" s="355"/>
      <c r="H59" s="355"/>
      <c r="I59" s="355"/>
    </row>
  </sheetData>
  <mergeCells count="44">
    <mergeCell ref="A57:I57"/>
    <mergeCell ref="A58:I58"/>
    <mergeCell ref="A59:I59"/>
    <mergeCell ref="A51:I51"/>
    <mergeCell ref="A52:I52"/>
    <mergeCell ref="A53:I53"/>
    <mergeCell ref="A54:I54"/>
    <mergeCell ref="A55:I55"/>
    <mergeCell ref="A56:I56"/>
    <mergeCell ref="A50:I50"/>
    <mergeCell ref="A45:C45"/>
    <mergeCell ref="F45:G45"/>
    <mergeCell ref="H45:I45"/>
    <mergeCell ref="A46:C46"/>
    <mergeCell ref="F46:G46"/>
    <mergeCell ref="H46:I46"/>
    <mergeCell ref="A47:C47"/>
    <mergeCell ref="F47:G47"/>
    <mergeCell ref="H47:I47"/>
    <mergeCell ref="A48:I48"/>
    <mergeCell ref="A49:I49"/>
    <mergeCell ref="A43:C43"/>
    <mergeCell ref="F43:G43"/>
    <mergeCell ref="H43:I43"/>
    <mergeCell ref="A44:C44"/>
    <mergeCell ref="F44:G44"/>
    <mergeCell ref="H44:I44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609CC-0E65-4035-9BF8-D96D3680979E}">
  <dimension ref="A1:Q91"/>
  <sheetViews>
    <sheetView workbookViewId="0">
      <selection activeCell="B66" sqref="B66:E66"/>
    </sheetView>
  </sheetViews>
  <sheetFormatPr baseColWidth="10" defaultColWidth="8.42578125" defaultRowHeight="12.75" x14ac:dyDescent="0.25"/>
  <cols>
    <col min="1" max="1" width="10" style="119" bestFit="1" customWidth="1"/>
    <col min="2" max="2" width="44.42578125" style="119" bestFit="1" customWidth="1"/>
    <col min="3" max="3" width="10.42578125" style="119" bestFit="1" customWidth="1"/>
    <col min="4" max="4" width="10.42578125" style="119" customWidth="1"/>
    <col min="5" max="6" width="9.5703125" style="119" bestFit="1" customWidth="1"/>
    <col min="7" max="7" width="9.5703125" style="107" bestFit="1" customWidth="1"/>
    <col min="8" max="8" width="10.42578125" style="184" bestFit="1" customWidth="1"/>
    <col min="9" max="9" width="4.5703125" style="184" customWidth="1"/>
    <col min="10" max="10" width="1.85546875" style="118" customWidth="1"/>
    <col min="11" max="11" width="7" style="119" bestFit="1" customWidth="1"/>
    <col min="12" max="12" width="6.42578125" style="119" customWidth="1"/>
    <col min="13" max="13" width="20.42578125" style="119" customWidth="1"/>
    <col min="14" max="14" width="6.42578125" style="119" bestFit="1" customWidth="1"/>
    <col min="15" max="16" width="8.42578125" style="119"/>
    <col min="17" max="17" width="3.42578125" style="119" customWidth="1"/>
    <col min="18" max="256" width="8.42578125" style="119"/>
    <col min="257" max="257" width="10" style="119" bestFit="1" customWidth="1"/>
    <col min="258" max="258" width="44.42578125" style="119" bestFit="1" customWidth="1"/>
    <col min="259" max="259" width="10.42578125" style="119" bestFit="1" customWidth="1"/>
    <col min="260" max="260" width="10.42578125" style="119" customWidth="1"/>
    <col min="261" max="263" width="9.5703125" style="119" bestFit="1" customWidth="1"/>
    <col min="264" max="264" width="10.42578125" style="119" bestFit="1" customWidth="1"/>
    <col min="265" max="265" width="4.5703125" style="119" customWidth="1"/>
    <col min="266" max="266" width="1.85546875" style="119" customWidth="1"/>
    <col min="267" max="267" width="7" style="119" bestFit="1" customWidth="1"/>
    <col min="268" max="268" width="6.42578125" style="119" customWidth="1"/>
    <col min="269" max="269" width="20.42578125" style="119" customWidth="1"/>
    <col min="270" max="270" width="6.42578125" style="119" bestFit="1" customWidth="1"/>
    <col min="271" max="272" width="8.42578125" style="119"/>
    <col min="273" max="273" width="3.42578125" style="119" customWidth="1"/>
    <col min="274" max="512" width="8.42578125" style="119"/>
    <col min="513" max="513" width="10" style="119" bestFit="1" customWidth="1"/>
    <col min="514" max="514" width="44.42578125" style="119" bestFit="1" customWidth="1"/>
    <col min="515" max="515" width="10.42578125" style="119" bestFit="1" customWidth="1"/>
    <col min="516" max="516" width="10.42578125" style="119" customWidth="1"/>
    <col min="517" max="519" width="9.5703125" style="119" bestFit="1" customWidth="1"/>
    <col min="520" max="520" width="10.42578125" style="119" bestFit="1" customWidth="1"/>
    <col min="521" max="521" width="4.5703125" style="119" customWidth="1"/>
    <col min="522" max="522" width="1.85546875" style="119" customWidth="1"/>
    <col min="523" max="523" width="7" style="119" bestFit="1" customWidth="1"/>
    <col min="524" max="524" width="6.42578125" style="119" customWidth="1"/>
    <col min="525" max="525" width="20.42578125" style="119" customWidth="1"/>
    <col min="526" max="526" width="6.42578125" style="119" bestFit="1" customWidth="1"/>
    <col min="527" max="528" width="8.42578125" style="119"/>
    <col min="529" max="529" width="3.42578125" style="119" customWidth="1"/>
    <col min="530" max="768" width="8.42578125" style="119"/>
    <col min="769" max="769" width="10" style="119" bestFit="1" customWidth="1"/>
    <col min="770" max="770" width="44.42578125" style="119" bestFit="1" customWidth="1"/>
    <col min="771" max="771" width="10.42578125" style="119" bestFit="1" customWidth="1"/>
    <col min="772" max="772" width="10.42578125" style="119" customWidth="1"/>
    <col min="773" max="775" width="9.5703125" style="119" bestFit="1" customWidth="1"/>
    <col min="776" max="776" width="10.42578125" style="119" bestFit="1" customWidth="1"/>
    <col min="777" max="777" width="4.5703125" style="119" customWidth="1"/>
    <col min="778" max="778" width="1.85546875" style="119" customWidth="1"/>
    <col min="779" max="779" width="7" style="119" bestFit="1" customWidth="1"/>
    <col min="780" max="780" width="6.42578125" style="119" customWidth="1"/>
    <col min="781" max="781" width="20.42578125" style="119" customWidth="1"/>
    <col min="782" max="782" width="6.42578125" style="119" bestFit="1" customWidth="1"/>
    <col min="783" max="784" width="8.42578125" style="119"/>
    <col min="785" max="785" width="3.42578125" style="119" customWidth="1"/>
    <col min="786" max="1024" width="8.42578125" style="119"/>
    <col min="1025" max="1025" width="10" style="119" bestFit="1" customWidth="1"/>
    <col min="1026" max="1026" width="44.42578125" style="119" bestFit="1" customWidth="1"/>
    <col min="1027" max="1027" width="10.42578125" style="119" bestFit="1" customWidth="1"/>
    <col min="1028" max="1028" width="10.42578125" style="119" customWidth="1"/>
    <col min="1029" max="1031" width="9.5703125" style="119" bestFit="1" customWidth="1"/>
    <col min="1032" max="1032" width="10.42578125" style="119" bestFit="1" customWidth="1"/>
    <col min="1033" max="1033" width="4.5703125" style="119" customWidth="1"/>
    <col min="1034" max="1034" width="1.85546875" style="119" customWidth="1"/>
    <col min="1035" max="1035" width="7" style="119" bestFit="1" customWidth="1"/>
    <col min="1036" max="1036" width="6.42578125" style="119" customWidth="1"/>
    <col min="1037" max="1037" width="20.42578125" style="119" customWidth="1"/>
    <col min="1038" max="1038" width="6.42578125" style="119" bestFit="1" customWidth="1"/>
    <col min="1039" max="1040" width="8.42578125" style="119"/>
    <col min="1041" max="1041" width="3.42578125" style="119" customWidth="1"/>
    <col min="1042" max="1280" width="8.42578125" style="119"/>
    <col min="1281" max="1281" width="10" style="119" bestFit="1" customWidth="1"/>
    <col min="1282" max="1282" width="44.42578125" style="119" bestFit="1" customWidth="1"/>
    <col min="1283" max="1283" width="10.42578125" style="119" bestFit="1" customWidth="1"/>
    <col min="1284" max="1284" width="10.42578125" style="119" customWidth="1"/>
    <col min="1285" max="1287" width="9.5703125" style="119" bestFit="1" customWidth="1"/>
    <col min="1288" max="1288" width="10.42578125" style="119" bestFit="1" customWidth="1"/>
    <col min="1289" max="1289" width="4.5703125" style="119" customWidth="1"/>
    <col min="1290" max="1290" width="1.85546875" style="119" customWidth="1"/>
    <col min="1291" max="1291" width="7" style="119" bestFit="1" customWidth="1"/>
    <col min="1292" max="1292" width="6.42578125" style="119" customWidth="1"/>
    <col min="1293" max="1293" width="20.42578125" style="119" customWidth="1"/>
    <col min="1294" max="1294" width="6.42578125" style="119" bestFit="1" customWidth="1"/>
    <col min="1295" max="1296" width="8.42578125" style="119"/>
    <col min="1297" max="1297" width="3.42578125" style="119" customWidth="1"/>
    <col min="1298" max="1536" width="8.42578125" style="119"/>
    <col min="1537" max="1537" width="10" style="119" bestFit="1" customWidth="1"/>
    <col min="1538" max="1538" width="44.42578125" style="119" bestFit="1" customWidth="1"/>
    <col min="1539" max="1539" width="10.42578125" style="119" bestFit="1" customWidth="1"/>
    <col min="1540" max="1540" width="10.42578125" style="119" customWidth="1"/>
    <col min="1541" max="1543" width="9.5703125" style="119" bestFit="1" customWidth="1"/>
    <col min="1544" max="1544" width="10.42578125" style="119" bestFit="1" customWidth="1"/>
    <col min="1545" max="1545" width="4.5703125" style="119" customWidth="1"/>
    <col min="1546" max="1546" width="1.85546875" style="119" customWidth="1"/>
    <col min="1547" max="1547" width="7" style="119" bestFit="1" customWidth="1"/>
    <col min="1548" max="1548" width="6.42578125" style="119" customWidth="1"/>
    <col min="1549" max="1549" width="20.42578125" style="119" customWidth="1"/>
    <col min="1550" max="1550" width="6.42578125" style="119" bestFit="1" customWidth="1"/>
    <col min="1551" max="1552" width="8.42578125" style="119"/>
    <col min="1553" max="1553" width="3.42578125" style="119" customWidth="1"/>
    <col min="1554" max="1792" width="8.42578125" style="119"/>
    <col min="1793" max="1793" width="10" style="119" bestFit="1" customWidth="1"/>
    <col min="1794" max="1794" width="44.42578125" style="119" bestFit="1" customWidth="1"/>
    <col min="1795" max="1795" width="10.42578125" style="119" bestFit="1" customWidth="1"/>
    <col min="1796" max="1796" width="10.42578125" style="119" customWidth="1"/>
    <col min="1797" max="1799" width="9.5703125" style="119" bestFit="1" customWidth="1"/>
    <col min="1800" max="1800" width="10.42578125" style="119" bestFit="1" customWidth="1"/>
    <col min="1801" max="1801" width="4.5703125" style="119" customWidth="1"/>
    <col min="1802" max="1802" width="1.85546875" style="119" customWidth="1"/>
    <col min="1803" max="1803" width="7" style="119" bestFit="1" customWidth="1"/>
    <col min="1804" max="1804" width="6.42578125" style="119" customWidth="1"/>
    <col min="1805" max="1805" width="20.42578125" style="119" customWidth="1"/>
    <col min="1806" max="1806" width="6.42578125" style="119" bestFit="1" customWidth="1"/>
    <col min="1807" max="1808" width="8.42578125" style="119"/>
    <col min="1809" max="1809" width="3.42578125" style="119" customWidth="1"/>
    <col min="1810" max="2048" width="8.42578125" style="119"/>
    <col min="2049" max="2049" width="10" style="119" bestFit="1" customWidth="1"/>
    <col min="2050" max="2050" width="44.42578125" style="119" bestFit="1" customWidth="1"/>
    <col min="2051" max="2051" width="10.42578125" style="119" bestFit="1" customWidth="1"/>
    <col min="2052" max="2052" width="10.42578125" style="119" customWidth="1"/>
    <col min="2053" max="2055" width="9.5703125" style="119" bestFit="1" customWidth="1"/>
    <col min="2056" max="2056" width="10.42578125" style="119" bestFit="1" customWidth="1"/>
    <col min="2057" max="2057" width="4.5703125" style="119" customWidth="1"/>
    <col min="2058" max="2058" width="1.85546875" style="119" customWidth="1"/>
    <col min="2059" max="2059" width="7" style="119" bestFit="1" customWidth="1"/>
    <col min="2060" max="2060" width="6.42578125" style="119" customWidth="1"/>
    <col min="2061" max="2061" width="20.42578125" style="119" customWidth="1"/>
    <col min="2062" max="2062" width="6.42578125" style="119" bestFit="1" customWidth="1"/>
    <col min="2063" max="2064" width="8.42578125" style="119"/>
    <col min="2065" max="2065" width="3.42578125" style="119" customWidth="1"/>
    <col min="2066" max="2304" width="8.42578125" style="119"/>
    <col min="2305" max="2305" width="10" style="119" bestFit="1" customWidth="1"/>
    <col min="2306" max="2306" width="44.42578125" style="119" bestFit="1" customWidth="1"/>
    <col min="2307" max="2307" width="10.42578125" style="119" bestFit="1" customWidth="1"/>
    <col min="2308" max="2308" width="10.42578125" style="119" customWidth="1"/>
    <col min="2309" max="2311" width="9.5703125" style="119" bestFit="1" customWidth="1"/>
    <col min="2312" max="2312" width="10.42578125" style="119" bestFit="1" customWidth="1"/>
    <col min="2313" max="2313" width="4.5703125" style="119" customWidth="1"/>
    <col min="2314" max="2314" width="1.85546875" style="119" customWidth="1"/>
    <col min="2315" max="2315" width="7" style="119" bestFit="1" customWidth="1"/>
    <col min="2316" max="2316" width="6.42578125" style="119" customWidth="1"/>
    <col min="2317" max="2317" width="20.42578125" style="119" customWidth="1"/>
    <col min="2318" max="2318" width="6.42578125" style="119" bestFit="1" customWidth="1"/>
    <col min="2319" max="2320" width="8.42578125" style="119"/>
    <col min="2321" max="2321" width="3.42578125" style="119" customWidth="1"/>
    <col min="2322" max="2560" width="8.42578125" style="119"/>
    <col min="2561" max="2561" width="10" style="119" bestFit="1" customWidth="1"/>
    <col min="2562" max="2562" width="44.42578125" style="119" bestFit="1" customWidth="1"/>
    <col min="2563" max="2563" width="10.42578125" style="119" bestFit="1" customWidth="1"/>
    <col min="2564" max="2564" width="10.42578125" style="119" customWidth="1"/>
    <col min="2565" max="2567" width="9.5703125" style="119" bestFit="1" customWidth="1"/>
    <col min="2568" max="2568" width="10.42578125" style="119" bestFit="1" customWidth="1"/>
    <col min="2569" max="2569" width="4.5703125" style="119" customWidth="1"/>
    <col min="2570" max="2570" width="1.85546875" style="119" customWidth="1"/>
    <col min="2571" max="2571" width="7" style="119" bestFit="1" customWidth="1"/>
    <col min="2572" max="2572" width="6.42578125" style="119" customWidth="1"/>
    <col min="2573" max="2573" width="20.42578125" style="119" customWidth="1"/>
    <col min="2574" max="2574" width="6.42578125" style="119" bestFit="1" customWidth="1"/>
    <col min="2575" max="2576" width="8.42578125" style="119"/>
    <col min="2577" max="2577" width="3.42578125" style="119" customWidth="1"/>
    <col min="2578" max="2816" width="8.42578125" style="119"/>
    <col min="2817" max="2817" width="10" style="119" bestFit="1" customWidth="1"/>
    <col min="2818" max="2818" width="44.42578125" style="119" bestFit="1" customWidth="1"/>
    <col min="2819" max="2819" width="10.42578125" style="119" bestFit="1" customWidth="1"/>
    <col min="2820" max="2820" width="10.42578125" style="119" customWidth="1"/>
    <col min="2821" max="2823" width="9.5703125" style="119" bestFit="1" customWidth="1"/>
    <col min="2824" max="2824" width="10.42578125" style="119" bestFit="1" customWidth="1"/>
    <col min="2825" max="2825" width="4.5703125" style="119" customWidth="1"/>
    <col min="2826" max="2826" width="1.85546875" style="119" customWidth="1"/>
    <col min="2827" max="2827" width="7" style="119" bestFit="1" customWidth="1"/>
    <col min="2828" max="2828" width="6.42578125" style="119" customWidth="1"/>
    <col min="2829" max="2829" width="20.42578125" style="119" customWidth="1"/>
    <col min="2830" max="2830" width="6.42578125" style="119" bestFit="1" customWidth="1"/>
    <col min="2831" max="2832" width="8.42578125" style="119"/>
    <col min="2833" max="2833" width="3.42578125" style="119" customWidth="1"/>
    <col min="2834" max="3072" width="8.42578125" style="119"/>
    <col min="3073" max="3073" width="10" style="119" bestFit="1" customWidth="1"/>
    <col min="3074" max="3074" width="44.42578125" style="119" bestFit="1" customWidth="1"/>
    <col min="3075" max="3075" width="10.42578125" style="119" bestFit="1" customWidth="1"/>
    <col min="3076" max="3076" width="10.42578125" style="119" customWidth="1"/>
    <col min="3077" max="3079" width="9.5703125" style="119" bestFit="1" customWidth="1"/>
    <col min="3080" max="3080" width="10.42578125" style="119" bestFit="1" customWidth="1"/>
    <col min="3081" max="3081" width="4.5703125" style="119" customWidth="1"/>
    <col min="3082" max="3082" width="1.85546875" style="119" customWidth="1"/>
    <col min="3083" max="3083" width="7" style="119" bestFit="1" customWidth="1"/>
    <col min="3084" max="3084" width="6.42578125" style="119" customWidth="1"/>
    <col min="3085" max="3085" width="20.42578125" style="119" customWidth="1"/>
    <col min="3086" max="3086" width="6.42578125" style="119" bestFit="1" customWidth="1"/>
    <col min="3087" max="3088" width="8.42578125" style="119"/>
    <col min="3089" max="3089" width="3.42578125" style="119" customWidth="1"/>
    <col min="3090" max="3328" width="8.42578125" style="119"/>
    <col min="3329" max="3329" width="10" style="119" bestFit="1" customWidth="1"/>
    <col min="3330" max="3330" width="44.42578125" style="119" bestFit="1" customWidth="1"/>
    <col min="3331" max="3331" width="10.42578125" style="119" bestFit="1" customWidth="1"/>
    <col min="3332" max="3332" width="10.42578125" style="119" customWidth="1"/>
    <col min="3333" max="3335" width="9.5703125" style="119" bestFit="1" customWidth="1"/>
    <col min="3336" max="3336" width="10.42578125" style="119" bestFit="1" customWidth="1"/>
    <col min="3337" max="3337" width="4.5703125" style="119" customWidth="1"/>
    <col min="3338" max="3338" width="1.85546875" style="119" customWidth="1"/>
    <col min="3339" max="3339" width="7" style="119" bestFit="1" customWidth="1"/>
    <col min="3340" max="3340" width="6.42578125" style="119" customWidth="1"/>
    <col min="3341" max="3341" width="20.42578125" style="119" customWidth="1"/>
    <col min="3342" max="3342" width="6.42578125" style="119" bestFit="1" customWidth="1"/>
    <col min="3343" max="3344" width="8.42578125" style="119"/>
    <col min="3345" max="3345" width="3.42578125" style="119" customWidth="1"/>
    <col min="3346" max="3584" width="8.42578125" style="119"/>
    <col min="3585" max="3585" width="10" style="119" bestFit="1" customWidth="1"/>
    <col min="3586" max="3586" width="44.42578125" style="119" bestFit="1" customWidth="1"/>
    <col min="3587" max="3587" width="10.42578125" style="119" bestFit="1" customWidth="1"/>
    <col min="3588" max="3588" width="10.42578125" style="119" customWidth="1"/>
    <col min="3589" max="3591" width="9.5703125" style="119" bestFit="1" customWidth="1"/>
    <col min="3592" max="3592" width="10.42578125" style="119" bestFit="1" customWidth="1"/>
    <col min="3593" max="3593" width="4.5703125" style="119" customWidth="1"/>
    <col min="3594" max="3594" width="1.85546875" style="119" customWidth="1"/>
    <col min="3595" max="3595" width="7" style="119" bestFit="1" customWidth="1"/>
    <col min="3596" max="3596" width="6.42578125" style="119" customWidth="1"/>
    <col min="3597" max="3597" width="20.42578125" style="119" customWidth="1"/>
    <col min="3598" max="3598" width="6.42578125" style="119" bestFit="1" customWidth="1"/>
    <col min="3599" max="3600" width="8.42578125" style="119"/>
    <col min="3601" max="3601" width="3.42578125" style="119" customWidth="1"/>
    <col min="3602" max="3840" width="8.42578125" style="119"/>
    <col min="3841" max="3841" width="10" style="119" bestFit="1" customWidth="1"/>
    <col min="3842" max="3842" width="44.42578125" style="119" bestFit="1" customWidth="1"/>
    <col min="3843" max="3843" width="10.42578125" style="119" bestFit="1" customWidth="1"/>
    <col min="3844" max="3844" width="10.42578125" style="119" customWidth="1"/>
    <col min="3845" max="3847" width="9.5703125" style="119" bestFit="1" customWidth="1"/>
    <col min="3848" max="3848" width="10.42578125" style="119" bestFit="1" customWidth="1"/>
    <col min="3849" max="3849" width="4.5703125" style="119" customWidth="1"/>
    <col min="3850" max="3850" width="1.85546875" style="119" customWidth="1"/>
    <col min="3851" max="3851" width="7" style="119" bestFit="1" customWidth="1"/>
    <col min="3852" max="3852" width="6.42578125" style="119" customWidth="1"/>
    <col min="3853" max="3853" width="20.42578125" style="119" customWidth="1"/>
    <col min="3854" max="3854" width="6.42578125" style="119" bestFit="1" customWidth="1"/>
    <col min="3855" max="3856" width="8.42578125" style="119"/>
    <col min="3857" max="3857" width="3.42578125" style="119" customWidth="1"/>
    <col min="3858" max="4096" width="8.42578125" style="119"/>
    <col min="4097" max="4097" width="10" style="119" bestFit="1" customWidth="1"/>
    <col min="4098" max="4098" width="44.42578125" style="119" bestFit="1" customWidth="1"/>
    <col min="4099" max="4099" width="10.42578125" style="119" bestFit="1" customWidth="1"/>
    <col min="4100" max="4100" width="10.42578125" style="119" customWidth="1"/>
    <col min="4101" max="4103" width="9.5703125" style="119" bestFit="1" customWidth="1"/>
    <col min="4104" max="4104" width="10.42578125" style="119" bestFit="1" customWidth="1"/>
    <col min="4105" max="4105" width="4.5703125" style="119" customWidth="1"/>
    <col min="4106" max="4106" width="1.85546875" style="119" customWidth="1"/>
    <col min="4107" max="4107" width="7" style="119" bestFit="1" customWidth="1"/>
    <col min="4108" max="4108" width="6.42578125" style="119" customWidth="1"/>
    <col min="4109" max="4109" width="20.42578125" style="119" customWidth="1"/>
    <col min="4110" max="4110" width="6.42578125" style="119" bestFit="1" customWidth="1"/>
    <col min="4111" max="4112" width="8.42578125" style="119"/>
    <col min="4113" max="4113" width="3.42578125" style="119" customWidth="1"/>
    <col min="4114" max="4352" width="8.42578125" style="119"/>
    <col min="4353" max="4353" width="10" style="119" bestFit="1" customWidth="1"/>
    <col min="4354" max="4354" width="44.42578125" style="119" bestFit="1" customWidth="1"/>
    <col min="4355" max="4355" width="10.42578125" style="119" bestFit="1" customWidth="1"/>
    <col min="4356" max="4356" width="10.42578125" style="119" customWidth="1"/>
    <col min="4357" max="4359" width="9.5703125" style="119" bestFit="1" customWidth="1"/>
    <col min="4360" max="4360" width="10.42578125" style="119" bestFit="1" customWidth="1"/>
    <col min="4361" max="4361" width="4.5703125" style="119" customWidth="1"/>
    <col min="4362" max="4362" width="1.85546875" style="119" customWidth="1"/>
    <col min="4363" max="4363" width="7" style="119" bestFit="1" customWidth="1"/>
    <col min="4364" max="4364" width="6.42578125" style="119" customWidth="1"/>
    <col min="4365" max="4365" width="20.42578125" style="119" customWidth="1"/>
    <col min="4366" max="4366" width="6.42578125" style="119" bestFit="1" customWidth="1"/>
    <col min="4367" max="4368" width="8.42578125" style="119"/>
    <col min="4369" max="4369" width="3.42578125" style="119" customWidth="1"/>
    <col min="4370" max="4608" width="8.42578125" style="119"/>
    <col min="4609" max="4609" width="10" style="119" bestFit="1" customWidth="1"/>
    <col min="4610" max="4610" width="44.42578125" style="119" bestFit="1" customWidth="1"/>
    <col min="4611" max="4611" width="10.42578125" style="119" bestFit="1" customWidth="1"/>
    <col min="4612" max="4612" width="10.42578125" style="119" customWidth="1"/>
    <col min="4613" max="4615" width="9.5703125" style="119" bestFit="1" customWidth="1"/>
    <col min="4616" max="4616" width="10.42578125" style="119" bestFit="1" customWidth="1"/>
    <col min="4617" max="4617" width="4.5703125" style="119" customWidth="1"/>
    <col min="4618" max="4618" width="1.85546875" style="119" customWidth="1"/>
    <col min="4619" max="4619" width="7" style="119" bestFit="1" customWidth="1"/>
    <col min="4620" max="4620" width="6.42578125" style="119" customWidth="1"/>
    <col min="4621" max="4621" width="20.42578125" style="119" customWidth="1"/>
    <col min="4622" max="4622" width="6.42578125" style="119" bestFit="1" customWidth="1"/>
    <col min="4623" max="4624" width="8.42578125" style="119"/>
    <col min="4625" max="4625" width="3.42578125" style="119" customWidth="1"/>
    <col min="4626" max="4864" width="8.42578125" style="119"/>
    <col min="4865" max="4865" width="10" style="119" bestFit="1" customWidth="1"/>
    <col min="4866" max="4866" width="44.42578125" style="119" bestFit="1" customWidth="1"/>
    <col min="4867" max="4867" width="10.42578125" style="119" bestFit="1" customWidth="1"/>
    <col min="4868" max="4868" width="10.42578125" style="119" customWidth="1"/>
    <col min="4869" max="4871" width="9.5703125" style="119" bestFit="1" customWidth="1"/>
    <col min="4872" max="4872" width="10.42578125" style="119" bestFit="1" customWidth="1"/>
    <col min="4873" max="4873" width="4.5703125" style="119" customWidth="1"/>
    <col min="4874" max="4874" width="1.85546875" style="119" customWidth="1"/>
    <col min="4875" max="4875" width="7" style="119" bestFit="1" customWidth="1"/>
    <col min="4876" max="4876" width="6.42578125" style="119" customWidth="1"/>
    <col min="4877" max="4877" width="20.42578125" style="119" customWidth="1"/>
    <col min="4878" max="4878" width="6.42578125" style="119" bestFit="1" customWidth="1"/>
    <col min="4879" max="4880" width="8.42578125" style="119"/>
    <col min="4881" max="4881" width="3.42578125" style="119" customWidth="1"/>
    <col min="4882" max="5120" width="8.42578125" style="119"/>
    <col min="5121" max="5121" width="10" style="119" bestFit="1" customWidth="1"/>
    <col min="5122" max="5122" width="44.42578125" style="119" bestFit="1" customWidth="1"/>
    <col min="5123" max="5123" width="10.42578125" style="119" bestFit="1" customWidth="1"/>
    <col min="5124" max="5124" width="10.42578125" style="119" customWidth="1"/>
    <col min="5125" max="5127" width="9.5703125" style="119" bestFit="1" customWidth="1"/>
    <col min="5128" max="5128" width="10.42578125" style="119" bestFit="1" customWidth="1"/>
    <col min="5129" max="5129" width="4.5703125" style="119" customWidth="1"/>
    <col min="5130" max="5130" width="1.85546875" style="119" customWidth="1"/>
    <col min="5131" max="5131" width="7" style="119" bestFit="1" customWidth="1"/>
    <col min="5132" max="5132" width="6.42578125" style="119" customWidth="1"/>
    <col min="5133" max="5133" width="20.42578125" style="119" customWidth="1"/>
    <col min="5134" max="5134" width="6.42578125" style="119" bestFit="1" customWidth="1"/>
    <col min="5135" max="5136" width="8.42578125" style="119"/>
    <col min="5137" max="5137" width="3.42578125" style="119" customWidth="1"/>
    <col min="5138" max="5376" width="8.42578125" style="119"/>
    <col min="5377" max="5377" width="10" style="119" bestFit="1" customWidth="1"/>
    <col min="5378" max="5378" width="44.42578125" style="119" bestFit="1" customWidth="1"/>
    <col min="5379" max="5379" width="10.42578125" style="119" bestFit="1" customWidth="1"/>
    <col min="5380" max="5380" width="10.42578125" style="119" customWidth="1"/>
    <col min="5381" max="5383" width="9.5703125" style="119" bestFit="1" customWidth="1"/>
    <col min="5384" max="5384" width="10.42578125" style="119" bestFit="1" customWidth="1"/>
    <col min="5385" max="5385" width="4.5703125" style="119" customWidth="1"/>
    <col min="5386" max="5386" width="1.85546875" style="119" customWidth="1"/>
    <col min="5387" max="5387" width="7" style="119" bestFit="1" customWidth="1"/>
    <col min="5388" max="5388" width="6.42578125" style="119" customWidth="1"/>
    <col min="5389" max="5389" width="20.42578125" style="119" customWidth="1"/>
    <col min="5390" max="5390" width="6.42578125" style="119" bestFit="1" customWidth="1"/>
    <col min="5391" max="5392" width="8.42578125" style="119"/>
    <col min="5393" max="5393" width="3.42578125" style="119" customWidth="1"/>
    <col min="5394" max="5632" width="8.42578125" style="119"/>
    <col min="5633" max="5633" width="10" style="119" bestFit="1" customWidth="1"/>
    <col min="5634" max="5634" width="44.42578125" style="119" bestFit="1" customWidth="1"/>
    <col min="5635" max="5635" width="10.42578125" style="119" bestFit="1" customWidth="1"/>
    <col min="5636" max="5636" width="10.42578125" style="119" customWidth="1"/>
    <col min="5637" max="5639" width="9.5703125" style="119" bestFit="1" customWidth="1"/>
    <col min="5640" max="5640" width="10.42578125" style="119" bestFit="1" customWidth="1"/>
    <col min="5641" max="5641" width="4.5703125" style="119" customWidth="1"/>
    <col min="5642" max="5642" width="1.85546875" style="119" customWidth="1"/>
    <col min="5643" max="5643" width="7" style="119" bestFit="1" customWidth="1"/>
    <col min="5644" max="5644" width="6.42578125" style="119" customWidth="1"/>
    <col min="5645" max="5645" width="20.42578125" style="119" customWidth="1"/>
    <col min="5646" max="5646" width="6.42578125" style="119" bestFit="1" customWidth="1"/>
    <col min="5647" max="5648" width="8.42578125" style="119"/>
    <col min="5649" max="5649" width="3.42578125" style="119" customWidth="1"/>
    <col min="5650" max="5888" width="8.42578125" style="119"/>
    <col min="5889" max="5889" width="10" style="119" bestFit="1" customWidth="1"/>
    <col min="5890" max="5890" width="44.42578125" style="119" bestFit="1" customWidth="1"/>
    <col min="5891" max="5891" width="10.42578125" style="119" bestFit="1" customWidth="1"/>
    <col min="5892" max="5892" width="10.42578125" style="119" customWidth="1"/>
    <col min="5893" max="5895" width="9.5703125" style="119" bestFit="1" customWidth="1"/>
    <col min="5896" max="5896" width="10.42578125" style="119" bestFit="1" customWidth="1"/>
    <col min="5897" max="5897" width="4.5703125" style="119" customWidth="1"/>
    <col min="5898" max="5898" width="1.85546875" style="119" customWidth="1"/>
    <col min="5899" max="5899" width="7" style="119" bestFit="1" customWidth="1"/>
    <col min="5900" max="5900" width="6.42578125" style="119" customWidth="1"/>
    <col min="5901" max="5901" width="20.42578125" style="119" customWidth="1"/>
    <col min="5902" max="5902" width="6.42578125" style="119" bestFit="1" customWidth="1"/>
    <col min="5903" max="5904" width="8.42578125" style="119"/>
    <col min="5905" max="5905" width="3.42578125" style="119" customWidth="1"/>
    <col min="5906" max="6144" width="8.42578125" style="119"/>
    <col min="6145" max="6145" width="10" style="119" bestFit="1" customWidth="1"/>
    <col min="6146" max="6146" width="44.42578125" style="119" bestFit="1" customWidth="1"/>
    <col min="6147" max="6147" width="10.42578125" style="119" bestFit="1" customWidth="1"/>
    <col min="6148" max="6148" width="10.42578125" style="119" customWidth="1"/>
    <col min="6149" max="6151" width="9.5703125" style="119" bestFit="1" customWidth="1"/>
    <col min="6152" max="6152" width="10.42578125" style="119" bestFit="1" customWidth="1"/>
    <col min="6153" max="6153" width="4.5703125" style="119" customWidth="1"/>
    <col min="6154" max="6154" width="1.85546875" style="119" customWidth="1"/>
    <col min="6155" max="6155" width="7" style="119" bestFit="1" customWidth="1"/>
    <col min="6156" max="6156" width="6.42578125" style="119" customWidth="1"/>
    <col min="6157" max="6157" width="20.42578125" style="119" customWidth="1"/>
    <col min="6158" max="6158" width="6.42578125" style="119" bestFit="1" customWidth="1"/>
    <col min="6159" max="6160" width="8.42578125" style="119"/>
    <col min="6161" max="6161" width="3.42578125" style="119" customWidth="1"/>
    <col min="6162" max="6400" width="8.42578125" style="119"/>
    <col min="6401" max="6401" width="10" style="119" bestFit="1" customWidth="1"/>
    <col min="6402" max="6402" width="44.42578125" style="119" bestFit="1" customWidth="1"/>
    <col min="6403" max="6403" width="10.42578125" style="119" bestFit="1" customWidth="1"/>
    <col min="6404" max="6404" width="10.42578125" style="119" customWidth="1"/>
    <col min="6405" max="6407" width="9.5703125" style="119" bestFit="1" customWidth="1"/>
    <col min="6408" max="6408" width="10.42578125" style="119" bestFit="1" customWidth="1"/>
    <col min="6409" max="6409" width="4.5703125" style="119" customWidth="1"/>
    <col min="6410" max="6410" width="1.85546875" style="119" customWidth="1"/>
    <col min="6411" max="6411" width="7" style="119" bestFit="1" customWidth="1"/>
    <col min="6412" max="6412" width="6.42578125" style="119" customWidth="1"/>
    <col min="6413" max="6413" width="20.42578125" style="119" customWidth="1"/>
    <col min="6414" max="6414" width="6.42578125" style="119" bestFit="1" customWidth="1"/>
    <col min="6415" max="6416" width="8.42578125" style="119"/>
    <col min="6417" max="6417" width="3.42578125" style="119" customWidth="1"/>
    <col min="6418" max="6656" width="8.42578125" style="119"/>
    <col min="6657" max="6657" width="10" style="119" bestFit="1" customWidth="1"/>
    <col min="6658" max="6658" width="44.42578125" style="119" bestFit="1" customWidth="1"/>
    <col min="6659" max="6659" width="10.42578125" style="119" bestFit="1" customWidth="1"/>
    <col min="6660" max="6660" width="10.42578125" style="119" customWidth="1"/>
    <col min="6661" max="6663" width="9.5703125" style="119" bestFit="1" customWidth="1"/>
    <col min="6664" max="6664" width="10.42578125" style="119" bestFit="1" customWidth="1"/>
    <col min="6665" max="6665" width="4.5703125" style="119" customWidth="1"/>
    <col min="6666" max="6666" width="1.85546875" style="119" customWidth="1"/>
    <col min="6667" max="6667" width="7" style="119" bestFit="1" customWidth="1"/>
    <col min="6668" max="6668" width="6.42578125" style="119" customWidth="1"/>
    <col min="6669" max="6669" width="20.42578125" style="119" customWidth="1"/>
    <col min="6670" max="6670" width="6.42578125" style="119" bestFit="1" customWidth="1"/>
    <col min="6671" max="6672" width="8.42578125" style="119"/>
    <col min="6673" max="6673" width="3.42578125" style="119" customWidth="1"/>
    <col min="6674" max="6912" width="8.42578125" style="119"/>
    <col min="6913" max="6913" width="10" style="119" bestFit="1" customWidth="1"/>
    <col min="6914" max="6914" width="44.42578125" style="119" bestFit="1" customWidth="1"/>
    <col min="6915" max="6915" width="10.42578125" style="119" bestFit="1" customWidth="1"/>
    <col min="6916" max="6916" width="10.42578125" style="119" customWidth="1"/>
    <col min="6917" max="6919" width="9.5703125" style="119" bestFit="1" customWidth="1"/>
    <col min="6920" max="6920" width="10.42578125" style="119" bestFit="1" customWidth="1"/>
    <col min="6921" max="6921" width="4.5703125" style="119" customWidth="1"/>
    <col min="6922" max="6922" width="1.85546875" style="119" customWidth="1"/>
    <col min="6923" max="6923" width="7" style="119" bestFit="1" customWidth="1"/>
    <col min="6924" max="6924" width="6.42578125" style="119" customWidth="1"/>
    <col min="6925" max="6925" width="20.42578125" style="119" customWidth="1"/>
    <col min="6926" max="6926" width="6.42578125" style="119" bestFit="1" customWidth="1"/>
    <col min="6927" max="6928" width="8.42578125" style="119"/>
    <col min="6929" max="6929" width="3.42578125" style="119" customWidth="1"/>
    <col min="6930" max="7168" width="8.42578125" style="119"/>
    <col min="7169" max="7169" width="10" style="119" bestFit="1" customWidth="1"/>
    <col min="7170" max="7170" width="44.42578125" style="119" bestFit="1" customWidth="1"/>
    <col min="7171" max="7171" width="10.42578125" style="119" bestFit="1" customWidth="1"/>
    <col min="7172" max="7172" width="10.42578125" style="119" customWidth="1"/>
    <col min="7173" max="7175" width="9.5703125" style="119" bestFit="1" customWidth="1"/>
    <col min="7176" max="7176" width="10.42578125" style="119" bestFit="1" customWidth="1"/>
    <col min="7177" max="7177" width="4.5703125" style="119" customWidth="1"/>
    <col min="7178" max="7178" width="1.85546875" style="119" customWidth="1"/>
    <col min="7179" max="7179" width="7" style="119" bestFit="1" customWidth="1"/>
    <col min="7180" max="7180" width="6.42578125" style="119" customWidth="1"/>
    <col min="7181" max="7181" width="20.42578125" style="119" customWidth="1"/>
    <col min="7182" max="7182" width="6.42578125" style="119" bestFit="1" customWidth="1"/>
    <col min="7183" max="7184" width="8.42578125" style="119"/>
    <col min="7185" max="7185" width="3.42578125" style="119" customWidth="1"/>
    <col min="7186" max="7424" width="8.42578125" style="119"/>
    <col min="7425" max="7425" width="10" style="119" bestFit="1" customWidth="1"/>
    <col min="7426" max="7426" width="44.42578125" style="119" bestFit="1" customWidth="1"/>
    <col min="7427" max="7427" width="10.42578125" style="119" bestFit="1" customWidth="1"/>
    <col min="7428" max="7428" width="10.42578125" style="119" customWidth="1"/>
    <col min="7429" max="7431" width="9.5703125" style="119" bestFit="1" customWidth="1"/>
    <col min="7432" max="7432" width="10.42578125" style="119" bestFit="1" customWidth="1"/>
    <col min="7433" max="7433" width="4.5703125" style="119" customWidth="1"/>
    <col min="7434" max="7434" width="1.85546875" style="119" customWidth="1"/>
    <col min="7435" max="7435" width="7" style="119" bestFit="1" customWidth="1"/>
    <col min="7436" max="7436" width="6.42578125" style="119" customWidth="1"/>
    <col min="7437" max="7437" width="20.42578125" style="119" customWidth="1"/>
    <col min="7438" max="7438" width="6.42578125" style="119" bestFit="1" customWidth="1"/>
    <col min="7439" max="7440" width="8.42578125" style="119"/>
    <col min="7441" max="7441" width="3.42578125" style="119" customWidth="1"/>
    <col min="7442" max="7680" width="8.42578125" style="119"/>
    <col min="7681" max="7681" width="10" style="119" bestFit="1" customWidth="1"/>
    <col min="7682" max="7682" width="44.42578125" style="119" bestFit="1" customWidth="1"/>
    <col min="7683" max="7683" width="10.42578125" style="119" bestFit="1" customWidth="1"/>
    <col min="7684" max="7684" width="10.42578125" style="119" customWidth="1"/>
    <col min="7685" max="7687" width="9.5703125" style="119" bestFit="1" customWidth="1"/>
    <col min="7688" max="7688" width="10.42578125" style="119" bestFit="1" customWidth="1"/>
    <col min="7689" max="7689" width="4.5703125" style="119" customWidth="1"/>
    <col min="7690" max="7690" width="1.85546875" style="119" customWidth="1"/>
    <col min="7691" max="7691" width="7" style="119" bestFit="1" customWidth="1"/>
    <col min="7692" max="7692" width="6.42578125" style="119" customWidth="1"/>
    <col min="7693" max="7693" width="20.42578125" style="119" customWidth="1"/>
    <col min="7694" max="7694" width="6.42578125" style="119" bestFit="1" customWidth="1"/>
    <col min="7695" max="7696" width="8.42578125" style="119"/>
    <col min="7697" max="7697" width="3.42578125" style="119" customWidth="1"/>
    <col min="7698" max="7936" width="8.42578125" style="119"/>
    <col min="7937" max="7937" width="10" style="119" bestFit="1" customWidth="1"/>
    <col min="7938" max="7938" width="44.42578125" style="119" bestFit="1" customWidth="1"/>
    <col min="7939" max="7939" width="10.42578125" style="119" bestFit="1" customWidth="1"/>
    <col min="7940" max="7940" width="10.42578125" style="119" customWidth="1"/>
    <col min="7941" max="7943" width="9.5703125" style="119" bestFit="1" customWidth="1"/>
    <col min="7944" max="7944" width="10.42578125" style="119" bestFit="1" customWidth="1"/>
    <col min="7945" max="7945" width="4.5703125" style="119" customWidth="1"/>
    <col min="7946" max="7946" width="1.85546875" style="119" customWidth="1"/>
    <col min="7947" max="7947" width="7" style="119" bestFit="1" customWidth="1"/>
    <col min="7948" max="7948" width="6.42578125" style="119" customWidth="1"/>
    <col min="7949" max="7949" width="20.42578125" style="119" customWidth="1"/>
    <col min="7950" max="7950" width="6.42578125" style="119" bestFit="1" customWidth="1"/>
    <col min="7951" max="7952" width="8.42578125" style="119"/>
    <col min="7953" max="7953" width="3.42578125" style="119" customWidth="1"/>
    <col min="7954" max="8192" width="8.42578125" style="119"/>
    <col min="8193" max="8193" width="10" style="119" bestFit="1" customWidth="1"/>
    <col min="8194" max="8194" width="44.42578125" style="119" bestFit="1" customWidth="1"/>
    <col min="8195" max="8195" width="10.42578125" style="119" bestFit="1" customWidth="1"/>
    <col min="8196" max="8196" width="10.42578125" style="119" customWidth="1"/>
    <col min="8197" max="8199" width="9.5703125" style="119" bestFit="1" customWidth="1"/>
    <col min="8200" max="8200" width="10.42578125" style="119" bestFit="1" customWidth="1"/>
    <col min="8201" max="8201" width="4.5703125" style="119" customWidth="1"/>
    <col min="8202" max="8202" width="1.85546875" style="119" customWidth="1"/>
    <col min="8203" max="8203" width="7" style="119" bestFit="1" customWidth="1"/>
    <col min="8204" max="8204" width="6.42578125" style="119" customWidth="1"/>
    <col min="8205" max="8205" width="20.42578125" style="119" customWidth="1"/>
    <col min="8206" max="8206" width="6.42578125" style="119" bestFit="1" customWidth="1"/>
    <col min="8207" max="8208" width="8.42578125" style="119"/>
    <col min="8209" max="8209" width="3.42578125" style="119" customWidth="1"/>
    <col min="8210" max="8448" width="8.42578125" style="119"/>
    <col min="8449" max="8449" width="10" style="119" bestFit="1" customWidth="1"/>
    <col min="8450" max="8450" width="44.42578125" style="119" bestFit="1" customWidth="1"/>
    <col min="8451" max="8451" width="10.42578125" style="119" bestFit="1" customWidth="1"/>
    <col min="8452" max="8452" width="10.42578125" style="119" customWidth="1"/>
    <col min="8453" max="8455" width="9.5703125" style="119" bestFit="1" customWidth="1"/>
    <col min="8456" max="8456" width="10.42578125" style="119" bestFit="1" customWidth="1"/>
    <col min="8457" max="8457" width="4.5703125" style="119" customWidth="1"/>
    <col min="8458" max="8458" width="1.85546875" style="119" customWidth="1"/>
    <col min="8459" max="8459" width="7" style="119" bestFit="1" customWidth="1"/>
    <col min="8460" max="8460" width="6.42578125" style="119" customWidth="1"/>
    <col min="8461" max="8461" width="20.42578125" style="119" customWidth="1"/>
    <col min="8462" max="8462" width="6.42578125" style="119" bestFit="1" customWidth="1"/>
    <col min="8463" max="8464" width="8.42578125" style="119"/>
    <col min="8465" max="8465" width="3.42578125" style="119" customWidth="1"/>
    <col min="8466" max="8704" width="8.42578125" style="119"/>
    <col min="8705" max="8705" width="10" style="119" bestFit="1" customWidth="1"/>
    <col min="8706" max="8706" width="44.42578125" style="119" bestFit="1" customWidth="1"/>
    <col min="8707" max="8707" width="10.42578125" style="119" bestFit="1" customWidth="1"/>
    <col min="8708" max="8708" width="10.42578125" style="119" customWidth="1"/>
    <col min="8709" max="8711" width="9.5703125" style="119" bestFit="1" customWidth="1"/>
    <col min="8712" max="8712" width="10.42578125" style="119" bestFit="1" customWidth="1"/>
    <col min="8713" max="8713" width="4.5703125" style="119" customWidth="1"/>
    <col min="8714" max="8714" width="1.85546875" style="119" customWidth="1"/>
    <col min="8715" max="8715" width="7" style="119" bestFit="1" customWidth="1"/>
    <col min="8716" max="8716" width="6.42578125" style="119" customWidth="1"/>
    <col min="8717" max="8717" width="20.42578125" style="119" customWidth="1"/>
    <col min="8718" max="8718" width="6.42578125" style="119" bestFit="1" customWidth="1"/>
    <col min="8719" max="8720" width="8.42578125" style="119"/>
    <col min="8721" max="8721" width="3.42578125" style="119" customWidth="1"/>
    <col min="8722" max="8960" width="8.42578125" style="119"/>
    <col min="8961" max="8961" width="10" style="119" bestFit="1" customWidth="1"/>
    <col min="8962" max="8962" width="44.42578125" style="119" bestFit="1" customWidth="1"/>
    <col min="8963" max="8963" width="10.42578125" style="119" bestFit="1" customWidth="1"/>
    <col min="8964" max="8964" width="10.42578125" style="119" customWidth="1"/>
    <col min="8965" max="8967" width="9.5703125" style="119" bestFit="1" customWidth="1"/>
    <col min="8968" max="8968" width="10.42578125" style="119" bestFit="1" customWidth="1"/>
    <col min="8969" max="8969" width="4.5703125" style="119" customWidth="1"/>
    <col min="8970" max="8970" width="1.85546875" style="119" customWidth="1"/>
    <col min="8971" max="8971" width="7" style="119" bestFit="1" customWidth="1"/>
    <col min="8972" max="8972" width="6.42578125" style="119" customWidth="1"/>
    <col min="8973" max="8973" width="20.42578125" style="119" customWidth="1"/>
    <col min="8974" max="8974" width="6.42578125" style="119" bestFit="1" customWidth="1"/>
    <col min="8975" max="8976" width="8.42578125" style="119"/>
    <col min="8977" max="8977" width="3.42578125" style="119" customWidth="1"/>
    <col min="8978" max="9216" width="8.42578125" style="119"/>
    <col min="9217" max="9217" width="10" style="119" bestFit="1" customWidth="1"/>
    <col min="9218" max="9218" width="44.42578125" style="119" bestFit="1" customWidth="1"/>
    <col min="9219" max="9219" width="10.42578125" style="119" bestFit="1" customWidth="1"/>
    <col min="9220" max="9220" width="10.42578125" style="119" customWidth="1"/>
    <col min="9221" max="9223" width="9.5703125" style="119" bestFit="1" customWidth="1"/>
    <col min="9224" max="9224" width="10.42578125" style="119" bestFit="1" customWidth="1"/>
    <col min="9225" max="9225" width="4.5703125" style="119" customWidth="1"/>
    <col min="9226" max="9226" width="1.85546875" style="119" customWidth="1"/>
    <col min="9227" max="9227" width="7" style="119" bestFit="1" customWidth="1"/>
    <col min="9228" max="9228" width="6.42578125" style="119" customWidth="1"/>
    <col min="9229" max="9229" width="20.42578125" style="119" customWidth="1"/>
    <col min="9230" max="9230" width="6.42578125" style="119" bestFit="1" customWidth="1"/>
    <col min="9231" max="9232" width="8.42578125" style="119"/>
    <col min="9233" max="9233" width="3.42578125" style="119" customWidth="1"/>
    <col min="9234" max="9472" width="8.42578125" style="119"/>
    <col min="9473" max="9473" width="10" style="119" bestFit="1" customWidth="1"/>
    <col min="9474" max="9474" width="44.42578125" style="119" bestFit="1" customWidth="1"/>
    <col min="9475" max="9475" width="10.42578125" style="119" bestFit="1" customWidth="1"/>
    <col min="9476" max="9476" width="10.42578125" style="119" customWidth="1"/>
    <col min="9477" max="9479" width="9.5703125" style="119" bestFit="1" customWidth="1"/>
    <col min="9480" max="9480" width="10.42578125" style="119" bestFit="1" customWidth="1"/>
    <col min="9481" max="9481" width="4.5703125" style="119" customWidth="1"/>
    <col min="9482" max="9482" width="1.85546875" style="119" customWidth="1"/>
    <col min="9483" max="9483" width="7" style="119" bestFit="1" customWidth="1"/>
    <col min="9484" max="9484" width="6.42578125" style="119" customWidth="1"/>
    <col min="9485" max="9485" width="20.42578125" style="119" customWidth="1"/>
    <col min="9486" max="9486" width="6.42578125" style="119" bestFit="1" customWidth="1"/>
    <col min="9487" max="9488" width="8.42578125" style="119"/>
    <col min="9489" max="9489" width="3.42578125" style="119" customWidth="1"/>
    <col min="9490" max="9728" width="8.42578125" style="119"/>
    <col min="9729" max="9729" width="10" style="119" bestFit="1" customWidth="1"/>
    <col min="9730" max="9730" width="44.42578125" style="119" bestFit="1" customWidth="1"/>
    <col min="9731" max="9731" width="10.42578125" style="119" bestFit="1" customWidth="1"/>
    <col min="9732" max="9732" width="10.42578125" style="119" customWidth="1"/>
    <col min="9733" max="9735" width="9.5703125" style="119" bestFit="1" customWidth="1"/>
    <col min="9736" max="9736" width="10.42578125" style="119" bestFit="1" customWidth="1"/>
    <col min="9737" max="9737" width="4.5703125" style="119" customWidth="1"/>
    <col min="9738" max="9738" width="1.85546875" style="119" customWidth="1"/>
    <col min="9739" max="9739" width="7" style="119" bestFit="1" customWidth="1"/>
    <col min="9740" max="9740" width="6.42578125" style="119" customWidth="1"/>
    <col min="9741" max="9741" width="20.42578125" style="119" customWidth="1"/>
    <col min="9742" max="9742" width="6.42578125" style="119" bestFit="1" customWidth="1"/>
    <col min="9743" max="9744" width="8.42578125" style="119"/>
    <col min="9745" max="9745" width="3.42578125" style="119" customWidth="1"/>
    <col min="9746" max="9984" width="8.42578125" style="119"/>
    <col min="9985" max="9985" width="10" style="119" bestFit="1" customWidth="1"/>
    <col min="9986" max="9986" width="44.42578125" style="119" bestFit="1" customWidth="1"/>
    <col min="9987" max="9987" width="10.42578125" style="119" bestFit="1" customWidth="1"/>
    <col min="9988" max="9988" width="10.42578125" style="119" customWidth="1"/>
    <col min="9989" max="9991" width="9.5703125" style="119" bestFit="1" customWidth="1"/>
    <col min="9992" max="9992" width="10.42578125" style="119" bestFit="1" customWidth="1"/>
    <col min="9993" max="9993" width="4.5703125" style="119" customWidth="1"/>
    <col min="9994" max="9994" width="1.85546875" style="119" customWidth="1"/>
    <col min="9995" max="9995" width="7" style="119" bestFit="1" customWidth="1"/>
    <col min="9996" max="9996" width="6.42578125" style="119" customWidth="1"/>
    <col min="9997" max="9997" width="20.42578125" style="119" customWidth="1"/>
    <col min="9998" max="9998" width="6.42578125" style="119" bestFit="1" customWidth="1"/>
    <col min="9999" max="10000" width="8.42578125" style="119"/>
    <col min="10001" max="10001" width="3.42578125" style="119" customWidth="1"/>
    <col min="10002" max="10240" width="8.42578125" style="119"/>
    <col min="10241" max="10241" width="10" style="119" bestFit="1" customWidth="1"/>
    <col min="10242" max="10242" width="44.42578125" style="119" bestFit="1" customWidth="1"/>
    <col min="10243" max="10243" width="10.42578125" style="119" bestFit="1" customWidth="1"/>
    <col min="10244" max="10244" width="10.42578125" style="119" customWidth="1"/>
    <col min="10245" max="10247" width="9.5703125" style="119" bestFit="1" customWidth="1"/>
    <col min="10248" max="10248" width="10.42578125" style="119" bestFit="1" customWidth="1"/>
    <col min="10249" max="10249" width="4.5703125" style="119" customWidth="1"/>
    <col min="10250" max="10250" width="1.85546875" style="119" customWidth="1"/>
    <col min="10251" max="10251" width="7" style="119" bestFit="1" customWidth="1"/>
    <col min="10252" max="10252" width="6.42578125" style="119" customWidth="1"/>
    <col min="10253" max="10253" width="20.42578125" style="119" customWidth="1"/>
    <col min="10254" max="10254" width="6.42578125" style="119" bestFit="1" customWidth="1"/>
    <col min="10255" max="10256" width="8.42578125" style="119"/>
    <col min="10257" max="10257" width="3.42578125" style="119" customWidth="1"/>
    <col min="10258" max="10496" width="8.42578125" style="119"/>
    <col min="10497" max="10497" width="10" style="119" bestFit="1" customWidth="1"/>
    <col min="10498" max="10498" width="44.42578125" style="119" bestFit="1" customWidth="1"/>
    <col min="10499" max="10499" width="10.42578125" style="119" bestFit="1" customWidth="1"/>
    <col min="10500" max="10500" width="10.42578125" style="119" customWidth="1"/>
    <col min="10501" max="10503" width="9.5703125" style="119" bestFit="1" customWidth="1"/>
    <col min="10504" max="10504" width="10.42578125" style="119" bestFit="1" customWidth="1"/>
    <col min="10505" max="10505" width="4.5703125" style="119" customWidth="1"/>
    <col min="10506" max="10506" width="1.85546875" style="119" customWidth="1"/>
    <col min="10507" max="10507" width="7" style="119" bestFit="1" customWidth="1"/>
    <col min="10508" max="10508" width="6.42578125" style="119" customWidth="1"/>
    <col min="10509" max="10509" width="20.42578125" style="119" customWidth="1"/>
    <col min="10510" max="10510" width="6.42578125" style="119" bestFit="1" customWidth="1"/>
    <col min="10511" max="10512" width="8.42578125" style="119"/>
    <col min="10513" max="10513" width="3.42578125" style="119" customWidth="1"/>
    <col min="10514" max="10752" width="8.42578125" style="119"/>
    <col min="10753" max="10753" width="10" style="119" bestFit="1" customWidth="1"/>
    <col min="10754" max="10754" width="44.42578125" style="119" bestFit="1" customWidth="1"/>
    <col min="10755" max="10755" width="10.42578125" style="119" bestFit="1" customWidth="1"/>
    <col min="10756" max="10756" width="10.42578125" style="119" customWidth="1"/>
    <col min="10757" max="10759" width="9.5703125" style="119" bestFit="1" customWidth="1"/>
    <col min="10760" max="10760" width="10.42578125" style="119" bestFit="1" customWidth="1"/>
    <col min="10761" max="10761" width="4.5703125" style="119" customWidth="1"/>
    <col min="10762" max="10762" width="1.85546875" style="119" customWidth="1"/>
    <col min="10763" max="10763" width="7" style="119" bestFit="1" customWidth="1"/>
    <col min="10764" max="10764" width="6.42578125" style="119" customWidth="1"/>
    <col min="10765" max="10765" width="20.42578125" style="119" customWidth="1"/>
    <col min="10766" max="10766" width="6.42578125" style="119" bestFit="1" customWidth="1"/>
    <col min="10767" max="10768" width="8.42578125" style="119"/>
    <col min="10769" max="10769" width="3.42578125" style="119" customWidth="1"/>
    <col min="10770" max="11008" width="8.42578125" style="119"/>
    <col min="11009" max="11009" width="10" style="119" bestFit="1" customWidth="1"/>
    <col min="11010" max="11010" width="44.42578125" style="119" bestFit="1" customWidth="1"/>
    <col min="11011" max="11011" width="10.42578125" style="119" bestFit="1" customWidth="1"/>
    <col min="11012" max="11012" width="10.42578125" style="119" customWidth="1"/>
    <col min="11013" max="11015" width="9.5703125" style="119" bestFit="1" customWidth="1"/>
    <col min="11016" max="11016" width="10.42578125" style="119" bestFit="1" customWidth="1"/>
    <col min="11017" max="11017" width="4.5703125" style="119" customWidth="1"/>
    <col min="11018" max="11018" width="1.85546875" style="119" customWidth="1"/>
    <col min="11019" max="11019" width="7" style="119" bestFit="1" customWidth="1"/>
    <col min="11020" max="11020" width="6.42578125" style="119" customWidth="1"/>
    <col min="11021" max="11021" width="20.42578125" style="119" customWidth="1"/>
    <col min="11022" max="11022" width="6.42578125" style="119" bestFit="1" customWidth="1"/>
    <col min="11023" max="11024" width="8.42578125" style="119"/>
    <col min="11025" max="11025" width="3.42578125" style="119" customWidth="1"/>
    <col min="11026" max="11264" width="8.42578125" style="119"/>
    <col min="11265" max="11265" width="10" style="119" bestFit="1" customWidth="1"/>
    <col min="11266" max="11266" width="44.42578125" style="119" bestFit="1" customWidth="1"/>
    <col min="11267" max="11267" width="10.42578125" style="119" bestFit="1" customWidth="1"/>
    <col min="11268" max="11268" width="10.42578125" style="119" customWidth="1"/>
    <col min="11269" max="11271" width="9.5703125" style="119" bestFit="1" customWidth="1"/>
    <col min="11272" max="11272" width="10.42578125" style="119" bestFit="1" customWidth="1"/>
    <col min="11273" max="11273" width="4.5703125" style="119" customWidth="1"/>
    <col min="11274" max="11274" width="1.85546875" style="119" customWidth="1"/>
    <col min="11275" max="11275" width="7" style="119" bestFit="1" customWidth="1"/>
    <col min="11276" max="11276" width="6.42578125" style="119" customWidth="1"/>
    <col min="11277" max="11277" width="20.42578125" style="119" customWidth="1"/>
    <col min="11278" max="11278" width="6.42578125" style="119" bestFit="1" customWidth="1"/>
    <col min="11279" max="11280" width="8.42578125" style="119"/>
    <col min="11281" max="11281" width="3.42578125" style="119" customWidth="1"/>
    <col min="11282" max="11520" width="8.42578125" style="119"/>
    <col min="11521" max="11521" width="10" style="119" bestFit="1" customWidth="1"/>
    <col min="11522" max="11522" width="44.42578125" style="119" bestFit="1" customWidth="1"/>
    <col min="11523" max="11523" width="10.42578125" style="119" bestFit="1" customWidth="1"/>
    <col min="11524" max="11524" width="10.42578125" style="119" customWidth="1"/>
    <col min="11525" max="11527" width="9.5703125" style="119" bestFit="1" customWidth="1"/>
    <col min="11528" max="11528" width="10.42578125" style="119" bestFit="1" customWidth="1"/>
    <col min="11529" max="11529" width="4.5703125" style="119" customWidth="1"/>
    <col min="11530" max="11530" width="1.85546875" style="119" customWidth="1"/>
    <col min="11531" max="11531" width="7" style="119" bestFit="1" customWidth="1"/>
    <col min="11532" max="11532" width="6.42578125" style="119" customWidth="1"/>
    <col min="11533" max="11533" width="20.42578125" style="119" customWidth="1"/>
    <col min="11534" max="11534" width="6.42578125" style="119" bestFit="1" customWidth="1"/>
    <col min="11535" max="11536" width="8.42578125" style="119"/>
    <col min="11537" max="11537" width="3.42578125" style="119" customWidth="1"/>
    <col min="11538" max="11776" width="8.42578125" style="119"/>
    <col min="11777" max="11777" width="10" style="119" bestFit="1" customWidth="1"/>
    <col min="11778" max="11778" width="44.42578125" style="119" bestFit="1" customWidth="1"/>
    <col min="11779" max="11779" width="10.42578125" style="119" bestFit="1" customWidth="1"/>
    <col min="11780" max="11780" width="10.42578125" style="119" customWidth="1"/>
    <col min="11781" max="11783" width="9.5703125" style="119" bestFit="1" customWidth="1"/>
    <col min="11784" max="11784" width="10.42578125" style="119" bestFit="1" customWidth="1"/>
    <col min="11785" max="11785" width="4.5703125" style="119" customWidth="1"/>
    <col min="11786" max="11786" width="1.85546875" style="119" customWidth="1"/>
    <col min="11787" max="11787" width="7" style="119" bestFit="1" customWidth="1"/>
    <col min="11788" max="11788" width="6.42578125" style="119" customWidth="1"/>
    <col min="11789" max="11789" width="20.42578125" style="119" customWidth="1"/>
    <col min="11790" max="11790" width="6.42578125" style="119" bestFit="1" customWidth="1"/>
    <col min="11791" max="11792" width="8.42578125" style="119"/>
    <col min="11793" max="11793" width="3.42578125" style="119" customWidth="1"/>
    <col min="11794" max="12032" width="8.42578125" style="119"/>
    <col min="12033" max="12033" width="10" style="119" bestFit="1" customWidth="1"/>
    <col min="12034" max="12034" width="44.42578125" style="119" bestFit="1" customWidth="1"/>
    <col min="12035" max="12035" width="10.42578125" style="119" bestFit="1" customWidth="1"/>
    <col min="12036" max="12036" width="10.42578125" style="119" customWidth="1"/>
    <col min="12037" max="12039" width="9.5703125" style="119" bestFit="1" customWidth="1"/>
    <col min="12040" max="12040" width="10.42578125" style="119" bestFit="1" customWidth="1"/>
    <col min="12041" max="12041" width="4.5703125" style="119" customWidth="1"/>
    <col min="12042" max="12042" width="1.85546875" style="119" customWidth="1"/>
    <col min="12043" max="12043" width="7" style="119" bestFit="1" customWidth="1"/>
    <col min="12044" max="12044" width="6.42578125" style="119" customWidth="1"/>
    <col min="12045" max="12045" width="20.42578125" style="119" customWidth="1"/>
    <col min="12046" max="12046" width="6.42578125" style="119" bestFit="1" customWidth="1"/>
    <col min="12047" max="12048" width="8.42578125" style="119"/>
    <col min="12049" max="12049" width="3.42578125" style="119" customWidth="1"/>
    <col min="12050" max="12288" width="8.42578125" style="119"/>
    <col min="12289" max="12289" width="10" style="119" bestFit="1" customWidth="1"/>
    <col min="12290" max="12290" width="44.42578125" style="119" bestFit="1" customWidth="1"/>
    <col min="12291" max="12291" width="10.42578125" style="119" bestFit="1" customWidth="1"/>
    <col min="12292" max="12292" width="10.42578125" style="119" customWidth="1"/>
    <col min="12293" max="12295" width="9.5703125" style="119" bestFit="1" customWidth="1"/>
    <col min="12296" max="12296" width="10.42578125" style="119" bestFit="1" customWidth="1"/>
    <col min="12297" max="12297" width="4.5703125" style="119" customWidth="1"/>
    <col min="12298" max="12298" width="1.85546875" style="119" customWidth="1"/>
    <col min="12299" max="12299" width="7" style="119" bestFit="1" customWidth="1"/>
    <col min="12300" max="12300" width="6.42578125" style="119" customWidth="1"/>
    <col min="12301" max="12301" width="20.42578125" style="119" customWidth="1"/>
    <col min="12302" max="12302" width="6.42578125" style="119" bestFit="1" customWidth="1"/>
    <col min="12303" max="12304" width="8.42578125" style="119"/>
    <col min="12305" max="12305" width="3.42578125" style="119" customWidth="1"/>
    <col min="12306" max="12544" width="8.42578125" style="119"/>
    <col min="12545" max="12545" width="10" style="119" bestFit="1" customWidth="1"/>
    <col min="12546" max="12546" width="44.42578125" style="119" bestFit="1" customWidth="1"/>
    <col min="12547" max="12547" width="10.42578125" style="119" bestFit="1" customWidth="1"/>
    <col min="12548" max="12548" width="10.42578125" style="119" customWidth="1"/>
    <col min="12549" max="12551" width="9.5703125" style="119" bestFit="1" customWidth="1"/>
    <col min="12552" max="12552" width="10.42578125" style="119" bestFit="1" customWidth="1"/>
    <col min="12553" max="12553" width="4.5703125" style="119" customWidth="1"/>
    <col min="12554" max="12554" width="1.85546875" style="119" customWidth="1"/>
    <col min="12555" max="12555" width="7" style="119" bestFit="1" customWidth="1"/>
    <col min="12556" max="12556" width="6.42578125" style="119" customWidth="1"/>
    <col min="12557" max="12557" width="20.42578125" style="119" customWidth="1"/>
    <col min="12558" max="12558" width="6.42578125" style="119" bestFit="1" customWidth="1"/>
    <col min="12559" max="12560" width="8.42578125" style="119"/>
    <col min="12561" max="12561" width="3.42578125" style="119" customWidth="1"/>
    <col min="12562" max="12800" width="8.42578125" style="119"/>
    <col min="12801" max="12801" width="10" style="119" bestFit="1" customWidth="1"/>
    <col min="12802" max="12802" width="44.42578125" style="119" bestFit="1" customWidth="1"/>
    <col min="12803" max="12803" width="10.42578125" style="119" bestFit="1" customWidth="1"/>
    <col min="12804" max="12804" width="10.42578125" style="119" customWidth="1"/>
    <col min="12805" max="12807" width="9.5703125" style="119" bestFit="1" customWidth="1"/>
    <col min="12808" max="12808" width="10.42578125" style="119" bestFit="1" customWidth="1"/>
    <col min="12809" max="12809" width="4.5703125" style="119" customWidth="1"/>
    <col min="12810" max="12810" width="1.85546875" style="119" customWidth="1"/>
    <col min="12811" max="12811" width="7" style="119" bestFit="1" customWidth="1"/>
    <col min="12812" max="12812" width="6.42578125" style="119" customWidth="1"/>
    <col min="12813" max="12813" width="20.42578125" style="119" customWidth="1"/>
    <col min="12814" max="12814" width="6.42578125" style="119" bestFit="1" customWidth="1"/>
    <col min="12815" max="12816" width="8.42578125" style="119"/>
    <col min="12817" max="12817" width="3.42578125" style="119" customWidth="1"/>
    <col min="12818" max="13056" width="8.42578125" style="119"/>
    <col min="13057" max="13057" width="10" style="119" bestFit="1" customWidth="1"/>
    <col min="13058" max="13058" width="44.42578125" style="119" bestFit="1" customWidth="1"/>
    <col min="13059" max="13059" width="10.42578125" style="119" bestFit="1" customWidth="1"/>
    <col min="13060" max="13060" width="10.42578125" style="119" customWidth="1"/>
    <col min="13061" max="13063" width="9.5703125" style="119" bestFit="1" customWidth="1"/>
    <col min="13064" max="13064" width="10.42578125" style="119" bestFit="1" customWidth="1"/>
    <col min="13065" max="13065" width="4.5703125" style="119" customWidth="1"/>
    <col min="13066" max="13066" width="1.85546875" style="119" customWidth="1"/>
    <col min="13067" max="13067" width="7" style="119" bestFit="1" customWidth="1"/>
    <col min="13068" max="13068" width="6.42578125" style="119" customWidth="1"/>
    <col min="13069" max="13069" width="20.42578125" style="119" customWidth="1"/>
    <col min="13070" max="13070" width="6.42578125" style="119" bestFit="1" customWidth="1"/>
    <col min="13071" max="13072" width="8.42578125" style="119"/>
    <col min="13073" max="13073" width="3.42578125" style="119" customWidth="1"/>
    <col min="13074" max="13312" width="8.42578125" style="119"/>
    <col min="13313" max="13313" width="10" style="119" bestFit="1" customWidth="1"/>
    <col min="13314" max="13314" width="44.42578125" style="119" bestFit="1" customWidth="1"/>
    <col min="13315" max="13315" width="10.42578125" style="119" bestFit="1" customWidth="1"/>
    <col min="13316" max="13316" width="10.42578125" style="119" customWidth="1"/>
    <col min="13317" max="13319" width="9.5703125" style="119" bestFit="1" customWidth="1"/>
    <col min="13320" max="13320" width="10.42578125" style="119" bestFit="1" customWidth="1"/>
    <col min="13321" max="13321" width="4.5703125" style="119" customWidth="1"/>
    <col min="13322" max="13322" width="1.85546875" style="119" customWidth="1"/>
    <col min="13323" max="13323" width="7" style="119" bestFit="1" customWidth="1"/>
    <col min="13324" max="13324" width="6.42578125" style="119" customWidth="1"/>
    <col min="13325" max="13325" width="20.42578125" style="119" customWidth="1"/>
    <col min="13326" max="13326" width="6.42578125" style="119" bestFit="1" customWidth="1"/>
    <col min="13327" max="13328" width="8.42578125" style="119"/>
    <col min="13329" max="13329" width="3.42578125" style="119" customWidth="1"/>
    <col min="13330" max="13568" width="8.42578125" style="119"/>
    <col min="13569" max="13569" width="10" style="119" bestFit="1" customWidth="1"/>
    <col min="13570" max="13570" width="44.42578125" style="119" bestFit="1" customWidth="1"/>
    <col min="13571" max="13571" width="10.42578125" style="119" bestFit="1" customWidth="1"/>
    <col min="13572" max="13572" width="10.42578125" style="119" customWidth="1"/>
    <col min="13573" max="13575" width="9.5703125" style="119" bestFit="1" customWidth="1"/>
    <col min="13576" max="13576" width="10.42578125" style="119" bestFit="1" customWidth="1"/>
    <col min="13577" max="13577" width="4.5703125" style="119" customWidth="1"/>
    <col min="13578" max="13578" width="1.85546875" style="119" customWidth="1"/>
    <col min="13579" max="13579" width="7" style="119" bestFit="1" customWidth="1"/>
    <col min="13580" max="13580" width="6.42578125" style="119" customWidth="1"/>
    <col min="13581" max="13581" width="20.42578125" style="119" customWidth="1"/>
    <col min="13582" max="13582" width="6.42578125" style="119" bestFit="1" customWidth="1"/>
    <col min="13583" max="13584" width="8.42578125" style="119"/>
    <col min="13585" max="13585" width="3.42578125" style="119" customWidth="1"/>
    <col min="13586" max="13824" width="8.42578125" style="119"/>
    <col min="13825" max="13825" width="10" style="119" bestFit="1" customWidth="1"/>
    <col min="13826" max="13826" width="44.42578125" style="119" bestFit="1" customWidth="1"/>
    <col min="13827" max="13827" width="10.42578125" style="119" bestFit="1" customWidth="1"/>
    <col min="13828" max="13828" width="10.42578125" style="119" customWidth="1"/>
    <col min="13829" max="13831" width="9.5703125" style="119" bestFit="1" customWidth="1"/>
    <col min="13832" max="13832" width="10.42578125" style="119" bestFit="1" customWidth="1"/>
    <col min="13833" max="13833" width="4.5703125" style="119" customWidth="1"/>
    <col min="13834" max="13834" width="1.85546875" style="119" customWidth="1"/>
    <col min="13835" max="13835" width="7" style="119" bestFit="1" customWidth="1"/>
    <col min="13836" max="13836" width="6.42578125" style="119" customWidth="1"/>
    <col min="13837" max="13837" width="20.42578125" style="119" customWidth="1"/>
    <col min="13838" max="13838" width="6.42578125" style="119" bestFit="1" customWidth="1"/>
    <col min="13839" max="13840" width="8.42578125" style="119"/>
    <col min="13841" max="13841" width="3.42578125" style="119" customWidth="1"/>
    <col min="13842" max="14080" width="8.42578125" style="119"/>
    <col min="14081" max="14081" width="10" style="119" bestFit="1" customWidth="1"/>
    <col min="14082" max="14082" width="44.42578125" style="119" bestFit="1" customWidth="1"/>
    <col min="14083" max="14083" width="10.42578125" style="119" bestFit="1" customWidth="1"/>
    <col min="14084" max="14084" width="10.42578125" style="119" customWidth="1"/>
    <col min="14085" max="14087" width="9.5703125" style="119" bestFit="1" customWidth="1"/>
    <col min="14088" max="14088" width="10.42578125" style="119" bestFit="1" customWidth="1"/>
    <col min="14089" max="14089" width="4.5703125" style="119" customWidth="1"/>
    <col min="14090" max="14090" width="1.85546875" style="119" customWidth="1"/>
    <col min="14091" max="14091" width="7" style="119" bestFit="1" customWidth="1"/>
    <col min="14092" max="14092" width="6.42578125" style="119" customWidth="1"/>
    <col min="14093" max="14093" width="20.42578125" style="119" customWidth="1"/>
    <col min="14094" max="14094" width="6.42578125" style="119" bestFit="1" customWidth="1"/>
    <col min="14095" max="14096" width="8.42578125" style="119"/>
    <col min="14097" max="14097" width="3.42578125" style="119" customWidth="1"/>
    <col min="14098" max="14336" width="8.42578125" style="119"/>
    <col min="14337" max="14337" width="10" style="119" bestFit="1" customWidth="1"/>
    <col min="14338" max="14338" width="44.42578125" style="119" bestFit="1" customWidth="1"/>
    <col min="14339" max="14339" width="10.42578125" style="119" bestFit="1" customWidth="1"/>
    <col min="14340" max="14340" width="10.42578125" style="119" customWidth="1"/>
    <col min="14341" max="14343" width="9.5703125" style="119" bestFit="1" customWidth="1"/>
    <col min="14344" max="14344" width="10.42578125" style="119" bestFit="1" customWidth="1"/>
    <col min="14345" max="14345" width="4.5703125" style="119" customWidth="1"/>
    <col min="14346" max="14346" width="1.85546875" style="119" customWidth="1"/>
    <col min="14347" max="14347" width="7" style="119" bestFit="1" customWidth="1"/>
    <col min="14348" max="14348" width="6.42578125" style="119" customWidth="1"/>
    <col min="14349" max="14349" width="20.42578125" style="119" customWidth="1"/>
    <col min="14350" max="14350" width="6.42578125" style="119" bestFit="1" customWidth="1"/>
    <col min="14351" max="14352" width="8.42578125" style="119"/>
    <col min="14353" max="14353" width="3.42578125" style="119" customWidth="1"/>
    <col min="14354" max="14592" width="8.42578125" style="119"/>
    <col min="14593" max="14593" width="10" style="119" bestFit="1" customWidth="1"/>
    <col min="14594" max="14594" width="44.42578125" style="119" bestFit="1" customWidth="1"/>
    <col min="14595" max="14595" width="10.42578125" style="119" bestFit="1" customWidth="1"/>
    <col min="14596" max="14596" width="10.42578125" style="119" customWidth="1"/>
    <col min="14597" max="14599" width="9.5703125" style="119" bestFit="1" customWidth="1"/>
    <col min="14600" max="14600" width="10.42578125" style="119" bestFit="1" customWidth="1"/>
    <col min="14601" max="14601" width="4.5703125" style="119" customWidth="1"/>
    <col min="14602" max="14602" width="1.85546875" style="119" customWidth="1"/>
    <col min="14603" max="14603" width="7" style="119" bestFit="1" customWidth="1"/>
    <col min="14604" max="14604" width="6.42578125" style="119" customWidth="1"/>
    <col min="14605" max="14605" width="20.42578125" style="119" customWidth="1"/>
    <col min="14606" max="14606" width="6.42578125" style="119" bestFit="1" customWidth="1"/>
    <col min="14607" max="14608" width="8.42578125" style="119"/>
    <col min="14609" max="14609" width="3.42578125" style="119" customWidth="1"/>
    <col min="14610" max="14848" width="8.42578125" style="119"/>
    <col min="14849" max="14849" width="10" style="119" bestFit="1" customWidth="1"/>
    <col min="14850" max="14850" width="44.42578125" style="119" bestFit="1" customWidth="1"/>
    <col min="14851" max="14851" width="10.42578125" style="119" bestFit="1" customWidth="1"/>
    <col min="14852" max="14852" width="10.42578125" style="119" customWidth="1"/>
    <col min="14853" max="14855" width="9.5703125" style="119" bestFit="1" customWidth="1"/>
    <col min="14856" max="14856" width="10.42578125" style="119" bestFit="1" customWidth="1"/>
    <col min="14857" max="14857" width="4.5703125" style="119" customWidth="1"/>
    <col min="14858" max="14858" width="1.85546875" style="119" customWidth="1"/>
    <col min="14859" max="14859" width="7" style="119" bestFit="1" customWidth="1"/>
    <col min="14860" max="14860" width="6.42578125" style="119" customWidth="1"/>
    <col min="14861" max="14861" width="20.42578125" style="119" customWidth="1"/>
    <col min="14862" max="14862" width="6.42578125" style="119" bestFit="1" customWidth="1"/>
    <col min="14863" max="14864" width="8.42578125" style="119"/>
    <col min="14865" max="14865" width="3.42578125" style="119" customWidth="1"/>
    <col min="14866" max="15104" width="8.42578125" style="119"/>
    <col min="15105" max="15105" width="10" style="119" bestFit="1" customWidth="1"/>
    <col min="15106" max="15106" width="44.42578125" style="119" bestFit="1" customWidth="1"/>
    <col min="15107" max="15107" width="10.42578125" style="119" bestFit="1" customWidth="1"/>
    <col min="15108" max="15108" width="10.42578125" style="119" customWidth="1"/>
    <col min="15109" max="15111" width="9.5703125" style="119" bestFit="1" customWidth="1"/>
    <col min="15112" max="15112" width="10.42578125" style="119" bestFit="1" customWidth="1"/>
    <col min="15113" max="15113" width="4.5703125" style="119" customWidth="1"/>
    <col min="15114" max="15114" width="1.85546875" style="119" customWidth="1"/>
    <col min="15115" max="15115" width="7" style="119" bestFit="1" customWidth="1"/>
    <col min="15116" max="15116" width="6.42578125" style="119" customWidth="1"/>
    <col min="15117" max="15117" width="20.42578125" style="119" customWidth="1"/>
    <col min="15118" max="15118" width="6.42578125" style="119" bestFit="1" customWidth="1"/>
    <col min="15119" max="15120" width="8.42578125" style="119"/>
    <col min="15121" max="15121" width="3.42578125" style="119" customWidth="1"/>
    <col min="15122" max="15360" width="8.42578125" style="119"/>
    <col min="15361" max="15361" width="10" style="119" bestFit="1" customWidth="1"/>
    <col min="15362" max="15362" width="44.42578125" style="119" bestFit="1" customWidth="1"/>
    <col min="15363" max="15363" width="10.42578125" style="119" bestFit="1" customWidth="1"/>
    <col min="15364" max="15364" width="10.42578125" style="119" customWidth="1"/>
    <col min="15365" max="15367" width="9.5703125" style="119" bestFit="1" customWidth="1"/>
    <col min="15368" max="15368" width="10.42578125" style="119" bestFit="1" customWidth="1"/>
    <col min="15369" max="15369" width="4.5703125" style="119" customWidth="1"/>
    <col min="15370" max="15370" width="1.85546875" style="119" customWidth="1"/>
    <col min="15371" max="15371" width="7" style="119" bestFit="1" customWidth="1"/>
    <col min="15372" max="15372" width="6.42578125" style="119" customWidth="1"/>
    <col min="15373" max="15373" width="20.42578125" style="119" customWidth="1"/>
    <col min="15374" max="15374" width="6.42578125" style="119" bestFit="1" customWidth="1"/>
    <col min="15375" max="15376" width="8.42578125" style="119"/>
    <col min="15377" max="15377" width="3.42578125" style="119" customWidth="1"/>
    <col min="15378" max="15616" width="8.42578125" style="119"/>
    <col min="15617" max="15617" width="10" style="119" bestFit="1" customWidth="1"/>
    <col min="15618" max="15618" width="44.42578125" style="119" bestFit="1" customWidth="1"/>
    <col min="15619" max="15619" width="10.42578125" style="119" bestFit="1" customWidth="1"/>
    <col min="15620" max="15620" width="10.42578125" style="119" customWidth="1"/>
    <col min="15621" max="15623" width="9.5703125" style="119" bestFit="1" customWidth="1"/>
    <col min="15624" max="15624" width="10.42578125" style="119" bestFit="1" customWidth="1"/>
    <col min="15625" max="15625" width="4.5703125" style="119" customWidth="1"/>
    <col min="15626" max="15626" width="1.85546875" style="119" customWidth="1"/>
    <col min="15627" max="15627" width="7" style="119" bestFit="1" customWidth="1"/>
    <col min="15628" max="15628" width="6.42578125" style="119" customWidth="1"/>
    <col min="15629" max="15629" width="20.42578125" style="119" customWidth="1"/>
    <col min="15630" max="15630" width="6.42578125" style="119" bestFit="1" customWidth="1"/>
    <col min="15631" max="15632" width="8.42578125" style="119"/>
    <col min="15633" max="15633" width="3.42578125" style="119" customWidth="1"/>
    <col min="15634" max="15872" width="8.42578125" style="119"/>
    <col min="15873" max="15873" width="10" style="119" bestFit="1" customWidth="1"/>
    <col min="15874" max="15874" width="44.42578125" style="119" bestFit="1" customWidth="1"/>
    <col min="15875" max="15875" width="10.42578125" style="119" bestFit="1" customWidth="1"/>
    <col min="15876" max="15876" width="10.42578125" style="119" customWidth="1"/>
    <col min="15877" max="15879" width="9.5703125" style="119" bestFit="1" customWidth="1"/>
    <col min="15880" max="15880" width="10.42578125" style="119" bestFit="1" customWidth="1"/>
    <col min="15881" max="15881" width="4.5703125" style="119" customWidth="1"/>
    <col min="15882" max="15882" width="1.85546875" style="119" customWidth="1"/>
    <col min="15883" max="15883" width="7" style="119" bestFit="1" customWidth="1"/>
    <col min="15884" max="15884" width="6.42578125" style="119" customWidth="1"/>
    <col min="15885" max="15885" width="20.42578125" style="119" customWidth="1"/>
    <col min="15886" max="15886" width="6.42578125" style="119" bestFit="1" customWidth="1"/>
    <col min="15887" max="15888" width="8.42578125" style="119"/>
    <col min="15889" max="15889" width="3.42578125" style="119" customWidth="1"/>
    <col min="15890" max="16128" width="8.42578125" style="119"/>
    <col min="16129" max="16129" width="10" style="119" bestFit="1" customWidth="1"/>
    <col min="16130" max="16130" width="44.42578125" style="119" bestFit="1" customWidth="1"/>
    <col min="16131" max="16131" width="10.42578125" style="119" bestFit="1" customWidth="1"/>
    <col min="16132" max="16132" width="10.42578125" style="119" customWidth="1"/>
    <col min="16133" max="16135" width="9.5703125" style="119" bestFit="1" customWidth="1"/>
    <col min="16136" max="16136" width="10.42578125" style="119" bestFit="1" customWidth="1"/>
    <col min="16137" max="16137" width="4.5703125" style="119" customWidth="1"/>
    <col min="16138" max="16138" width="1.85546875" style="119" customWidth="1"/>
    <col min="16139" max="16139" width="7" style="119" bestFit="1" customWidth="1"/>
    <col min="16140" max="16140" width="6.42578125" style="119" customWidth="1"/>
    <col min="16141" max="16141" width="20.42578125" style="119" customWidth="1"/>
    <col min="16142" max="16142" width="6.42578125" style="119" bestFit="1" customWidth="1"/>
    <col min="16143" max="16144" width="8.42578125" style="119"/>
    <col min="16145" max="16145" width="3.42578125" style="119" customWidth="1"/>
    <col min="16146" max="16384" width="8.42578125" style="119"/>
  </cols>
  <sheetData>
    <row r="1" spans="1:10" ht="27.75" customHeight="1" x14ac:dyDescent="0.25">
      <c r="A1" s="114"/>
      <c r="B1" s="114"/>
      <c r="C1" s="114"/>
      <c r="D1" s="114"/>
      <c r="E1" s="115" t="s">
        <v>126</v>
      </c>
      <c r="F1" s="116" t="s">
        <v>127</v>
      </c>
      <c r="G1" s="116" t="s">
        <v>128</v>
      </c>
      <c r="H1" s="116" t="s">
        <v>129</v>
      </c>
      <c r="I1" s="117"/>
    </row>
    <row r="2" spans="1:10" ht="30.75" customHeight="1" x14ac:dyDescent="0.25">
      <c r="A2" s="114"/>
      <c r="B2" s="114"/>
      <c r="C2" s="114"/>
      <c r="D2" s="114"/>
      <c r="E2" s="120">
        <f>IFERROR(O62,"")</f>
        <v>759.06385147569927</v>
      </c>
      <c r="F2" s="120">
        <f>IFERROR(H53,"")</f>
        <v>643.59441870316061</v>
      </c>
      <c r="G2" s="120">
        <f>IFERROR(H54,"")</f>
        <v>8.5153991528185085</v>
      </c>
      <c r="H2" s="120">
        <f>IFERROR(H56,"")</f>
        <v>47.096329729739793</v>
      </c>
      <c r="I2" s="121"/>
    </row>
    <row r="3" spans="1:10" ht="15" customHeight="1" x14ac:dyDescent="0.25">
      <c r="A3" s="114"/>
      <c r="B3" s="114"/>
      <c r="C3" s="114"/>
      <c r="D3" s="114"/>
      <c r="E3" s="114"/>
      <c r="F3" s="122"/>
      <c r="G3" s="122"/>
      <c r="H3" s="122"/>
      <c r="I3" s="122"/>
    </row>
    <row r="4" spans="1:10" ht="24.75" customHeight="1" thickBot="1" x14ac:dyDescent="0.3">
      <c r="A4" s="273"/>
      <c r="B4" s="273"/>
      <c r="C4" s="273"/>
      <c r="D4" s="273"/>
      <c r="E4" s="273"/>
      <c r="F4" s="273"/>
      <c r="G4" s="273"/>
      <c r="H4" s="273"/>
      <c r="I4" s="123"/>
    </row>
    <row r="5" spans="1:10" ht="19.5" customHeight="1" thickBot="1" x14ac:dyDescent="0.3">
      <c r="A5" s="279" t="s">
        <v>130</v>
      </c>
      <c r="B5" s="280"/>
      <c r="C5" s="280"/>
      <c r="D5" s="280"/>
      <c r="E5" s="280"/>
      <c r="F5" s="280"/>
      <c r="G5" s="280"/>
      <c r="H5" s="281"/>
      <c r="I5" s="124"/>
    </row>
    <row r="6" spans="1:10" ht="19.5" thickBot="1" x14ac:dyDescent="0.3">
      <c r="A6" s="124"/>
      <c r="B6" s="124"/>
      <c r="C6" s="124"/>
      <c r="D6" s="124"/>
      <c r="E6" s="124"/>
      <c r="F6" s="282" t="s">
        <v>131</v>
      </c>
      <c r="G6" s="282"/>
      <c r="H6" s="125">
        <f ca="1">TODAY()</f>
        <v>45663</v>
      </c>
      <c r="I6" s="125"/>
    </row>
    <row r="7" spans="1:10" ht="39" thickBot="1" x14ac:dyDescent="0.3">
      <c r="A7" s="126" t="s">
        <v>132</v>
      </c>
      <c r="B7" s="127" t="s">
        <v>133</v>
      </c>
      <c r="C7" s="127" t="s">
        <v>132</v>
      </c>
      <c r="D7" s="128" t="s">
        <v>134</v>
      </c>
      <c r="E7" s="128" t="s">
        <v>135</v>
      </c>
      <c r="F7" s="128" t="s">
        <v>136</v>
      </c>
      <c r="G7" s="128" t="s">
        <v>137</v>
      </c>
      <c r="H7" s="129" t="s">
        <v>138</v>
      </c>
      <c r="I7" s="130"/>
    </row>
    <row r="8" spans="1:10" ht="13.5" x14ac:dyDescent="0.25">
      <c r="A8" s="131">
        <v>600</v>
      </c>
      <c r="B8" s="119" t="str">
        <f>IFERROR(VLOOKUP(H8,'[1]Consolidado MP Planta'!$A$2:$M$823,3,0),"")</f>
        <v>LACTOCREMA GRANEL (CAJA:25 KG)</v>
      </c>
      <c r="C8" s="132">
        <f>+A8</f>
        <v>600</v>
      </c>
      <c r="D8" s="133" t="str">
        <f>IFERROR(VLOOKUP(H8,'[1]Consolidado MP Planta'!$A$2:$M$823,13,0),"")</f>
        <v>Gramos</v>
      </c>
      <c r="E8" s="133">
        <v>3.93</v>
      </c>
      <c r="F8" s="133">
        <f>IFERROR(C8*E8,"")</f>
        <v>2358</v>
      </c>
      <c r="G8" s="104">
        <f t="shared" ref="G8:G14" si="0">IFERROR(F8/$F$66,"")</f>
        <v>0.18789337617590485</v>
      </c>
      <c r="H8" s="134" t="s">
        <v>47</v>
      </c>
      <c r="I8" s="134"/>
      <c r="J8" s="105"/>
    </row>
    <row r="9" spans="1:10" ht="13.5" x14ac:dyDescent="0.25">
      <c r="A9" s="131">
        <v>780</v>
      </c>
      <c r="B9" s="119" t="str">
        <f>IFERROR(VLOOKUP(H9,'[1]Consolidado MP Planta'!$A$2:$M$823,3,0),"")</f>
        <v xml:space="preserve">CLARA DE HUEVO (CAJA:5 K) </v>
      </c>
      <c r="C9" s="132">
        <f t="shared" ref="C9:C14" si="1">+A9</f>
        <v>780</v>
      </c>
      <c r="D9" s="133" t="str">
        <f>IFERROR(VLOOKUP(H9,'[1]Consolidado MP Planta'!$A$2:$M$823,13,0),"")</f>
        <v>Gramos</v>
      </c>
      <c r="E9" s="133">
        <v>2.78</v>
      </c>
      <c r="F9" s="133">
        <f t="shared" ref="F9:F14" si="2">IFERROR(C9*E9,"")</f>
        <v>2168.3999999999996</v>
      </c>
      <c r="G9" s="104">
        <f t="shared" si="0"/>
        <v>0.17278541005081932</v>
      </c>
      <c r="H9" s="134" t="s">
        <v>48</v>
      </c>
      <c r="I9" s="134"/>
      <c r="J9" s="105"/>
    </row>
    <row r="10" spans="1:10" ht="13.5" x14ac:dyDescent="0.25">
      <c r="A10" s="131">
        <v>440</v>
      </c>
      <c r="B10" s="119" t="str">
        <f>IFERROR(VLOOKUP(H10,'[1]Consolidado MP Planta'!$A$2:$M$823,3,0),"")</f>
        <v>YEMA DE HUEVO (UND: 8.34 K)</v>
      </c>
      <c r="C10" s="132">
        <f t="shared" si="1"/>
        <v>440</v>
      </c>
      <c r="D10" s="133">
        <f>IFERROR(VLOOKUP(H10,'[1]Consolidado MP Planta'!$A$2:$M$823,13,0),"")</f>
        <v>0</v>
      </c>
      <c r="E10" s="133">
        <v>2.9</v>
      </c>
      <c r="F10" s="133">
        <f t="shared" si="2"/>
        <v>1276</v>
      </c>
      <c r="G10" s="104">
        <f t="shared" si="0"/>
        <v>0.10167597455490016</v>
      </c>
      <c r="H10" s="134" t="s">
        <v>49</v>
      </c>
      <c r="I10" s="134"/>
      <c r="J10" s="105"/>
    </row>
    <row r="11" spans="1:10" ht="13.5" hidden="1" x14ac:dyDescent="0.25">
      <c r="A11" s="131"/>
      <c r="B11" s="119" t="str">
        <f>IFERROR(VLOOKUP(H11,'[1]Consolidado MP Planta'!$A$2:$M$823,3,0),"")</f>
        <v/>
      </c>
      <c r="C11" s="132">
        <f t="shared" si="1"/>
        <v>0</v>
      </c>
      <c r="D11" s="133" t="str">
        <f>IFERROR(VLOOKUP(H11,'[1]Consolidado MP Planta'!$A$2:$M$823,13,0),"")</f>
        <v/>
      </c>
      <c r="E11" s="133" t="str">
        <f>IFERROR(VLOOKUP(H11,'[1]Consolidado MP Planta'!$A$2:$M$823,12,0),"")</f>
        <v/>
      </c>
      <c r="F11" s="133" t="str">
        <f t="shared" si="2"/>
        <v/>
      </c>
      <c r="G11" s="104" t="str">
        <f t="shared" si="0"/>
        <v/>
      </c>
      <c r="H11" s="134"/>
      <c r="I11" s="134"/>
      <c r="J11" s="105"/>
    </row>
    <row r="12" spans="1:10" ht="13.5" hidden="1" x14ac:dyDescent="0.25">
      <c r="A12" s="131"/>
      <c r="B12" s="119" t="str">
        <f>IFERROR(VLOOKUP(H12,'[1]Consolidado MP Planta'!$A$2:$M$823,3,0),"")</f>
        <v/>
      </c>
      <c r="C12" s="132">
        <f t="shared" si="1"/>
        <v>0</v>
      </c>
      <c r="D12" s="133" t="str">
        <f>IFERROR(VLOOKUP(H12,'[1]Consolidado MP Planta'!$A$2:$M$823,13,0),"")</f>
        <v/>
      </c>
      <c r="E12" s="133" t="str">
        <f>IFERROR(VLOOKUP(H12,'[1]Consolidado MP Planta'!$A$2:$M$823,12,0),"")</f>
        <v/>
      </c>
      <c r="F12" s="133" t="str">
        <f t="shared" si="2"/>
        <v/>
      </c>
      <c r="G12" s="104" t="str">
        <f t="shared" si="0"/>
        <v/>
      </c>
      <c r="H12" s="134"/>
      <c r="I12" s="134"/>
      <c r="J12" s="105"/>
    </row>
    <row r="13" spans="1:10" ht="13.5" hidden="1" x14ac:dyDescent="0.25">
      <c r="A13" s="131"/>
      <c r="B13" s="119" t="str">
        <f>IFERROR(VLOOKUP(H13,'[1]Consolidado MP Planta'!$A$2:$M$823,3,0),"")</f>
        <v/>
      </c>
      <c r="C13" s="132">
        <f t="shared" si="1"/>
        <v>0</v>
      </c>
      <c r="D13" s="133" t="str">
        <f>IFERROR(VLOOKUP(H13,'[1]Consolidado MP Planta'!$A$2:$M$823,13,0),"")</f>
        <v/>
      </c>
      <c r="E13" s="133" t="str">
        <f>IFERROR(VLOOKUP(H13,'[1]Consolidado MP Planta'!$A$2:$M$823,12,0),"")</f>
        <v/>
      </c>
      <c r="F13" s="133" t="str">
        <f t="shared" si="2"/>
        <v/>
      </c>
      <c r="G13" s="104" t="str">
        <f t="shared" si="0"/>
        <v/>
      </c>
      <c r="H13" s="134"/>
      <c r="I13" s="134"/>
      <c r="J13" s="105"/>
    </row>
    <row r="14" spans="1:10" ht="13.5" hidden="1" x14ac:dyDescent="0.25">
      <c r="A14" s="131"/>
      <c r="B14" s="119" t="str">
        <f>IFERROR(VLOOKUP(H14,'[1]Consolidado MP Planta'!$A$2:$M$823,3,0),"")</f>
        <v/>
      </c>
      <c r="C14" s="132">
        <f t="shared" si="1"/>
        <v>0</v>
      </c>
      <c r="D14" s="133" t="str">
        <f>IFERROR(VLOOKUP(H14,'[1]Consolidado MP Planta'!$A$2:$M$823,13,0),"")</f>
        <v/>
      </c>
      <c r="E14" s="133" t="str">
        <f>IFERROR(VLOOKUP(H14,'[1]Consolidado MP Planta'!$A$2:$M$823,12,0),"")</f>
        <v/>
      </c>
      <c r="F14" s="133" t="str">
        <f t="shared" si="2"/>
        <v/>
      </c>
      <c r="G14" s="104" t="str">
        <f t="shared" si="0"/>
        <v/>
      </c>
      <c r="H14" s="134"/>
      <c r="I14" s="134"/>
      <c r="J14" s="105"/>
    </row>
    <row r="15" spans="1:10" ht="14.25" thickBot="1" x14ac:dyDescent="0.3">
      <c r="A15" s="131"/>
      <c r="B15" s="119" t="str">
        <f>IFERROR(VLOOKUP(H15,'[2]ARTICULOS MP PLANTA'!$A$2:$G$589,2,0),"")</f>
        <v/>
      </c>
      <c r="C15" s="132"/>
      <c r="D15" s="133"/>
      <c r="E15" s="133"/>
      <c r="F15" s="133"/>
      <c r="G15" s="104"/>
      <c r="H15" s="134"/>
      <c r="I15" s="134"/>
      <c r="J15" s="105"/>
    </row>
    <row r="16" spans="1:10" ht="39" thickBot="1" x14ac:dyDescent="0.3">
      <c r="A16" s="126" t="s">
        <v>132</v>
      </c>
      <c r="B16" s="127" t="s">
        <v>139</v>
      </c>
      <c r="C16" s="127" t="s">
        <v>132</v>
      </c>
      <c r="D16" s="128" t="s">
        <v>134</v>
      </c>
      <c r="E16" s="128" t="s">
        <v>135</v>
      </c>
      <c r="F16" s="128" t="s">
        <v>136</v>
      </c>
      <c r="G16" s="128" t="s">
        <v>137</v>
      </c>
      <c r="H16" s="129" t="s">
        <v>138</v>
      </c>
      <c r="I16" s="130"/>
      <c r="J16" s="105"/>
    </row>
    <row r="17" spans="1:12" ht="13.5" x14ac:dyDescent="0.25">
      <c r="A17" s="131">
        <v>3400</v>
      </c>
      <c r="B17" s="119" t="s">
        <v>58</v>
      </c>
      <c r="C17" s="132">
        <f>+A17</f>
        <v>3400</v>
      </c>
      <c r="D17" s="132" t="s">
        <v>178</v>
      </c>
      <c r="E17" s="133">
        <f>+'Costo Premezcla '!E68</f>
        <v>1.7006763343108504</v>
      </c>
      <c r="F17" s="133">
        <f>IFERROR(E17*C17,"")</f>
        <v>5782.2995366568912</v>
      </c>
      <c r="G17" s="104">
        <f t="shared" ref="G17:G24" si="3">IFERROR(F17/$F$66,"")</f>
        <v>0.46075308821154942</v>
      </c>
      <c r="H17" s="134" t="s">
        <v>179</v>
      </c>
      <c r="I17" s="134"/>
      <c r="J17" s="105"/>
    </row>
    <row r="18" spans="1:12" ht="13.5" hidden="1" x14ac:dyDescent="0.25">
      <c r="A18" s="131"/>
      <c r="B18" s="119" t="str">
        <f>IFERROR(VLOOKUP(H18,[1]SEMIELABORADOS!$A$2:$M$6000,2,0),"")</f>
        <v/>
      </c>
      <c r="C18" s="132">
        <f t="shared" ref="C18:C24" si="4">+A18</f>
        <v>0</v>
      </c>
      <c r="D18" s="132" t="str">
        <f>IFERROR(VLOOKUP(H18,[1]SEMIELABORADOS!$A$2:$M$6000,6,0),"")</f>
        <v/>
      </c>
      <c r="E18" s="133" t="str">
        <f>IFERROR(VLOOKUP(H18,[1]SEMIELABORADOS!$A$2:$H$65536,8,0),"")</f>
        <v/>
      </c>
      <c r="F18" s="133" t="str">
        <f t="shared" ref="F18:F24" si="5">IFERROR(E18*C18,"")</f>
        <v/>
      </c>
      <c r="G18" s="104" t="str">
        <f t="shared" si="3"/>
        <v/>
      </c>
      <c r="H18" s="134"/>
      <c r="I18" s="134"/>
      <c r="J18" s="105"/>
    </row>
    <row r="19" spans="1:12" ht="13.5" hidden="1" x14ac:dyDescent="0.25">
      <c r="A19" s="131"/>
      <c r="B19" s="119" t="str">
        <f>IFERROR(VLOOKUP(H19,[1]SEMIELABORADOS!$A$2:$M$6000,2,0),"")</f>
        <v/>
      </c>
      <c r="C19" s="132">
        <f>+A19</f>
        <v>0</v>
      </c>
      <c r="D19" s="132" t="str">
        <f>IFERROR(VLOOKUP(H19,[1]SEMIELABORADOS!$A$2:$M$6000,6,0),"")</f>
        <v/>
      </c>
      <c r="E19" s="133" t="str">
        <f>IFERROR(VLOOKUP(H19,[1]SEMIELABORADOS!$A$2:$H$65536,8,0),"")</f>
        <v/>
      </c>
      <c r="F19" s="133" t="str">
        <f>IFERROR(E19*C19,"")</f>
        <v/>
      </c>
      <c r="G19" s="104" t="str">
        <f t="shared" si="3"/>
        <v/>
      </c>
      <c r="H19" s="134"/>
      <c r="I19" s="134"/>
      <c r="J19" s="105"/>
    </row>
    <row r="20" spans="1:12" ht="13.5" hidden="1" x14ac:dyDescent="0.25">
      <c r="A20" s="131"/>
      <c r="B20" s="119" t="str">
        <f>IFERROR(VLOOKUP(H20,[1]SEMIELABORADOS!$A$2:$M$6000,2,0),"")</f>
        <v/>
      </c>
      <c r="C20" s="132">
        <f>+A20</f>
        <v>0</v>
      </c>
      <c r="D20" s="132" t="str">
        <f>IFERROR(VLOOKUP(H20,[1]SEMIELABORADOS!$A$2:$M$6000,6,0),"")</f>
        <v/>
      </c>
      <c r="E20" s="133" t="str">
        <f>IFERROR(VLOOKUP(H20,[1]SEMIELABORADOS!$A$2:$H$65536,8,0),"")</f>
        <v/>
      </c>
      <c r="F20" s="133" t="str">
        <f>IFERROR(E20*C20,"")</f>
        <v/>
      </c>
      <c r="G20" s="104" t="str">
        <f t="shared" si="3"/>
        <v/>
      </c>
      <c r="H20" s="134"/>
      <c r="I20" s="134"/>
      <c r="J20" s="105"/>
    </row>
    <row r="21" spans="1:12" ht="13.5" hidden="1" x14ac:dyDescent="0.25">
      <c r="A21" s="131"/>
      <c r="B21" s="119" t="str">
        <f>IFERROR(VLOOKUP(H21,[1]SEMIELABORADOS!$A$2:$M$6000,2,0),"")</f>
        <v/>
      </c>
      <c r="C21" s="132">
        <f>+A21</f>
        <v>0</v>
      </c>
      <c r="D21" s="132" t="str">
        <f>IFERROR(VLOOKUP(H21,[1]SEMIELABORADOS!$A$2:$M$6000,6,0),"")</f>
        <v/>
      </c>
      <c r="E21" s="133" t="str">
        <f>IFERROR(VLOOKUP(H21,[1]SEMIELABORADOS!$A$2:$H$65536,8,0),"")</f>
        <v/>
      </c>
      <c r="F21" s="133" t="str">
        <f>IFERROR(E21*C21,"")</f>
        <v/>
      </c>
      <c r="G21" s="104" t="str">
        <f t="shared" si="3"/>
        <v/>
      </c>
      <c r="H21" s="134"/>
      <c r="I21" s="134"/>
      <c r="J21" s="105"/>
    </row>
    <row r="22" spans="1:12" ht="13.5" hidden="1" x14ac:dyDescent="0.25">
      <c r="A22" s="131"/>
      <c r="B22" s="119" t="str">
        <f>IFERROR(VLOOKUP(H22,[1]SEMIELABORADOS!$A$2:$M$6000,2,0),"")</f>
        <v/>
      </c>
      <c r="C22" s="132">
        <f t="shared" si="4"/>
        <v>0</v>
      </c>
      <c r="D22" s="132" t="str">
        <f>IFERROR(VLOOKUP(H22,[1]SEMIELABORADOS!$A$2:$M$6000,6,0),"")</f>
        <v/>
      </c>
      <c r="E22" s="133" t="str">
        <f>IFERROR(VLOOKUP(H22,[1]SEMIELABORADOS!$A$2:$H$65536,8,0),"")</f>
        <v/>
      </c>
      <c r="F22" s="133" t="str">
        <f t="shared" si="5"/>
        <v/>
      </c>
      <c r="G22" s="104" t="str">
        <f t="shared" si="3"/>
        <v/>
      </c>
      <c r="H22" s="134"/>
      <c r="I22" s="134"/>
      <c r="J22" s="105"/>
    </row>
    <row r="23" spans="1:12" ht="13.5" hidden="1" x14ac:dyDescent="0.25">
      <c r="A23" s="131"/>
      <c r="B23" s="119" t="str">
        <f>IFERROR(VLOOKUP(H23,[1]SEMIELABORADOS!$A$2:$M$6000,2,0),"")</f>
        <v/>
      </c>
      <c r="C23" s="132">
        <f t="shared" si="4"/>
        <v>0</v>
      </c>
      <c r="D23" s="132" t="str">
        <f>IFERROR(VLOOKUP(H23,[1]SEMIELABORADOS!$A$2:$M$6000,6,0),"")</f>
        <v/>
      </c>
      <c r="E23" s="133" t="str">
        <f>IFERROR(VLOOKUP(H23,[1]SEMIELABORADOS!$A$2:$H$65536,8,0),"")</f>
        <v/>
      </c>
      <c r="F23" s="133" t="str">
        <f t="shared" si="5"/>
        <v/>
      </c>
      <c r="G23" s="104" t="str">
        <f t="shared" si="3"/>
        <v/>
      </c>
      <c r="H23" s="134"/>
      <c r="I23" s="134"/>
      <c r="J23" s="105"/>
    </row>
    <row r="24" spans="1:12" ht="13.5" hidden="1" x14ac:dyDescent="0.25">
      <c r="A24" s="131"/>
      <c r="B24" s="119" t="str">
        <f>IFERROR(VLOOKUP(H24,[1]SEMIELABORADOS!$A$2:$M$6000,2,0),"")</f>
        <v/>
      </c>
      <c r="C24" s="132">
        <f t="shared" si="4"/>
        <v>0</v>
      </c>
      <c r="D24" s="132" t="str">
        <f>IFERROR(VLOOKUP(H24,[1]SEMIELABORADOS!$A$2:$M$6000,6,0),"")</f>
        <v/>
      </c>
      <c r="E24" s="133" t="str">
        <f>IFERROR(VLOOKUP(H24,[1]SEMIELABORADOS!$A$2:$H$65536,8,0),"")</f>
        <v/>
      </c>
      <c r="F24" s="133" t="str">
        <f t="shared" si="5"/>
        <v/>
      </c>
      <c r="G24" s="104" t="str">
        <f t="shared" si="3"/>
        <v/>
      </c>
      <c r="H24" s="134"/>
      <c r="I24" s="134"/>
      <c r="J24" s="105"/>
    </row>
    <row r="25" spans="1:12" ht="14.25" thickBot="1" x14ac:dyDescent="0.3">
      <c r="A25" s="131"/>
      <c r="C25" s="132"/>
      <c r="D25" s="132"/>
      <c r="E25" s="133"/>
      <c r="F25" s="133"/>
      <c r="G25" s="104"/>
      <c r="H25" s="134"/>
      <c r="I25" s="134"/>
      <c r="J25" s="105"/>
    </row>
    <row r="26" spans="1:12" ht="39" hidden="1" thickBot="1" x14ac:dyDescent="0.3">
      <c r="A26" s="126" t="s">
        <v>132</v>
      </c>
      <c r="B26" s="127" t="s">
        <v>63</v>
      </c>
      <c r="C26" s="127" t="s">
        <v>132</v>
      </c>
      <c r="D26" s="128" t="s">
        <v>134</v>
      </c>
      <c r="E26" s="128" t="s">
        <v>135</v>
      </c>
      <c r="F26" s="128" t="s">
        <v>136</v>
      </c>
      <c r="G26" s="128" t="s">
        <v>137</v>
      </c>
      <c r="H26" s="129" t="s">
        <v>138</v>
      </c>
      <c r="I26" s="130"/>
    </row>
    <row r="27" spans="1:12" ht="13.5" hidden="1" x14ac:dyDescent="0.25">
      <c r="A27" s="131">
        <v>0</v>
      </c>
      <c r="B27" s="135" t="str">
        <f>IFERROR(VLOOKUP(H27,'[1]Consolidado MP Planta'!$A$2:$M$823,3,0),"")</f>
        <v/>
      </c>
      <c r="C27" s="132">
        <f t="shared" ref="C27:C32" si="6">+A27</f>
        <v>0</v>
      </c>
      <c r="D27" s="133" t="str">
        <f>IFERROR(VLOOKUP(H27,'[1]Consolidado MP Planta'!$A$2:$M$823,13,0),"")</f>
        <v/>
      </c>
      <c r="E27" s="133" t="str">
        <f>IFERROR(VLOOKUP(H27,'[1]Consolidado MP Planta'!$A$2:$M$823,12,0),"")</f>
        <v/>
      </c>
      <c r="F27" s="133" t="str">
        <f t="shared" ref="F27:F32" si="7">IFERROR(C27*E27,"")</f>
        <v/>
      </c>
      <c r="G27" s="104" t="str">
        <f t="shared" ref="G27:G32" si="8">IFERROR(F27/$F$66,"")</f>
        <v/>
      </c>
      <c r="H27" s="136"/>
      <c r="I27" s="136"/>
      <c r="J27" s="105"/>
      <c r="K27" s="274"/>
      <c r="L27" s="274"/>
    </row>
    <row r="28" spans="1:12" ht="13.5" hidden="1" x14ac:dyDescent="0.25">
      <c r="A28" s="131"/>
      <c r="B28" s="135" t="str">
        <f>IFERROR(VLOOKUP(H28,'[1]Consolidado MP Planta'!$A$2:$M$823,3,0),"")</f>
        <v/>
      </c>
      <c r="C28" s="132">
        <f t="shared" si="6"/>
        <v>0</v>
      </c>
      <c r="D28" s="133" t="str">
        <f>IFERROR(VLOOKUP(H28,'[1]Consolidado MP Planta'!$A$2:$M$823,13,0),"")</f>
        <v/>
      </c>
      <c r="E28" s="133" t="str">
        <f>IFERROR(VLOOKUP(H28,'[1]Consolidado MP Planta'!$A$2:$M$823,12,0),"")</f>
        <v/>
      </c>
      <c r="F28" s="133" t="str">
        <f t="shared" si="7"/>
        <v/>
      </c>
      <c r="G28" s="104" t="str">
        <f t="shared" si="8"/>
        <v/>
      </c>
      <c r="H28" s="136"/>
      <c r="I28" s="136"/>
      <c r="J28" s="105"/>
      <c r="K28" s="274"/>
      <c r="L28" s="274"/>
    </row>
    <row r="29" spans="1:12" ht="13.5" hidden="1" x14ac:dyDescent="0.25">
      <c r="A29" s="131"/>
      <c r="B29" s="135" t="str">
        <f>IFERROR(VLOOKUP(H29,'[1]Consolidado MP Planta'!$A$2:$M$823,3,0),"")</f>
        <v/>
      </c>
      <c r="C29" s="132">
        <f t="shared" si="6"/>
        <v>0</v>
      </c>
      <c r="D29" s="133" t="str">
        <f>IFERROR(VLOOKUP(H29,'[1]Consolidado MP Planta'!$A$2:$M$823,13,0),"")</f>
        <v/>
      </c>
      <c r="E29" s="133" t="str">
        <f>IFERROR(VLOOKUP(H29,'[1]Consolidado MP Planta'!$A$2:$M$823,12,0),"")</f>
        <v/>
      </c>
      <c r="F29" s="133" t="str">
        <f t="shared" si="7"/>
        <v/>
      </c>
      <c r="G29" s="104" t="str">
        <f t="shared" si="8"/>
        <v/>
      </c>
      <c r="H29" s="136"/>
      <c r="I29" s="136"/>
      <c r="J29" s="105"/>
      <c r="K29" s="274"/>
      <c r="L29" s="274"/>
    </row>
    <row r="30" spans="1:12" ht="13.5" hidden="1" x14ac:dyDescent="0.25">
      <c r="A30" s="131"/>
      <c r="B30" s="135" t="str">
        <f>IFERROR(VLOOKUP(H30,'[1]Consolidado MP Planta'!$A$2:$M$823,3,0),"")</f>
        <v/>
      </c>
      <c r="C30" s="132">
        <f t="shared" si="6"/>
        <v>0</v>
      </c>
      <c r="D30" s="133" t="str">
        <f>IFERROR(VLOOKUP(H30,'[1]Consolidado MP Planta'!$A$2:$M$823,13,0),"")</f>
        <v/>
      </c>
      <c r="E30" s="133" t="str">
        <f>IFERROR(VLOOKUP(H30,'[1]Consolidado MP Planta'!$A$2:$M$823,12,0),"")</f>
        <v/>
      </c>
      <c r="F30" s="133" t="str">
        <f t="shared" si="7"/>
        <v/>
      </c>
      <c r="G30" s="104" t="str">
        <f t="shared" si="8"/>
        <v/>
      </c>
      <c r="H30" s="136"/>
      <c r="I30" s="136"/>
      <c r="J30" s="105"/>
      <c r="K30" s="274"/>
      <c r="L30" s="274"/>
    </row>
    <row r="31" spans="1:12" ht="13.5" hidden="1" x14ac:dyDescent="0.25">
      <c r="A31" s="131"/>
      <c r="B31" s="135" t="str">
        <f>IFERROR(VLOOKUP(H31,'[1]Consolidado MP Planta'!$A$2:$M$823,3,0),"")</f>
        <v/>
      </c>
      <c r="C31" s="132">
        <f t="shared" si="6"/>
        <v>0</v>
      </c>
      <c r="D31" s="133" t="str">
        <f>IFERROR(VLOOKUP(H31,'[1]Consolidado MP Planta'!$A$2:$M$823,13,0),"")</f>
        <v/>
      </c>
      <c r="E31" s="133" t="str">
        <f>IFERROR(VLOOKUP(H31,'[1]Consolidado MP Planta'!$A$2:$M$823,12,0),"")</f>
        <v/>
      </c>
      <c r="F31" s="133" t="str">
        <f t="shared" si="7"/>
        <v/>
      </c>
      <c r="G31" s="104" t="str">
        <f t="shared" si="8"/>
        <v/>
      </c>
      <c r="H31" s="136"/>
      <c r="I31" s="136"/>
      <c r="J31" s="105"/>
      <c r="K31" s="137"/>
      <c r="L31" s="138"/>
    </row>
    <row r="32" spans="1:12" ht="13.5" hidden="1" x14ac:dyDescent="0.25">
      <c r="A32" s="131"/>
      <c r="B32" s="135" t="str">
        <f>IFERROR(VLOOKUP(H32,'[1]Consolidado MP Planta'!$A$2:$M$823,3,0),"")</f>
        <v/>
      </c>
      <c r="C32" s="132">
        <f t="shared" si="6"/>
        <v>0</v>
      </c>
      <c r="D32" s="133" t="str">
        <f>IFERROR(VLOOKUP(H32,'[1]Consolidado MP Planta'!$A$2:$M$823,13,0),"")</f>
        <v/>
      </c>
      <c r="E32" s="133" t="str">
        <f>IFERROR(VLOOKUP(H32,'[1]Consolidado MP Planta'!$A$2:$M$823,12,0),"")</f>
        <v/>
      </c>
      <c r="F32" s="133" t="str">
        <f t="shared" si="7"/>
        <v/>
      </c>
      <c r="G32" s="104" t="str">
        <f t="shared" si="8"/>
        <v/>
      </c>
      <c r="H32" s="136"/>
      <c r="I32" s="136"/>
      <c r="J32" s="105"/>
    </row>
    <row r="33" spans="1:13" ht="14.25" hidden="1" thickBot="1" x14ac:dyDescent="0.3">
      <c r="A33" s="131"/>
      <c r="B33" s="135"/>
      <c r="C33" s="132"/>
      <c r="D33" s="133"/>
      <c r="E33" s="133"/>
      <c r="F33" s="133"/>
      <c r="G33" s="104"/>
      <c r="H33" s="136"/>
      <c r="I33" s="136"/>
      <c r="J33" s="105"/>
    </row>
    <row r="34" spans="1:13" ht="39" thickBot="1" x14ac:dyDescent="0.25">
      <c r="A34" s="126" t="s">
        <v>132</v>
      </c>
      <c r="B34" s="127" t="s">
        <v>140</v>
      </c>
      <c r="C34" s="127" t="s">
        <v>132</v>
      </c>
      <c r="D34" s="128" t="s">
        <v>134</v>
      </c>
      <c r="E34" s="128" t="s">
        <v>135</v>
      </c>
      <c r="F34" s="128" t="s">
        <v>136</v>
      </c>
      <c r="G34" s="128" t="s">
        <v>137</v>
      </c>
      <c r="H34" s="129" t="s">
        <v>138</v>
      </c>
      <c r="I34" s="136"/>
      <c r="J34" s="105"/>
    </row>
    <row r="35" spans="1:13" ht="13.5" x14ac:dyDescent="0.25">
      <c r="A35" s="131">
        <f>+A17</f>
        <v>3400</v>
      </c>
      <c r="B35" s="135" t="s">
        <v>58</v>
      </c>
      <c r="C35" s="132">
        <f>+A35</f>
        <v>3400</v>
      </c>
      <c r="D35" s="133" t="s">
        <v>178</v>
      </c>
      <c r="E35" s="133">
        <f>+'Costo Premezcla '!E75</f>
        <v>4.5081524926686219E-2</v>
      </c>
      <c r="F35" s="133">
        <f>IFERROR(E35*C35,"")</f>
        <v>153.27718475073314</v>
      </c>
      <c r="G35" s="104">
        <f t="shared" ref="G35:G41" si="9">IFERROR(F35/$F$66,"")</f>
        <v>1.2213641956553506E-2</v>
      </c>
      <c r="H35" s="136" t="s">
        <v>179</v>
      </c>
      <c r="I35" s="136"/>
      <c r="J35" s="105"/>
    </row>
    <row r="36" spans="1:13" ht="13.5" hidden="1" x14ac:dyDescent="0.25">
      <c r="A36" s="131">
        <f t="shared" ref="A36:A41" si="10">+A18</f>
        <v>0</v>
      </c>
      <c r="B36" s="135" t="str">
        <f>IFERROR(VLOOKUP(H36,[1]SEMIELABORADOS!$A$2:$M$6000,2,0),"")</f>
        <v/>
      </c>
      <c r="C36" s="132">
        <f t="shared" ref="C36:C41" si="11">+A36</f>
        <v>0</v>
      </c>
      <c r="D36" s="133" t="str">
        <f>IFERROR(VLOOKUP(H36,[1]SEMIELABORADOS!$A$2:$M$6000,6,0),"")</f>
        <v/>
      </c>
      <c r="E36" s="133" t="str">
        <f>IFERROR(VLOOKUP(H36,[1]SEMIELABORADOS!$A$2:$M$65536,10,0),"")</f>
        <v/>
      </c>
      <c r="F36" s="133" t="str">
        <f t="shared" ref="F36:F41" si="12">IFERROR(E36*C36,"")</f>
        <v/>
      </c>
      <c r="G36" s="104" t="str">
        <f t="shared" si="9"/>
        <v/>
      </c>
      <c r="H36" s="136"/>
      <c r="I36" s="136"/>
      <c r="J36" s="105"/>
    </row>
    <row r="37" spans="1:13" ht="13.5" hidden="1" x14ac:dyDescent="0.25">
      <c r="A37" s="131">
        <f t="shared" si="10"/>
        <v>0</v>
      </c>
      <c r="B37" s="135" t="str">
        <f>IFERROR(VLOOKUP(H37,[1]SEMIELABORADOS!$A$2:$M$6000,2,0),"")</f>
        <v/>
      </c>
      <c r="C37" s="132">
        <f t="shared" si="11"/>
        <v>0</v>
      </c>
      <c r="D37" s="133" t="str">
        <f>IFERROR(VLOOKUP(H37,[1]SEMIELABORADOS!$A$2:$M$6000,6,0),"")</f>
        <v/>
      </c>
      <c r="E37" s="133" t="str">
        <f>IFERROR(VLOOKUP(H37,[1]SEMIELABORADOS!$A$2:$M$65536,10,0),"")</f>
        <v/>
      </c>
      <c r="F37" s="133" t="str">
        <f t="shared" si="12"/>
        <v/>
      </c>
      <c r="G37" s="104" t="str">
        <f t="shared" si="9"/>
        <v/>
      </c>
      <c r="H37" s="136"/>
      <c r="I37" s="136"/>
      <c r="J37" s="105"/>
    </row>
    <row r="38" spans="1:13" ht="13.5" hidden="1" x14ac:dyDescent="0.25">
      <c r="A38" s="131">
        <f t="shared" si="10"/>
        <v>0</v>
      </c>
      <c r="B38" s="135" t="str">
        <f>IFERROR(VLOOKUP(H38,[1]SEMIELABORADOS!$A$2:$M$6000,2,0),"")</f>
        <v/>
      </c>
      <c r="C38" s="132">
        <f>+A38</f>
        <v>0</v>
      </c>
      <c r="D38" s="133" t="str">
        <f>IFERROR(VLOOKUP(H38,[1]SEMIELABORADOS!$A$2:$M$6000,6,0),"")</f>
        <v/>
      </c>
      <c r="E38" s="133" t="str">
        <f>IFERROR(VLOOKUP(H38,[1]SEMIELABORADOS!$A$2:$M$65536,10,0),"")</f>
        <v/>
      </c>
      <c r="F38" s="133" t="str">
        <f>IFERROR(E38*C38,"")</f>
        <v/>
      </c>
      <c r="G38" s="104" t="str">
        <f t="shared" si="9"/>
        <v/>
      </c>
      <c r="H38" s="136"/>
      <c r="I38" s="136"/>
      <c r="J38" s="105"/>
    </row>
    <row r="39" spans="1:13" ht="13.5" hidden="1" x14ac:dyDescent="0.25">
      <c r="A39" s="131">
        <f t="shared" si="10"/>
        <v>0</v>
      </c>
      <c r="B39" s="135" t="str">
        <f>IFERROR(VLOOKUP(H39,[1]SEMIELABORADOS!$A$2:$M$6000,2,0),"")</f>
        <v/>
      </c>
      <c r="C39" s="132">
        <f>+A39</f>
        <v>0</v>
      </c>
      <c r="D39" s="133" t="str">
        <f>IFERROR(VLOOKUP(H39,[1]SEMIELABORADOS!$A$2:$M$6000,6,0),"")</f>
        <v/>
      </c>
      <c r="E39" s="133" t="str">
        <f>IFERROR(VLOOKUP(H39,[1]SEMIELABORADOS!$A$2:$M$65536,10,0),"")</f>
        <v/>
      </c>
      <c r="F39" s="133" t="str">
        <f>IFERROR(E39*C39,"")</f>
        <v/>
      </c>
      <c r="G39" s="104" t="str">
        <f t="shared" si="9"/>
        <v/>
      </c>
      <c r="H39" s="136"/>
      <c r="I39" s="136"/>
      <c r="J39" s="105"/>
    </row>
    <row r="40" spans="1:13" ht="13.5" hidden="1" x14ac:dyDescent="0.25">
      <c r="A40" s="131">
        <f t="shared" si="10"/>
        <v>0</v>
      </c>
      <c r="B40" s="135" t="str">
        <f>IFERROR(VLOOKUP(H40,[1]SEMIELABORADOS!$A$2:$M$6000,2,0),"")</f>
        <v/>
      </c>
      <c r="C40" s="132">
        <f t="shared" si="11"/>
        <v>0</v>
      </c>
      <c r="D40" s="133" t="str">
        <f>IFERROR(VLOOKUP(H40,[1]SEMIELABORADOS!$A$2:$M$6000,6,0),"")</f>
        <v/>
      </c>
      <c r="E40" s="133" t="str">
        <f>IFERROR(VLOOKUP(H40,[1]SEMIELABORADOS!$A$2:$M$65536,10,0),"")</f>
        <v/>
      </c>
      <c r="F40" s="133" t="str">
        <f t="shared" si="12"/>
        <v/>
      </c>
      <c r="G40" s="104" t="str">
        <f t="shared" si="9"/>
        <v/>
      </c>
      <c r="H40" s="136"/>
      <c r="I40" s="136"/>
      <c r="J40" s="105"/>
    </row>
    <row r="41" spans="1:13" ht="13.5" hidden="1" x14ac:dyDescent="0.25">
      <c r="A41" s="131">
        <f t="shared" si="10"/>
        <v>0</v>
      </c>
      <c r="B41" s="135" t="str">
        <f>IFERROR(VLOOKUP(H41,[1]SEMIELABORADOS!$A$2:$M$6000,2,0),"")</f>
        <v/>
      </c>
      <c r="C41" s="132">
        <f t="shared" si="11"/>
        <v>0</v>
      </c>
      <c r="D41" s="133" t="str">
        <f>IFERROR(VLOOKUP(H41,[1]SEMIELABORADOS!$A$2:$M$6000,6,0),"")</f>
        <v/>
      </c>
      <c r="E41" s="133" t="str">
        <f>IFERROR(VLOOKUP(H41,[1]SEMIELABORADOS!$A$2:$M$65536,10,0),"")</f>
        <v/>
      </c>
      <c r="F41" s="133" t="str">
        <f t="shared" si="12"/>
        <v/>
      </c>
      <c r="G41" s="104" t="str">
        <f t="shared" si="9"/>
        <v/>
      </c>
      <c r="H41" s="136"/>
      <c r="I41" s="136"/>
      <c r="J41" s="105"/>
    </row>
    <row r="42" spans="1:13" ht="14.25" thickBot="1" x14ac:dyDescent="0.3">
      <c r="A42" s="131"/>
      <c r="B42" s="135"/>
      <c r="C42" s="132"/>
      <c r="D42" s="133"/>
      <c r="E42" s="133"/>
      <c r="F42" s="133"/>
      <c r="G42" s="104"/>
      <c r="H42" s="136"/>
      <c r="I42" s="136"/>
      <c r="J42" s="105"/>
    </row>
    <row r="43" spans="1:13" ht="39" thickBot="1" x14ac:dyDescent="0.3">
      <c r="A43" s="126" t="s">
        <v>132</v>
      </c>
      <c r="B43" s="127" t="s">
        <v>141</v>
      </c>
      <c r="C43" s="127" t="s">
        <v>132</v>
      </c>
      <c r="D43" s="128" t="s">
        <v>134</v>
      </c>
      <c r="E43" s="128" t="s">
        <v>135</v>
      </c>
      <c r="F43" s="128" t="s">
        <v>136</v>
      </c>
      <c r="G43" s="128" t="s">
        <v>137</v>
      </c>
      <c r="H43" s="129" t="s">
        <v>138</v>
      </c>
      <c r="I43" s="130"/>
      <c r="J43" s="105"/>
    </row>
    <row r="44" spans="1:13" ht="13.5" x14ac:dyDescent="0.25">
      <c r="A44" s="131">
        <f>+A35</f>
        <v>3400</v>
      </c>
      <c r="B44" s="135" t="s">
        <v>58</v>
      </c>
      <c r="C44" s="132">
        <f>+A44</f>
        <v>3400</v>
      </c>
      <c r="D44" s="133" t="s">
        <v>178</v>
      </c>
      <c r="E44" s="133">
        <f>+'Costo Premezcla '!E73</f>
        <v>7.8745275039798904E-2</v>
      </c>
      <c r="F44" s="133">
        <f>IFERROR(E44*C44,"")</f>
        <v>267.7339351353163</v>
      </c>
      <c r="G44" s="104">
        <f>IFERROR(F44/$F$66,"")</f>
        <v>2.1333941047258394E-2</v>
      </c>
      <c r="H44" s="136" t="s">
        <v>179</v>
      </c>
      <c r="I44" s="130"/>
      <c r="J44" s="105"/>
    </row>
    <row r="45" spans="1:13" ht="13.5" hidden="1" x14ac:dyDescent="0.25">
      <c r="A45" s="131">
        <f t="shared" ref="A45:A50" si="13">+A36</f>
        <v>0</v>
      </c>
      <c r="B45" s="135" t="str">
        <f>IFERROR(VLOOKUP(H45,[1]SEMIELABORADOS!$A$2:$M$6000,2,0),"")</f>
        <v/>
      </c>
      <c r="C45" s="132">
        <f t="shared" ref="C45:C50" si="14">+A45</f>
        <v>0</v>
      </c>
      <c r="D45" s="133" t="str">
        <f>IFERROR(VLOOKUP(H45,[1]SEMIELABORADOS!$A$2:$M$6000,6,0),"")</f>
        <v/>
      </c>
      <c r="E45" s="133" t="str">
        <f>IFERROR(VLOOKUP(H45,[1]SEMIELABORADOS!$A$2:$M$65536,12,0),"")</f>
        <v/>
      </c>
      <c r="F45" s="133" t="str">
        <f t="shared" ref="F45:F50" si="15">IFERROR(E45*C45,"")</f>
        <v/>
      </c>
      <c r="G45" s="104" t="str">
        <f t="shared" ref="G45:G50" si="16">IFERROR(F45/$F$66,"")</f>
        <v/>
      </c>
      <c r="H45" s="136"/>
      <c r="I45" s="130"/>
      <c r="J45" s="105"/>
      <c r="M45" s="139"/>
    </row>
    <row r="46" spans="1:13" ht="13.5" hidden="1" x14ac:dyDescent="0.25">
      <c r="A46" s="131">
        <f t="shared" si="13"/>
        <v>0</v>
      </c>
      <c r="B46" s="135" t="str">
        <f>IFERROR(VLOOKUP(H46,[1]SEMIELABORADOS!$A$2:$M$6000,2,0),"")</f>
        <v/>
      </c>
      <c r="C46" s="132">
        <f t="shared" si="14"/>
        <v>0</v>
      </c>
      <c r="D46" s="133" t="str">
        <f>IFERROR(VLOOKUP(H46,[1]SEMIELABORADOS!$A$2:$M$6000,6,0),"")</f>
        <v/>
      </c>
      <c r="E46" s="133" t="str">
        <f>IFERROR(VLOOKUP(H46,[1]SEMIELABORADOS!$A$2:$M$65536,12,0),"")</f>
        <v/>
      </c>
      <c r="F46" s="133" t="str">
        <f t="shared" si="15"/>
        <v/>
      </c>
      <c r="G46" s="104" t="str">
        <f t="shared" si="16"/>
        <v/>
      </c>
      <c r="H46" s="136"/>
      <c r="I46" s="130"/>
      <c r="J46" s="105"/>
    </row>
    <row r="47" spans="1:13" ht="13.5" hidden="1" x14ac:dyDescent="0.25">
      <c r="A47" s="131">
        <f t="shared" si="13"/>
        <v>0</v>
      </c>
      <c r="B47" s="135" t="str">
        <f>IFERROR(VLOOKUP(H47,[1]SEMIELABORADOS!$A$2:$M$6000,2,0),"")</f>
        <v/>
      </c>
      <c r="C47" s="132">
        <f t="shared" si="14"/>
        <v>0</v>
      </c>
      <c r="D47" s="133" t="str">
        <f>IFERROR(VLOOKUP(H47,[1]SEMIELABORADOS!$A$2:$M$6000,6,0),"")</f>
        <v/>
      </c>
      <c r="E47" s="133" t="str">
        <f>IFERROR(VLOOKUP(H47,[1]SEMIELABORADOS!$A$2:$M$65536,12,0),"")</f>
        <v/>
      </c>
      <c r="F47" s="133" t="str">
        <f t="shared" si="15"/>
        <v/>
      </c>
      <c r="G47" s="104" t="str">
        <f t="shared" si="16"/>
        <v/>
      </c>
      <c r="H47" s="136"/>
      <c r="I47" s="130"/>
      <c r="J47" s="105"/>
    </row>
    <row r="48" spans="1:13" ht="13.5" hidden="1" x14ac:dyDescent="0.25">
      <c r="A48" s="131">
        <f t="shared" si="13"/>
        <v>0</v>
      </c>
      <c r="B48" s="135" t="str">
        <f>IFERROR(VLOOKUP(H48,[1]SEMIELABORADOS!$A$2:$M$6000,2,0),"")</f>
        <v/>
      </c>
      <c r="C48" s="132">
        <f t="shared" si="14"/>
        <v>0</v>
      </c>
      <c r="D48" s="133" t="str">
        <f>IFERROR(VLOOKUP(H48,[1]SEMIELABORADOS!$A$2:$M$6000,6,0),"")</f>
        <v/>
      </c>
      <c r="E48" s="133" t="str">
        <f>IFERROR(VLOOKUP(H48,[1]SEMIELABORADOS!$A$2:$M$65536,12,0),"")</f>
        <v/>
      </c>
      <c r="F48" s="133" t="str">
        <f t="shared" si="15"/>
        <v/>
      </c>
      <c r="G48" s="104" t="str">
        <f t="shared" si="16"/>
        <v/>
      </c>
      <c r="H48" s="136"/>
      <c r="I48" s="130"/>
      <c r="J48" s="105"/>
    </row>
    <row r="49" spans="1:17" ht="13.5" hidden="1" x14ac:dyDescent="0.25">
      <c r="A49" s="131">
        <f t="shared" si="13"/>
        <v>0</v>
      </c>
      <c r="B49" s="135" t="str">
        <f>IFERROR(VLOOKUP(H49,[1]SEMIELABORADOS!$A$2:$M$6000,2,0),"")</f>
        <v/>
      </c>
      <c r="C49" s="132">
        <f t="shared" si="14"/>
        <v>0</v>
      </c>
      <c r="D49" s="133" t="str">
        <f>IFERROR(VLOOKUP(H49,[1]SEMIELABORADOS!$A$2:$M$6000,6,0),"")</f>
        <v/>
      </c>
      <c r="E49" s="133" t="str">
        <f>IFERROR(VLOOKUP(H49,[1]SEMIELABORADOS!$A$2:$M$65536,12,0),"")</f>
        <v/>
      </c>
      <c r="F49" s="133" t="str">
        <f t="shared" si="15"/>
        <v/>
      </c>
      <c r="G49" s="104" t="str">
        <f t="shared" si="16"/>
        <v/>
      </c>
      <c r="H49" s="136"/>
      <c r="I49" s="130"/>
      <c r="J49" s="105"/>
    </row>
    <row r="50" spans="1:17" ht="13.5" hidden="1" x14ac:dyDescent="0.25">
      <c r="A50" s="131">
        <f t="shared" si="13"/>
        <v>0</v>
      </c>
      <c r="B50" s="135" t="str">
        <f>IFERROR(VLOOKUP(H50,[1]SEMIELABORADOS!$A$2:$M$6000,2,0),"")</f>
        <v/>
      </c>
      <c r="C50" s="132">
        <f t="shared" si="14"/>
        <v>0</v>
      </c>
      <c r="D50" s="133" t="str">
        <f>IFERROR(VLOOKUP(H50,[1]SEMIELABORADOS!$A$2:$M$6000,6,0),"")</f>
        <v/>
      </c>
      <c r="E50" s="133" t="str">
        <f>IFERROR(VLOOKUP(H50,[1]SEMIELABORADOS!$A$2:$M$65536,12,0),"")</f>
        <v/>
      </c>
      <c r="F50" s="133" t="str">
        <f t="shared" si="15"/>
        <v/>
      </c>
      <c r="G50" s="104" t="str">
        <f t="shared" si="16"/>
        <v/>
      </c>
      <c r="H50" s="135"/>
      <c r="I50" s="130"/>
      <c r="J50" s="105"/>
    </row>
    <row r="51" spans="1:17" ht="13.5" x14ac:dyDescent="0.25">
      <c r="A51" s="131">
        <v>1</v>
      </c>
      <c r="B51" s="135" t="s">
        <v>142</v>
      </c>
      <c r="C51" s="132">
        <f>+A51</f>
        <v>1</v>
      </c>
      <c r="D51" s="132" t="s">
        <v>143</v>
      </c>
      <c r="E51" s="133">
        <f>+F65</f>
        <v>580</v>
      </c>
      <c r="F51" s="133">
        <f>IFERROR(C51*E51,"")</f>
        <v>580</v>
      </c>
      <c r="G51" s="104">
        <f>IFERROR(F51/$F$66,"")</f>
        <v>4.621635207040916E-2</v>
      </c>
      <c r="H51" s="140"/>
      <c r="I51" s="140"/>
      <c r="J51" s="105"/>
    </row>
    <row r="52" spans="1:17" ht="14.25" thickBot="1" x14ac:dyDescent="0.3">
      <c r="A52" s="131"/>
      <c r="B52" s="135"/>
      <c r="C52" s="132"/>
      <c r="D52" s="132"/>
      <c r="E52" s="133"/>
      <c r="F52" s="133"/>
      <c r="G52" s="104"/>
      <c r="H52" s="140"/>
      <c r="I52" s="140"/>
      <c r="J52" s="105"/>
    </row>
    <row r="53" spans="1:17" ht="13.5" thickBot="1" x14ac:dyDescent="0.3">
      <c r="A53" s="141"/>
      <c r="B53" s="277" t="s">
        <v>144</v>
      </c>
      <c r="C53" s="277"/>
      <c r="D53" s="277"/>
      <c r="E53" s="277"/>
      <c r="F53" s="143">
        <f>SUM(F8:F14,F17:F24)</f>
        <v>11584.699536656892</v>
      </c>
      <c r="G53" s="104">
        <f>+F53/$F$66</f>
        <v>0.92310784899317377</v>
      </c>
      <c r="H53" s="144">
        <f>+F53/$D$60</f>
        <v>643.59441870316061</v>
      </c>
      <c r="I53" s="144"/>
      <c r="J53" s="110"/>
      <c r="K53" s="145"/>
      <c r="L53" s="145"/>
      <c r="M53" s="145"/>
      <c r="N53" s="145"/>
      <c r="O53" s="145"/>
      <c r="P53" s="145"/>
      <c r="Q53" s="146"/>
    </row>
    <row r="54" spans="1:17" x14ac:dyDescent="0.2">
      <c r="A54" s="141"/>
      <c r="B54" s="277" t="s">
        <v>145</v>
      </c>
      <c r="C54" s="277"/>
      <c r="D54" s="277"/>
      <c r="E54" s="277"/>
      <c r="F54" s="143">
        <f>SUM(F27:F32,F35:F41)</f>
        <v>153.27718475073314</v>
      </c>
      <c r="G54" s="104">
        <f>+F54/$F$66</f>
        <v>1.2213641956553506E-2</v>
      </c>
      <c r="H54" s="144">
        <f>+F54/$D$60</f>
        <v>8.5153991528185085</v>
      </c>
      <c r="I54" s="144"/>
      <c r="J54" s="147"/>
      <c r="K54" s="286" t="s">
        <v>146</v>
      </c>
      <c r="L54" s="287"/>
      <c r="M54" s="287"/>
      <c r="N54" s="287"/>
      <c r="O54" s="148">
        <f>+F55</f>
        <v>11737.976721407626</v>
      </c>
      <c r="P54" s="148"/>
      <c r="Q54" s="149"/>
    </row>
    <row r="55" spans="1:17" x14ac:dyDescent="0.2">
      <c r="A55" s="141"/>
      <c r="B55" s="277" t="s">
        <v>147</v>
      </c>
      <c r="C55" s="277"/>
      <c r="D55" s="277"/>
      <c r="E55" s="277"/>
      <c r="F55" s="143">
        <f>+F53+F54</f>
        <v>11737.976721407626</v>
      </c>
      <c r="G55" s="104">
        <f>+F55/$F$66</f>
        <v>0.93532149094972739</v>
      </c>
      <c r="H55" s="144">
        <f>+F55/$D$60</f>
        <v>652.10981785597914</v>
      </c>
      <c r="I55" s="144"/>
      <c r="J55" s="111"/>
      <c r="K55" s="150"/>
      <c r="M55" s="151" t="s">
        <v>148</v>
      </c>
      <c r="N55" s="152"/>
      <c r="O55" s="148">
        <f>+H56</f>
        <v>47.096329729739793</v>
      </c>
      <c r="P55" s="148"/>
      <c r="Q55" s="149"/>
    </row>
    <row r="56" spans="1:17" ht="13.5" thickBot="1" x14ac:dyDescent="0.25">
      <c r="A56" s="141"/>
      <c r="B56" s="142"/>
      <c r="C56" s="277" t="s">
        <v>149</v>
      </c>
      <c r="D56" s="277"/>
      <c r="E56" s="277"/>
      <c r="F56" s="143">
        <f>SUM(F44:F51)</f>
        <v>847.7339351353163</v>
      </c>
      <c r="G56" s="104">
        <f>+F56/$F$66</f>
        <v>6.7550293117667554E-2</v>
      </c>
      <c r="H56" s="144">
        <f>+F56/$D$60</f>
        <v>47.096329729739793</v>
      </c>
      <c r="I56" s="144"/>
      <c r="J56" s="111"/>
      <c r="K56" s="150"/>
      <c r="L56" s="150"/>
      <c r="M56" s="150" t="s">
        <v>150</v>
      </c>
      <c r="N56" s="113"/>
      <c r="O56" s="148">
        <f>O54*N56</f>
        <v>0</v>
      </c>
      <c r="P56" s="148"/>
      <c r="Q56" s="149"/>
    </row>
    <row r="57" spans="1:17" ht="13.5" thickBot="1" x14ac:dyDescent="0.25">
      <c r="A57" s="141"/>
      <c r="B57" s="153"/>
      <c r="C57" s="153"/>
      <c r="D57" s="153"/>
      <c r="E57" s="153"/>
      <c r="F57" s="154"/>
      <c r="G57" s="104"/>
      <c r="H57" s="155"/>
      <c r="I57" s="144"/>
      <c r="J57" s="111"/>
      <c r="K57" s="156"/>
      <c r="M57" s="157" t="s">
        <v>151</v>
      </c>
      <c r="N57" s="158"/>
      <c r="O57" s="159">
        <f>SUM(O54:O56)</f>
        <v>11785.073051137366</v>
      </c>
      <c r="P57" s="160"/>
      <c r="Q57" s="149"/>
    </row>
    <row r="58" spans="1:17" x14ac:dyDescent="0.2">
      <c r="B58" s="292" t="s">
        <v>152</v>
      </c>
      <c r="C58" s="292"/>
      <c r="D58" s="161">
        <v>5040</v>
      </c>
      <c r="E58" s="162"/>
      <c r="G58" s="104"/>
      <c r="H58" s="155"/>
      <c r="I58" s="163"/>
      <c r="J58" s="111"/>
      <c r="K58" s="156"/>
      <c r="L58" s="150"/>
      <c r="M58" s="150" t="s">
        <v>153</v>
      </c>
      <c r="N58" s="109">
        <v>0.16</v>
      </c>
      <c r="O58" s="148">
        <f>+O54*N58</f>
        <v>1878.07627542522</v>
      </c>
      <c r="P58" s="148"/>
      <c r="Q58" s="149"/>
    </row>
    <row r="59" spans="1:17" x14ac:dyDescent="0.2">
      <c r="B59" s="292" t="s">
        <v>154</v>
      </c>
      <c r="C59" s="292"/>
      <c r="D59" s="164">
        <v>280</v>
      </c>
      <c r="E59" s="162"/>
      <c r="G59" s="104"/>
      <c r="H59" s="155"/>
      <c r="I59" s="163"/>
      <c r="J59" s="111"/>
      <c r="K59" s="156"/>
      <c r="L59" s="150"/>
      <c r="M59" s="285" t="s">
        <v>151</v>
      </c>
      <c r="N59" s="285"/>
      <c r="O59" s="148">
        <f>SUM(O57:O58)</f>
        <v>13663.149326562587</v>
      </c>
      <c r="P59" s="148"/>
      <c r="Q59" s="149"/>
    </row>
    <row r="60" spans="1:17" ht="13.5" thickBot="1" x14ac:dyDescent="0.25">
      <c r="B60" s="283" t="s">
        <v>155</v>
      </c>
      <c r="C60" s="283"/>
      <c r="D60" s="161">
        <f>+D58/D59</f>
        <v>18</v>
      </c>
      <c r="E60" s="162"/>
      <c r="F60" s="165"/>
      <c r="G60" s="104"/>
      <c r="H60" s="155"/>
      <c r="I60" s="163"/>
      <c r="J60" s="111"/>
      <c r="K60" s="156"/>
      <c r="L60" s="285"/>
      <c r="M60" s="285"/>
      <c r="N60" s="109"/>
      <c r="O60" s="148">
        <f>+O59*N60</f>
        <v>0</v>
      </c>
      <c r="P60" s="148"/>
      <c r="Q60" s="149"/>
    </row>
    <row r="61" spans="1:17" ht="13.5" thickBot="1" x14ac:dyDescent="0.25">
      <c r="B61" s="283" t="s">
        <v>156</v>
      </c>
      <c r="C61" s="283"/>
      <c r="D61" s="166"/>
      <c r="E61" s="162"/>
      <c r="F61" s="165"/>
      <c r="G61" s="104"/>
      <c r="H61" s="155"/>
      <c r="I61" s="163"/>
      <c r="J61" s="111"/>
      <c r="K61" s="289" t="s">
        <v>157</v>
      </c>
      <c r="L61" s="290"/>
      <c r="M61" s="290"/>
      <c r="N61" s="291"/>
      <c r="O61" s="159">
        <f>SUM(O59:O60)</f>
        <v>13663.149326562587</v>
      </c>
      <c r="P61" s="167" t="s">
        <v>158</v>
      </c>
      <c r="Q61" s="149"/>
    </row>
    <row r="62" spans="1:17" ht="13.5" thickBot="1" x14ac:dyDescent="0.25">
      <c r="C62" s="141" t="s">
        <v>159</v>
      </c>
      <c r="D62" s="168"/>
      <c r="E62" s="117" t="s">
        <v>160</v>
      </c>
      <c r="F62" s="169" t="s">
        <v>161</v>
      </c>
      <c r="G62" s="104"/>
      <c r="H62" s="155"/>
      <c r="I62" s="163"/>
      <c r="J62" s="170"/>
      <c r="K62" s="171"/>
      <c r="L62" s="278" t="s">
        <v>162</v>
      </c>
      <c r="M62" s="278"/>
      <c r="N62" s="278"/>
      <c r="O62" s="172">
        <f>+O61/D60</f>
        <v>759.06385147569927</v>
      </c>
      <c r="P62" s="173">
        <f>+O62/D59</f>
        <v>2.7109423266989259</v>
      </c>
      <c r="Q62" s="174"/>
    </row>
    <row r="63" spans="1:17" ht="13.5" thickBot="1" x14ac:dyDescent="0.25">
      <c r="B63" s="284" t="s">
        <v>147</v>
      </c>
      <c r="C63" s="284"/>
      <c r="D63" s="284"/>
      <c r="E63" s="106">
        <f>+F63/F63</f>
        <v>1</v>
      </c>
      <c r="F63" s="175">
        <f>SUM(F55)</f>
        <v>11737.976721407626</v>
      </c>
      <c r="G63" s="104">
        <f>+F63/$F$66</f>
        <v>0.93532149094972739</v>
      </c>
      <c r="H63" s="155"/>
      <c r="I63" s="163"/>
      <c r="K63" s="275"/>
      <c r="L63" s="276"/>
      <c r="M63" s="276"/>
      <c r="N63" s="276"/>
      <c r="O63" s="176"/>
      <c r="P63" s="177"/>
    </row>
    <row r="64" spans="1:17" ht="13.5" thickBot="1" x14ac:dyDescent="0.3">
      <c r="B64" s="293" t="s">
        <v>163</v>
      </c>
      <c r="C64" s="293"/>
      <c r="D64" s="293"/>
      <c r="E64" s="178">
        <v>0.02</v>
      </c>
      <c r="F64" s="175">
        <f>+F53*E64</f>
        <v>231.69399073313784</v>
      </c>
      <c r="G64" s="104">
        <f>+F64/$F$66</f>
        <v>1.8462156979863475E-2</v>
      </c>
      <c r="H64" s="144"/>
      <c r="I64" s="163"/>
      <c r="J64" s="112"/>
      <c r="O64" s="179"/>
      <c r="P64" s="142"/>
    </row>
    <row r="65" spans="2:13" ht="13.5" thickBot="1" x14ac:dyDescent="0.3">
      <c r="B65" s="268" t="s">
        <v>164</v>
      </c>
      <c r="C65" s="269"/>
      <c r="D65" s="180">
        <v>10</v>
      </c>
      <c r="E65" s="181">
        <v>58</v>
      </c>
      <c r="F65" s="175">
        <f>+E65*D65</f>
        <v>580</v>
      </c>
      <c r="G65" s="104">
        <f>+F65/$F$66</f>
        <v>4.621635207040916E-2</v>
      </c>
      <c r="H65" s="144"/>
      <c r="I65" s="144"/>
      <c r="J65" s="105"/>
    </row>
    <row r="66" spans="2:13" ht="13.5" thickBot="1" x14ac:dyDescent="0.3">
      <c r="B66" s="265" t="s">
        <v>165</v>
      </c>
      <c r="C66" s="266"/>
      <c r="D66" s="266"/>
      <c r="E66" s="267"/>
      <c r="F66" s="154">
        <f>SUM(F63:F65)</f>
        <v>12549.670712140763</v>
      </c>
      <c r="G66" s="104">
        <f>+F66/$F$66</f>
        <v>1</v>
      </c>
      <c r="H66" s="288"/>
      <c r="I66" s="144"/>
      <c r="J66" s="105"/>
      <c r="M66" s="119" t="s">
        <v>166</v>
      </c>
    </row>
    <row r="67" spans="2:13" x14ac:dyDescent="0.25">
      <c r="C67" s="139"/>
      <c r="D67" s="139"/>
      <c r="E67" s="183"/>
      <c r="F67" s="175"/>
      <c r="G67" s="104"/>
      <c r="H67" s="288"/>
      <c r="I67" s="182"/>
      <c r="J67" s="119"/>
      <c r="M67" s="119" t="s">
        <v>167</v>
      </c>
    </row>
    <row r="68" spans="2:13" ht="13.5" thickBot="1" x14ac:dyDescent="0.3">
      <c r="B68" s="264" t="s">
        <v>168</v>
      </c>
      <c r="C68" s="264"/>
      <c r="D68" s="264"/>
      <c r="E68" s="264"/>
      <c r="F68" s="264"/>
      <c r="G68" s="104"/>
      <c r="H68" s="185"/>
      <c r="I68" s="182"/>
      <c r="J68" s="119"/>
    </row>
    <row r="69" spans="2:13" ht="13.5" thickBot="1" x14ac:dyDescent="0.3">
      <c r="B69" s="186" t="s">
        <v>169</v>
      </c>
      <c r="C69" s="187">
        <f>+F53</f>
        <v>11584.699536656892</v>
      </c>
      <c r="D69" s="187">
        <f>+D58</f>
        <v>5040</v>
      </c>
      <c r="E69" s="188">
        <f>+C69/D69</f>
        <v>2.298551495368431</v>
      </c>
      <c r="F69" s="104"/>
      <c r="G69" s="185"/>
      <c r="H69" s="105"/>
      <c r="I69" s="185"/>
      <c r="J69" s="119"/>
    </row>
    <row r="70" spans="2:13" x14ac:dyDescent="0.25">
      <c r="B70" s="189"/>
      <c r="C70" s="190"/>
      <c r="D70" s="191"/>
      <c r="E70" s="175"/>
      <c r="F70" s="104"/>
      <c r="G70" s="185"/>
      <c r="H70" s="105"/>
      <c r="I70" s="105"/>
      <c r="J70" s="119"/>
    </row>
    <row r="71" spans="2:13" x14ac:dyDescent="0.25">
      <c r="B71" s="186" t="s">
        <v>170</v>
      </c>
      <c r="C71" s="187">
        <f>SUM(F63:F64)</f>
        <v>11969.670712140763</v>
      </c>
      <c r="D71" s="187">
        <f>+D58</f>
        <v>5040</v>
      </c>
      <c r="E71" s="192">
        <f>+C71/D71</f>
        <v>2.3749346651072942</v>
      </c>
      <c r="F71" s="104"/>
      <c r="G71" s="185"/>
      <c r="H71" s="105"/>
      <c r="I71" s="105"/>
      <c r="J71" s="119"/>
    </row>
    <row r="72" spans="2:13" x14ac:dyDescent="0.25">
      <c r="B72" s="186"/>
      <c r="C72" s="187"/>
      <c r="D72" s="187"/>
      <c r="E72" s="192"/>
      <c r="F72" s="104"/>
      <c r="G72" s="185"/>
      <c r="H72" s="105"/>
      <c r="I72" s="105"/>
      <c r="J72" s="119"/>
    </row>
    <row r="73" spans="2:13" ht="13.5" thickBot="1" x14ac:dyDescent="0.3">
      <c r="B73" s="186" t="s">
        <v>171</v>
      </c>
      <c r="C73" s="187">
        <f>+F65</f>
        <v>580</v>
      </c>
      <c r="D73" s="187">
        <f>+D58</f>
        <v>5040</v>
      </c>
      <c r="E73" s="192">
        <f>+C73/D73</f>
        <v>0.11507936507936507</v>
      </c>
      <c r="F73" s="104"/>
      <c r="G73" s="185"/>
      <c r="H73" s="105"/>
      <c r="I73" s="105"/>
      <c r="J73" s="119"/>
    </row>
    <row r="74" spans="2:13" ht="13.5" thickBot="1" x14ac:dyDescent="0.3">
      <c r="B74" s="186" t="s">
        <v>172</v>
      </c>
      <c r="C74" s="187">
        <f>+F56</f>
        <v>847.7339351353163</v>
      </c>
      <c r="D74" s="187">
        <f>+D73</f>
        <v>5040</v>
      </c>
      <c r="E74" s="188">
        <f>+C74/D74</f>
        <v>0.16820117760621356</v>
      </c>
      <c r="F74" s="104"/>
      <c r="G74" s="185"/>
      <c r="H74" s="105"/>
      <c r="I74" s="105"/>
      <c r="J74" s="119"/>
    </row>
    <row r="75" spans="2:13" ht="13.5" thickBot="1" x14ac:dyDescent="0.3">
      <c r="B75" s="153"/>
      <c r="C75" s="154"/>
      <c r="D75" s="154"/>
      <c r="E75" s="192"/>
      <c r="F75" s="104"/>
      <c r="G75" s="185"/>
      <c r="H75" s="105"/>
      <c r="I75" s="105"/>
      <c r="J75" s="119"/>
    </row>
    <row r="76" spans="2:13" ht="13.5" thickBot="1" x14ac:dyDescent="0.3">
      <c r="B76" s="186" t="s">
        <v>173</v>
      </c>
      <c r="C76" s="187">
        <f>+F54</f>
        <v>153.27718475073314</v>
      </c>
      <c r="D76" s="187">
        <f>+D74</f>
        <v>5040</v>
      </c>
      <c r="E76" s="188">
        <f>+C76/D76</f>
        <v>3.0412139831494669E-2</v>
      </c>
      <c r="F76" s="104"/>
      <c r="G76" s="185"/>
      <c r="H76" s="105"/>
      <c r="I76" s="105"/>
      <c r="J76" s="105"/>
    </row>
    <row r="77" spans="2:13" ht="13.5" thickBot="1" x14ac:dyDescent="0.3">
      <c r="B77" s="153"/>
      <c r="C77" s="154"/>
      <c r="D77" s="154"/>
      <c r="E77" s="192"/>
      <c r="F77" s="104"/>
      <c r="G77" s="185"/>
      <c r="H77" s="105"/>
      <c r="I77" s="105"/>
    </row>
    <row r="78" spans="2:13" ht="13.5" thickBot="1" x14ac:dyDescent="0.3">
      <c r="B78" s="270" t="s">
        <v>174</v>
      </c>
      <c r="C78" s="271"/>
      <c r="D78" s="272"/>
      <c r="E78" s="188">
        <f>+E69+E74</f>
        <v>2.4667526729746445</v>
      </c>
      <c r="G78" s="104"/>
      <c r="H78" s="185"/>
      <c r="I78" s="105"/>
      <c r="J78" s="192"/>
    </row>
    <row r="79" spans="2:13" x14ac:dyDescent="0.25">
      <c r="I79" s="185"/>
      <c r="J79" s="119"/>
    </row>
    <row r="80" spans="2:13" ht="13.5" thickBot="1" x14ac:dyDescent="0.3">
      <c r="B80" s="264" t="s">
        <v>175</v>
      </c>
      <c r="C80" s="264"/>
      <c r="D80" s="264"/>
      <c r="E80" s="264"/>
      <c r="F80" s="264"/>
      <c r="G80" s="104"/>
      <c r="H80" s="185"/>
      <c r="J80" s="119"/>
    </row>
    <row r="81" spans="1:10" ht="13.5" thickBot="1" x14ac:dyDescent="0.3">
      <c r="B81" s="186" t="s">
        <v>169</v>
      </c>
      <c r="C81" s="187">
        <f>+C69</f>
        <v>11584.699536656892</v>
      </c>
      <c r="D81" s="187">
        <f>+D60</f>
        <v>18</v>
      </c>
      <c r="E81" s="188">
        <f>+C81/D81</f>
        <v>643.59441870316061</v>
      </c>
      <c r="F81" s="104"/>
      <c r="G81" s="185"/>
      <c r="H81" s="105"/>
      <c r="I81" s="185"/>
      <c r="J81" s="119"/>
    </row>
    <row r="82" spans="1:10" x14ac:dyDescent="0.25">
      <c r="B82" s="189"/>
      <c r="C82" s="190"/>
      <c r="D82" s="191"/>
      <c r="E82" s="175"/>
      <c r="F82" s="104"/>
      <c r="G82" s="185"/>
      <c r="H82" s="105"/>
      <c r="I82" s="105"/>
      <c r="J82" s="119"/>
    </row>
    <row r="83" spans="1:10" x14ac:dyDescent="0.25">
      <c r="B83" s="186" t="s">
        <v>170</v>
      </c>
      <c r="C83" s="187">
        <f>+C71</f>
        <v>11969.670712140763</v>
      </c>
      <c r="D83" s="187">
        <f>+D60</f>
        <v>18</v>
      </c>
      <c r="E83" s="192">
        <f>+C83/D83</f>
        <v>664.98170623004239</v>
      </c>
      <c r="F83" s="104"/>
      <c r="G83" s="185"/>
      <c r="H83" s="105"/>
      <c r="I83" s="105"/>
      <c r="J83" s="119"/>
    </row>
    <row r="84" spans="1:10" x14ac:dyDescent="0.25">
      <c r="B84" s="186"/>
      <c r="C84" s="187"/>
      <c r="D84" s="187"/>
      <c r="E84" s="192"/>
      <c r="F84" s="104"/>
      <c r="G84" s="185"/>
      <c r="H84" s="105"/>
      <c r="I84" s="105"/>
      <c r="J84" s="119"/>
    </row>
    <row r="85" spans="1:10" ht="13.5" thickBot="1" x14ac:dyDescent="0.3">
      <c r="B85" s="186" t="s">
        <v>172</v>
      </c>
      <c r="C85" s="187">
        <f>+C73</f>
        <v>580</v>
      </c>
      <c r="D85" s="187">
        <f>+D60</f>
        <v>18</v>
      </c>
      <c r="E85" s="192">
        <f>+C85/D85</f>
        <v>32.222222222222221</v>
      </c>
      <c r="F85" s="193"/>
      <c r="G85" s="184"/>
      <c r="H85" s="118"/>
      <c r="I85" s="105"/>
    </row>
    <row r="86" spans="1:10" ht="13.5" thickBot="1" x14ac:dyDescent="0.3">
      <c r="B86" s="186" t="s">
        <v>172</v>
      </c>
      <c r="C86" s="187">
        <f>+C74</f>
        <v>847.7339351353163</v>
      </c>
      <c r="D86" s="187">
        <f>+D85</f>
        <v>18</v>
      </c>
      <c r="E86" s="188">
        <f>+C86/D86</f>
        <v>47.096329729739793</v>
      </c>
      <c r="F86" s="107"/>
      <c r="G86" s="184"/>
      <c r="H86" s="118"/>
      <c r="I86" s="118"/>
    </row>
    <row r="87" spans="1:10" x14ac:dyDescent="0.25">
      <c r="I87" s="118"/>
    </row>
    <row r="88" spans="1:10" x14ac:dyDescent="0.2">
      <c r="A88" s="263"/>
      <c r="B88" s="263"/>
      <c r="C88" s="194"/>
      <c r="D88" s="194"/>
      <c r="E88" s="195"/>
      <c r="G88" s="108"/>
    </row>
    <row r="89" spans="1:10" x14ac:dyDescent="0.2">
      <c r="A89" s="135"/>
      <c r="B89" s="196"/>
      <c r="C89" s="197"/>
      <c r="D89" s="197"/>
      <c r="E89" s="198"/>
      <c r="G89" s="108"/>
    </row>
    <row r="90" spans="1:10" x14ac:dyDescent="0.2">
      <c r="A90" s="135"/>
      <c r="B90" s="196"/>
      <c r="C90" s="199"/>
      <c r="D90" s="199"/>
      <c r="E90" s="135"/>
      <c r="G90" s="108"/>
    </row>
    <row r="91" spans="1:10" x14ac:dyDescent="0.2">
      <c r="A91" s="135"/>
      <c r="B91" s="196"/>
      <c r="C91" s="200"/>
      <c r="D91" s="200"/>
      <c r="E91" s="135"/>
      <c r="G91" s="108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22181-C482-4CAB-AE5C-BB01FC0F8940}">
  <dimension ref="A1:L29"/>
  <sheetViews>
    <sheetView workbookViewId="0">
      <selection activeCell="B9" sqref="B9"/>
    </sheetView>
  </sheetViews>
  <sheetFormatPr baseColWidth="10" defaultColWidth="9.140625" defaultRowHeight="13.5" x14ac:dyDescent="0.25"/>
  <cols>
    <col min="1" max="1" width="16.140625" style="28" customWidth="1"/>
    <col min="2" max="2" width="40.5703125" style="28" customWidth="1"/>
    <col min="3" max="3" width="15.5703125" style="28" customWidth="1"/>
    <col min="4" max="4" width="9.140625" style="28"/>
    <col min="5" max="5" width="13.140625" style="28" customWidth="1"/>
    <col min="6" max="6" width="12.5703125" style="28" customWidth="1"/>
    <col min="7" max="7" width="15.5703125" style="28" customWidth="1"/>
    <col min="8" max="8" width="16" style="28" customWidth="1"/>
    <col min="9" max="256" width="9.140625" style="28"/>
    <col min="257" max="257" width="16.140625" style="28" customWidth="1"/>
    <col min="258" max="258" width="40.5703125" style="28" customWidth="1"/>
    <col min="259" max="259" width="15.5703125" style="28" customWidth="1"/>
    <col min="260" max="260" width="9.140625" style="28"/>
    <col min="261" max="261" width="13.140625" style="28" customWidth="1"/>
    <col min="262" max="262" width="12.5703125" style="28" customWidth="1"/>
    <col min="263" max="263" width="15.5703125" style="28" customWidth="1"/>
    <col min="264" max="264" width="16" style="28" customWidth="1"/>
    <col min="265" max="512" width="9.140625" style="28"/>
    <col min="513" max="513" width="16.140625" style="28" customWidth="1"/>
    <col min="514" max="514" width="40.5703125" style="28" customWidth="1"/>
    <col min="515" max="515" width="15.5703125" style="28" customWidth="1"/>
    <col min="516" max="516" width="9.140625" style="28"/>
    <col min="517" max="517" width="13.140625" style="28" customWidth="1"/>
    <col min="518" max="518" width="12.5703125" style="28" customWidth="1"/>
    <col min="519" max="519" width="15.5703125" style="28" customWidth="1"/>
    <col min="520" max="520" width="16" style="28" customWidth="1"/>
    <col min="521" max="768" width="9.140625" style="28"/>
    <col min="769" max="769" width="16.140625" style="28" customWidth="1"/>
    <col min="770" max="770" width="40.5703125" style="28" customWidth="1"/>
    <col min="771" max="771" width="15.5703125" style="28" customWidth="1"/>
    <col min="772" max="772" width="9.140625" style="28"/>
    <col min="773" max="773" width="13.140625" style="28" customWidth="1"/>
    <col min="774" max="774" width="12.5703125" style="28" customWidth="1"/>
    <col min="775" max="775" width="15.5703125" style="28" customWidth="1"/>
    <col min="776" max="776" width="16" style="28" customWidth="1"/>
    <col min="777" max="1024" width="9.140625" style="28"/>
    <col min="1025" max="1025" width="16.140625" style="28" customWidth="1"/>
    <col min="1026" max="1026" width="40.5703125" style="28" customWidth="1"/>
    <col min="1027" max="1027" width="15.5703125" style="28" customWidth="1"/>
    <col min="1028" max="1028" width="9.140625" style="28"/>
    <col min="1029" max="1029" width="13.140625" style="28" customWidth="1"/>
    <col min="1030" max="1030" width="12.5703125" style="28" customWidth="1"/>
    <col min="1031" max="1031" width="15.5703125" style="28" customWidth="1"/>
    <col min="1032" max="1032" width="16" style="28" customWidth="1"/>
    <col min="1033" max="1280" width="9.140625" style="28"/>
    <col min="1281" max="1281" width="16.140625" style="28" customWidth="1"/>
    <col min="1282" max="1282" width="40.5703125" style="28" customWidth="1"/>
    <col min="1283" max="1283" width="15.5703125" style="28" customWidth="1"/>
    <col min="1284" max="1284" width="9.140625" style="28"/>
    <col min="1285" max="1285" width="13.140625" style="28" customWidth="1"/>
    <col min="1286" max="1286" width="12.5703125" style="28" customWidth="1"/>
    <col min="1287" max="1287" width="15.5703125" style="28" customWidth="1"/>
    <col min="1288" max="1288" width="16" style="28" customWidth="1"/>
    <col min="1289" max="1536" width="9.140625" style="28"/>
    <col min="1537" max="1537" width="16.140625" style="28" customWidth="1"/>
    <col min="1538" max="1538" width="40.5703125" style="28" customWidth="1"/>
    <col min="1539" max="1539" width="15.5703125" style="28" customWidth="1"/>
    <col min="1540" max="1540" width="9.140625" style="28"/>
    <col min="1541" max="1541" width="13.140625" style="28" customWidth="1"/>
    <col min="1542" max="1542" width="12.5703125" style="28" customWidth="1"/>
    <col min="1543" max="1543" width="15.5703125" style="28" customWidth="1"/>
    <col min="1544" max="1544" width="16" style="28" customWidth="1"/>
    <col min="1545" max="1792" width="9.140625" style="28"/>
    <col min="1793" max="1793" width="16.140625" style="28" customWidth="1"/>
    <col min="1794" max="1794" width="40.5703125" style="28" customWidth="1"/>
    <col min="1795" max="1795" width="15.5703125" style="28" customWidth="1"/>
    <col min="1796" max="1796" width="9.140625" style="28"/>
    <col min="1797" max="1797" width="13.140625" style="28" customWidth="1"/>
    <col min="1798" max="1798" width="12.5703125" style="28" customWidth="1"/>
    <col min="1799" max="1799" width="15.5703125" style="28" customWidth="1"/>
    <col min="1800" max="1800" width="16" style="28" customWidth="1"/>
    <col min="1801" max="2048" width="9.140625" style="28"/>
    <col min="2049" max="2049" width="16.140625" style="28" customWidth="1"/>
    <col min="2050" max="2050" width="40.5703125" style="28" customWidth="1"/>
    <col min="2051" max="2051" width="15.5703125" style="28" customWidth="1"/>
    <col min="2052" max="2052" width="9.140625" style="28"/>
    <col min="2053" max="2053" width="13.140625" style="28" customWidth="1"/>
    <col min="2054" max="2054" width="12.5703125" style="28" customWidth="1"/>
    <col min="2055" max="2055" width="15.5703125" style="28" customWidth="1"/>
    <col min="2056" max="2056" width="16" style="28" customWidth="1"/>
    <col min="2057" max="2304" width="9.140625" style="28"/>
    <col min="2305" max="2305" width="16.140625" style="28" customWidth="1"/>
    <col min="2306" max="2306" width="40.5703125" style="28" customWidth="1"/>
    <col min="2307" max="2307" width="15.5703125" style="28" customWidth="1"/>
    <col min="2308" max="2308" width="9.140625" style="28"/>
    <col min="2309" max="2309" width="13.140625" style="28" customWidth="1"/>
    <col min="2310" max="2310" width="12.5703125" style="28" customWidth="1"/>
    <col min="2311" max="2311" width="15.5703125" style="28" customWidth="1"/>
    <col min="2312" max="2312" width="16" style="28" customWidth="1"/>
    <col min="2313" max="2560" width="9.140625" style="28"/>
    <col min="2561" max="2561" width="16.140625" style="28" customWidth="1"/>
    <col min="2562" max="2562" width="40.5703125" style="28" customWidth="1"/>
    <col min="2563" max="2563" width="15.5703125" style="28" customWidth="1"/>
    <col min="2564" max="2564" width="9.140625" style="28"/>
    <col min="2565" max="2565" width="13.140625" style="28" customWidth="1"/>
    <col min="2566" max="2566" width="12.5703125" style="28" customWidth="1"/>
    <col min="2567" max="2567" width="15.5703125" style="28" customWidth="1"/>
    <col min="2568" max="2568" width="16" style="28" customWidth="1"/>
    <col min="2569" max="2816" width="9.140625" style="28"/>
    <col min="2817" max="2817" width="16.140625" style="28" customWidth="1"/>
    <col min="2818" max="2818" width="40.5703125" style="28" customWidth="1"/>
    <col min="2819" max="2819" width="15.5703125" style="28" customWidth="1"/>
    <col min="2820" max="2820" width="9.140625" style="28"/>
    <col min="2821" max="2821" width="13.140625" style="28" customWidth="1"/>
    <col min="2822" max="2822" width="12.5703125" style="28" customWidth="1"/>
    <col min="2823" max="2823" width="15.5703125" style="28" customWidth="1"/>
    <col min="2824" max="2824" width="16" style="28" customWidth="1"/>
    <col min="2825" max="3072" width="9.140625" style="28"/>
    <col min="3073" max="3073" width="16.140625" style="28" customWidth="1"/>
    <col min="3074" max="3074" width="40.5703125" style="28" customWidth="1"/>
    <col min="3075" max="3075" width="15.5703125" style="28" customWidth="1"/>
    <col min="3076" max="3076" width="9.140625" style="28"/>
    <col min="3077" max="3077" width="13.140625" style="28" customWidth="1"/>
    <col min="3078" max="3078" width="12.5703125" style="28" customWidth="1"/>
    <col min="3079" max="3079" width="15.5703125" style="28" customWidth="1"/>
    <col min="3080" max="3080" width="16" style="28" customWidth="1"/>
    <col min="3081" max="3328" width="9.140625" style="28"/>
    <col min="3329" max="3329" width="16.140625" style="28" customWidth="1"/>
    <col min="3330" max="3330" width="40.5703125" style="28" customWidth="1"/>
    <col min="3331" max="3331" width="15.5703125" style="28" customWidth="1"/>
    <col min="3332" max="3332" width="9.140625" style="28"/>
    <col min="3333" max="3333" width="13.140625" style="28" customWidth="1"/>
    <col min="3334" max="3334" width="12.5703125" style="28" customWidth="1"/>
    <col min="3335" max="3335" width="15.5703125" style="28" customWidth="1"/>
    <col min="3336" max="3336" width="16" style="28" customWidth="1"/>
    <col min="3337" max="3584" width="9.140625" style="28"/>
    <col min="3585" max="3585" width="16.140625" style="28" customWidth="1"/>
    <col min="3586" max="3586" width="40.5703125" style="28" customWidth="1"/>
    <col min="3587" max="3587" width="15.5703125" style="28" customWidth="1"/>
    <col min="3588" max="3588" width="9.140625" style="28"/>
    <col min="3589" max="3589" width="13.140625" style="28" customWidth="1"/>
    <col min="3590" max="3590" width="12.5703125" style="28" customWidth="1"/>
    <col min="3591" max="3591" width="15.5703125" style="28" customWidth="1"/>
    <col min="3592" max="3592" width="16" style="28" customWidth="1"/>
    <col min="3593" max="3840" width="9.140625" style="28"/>
    <col min="3841" max="3841" width="16.140625" style="28" customWidth="1"/>
    <col min="3842" max="3842" width="40.5703125" style="28" customWidth="1"/>
    <col min="3843" max="3843" width="15.5703125" style="28" customWidth="1"/>
    <col min="3844" max="3844" width="9.140625" style="28"/>
    <col min="3845" max="3845" width="13.140625" style="28" customWidth="1"/>
    <col min="3846" max="3846" width="12.5703125" style="28" customWidth="1"/>
    <col min="3847" max="3847" width="15.5703125" style="28" customWidth="1"/>
    <col min="3848" max="3848" width="16" style="28" customWidth="1"/>
    <col min="3849" max="4096" width="9.140625" style="28"/>
    <col min="4097" max="4097" width="16.140625" style="28" customWidth="1"/>
    <col min="4098" max="4098" width="40.5703125" style="28" customWidth="1"/>
    <col min="4099" max="4099" width="15.5703125" style="28" customWidth="1"/>
    <col min="4100" max="4100" width="9.140625" style="28"/>
    <col min="4101" max="4101" width="13.140625" style="28" customWidth="1"/>
    <col min="4102" max="4102" width="12.5703125" style="28" customWidth="1"/>
    <col min="4103" max="4103" width="15.5703125" style="28" customWidth="1"/>
    <col min="4104" max="4104" width="16" style="28" customWidth="1"/>
    <col min="4105" max="4352" width="9.140625" style="28"/>
    <col min="4353" max="4353" width="16.140625" style="28" customWidth="1"/>
    <col min="4354" max="4354" width="40.5703125" style="28" customWidth="1"/>
    <col min="4355" max="4355" width="15.5703125" style="28" customWidth="1"/>
    <col min="4356" max="4356" width="9.140625" style="28"/>
    <col min="4357" max="4357" width="13.140625" style="28" customWidth="1"/>
    <col min="4358" max="4358" width="12.5703125" style="28" customWidth="1"/>
    <col min="4359" max="4359" width="15.5703125" style="28" customWidth="1"/>
    <col min="4360" max="4360" width="16" style="28" customWidth="1"/>
    <col min="4361" max="4608" width="9.140625" style="28"/>
    <col min="4609" max="4609" width="16.140625" style="28" customWidth="1"/>
    <col min="4610" max="4610" width="40.5703125" style="28" customWidth="1"/>
    <col min="4611" max="4611" width="15.5703125" style="28" customWidth="1"/>
    <col min="4612" max="4612" width="9.140625" style="28"/>
    <col min="4613" max="4613" width="13.140625" style="28" customWidth="1"/>
    <col min="4614" max="4614" width="12.5703125" style="28" customWidth="1"/>
    <col min="4615" max="4615" width="15.5703125" style="28" customWidth="1"/>
    <col min="4616" max="4616" width="16" style="28" customWidth="1"/>
    <col min="4617" max="4864" width="9.140625" style="28"/>
    <col min="4865" max="4865" width="16.140625" style="28" customWidth="1"/>
    <col min="4866" max="4866" width="40.5703125" style="28" customWidth="1"/>
    <col min="4867" max="4867" width="15.5703125" style="28" customWidth="1"/>
    <col min="4868" max="4868" width="9.140625" style="28"/>
    <col min="4869" max="4869" width="13.140625" style="28" customWidth="1"/>
    <col min="4870" max="4870" width="12.5703125" style="28" customWidth="1"/>
    <col min="4871" max="4871" width="15.5703125" style="28" customWidth="1"/>
    <col min="4872" max="4872" width="16" style="28" customWidth="1"/>
    <col min="4873" max="5120" width="9.140625" style="28"/>
    <col min="5121" max="5121" width="16.140625" style="28" customWidth="1"/>
    <col min="5122" max="5122" width="40.5703125" style="28" customWidth="1"/>
    <col min="5123" max="5123" width="15.5703125" style="28" customWidth="1"/>
    <col min="5124" max="5124" width="9.140625" style="28"/>
    <col min="5125" max="5125" width="13.140625" style="28" customWidth="1"/>
    <col min="5126" max="5126" width="12.5703125" style="28" customWidth="1"/>
    <col min="5127" max="5127" width="15.5703125" style="28" customWidth="1"/>
    <col min="5128" max="5128" width="16" style="28" customWidth="1"/>
    <col min="5129" max="5376" width="9.140625" style="28"/>
    <col min="5377" max="5377" width="16.140625" style="28" customWidth="1"/>
    <col min="5378" max="5378" width="40.5703125" style="28" customWidth="1"/>
    <col min="5379" max="5379" width="15.5703125" style="28" customWidth="1"/>
    <col min="5380" max="5380" width="9.140625" style="28"/>
    <col min="5381" max="5381" width="13.140625" style="28" customWidth="1"/>
    <col min="5382" max="5382" width="12.5703125" style="28" customWidth="1"/>
    <col min="5383" max="5383" width="15.5703125" style="28" customWidth="1"/>
    <col min="5384" max="5384" width="16" style="28" customWidth="1"/>
    <col min="5385" max="5632" width="9.140625" style="28"/>
    <col min="5633" max="5633" width="16.140625" style="28" customWidth="1"/>
    <col min="5634" max="5634" width="40.5703125" style="28" customWidth="1"/>
    <col min="5635" max="5635" width="15.5703125" style="28" customWidth="1"/>
    <col min="5636" max="5636" width="9.140625" style="28"/>
    <col min="5637" max="5637" width="13.140625" style="28" customWidth="1"/>
    <col min="5638" max="5638" width="12.5703125" style="28" customWidth="1"/>
    <col min="5639" max="5639" width="15.5703125" style="28" customWidth="1"/>
    <col min="5640" max="5640" width="16" style="28" customWidth="1"/>
    <col min="5641" max="5888" width="9.140625" style="28"/>
    <col min="5889" max="5889" width="16.140625" style="28" customWidth="1"/>
    <col min="5890" max="5890" width="40.5703125" style="28" customWidth="1"/>
    <col min="5891" max="5891" width="15.5703125" style="28" customWidth="1"/>
    <col min="5892" max="5892" width="9.140625" style="28"/>
    <col min="5893" max="5893" width="13.140625" style="28" customWidth="1"/>
    <col min="5894" max="5894" width="12.5703125" style="28" customWidth="1"/>
    <col min="5895" max="5895" width="15.5703125" style="28" customWidth="1"/>
    <col min="5896" max="5896" width="16" style="28" customWidth="1"/>
    <col min="5897" max="6144" width="9.140625" style="28"/>
    <col min="6145" max="6145" width="16.140625" style="28" customWidth="1"/>
    <col min="6146" max="6146" width="40.5703125" style="28" customWidth="1"/>
    <col min="6147" max="6147" width="15.5703125" style="28" customWidth="1"/>
    <col min="6148" max="6148" width="9.140625" style="28"/>
    <col min="6149" max="6149" width="13.140625" style="28" customWidth="1"/>
    <col min="6150" max="6150" width="12.5703125" style="28" customWidth="1"/>
    <col min="6151" max="6151" width="15.5703125" style="28" customWidth="1"/>
    <col min="6152" max="6152" width="16" style="28" customWidth="1"/>
    <col min="6153" max="6400" width="9.140625" style="28"/>
    <col min="6401" max="6401" width="16.140625" style="28" customWidth="1"/>
    <col min="6402" max="6402" width="40.5703125" style="28" customWidth="1"/>
    <col min="6403" max="6403" width="15.5703125" style="28" customWidth="1"/>
    <col min="6404" max="6404" width="9.140625" style="28"/>
    <col min="6405" max="6405" width="13.140625" style="28" customWidth="1"/>
    <col min="6406" max="6406" width="12.5703125" style="28" customWidth="1"/>
    <col min="6407" max="6407" width="15.5703125" style="28" customWidth="1"/>
    <col min="6408" max="6408" width="16" style="28" customWidth="1"/>
    <col min="6409" max="6656" width="9.140625" style="28"/>
    <col min="6657" max="6657" width="16.140625" style="28" customWidth="1"/>
    <col min="6658" max="6658" width="40.5703125" style="28" customWidth="1"/>
    <col min="6659" max="6659" width="15.5703125" style="28" customWidth="1"/>
    <col min="6660" max="6660" width="9.140625" style="28"/>
    <col min="6661" max="6661" width="13.140625" style="28" customWidth="1"/>
    <col min="6662" max="6662" width="12.5703125" style="28" customWidth="1"/>
    <col min="6663" max="6663" width="15.5703125" style="28" customWidth="1"/>
    <col min="6664" max="6664" width="16" style="28" customWidth="1"/>
    <col min="6665" max="6912" width="9.140625" style="28"/>
    <col min="6913" max="6913" width="16.140625" style="28" customWidth="1"/>
    <col min="6914" max="6914" width="40.5703125" style="28" customWidth="1"/>
    <col min="6915" max="6915" width="15.5703125" style="28" customWidth="1"/>
    <col min="6916" max="6916" width="9.140625" style="28"/>
    <col min="6917" max="6917" width="13.140625" style="28" customWidth="1"/>
    <col min="6918" max="6918" width="12.5703125" style="28" customWidth="1"/>
    <col min="6919" max="6919" width="15.5703125" style="28" customWidth="1"/>
    <col min="6920" max="6920" width="16" style="28" customWidth="1"/>
    <col min="6921" max="7168" width="9.140625" style="28"/>
    <col min="7169" max="7169" width="16.140625" style="28" customWidth="1"/>
    <col min="7170" max="7170" width="40.5703125" style="28" customWidth="1"/>
    <col min="7171" max="7171" width="15.5703125" style="28" customWidth="1"/>
    <col min="7172" max="7172" width="9.140625" style="28"/>
    <col min="7173" max="7173" width="13.140625" style="28" customWidth="1"/>
    <col min="7174" max="7174" width="12.5703125" style="28" customWidth="1"/>
    <col min="7175" max="7175" width="15.5703125" style="28" customWidth="1"/>
    <col min="7176" max="7176" width="16" style="28" customWidth="1"/>
    <col min="7177" max="7424" width="9.140625" style="28"/>
    <col min="7425" max="7425" width="16.140625" style="28" customWidth="1"/>
    <col min="7426" max="7426" width="40.5703125" style="28" customWidth="1"/>
    <col min="7427" max="7427" width="15.5703125" style="28" customWidth="1"/>
    <col min="7428" max="7428" width="9.140625" style="28"/>
    <col min="7429" max="7429" width="13.140625" style="28" customWidth="1"/>
    <col min="7430" max="7430" width="12.5703125" style="28" customWidth="1"/>
    <col min="7431" max="7431" width="15.5703125" style="28" customWidth="1"/>
    <col min="7432" max="7432" width="16" style="28" customWidth="1"/>
    <col min="7433" max="7680" width="9.140625" style="28"/>
    <col min="7681" max="7681" width="16.140625" style="28" customWidth="1"/>
    <col min="7682" max="7682" width="40.5703125" style="28" customWidth="1"/>
    <col min="7683" max="7683" width="15.5703125" style="28" customWidth="1"/>
    <col min="7684" max="7684" width="9.140625" style="28"/>
    <col min="7685" max="7685" width="13.140625" style="28" customWidth="1"/>
    <col min="7686" max="7686" width="12.5703125" style="28" customWidth="1"/>
    <col min="7687" max="7687" width="15.5703125" style="28" customWidth="1"/>
    <col min="7688" max="7688" width="16" style="28" customWidth="1"/>
    <col min="7689" max="7936" width="9.140625" style="28"/>
    <col min="7937" max="7937" width="16.140625" style="28" customWidth="1"/>
    <col min="7938" max="7938" width="40.5703125" style="28" customWidth="1"/>
    <col min="7939" max="7939" width="15.5703125" style="28" customWidth="1"/>
    <col min="7940" max="7940" width="9.140625" style="28"/>
    <col min="7941" max="7941" width="13.140625" style="28" customWidth="1"/>
    <col min="7942" max="7942" width="12.5703125" style="28" customWidth="1"/>
    <col min="7943" max="7943" width="15.5703125" style="28" customWidth="1"/>
    <col min="7944" max="7944" width="16" style="28" customWidth="1"/>
    <col min="7945" max="8192" width="9.140625" style="28"/>
    <col min="8193" max="8193" width="16.140625" style="28" customWidth="1"/>
    <col min="8194" max="8194" width="40.5703125" style="28" customWidth="1"/>
    <col min="8195" max="8195" width="15.5703125" style="28" customWidth="1"/>
    <col min="8196" max="8196" width="9.140625" style="28"/>
    <col min="8197" max="8197" width="13.140625" style="28" customWidth="1"/>
    <col min="8198" max="8198" width="12.5703125" style="28" customWidth="1"/>
    <col min="8199" max="8199" width="15.5703125" style="28" customWidth="1"/>
    <col min="8200" max="8200" width="16" style="28" customWidth="1"/>
    <col min="8201" max="8448" width="9.140625" style="28"/>
    <col min="8449" max="8449" width="16.140625" style="28" customWidth="1"/>
    <col min="8450" max="8450" width="40.5703125" style="28" customWidth="1"/>
    <col min="8451" max="8451" width="15.5703125" style="28" customWidth="1"/>
    <col min="8452" max="8452" width="9.140625" style="28"/>
    <col min="8453" max="8453" width="13.140625" style="28" customWidth="1"/>
    <col min="8454" max="8454" width="12.5703125" style="28" customWidth="1"/>
    <col min="8455" max="8455" width="15.5703125" style="28" customWidth="1"/>
    <col min="8456" max="8456" width="16" style="28" customWidth="1"/>
    <col min="8457" max="8704" width="9.140625" style="28"/>
    <col min="8705" max="8705" width="16.140625" style="28" customWidth="1"/>
    <col min="8706" max="8706" width="40.5703125" style="28" customWidth="1"/>
    <col min="8707" max="8707" width="15.5703125" style="28" customWidth="1"/>
    <col min="8708" max="8708" width="9.140625" style="28"/>
    <col min="8709" max="8709" width="13.140625" style="28" customWidth="1"/>
    <col min="8710" max="8710" width="12.5703125" style="28" customWidth="1"/>
    <col min="8711" max="8711" width="15.5703125" style="28" customWidth="1"/>
    <col min="8712" max="8712" width="16" style="28" customWidth="1"/>
    <col min="8713" max="8960" width="9.140625" style="28"/>
    <col min="8961" max="8961" width="16.140625" style="28" customWidth="1"/>
    <col min="8962" max="8962" width="40.5703125" style="28" customWidth="1"/>
    <col min="8963" max="8963" width="15.5703125" style="28" customWidth="1"/>
    <col min="8964" max="8964" width="9.140625" style="28"/>
    <col min="8965" max="8965" width="13.140625" style="28" customWidth="1"/>
    <col min="8966" max="8966" width="12.5703125" style="28" customWidth="1"/>
    <col min="8967" max="8967" width="15.5703125" style="28" customWidth="1"/>
    <col min="8968" max="8968" width="16" style="28" customWidth="1"/>
    <col min="8969" max="9216" width="9.140625" style="28"/>
    <col min="9217" max="9217" width="16.140625" style="28" customWidth="1"/>
    <col min="9218" max="9218" width="40.5703125" style="28" customWidth="1"/>
    <col min="9219" max="9219" width="15.5703125" style="28" customWidth="1"/>
    <col min="9220" max="9220" width="9.140625" style="28"/>
    <col min="9221" max="9221" width="13.140625" style="28" customWidth="1"/>
    <col min="9222" max="9222" width="12.5703125" style="28" customWidth="1"/>
    <col min="9223" max="9223" width="15.5703125" style="28" customWidth="1"/>
    <col min="9224" max="9224" width="16" style="28" customWidth="1"/>
    <col min="9225" max="9472" width="9.140625" style="28"/>
    <col min="9473" max="9473" width="16.140625" style="28" customWidth="1"/>
    <col min="9474" max="9474" width="40.5703125" style="28" customWidth="1"/>
    <col min="9475" max="9475" width="15.5703125" style="28" customWidth="1"/>
    <col min="9476" max="9476" width="9.140625" style="28"/>
    <col min="9477" max="9477" width="13.140625" style="28" customWidth="1"/>
    <col min="9478" max="9478" width="12.5703125" style="28" customWidth="1"/>
    <col min="9479" max="9479" width="15.5703125" style="28" customWidth="1"/>
    <col min="9480" max="9480" width="16" style="28" customWidth="1"/>
    <col min="9481" max="9728" width="9.140625" style="28"/>
    <col min="9729" max="9729" width="16.140625" style="28" customWidth="1"/>
    <col min="9730" max="9730" width="40.5703125" style="28" customWidth="1"/>
    <col min="9731" max="9731" width="15.5703125" style="28" customWidth="1"/>
    <col min="9732" max="9732" width="9.140625" style="28"/>
    <col min="9733" max="9733" width="13.140625" style="28" customWidth="1"/>
    <col min="9734" max="9734" width="12.5703125" style="28" customWidth="1"/>
    <col min="9735" max="9735" width="15.5703125" style="28" customWidth="1"/>
    <col min="9736" max="9736" width="16" style="28" customWidth="1"/>
    <col min="9737" max="9984" width="9.140625" style="28"/>
    <col min="9985" max="9985" width="16.140625" style="28" customWidth="1"/>
    <col min="9986" max="9986" width="40.5703125" style="28" customWidth="1"/>
    <col min="9987" max="9987" width="15.5703125" style="28" customWidth="1"/>
    <col min="9988" max="9988" width="9.140625" style="28"/>
    <col min="9989" max="9989" width="13.140625" style="28" customWidth="1"/>
    <col min="9990" max="9990" width="12.5703125" style="28" customWidth="1"/>
    <col min="9991" max="9991" width="15.5703125" style="28" customWidth="1"/>
    <col min="9992" max="9992" width="16" style="28" customWidth="1"/>
    <col min="9993" max="10240" width="9.140625" style="28"/>
    <col min="10241" max="10241" width="16.140625" style="28" customWidth="1"/>
    <col min="10242" max="10242" width="40.5703125" style="28" customWidth="1"/>
    <col min="10243" max="10243" width="15.5703125" style="28" customWidth="1"/>
    <col min="10244" max="10244" width="9.140625" style="28"/>
    <col min="10245" max="10245" width="13.140625" style="28" customWidth="1"/>
    <col min="10246" max="10246" width="12.5703125" style="28" customWidth="1"/>
    <col min="10247" max="10247" width="15.5703125" style="28" customWidth="1"/>
    <col min="10248" max="10248" width="16" style="28" customWidth="1"/>
    <col min="10249" max="10496" width="9.140625" style="28"/>
    <col min="10497" max="10497" width="16.140625" style="28" customWidth="1"/>
    <col min="10498" max="10498" width="40.5703125" style="28" customWidth="1"/>
    <col min="10499" max="10499" width="15.5703125" style="28" customWidth="1"/>
    <col min="10500" max="10500" width="9.140625" style="28"/>
    <col min="10501" max="10501" width="13.140625" style="28" customWidth="1"/>
    <col min="10502" max="10502" width="12.5703125" style="28" customWidth="1"/>
    <col min="10503" max="10503" width="15.5703125" style="28" customWidth="1"/>
    <col min="10504" max="10504" width="16" style="28" customWidth="1"/>
    <col min="10505" max="10752" width="9.140625" style="28"/>
    <col min="10753" max="10753" width="16.140625" style="28" customWidth="1"/>
    <col min="10754" max="10754" width="40.5703125" style="28" customWidth="1"/>
    <col min="10755" max="10755" width="15.5703125" style="28" customWidth="1"/>
    <col min="10756" max="10756" width="9.140625" style="28"/>
    <col min="10757" max="10757" width="13.140625" style="28" customWidth="1"/>
    <col min="10758" max="10758" width="12.5703125" style="28" customWidth="1"/>
    <col min="10759" max="10759" width="15.5703125" style="28" customWidth="1"/>
    <col min="10760" max="10760" width="16" style="28" customWidth="1"/>
    <col min="10761" max="11008" width="9.140625" style="28"/>
    <col min="11009" max="11009" width="16.140625" style="28" customWidth="1"/>
    <col min="11010" max="11010" width="40.5703125" style="28" customWidth="1"/>
    <col min="11011" max="11011" width="15.5703125" style="28" customWidth="1"/>
    <col min="11012" max="11012" width="9.140625" style="28"/>
    <col min="11013" max="11013" width="13.140625" style="28" customWidth="1"/>
    <col min="11014" max="11014" width="12.5703125" style="28" customWidth="1"/>
    <col min="11015" max="11015" width="15.5703125" style="28" customWidth="1"/>
    <col min="11016" max="11016" width="16" style="28" customWidth="1"/>
    <col min="11017" max="11264" width="9.140625" style="28"/>
    <col min="11265" max="11265" width="16.140625" style="28" customWidth="1"/>
    <col min="11266" max="11266" width="40.5703125" style="28" customWidth="1"/>
    <col min="11267" max="11267" width="15.5703125" style="28" customWidth="1"/>
    <col min="11268" max="11268" width="9.140625" style="28"/>
    <col min="11269" max="11269" width="13.140625" style="28" customWidth="1"/>
    <col min="11270" max="11270" width="12.5703125" style="28" customWidth="1"/>
    <col min="11271" max="11271" width="15.5703125" style="28" customWidth="1"/>
    <col min="11272" max="11272" width="16" style="28" customWidth="1"/>
    <col min="11273" max="11520" width="9.140625" style="28"/>
    <col min="11521" max="11521" width="16.140625" style="28" customWidth="1"/>
    <col min="11522" max="11522" width="40.5703125" style="28" customWidth="1"/>
    <col min="11523" max="11523" width="15.5703125" style="28" customWidth="1"/>
    <col min="11524" max="11524" width="9.140625" style="28"/>
    <col min="11525" max="11525" width="13.140625" style="28" customWidth="1"/>
    <col min="11526" max="11526" width="12.5703125" style="28" customWidth="1"/>
    <col min="11527" max="11527" width="15.5703125" style="28" customWidth="1"/>
    <col min="11528" max="11528" width="16" style="28" customWidth="1"/>
    <col min="11529" max="11776" width="9.140625" style="28"/>
    <col min="11777" max="11777" width="16.140625" style="28" customWidth="1"/>
    <col min="11778" max="11778" width="40.5703125" style="28" customWidth="1"/>
    <col min="11779" max="11779" width="15.5703125" style="28" customWidth="1"/>
    <col min="11780" max="11780" width="9.140625" style="28"/>
    <col min="11781" max="11781" width="13.140625" style="28" customWidth="1"/>
    <col min="11782" max="11782" width="12.5703125" style="28" customWidth="1"/>
    <col min="11783" max="11783" width="15.5703125" style="28" customWidth="1"/>
    <col min="11784" max="11784" width="16" style="28" customWidth="1"/>
    <col min="11785" max="12032" width="9.140625" style="28"/>
    <col min="12033" max="12033" width="16.140625" style="28" customWidth="1"/>
    <col min="12034" max="12034" width="40.5703125" style="28" customWidth="1"/>
    <col min="12035" max="12035" width="15.5703125" style="28" customWidth="1"/>
    <col min="12036" max="12036" width="9.140625" style="28"/>
    <col min="12037" max="12037" width="13.140625" style="28" customWidth="1"/>
    <col min="12038" max="12038" width="12.5703125" style="28" customWidth="1"/>
    <col min="12039" max="12039" width="15.5703125" style="28" customWidth="1"/>
    <col min="12040" max="12040" width="16" style="28" customWidth="1"/>
    <col min="12041" max="12288" width="9.140625" style="28"/>
    <col min="12289" max="12289" width="16.140625" style="28" customWidth="1"/>
    <col min="12290" max="12290" width="40.5703125" style="28" customWidth="1"/>
    <col min="12291" max="12291" width="15.5703125" style="28" customWidth="1"/>
    <col min="12292" max="12292" width="9.140625" style="28"/>
    <col min="12293" max="12293" width="13.140625" style="28" customWidth="1"/>
    <col min="12294" max="12294" width="12.5703125" style="28" customWidth="1"/>
    <col min="12295" max="12295" width="15.5703125" style="28" customWidth="1"/>
    <col min="12296" max="12296" width="16" style="28" customWidth="1"/>
    <col min="12297" max="12544" width="9.140625" style="28"/>
    <col min="12545" max="12545" width="16.140625" style="28" customWidth="1"/>
    <col min="12546" max="12546" width="40.5703125" style="28" customWidth="1"/>
    <col min="12547" max="12547" width="15.5703125" style="28" customWidth="1"/>
    <col min="12548" max="12548" width="9.140625" style="28"/>
    <col min="12549" max="12549" width="13.140625" style="28" customWidth="1"/>
    <col min="12550" max="12550" width="12.5703125" style="28" customWidth="1"/>
    <col min="12551" max="12551" width="15.5703125" style="28" customWidth="1"/>
    <col min="12552" max="12552" width="16" style="28" customWidth="1"/>
    <col min="12553" max="12800" width="9.140625" style="28"/>
    <col min="12801" max="12801" width="16.140625" style="28" customWidth="1"/>
    <col min="12802" max="12802" width="40.5703125" style="28" customWidth="1"/>
    <col min="12803" max="12803" width="15.5703125" style="28" customWidth="1"/>
    <col min="12804" max="12804" width="9.140625" style="28"/>
    <col min="12805" max="12805" width="13.140625" style="28" customWidth="1"/>
    <col min="12806" max="12806" width="12.5703125" style="28" customWidth="1"/>
    <col min="12807" max="12807" width="15.5703125" style="28" customWidth="1"/>
    <col min="12808" max="12808" width="16" style="28" customWidth="1"/>
    <col min="12809" max="13056" width="9.140625" style="28"/>
    <col min="13057" max="13057" width="16.140625" style="28" customWidth="1"/>
    <col min="13058" max="13058" width="40.5703125" style="28" customWidth="1"/>
    <col min="13059" max="13059" width="15.5703125" style="28" customWidth="1"/>
    <col min="13060" max="13060" width="9.140625" style="28"/>
    <col min="13061" max="13061" width="13.140625" style="28" customWidth="1"/>
    <col min="13062" max="13062" width="12.5703125" style="28" customWidth="1"/>
    <col min="13063" max="13063" width="15.5703125" style="28" customWidth="1"/>
    <col min="13064" max="13064" width="16" style="28" customWidth="1"/>
    <col min="13065" max="13312" width="9.140625" style="28"/>
    <col min="13313" max="13313" width="16.140625" style="28" customWidth="1"/>
    <col min="13314" max="13314" width="40.5703125" style="28" customWidth="1"/>
    <col min="13315" max="13315" width="15.5703125" style="28" customWidth="1"/>
    <col min="13316" max="13316" width="9.140625" style="28"/>
    <col min="13317" max="13317" width="13.140625" style="28" customWidth="1"/>
    <col min="13318" max="13318" width="12.5703125" style="28" customWidth="1"/>
    <col min="13319" max="13319" width="15.5703125" style="28" customWidth="1"/>
    <col min="13320" max="13320" width="16" style="28" customWidth="1"/>
    <col min="13321" max="13568" width="9.140625" style="28"/>
    <col min="13569" max="13569" width="16.140625" style="28" customWidth="1"/>
    <col min="13570" max="13570" width="40.5703125" style="28" customWidth="1"/>
    <col min="13571" max="13571" width="15.5703125" style="28" customWidth="1"/>
    <col min="13572" max="13572" width="9.140625" style="28"/>
    <col min="13573" max="13573" width="13.140625" style="28" customWidth="1"/>
    <col min="13574" max="13574" width="12.5703125" style="28" customWidth="1"/>
    <col min="13575" max="13575" width="15.5703125" style="28" customWidth="1"/>
    <col min="13576" max="13576" width="16" style="28" customWidth="1"/>
    <col min="13577" max="13824" width="9.140625" style="28"/>
    <col min="13825" max="13825" width="16.140625" style="28" customWidth="1"/>
    <col min="13826" max="13826" width="40.5703125" style="28" customWidth="1"/>
    <col min="13827" max="13827" width="15.5703125" style="28" customWidth="1"/>
    <col min="13828" max="13828" width="9.140625" style="28"/>
    <col min="13829" max="13829" width="13.140625" style="28" customWidth="1"/>
    <col min="13830" max="13830" width="12.5703125" style="28" customWidth="1"/>
    <col min="13831" max="13831" width="15.5703125" style="28" customWidth="1"/>
    <col min="13832" max="13832" width="16" style="28" customWidth="1"/>
    <col min="13833" max="14080" width="9.140625" style="28"/>
    <col min="14081" max="14081" width="16.140625" style="28" customWidth="1"/>
    <col min="14082" max="14082" width="40.5703125" style="28" customWidth="1"/>
    <col min="14083" max="14083" width="15.5703125" style="28" customWidth="1"/>
    <col min="14084" max="14084" width="9.140625" style="28"/>
    <col min="14085" max="14085" width="13.140625" style="28" customWidth="1"/>
    <col min="14086" max="14086" width="12.5703125" style="28" customWidth="1"/>
    <col min="14087" max="14087" width="15.5703125" style="28" customWidth="1"/>
    <col min="14088" max="14088" width="16" style="28" customWidth="1"/>
    <col min="14089" max="14336" width="9.140625" style="28"/>
    <col min="14337" max="14337" width="16.140625" style="28" customWidth="1"/>
    <col min="14338" max="14338" width="40.5703125" style="28" customWidth="1"/>
    <col min="14339" max="14339" width="15.5703125" style="28" customWidth="1"/>
    <col min="14340" max="14340" width="9.140625" style="28"/>
    <col min="14341" max="14341" width="13.140625" style="28" customWidth="1"/>
    <col min="14342" max="14342" width="12.5703125" style="28" customWidth="1"/>
    <col min="14343" max="14343" width="15.5703125" style="28" customWidth="1"/>
    <col min="14344" max="14344" width="16" style="28" customWidth="1"/>
    <col min="14345" max="14592" width="9.140625" style="28"/>
    <col min="14593" max="14593" width="16.140625" style="28" customWidth="1"/>
    <col min="14594" max="14594" width="40.5703125" style="28" customWidth="1"/>
    <col min="14595" max="14595" width="15.5703125" style="28" customWidth="1"/>
    <col min="14596" max="14596" width="9.140625" style="28"/>
    <col min="14597" max="14597" width="13.140625" style="28" customWidth="1"/>
    <col min="14598" max="14598" width="12.5703125" style="28" customWidth="1"/>
    <col min="14599" max="14599" width="15.5703125" style="28" customWidth="1"/>
    <col min="14600" max="14600" width="16" style="28" customWidth="1"/>
    <col min="14601" max="14848" width="9.140625" style="28"/>
    <col min="14849" max="14849" width="16.140625" style="28" customWidth="1"/>
    <col min="14850" max="14850" width="40.5703125" style="28" customWidth="1"/>
    <col min="14851" max="14851" width="15.5703125" style="28" customWidth="1"/>
    <col min="14852" max="14852" width="9.140625" style="28"/>
    <col min="14853" max="14853" width="13.140625" style="28" customWidth="1"/>
    <col min="14854" max="14854" width="12.5703125" style="28" customWidth="1"/>
    <col min="14855" max="14855" width="15.5703125" style="28" customWidth="1"/>
    <col min="14856" max="14856" width="16" style="28" customWidth="1"/>
    <col min="14857" max="15104" width="9.140625" style="28"/>
    <col min="15105" max="15105" width="16.140625" style="28" customWidth="1"/>
    <col min="15106" max="15106" width="40.5703125" style="28" customWidth="1"/>
    <col min="15107" max="15107" width="15.5703125" style="28" customWidth="1"/>
    <col min="15108" max="15108" width="9.140625" style="28"/>
    <col min="15109" max="15109" width="13.140625" style="28" customWidth="1"/>
    <col min="15110" max="15110" width="12.5703125" style="28" customWidth="1"/>
    <col min="15111" max="15111" width="15.5703125" style="28" customWidth="1"/>
    <col min="15112" max="15112" width="16" style="28" customWidth="1"/>
    <col min="15113" max="15360" width="9.140625" style="28"/>
    <col min="15361" max="15361" width="16.140625" style="28" customWidth="1"/>
    <col min="15362" max="15362" width="40.5703125" style="28" customWidth="1"/>
    <col min="15363" max="15363" width="15.5703125" style="28" customWidth="1"/>
    <col min="15364" max="15364" width="9.140625" style="28"/>
    <col min="15365" max="15365" width="13.140625" style="28" customWidth="1"/>
    <col min="15366" max="15366" width="12.5703125" style="28" customWidth="1"/>
    <col min="15367" max="15367" width="15.5703125" style="28" customWidth="1"/>
    <col min="15368" max="15368" width="16" style="28" customWidth="1"/>
    <col min="15369" max="15616" width="9.140625" style="28"/>
    <col min="15617" max="15617" width="16.140625" style="28" customWidth="1"/>
    <col min="15618" max="15618" width="40.5703125" style="28" customWidth="1"/>
    <col min="15619" max="15619" width="15.5703125" style="28" customWidth="1"/>
    <col min="15620" max="15620" width="9.140625" style="28"/>
    <col min="15621" max="15621" width="13.140625" style="28" customWidth="1"/>
    <col min="15622" max="15622" width="12.5703125" style="28" customWidth="1"/>
    <col min="15623" max="15623" width="15.5703125" style="28" customWidth="1"/>
    <col min="15624" max="15624" width="16" style="28" customWidth="1"/>
    <col min="15625" max="15872" width="9.140625" style="28"/>
    <col min="15873" max="15873" width="16.140625" style="28" customWidth="1"/>
    <col min="15874" max="15874" width="40.5703125" style="28" customWidth="1"/>
    <col min="15875" max="15875" width="15.5703125" style="28" customWidth="1"/>
    <col min="15876" max="15876" width="9.140625" style="28"/>
    <col min="15877" max="15877" width="13.140625" style="28" customWidth="1"/>
    <col min="15878" max="15878" width="12.5703125" style="28" customWidth="1"/>
    <col min="15879" max="15879" width="15.5703125" style="28" customWidth="1"/>
    <col min="15880" max="15880" width="16" style="28" customWidth="1"/>
    <col min="15881" max="16128" width="9.140625" style="28"/>
    <col min="16129" max="16129" width="16.140625" style="28" customWidth="1"/>
    <col min="16130" max="16130" width="40.5703125" style="28" customWidth="1"/>
    <col min="16131" max="16131" width="15.5703125" style="28" customWidth="1"/>
    <col min="16132" max="16132" width="9.140625" style="28"/>
    <col min="16133" max="16133" width="13.140625" style="28" customWidth="1"/>
    <col min="16134" max="16134" width="12.5703125" style="28" customWidth="1"/>
    <col min="16135" max="16135" width="15.5703125" style="28" customWidth="1"/>
    <col min="16136" max="16136" width="16" style="28" customWidth="1"/>
    <col min="16137" max="16384" width="9.140625" style="28"/>
  </cols>
  <sheetData>
    <row r="1" spans="1:11" ht="15.75" x14ac:dyDescent="0.25">
      <c r="A1" s="367"/>
      <c r="B1" s="370" t="s">
        <v>0</v>
      </c>
      <c r="C1" s="309"/>
      <c r="D1" s="309"/>
      <c r="E1" s="309"/>
      <c r="F1" s="309"/>
      <c r="G1" s="1" t="s">
        <v>1</v>
      </c>
      <c r="H1" s="2" t="s">
        <v>104</v>
      </c>
    </row>
    <row r="2" spans="1:11" ht="16.5" thickBot="1" x14ac:dyDescent="0.3">
      <c r="A2" s="368"/>
      <c r="B2" s="371" t="s">
        <v>2</v>
      </c>
      <c r="C2" s="372"/>
      <c r="D2" s="372"/>
      <c r="E2" s="372"/>
      <c r="F2" s="372"/>
      <c r="G2" s="3" t="s">
        <v>3</v>
      </c>
      <c r="H2" s="4" t="s">
        <v>46</v>
      </c>
    </row>
    <row r="3" spans="1:11" ht="18.75" thickBot="1" x14ac:dyDescent="0.3">
      <c r="A3" s="368"/>
      <c r="B3" s="373" t="s">
        <v>105</v>
      </c>
      <c r="C3" s="374"/>
      <c r="D3" s="374"/>
      <c r="E3" s="374"/>
      <c r="F3" s="375"/>
      <c r="G3" s="314" t="s">
        <v>4</v>
      </c>
      <c r="H3" s="294">
        <v>44202</v>
      </c>
    </row>
    <row r="4" spans="1:11" x14ac:dyDescent="0.25">
      <c r="A4" s="368"/>
      <c r="B4" s="87" t="s">
        <v>5</v>
      </c>
      <c r="C4" s="297" t="s">
        <v>106</v>
      </c>
      <c r="D4" s="298"/>
      <c r="E4" s="298"/>
      <c r="F4" s="299"/>
      <c r="G4" s="315"/>
      <c r="H4" s="295"/>
    </row>
    <row r="5" spans="1:11" ht="14.25" thickBot="1" x14ac:dyDescent="0.3">
      <c r="A5" s="369"/>
      <c r="B5" s="88" t="s">
        <v>6</v>
      </c>
      <c r="C5" s="300" t="s">
        <v>107</v>
      </c>
      <c r="D5" s="301"/>
      <c r="E5" s="301"/>
      <c r="F5" s="302"/>
      <c r="G5" s="316"/>
      <c r="H5" s="295"/>
    </row>
    <row r="6" spans="1:11" ht="25.5" x14ac:dyDescent="0.25">
      <c r="A6" s="376" t="s">
        <v>9</v>
      </c>
      <c r="B6" s="378" t="s">
        <v>10</v>
      </c>
      <c r="C6" s="378" t="s">
        <v>11</v>
      </c>
      <c r="D6" s="378" t="s">
        <v>12</v>
      </c>
      <c r="E6" s="378"/>
      <c r="F6" s="378" t="s">
        <v>108</v>
      </c>
      <c r="G6" s="378"/>
      <c r="H6" s="69" t="s">
        <v>14</v>
      </c>
    </row>
    <row r="7" spans="1:11" ht="27" thickBot="1" x14ac:dyDescent="0.3">
      <c r="A7" s="377"/>
      <c r="B7" s="379"/>
      <c r="C7" s="379"/>
      <c r="D7" s="70" t="s">
        <v>15</v>
      </c>
      <c r="E7" s="71" t="s">
        <v>16</v>
      </c>
      <c r="F7" s="70" t="s">
        <v>15</v>
      </c>
      <c r="G7" s="71" t="s">
        <v>16</v>
      </c>
      <c r="H7" s="89" t="s">
        <v>17</v>
      </c>
    </row>
    <row r="8" spans="1:11" ht="15.75" x14ac:dyDescent="0.25">
      <c r="A8" s="90"/>
      <c r="B8" s="91"/>
      <c r="C8" s="92"/>
      <c r="D8" s="93"/>
      <c r="E8" s="93"/>
      <c r="F8" s="32"/>
      <c r="G8" s="27"/>
      <c r="H8" s="94"/>
    </row>
    <row r="9" spans="1:11" ht="15" x14ac:dyDescent="0.25">
      <c r="A9" s="95" t="s">
        <v>109</v>
      </c>
      <c r="B9" s="96" t="s">
        <v>110</v>
      </c>
      <c r="C9" s="97" t="s">
        <v>111</v>
      </c>
      <c r="D9" s="98">
        <v>25000</v>
      </c>
      <c r="E9" s="99" t="s">
        <v>20</v>
      </c>
      <c r="F9" s="84">
        <v>1</v>
      </c>
      <c r="G9" s="27" t="s">
        <v>112</v>
      </c>
      <c r="H9" s="94"/>
    </row>
    <row r="10" spans="1:11" ht="15" x14ac:dyDescent="0.25">
      <c r="A10" s="95" t="s">
        <v>113</v>
      </c>
      <c r="B10" s="96" t="s">
        <v>114</v>
      </c>
      <c r="C10" s="97" t="s">
        <v>115</v>
      </c>
      <c r="D10" s="98">
        <v>5000</v>
      </c>
      <c r="E10" s="99" t="s">
        <v>20</v>
      </c>
      <c r="F10" s="84">
        <f>+D10/25000</f>
        <v>0.2</v>
      </c>
      <c r="G10" s="27" t="s">
        <v>116</v>
      </c>
      <c r="H10" s="94"/>
    </row>
    <row r="11" spans="1:11" ht="15" x14ac:dyDescent="0.25">
      <c r="A11" s="100"/>
      <c r="B11" s="91"/>
      <c r="C11" s="97"/>
      <c r="D11" s="101"/>
      <c r="E11" s="99"/>
      <c r="F11" s="84"/>
      <c r="G11" s="27"/>
      <c r="H11" s="94"/>
    </row>
    <row r="12" spans="1:11" ht="15" x14ac:dyDescent="0.25">
      <c r="A12" s="95" t="s">
        <v>117</v>
      </c>
      <c r="B12" s="96" t="s">
        <v>118</v>
      </c>
      <c r="C12" s="97" t="s">
        <v>53</v>
      </c>
      <c r="D12" s="98">
        <v>800</v>
      </c>
      <c r="E12" s="99" t="s">
        <v>62</v>
      </c>
      <c r="F12" s="84">
        <f>+D12/20000</f>
        <v>0.04</v>
      </c>
      <c r="G12" s="27" t="s">
        <v>119</v>
      </c>
      <c r="H12" s="94"/>
    </row>
    <row r="13" spans="1:11" ht="15" x14ac:dyDescent="0.25">
      <c r="A13" s="102"/>
      <c r="B13" s="72"/>
      <c r="C13" s="103"/>
      <c r="D13" s="34"/>
      <c r="E13" s="34"/>
      <c r="F13" s="34"/>
      <c r="G13" s="34"/>
      <c r="H13" s="33"/>
    </row>
    <row r="14" spans="1:11" ht="14.25" thickBot="1" x14ac:dyDescent="0.3">
      <c r="A14" s="73"/>
      <c r="D14" s="85"/>
      <c r="E14" s="86"/>
      <c r="H14" s="74"/>
      <c r="K14" s="75"/>
    </row>
    <row r="15" spans="1:11" ht="14.25" thickBot="1" x14ac:dyDescent="0.3">
      <c r="A15" s="76"/>
      <c r="B15" s="77"/>
      <c r="C15" s="78" t="s">
        <v>15</v>
      </c>
      <c r="D15" s="79" t="s">
        <v>28</v>
      </c>
      <c r="E15" s="80"/>
      <c r="F15" s="77"/>
      <c r="G15" s="77"/>
      <c r="H15" s="81"/>
      <c r="K15" s="75"/>
    </row>
    <row r="16" spans="1:11" x14ac:dyDescent="0.25">
      <c r="A16" s="362" t="s">
        <v>29</v>
      </c>
      <c r="B16" s="363"/>
      <c r="C16" s="82">
        <v>29800</v>
      </c>
      <c r="D16" s="36" t="s">
        <v>20</v>
      </c>
      <c r="E16" s="364" t="s">
        <v>54</v>
      </c>
      <c r="F16" s="364"/>
      <c r="G16" s="365"/>
      <c r="H16" s="366"/>
      <c r="K16" s="75"/>
    </row>
    <row r="17" spans="1:12" x14ac:dyDescent="0.25">
      <c r="A17" s="380" t="s">
        <v>30</v>
      </c>
      <c r="B17" s="381"/>
      <c r="C17" s="27">
        <v>30</v>
      </c>
      <c r="D17" s="27" t="s">
        <v>31</v>
      </c>
      <c r="E17" s="382" t="s">
        <v>55</v>
      </c>
      <c r="F17" s="382"/>
      <c r="G17" s="383"/>
      <c r="H17" s="384"/>
      <c r="K17" s="75"/>
    </row>
    <row r="18" spans="1:12" x14ac:dyDescent="0.25">
      <c r="A18" s="380" t="s">
        <v>32</v>
      </c>
      <c r="B18" s="381"/>
      <c r="C18" s="27">
        <v>1</v>
      </c>
      <c r="D18" s="27" t="s">
        <v>100</v>
      </c>
      <c r="E18" s="382" t="s">
        <v>56</v>
      </c>
      <c r="F18" s="382"/>
      <c r="G18" s="383"/>
      <c r="H18" s="384"/>
      <c r="K18" s="75"/>
    </row>
    <row r="19" spans="1:12" x14ac:dyDescent="0.25">
      <c r="A19" s="380" t="s">
        <v>33</v>
      </c>
      <c r="B19" s="381"/>
      <c r="C19" s="32">
        <f>C16</f>
        <v>29800</v>
      </c>
      <c r="D19" s="27" t="s">
        <v>20</v>
      </c>
      <c r="E19" s="385" t="s">
        <v>57</v>
      </c>
      <c r="F19" s="386"/>
      <c r="G19" s="383"/>
      <c r="H19" s="384"/>
      <c r="K19" s="75"/>
      <c r="L19" s="83"/>
    </row>
    <row r="20" spans="1:12" ht="14.25" thickBot="1" x14ac:dyDescent="0.3">
      <c r="A20" s="387" t="s">
        <v>34</v>
      </c>
      <c r="B20" s="388"/>
      <c r="C20" s="68">
        <f>SUM(D9:D10)-C16</f>
        <v>200</v>
      </c>
      <c r="D20" s="37" t="s">
        <v>20</v>
      </c>
      <c r="E20" s="389"/>
      <c r="F20" s="389"/>
      <c r="G20" s="390"/>
      <c r="H20" s="391"/>
      <c r="K20" s="75"/>
    </row>
    <row r="21" spans="1:12" ht="14.25" thickBot="1" x14ac:dyDescent="0.3">
      <c r="A21" s="392" t="s">
        <v>35</v>
      </c>
      <c r="B21" s="393"/>
      <c r="C21" s="393"/>
      <c r="D21" s="393"/>
      <c r="E21" s="393"/>
      <c r="F21" s="393"/>
      <c r="G21" s="393"/>
      <c r="H21" s="394"/>
    </row>
    <row r="22" spans="1:12" ht="16.5" customHeight="1" x14ac:dyDescent="0.25">
      <c r="A22" s="395" t="s">
        <v>120</v>
      </c>
      <c r="B22" s="396"/>
      <c r="C22" s="396"/>
      <c r="D22" s="396"/>
      <c r="E22" s="396"/>
      <c r="F22" s="396"/>
      <c r="G22" s="396"/>
      <c r="H22" s="397"/>
    </row>
    <row r="23" spans="1:12" ht="16.5" customHeight="1" x14ac:dyDescent="0.25">
      <c r="A23" s="398" t="s">
        <v>121</v>
      </c>
      <c r="B23" s="399"/>
      <c r="C23" s="399"/>
      <c r="D23" s="399"/>
      <c r="E23" s="399"/>
      <c r="F23" s="399"/>
      <c r="G23" s="399"/>
      <c r="H23" s="400"/>
    </row>
    <row r="24" spans="1:12" ht="16.5" customHeight="1" x14ac:dyDescent="0.25">
      <c r="A24" s="398" t="s">
        <v>122</v>
      </c>
      <c r="B24" s="399"/>
      <c r="C24" s="399"/>
      <c r="D24" s="399"/>
      <c r="E24" s="399"/>
      <c r="F24" s="399"/>
      <c r="G24" s="399"/>
      <c r="H24" s="400"/>
    </row>
    <row r="25" spans="1:12" ht="15.75" x14ac:dyDescent="0.25">
      <c r="A25" s="401"/>
      <c r="B25" s="402"/>
      <c r="C25" s="402"/>
      <c r="D25" s="402"/>
      <c r="E25" s="402"/>
      <c r="F25" s="402"/>
      <c r="G25" s="402"/>
      <c r="H25" s="403"/>
    </row>
    <row r="26" spans="1:12" ht="14.25" thickBot="1" x14ac:dyDescent="0.3">
      <c r="A26" s="404"/>
      <c r="B26" s="405"/>
      <c r="C26" s="405"/>
      <c r="D26" s="405"/>
      <c r="E26" s="405"/>
      <c r="F26" s="405"/>
      <c r="G26" s="405"/>
      <c r="H26" s="406"/>
    </row>
    <row r="27" spans="1:12" ht="14.25" thickBot="1" x14ac:dyDescent="0.3">
      <c r="A27" s="392" t="s">
        <v>123</v>
      </c>
      <c r="B27" s="393"/>
      <c r="C27" s="393"/>
      <c r="D27" s="393"/>
      <c r="E27" s="393"/>
      <c r="F27" s="393"/>
      <c r="G27" s="393"/>
      <c r="H27" s="394"/>
    </row>
    <row r="28" spans="1:12" x14ac:dyDescent="0.25">
      <c r="A28" s="30" t="s">
        <v>124</v>
      </c>
      <c r="B28" s="30"/>
    </row>
    <row r="29" spans="1:12" x14ac:dyDescent="0.25">
      <c r="A29" s="28" t="s">
        <v>125</v>
      </c>
    </row>
  </sheetData>
  <mergeCells count="35">
    <mergeCell ref="A27:H27"/>
    <mergeCell ref="A21:H21"/>
    <mergeCell ref="A22:H22"/>
    <mergeCell ref="A23:H23"/>
    <mergeCell ref="A24:H24"/>
    <mergeCell ref="A25:H25"/>
    <mergeCell ref="A26:H26"/>
    <mergeCell ref="A19:B19"/>
    <mergeCell ref="E19:F19"/>
    <mergeCell ref="G19:H19"/>
    <mergeCell ref="A20:B20"/>
    <mergeCell ref="E20:F20"/>
    <mergeCell ref="G20:H20"/>
    <mergeCell ref="A17:B17"/>
    <mergeCell ref="E17:F17"/>
    <mergeCell ref="G17:H17"/>
    <mergeCell ref="A18:B18"/>
    <mergeCell ref="E18:F18"/>
    <mergeCell ref="G18:H18"/>
    <mergeCell ref="A16:B16"/>
    <mergeCell ref="E16:F16"/>
    <mergeCell ref="G16:H16"/>
    <mergeCell ref="A1:A5"/>
    <mergeCell ref="B1:F1"/>
    <mergeCell ref="B2:F2"/>
    <mergeCell ref="B3:F3"/>
    <mergeCell ref="G3:G5"/>
    <mergeCell ref="H3:H5"/>
    <mergeCell ref="C4:F4"/>
    <mergeCell ref="C5:F5"/>
    <mergeCell ref="A6:A7"/>
    <mergeCell ref="B6:B7"/>
    <mergeCell ref="C6:C7"/>
    <mergeCell ref="D6:E6"/>
    <mergeCell ref="F6:G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B8AA7-653E-4BBC-98FE-DE70D16FDB79}">
  <dimension ref="A1:Q91"/>
  <sheetViews>
    <sheetView topLeftCell="A34" workbookViewId="0">
      <selection activeCell="B66" sqref="B66:E66"/>
    </sheetView>
  </sheetViews>
  <sheetFormatPr baseColWidth="10" defaultColWidth="8.42578125" defaultRowHeight="12.75" x14ac:dyDescent="0.25"/>
  <cols>
    <col min="1" max="1" width="10" style="119" bestFit="1" customWidth="1"/>
    <col min="2" max="2" width="44.42578125" style="119" bestFit="1" customWidth="1"/>
    <col min="3" max="3" width="10.42578125" style="119" bestFit="1" customWidth="1"/>
    <col min="4" max="4" width="10.42578125" style="119" customWidth="1"/>
    <col min="5" max="6" width="9.5703125" style="119" bestFit="1" customWidth="1"/>
    <col min="7" max="7" width="9.5703125" style="107" bestFit="1" customWidth="1"/>
    <col min="8" max="8" width="10.42578125" style="184" bestFit="1" customWidth="1"/>
    <col min="9" max="9" width="4.5703125" style="184" customWidth="1"/>
    <col min="10" max="10" width="1.85546875" style="118" customWidth="1"/>
    <col min="11" max="11" width="7" style="119" bestFit="1" customWidth="1"/>
    <col min="12" max="12" width="6.42578125" style="119" customWidth="1"/>
    <col min="13" max="13" width="20.42578125" style="119" customWidth="1"/>
    <col min="14" max="14" width="6.42578125" style="119" bestFit="1" customWidth="1"/>
    <col min="15" max="16" width="8.42578125" style="119"/>
    <col min="17" max="17" width="3.42578125" style="119" customWidth="1"/>
    <col min="18" max="256" width="8.42578125" style="119"/>
    <col min="257" max="257" width="10" style="119" bestFit="1" customWidth="1"/>
    <col min="258" max="258" width="44.42578125" style="119" bestFit="1" customWidth="1"/>
    <col min="259" max="259" width="10.42578125" style="119" bestFit="1" customWidth="1"/>
    <col min="260" max="260" width="10.42578125" style="119" customWidth="1"/>
    <col min="261" max="263" width="9.5703125" style="119" bestFit="1" customWidth="1"/>
    <col min="264" max="264" width="10.42578125" style="119" bestFit="1" customWidth="1"/>
    <col min="265" max="265" width="4.5703125" style="119" customWidth="1"/>
    <col min="266" max="266" width="1.85546875" style="119" customWidth="1"/>
    <col min="267" max="267" width="7" style="119" bestFit="1" customWidth="1"/>
    <col min="268" max="268" width="6.42578125" style="119" customWidth="1"/>
    <col min="269" max="269" width="20.42578125" style="119" customWidth="1"/>
    <col min="270" max="270" width="6.42578125" style="119" bestFit="1" customWidth="1"/>
    <col min="271" max="272" width="8.42578125" style="119"/>
    <col min="273" max="273" width="3.42578125" style="119" customWidth="1"/>
    <col min="274" max="512" width="8.42578125" style="119"/>
    <col min="513" max="513" width="10" style="119" bestFit="1" customWidth="1"/>
    <col min="514" max="514" width="44.42578125" style="119" bestFit="1" customWidth="1"/>
    <col min="515" max="515" width="10.42578125" style="119" bestFit="1" customWidth="1"/>
    <col min="516" max="516" width="10.42578125" style="119" customWidth="1"/>
    <col min="517" max="519" width="9.5703125" style="119" bestFit="1" customWidth="1"/>
    <col min="520" max="520" width="10.42578125" style="119" bestFit="1" customWidth="1"/>
    <col min="521" max="521" width="4.5703125" style="119" customWidth="1"/>
    <col min="522" max="522" width="1.85546875" style="119" customWidth="1"/>
    <col min="523" max="523" width="7" style="119" bestFit="1" customWidth="1"/>
    <col min="524" max="524" width="6.42578125" style="119" customWidth="1"/>
    <col min="525" max="525" width="20.42578125" style="119" customWidth="1"/>
    <col min="526" max="526" width="6.42578125" style="119" bestFit="1" customWidth="1"/>
    <col min="527" max="528" width="8.42578125" style="119"/>
    <col min="529" max="529" width="3.42578125" style="119" customWidth="1"/>
    <col min="530" max="768" width="8.42578125" style="119"/>
    <col min="769" max="769" width="10" style="119" bestFit="1" customWidth="1"/>
    <col min="770" max="770" width="44.42578125" style="119" bestFit="1" customWidth="1"/>
    <col min="771" max="771" width="10.42578125" style="119" bestFit="1" customWidth="1"/>
    <col min="772" max="772" width="10.42578125" style="119" customWidth="1"/>
    <col min="773" max="775" width="9.5703125" style="119" bestFit="1" customWidth="1"/>
    <col min="776" max="776" width="10.42578125" style="119" bestFit="1" customWidth="1"/>
    <col min="777" max="777" width="4.5703125" style="119" customWidth="1"/>
    <col min="778" max="778" width="1.85546875" style="119" customWidth="1"/>
    <col min="779" max="779" width="7" style="119" bestFit="1" customWidth="1"/>
    <col min="780" max="780" width="6.42578125" style="119" customWidth="1"/>
    <col min="781" max="781" width="20.42578125" style="119" customWidth="1"/>
    <col min="782" max="782" width="6.42578125" style="119" bestFit="1" customWidth="1"/>
    <col min="783" max="784" width="8.42578125" style="119"/>
    <col min="785" max="785" width="3.42578125" style="119" customWidth="1"/>
    <col min="786" max="1024" width="8.42578125" style="119"/>
    <col min="1025" max="1025" width="10" style="119" bestFit="1" customWidth="1"/>
    <col min="1026" max="1026" width="44.42578125" style="119" bestFit="1" customWidth="1"/>
    <col min="1027" max="1027" width="10.42578125" style="119" bestFit="1" customWidth="1"/>
    <col min="1028" max="1028" width="10.42578125" style="119" customWidth="1"/>
    <col min="1029" max="1031" width="9.5703125" style="119" bestFit="1" customWidth="1"/>
    <col min="1032" max="1032" width="10.42578125" style="119" bestFit="1" customWidth="1"/>
    <col min="1033" max="1033" width="4.5703125" style="119" customWidth="1"/>
    <col min="1034" max="1034" width="1.85546875" style="119" customWidth="1"/>
    <col min="1035" max="1035" width="7" style="119" bestFit="1" customWidth="1"/>
    <col min="1036" max="1036" width="6.42578125" style="119" customWidth="1"/>
    <col min="1037" max="1037" width="20.42578125" style="119" customWidth="1"/>
    <col min="1038" max="1038" width="6.42578125" style="119" bestFit="1" customWidth="1"/>
    <col min="1039" max="1040" width="8.42578125" style="119"/>
    <col min="1041" max="1041" width="3.42578125" style="119" customWidth="1"/>
    <col min="1042" max="1280" width="8.42578125" style="119"/>
    <col min="1281" max="1281" width="10" style="119" bestFit="1" customWidth="1"/>
    <col min="1282" max="1282" width="44.42578125" style="119" bestFit="1" customWidth="1"/>
    <col min="1283" max="1283" width="10.42578125" style="119" bestFit="1" customWidth="1"/>
    <col min="1284" max="1284" width="10.42578125" style="119" customWidth="1"/>
    <col min="1285" max="1287" width="9.5703125" style="119" bestFit="1" customWidth="1"/>
    <col min="1288" max="1288" width="10.42578125" style="119" bestFit="1" customWidth="1"/>
    <col min="1289" max="1289" width="4.5703125" style="119" customWidth="1"/>
    <col min="1290" max="1290" width="1.85546875" style="119" customWidth="1"/>
    <col min="1291" max="1291" width="7" style="119" bestFit="1" customWidth="1"/>
    <col min="1292" max="1292" width="6.42578125" style="119" customWidth="1"/>
    <col min="1293" max="1293" width="20.42578125" style="119" customWidth="1"/>
    <col min="1294" max="1294" width="6.42578125" style="119" bestFit="1" customWidth="1"/>
    <col min="1295" max="1296" width="8.42578125" style="119"/>
    <col min="1297" max="1297" width="3.42578125" style="119" customWidth="1"/>
    <col min="1298" max="1536" width="8.42578125" style="119"/>
    <col min="1537" max="1537" width="10" style="119" bestFit="1" customWidth="1"/>
    <col min="1538" max="1538" width="44.42578125" style="119" bestFit="1" customWidth="1"/>
    <col min="1539" max="1539" width="10.42578125" style="119" bestFit="1" customWidth="1"/>
    <col min="1540" max="1540" width="10.42578125" style="119" customWidth="1"/>
    <col min="1541" max="1543" width="9.5703125" style="119" bestFit="1" customWidth="1"/>
    <col min="1544" max="1544" width="10.42578125" style="119" bestFit="1" customWidth="1"/>
    <col min="1545" max="1545" width="4.5703125" style="119" customWidth="1"/>
    <col min="1546" max="1546" width="1.85546875" style="119" customWidth="1"/>
    <col min="1547" max="1547" width="7" style="119" bestFit="1" customWidth="1"/>
    <col min="1548" max="1548" width="6.42578125" style="119" customWidth="1"/>
    <col min="1549" max="1549" width="20.42578125" style="119" customWidth="1"/>
    <col min="1550" max="1550" width="6.42578125" style="119" bestFit="1" customWidth="1"/>
    <col min="1551" max="1552" width="8.42578125" style="119"/>
    <col min="1553" max="1553" width="3.42578125" style="119" customWidth="1"/>
    <col min="1554" max="1792" width="8.42578125" style="119"/>
    <col min="1793" max="1793" width="10" style="119" bestFit="1" customWidth="1"/>
    <col min="1794" max="1794" width="44.42578125" style="119" bestFit="1" customWidth="1"/>
    <col min="1795" max="1795" width="10.42578125" style="119" bestFit="1" customWidth="1"/>
    <col min="1796" max="1796" width="10.42578125" style="119" customWidth="1"/>
    <col min="1797" max="1799" width="9.5703125" style="119" bestFit="1" customWidth="1"/>
    <col min="1800" max="1800" width="10.42578125" style="119" bestFit="1" customWidth="1"/>
    <col min="1801" max="1801" width="4.5703125" style="119" customWidth="1"/>
    <col min="1802" max="1802" width="1.85546875" style="119" customWidth="1"/>
    <col min="1803" max="1803" width="7" style="119" bestFit="1" customWidth="1"/>
    <col min="1804" max="1804" width="6.42578125" style="119" customWidth="1"/>
    <col min="1805" max="1805" width="20.42578125" style="119" customWidth="1"/>
    <col min="1806" max="1806" width="6.42578125" style="119" bestFit="1" customWidth="1"/>
    <col min="1807" max="1808" width="8.42578125" style="119"/>
    <col min="1809" max="1809" width="3.42578125" style="119" customWidth="1"/>
    <col min="1810" max="2048" width="8.42578125" style="119"/>
    <col min="2049" max="2049" width="10" style="119" bestFit="1" customWidth="1"/>
    <col min="2050" max="2050" width="44.42578125" style="119" bestFit="1" customWidth="1"/>
    <col min="2051" max="2051" width="10.42578125" style="119" bestFit="1" customWidth="1"/>
    <col min="2052" max="2052" width="10.42578125" style="119" customWidth="1"/>
    <col min="2053" max="2055" width="9.5703125" style="119" bestFit="1" customWidth="1"/>
    <col min="2056" max="2056" width="10.42578125" style="119" bestFit="1" customWidth="1"/>
    <col min="2057" max="2057" width="4.5703125" style="119" customWidth="1"/>
    <col min="2058" max="2058" width="1.85546875" style="119" customWidth="1"/>
    <col min="2059" max="2059" width="7" style="119" bestFit="1" customWidth="1"/>
    <col min="2060" max="2060" width="6.42578125" style="119" customWidth="1"/>
    <col min="2061" max="2061" width="20.42578125" style="119" customWidth="1"/>
    <col min="2062" max="2062" width="6.42578125" style="119" bestFit="1" customWidth="1"/>
    <col min="2063" max="2064" width="8.42578125" style="119"/>
    <col min="2065" max="2065" width="3.42578125" style="119" customWidth="1"/>
    <col min="2066" max="2304" width="8.42578125" style="119"/>
    <col min="2305" max="2305" width="10" style="119" bestFit="1" customWidth="1"/>
    <col min="2306" max="2306" width="44.42578125" style="119" bestFit="1" customWidth="1"/>
    <col min="2307" max="2307" width="10.42578125" style="119" bestFit="1" customWidth="1"/>
    <col min="2308" max="2308" width="10.42578125" style="119" customWidth="1"/>
    <col min="2309" max="2311" width="9.5703125" style="119" bestFit="1" customWidth="1"/>
    <col min="2312" max="2312" width="10.42578125" style="119" bestFit="1" customWidth="1"/>
    <col min="2313" max="2313" width="4.5703125" style="119" customWidth="1"/>
    <col min="2314" max="2314" width="1.85546875" style="119" customWidth="1"/>
    <col min="2315" max="2315" width="7" style="119" bestFit="1" customWidth="1"/>
    <col min="2316" max="2316" width="6.42578125" style="119" customWidth="1"/>
    <col min="2317" max="2317" width="20.42578125" style="119" customWidth="1"/>
    <col min="2318" max="2318" width="6.42578125" style="119" bestFit="1" customWidth="1"/>
    <col min="2319" max="2320" width="8.42578125" style="119"/>
    <col min="2321" max="2321" width="3.42578125" style="119" customWidth="1"/>
    <col min="2322" max="2560" width="8.42578125" style="119"/>
    <col min="2561" max="2561" width="10" style="119" bestFit="1" customWidth="1"/>
    <col min="2562" max="2562" width="44.42578125" style="119" bestFit="1" customWidth="1"/>
    <col min="2563" max="2563" width="10.42578125" style="119" bestFit="1" customWidth="1"/>
    <col min="2564" max="2564" width="10.42578125" style="119" customWidth="1"/>
    <col min="2565" max="2567" width="9.5703125" style="119" bestFit="1" customWidth="1"/>
    <col min="2568" max="2568" width="10.42578125" style="119" bestFit="1" customWidth="1"/>
    <col min="2569" max="2569" width="4.5703125" style="119" customWidth="1"/>
    <col min="2570" max="2570" width="1.85546875" style="119" customWidth="1"/>
    <col min="2571" max="2571" width="7" style="119" bestFit="1" customWidth="1"/>
    <col min="2572" max="2572" width="6.42578125" style="119" customWidth="1"/>
    <col min="2573" max="2573" width="20.42578125" style="119" customWidth="1"/>
    <col min="2574" max="2574" width="6.42578125" style="119" bestFit="1" customWidth="1"/>
    <col min="2575" max="2576" width="8.42578125" style="119"/>
    <col min="2577" max="2577" width="3.42578125" style="119" customWidth="1"/>
    <col min="2578" max="2816" width="8.42578125" style="119"/>
    <col min="2817" max="2817" width="10" style="119" bestFit="1" customWidth="1"/>
    <col min="2818" max="2818" width="44.42578125" style="119" bestFit="1" customWidth="1"/>
    <col min="2819" max="2819" width="10.42578125" style="119" bestFit="1" customWidth="1"/>
    <col min="2820" max="2820" width="10.42578125" style="119" customWidth="1"/>
    <col min="2821" max="2823" width="9.5703125" style="119" bestFit="1" customWidth="1"/>
    <col min="2824" max="2824" width="10.42578125" style="119" bestFit="1" customWidth="1"/>
    <col min="2825" max="2825" width="4.5703125" style="119" customWidth="1"/>
    <col min="2826" max="2826" width="1.85546875" style="119" customWidth="1"/>
    <col min="2827" max="2827" width="7" style="119" bestFit="1" customWidth="1"/>
    <col min="2828" max="2828" width="6.42578125" style="119" customWidth="1"/>
    <col min="2829" max="2829" width="20.42578125" style="119" customWidth="1"/>
    <col min="2830" max="2830" width="6.42578125" style="119" bestFit="1" customWidth="1"/>
    <col min="2831" max="2832" width="8.42578125" style="119"/>
    <col min="2833" max="2833" width="3.42578125" style="119" customWidth="1"/>
    <col min="2834" max="3072" width="8.42578125" style="119"/>
    <col min="3073" max="3073" width="10" style="119" bestFit="1" customWidth="1"/>
    <col min="3074" max="3074" width="44.42578125" style="119" bestFit="1" customWidth="1"/>
    <col min="3075" max="3075" width="10.42578125" style="119" bestFit="1" customWidth="1"/>
    <col min="3076" max="3076" width="10.42578125" style="119" customWidth="1"/>
    <col min="3077" max="3079" width="9.5703125" style="119" bestFit="1" customWidth="1"/>
    <col min="3080" max="3080" width="10.42578125" style="119" bestFit="1" customWidth="1"/>
    <col min="3081" max="3081" width="4.5703125" style="119" customWidth="1"/>
    <col min="3082" max="3082" width="1.85546875" style="119" customWidth="1"/>
    <col min="3083" max="3083" width="7" style="119" bestFit="1" customWidth="1"/>
    <col min="3084" max="3084" width="6.42578125" style="119" customWidth="1"/>
    <col min="3085" max="3085" width="20.42578125" style="119" customWidth="1"/>
    <col min="3086" max="3086" width="6.42578125" style="119" bestFit="1" customWidth="1"/>
    <col min="3087" max="3088" width="8.42578125" style="119"/>
    <col min="3089" max="3089" width="3.42578125" style="119" customWidth="1"/>
    <col min="3090" max="3328" width="8.42578125" style="119"/>
    <col min="3329" max="3329" width="10" style="119" bestFit="1" customWidth="1"/>
    <col min="3330" max="3330" width="44.42578125" style="119" bestFit="1" customWidth="1"/>
    <col min="3331" max="3331" width="10.42578125" style="119" bestFit="1" customWidth="1"/>
    <col min="3332" max="3332" width="10.42578125" style="119" customWidth="1"/>
    <col min="3333" max="3335" width="9.5703125" style="119" bestFit="1" customWidth="1"/>
    <col min="3336" max="3336" width="10.42578125" style="119" bestFit="1" customWidth="1"/>
    <col min="3337" max="3337" width="4.5703125" style="119" customWidth="1"/>
    <col min="3338" max="3338" width="1.85546875" style="119" customWidth="1"/>
    <col min="3339" max="3339" width="7" style="119" bestFit="1" customWidth="1"/>
    <col min="3340" max="3340" width="6.42578125" style="119" customWidth="1"/>
    <col min="3341" max="3341" width="20.42578125" style="119" customWidth="1"/>
    <col min="3342" max="3342" width="6.42578125" style="119" bestFit="1" customWidth="1"/>
    <col min="3343" max="3344" width="8.42578125" style="119"/>
    <col min="3345" max="3345" width="3.42578125" style="119" customWidth="1"/>
    <col min="3346" max="3584" width="8.42578125" style="119"/>
    <col min="3585" max="3585" width="10" style="119" bestFit="1" customWidth="1"/>
    <col min="3586" max="3586" width="44.42578125" style="119" bestFit="1" customWidth="1"/>
    <col min="3587" max="3587" width="10.42578125" style="119" bestFit="1" customWidth="1"/>
    <col min="3588" max="3588" width="10.42578125" style="119" customWidth="1"/>
    <col min="3589" max="3591" width="9.5703125" style="119" bestFit="1" customWidth="1"/>
    <col min="3592" max="3592" width="10.42578125" style="119" bestFit="1" customWidth="1"/>
    <col min="3593" max="3593" width="4.5703125" style="119" customWidth="1"/>
    <col min="3594" max="3594" width="1.85546875" style="119" customWidth="1"/>
    <col min="3595" max="3595" width="7" style="119" bestFit="1" customWidth="1"/>
    <col min="3596" max="3596" width="6.42578125" style="119" customWidth="1"/>
    <col min="3597" max="3597" width="20.42578125" style="119" customWidth="1"/>
    <col min="3598" max="3598" width="6.42578125" style="119" bestFit="1" customWidth="1"/>
    <col min="3599" max="3600" width="8.42578125" style="119"/>
    <col min="3601" max="3601" width="3.42578125" style="119" customWidth="1"/>
    <col min="3602" max="3840" width="8.42578125" style="119"/>
    <col min="3841" max="3841" width="10" style="119" bestFit="1" customWidth="1"/>
    <col min="3842" max="3842" width="44.42578125" style="119" bestFit="1" customWidth="1"/>
    <col min="3843" max="3843" width="10.42578125" style="119" bestFit="1" customWidth="1"/>
    <col min="3844" max="3844" width="10.42578125" style="119" customWidth="1"/>
    <col min="3845" max="3847" width="9.5703125" style="119" bestFit="1" customWidth="1"/>
    <col min="3848" max="3848" width="10.42578125" style="119" bestFit="1" customWidth="1"/>
    <col min="3849" max="3849" width="4.5703125" style="119" customWidth="1"/>
    <col min="3850" max="3850" width="1.85546875" style="119" customWidth="1"/>
    <col min="3851" max="3851" width="7" style="119" bestFit="1" customWidth="1"/>
    <col min="3852" max="3852" width="6.42578125" style="119" customWidth="1"/>
    <col min="3853" max="3853" width="20.42578125" style="119" customWidth="1"/>
    <col min="3854" max="3854" width="6.42578125" style="119" bestFit="1" customWidth="1"/>
    <col min="3855" max="3856" width="8.42578125" style="119"/>
    <col min="3857" max="3857" width="3.42578125" style="119" customWidth="1"/>
    <col min="3858" max="4096" width="8.42578125" style="119"/>
    <col min="4097" max="4097" width="10" style="119" bestFit="1" customWidth="1"/>
    <col min="4098" max="4098" width="44.42578125" style="119" bestFit="1" customWidth="1"/>
    <col min="4099" max="4099" width="10.42578125" style="119" bestFit="1" customWidth="1"/>
    <col min="4100" max="4100" width="10.42578125" style="119" customWidth="1"/>
    <col min="4101" max="4103" width="9.5703125" style="119" bestFit="1" customWidth="1"/>
    <col min="4104" max="4104" width="10.42578125" style="119" bestFit="1" customWidth="1"/>
    <col min="4105" max="4105" width="4.5703125" style="119" customWidth="1"/>
    <col min="4106" max="4106" width="1.85546875" style="119" customWidth="1"/>
    <col min="4107" max="4107" width="7" style="119" bestFit="1" customWidth="1"/>
    <col min="4108" max="4108" width="6.42578125" style="119" customWidth="1"/>
    <col min="4109" max="4109" width="20.42578125" style="119" customWidth="1"/>
    <col min="4110" max="4110" width="6.42578125" style="119" bestFit="1" customWidth="1"/>
    <col min="4111" max="4112" width="8.42578125" style="119"/>
    <col min="4113" max="4113" width="3.42578125" style="119" customWidth="1"/>
    <col min="4114" max="4352" width="8.42578125" style="119"/>
    <col min="4353" max="4353" width="10" style="119" bestFit="1" customWidth="1"/>
    <col min="4354" max="4354" width="44.42578125" style="119" bestFit="1" customWidth="1"/>
    <col min="4355" max="4355" width="10.42578125" style="119" bestFit="1" customWidth="1"/>
    <col min="4356" max="4356" width="10.42578125" style="119" customWidth="1"/>
    <col min="4357" max="4359" width="9.5703125" style="119" bestFit="1" customWidth="1"/>
    <col min="4360" max="4360" width="10.42578125" style="119" bestFit="1" customWidth="1"/>
    <col min="4361" max="4361" width="4.5703125" style="119" customWidth="1"/>
    <col min="4362" max="4362" width="1.85546875" style="119" customWidth="1"/>
    <col min="4363" max="4363" width="7" style="119" bestFit="1" customWidth="1"/>
    <col min="4364" max="4364" width="6.42578125" style="119" customWidth="1"/>
    <col min="4365" max="4365" width="20.42578125" style="119" customWidth="1"/>
    <col min="4366" max="4366" width="6.42578125" style="119" bestFit="1" customWidth="1"/>
    <col min="4367" max="4368" width="8.42578125" style="119"/>
    <col min="4369" max="4369" width="3.42578125" style="119" customWidth="1"/>
    <col min="4370" max="4608" width="8.42578125" style="119"/>
    <col min="4609" max="4609" width="10" style="119" bestFit="1" customWidth="1"/>
    <col min="4610" max="4610" width="44.42578125" style="119" bestFit="1" customWidth="1"/>
    <col min="4611" max="4611" width="10.42578125" style="119" bestFit="1" customWidth="1"/>
    <col min="4612" max="4612" width="10.42578125" style="119" customWidth="1"/>
    <col min="4613" max="4615" width="9.5703125" style="119" bestFit="1" customWidth="1"/>
    <col min="4616" max="4616" width="10.42578125" style="119" bestFit="1" customWidth="1"/>
    <col min="4617" max="4617" width="4.5703125" style="119" customWidth="1"/>
    <col min="4618" max="4618" width="1.85546875" style="119" customWidth="1"/>
    <col min="4619" max="4619" width="7" style="119" bestFit="1" customWidth="1"/>
    <col min="4620" max="4620" width="6.42578125" style="119" customWidth="1"/>
    <col min="4621" max="4621" width="20.42578125" style="119" customWidth="1"/>
    <col min="4622" max="4622" width="6.42578125" style="119" bestFit="1" customWidth="1"/>
    <col min="4623" max="4624" width="8.42578125" style="119"/>
    <col min="4625" max="4625" width="3.42578125" style="119" customWidth="1"/>
    <col min="4626" max="4864" width="8.42578125" style="119"/>
    <col min="4865" max="4865" width="10" style="119" bestFit="1" customWidth="1"/>
    <col min="4866" max="4866" width="44.42578125" style="119" bestFit="1" customWidth="1"/>
    <col min="4867" max="4867" width="10.42578125" style="119" bestFit="1" customWidth="1"/>
    <col min="4868" max="4868" width="10.42578125" style="119" customWidth="1"/>
    <col min="4869" max="4871" width="9.5703125" style="119" bestFit="1" customWidth="1"/>
    <col min="4872" max="4872" width="10.42578125" style="119" bestFit="1" customWidth="1"/>
    <col min="4873" max="4873" width="4.5703125" style="119" customWidth="1"/>
    <col min="4874" max="4874" width="1.85546875" style="119" customWidth="1"/>
    <col min="4875" max="4875" width="7" style="119" bestFit="1" customWidth="1"/>
    <col min="4876" max="4876" width="6.42578125" style="119" customWidth="1"/>
    <col min="4877" max="4877" width="20.42578125" style="119" customWidth="1"/>
    <col min="4878" max="4878" width="6.42578125" style="119" bestFit="1" customWidth="1"/>
    <col min="4879" max="4880" width="8.42578125" style="119"/>
    <col min="4881" max="4881" width="3.42578125" style="119" customWidth="1"/>
    <col min="4882" max="5120" width="8.42578125" style="119"/>
    <col min="5121" max="5121" width="10" style="119" bestFit="1" customWidth="1"/>
    <col min="5122" max="5122" width="44.42578125" style="119" bestFit="1" customWidth="1"/>
    <col min="5123" max="5123" width="10.42578125" style="119" bestFit="1" customWidth="1"/>
    <col min="5124" max="5124" width="10.42578125" style="119" customWidth="1"/>
    <col min="5125" max="5127" width="9.5703125" style="119" bestFit="1" customWidth="1"/>
    <col min="5128" max="5128" width="10.42578125" style="119" bestFit="1" customWidth="1"/>
    <col min="5129" max="5129" width="4.5703125" style="119" customWidth="1"/>
    <col min="5130" max="5130" width="1.85546875" style="119" customWidth="1"/>
    <col min="5131" max="5131" width="7" style="119" bestFit="1" customWidth="1"/>
    <col min="5132" max="5132" width="6.42578125" style="119" customWidth="1"/>
    <col min="5133" max="5133" width="20.42578125" style="119" customWidth="1"/>
    <col min="5134" max="5134" width="6.42578125" style="119" bestFit="1" customWidth="1"/>
    <col min="5135" max="5136" width="8.42578125" style="119"/>
    <col min="5137" max="5137" width="3.42578125" style="119" customWidth="1"/>
    <col min="5138" max="5376" width="8.42578125" style="119"/>
    <col min="5377" max="5377" width="10" style="119" bestFit="1" customWidth="1"/>
    <col min="5378" max="5378" width="44.42578125" style="119" bestFit="1" customWidth="1"/>
    <col min="5379" max="5379" width="10.42578125" style="119" bestFit="1" customWidth="1"/>
    <col min="5380" max="5380" width="10.42578125" style="119" customWidth="1"/>
    <col min="5381" max="5383" width="9.5703125" style="119" bestFit="1" customWidth="1"/>
    <col min="5384" max="5384" width="10.42578125" style="119" bestFit="1" customWidth="1"/>
    <col min="5385" max="5385" width="4.5703125" style="119" customWidth="1"/>
    <col min="5386" max="5386" width="1.85546875" style="119" customWidth="1"/>
    <col min="5387" max="5387" width="7" style="119" bestFit="1" customWidth="1"/>
    <col min="5388" max="5388" width="6.42578125" style="119" customWidth="1"/>
    <col min="5389" max="5389" width="20.42578125" style="119" customWidth="1"/>
    <col min="5390" max="5390" width="6.42578125" style="119" bestFit="1" customWidth="1"/>
    <col min="5391" max="5392" width="8.42578125" style="119"/>
    <col min="5393" max="5393" width="3.42578125" style="119" customWidth="1"/>
    <col min="5394" max="5632" width="8.42578125" style="119"/>
    <col min="5633" max="5633" width="10" style="119" bestFit="1" customWidth="1"/>
    <col min="5634" max="5634" width="44.42578125" style="119" bestFit="1" customWidth="1"/>
    <col min="5635" max="5635" width="10.42578125" style="119" bestFit="1" customWidth="1"/>
    <col min="5636" max="5636" width="10.42578125" style="119" customWidth="1"/>
    <col min="5637" max="5639" width="9.5703125" style="119" bestFit="1" customWidth="1"/>
    <col min="5640" max="5640" width="10.42578125" style="119" bestFit="1" customWidth="1"/>
    <col min="5641" max="5641" width="4.5703125" style="119" customWidth="1"/>
    <col min="5642" max="5642" width="1.85546875" style="119" customWidth="1"/>
    <col min="5643" max="5643" width="7" style="119" bestFit="1" customWidth="1"/>
    <col min="5644" max="5644" width="6.42578125" style="119" customWidth="1"/>
    <col min="5645" max="5645" width="20.42578125" style="119" customWidth="1"/>
    <col min="5646" max="5646" width="6.42578125" style="119" bestFit="1" customWidth="1"/>
    <col min="5647" max="5648" width="8.42578125" style="119"/>
    <col min="5649" max="5649" width="3.42578125" style="119" customWidth="1"/>
    <col min="5650" max="5888" width="8.42578125" style="119"/>
    <col min="5889" max="5889" width="10" style="119" bestFit="1" customWidth="1"/>
    <col min="5890" max="5890" width="44.42578125" style="119" bestFit="1" customWidth="1"/>
    <col min="5891" max="5891" width="10.42578125" style="119" bestFit="1" customWidth="1"/>
    <col min="5892" max="5892" width="10.42578125" style="119" customWidth="1"/>
    <col min="5893" max="5895" width="9.5703125" style="119" bestFit="1" customWidth="1"/>
    <col min="5896" max="5896" width="10.42578125" style="119" bestFit="1" customWidth="1"/>
    <col min="5897" max="5897" width="4.5703125" style="119" customWidth="1"/>
    <col min="5898" max="5898" width="1.85546875" style="119" customWidth="1"/>
    <col min="5899" max="5899" width="7" style="119" bestFit="1" customWidth="1"/>
    <col min="5900" max="5900" width="6.42578125" style="119" customWidth="1"/>
    <col min="5901" max="5901" width="20.42578125" style="119" customWidth="1"/>
    <col min="5902" max="5902" width="6.42578125" style="119" bestFit="1" customWidth="1"/>
    <col min="5903" max="5904" width="8.42578125" style="119"/>
    <col min="5905" max="5905" width="3.42578125" style="119" customWidth="1"/>
    <col min="5906" max="6144" width="8.42578125" style="119"/>
    <col min="6145" max="6145" width="10" style="119" bestFit="1" customWidth="1"/>
    <col min="6146" max="6146" width="44.42578125" style="119" bestFit="1" customWidth="1"/>
    <col min="6147" max="6147" width="10.42578125" style="119" bestFit="1" customWidth="1"/>
    <col min="6148" max="6148" width="10.42578125" style="119" customWidth="1"/>
    <col min="6149" max="6151" width="9.5703125" style="119" bestFit="1" customWidth="1"/>
    <col min="6152" max="6152" width="10.42578125" style="119" bestFit="1" customWidth="1"/>
    <col min="6153" max="6153" width="4.5703125" style="119" customWidth="1"/>
    <col min="6154" max="6154" width="1.85546875" style="119" customWidth="1"/>
    <col min="6155" max="6155" width="7" style="119" bestFit="1" customWidth="1"/>
    <col min="6156" max="6156" width="6.42578125" style="119" customWidth="1"/>
    <col min="6157" max="6157" width="20.42578125" style="119" customWidth="1"/>
    <col min="6158" max="6158" width="6.42578125" style="119" bestFit="1" customWidth="1"/>
    <col min="6159" max="6160" width="8.42578125" style="119"/>
    <col min="6161" max="6161" width="3.42578125" style="119" customWidth="1"/>
    <col min="6162" max="6400" width="8.42578125" style="119"/>
    <col min="6401" max="6401" width="10" style="119" bestFit="1" customWidth="1"/>
    <col min="6402" max="6402" width="44.42578125" style="119" bestFit="1" customWidth="1"/>
    <col min="6403" max="6403" width="10.42578125" style="119" bestFit="1" customWidth="1"/>
    <col min="6404" max="6404" width="10.42578125" style="119" customWidth="1"/>
    <col min="6405" max="6407" width="9.5703125" style="119" bestFit="1" customWidth="1"/>
    <col min="6408" max="6408" width="10.42578125" style="119" bestFit="1" customWidth="1"/>
    <col min="6409" max="6409" width="4.5703125" style="119" customWidth="1"/>
    <col min="6410" max="6410" width="1.85546875" style="119" customWidth="1"/>
    <col min="6411" max="6411" width="7" style="119" bestFit="1" customWidth="1"/>
    <col min="6412" max="6412" width="6.42578125" style="119" customWidth="1"/>
    <col min="6413" max="6413" width="20.42578125" style="119" customWidth="1"/>
    <col min="6414" max="6414" width="6.42578125" style="119" bestFit="1" customWidth="1"/>
    <col min="6415" max="6416" width="8.42578125" style="119"/>
    <col min="6417" max="6417" width="3.42578125" style="119" customWidth="1"/>
    <col min="6418" max="6656" width="8.42578125" style="119"/>
    <col min="6657" max="6657" width="10" style="119" bestFit="1" customWidth="1"/>
    <col min="6658" max="6658" width="44.42578125" style="119" bestFit="1" customWidth="1"/>
    <col min="6659" max="6659" width="10.42578125" style="119" bestFit="1" customWidth="1"/>
    <col min="6660" max="6660" width="10.42578125" style="119" customWidth="1"/>
    <col min="6661" max="6663" width="9.5703125" style="119" bestFit="1" customWidth="1"/>
    <col min="6664" max="6664" width="10.42578125" style="119" bestFit="1" customWidth="1"/>
    <col min="6665" max="6665" width="4.5703125" style="119" customWidth="1"/>
    <col min="6666" max="6666" width="1.85546875" style="119" customWidth="1"/>
    <col min="6667" max="6667" width="7" style="119" bestFit="1" customWidth="1"/>
    <col min="6668" max="6668" width="6.42578125" style="119" customWidth="1"/>
    <col min="6669" max="6669" width="20.42578125" style="119" customWidth="1"/>
    <col min="6670" max="6670" width="6.42578125" style="119" bestFit="1" customWidth="1"/>
    <col min="6671" max="6672" width="8.42578125" style="119"/>
    <col min="6673" max="6673" width="3.42578125" style="119" customWidth="1"/>
    <col min="6674" max="6912" width="8.42578125" style="119"/>
    <col min="6913" max="6913" width="10" style="119" bestFit="1" customWidth="1"/>
    <col min="6914" max="6914" width="44.42578125" style="119" bestFit="1" customWidth="1"/>
    <col min="6915" max="6915" width="10.42578125" style="119" bestFit="1" customWidth="1"/>
    <col min="6916" max="6916" width="10.42578125" style="119" customWidth="1"/>
    <col min="6917" max="6919" width="9.5703125" style="119" bestFit="1" customWidth="1"/>
    <col min="6920" max="6920" width="10.42578125" style="119" bestFit="1" customWidth="1"/>
    <col min="6921" max="6921" width="4.5703125" style="119" customWidth="1"/>
    <col min="6922" max="6922" width="1.85546875" style="119" customWidth="1"/>
    <col min="6923" max="6923" width="7" style="119" bestFit="1" customWidth="1"/>
    <col min="6924" max="6924" width="6.42578125" style="119" customWidth="1"/>
    <col min="6925" max="6925" width="20.42578125" style="119" customWidth="1"/>
    <col min="6926" max="6926" width="6.42578125" style="119" bestFit="1" customWidth="1"/>
    <col min="6927" max="6928" width="8.42578125" style="119"/>
    <col min="6929" max="6929" width="3.42578125" style="119" customWidth="1"/>
    <col min="6930" max="7168" width="8.42578125" style="119"/>
    <col min="7169" max="7169" width="10" style="119" bestFit="1" customWidth="1"/>
    <col min="7170" max="7170" width="44.42578125" style="119" bestFit="1" customWidth="1"/>
    <col min="7171" max="7171" width="10.42578125" style="119" bestFit="1" customWidth="1"/>
    <col min="7172" max="7172" width="10.42578125" style="119" customWidth="1"/>
    <col min="7173" max="7175" width="9.5703125" style="119" bestFit="1" customWidth="1"/>
    <col min="7176" max="7176" width="10.42578125" style="119" bestFit="1" customWidth="1"/>
    <col min="7177" max="7177" width="4.5703125" style="119" customWidth="1"/>
    <col min="7178" max="7178" width="1.85546875" style="119" customWidth="1"/>
    <col min="7179" max="7179" width="7" style="119" bestFit="1" customWidth="1"/>
    <col min="7180" max="7180" width="6.42578125" style="119" customWidth="1"/>
    <col min="7181" max="7181" width="20.42578125" style="119" customWidth="1"/>
    <col min="7182" max="7182" width="6.42578125" style="119" bestFit="1" customWidth="1"/>
    <col min="7183" max="7184" width="8.42578125" style="119"/>
    <col min="7185" max="7185" width="3.42578125" style="119" customWidth="1"/>
    <col min="7186" max="7424" width="8.42578125" style="119"/>
    <col min="7425" max="7425" width="10" style="119" bestFit="1" customWidth="1"/>
    <col min="7426" max="7426" width="44.42578125" style="119" bestFit="1" customWidth="1"/>
    <col min="7427" max="7427" width="10.42578125" style="119" bestFit="1" customWidth="1"/>
    <col min="7428" max="7428" width="10.42578125" style="119" customWidth="1"/>
    <col min="7429" max="7431" width="9.5703125" style="119" bestFit="1" customWidth="1"/>
    <col min="7432" max="7432" width="10.42578125" style="119" bestFit="1" customWidth="1"/>
    <col min="7433" max="7433" width="4.5703125" style="119" customWidth="1"/>
    <col min="7434" max="7434" width="1.85546875" style="119" customWidth="1"/>
    <col min="7435" max="7435" width="7" style="119" bestFit="1" customWidth="1"/>
    <col min="7436" max="7436" width="6.42578125" style="119" customWidth="1"/>
    <col min="7437" max="7437" width="20.42578125" style="119" customWidth="1"/>
    <col min="7438" max="7438" width="6.42578125" style="119" bestFit="1" customWidth="1"/>
    <col min="7439" max="7440" width="8.42578125" style="119"/>
    <col min="7441" max="7441" width="3.42578125" style="119" customWidth="1"/>
    <col min="7442" max="7680" width="8.42578125" style="119"/>
    <col min="7681" max="7681" width="10" style="119" bestFit="1" customWidth="1"/>
    <col min="7682" max="7682" width="44.42578125" style="119" bestFit="1" customWidth="1"/>
    <col min="7683" max="7683" width="10.42578125" style="119" bestFit="1" customWidth="1"/>
    <col min="7684" max="7684" width="10.42578125" style="119" customWidth="1"/>
    <col min="7685" max="7687" width="9.5703125" style="119" bestFit="1" customWidth="1"/>
    <col min="7688" max="7688" width="10.42578125" style="119" bestFit="1" customWidth="1"/>
    <col min="7689" max="7689" width="4.5703125" style="119" customWidth="1"/>
    <col min="7690" max="7690" width="1.85546875" style="119" customWidth="1"/>
    <col min="7691" max="7691" width="7" style="119" bestFit="1" customWidth="1"/>
    <col min="7692" max="7692" width="6.42578125" style="119" customWidth="1"/>
    <col min="7693" max="7693" width="20.42578125" style="119" customWidth="1"/>
    <col min="7694" max="7694" width="6.42578125" style="119" bestFit="1" customWidth="1"/>
    <col min="7695" max="7696" width="8.42578125" style="119"/>
    <col min="7697" max="7697" width="3.42578125" style="119" customWidth="1"/>
    <col min="7698" max="7936" width="8.42578125" style="119"/>
    <col min="7937" max="7937" width="10" style="119" bestFit="1" customWidth="1"/>
    <col min="7938" max="7938" width="44.42578125" style="119" bestFit="1" customWidth="1"/>
    <col min="7939" max="7939" width="10.42578125" style="119" bestFit="1" customWidth="1"/>
    <col min="7940" max="7940" width="10.42578125" style="119" customWidth="1"/>
    <col min="7941" max="7943" width="9.5703125" style="119" bestFit="1" customWidth="1"/>
    <col min="7944" max="7944" width="10.42578125" style="119" bestFit="1" customWidth="1"/>
    <col min="7945" max="7945" width="4.5703125" style="119" customWidth="1"/>
    <col min="7946" max="7946" width="1.85546875" style="119" customWidth="1"/>
    <col min="7947" max="7947" width="7" style="119" bestFit="1" customWidth="1"/>
    <col min="7948" max="7948" width="6.42578125" style="119" customWidth="1"/>
    <col min="7949" max="7949" width="20.42578125" style="119" customWidth="1"/>
    <col min="7950" max="7950" width="6.42578125" style="119" bestFit="1" customWidth="1"/>
    <col min="7951" max="7952" width="8.42578125" style="119"/>
    <col min="7953" max="7953" width="3.42578125" style="119" customWidth="1"/>
    <col min="7954" max="8192" width="8.42578125" style="119"/>
    <col min="8193" max="8193" width="10" style="119" bestFit="1" customWidth="1"/>
    <col min="8194" max="8194" width="44.42578125" style="119" bestFit="1" customWidth="1"/>
    <col min="8195" max="8195" width="10.42578125" style="119" bestFit="1" customWidth="1"/>
    <col min="8196" max="8196" width="10.42578125" style="119" customWidth="1"/>
    <col min="8197" max="8199" width="9.5703125" style="119" bestFit="1" customWidth="1"/>
    <col min="8200" max="8200" width="10.42578125" style="119" bestFit="1" customWidth="1"/>
    <col min="8201" max="8201" width="4.5703125" style="119" customWidth="1"/>
    <col min="8202" max="8202" width="1.85546875" style="119" customWidth="1"/>
    <col min="8203" max="8203" width="7" style="119" bestFit="1" customWidth="1"/>
    <col min="8204" max="8204" width="6.42578125" style="119" customWidth="1"/>
    <col min="8205" max="8205" width="20.42578125" style="119" customWidth="1"/>
    <col min="8206" max="8206" width="6.42578125" style="119" bestFit="1" customWidth="1"/>
    <col min="8207" max="8208" width="8.42578125" style="119"/>
    <col min="8209" max="8209" width="3.42578125" style="119" customWidth="1"/>
    <col min="8210" max="8448" width="8.42578125" style="119"/>
    <col min="8449" max="8449" width="10" style="119" bestFit="1" customWidth="1"/>
    <col min="8450" max="8450" width="44.42578125" style="119" bestFit="1" customWidth="1"/>
    <col min="8451" max="8451" width="10.42578125" style="119" bestFit="1" customWidth="1"/>
    <col min="8452" max="8452" width="10.42578125" style="119" customWidth="1"/>
    <col min="8453" max="8455" width="9.5703125" style="119" bestFit="1" customWidth="1"/>
    <col min="8456" max="8456" width="10.42578125" style="119" bestFit="1" customWidth="1"/>
    <col min="8457" max="8457" width="4.5703125" style="119" customWidth="1"/>
    <col min="8458" max="8458" width="1.85546875" style="119" customWidth="1"/>
    <col min="8459" max="8459" width="7" style="119" bestFit="1" customWidth="1"/>
    <col min="8460" max="8460" width="6.42578125" style="119" customWidth="1"/>
    <col min="8461" max="8461" width="20.42578125" style="119" customWidth="1"/>
    <col min="8462" max="8462" width="6.42578125" style="119" bestFit="1" customWidth="1"/>
    <col min="8463" max="8464" width="8.42578125" style="119"/>
    <col min="8465" max="8465" width="3.42578125" style="119" customWidth="1"/>
    <col min="8466" max="8704" width="8.42578125" style="119"/>
    <col min="8705" max="8705" width="10" style="119" bestFit="1" customWidth="1"/>
    <col min="8706" max="8706" width="44.42578125" style="119" bestFit="1" customWidth="1"/>
    <col min="8707" max="8707" width="10.42578125" style="119" bestFit="1" customWidth="1"/>
    <col min="8708" max="8708" width="10.42578125" style="119" customWidth="1"/>
    <col min="8709" max="8711" width="9.5703125" style="119" bestFit="1" customWidth="1"/>
    <col min="8712" max="8712" width="10.42578125" style="119" bestFit="1" customWidth="1"/>
    <col min="8713" max="8713" width="4.5703125" style="119" customWidth="1"/>
    <col min="8714" max="8714" width="1.85546875" style="119" customWidth="1"/>
    <col min="8715" max="8715" width="7" style="119" bestFit="1" customWidth="1"/>
    <col min="8716" max="8716" width="6.42578125" style="119" customWidth="1"/>
    <col min="8717" max="8717" width="20.42578125" style="119" customWidth="1"/>
    <col min="8718" max="8718" width="6.42578125" style="119" bestFit="1" customWidth="1"/>
    <col min="8719" max="8720" width="8.42578125" style="119"/>
    <col min="8721" max="8721" width="3.42578125" style="119" customWidth="1"/>
    <col min="8722" max="8960" width="8.42578125" style="119"/>
    <col min="8961" max="8961" width="10" style="119" bestFit="1" customWidth="1"/>
    <col min="8962" max="8962" width="44.42578125" style="119" bestFit="1" customWidth="1"/>
    <col min="8963" max="8963" width="10.42578125" style="119" bestFit="1" customWidth="1"/>
    <col min="8964" max="8964" width="10.42578125" style="119" customWidth="1"/>
    <col min="8965" max="8967" width="9.5703125" style="119" bestFit="1" customWidth="1"/>
    <col min="8968" max="8968" width="10.42578125" style="119" bestFit="1" customWidth="1"/>
    <col min="8969" max="8969" width="4.5703125" style="119" customWidth="1"/>
    <col min="8970" max="8970" width="1.85546875" style="119" customWidth="1"/>
    <col min="8971" max="8971" width="7" style="119" bestFit="1" customWidth="1"/>
    <col min="8972" max="8972" width="6.42578125" style="119" customWidth="1"/>
    <col min="8973" max="8973" width="20.42578125" style="119" customWidth="1"/>
    <col min="8974" max="8974" width="6.42578125" style="119" bestFit="1" customWidth="1"/>
    <col min="8975" max="8976" width="8.42578125" style="119"/>
    <col min="8977" max="8977" width="3.42578125" style="119" customWidth="1"/>
    <col min="8978" max="9216" width="8.42578125" style="119"/>
    <col min="9217" max="9217" width="10" style="119" bestFit="1" customWidth="1"/>
    <col min="9218" max="9218" width="44.42578125" style="119" bestFit="1" customWidth="1"/>
    <col min="9219" max="9219" width="10.42578125" style="119" bestFit="1" customWidth="1"/>
    <col min="9220" max="9220" width="10.42578125" style="119" customWidth="1"/>
    <col min="9221" max="9223" width="9.5703125" style="119" bestFit="1" customWidth="1"/>
    <col min="9224" max="9224" width="10.42578125" style="119" bestFit="1" customWidth="1"/>
    <col min="9225" max="9225" width="4.5703125" style="119" customWidth="1"/>
    <col min="9226" max="9226" width="1.85546875" style="119" customWidth="1"/>
    <col min="9227" max="9227" width="7" style="119" bestFit="1" customWidth="1"/>
    <col min="9228" max="9228" width="6.42578125" style="119" customWidth="1"/>
    <col min="9229" max="9229" width="20.42578125" style="119" customWidth="1"/>
    <col min="9230" max="9230" width="6.42578125" style="119" bestFit="1" customWidth="1"/>
    <col min="9231" max="9232" width="8.42578125" style="119"/>
    <col min="9233" max="9233" width="3.42578125" style="119" customWidth="1"/>
    <col min="9234" max="9472" width="8.42578125" style="119"/>
    <col min="9473" max="9473" width="10" style="119" bestFit="1" customWidth="1"/>
    <col min="9474" max="9474" width="44.42578125" style="119" bestFit="1" customWidth="1"/>
    <col min="9475" max="9475" width="10.42578125" style="119" bestFit="1" customWidth="1"/>
    <col min="9476" max="9476" width="10.42578125" style="119" customWidth="1"/>
    <col min="9477" max="9479" width="9.5703125" style="119" bestFit="1" customWidth="1"/>
    <col min="9480" max="9480" width="10.42578125" style="119" bestFit="1" customWidth="1"/>
    <col min="9481" max="9481" width="4.5703125" style="119" customWidth="1"/>
    <col min="9482" max="9482" width="1.85546875" style="119" customWidth="1"/>
    <col min="9483" max="9483" width="7" style="119" bestFit="1" customWidth="1"/>
    <col min="9484" max="9484" width="6.42578125" style="119" customWidth="1"/>
    <col min="9485" max="9485" width="20.42578125" style="119" customWidth="1"/>
    <col min="9486" max="9486" width="6.42578125" style="119" bestFit="1" customWidth="1"/>
    <col min="9487" max="9488" width="8.42578125" style="119"/>
    <col min="9489" max="9489" width="3.42578125" style="119" customWidth="1"/>
    <col min="9490" max="9728" width="8.42578125" style="119"/>
    <col min="9729" max="9729" width="10" style="119" bestFit="1" customWidth="1"/>
    <col min="9730" max="9730" width="44.42578125" style="119" bestFit="1" customWidth="1"/>
    <col min="9731" max="9731" width="10.42578125" style="119" bestFit="1" customWidth="1"/>
    <col min="9732" max="9732" width="10.42578125" style="119" customWidth="1"/>
    <col min="9733" max="9735" width="9.5703125" style="119" bestFit="1" customWidth="1"/>
    <col min="9736" max="9736" width="10.42578125" style="119" bestFit="1" customWidth="1"/>
    <col min="9737" max="9737" width="4.5703125" style="119" customWidth="1"/>
    <col min="9738" max="9738" width="1.85546875" style="119" customWidth="1"/>
    <col min="9739" max="9739" width="7" style="119" bestFit="1" customWidth="1"/>
    <col min="9740" max="9740" width="6.42578125" style="119" customWidth="1"/>
    <col min="9741" max="9741" width="20.42578125" style="119" customWidth="1"/>
    <col min="9742" max="9742" width="6.42578125" style="119" bestFit="1" customWidth="1"/>
    <col min="9743" max="9744" width="8.42578125" style="119"/>
    <col min="9745" max="9745" width="3.42578125" style="119" customWidth="1"/>
    <col min="9746" max="9984" width="8.42578125" style="119"/>
    <col min="9985" max="9985" width="10" style="119" bestFit="1" customWidth="1"/>
    <col min="9986" max="9986" width="44.42578125" style="119" bestFit="1" customWidth="1"/>
    <col min="9987" max="9987" width="10.42578125" style="119" bestFit="1" customWidth="1"/>
    <col min="9988" max="9988" width="10.42578125" style="119" customWidth="1"/>
    <col min="9989" max="9991" width="9.5703125" style="119" bestFit="1" customWidth="1"/>
    <col min="9992" max="9992" width="10.42578125" style="119" bestFit="1" customWidth="1"/>
    <col min="9993" max="9993" width="4.5703125" style="119" customWidth="1"/>
    <col min="9994" max="9994" width="1.85546875" style="119" customWidth="1"/>
    <col min="9995" max="9995" width="7" style="119" bestFit="1" customWidth="1"/>
    <col min="9996" max="9996" width="6.42578125" style="119" customWidth="1"/>
    <col min="9997" max="9997" width="20.42578125" style="119" customWidth="1"/>
    <col min="9998" max="9998" width="6.42578125" style="119" bestFit="1" customWidth="1"/>
    <col min="9999" max="10000" width="8.42578125" style="119"/>
    <col min="10001" max="10001" width="3.42578125" style="119" customWidth="1"/>
    <col min="10002" max="10240" width="8.42578125" style="119"/>
    <col min="10241" max="10241" width="10" style="119" bestFit="1" customWidth="1"/>
    <col min="10242" max="10242" width="44.42578125" style="119" bestFit="1" customWidth="1"/>
    <col min="10243" max="10243" width="10.42578125" style="119" bestFit="1" customWidth="1"/>
    <col min="10244" max="10244" width="10.42578125" style="119" customWidth="1"/>
    <col min="10245" max="10247" width="9.5703125" style="119" bestFit="1" customWidth="1"/>
    <col min="10248" max="10248" width="10.42578125" style="119" bestFit="1" customWidth="1"/>
    <col min="10249" max="10249" width="4.5703125" style="119" customWidth="1"/>
    <col min="10250" max="10250" width="1.85546875" style="119" customWidth="1"/>
    <col min="10251" max="10251" width="7" style="119" bestFit="1" customWidth="1"/>
    <col min="10252" max="10252" width="6.42578125" style="119" customWidth="1"/>
    <col min="10253" max="10253" width="20.42578125" style="119" customWidth="1"/>
    <col min="10254" max="10254" width="6.42578125" style="119" bestFit="1" customWidth="1"/>
    <col min="10255" max="10256" width="8.42578125" style="119"/>
    <col min="10257" max="10257" width="3.42578125" style="119" customWidth="1"/>
    <col min="10258" max="10496" width="8.42578125" style="119"/>
    <col min="10497" max="10497" width="10" style="119" bestFit="1" customWidth="1"/>
    <col min="10498" max="10498" width="44.42578125" style="119" bestFit="1" customWidth="1"/>
    <col min="10499" max="10499" width="10.42578125" style="119" bestFit="1" customWidth="1"/>
    <col min="10500" max="10500" width="10.42578125" style="119" customWidth="1"/>
    <col min="10501" max="10503" width="9.5703125" style="119" bestFit="1" customWidth="1"/>
    <col min="10504" max="10504" width="10.42578125" style="119" bestFit="1" customWidth="1"/>
    <col min="10505" max="10505" width="4.5703125" style="119" customWidth="1"/>
    <col min="10506" max="10506" width="1.85546875" style="119" customWidth="1"/>
    <col min="10507" max="10507" width="7" style="119" bestFit="1" customWidth="1"/>
    <col min="10508" max="10508" width="6.42578125" style="119" customWidth="1"/>
    <col min="10509" max="10509" width="20.42578125" style="119" customWidth="1"/>
    <col min="10510" max="10510" width="6.42578125" style="119" bestFit="1" customWidth="1"/>
    <col min="10511" max="10512" width="8.42578125" style="119"/>
    <col min="10513" max="10513" width="3.42578125" style="119" customWidth="1"/>
    <col min="10514" max="10752" width="8.42578125" style="119"/>
    <col min="10753" max="10753" width="10" style="119" bestFit="1" customWidth="1"/>
    <col min="10754" max="10754" width="44.42578125" style="119" bestFit="1" customWidth="1"/>
    <col min="10755" max="10755" width="10.42578125" style="119" bestFit="1" customWidth="1"/>
    <col min="10756" max="10756" width="10.42578125" style="119" customWidth="1"/>
    <col min="10757" max="10759" width="9.5703125" style="119" bestFit="1" customWidth="1"/>
    <col min="10760" max="10760" width="10.42578125" style="119" bestFit="1" customWidth="1"/>
    <col min="10761" max="10761" width="4.5703125" style="119" customWidth="1"/>
    <col min="10762" max="10762" width="1.85546875" style="119" customWidth="1"/>
    <col min="10763" max="10763" width="7" style="119" bestFit="1" customWidth="1"/>
    <col min="10764" max="10764" width="6.42578125" style="119" customWidth="1"/>
    <col min="10765" max="10765" width="20.42578125" style="119" customWidth="1"/>
    <col min="10766" max="10766" width="6.42578125" style="119" bestFit="1" customWidth="1"/>
    <col min="10767" max="10768" width="8.42578125" style="119"/>
    <col min="10769" max="10769" width="3.42578125" style="119" customWidth="1"/>
    <col min="10770" max="11008" width="8.42578125" style="119"/>
    <col min="11009" max="11009" width="10" style="119" bestFit="1" customWidth="1"/>
    <col min="11010" max="11010" width="44.42578125" style="119" bestFit="1" customWidth="1"/>
    <col min="11011" max="11011" width="10.42578125" style="119" bestFit="1" customWidth="1"/>
    <col min="11012" max="11012" width="10.42578125" style="119" customWidth="1"/>
    <col min="11013" max="11015" width="9.5703125" style="119" bestFit="1" customWidth="1"/>
    <col min="11016" max="11016" width="10.42578125" style="119" bestFit="1" customWidth="1"/>
    <col min="11017" max="11017" width="4.5703125" style="119" customWidth="1"/>
    <col min="11018" max="11018" width="1.85546875" style="119" customWidth="1"/>
    <col min="11019" max="11019" width="7" style="119" bestFit="1" customWidth="1"/>
    <col min="11020" max="11020" width="6.42578125" style="119" customWidth="1"/>
    <col min="11021" max="11021" width="20.42578125" style="119" customWidth="1"/>
    <col min="11022" max="11022" width="6.42578125" style="119" bestFit="1" customWidth="1"/>
    <col min="11023" max="11024" width="8.42578125" style="119"/>
    <col min="11025" max="11025" width="3.42578125" style="119" customWidth="1"/>
    <col min="11026" max="11264" width="8.42578125" style="119"/>
    <col min="11265" max="11265" width="10" style="119" bestFit="1" customWidth="1"/>
    <col min="11266" max="11266" width="44.42578125" style="119" bestFit="1" customWidth="1"/>
    <col min="11267" max="11267" width="10.42578125" style="119" bestFit="1" customWidth="1"/>
    <col min="11268" max="11268" width="10.42578125" style="119" customWidth="1"/>
    <col min="11269" max="11271" width="9.5703125" style="119" bestFit="1" customWidth="1"/>
    <col min="11272" max="11272" width="10.42578125" style="119" bestFit="1" customWidth="1"/>
    <col min="11273" max="11273" width="4.5703125" style="119" customWidth="1"/>
    <col min="11274" max="11274" width="1.85546875" style="119" customWidth="1"/>
    <col min="11275" max="11275" width="7" style="119" bestFit="1" customWidth="1"/>
    <col min="11276" max="11276" width="6.42578125" style="119" customWidth="1"/>
    <col min="11277" max="11277" width="20.42578125" style="119" customWidth="1"/>
    <col min="11278" max="11278" width="6.42578125" style="119" bestFit="1" customWidth="1"/>
    <col min="11279" max="11280" width="8.42578125" style="119"/>
    <col min="11281" max="11281" width="3.42578125" style="119" customWidth="1"/>
    <col min="11282" max="11520" width="8.42578125" style="119"/>
    <col min="11521" max="11521" width="10" style="119" bestFit="1" customWidth="1"/>
    <col min="11522" max="11522" width="44.42578125" style="119" bestFit="1" customWidth="1"/>
    <col min="11523" max="11523" width="10.42578125" style="119" bestFit="1" customWidth="1"/>
    <col min="11524" max="11524" width="10.42578125" style="119" customWidth="1"/>
    <col min="11525" max="11527" width="9.5703125" style="119" bestFit="1" customWidth="1"/>
    <col min="11528" max="11528" width="10.42578125" style="119" bestFit="1" customWidth="1"/>
    <col min="11529" max="11529" width="4.5703125" style="119" customWidth="1"/>
    <col min="11530" max="11530" width="1.85546875" style="119" customWidth="1"/>
    <col min="11531" max="11531" width="7" style="119" bestFit="1" customWidth="1"/>
    <col min="11532" max="11532" width="6.42578125" style="119" customWidth="1"/>
    <col min="11533" max="11533" width="20.42578125" style="119" customWidth="1"/>
    <col min="11534" max="11534" width="6.42578125" style="119" bestFit="1" customWidth="1"/>
    <col min="11535" max="11536" width="8.42578125" style="119"/>
    <col min="11537" max="11537" width="3.42578125" style="119" customWidth="1"/>
    <col min="11538" max="11776" width="8.42578125" style="119"/>
    <col min="11777" max="11777" width="10" style="119" bestFit="1" customWidth="1"/>
    <col min="11778" max="11778" width="44.42578125" style="119" bestFit="1" customWidth="1"/>
    <col min="11779" max="11779" width="10.42578125" style="119" bestFit="1" customWidth="1"/>
    <col min="11780" max="11780" width="10.42578125" style="119" customWidth="1"/>
    <col min="11781" max="11783" width="9.5703125" style="119" bestFit="1" customWidth="1"/>
    <col min="11784" max="11784" width="10.42578125" style="119" bestFit="1" customWidth="1"/>
    <col min="11785" max="11785" width="4.5703125" style="119" customWidth="1"/>
    <col min="11786" max="11786" width="1.85546875" style="119" customWidth="1"/>
    <col min="11787" max="11787" width="7" style="119" bestFit="1" customWidth="1"/>
    <col min="11788" max="11788" width="6.42578125" style="119" customWidth="1"/>
    <col min="11789" max="11789" width="20.42578125" style="119" customWidth="1"/>
    <col min="11790" max="11790" width="6.42578125" style="119" bestFit="1" customWidth="1"/>
    <col min="11791" max="11792" width="8.42578125" style="119"/>
    <col min="11793" max="11793" width="3.42578125" style="119" customWidth="1"/>
    <col min="11794" max="12032" width="8.42578125" style="119"/>
    <col min="12033" max="12033" width="10" style="119" bestFit="1" customWidth="1"/>
    <col min="12034" max="12034" width="44.42578125" style="119" bestFit="1" customWidth="1"/>
    <col min="12035" max="12035" width="10.42578125" style="119" bestFit="1" customWidth="1"/>
    <col min="12036" max="12036" width="10.42578125" style="119" customWidth="1"/>
    <col min="12037" max="12039" width="9.5703125" style="119" bestFit="1" customWidth="1"/>
    <col min="12040" max="12040" width="10.42578125" style="119" bestFit="1" customWidth="1"/>
    <col min="12041" max="12041" width="4.5703125" style="119" customWidth="1"/>
    <col min="12042" max="12042" width="1.85546875" style="119" customWidth="1"/>
    <col min="12043" max="12043" width="7" style="119" bestFit="1" customWidth="1"/>
    <col min="12044" max="12044" width="6.42578125" style="119" customWidth="1"/>
    <col min="12045" max="12045" width="20.42578125" style="119" customWidth="1"/>
    <col min="12046" max="12046" width="6.42578125" style="119" bestFit="1" customWidth="1"/>
    <col min="12047" max="12048" width="8.42578125" style="119"/>
    <col min="12049" max="12049" width="3.42578125" style="119" customWidth="1"/>
    <col min="12050" max="12288" width="8.42578125" style="119"/>
    <col min="12289" max="12289" width="10" style="119" bestFit="1" customWidth="1"/>
    <col min="12290" max="12290" width="44.42578125" style="119" bestFit="1" customWidth="1"/>
    <col min="12291" max="12291" width="10.42578125" style="119" bestFit="1" customWidth="1"/>
    <col min="12292" max="12292" width="10.42578125" style="119" customWidth="1"/>
    <col min="12293" max="12295" width="9.5703125" style="119" bestFit="1" customWidth="1"/>
    <col min="12296" max="12296" width="10.42578125" style="119" bestFit="1" customWidth="1"/>
    <col min="12297" max="12297" width="4.5703125" style="119" customWidth="1"/>
    <col min="12298" max="12298" width="1.85546875" style="119" customWidth="1"/>
    <col min="12299" max="12299" width="7" style="119" bestFit="1" customWidth="1"/>
    <col min="12300" max="12300" width="6.42578125" style="119" customWidth="1"/>
    <col min="12301" max="12301" width="20.42578125" style="119" customWidth="1"/>
    <col min="12302" max="12302" width="6.42578125" style="119" bestFit="1" customWidth="1"/>
    <col min="12303" max="12304" width="8.42578125" style="119"/>
    <col min="12305" max="12305" width="3.42578125" style="119" customWidth="1"/>
    <col min="12306" max="12544" width="8.42578125" style="119"/>
    <col min="12545" max="12545" width="10" style="119" bestFit="1" customWidth="1"/>
    <col min="12546" max="12546" width="44.42578125" style="119" bestFit="1" customWidth="1"/>
    <col min="12547" max="12547" width="10.42578125" style="119" bestFit="1" customWidth="1"/>
    <col min="12548" max="12548" width="10.42578125" style="119" customWidth="1"/>
    <col min="12549" max="12551" width="9.5703125" style="119" bestFit="1" customWidth="1"/>
    <col min="12552" max="12552" width="10.42578125" style="119" bestFit="1" customWidth="1"/>
    <col min="12553" max="12553" width="4.5703125" style="119" customWidth="1"/>
    <col min="12554" max="12554" width="1.85546875" style="119" customWidth="1"/>
    <col min="12555" max="12555" width="7" style="119" bestFit="1" customWidth="1"/>
    <col min="12556" max="12556" width="6.42578125" style="119" customWidth="1"/>
    <col min="12557" max="12557" width="20.42578125" style="119" customWidth="1"/>
    <col min="12558" max="12558" width="6.42578125" style="119" bestFit="1" customWidth="1"/>
    <col min="12559" max="12560" width="8.42578125" style="119"/>
    <col min="12561" max="12561" width="3.42578125" style="119" customWidth="1"/>
    <col min="12562" max="12800" width="8.42578125" style="119"/>
    <col min="12801" max="12801" width="10" style="119" bestFit="1" customWidth="1"/>
    <col min="12802" max="12802" width="44.42578125" style="119" bestFit="1" customWidth="1"/>
    <col min="12803" max="12803" width="10.42578125" style="119" bestFit="1" customWidth="1"/>
    <col min="12804" max="12804" width="10.42578125" style="119" customWidth="1"/>
    <col min="12805" max="12807" width="9.5703125" style="119" bestFit="1" customWidth="1"/>
    <col min="12808" max="12808" width="10.42578125" style="119" bestFit="1" customWidth="1"/>
    <col min="12809" max="12809" width="4.5703125" style="119" customWidth="1"/>
    <col min="12810" max="12810" width="1.85546875" style="119" customWidth="1"/>
    <col min="12811" max="12811" width="7" style="119" bestFit="1" customWidth="1"/>
    <col min="12812" max="12812" width="6.42578125" style="119" customWidth="1"/>
    <col min="12813" max="12813" width="20.42578125" style="119" customWidth="1"/>
    <col min="12814" max="12814" width="6.42578125" style="119" bestFit="1" customWidth="1"/>
    <col min="12815" max="12816" width="8.42578125" style="119"/>
    <col min="12817" max="12817" width="3.42578125" style="119" customWidth="1"/>
    <col min="12818" max="13056" width="8.42578125" style="119"/>
    <col min="13057" max="13057" width="10" style="119" bestFit="1" customWidth="1"/>
    <col min="13058" max="13058" width="44.42578125" style="119" bestFit="1" customWidth="1"/>
    <col min="13059" max="13059" width="10.42578125" style="119" bestFit="1" customWidth="1"/>
    <col min="13060" max="13060" width="10.42578125" style="119" customWidth="1"/>
    <col min="13061" max="13063" width="9.5703125" style="119" bestFit="1" customWidth="1"/>
    <col min="13064" max="13064" width="10.42578125" style="119" bestFit="1" customWidth="1"/>
    <col min="13065" max="13065" width="4.5703125" style="119" customWidth="1"/>
    <col min="13066" max="13066" width="1.85546875" style="119" customWidth="1"/>
    <col min="13067" max="13067" width="7" style="119" bestFit="1" customWidth="1"/>
    <col min="13068" max="13068" width="6.42578125" style="119" customWidth="1"/>
    <col min="13069" max="13069" width="20.42578125" style="119" customWidth="1"/>
    <col min="13070" max="13070" width="6.42578125" style="119" bestFit="1" customWidth="1"/>
    <col min="13071" max="13072" width="8.42578125" style="119"/>
    <col min="13073" max="13073" width="3.42578125" style="119" customWidth="1"/>
    <col min="13074" max="13312" width="8.42578125" style="119"/>
    <col min="13313" max="13313" width="10" style="119" bestFit="1" customWidth="1"/>
    <col min="13314" max="13314" width="44.42578125" style="119" bestFit="1" customWidth="1"/>
    <col min="13315" max="13315" width="10.42578125" style="119" bestFit="1" customWidth="1"/>
    <col min="13316" max="13316" width="10.42578125" style="119" customWidth="1"/>
    <col min="13317" max="13319" width="9.5703125" style="119" bestFit="1" customWidth="1"/>
    <col min="13320" max="13320" width="10.42578125" style="119" bestFit="1" customWidth="1"/>
    <col min="13321" max="13321" width="4.5703125" style="119" customWidth="1"/>
    <col min="13322" max="13322" width="1.85546875" style="119" customWidth="1"/>
    <col min="13323" max="13323" width="7" style="119" bestFit="1" customWidth="1"/>
    <col min="13324" max="13324" width="6.42578125" style="119" customWidth="1"/>
    <col min="13325" max="13325" width="20.42578125" style="119" customWidth="1"/>
    <col min="13326" max="13326" width="6.42578125" style="119" bestFit="1" customWidth="1"/>
    <col min="13327" max="13328" width="8.42578125" style="119"/>
    <col min="13329" max="13329" width="3.42578125" style="119" customWidth="1"/>
    <col min="13330" max="13568" width="8.42578125" style="119"/>
    <col min="13569" max="13569" width="10" style="119" bestFit="1" customWidth="1"/>
    <col min="13570" max="13570" width="44.42578125" style="119" bestFit="1" customWidth="1"/>
    <col min="13571" max="13571" width="10.42578125" style="119" bestFit="1" customWidth="1"/>
    <col min="13572" max="13572" width="10.42578125" style="119" customWidth="1"/>
    <col min="13573" max="13575" width="9.5703125" style="119" bestFit="1" customWidth="1"/>
    <col min="13576" max="13576" width="10.42578125" style="119" bestFit="1" customWidth="1"/>
    <col min="13577" max="13577" width="4.5703125" style="119" customWidth="1"/>
    <col min="13578" max="13578" width="1.85546875" style="119" customWidth="1"/>
    <col min="13579" max="13579" width="7" style="119" bestFit="1" customWidth="1"/>
    <col min="13580" max="13580" width="6.42578125" style="119" customWidth="1"/>
    <col min="13581" max="13581" width="20.42578125" style="119" customWidth="1"/>
    <col min="13582" max="13582" width="6.42578125" style="119" bestFit="1" customWidth="1"/>
    <col min="13583" max="13584" width="8.42578125" style="119"/>
    <col min="13585" max="13585" width="3.42578125" style="119" customWidth="1"/>
    <col min="13586" max="13824" width="8.42578125" style="119"/>
    <col min="13825" max="13825" width="10" style="119" bestFit="1" customWidth="1"/>
    <col min="13826" max="13826" width="44.42578125" style="119" bestFit="1" customWidth="1"/>
    <col min="13827" max="13827" width="10.42578125" style="119" bestFit="1" customWidth="1"/>
    <col min="13828" max="13828" width="10.42578125" style="119" customWidth="1"/>
    <col min="13829" max="13831" width="9.5703125" style="119" bestFit="1" customWidth="1"/>
    <col min="13832" max="13832" width="10.42578125" style="119" bestFit="1" customWidth="1"/>
    <col min="13833" max="13833" width="4.5703125" style="119" customWidth="1"/>
    <col min="13834" max="13834" width="1.85546875" style="119" customWidth="1"/>
    <col min="13835" max="13835" width="7" style="119" bestFit="1" customWidth="1"/>
    <col min="13836" max="13836" width="6.42578125" style="119" customWidth="1"/>
    <col min="13837" max="13837" width="20.42578125" style="119" customWidth="1"/>
    <col min="13838" max="13838" width="6.42578125" style="119" bestFit="1" customWidth="1"/>
    <col min="13839" max="13840" width="8.42578125" style="119"/>
    <col min="13841" max="13841" width="3.42578125" style="119" customWidth="1"/>
    <col min="13842" max="14080" width="8.42578125" style="119"/>
    <col min="14081" max="14081" width="10" style="119" bestFit="1" customWidth="1"/>
    <col min="14082" max="14082" width="44.42578125" style="119" bestFit="1" customWidth="1"/>
    <col min="14083" max="14083" width="10.42578125" style="119" bestFit="1" customWidth="1"/>
    <col min="14084" max="14084" width="10.42578125" style="119" customWidth="1"/>
    <col min="14085" max="14087" width="9.5703125" style="119" bestFit="1" customWidth="1"/>
    <col min="14088" max="14088" width="10.42578125" style="119" bestFit="1" customWidth="1"/>
    <col min="14089" max="14089" width="4.5703125" style="119" customWidth="1"/>
    <col min="14090" max="14090" width="1.85546875" style="119" customWidth="1"/>
    <col min="14091" max="14091" width="7" style="119" bestFit="1" customWidth="1"/>
    <col min="14092" max="14092" width="6.42578125" style="119" customWidth="1"/>
    <col min="14093" max="14093" width="20.42578125" style="119" customWidth="1"/>
    <col min="14094" max="14094" width="6.42578125" style="119" bestFit="1" customWidth="1"/>
    <col min="14095" max="14096" width="8.42578125" style="119"/>
    <col min="14097" max="14097" width="3.42578125" style="119" customWidth="1"/>
    <col min="14098" max="14336" width="8.42578125" style="119"/>
    <col min="14337" max="14337" width="10" style="119" bestFit="1" customWidth="1"/>
    <col min="14338" max="14338" width="44.42578125" style="119" bestFit="1" customWidth="1"/>
    <col min="14339" max="14339" width="10.42578125" style="119" bestFit="1" customWidth="1"/>
    <col min="14340" max="14340" width="10.42578125" style="119" customWidth="1"/>
    <col min="14341" max="14343" width="9.5703125" style="119" bestFit="1" customWidth="1"/>
    <col min="14344" max="14344" width="10.42578125" style="119" bestFit="1" customWidth="1"/>
    <col min="14345" max="14345" width="4.5703125" style="119" customWidth="1"/>
    <col min="14346" max="14346" width="1.85546875" style="119" customWidth="1"/>
    <col min="14347" max="14347" width="7" style="119" bestFit="1" customWidth="1"/>
    <col min="14348" max="14348" width="6.42578125" style="119" customWidth="1"/>
    <col min="14349" max="14349" width="20.42578125" style="119" customWidth="1"/>
    <col min="14350" max="14350" width="6.42578125" style="119" bestFit="1" customWidth="1"/>
    <col min="14351" max="14352" width="8.42578125" style="119"/>
    <col min="14353" max="14353" width="3.42578125" style="119" customWidth="1"/>
    <col min="14354" max="14592" width="8.42578125" style="119"/>
    <col min="14593" max="14593" width="10" style="119" bestFit="1" customWidth="1"/>
    <col min="14594" max="14594" width="44.42578125" style="119" bestFit="1" customWidth="1"/>
    <col min="14595" max="14595" width="10.42578125" style="119" bestFit="1" customWidth="1"/>
    <col min="14596" max="14596" width="10.42578125" style="119" customWidth="1"/>
    <col min="14597" max="14599" width="9.5703125" style="119" bestFit="1" customWidth="1"/>
    <col min="14600" max="14600" width="10.42578125" style="119" bestFit="1" customWidth="1"/>
    <col min="14601" max="14601" width="4.5703125" style="119" customWidth="1"/>
    <col min="14602" max="14602" width="1.85546875" style="119" customWidth="1"/>
    <col min="14603" max="14603" width="7" style="119" bestFit="1" customWidth="1"/>
    <col min="14604" max="14604" width="6.42578125" style="119" customWidth="1"/>
    <col min="14605" max="14605" width="20.42578125" style="119" customWidth="1"/>
    <col min="14606" max="14606" width="6.42578125" style="119" bestFit="1" customWidth="1"/>
    <col min="14607" max="14608" width="8.42578125" style="119"/>
    <col min="14609" max="14609" width="3.42578125" style="119" customWidth="1"/>
    <col min="14610" max="14848" width="8.42578125" style="119"/>
    <col min="14849" max="14849" width="10" style="119" bestFit="1" customWidth="1"/>
    <col min="14850" max="14850" width="44.42578125" style="119" bestFit="1" customWidth="1"/>
    <col min="14851" max="14851" width="10.42578125" style="119" bestFit="1" customWidth="1"/>
    <col min="14852" max="14852" width="10.42578125" style="119" customWidth="1"/>
    <col min="14853" max="14855" width="9.5703125" style="119" bestFit="1" customWidth="1"/>
    <col min="14856" max="14856" width="10.42578125" style="119" bestFit="1" customWidth="1"/>
    <col min="14857" max="14857" width="4.5703125" style="119" customWidth="1"/>
    <col min="14858" max="14858" width="1.85546875" style="119" customWidth="1"/>
    <col min="14859" max="14859" width="7" style="119" bestFit="1" customWidth="1"/>
    <col min="14860" max="14860" width="6.42578125" style="119" customWidth="1"/>
    <col min="14861" max="14861" width="20.42578125" style="119" customWidth="1"/>
    <col min="14862" max="14862" width="6.42578125" style="119" bestFit="1" customWidth="1"/>
    <col min="14863" max="14864" width="8.42578125" style="119"/>
    <col min="14865" max="14865" width="3.42578125" style="119" customWidth="1"/>
    <col min="14866" max="15104" width="8.42578125" style="119"/>
    <col min="15105" max="15105" width="10" style="119" bestFit="1" customWidth="1"/>
    <col min="15106" max="15106" width="44.42578125" style="119" bestFit="1" customWidth="1"/>
    <col min="15107" max="15107" width="10.42578125" style="119" bestFit="1" customWidth="1"/>
    <col min="15108" max="15108" width="10.42578125" style="119" customWidth="1"/>
    <col min="15109" max="15111" width="9.5703125" style="119" bestFit="1" customWidth="1"/>
    <col min="15112" max="15112" width="10.42578125" style="119" bestFit="1" customWidth="1"/>
    <col min="15113" max="15113" width="4.5703125" style="119" customWidth="1"/>
    <col min="15114" max="15114" width="1.85546875" style="119" customWidth="1"/>
    <col min="15115" max="15115" width="7" style="119" bestFit="1" customWidth="1"/>
    <col min="15116" max="15116" width="6.42578125" style="119" customWidth="1"/>
    <col min="15117" max="15117" width="20.42578125" style="119" customWidth="1"/>
    <col min="15118" max="15118" width="6.42578125" style="119" bestFit="1" customWidth="1"/>
    <col min="15119" max="15120" width="8.42578125" style="119"/>
    <col min="15121" max="15121" width="3.42578125" style="119" customWidth="1"/>
    <col min="15122" max="15360" width="8.42578125" style="119"/>
    <col min="15361" max="15361" width="10" style="119" bestFit="1" customWidth="1"/>
    <col min="15362" max="15362" width="44.42578125" style="119" bestFit="1" customWidth="1"/>
    <col min="15363" max="15363" width="10.42578125" style="119" bestFit="1" customWidth="1"/>
    <col min="15364" max="15364" width="10.42578125" style="119" customWidth="1"/>
    <col min="15365" max="15367" width="9.5703125" style="119" bestFit="1" customWidth="1"/>
    <col min="15368" max="15368" width="10.42578125" style="119" bestFit="1" customWidth="1"/>
    <col min="15369" max="15369" width="4.5703125" style="119" customWidth="1"/>
    <col min="15370" max="15370" width="1.85546875" style="119" customWidth="1"/>
    <col min="15371" max="15371" width="7" style="119" bestFit="1" customWidth="1"/>
    <col min="15372" max="15372" width="6.42578125" style="119" customWidth="1"/>
    <col min="15373" max="15373" width="20.42578125" style="119" customWidth="1"/>
    <col min="15374" max="15374" width="6.42578125" style="119" bestFit="1" customWidth="1"/>
    <col min="15375" max="15376" width="8.42578125" style="119"/>
    <col min="15377" max="15377" width="3.42578125" style="119" customWidth="1"/>
    <col min="15378" max="15616" width="8.42578125" style="119"/>
    <col min="15617" max="15617" width="10" style="119" bestFit="1" customWidth="1"/>
    <col min="15618" max="15618" width="44.42578125" style="119" bestFit="1" customWidth="1"/>
    <col min="15619" max="15619" width="10.42578125" style="119" bestFit="1" customWidth="1"/>
    <col min="15620" max="15620" width="10.42578125" style="119" customWidth="1"/>
    <col min="15621" max="15623" width="9.5703125" style="119" bestFit="1" customWidth="1"/>
    <col min="15624" max="15624" width="10.42578125" style="119" bestFit="1" customWidth="1"/>
    <col min="15625" max="15625" width="4.5703125" style="119" customWidth="1"/>
    <col min="15626" max="15626" width="1.85546875" style="119" customWidth="1"/>
    <col min="15627" max="15627" width="7" style="119" bestFit="1" customWidth="1"/>
    <col min="15628" max="15628" width="6.42578125" style="119" customWidth="1"/>
    <col min="15629" max="15629" width="20.42578125" style="119" customWidth="1"/>
    <col min="15630" max="15630" width="6.42578125" style="119" bestFit="1" customWidth="1"/>
    <col min="15631" max="15632" width="8.42578125" style="119"/>
    <col min="15633" max="15633" width="3.42578125" style="119" customWidth="1"/>
    <col min="15634" max="15872" width="8.42578125" style="119"/>
    <col min="15873" max="15873" width="10" style="119" bestFit="1" customWidth="1"/>
    <col min="15874" max="15874" width="44.42578125" style="119" bestFit="1" customWidth="1"/>
    <col min="15875" max="15875" width="10.42578125" style="119" bestFit="1" customWidth="1"/>
    <col min="15876" max="15876" width="10.42578125" style="119" customWidth="1"/>
    <col min="15877" max="15879" width="9.5703125" style="119" bestFit="1" customWidth="1"/>
    <col min="15880" max="15880" width="10.42578125" style="119" bestFit="1" customWidth="1"/>
    <col min="15881" max="15881" width="4.5703125" style="119" customWidth="1"/>
    <col min="15882" max="15882" width="1.85546875" style="119" customWidth="1"/>
    <col min="15883" max="15883" width="7" style="119" bestFit="1" customWidth="1"/>
    <col min="15884" max="15884" width="6.42578125" style="119" customWidth="1"/>
    <col min="15885" max="15885" width="20.42578125" style="119" customWidth="1"/>
    <col min="15886" max="15886" width="6.42578125" style="119" bestFit="1" customWidth="1"/>
    <col min="15887" max="15888" width="8.42578125" style="119"/>
    <col min="15889" max="15889" width="3.42578125" style="119" customWidth="1"/>
    <col min="15890" max="16128" width="8.42578125" style="119"/>
    <col min="16129" max="16129" width="10" style="119" bestFit="1" customWidth="1"/>
    <col min="16130" max="16130" width="44.42578125" style="119" bestFit="1" customWidth="1"/>
    <col min="16131" max="16131" width="10.42578125" style="119" bestFit="1" customWidth="1"/>
    <col min="16132" max="16132" width="10.42578125" style="119" customWidth="1"/>
    <col min="16133" max="16135" width="9.5703125" style="119" bestFit="1" customWidth="1"/>
    <col min="16136" max="16136" width="10.42578125" style="119" bestFit="1" customWidth="1"/>
    <col min="16137" max="16137" width="4.5703125" style="119" customWidth="1"/>
    <col min="16138" max="16138" width="1.85546875" style="119" customWidth="1"/>
    <col min="16139" max="16139" width="7" style="119" bestFit="1" customWidth="1"/>
    <col min="16140" max="16140" width="6.42578125" style="119" customWidth="1"/>
    <col min="16141" max="16141" width="20.42578125" style="119" customWidth="1"/>
    <col min="16142" max="16142" width="6.42578125" style="119" bestFit="1" customWidth="1"/>
    <col min="16143" max="16144" width="8.42578125" style="119"/>
    <col min="16145" max="16145" width="3.42578125" style="119" customWidth="1"/>
    <col min="16146" max="16384" width="8.42578125" style="119"/>
  </cols>
  <sheetData>
    <row r="1" spans="1:10" ht="27.75" customHeight="1" x14ac:dyDescent="0.25">
      <c r="A1" s="114"/>
      <c r="B1" s="114"/>
      <c r="C1" s="114"/>
      <c r="D1" s="114"/>
      <c r="E1" s="115" t="s">
        <v>126</v>
      </c>
      <c r="F1" s="116" t="s">
        <v>127</v>
      </c>
      <c r="G1" s="116" t="s">
        <v>128</v>
      </c>
      <c r="H1" s="116" t="s">
        <v>129</v>
      </c>
      <c r="I1" s="117"/>
    </row>
    <row r="2" spans="1:10" ht="30.75" customHeight="1" x14ac:dyDescent="0.25">
      <c r="A2" s="114"/>
      <c r="B2" s="114"/>
      <c r="C2" s="114"/>
      <c r="D2" s="114"/>
      <c r="E2" s="120">
        <f>IFERROR(O62,"")</f>
        <v>796.2106860270668</v>
      </c>
      <c r="F2" s="120">
        <f>IFERROR(H53,"")</f>
        <v>659.91441870316066</v>
      </c>
      <c r="G2" s="120">
        <f>IFERROR(H54,"")</f>
        <v>22.887690232818507</v>
      </c>
      <c r="H2" s="120">
        <f>IFERROR(H56,"")</f>
        <v>74.884313903957846</v>
      </c>
      <c r="I2" s="121"/>
    </row>
    <row r="3" spans="1:10" ht="15" customHeight="1" x14ac:dyDescent="0.25">
      <c r="A3" s="114"/>
      <c r="B3" s="114"/>
      <c r="C3" s="114"/>
      <c r="D3" s="114"/>
      <c r="E3" s="114"/>
      <c r="F3" s="122"/>
      <c r="G3" s="122"/>
      <c r="H3" s="122"/>
      <c r="I3" s="122"/>
    </row>
    <row r="4" spans="1:10" ht="24.75" customHeight="1" thickBot="1" x14ac:dyDescent="0.3">
      <c r="A4" s="273"/>
      <c r="B4" s="273"/>
      <c r="C4" s="273"/>
      <c r="D4" s="273"/>
      <c r="E4" s="273"/>
      <c r="F4" s="273"/>
      <c r="G4" s="273"/>
      <c r="H4" s="273"/>
      <c r="I4" s="123"/>
    </row>
    <row r="5" spans="1:10" ht="19.5" customHeight="1" thickBot="1" x14ac:dyDescent="0.3">
      <c r="A5" s="279" t="s">
        <v>130</v>
      </c>
      <c r="B5" s="280"/>
      <c r="C5" s="280"/>
      <c r="D5" s="280"/>
      <c r="E5" s="280"/>
      <c r="F5" s="280"/>
      <c r="G5" s="280"/>
      <c r="H5" s="281"/>
      <c r="I5" s="124"/>
    </row>
    <row r="6" spans="1:10" ht="19.5" thickBot="1" x14ac:dyDescent="0.3">
      <c r="A6" s="124"/>
      <c r="B6" s="124"/>
      <c r="C6" s="124"/>
      <c r="D6" s="124"/>
      <c r="E6" s="124"/>
      <c r="F6" s="282" t="s">
        <v>131</v>
      </c>
      <c r="G6" s="282"/>
      <c r="H6" s="125">
        <f ca="1">TODAY()</f>
        <v>45663</v>
      </c>
      <c r="I6" s="125"/>
    </row>
    <row r="7" spans="1:10" ht="39" hidden="1" thickBot="1" x14ac:dyDescent="0.3">
      <c r="A7" s="126" t="s">
        <v>132</v>
      </c>
      <c r="B7" s="127" t="s">
        <v>133</v>
      </c>
      <c r="C7" s="127" t="s">
        <v>132</v>
      </c>
      <c r="D7" s="128" t="s">
        <v>134</v>
      </c>
      <c r="E7" s="128" t="s">
        <v>135</v>
      </c>
      <c r="F7" s="128" t="s">
        <v>136</v>
      </c>
      <c r="G7" s="128" t="s">
        <v>137</v>
      </c>
      <c r="H7" s="129" t="s">
        <v>138</v>
      </c>
      <c r="I7" s="130"/>
    </row>
    <row r="8" spans="1:10" ht="13.5" hidden="1" x14ac:dyDescent="0.25">
      <c r="A8" s="131"/>
      <c r="B8" s="119" t="str">
        <f>IFERROR(VLOOKUP(H8,'[1]Consolidado MP Planta'!$A$2:$M$823,3,0),"")</f>
        <v/>
      </c>
      <c r="C8" s="132">
        <f>+A8</f>
        <v>0</v>
      </c>
      <c r="D8" s="133" t="str">
        <f>IFERROR(VLOOKUP(H8,'[1]Consolidado MP Planta'!$A$2:$M$823,13,0),"")</f>
        <v/>
      </c>
      <c r="E8" s="133" t="str">
        <f>IFERROR(VLOOKUP(H8,'[1]Consolidado MP Planta'!$A$2:$M$823,12,0),"")</f>
        <v/>
      </c>
      <c r="F8" s="133" t="str">
        <f>IFERROR(C8*E8,"")</f>
        <v/>
      </c>
      <c r="G8" s="104" t="str">
        <f t="shared" ref="G8:G14" si="0">IFERROR(F8/$F$66,"")</f>
        <v/>
      </c>
      <c r="H8" s="134"/>
      <c r="I8" s="134"/>
      <c r="J8" s="105"/>
    </row>
    <row r="9" spans="1:10" ht="13.5" hidden="1" x14ac:dyDescent="0.25">
      <c r="A9" s="131"/>
      <c r="B9" s="119" t="str">
        <f>IFERROR(VLOOKUP(H9,'[1]Consolidado MP Planta'!$A$2:$M$823,3,0),"")</f>
        <v/>
      </c>
      <c r="C9" s="132">
        <f t="shared" ref="C9:C14" si="1">+A9</f>
        <v>0</v>
      </c>
      <c r="D9" s="133" t="str">
        <f>IFERROR(VLOOKUP(H9,'[1]Consolidado MP Planta'!$A$2:$M$823,13,0),"")</f>
        <v/>
      </c>
      <c r="E9" s="133" t="str">
        <f>IFERROR(VLOOKUP(H9,'[1]Consolidado MP Planta'!$A$2:$M$823,12,0),"")</f>
        <v/>
      </c>
      <c r="F9" s="133" t="str">
        <f t="shared" ref="F9:F14" si="2">IFERROR(C9*E9,"")</f>
        <v/>
      </c>
      <c r="G9" s="104" t="str">
        <f t="shared" si="0"/>
        <v/>
      </c>
      <c r="H9" s="134"/>
      <c r="I9" s="134"/>
      <c r="J9" s="105"/>
    </row>
    <row r="10" spans="1:10" ht="13.5" hidden="1" x14ac:dyDescent="0.25">
      <c r="A10" s="131"/>
      <c r="B10" s="119" t="str">
        <f>IFERROR(VLOOKUP(H10,'[1]Consolidado MP Planta'!$A$2:$M$823,3,0),"")</f>
        <v/>
      </c>
      <c r="C10" s="132">
        <f t="shared" si="1"/>
        <v>0</v>
      </c>
      <c r="D10" s="133" t="str">
        <f>IFERROR(VLOOKUP(H10,'[1]Consolidado MP Planta'!$A$2:$M$823,13,0),"")</f>
        <v/>
      </c>
      <c r="E10" s="133" t="str">
        <f>IFERROR(VLOOKUP(H10,'[1]Consolidado MP Planta'!$A$2:$M$823,12,0),"")</f>
        <v/>
      </c>
      <c r="F10" s="133" t="str">
        <f t="shared" si="2"/>
        <v/>
      </c>
      <c r="G10" s="104" t="str">
        <f t="shared" si="0"/>
        <v/>
      </c>
      <c r="H10" s="134"/>
      <c r="I10" s="134"/>
      <c r="J10" s="105"/>
    </row>
    <row r="11" spans="1:10" ht="13.5" hidden="1" x14ac:dyDescent="0.25">
      <c r="A11" s="131"/>
      <c r="B11" s="119" t="str">
        <f>IFERROR(VLOOKUP(H11,'[1]Consolidado MP Planta'!$A$2:$M$823,3,0),"")</f>
        <v/>
      </c>
      <c r="C11" s="132">
        <f t="shared" si="1"/>
        <v>0</v>
      </c>
      <c r="D11" s="133" t="str">
        <f>IFERROR(VLOOKUP(H11,'[1]Consolidado MP Planta'!$A$2:$M$823,13,0),"")</f>
        <v/>
      </c>
      <c r="E11" s="133" t="str">
        <f>IFERROR(VLOOKUP(H11,'[1]Consolidado MP Planta'!$A$2:$M$823,12,0),"")</f>
        <v/>
      </c>
      <c r="F11" s="133" t="str">
        <f t="shared" si="2"/>
        <v/>
      </c>
      <c r="G11" s="104" t="str">
        <f t="shared" si="0"/>
        <v/>
      </c>
      <c r="H11" s="134"/>
      <c r="I11" s="134"/>
      <c r="J11" s="105"/>
    </row>
    <row r="12" spans="1:10" ht="13.5" hidden="1" x14ac:dyDescent="0.25">
      <c r="A12" s="131"/>
      <c r="B12" s="119" t="str">
        <f>IFERROR(VLOOKUP(H12,'[1]Consolidado MP Planta'!$A$2:$M$823,3,0),"")</f>
        <v/>
      </c>
      <c r="C12" s="132">
        <f t="shared" si="1"/>
        <v>0</v>
      </c>
      <c r="D12" s="133" t="str">
        <f>IFERROR(VLOOKUP(H12,'[1]Consolidado MP Planta'!$A$2:$M$823,13,0),"")</f>
        <v/>
      </c>
      <c r="E12" s="133" t="str">
        <f>IFERROR(VLOOKUP(H12,'[1]Consolidado MP Planta'!$A$2:$M$823,12,0),"")</f>
        <v/>
      </c>
      <c r="F12" s="133" t="str">
        <f t="shared" si="2"/>
        <v/>
      </c>
      <c r="G12" s="104" t="str">
        <f t="shared" si="0"/>
        <v/>
      </c>
      <c r="H12" s="134"/>
      <c r="I12" s="134"/>
      <c r="J12" s="105"/>
    </row>
    <row r="13" spans="1:10" ht="13.5" hidden="1" x14ac:dyDescent="0.25">
      <c r="A13" s="131"/>
      <c r="B13" s="119" t="str">
        <f>IFERROR(VLOOKUP(H13,'[1]Consolidado MP Planta'!$A$2:$M$823,3,0),"")</f>
        <v/>
      </c>
      <c r="C13" s="132">
        <f t="shared" si="1"/>
        <v>0</v>
      </c>
      <c r="D13" s="133" t="str">
        <f>IFERROR(VLOOKUP(H13,'[1]Consolidado MP Planta'!$A$2:$M$823,13,0),"")</f>
        <v/>
      </c>
      <c r="E13" s="133" t="str">
        <f>IFERROR(VLOOKUP(H13,'[1]Consolidado MP Planta'!$A$2:$M$823,12,0),"")</f>
        <v/>
      </c>
      <c r="F13" s="133" t="str">
        <f t="shared" si="2"/>
        <v/>
      </c>
      <c r="G13" s="104" t="str">
        <f t="shared" si="0"/>
        <v/>
      </c>
      <c r="H13" s="134"/>
      <c r="I13" s="134"/>
      <c r="J13" s="105"/>
    </row>
    <row r="14" spans="1:10" ht="13.5" hidden="1" x14ac:dyDescent="0.25">
      <c r="A14" s="131"/>
      <c r="B14" s="119" t="str">
        <f>IFERROR(VLOOKUP(H14,'[1]Consolidado MP Planta'!$A$2:$M$823,3,0),"")</f>
        <v/>
      </c>
      <c r="C14" s="132">
        <f t="shared" si="1"/>
        <v>0</v>
      </c>
      <c r="D14" s="133" t="str">
        <f>IFERROR(VLOOKUP(H14,'[1]Consolidado MP Planta'!$A$2:$M$823,13,0),"")</f>
        <v/>
      </c>
      <c r="E14" s="133" t="str">
        <f>IFERROR(VLOOKUP(H14,'[1]Consolidado MP Planta'!$A$2:$M$823,12,0),"")</f>
        <v/>
      </c>
      <c r="F14" s="133" t="str">
        <f t="shared" si="2"/>
        <v/>
      </c>
      <c r="G14" s="104" t="str">
        <f t="shared" si="0"/>
        <v/>
      </c>
      <c r="H14" s="134"/>
      <c r="I14" s="134"/>
      <c r="J14" s="105"/>
    </row>
    <row r="15" spans="1:10" ht="14.25" hidden="1" thickBot="1" x14ac:dyDescent="0.3">
      <c r="A15" s="131"/>
      <c r="B15" s="119" t="str">
        <f>IFERROR(VLOOKUP(H15,'[2]ARTICULOS MP PLANTA'!$A$2:$G$589,2,0),"")</f>
        <v/>
      </c>
      <c r="C15" s="132"/>
      <c r="D15" s="133"/>
      <c r="E15" s="133"/>
      <c r="F15" s="133"/>
      <c r="G15" s="104"/>
      <c r="H15" s="134"/>
      <c r="I15" s="134"/>
      <c r="J15" s="105"/>
    </row>
    <row r="16" spans="1:10" ht="39" thickBot="1" x14ac:dyDescent="0.3">
      <c r="A16" s="126" t="s">
        <v>132</v>
      </c>
      <c r="B16" s="127" t="s">
        <v>139</v>
      </c>
      <c r="C16" s="127" t="s">
        <v>132</v>
      </c>
      <c r="D16" s="128" t="s">
        <v>134</v>
      </c>
      <c r="E16" s="128" t="s">
        <v>135</v>
      </c>
      <c r="F16" s="128" t="s">
        <v>136</v>
      </c>
      <c r="G16" s="128" t="s">
        <v>137</v>
      </c>
      <c r="H16" s="129" t="s">
        <v>138</v>
      </c>
      <c r="I16" s="130"/>
      <c r="J16" s="105"/>
    </row>
    <row r="17" spans="1:12" ht="13.5" x14ac:dyDescent="0.25">
      <c r="A17" s="131">
        <v>5040</v>
      </c>
      <c r="B17" s="119" t="s">
        <v>91</v>
      </c>
      <c r="C17" s="132">
        <f>+A17</f>
        <v>5040</v>
      </c>
      <c r="D17" s="132" t="s">
        <v>178</v>
      </c>
      <c r="E17" s="133">
        <f>+'Costo Batido'!E69</f>
        <v>2.298551495368431</v>
      </c>
      <c r="F17" s="133">
        <f>IFERROR(E17*C17,"")</f>
        <v>11584.699536656892</v>
      </c>
      <c r="G17" s="104">
        <f t="shared" ref="G17:G24" si="3">IFERROR(F17/$F$66,"")</f>
        <v>0.89167896857625717</v>
      </c>
      <c r="H17" s="134" t="s">
        <v>179</v>
      </c>
      <c r="I17" s="134"/>
      <c r="J17" s="105"/>
    </row>
    <row r="18" spans="1:12" ht="13.5" x14ac:dyDescent="0.25">
      <c r="A18" s="131">
        <v>144</v>
      </c>
      <c r="B18" s="119" t="str">
        <f>IFERROR(VLOOKUP(H18,[1]SEMIELABORADOS!$A$2:$M$6000,2,0),"")</f>
        <v>MEZCLA P/ENGRASE MOLDES KILO</v>
      </c>
      <c r="C18" s="132">
        <f t="shared" ref="C18:C24" si="4">+A18</f>
        <v>144</v>
      </c>
      <c r="D18" s="132" t="str">
        <f>IFERROR(VLOOKUP(H18,[1]SEMIELABORADOS!$A$2:$M$6000,6,0),"")</f>
        <v>Gramo</v>
      </c>
      <c r="E18" s="133">
        <v>2.04</v>
      </c>
      <c r="F18" s="133">
        <f t="shared" ref="F18:F24" si="5">IFERROR(E18*C18,"")</f>
        <v>293.76</v>
      </c>
      <c r="G18" s="104">
        <f t="shared" si="3"/>
        <v>2.2610824992061188E-2</v>
      </c>
      <c r="H18" s="134" t="s">
        <v>180</v>
      </c>
      <c r="I18" s="134"/>
      <c r="J18" s="105"/>
    </row>
    <row r="19" spans="1:12" ht="13.5" hidden="1" x14ac:dyDescent="0.25">
      <c r="A19" s="131"/>
      <c r="B19" s="119" t="str">
        <f>IFERROR(VLOOKUP(H19,[1]SEMIELABORADOS!$A$2:$M$6000,2,0),"")</f>
        <v/>
      </c>
      <c r="C19" s="132">
        <f>+A19</f>
        <v>0</v>
      </c>
      <c r="D19" s="132" t="str">
        <f>IFERROR(VLOOKUP(H19,[1]SEMIELABORADOS!$A$2:$M$6000,6,0),"")</f>
        <v/>
      </c>
      <c r="E19" s="133" t="str">
        <f>IFERROR(VLOOKUP(H19,[1]SEMIELABORADOS!$A$2:$H$65536,8,0),"")</f>
        <v/>
      </c>
      <c r="F19" s="133" t="str">
        <f>IFERROR(E19*C19,"")</f>
        <v/>
      </c>
      <c r="G19" s="104" t="str">
        <f t="shared" si="3"/>
        <v/>
      </c>
      <c r="H19" s="134"/>
      <c r="I19" s="134"/>
      <c r="J19" s="105"/>
    </row>
    <row r="20" spans="1:12" ht="13.5" hidden="1" x14ac:dyDescent="0.25">
      <c r="A20" s="131"/>
      <c r="B20" s="119" t="str">
        <f>IFERROR(VLOOKUP(H20,[1]SEMIELABORADOS!$A$2:$M$6000,2,0),"")</f>
        <v/>
      </c>
      <c r="C20" s="132">
        <f>+A20</f>
        <v>0</v>
      </c>
      <c r="D20" s="132" t="str">
        <f>IFERROR(VLOOKUP(H20,[1]SEMIELABORADOS!$A$2:$M$6000,6,0),"")</f>
        <v/>
      </c>
      <c r="E20" s="133" t="str">
        <f>IFERROR(VLOOKUP(H20,[1]SEMIELABORADOS!$A$2:$H$65536,8,0),"")</f>
        <v/>
      </c>
      <c r="F20" s="133" t="str">
        <f>IFERROR(E20*C20,"")</f>
        <v/>
      </c>
      <c r="G20" s="104" t="str">
        <f t="shared" si="3"/>
        <v/>
      </c>
      <c r="H20" s="134"/>
      <c r="I20" s="134"/>
      <c r="J20" s="105"/>
    </row>
    <row r="21" spans="1:12" ht="13.5" hidden="1" x14ac:dyDescent="0.25">
      <c r="A21" s="131"/>
      <c r="B21" s="119" t="str">
        <f>IFERROR(VLOOKUP(H21,[1]SEMIELABORADOS!$A$2:$M$6000,2,0),"")</f>
        <v/>
      </c>
      <c r="C21" s="132">
        <f>+A21</f>
        <v>0</v>
      </c>
      <c r="D21" s="132" t="str">
        <f>IFERROR(VLOOKUP(H21,[1]SEMIELABORADOS!$A$2:$M$6000,6,0),"")</f>
        <v/>
      </c>
      <c r="E21" s="133" t="str">
        <f>IFERROR(VLOOKUP(H21,[1]SEMIELABORADOS!$A$2:$H$65536,8,0),"")</f>
        <v/>
      </c>
      <c r="F21" s="133" t="str">
        <f>IFERROR(E21*C21,"")</f>
        <v/>
      </c>
      <c r="G21" s="104" t="str">
        <f t="shared" si="3"/>
        <v/>
      </c>
      <c r="H21" s="134"/>
      <c r="I21" s="134"/>
      <c r="J21" s="105"/>
    </row>
    <row r="22" spans="1:12" ht="13.5" hidden="1" x14ac:dyDescent="0.25">
      <c r="A22" s="131"/>
      <c r="B22" s="119" t="str">
        <f>IFERROR(VLOOKUP(H22,[1]SEMIELABORADOS!$A$2:$M$6000,2,0),"")</f>
        <v/>
      </c>
      <c r="C22" s="132">
        <f t="shared" si="4"/>
        <v>0</v>
      </c>
      <c r="D22" s="132" t="str">
        <f>IFERROR(VLOOKUP(H22,[1]SEMIELABORADOS!$A$2:$M$6000,6,0),"")</f>
        <v/>
      </c>
      <c r="E22" s="133" t="str">
        <f>IFERROR(VLOOKUP(H22,[1]SEMIELABORADOS!$A$2:$H$65536,8,0),"")</f>
        <v/>
      </c>
      <c r="F22" s="133" t="str">
        <f t="shared" si="5"/>
        <v/>
      </c>
      <c r="G22" s="104" t="str">
        <f t="shared" si="3"/>
        <v/>
      </c>
      <c r="H22" s="134"/>
      <c r="I22" s="134"/>
      <c r="J22" s="105"/>
    </row>
    <row r="23" spans="1:12" ht="13.5" hidden="1" x14ac:dyDescent="0.25">
      <c r="A23" s="131"/>
      <c r="B23" s="119" t="str">
        <f>IFERROR(VLOOKUP(H23,[1]SEMIELABORADOS!$A$2:$M$6000,2,0),"")</f>
        <v/>
      </c>
      <c r="C23" s="132">
        <f t="shared" si="4"/>
        <v>0</v>
      </c>
      <c r="D23" s="132" t="str">
        <f>IFERROR(VLOOKUP(H23,[1]SEMIELABORADOS!$A$2:$M$6000,6,0),"")</f>
        <v/>
      </c>
      <c r="E23" s="133" t="str">
        <f>IFERROR(VLOOKUP(H23,[1]SEMIELABORADOS!$A$2:$H$65536,8,0),"")</f>
        <v/>
      </c>
      <c r="F23" s="133" t="str">
        <f t="shared" si="5"/>
        <v/>
      </c>
      <c r="G23" s="104" t="str">
        <f t="shared" si="3"/>
        <v/>
      </c>
      <c r="H23" s="134"/>
      <c r="I23" s="134"/>
      <c r="J23" s="105"/>
    </row>
    <row r="24" spans="1:12" ht="13.5" hidden="1" x14ac:dyDescent="0.25">
      <c r="A24" s="131"/>
      <c r="B24" s="119" t="str">
        <f>IFERROR(VLOOKUP(H24,[1]SEMIELABORADOS!$A$2:$M$6000,2,0),"")</f>
        <v/>
      </c>
      <c r="C24" s="132">
        <f t="shared" si="4"/>
        <v>0</v>
      </c>
      <c r="D24" s="132" t="str">
        <f>IFERROR(VLOOKUP(H24,[1]SEMIELABORADOS!$A$2:$M$6000,6,0),"")</f>
        <v/>
      </c>
      <c r="E24" s="133" t="str">
        <f>IFERROR(VLOOKUP(H24,[1]SEMIELABORADOS!$A$2:$H$65536,8,0),"")</f>
        <v/>
      </c>
      <c r="F24" s="133" t="str">
        <f t="shared" si="5"/>
        <v/>
      </c>
      <c r="G24" s="104" t="str">
        <f t="shared" si="3"/>
        <v/>
      </c>
      <c r="H24" s="134"/>
      <c r="I24" s="134"/>
      <c r="J24" s="105"/>
    </row>
    <row r="25" spans="1:12" ht="14.25" thickBot="1" x14ac:dyDescent="0.3">
      <c r="A25" s="131"/>
      <c r="C25" s="132"/>
      <c r="D25" s="132"/>
      <c r="E25" s="133"/>
      <c r="F25" s="133"/>
      <c r="G25" s="104"/>
      <c r="H25" s="134"/>
      <c r="I25" s="134"/>
      <c r="J25" s="105"/>
    </row>
    <row r="26" spans="1:12" ht="39" thickBot="1" x14ac:dyDescent="0.3">
      <c r="A26" s="126" t="s">
        <v>132</v>
      </c>
      <c r="B26" s="127" t="s">
        <v>63</v>
      </c>
      <c r="C26" s="127" t="s">
        <v>132</v>
      </c>
      <c r="D26" s="128" t="s">
        <v>134</v>
      </c>
      <c r="E26" s="128" t="s">
        <v>135</v>
      </c>
      <c r="F26" s="128" t="s">
        <v>136</v>
      </c>
      <c r="G26" s="128" t="s">
        <v>137</v>
      </c>
      <c r="H26" s="129" t="s">
        <v>138</v>
      </c>
      <c r="I26" s="130"/>
    </row>
    <row r="27" spans="1:12" ht="13.5" x14ac:dyDescent="0.25">
      <c r="A27" s="131">
        <v>18</v>
      </c>
      <c r="B27" s="135" t="str">
        <f>IFERROR(VLOOKUP(H27,'[1]Consolidado MP Planta'!$A$2:$M$823,3,0),"")</f>
        <v>PAPEL ENCERADO 10X10 (CAJA)</v>
      </c>
      <c r="C27" s="132">
        <f t="shared" ref="C27:C32" si="6">+A27</f>
        <v>18</v>
      </c>
      <c r="D27" s="133" t="str">
        <f>IFERROR(VLOOKUP(H27,'[1]Consolidado MP Planta'!$A$2:$M$823,13,0),"")</f>
        <v>Und</v>
      </c>
      <c r="E27" s="133">
        <v>14.2</v>
      </c>
      <c r="F27" s="133">
        <f t="shared" ref="F27:F32" si="7">IFERROR(C27*E27,"")</f>
        <v>255.6</v>
      </c>
      <c r="G27" s="104">
        <f t="shared" ref="G27:G32" si="8">IFERROR(F27/$F$66,"")</f>
        <v>1.9673634490641474E-2</v>
      </c>
      <c r="H27" s="136" t="s">
        <v>181</v>
      </c>
      <c r="I27" s="136"/>
      <c r="J27" s="105"/>
      <c r="K27" s="274"/>
      <c r="L27" s="274"/>
    </row>
    <row r="28" spans="1:12" ht="13.5" hidden="1" x14ac:dyDescent="0.25">
      <c r="A28" s="131"/>
      <c r="B28" s="135" t="str">
        <f>IFERROR(VLOOKUP(H28,'[1]Consolidado MP Planta'!$A$2:$M$823,3,0),"")</f>
        <v/>
      </c>
      <c r="C28" s="132">
        <f t="shared" si="6"/>
        <v>0</v>
      </c>
      <c r="D28" s="133" t="str">
        <f>IFERROR(VLOOKUP(H28,'[1]Consolidado MP Planta'!$A$2:$M$823,13,0),"")</f>
        <v/>
      </c>
      <c r="E28" s="133" t="str">
        <f>IFERROR(VLOOKUP(H28,'[1]Consolidado MP Planta'!$A$2:$M$823,12,0),"")</f>
        <v/>
      </c>
      <c r="F28" s="133" t="str">
        <f t="shared" si="7"/>
        <v/>
      </c>
      <c r="G28" s="104" t="str">
        <f t="shared" si="8"/>
        <v/>
      </c>
      <c r="H28" s="136"/>
      <c r="I28" s="136"/>
      <c r="J28" s="105"/>
      <c r="K28" s="274"/>
      <c r="L28" s="274"/>
    </row>
    <row r="29" spans="1:12" ht="13.5" hidden="1" x14ac:dyDescent="0.25">
      <c r="A29" s="131"/>
      <c r="B29" s="135" t="str">
        <f>IFERROR(VLOOKUP(H29,'[1]Consolidado MP Planta'!$A$2:$M$823,3,0),"")</f>
        <v/>
      </c>
      <c r="C29" s="132">
        <f t="shared" si="6"/>
        <v>0</v>
      </c>
      <c r="D29" s="133" t="str">
        <f>IFERROR(VLOOKUP(H29,'[1]Consolidado MP Planta'!$A$2:$M$823,13,0),"")</f>
        <v/>
      </c>
      <c r="E29" s="133" t="str">
        <f>IFERROR(VLOOKUP(H29,'[1]Consolidado MP Planta'!$A$2:$M$823,12,0),"")</f>
        <v/>
      </c>
      <c r="F29" s="133" t="str">
        <f t="shared" si="7"/>
        <v/>
      </c>
      <c r="G29" s="104" t="str">
        <f t="shared" si="8"/>
        <v/>
      </c>
      <c r="H29" s="136"/>
      <c r="I29" s="136"/>
      <c r="J29" s="105"/>
      <c r="K29" s="274"/>
      <c r="L29" s="274"/>
    </row>
    <row r="30" spans="1:12" ht="13.5" hidden="1" x14ac:dyDescent="0.25">
      <c r="A30" s="131"/>
      <c r="B30" s="135" t="str">
        <f>IFERROR(VLOOKUP(H30,'[1]Consolidado MP Planta'!$A$2:$M$823,3,0),"")</f>
        <v/>
      </c>
      <c r="C30" s="132">
        <f t="shared" si="6"/>
        <v>0</v>
      </c>
      <c r="D30" s="133" t="str">
        <f>IFERROR(VLOOKUP(H30,'[1]Consolidado MP Planta'!$A$2:$M$823,13,0),"")</f>
        <v/>
      </c>
      <c r="E30" s="133" t="str">
        <f>IFERROR(VLOOKUP(H30,'[1]Consolidado MP Planta'!$A$2:$M$823,12,0),"")</f>
        <v/>
      </c>
      <c r="F30" s="133" t="str">
        <f t="shared" si="7"/>
        <v/>
      </c>
      <c r="G30" s="104" t="str">
        <f t="shared" si="8"/>
        <v/>
      </c>
      <c r="H30" s="136"/>
      <c r="I30" s="136"/>
      <c r="J30" s="105"/>
      <c r="K30" s="274"/>
      <c r="L30" s="274"/>
    </row>
    <row r="31" spans="1:12" ht="13.5" hidden="1" x14ac:dyDescent="0.25">
      <c r="A31" s="131"/>
      <c r="B31" s="135" t="str">
        <f>IFERROR(VLOOKUP(H31,'[1]Consolidado MP Planta'!$A$2:$M$823,3,0),"")</f>
        <v/>
      </c>
      <c r="C31" s="132">
        <f t="shared" si="6"/>
        <v>0</v>
      </c>
      <c r="D31" s="133" t="str">
        <f>IFERROR(VLOOKUP(H31,'[1]Consolidado MP Planta'!$A$2:$M$823,13,0),"")</f>
        <v/>
      </c>
      <c r="E31" s="133" t="str">
        <f>IFERROR(VLOOKUP(H31,'[1]Consolidado MP Planta'!$A$2:$M$823,12,0),"")</f>
        <v/>
      </c>
      <c r="F31" s="133" t="str">
        <f t="shared" si="7"/>
        <v/>
      </c>
      <c r="G31" s="104" t="str">
        <f t="shared" si="8"/>
        <v/>
      </c>
      <c r="H31" s="136"/>
      <c r="I31" s="136"/>
      <c r="J31" s="105"/>
      <c r="K31" s="137"/>
      <c r="L31" s="138"/>
    </row>
    <row r="32" spans="1:12" ht="13.5" hidden="1" x14ac:dyDescent="0.25">
      <c r="A32" s="131"/>
      <c r="B32" s="135" t="str">
        <f>IFERROR(VLOOKUP(H32,'[1]Consolidado MP Planta'!$A$2:$M$823,3,0),"")</f>
        <v/>
      </c>
      <c r="C32" s="132">
        <f t="shared" si="6"/>
        <v>0</v>
      </c>
      <c r="D32" s="133" t="str">
        <f>IFERROR(VLOOKUP(H32,'[1]Consolidado MP Planta'!$A$2:$M$823,13,0),"")</f>
        <v/>
      </c>
      <c r="E32" s="133" t="str">
        <f>IFERROR(VLOOKUP(H32,'[1]Consolidado MP Planta'!$A$2:$M$823,12,0),"")</f>
        <v/>
      </c>
      <c r="F32" s="133" t="str">
        <f t="shared" si="7"/>
        <v/>
      </c>
      <c r="G32" s="104" t="str">
        <f t="shared" si="8"/>
        <v/>
      </c>
      <c r="H32" s="136"/>
      <c r="I32" s="136"/>
      <c r="J32" s="105"/>
    </row>
    <row r="33" spans="1:13" ht="14.25" thickBot="1" x14ac:dyDescent="0.3">
      <c r="A33" s="131"/>
      <c r="B33" s="135"/>
      <c r="C33" s="132"/>
      <c r="D33" s="133"/>
      <c r="E33" s="133"/>
      <c r="F33" s="133"/>
      <c r="G33" s="104"/>
      <c r="H33" s="136"/>
      <c r="I33" s="136"/>
      <c r="J33" s="105"/>
    </row>
    <row r="34" spans="1:13" ht="39" thickBot="1" x14ac:dyDescent="0.25">
      <c r="A34" s="126" t="s">
        <v>132</v>
      </c>
      <c r="B34" s="127" t="s">
        <v>140</v>
      </c>
      <c r="C34" s="127" t="s">
        <v>132</v>
      </c>
      <c r="D34" s="128" t="s">
        <v>134</v>
      </c>
      <c r="E34" s="128" t="s">
        <v>135</v>
      </c>
      <c r="F34" s="128" t="s">
        <v>136</v>
      </c>
      <c r="G34" s="128" t="s">
        <v>137</v>
      </c>
      <c r="H34" s="129" t="s">
        <v>138</v>
      </c>
      <c r="I34" s="136"/>
      <c r="J34" s="105"/>
    </row>
    <row r="35" spans="1:13" ht="13.5" x14ac:dyDescent="0.25">
      <c r="A35" s="131">
        <f>+A17</f>
        <v>5040</v>
      </c>
      <c r="B35" s="135" t="s">
        <v>91</v>
      </c>
      <c r="C35" s="132">
        <f>+A35</f>
        <v>5040</v>
      </c>
      <c r="D35" s="133" t="s">
        <v>178</v>
      </c>
      <c r="E35" s="133">
        <f>+'Costo Batido'!E76</f>
        <v>3.0412139831494669E-2</v>
      </c>
      <c r="F35" s="133">
        <f>IFERROR(E35*C35,"")</f>
        <v>153.27718475073314</v>
      </c>
      <c r="G35" s="104">
        <f t="shared" ref="G35:G41" si="9">IFERROR(F35/$F$66,"")</f>
        <v>1.1797806371441507E-2</v>
      </c>
      <c r="H35" s="136" t="s">
        <v>179</v>
      </c>
      <c r="I35" s="136"/>
      <c r="J35" s="105"/>
    </row>
    <row r="36" spans="1:13" ht="13.5" x14ac:dyDescent="0.25">
      <c r="A36" s="131">
        <f t="shared" ref="A36:A41" si="10">+A18</f>
        <v>144</v>
      </c>
      <c r="B36" s="135" t="str">
        <f>IFERROR(VLOOKUP(H36,[1]SEMIELABORADOS!$A$2:$M$6000,2,0),"")</f>
        <v>MEZCLA P/ENGRASE MOLDES KILO</v>
      </c>
      <c r="C36" s="132">
        <f t="shared" ref="C36:C41" si="11">+A36</f>
        <v>144</v>
      </c>
      <c r="D36" s="133" t="str">
        <f>IFERROR(VLOOKUP(H36,[1]SEMIELABORADOS!$A$2:$M$6000,6,0),"")</f>
        <v>Gramo</v>
      </c>
      <c r="E36" s="133">
        <f>IFERROR(VLOOKUP(H36,[1]SEMIELABORADOS!$A$2:$M$65536,10,0),"")</f>
        <v>2.1536385000000002E-2</v>
      </c>
      <c r="F36" s="133">
        <f t="shared" ref="F36:F41" si="12">IFERROR(E36*C36,"")</f>
        <v>3.1012394400000001</v>
      </c>
      <c r="G36" s="104">
        <f t="shared" si="9"/>
        <v>2.3870364323365278E-4</v>
      </c>
      <c r="H36" s="136" t="s">
        <v>180</v>
      </c>
      <c r="I36" s="136"/>
      <c r="J36" s="105"/>
    </row>
    <row r="37" spans="1:13" ht="13.5" hidden="1" x14ac:dyDescent="0.25">
      <c r="A37" s="131">
        <f t="shared" si="10"/>
        <v>0</v>
      </c>
      <c r="B37" s="135" t="str">
        <f>IFERROR(VLOOKUP(H37,[1]SEMIELABORADOS!$A$2:$M$6000,2,0),"")</f>
        <v/>
      </c>
      <c r="C37" s="132">
        <f t="shared" si="11"/>
        <v>0</v>
      </c>
      <c r="D37" s="133" t="str">
        <f>IFERROR(VLOOKUP(H37,[1]SEMIELABORADOS!$A$2:$M$6000,6,0),"")</f>
        <v/>
      </c>
      <c r="E37" s="133" t="str">
        <f>IFERROR(VLOOKUP(H37,[1]SEMIELABORADOS!$A$2:$M$65536,10,0),"")</f>
        <v/>
      </c>
      <c r="F37" s="133" t="str">
        <f t="shared" si="12"/>
        <v/>
      </c>
      <c r="G37" s="104" t="str">
        <f t="shared" si="9"/>
        <v/>
      </c>
      <c r="H37" s="136"/>
      <c r="I37" s="136"/>
      <c r="J37" s="105"/>
    </row>
    <row r="38" spans="1:13" ht="13.5" hidden="1" x14ac:dyDescent="0.25">
      <c r="A38" s="131">
        <f t="shared" si="10"/>
        <v>0</v>
      </c>
      <c r="B38" s="135" t="str">
        <f>IFERROR(VLOOKUP(H38,[1]SEMIELABORADOS!$A$2:$M$6000,2,0),"")</f>
        <v/>
      </c>
      <c r="C38" s="132">
        <f>+A38</f>
        <v>0</v>
      </c>
      <c r="D38" s="133" t="str">
        <f>IFERROR(VLOOKUP(H38,[1]SEMIELABORADOS!$A$2:$M$6000,6,0),"")</f>
        <v/>
      </c>
      <c r="E38" s="133" t="str">
        <f>IFERROR(VLOOKUP(H38,[1]SEMIELABORADOS!$A$2:$M$65536,10,0),"")</f>
        <v/>
      </c>
      <c r="F38" s="133" t="str">
        <f>IFERROR(E38*C38,"")</f>
        <v/>
      </c>
      <c r="G38" s="104" t="str">
        <f t="shared" si="9"/>
        <v/>
      </c>
      <c r="H38" s="136"/>
      <c r="I38" s="136"/>
      <c r="J38" s="105"/>
    </row>
    <row r="39" spans="1:13" ht="13.5" hidden="1" x14ac:dyDescent="0.25">
      <c r="A39" s="131">
        <f t="shared" si="10"/>
        <v>0</v>
      </c>
      <c r="B39" s="135" t="str">
        <f>IFERROR(VLOOKUP(H39,[1]SEMIELABORADOS!$A$2:$M$6000,2,0),"")</f>
        <v/>
      </c>
      <c r="C39" s="132">
        <f>+A39</f>
        <v>0</v>
      </c>
      <c r="D39" s="133" t="str">
        <f>IFERROR(VLOOKUP(H39,[1]SEMIELABORADOS!$A$2:$M$6000,6,0),"")</f>
        <v/>
      </c>
      <c r="E39" s="133" t="str">
        <f>IFERROR(VLOOKUP(H39,[1]SEMIELABORADOS!$A$2:$M$65536,10,0),"")</f>
        <v/>
      </c>
      <c r="F39" s="133" t="str">
        <f>IFERROR(E39*C39,"")</f>
        <v/>
      </c>
      <c r="G39" s="104" t="str">
        <f t="shared" si="9"/>
        <v/>
      </c>
      <c r="H39" s="136"/>
      <c r="I39" s="136"/>
      <c r="J39" s="105"/>
    </row>
    <row r="40" spans="1:13" ht="13.5" hidden="1" x14ac:dyDescent="0.25">
      <c r="A40" s="131">
        <f t="shared" si="10"/>
        <v>0</v>
      </c>
      <c r="B40" s="135" t="str">
        <f>IFERROR(VLOOKUP(H40,[1]SEMIELABORADOS!$A$2:$M$6000,2,0),"")</f>
        <v/>
      </c>
      <c r="C40" s="132">
        <f t="shared" si="11"/>
        <v>0</v>
      </c>
      <c r="D40" s="133" t="str">
        <f>IFERROR(VLOOKUP(H40,[1]SEMIELABORADOS!$A$2:$M$6000,6,0),"")</f>
        <v/>
      </c>
      <c r="E40" s="133" t="str">
        <f>IFERROR(VLOOKUP(H40,[1]SEMIELABORADOS!$A$2:$M$65536,10,0),"")</f>
        <v/>
      </c>
      <c r="F40" s="133" t="str">
        <f t="shared" si="12"/>
        <v/>
      </c>
      <c r="G40" s="104" t="str">
        <f t="shared" si="9"/>
        <v/>
      </c>
      <c r="H40" s="136"/>
      <c r="I40" s="136"/>
      <c r="J40" s="105"/>
    </row>
    <row r="41" spans="1:13" ht="13.5" hidden="1" x14ac:dyDescent="0.25">
      <c r="A41" s="131">
        <f t="shared" si="10"/>
        <v>0</v>
      </c>
      <c r="B41" s="135" t="str">
        <f>IFERROR(VLOOKUP(H41,[1]SEMIELABORADOS!$A$2:$M$6000,2,0),"")</f>
        <v/>
      </c>
      <c r="C41" s="132">
        <f t="shared" si="11"/>
        <v>0</v>
      </c>
      <c r="D41" s="133" t="str">
        <f>IFERROR(VLOOKUP(H41,[1]SEMIELABORADOS!$A$2:$M$6000,6,0),"")</f>
        <v/>
      </c>
      <c r="E41" s="133" t="str">
        <f>IFERROR(VLOOKUP(H41,[1]SEMIELABORADOS!$A$2:$M$65536,10,0),"")</f>
        <v/>
      </c>
      <c r="F41" s="133" t="str">
        <f t="shared" si="12"/>
        <v/>
      </c>
      <c r="G41" s="104" t="str">
        <f t="shared" si="9"/>
        <v/>
      </c>
      <c r="H41" s="136"/>
      <c r="I41" s="136"/>
      <c r="J41" s="105"/>
    </row>
    <row r="42" spans="1:13" ht="14.25" thickBot="1" x14ac:dyDescent="0.3">
      <c r="A42" s="131"/>
      <c r="B42" s="135"/>
      <c r="C42" s="132"/>
      <c r="D42" s="133"/>
      <c r="E42" s="133"/>
      <c r="F42" s="133"/>
      <c r="G42" s="104"/>
      <c r="H42" s="136"/>
      <c r="I42" s="136"/>
      <c r="J42" s="105"/>
    </row>
    <row r="43" spans="1:13" ht="39" thickBot="1" x14ac:dyDescent="0.3">
      <c r="A43" s="126" t="s">
        <v>132</v>
      </c>
      <c r="B43" s="127" t="s">
        <v>141</v>
      </c>
      <c r="C43" s="127" t="s">
        <v>132</v>
      </c>
      <c r="D43" s="128" t="s">
        <v>134</v>
      </c>
      <c r="E43" s="128" t="s">
        <v>135</v>
      </c>
      <c r="F43" s="128" t="s">
        <v>136</v>
      </c>
      <c r="G43" s="128" t="s">
        <v>137</v>
      </c>
      <c r="H43" s="129" t="s">
        <v>138</v>
      </c>
      <c r="I43" s="130"/>
      <c r="J43" s="105"/>
    </row>
    <row r="44" spans="1:13" ht="13.5" x14ac:dyDescent="0.25">
      <c r="A44" s="131">
        <f>+A35</f>
        <v>5040</v>
      </c>
      <c r="B44" s="135" t="s">
        <v>91</v>
      </c>
      <c r="C44" s="132">
        <f>+A44</f>
        <v>5040</v>
      </c>
      <c r="D44" s="133" t="s">
        <v>178</v>
      </c>
      <c r="E44" s="133">
        <f>+'Costo Batido'!E74</f>
        <v>0.16820117760621356</v>
      </c>
      <c r="F44" s="133">
        <f>IFERROR(E44*C44,"")</f>
        <v>847.7339351353163</v>
      </c>
      <c r="G44" s="104">
        <f>IFERROR(F44/$F$66,"")</f>
        <v>6.525042091222763E-2</v>
      </c>
      <c r="H44" s="136" t="s">
        <v>179</v>
      </c>
      <c r="I44" s="130"/>
      <c r="J44" s="105"/>
    </row>
    <row r="45" spans="1:13" ht="13.5" x14ac:dyDescent="0.25">
      <c r="A45" s="131">
        <f t="shared" ref="A45:A50" si="13">+A36</f>
        <v>144</v>
      </c>
      <c r="B45" s="135" t="str">
        <f>IFERROR(VLOOKUP(H45,[1]SEMIELABORADOS!$A$2:$M$6000,2,0),"")</f>
        <v>MEZCLA P/ENGRASE MOLDES KILO</v>
      </c>
      <c r="C45" s="132">
        <f t="shared" ref="C45:C50" si="14">+A45</f>
        <v>144</v>
      </c>
      <c r="D45" s="133" t="str">
        <f>IFERROR(VLOOKUP(H45,[1]SEMIELABORADOS!$A$2:$M$6000,6,0),"")</f>
        <v>Gramo</v>
      </c>
      <c r="E45" s="133">
        <f>IFERROR(VLOOKUP(H45,[1]SEMIELABORADOS!$A$2:$M$65536,12,0),"")</f>
        <v>0.25127579955503354</v>
      </c>
      <c r="F45" s="133">
        <f t="shared" ref="F45:F50" si="15">IFERROR(E45*C45,"")</f>
        <v>36.183715135924828</v>
      </c>
      <c r="G45" s="104">
        <f t="shared" ref="G45:G50" si="16">IFERROR(F45/$F$66,"")</f>
        <v>2.7850750629799556E-3</v>
      </c>
      <c r="H45" s="136" t="s">
        <v>180</v>
      </c>
      <c r="I45" s="130"/>
      <c r="J45" s="105"/>
      <c r="M45" s="139"/>
    </row>
    <row r="46" spans="1:13" ht="13.5" hidden="1" x14ac:dyDescent="0.25">
      <c r="A46" s="131">
        <f t="shared" si="13"/>
        <v>0</v>
      </c>
      <c r="B46" s="135" t="str">
        <f>IFERROR(VLOOKUP(H46,[1]SEMIELABORADOS!$A$2:$M$6000,2,0),"")</f>
        <v/>
      </c>
      <c r="C46" s="132">
        <f t="shared" si="14"/>
        <v>0</v>
      </c>
      <c r="D46" s="133" t="str">
        <f>IFERROR(VLOOKUP(H46,[1]SEMIELABORADOS!$A$2:$M$6000,6,0),"")</f>
        <v/>
      </c>
      <c r="E46" s="133" t="str">
        <f>IFERROR(VLOOKUP(H46,[1]SEMIELABORADOS!$A$2:$M$65536,12,0),"")</f>
        <v/>
      </c>
      <c r="F46" s="133" t="str">
        <f t="shared" si="15"/>
        <v/>
      </c>
      <c r="G46" s="104" t="str">
        <f t="shared" si="16"/>
        <v/>
      </c>
      <c r="H46" s="136"/>
      <c r="I46" s="130"/>
      <c r="J46" s="105"/>
    </row>
    <row r="47" spans="1:13" ht="13.5" hidden="1" x14ac:dyDescent="0.25">
      <c r="A47" s="131">
        <f t="shared" si="13"/>
        <v>0</v>
      </c>
      <c r="B47" s="135" t="str">
        <f>IFERROR(VLOOKUP(H47,[1]SEMIELABORADOS!$A$2:$M$6000,2,0),"")</f>
        <v/>
      </c>
      <c r="C47" s="132">
        <f t="shared" si="14"/>
        <v>0</v>
      </c>
      <c r="D47" s="133" t="str">
        <f>IFERROR(VLOOKUP(H47,[1]SEMIELABORADOS!$A$2:$M$6000,6,0),"")</f>
        <v/>
      </c>
      <c r="E47" s="133" t="str">
        <f>IFERROR(VLOOKUP(H47,[1]SEMIELABORADOS!$A$2:$M$65536,12,0),"")</f>
        <v/>
      </c>
      <c r="F47" s="133" t="str">
        <f t="shared" si="15"/>
        <v/>
      </c>
      <c r="G47" s="104" t="str">
        <f t="shared" si="16"/>
        <v/>
      </c>
      <c r="H47" s="136"/>
      <c r="I47" s="130"/>
      <c r="J47" s="105"/>
    </row>
    <row r="48" spans="1:13" ht="13.5" hidden="1" x14ac:dyDescent="0.25">
      <c r="A48" s="131">
        <f t="shared" si="13"/>
        <v>0</v>
      </c>
      <c r="B48" s="135" t="str">
        <f>IFERROR(VLOOKUP(H48,[1]SEMIELABORADOS!$A$2:$M$6000,2,0),"")</f>
        <v/>
      </c>
      <c r="C48" s="132">
        <f t="shared" si="14"/>
        <v>0</v>
      </c>
      <c r="D48" s="133" t="str">
        <f>IFERROR(VLOOKUP(H48,[1]SEMIELABORADOS!$A$2:$M$6000,6,0),"")</f>
        <v/>
      </c>
      <c r="E48" s="133" t="str">
        <f>IFERROR(VLOOKUP(H48,[1]SEMIELABORADOS!$A$2:$M$65536,12,0),"")</f>
        <v/>
      </c>
      <c r="F48" s="133" t="str">
        <f t="shared" si="15"/>
        <v/>
      </c>
      <c r="G48" s="104" t="str">
        <f t="shared" si="16"/>
        <v/>
      </c>
      <c r="H48" s="136"/>
      <c r="I48" s="130"/>
      <c r="J48" s="105"/>
    </row>
    <row r="49" spans="1:17" ht="13.5" hidden="1" x14ac:dyDescent="0.25">
      <c r="A49" s="131">
        <f t="shared" si="13"/>
        <v>0</v>
      </c>
      <c r="B49" s="135" t="str">
        <f>IFERROR(VLOOKUP(H49,[1]SEMIELABORADOS!$A$2:$M$6000,2,0),"")</f>
        <v/>
      </c>
      <c r="C49" s="132">
        <f t="shared" si="14"/>
        <v>0</v>
      </c>
      <c r="D49" s="133" t="str">
        <f>IFERROR(VLOOKUP(H49,[1]SEMIELABORADOS!$A$2:$M$6000,6,0),"")</f>
        <v/>
      </c>
      <c r="E49" s="133" t="str">
        <f>IFERROR(VLOOKUP(H49,[1]SEMIELABORADOS!$A$2:$M$65536,12,0),"")</f>
        <v/>
      </c>
      <c r="F49" s="133" t="str">
        <f t="shared" si="15"/>
        <v/>
      </c>
      <c r="G49" s="104" t="str">
        <f t="shared" si="16"/>
        <v/>
      </c>
      <c r="H49" s="136"/>
      <c r="I49" s="130"/>
      <c r="J49" s="105"/>
    </row>
    <row r="50" spans="1:17" ht="13.5" hidden="1" x14ac:dyDescent="0.25">
      <c r="A50" s="131">
        <f t="shared" si="13"/>
        <v>0</v>
      </c>
      <c r="B50" s="135" t="str">
        <f>IFERROR(VLOOKUP(H50,[1]SEMIELABORADOS!$A$2:$M$6000,2,0),"")</f>
        <v/>
      </c>
      <c r="C50" s="132">
        <f t="shared" si="14"/>
        <v>0</v>
      </c>
      <c r="D50" s="133" t="str">
        <f>IFERROR(VLOOKUP(H50,[1]SEMIELABORADOS!$A$2:$M$6000,6,0),"")</f>
        <v/>
      </c>
      <c r="E50" s="133" t="str">
        <f>IFERROR(VLOOKUP(H50,[1]SEMIELABORADOS!$A$2:$M$65536,12,0),"")</f>
        <v/>
      </c>
      <c r="F50" s="133" t="str">
        <f t="shared" si="15"/>
        <v/>
      </c>
      <c r="G50" s="104" t="str">
        <f t="shared" si="16"/>
        <v/>
      </c>
      <c r="H50" s="135"/>
      <c r="I50" s="130"/>
      <c r="J50" s="105"/>
    </row>
    <row r="51" spans="1:17" ht="13.5" x14ac:dyDescent="0.25">
      <c r="A51" s="131">
        <v>1</v>
      </c>
      <c r="B51" s="135" t="s">
        <v>142</v>
      </c>
      <c r="C51" s="132">
        <f>+A51</f>
        <v>1</v>
      </c>
      <c r="D51" s="132" t="s">
        <v>143</v>
      </c>
      <c r="E51" s="133">
        <f>+F65</f>
        <v>464</v>
      </c>
      <c r="F51" s="133">
        <f>IFERROR(C51*E51,"")</f>
        <v>464</v>
      </c>
      <c r="G51" s="104">
        <f>IFERROR(F51/$F$66,"")</f>
        <v>3.5714266054998611E-2</v>
      </c>
      <c r="H51" s="140"/>
      <c r="I51" s="140"/>
      <c r="J51" s="105"/>
    </row>
    <row r="52" spans="1:17" ht="14.25" thickBot="1" x14ac:dyDescent="0.3">
      <c r="A52" s="131"/>
      <c r="B52" s="135"/>
      <c r="C52" s="132"/>
      <c r="D52" s="132"/>
      <c r="E52" s="133"/>
      <c r="F52" s="133"/>
      <c r="G52" s="104"/>
      <c r="H52" s="140"/>
      <c r="I52" s="140"/>
      <c r="J52" s="105"/>
    </row>
    <row r="53" spans="1:17" ht="13.5" thickBot="1" x14ac:dyDescent="0.3">
      <c r="A53" s="141"/>
      <c r="B53" s="277" t="s">
        <v>144</v>
      </c>
      <c r="C53" s="277"/>
      <c r="D53" s="277"/>
      <c r="E53" s="277"/>
      <c r="F53" s="143">
        <f>SUM(F8:F14,F17:F24)</f>
        <v>11878.459536656892</v>
      </c>
      <c r="G53" s="104">
        <f>+F53/$F$66</f>
        <v>0.91428979356831841</v>
      </c>
      <c r="H53" s="144">
        <f>+F53/$D$60</f>
        <v>659.91441870316066</v>
      </c>
      <c r="I53" s="144"/>
      <c r="J53" s="110"/>
      <c r="K53" s="145"/>
      <c r="L53" s="145"/>
      <c r="M53" s="145"/>
      <c r="N53" s="145"/>
      <c r="O53" s="145"/>
      <c r="P53" s="145"/>
      <c r="Q53" s="146"/>
    </row>
    <row r="54" spans="1:17" x14ac:dyDescent="0.2">
      <c r="A54" s="141"/>
      <c r="B54" s="277" t="s">
        <v>145</v>
      </c>
      <c r="C54" s="277"/>
      <c r="D54" s="277"/>
      <c r="E54" s="277"/>
      <c r="F54" s="143">
        <f>SUM(F27:F32,F35:F41)</f>
        <v>411.97842419073311</v>
      </c>
      <c r="G54" s="104">
        <f>+F54/$F$66</f>
        <v>3.1710144505316631E-2</v>
      </c>
      <c r="H54" s="144">
        <f>+F54/$D$60</f>
        <v>22.887690232818507</v>
      </c>
      <c r="I54" s="144"/>
      <c r="J54" s="147"/>
      <c r="K54" s="286" t="s">
        <v>146</v>
      </c>
      <c r="L54" s="287"/>
      <c r="M54" s="287"/>
      <c r="N54" s="287"/>
      <c r="O54" s="148">
        <f>+F55</f>
        <v>12290.437960847625</v>
      </c>
      <c r="P54" s="148"/>
      <c r="Q54" s="149"/>
    </row>
    <row r="55" spans="1:17" x14ac:dyDescent="0.2">
      <c r="A55" s="141"/>
      <c r="B55" s="277" t="s">
        <v>147</v>
      </c>
      <c r="C55" s="277"/>
      <c r="D55" s="277"/>
      <c r="E55" s="277"/>
      <c r="F55" s="143">
        <f>+F53+F54</f>
        <v>12290.437960847625</v>
      </c>
      <c r="G55" s="104">
        <f>+F55/$F$66</f>
        <v>0.94599993807363503</v>
      </c>
      <c r="H55" s="144">
        <f>+F55/$D$60</f>
        <v>682.80210893597916</v>
      </c>
      <c r="I55" s="144"/>
      <c r="J55" s="111"/>
      <c r="K55" s="150"/>
      <c r="M55" s="151" t="s">
        <v>148</v>
      </c>
      <c r="N55" s="152"/>
      <c r="O55" s="148">
        <f>+H56</f>
        <v>74.884313903957846</v>
      </c>
      <c r="P55" s="148"/>
      <c r="Q55" s="149"/>
    </row>
    <row r="56" spans="1:17" ht="13.5" thickBot="1" x14ac:dyDescent="0.25">
      <c r="A56" s="141"/>
      <c r="B56" s="142"/>
      <c r="C56" s="277" t="s">
        <v>149</v>
      </c>
      <c r="D56" s="277"/>
      <c r="E56" s="277"/>
      <c r="F56" s="143">
        <f>SUM(F44:F51)</f>
        <v>1347.9176502712412</v>
      </c>
      <c r="G56" s="104">
        <f>+F56/$F$66</f>
        <v>0.10374976203020619</v>
      </c>
      <c r="H56" s="144">
        <f>+F56/$D$60</f>
        <v>74.884313903957846</v>
      </c>
      <c r="I56" s="144"/>
      <c r="J56" s="111"/>
      <c r="K56" s="150"/>
      <c r="L56" s="150"/>
      <c r="M56" s="150" t="s">
        <v>150</v>
      </c>
      <c r="N56" s="113"/>
      <c r="O56" s="148">
        <f>O54*N56</f>
        <v>0</v>
      </c>
      <c r="P56" s="148"/>
      <c r="Q56" s="149"/>
    </row>
    <row r="57" spans="1:17" ht="13.5" thickBot="1" x14ac:dyDescent="0.25">
      <c r="A57" s="141"/>
      <c r="B57" s="153"/>
      <c r="C57" s="153"/>
      <c r="D57" s="153"/>
      <c r="E57" s="153"/>
      <c r="F57" s="154"/>
      <c r="G57" s="104"/>
      <c r="H57" s="155"/>
      <c r="I57" s="144"/>
      <c r="J57" s="111"/>
      <c r="K57" s="156"/>
      <c r="M57" s="157" t="s">
        <v>151</v>
      </c>
      <c r="N57" s="158"/>
      <c r="O57" s="159">
        <f>SUM(O54:O56)</f>
        <v>12365.322274751583</v>
      </c>
      <c r="P57" s="160"/>
      <c r="Q57" s="149"/>
    </row>
    <row r="58" spans="1:17" x14ac:dyDescent="0.2">
      <c r="B58" s="292" t="s">
        <v>152</v>
      </c>
      <c r="C58" s="292"/>
      <c r="D58" s="161">
        <v>5040</v>
      </c>
      <c r="E58" s="162"/>
      <c r="G58" s="104"/>
      <c r="H58" s="155"/>
      <c r="I58" s="163"/>
      <c r="J58" s="111"/>
      <c r="K58" s="156"/>
      <c r="L58" s="150"/>
      <c r="M58" s="150" t="s">
        <v>153</v>
      </c>
      <c r="N58" s="109">
        <v>0.16</v>
      </c>
      <c r="O58" s="148">
        <f>+O54*N58</f>
        <v>1966.47007373562</v>
      </c>
      <c r="P58" s="148"/>
      <c r="Q58" s="149"/>
    </row>
    <row r="59" spans="1:17" x14ac:dyDescent="0.2">
      <c r="B59" s="292" t="s">
        <v>154</v>
      </c>
      <c r="C59" s="292"/>
      <c r="D59" s="164">
        <v>280</v>
      </c>
      <c r="E59" s="162"/>
      <c r="G59" s="104"/>
      <c r="H59" s="155"/>
      <c r="I59" s="163"/>
      <c r="J59" s="111"/>
      <c r="K59" s="156"/>
      <c r="L59" s="150"/>
      <c r="M59" s="285" t="s">
        <v>151</v>
      </c>
      <c r="N59" s="285"/>
      <c r="O59" s="148">
        <f>SUM(O57:O58)</f>
        <v>14331.792348487203</v>
      </c>
      <c r="P59" s="148"/>
      <c r="Q59" s="149"/>
    </row>
    <row r="60" spans="1:17" ht="13.5" thickBot="1" x14ac:dyDescent="0.25">
      <c r="B60" s="283" t="s">
        <v>155</v>
      </c>
      <c r="C60" s="283"/>
      <c r="D60" s="161">
        <f>+D58/D59</f>
        <v>18</v>
      </c>
      <c r="E60" s="162"/>
      <c r="F60" s="165"/>
      <c r="G60" s="104"/>
      <c r="H60" s="155"/>
      <c r="I60" s="163"/>
      <c r="J60" s="111"/>
      <c r="K60" s="156"/>
      <c r="L60" s="285"/>
      <c r="M60" s="285"/>
      <c r="N60" s="109"/>
      <c r="O60" s="148">
        <f>+O59*N60</f>
        <v>0</v>
      </c>
      <c r="P60" s="148"/>
      <c r="Q60" s="149"/>
    </row>
    <row r="61" spans="1:17" ht="13.5" thickBot="1" x14ac:dyDescent="0.25">
      <c r="B61" s="283" t="s">
        <v>156</v>
      </c>
      <c r="C61" s="283"/>
      <c r="D61" s="166"/>
      <c r="E61" s="162"/>
      <c r="F61" s="165"/>
      <c r="G61" s="104"/>
      <c r="H61" s="155"/>
      <c r="I61" s="163"/>
      <c r="J61" s="111"/>
      <c r="K61" s="289" t="s">
        <v>157</v>
      </c>
      <c r="L61" s="290"/>
      <c r="M61" s="290"/>
      <c r="N61" s="291"/>
      <c r="O61" s="159">
        <f>SUM(O59:O60)</f>
        <v>14331.792348487203</v>
      </c>
      <c r="P61" s="167" t="s">
        <v>158</v>
      </c>
      <c r="Q61" s="149"/>
    </row>
    <row r="62" spans="1:17" ht="13.5" thickBot="1" x14ac:dyDescent="0.25">
      <c r="C62" s="141" t="s">
        <v>159</v>
      </c>
      <c r="D62" s="168"/>
      <c r="E62" s="117" t="s">
        <v>160</v>
      </c>
      <c r="F62" s="169" t="s">
        <v>161</v>
      </c>
      <c r="G62" s="104"/>
      <c r="H62" s="155"/>
      <c r="I62" s="163"/>
      <c r="J62" s="170"/>
      <c r="K62" s="171"/>
      <c r="L62" s="278" t="s">
        <v>162</v>
      </c>
      <c r="M62" s="278"/>
      <c r="N62" s="278"/>
      <c r="O62" s="172">
        <f>+O61/D60</f>
        <v>796.2106860270668</v>
      </c>
      <c r="P62" s="173">
        <f>+O62/D59</f>
        <v>2.8436095929538099</v>
      </c>
      <c r="Q62" s="174"/>
    </row>
    <row r="63" spans="1:17" ht="13.5" thickBot="1" x14ac:dyDescent="0.25">
      <c r="B63" s="284" t="s">
        <v>147</v>
      </c>
      <c r="C63" s="284"/>
      <c r="D63" s="284"/>
      <c r="E63" s="106">
        <f>+F63/F63</f>
        <v>1</v>
      </c>
      <c r="F63" s="175">
        <f>SUM(F55)</f>
        <v>12290.437960847625</v>
      </c>
      <c r="G63" s="104">
        <f>+F63/$F$66</f>
        <v>0.94599993807363503</v>
      </c>
      <c r="H63" s="155"/>
      <c r="I63" s="163"/>
      <c r="K63" s="275"/>
      <c r="L63" s="276"/>
      <c r="M63" s="276"/>
      <c r="N63" s="276"/>
      <c r="O63" s="176"/>
      <c r="P63" s="177"/>
    </row>
    <row r="64" spans="1:17" ht="13.5" thickBot="1" x14ac:dyDescent="0.3">
      <c r="B64" s="293" t="s">
        <v>163</v>
      </c>
      <c r="C64" s="293"/>
      <c r="D64" s="293"/>
      <c r="E64" s="178">
        <v>0.02</v>
      </c>
      <c r="F64" s="175">
        <f>+F53*E64</f>
        <v>237.56919073313784</v>
      </c>
      <c r="G64" s="104">
        <f>+F64/$F$66</f>
        <v>1.8285795871366368E-2</v>
      </c>
      <c r="H64" s="144"/>
      <c r="I64" s="163"/>
      <c r="J64" s="112"/>
      <c r="O64" s="179"/>
      <c r="P64" s="142"/>
    </row>
    <row r="65" spans="2:13" ht="13.5" thickBot="1" x14ac:dyDescent="0.3">
      <c r="B65" s="268" t="s">
        <v>164</v>
      </c>
      <c r="C65" s="269"/>
      <c r="D65" s="180">
        <v>8</v>
      </c>
      <c r="E65" s="181">
        <v>58</v>
      </c>
      <c r="F65" s="175">
        <f>+E65*D65</f>
        <v>464</v>
      </c>
      <c r="G65" s="104">
        <f>+F65/$F$66</f>
        <v>3.5714266054998611E-2</v>
      </c>
      <c r="H65" s="144"/>
      <c r="I65" s="144"/>
      <c r="J65" s="105"/>
    </row>
    <row r="66" spans="2:13" ht="13.5" thickBot="1" x14ac:dyDescent="0.3">
      <c r="B66" s="265" t="s">
        <v>165</v>
      </c>
      <c r="C66" s="266"/>
      <c r="D66" s="266"/>
      <c r="E66" s="267"/>
      <c r="F66" s="154">
        <f>SUM(F63:F65)</f>
        <v>12992.007151580763</v>
      </c>
      <c r="G66" s="104">
        <f>+F66/$F$66</f>
        <v>1</v>
      </c>
      <c r="H66" s="288"/>
      <c r="I66" s="144"/>
      <c r="J66" s="105"/>
      <c r="M66" s="119" t="s">
        <v>166</v>
      </c>
    </row>
    <row r="67" spans="2:13" x14ac:dyDescent="0.25">
      <c r="C67" s="139"/>
      <c r="D67" s="139"/>
      <c r="E67" s="183"/>
      <c r="F67" s="175"/>
      <c r="G67" s="104"/>
      <c r="H67" s="288"/>
      <c r="I67" s="182"/>
      <c r="J67" s="119"/>
      <c r="M67" s="119" t="s">
        <v>167</v>
      </c>
    </row>
    <row r="68" spans="2:13" ht="13.5" thickBot="1" x14ac:dyDescent="0.3">
      <c r="B68" s="264" t="s">
        <v>168</v>
      </c>
      <c r="C68" s="264"/>
      <c r="D68" s="264"/>
      <c r="E68" s="264"/>
      <c r="F68" s="264"/>
      <c r="G68" s="104"/>
      <c r="H68" s="185"/>
      <c r="I68" s="182"/>
      <c r="J68" s="119"/>
    </row>
    <row r="69" spans="2:13" ht="13.5" thickBot="1" x14ac:dyDescent="0.3">
      <c r="B69" s="186" t="s">
        <v>169</v>
      </c>
      <c r="C69" s="187">
        <f>+F53</f>
        <v>11878.459536656892</v>
      </c>
      <c r="D69" s="187">
        <f>+D58</f>
        <v>5040</v>
      </c>
      <c r="E69" s="188">
        <f>+C69/D69</f>
        <v>2.3568372096541452</v>
      </c>
      <c r="F69" s="104"/>
      <c r="G69" s="185"/>
      <c r="H69" s="105"/>
      <c r="I69" s="185"/>
      <c r="J69" s="119"/>
    </row>
    <row r="70" spans="2:13" x14ac:dyDescent="0.25">
      <c r="B70" s="189"/>
      <c r="C70" s="190"/>
      <c r="D70" s="191"/>
      <c r="E70" s="175"/>
      <c r="F70" s="104"/>
      <c r="G70" s="185"/>
      <c r="H70" s="105"/>
      <c r="I70" s="105"/>
      <c r="J70" s="119"/>
    </row>
    <row r="71" spans="2:13" x14ac:dyDescent="0.25">
      <c r="B71" s="186" t="s">
        <v>170</v>
      </c>
      <c r="C71" s="187">
        <f>SUM(F63:F64)</f>
        <v>12528.007151580763</v>
      </c>
      <c r="D71" s="187">
        <f>+D58</f>
        <v>5040</v>
      </c>
      <c r="E71" s="192">
        <f>+C71/D71</f>
        <v>2.4857157046787228</v>
      </c>
      <c r="F71" s="104"/>
      <c r="G71" s="185"/>
      <c r="H71" s="105"/>
      <c r="I71" s="105"/>
      <c r="J71" s="119"/>
    </row>
    <row r="72" spans="2:13" x14ac:dyDescent="0.25">
      <c r="B72" s="186"/>
      <c r="C72" s="187"/>
      <c r="D72" s="187"/>
      <c r="E72" s="192"/>
      <c r="F72" s="104"/>
      <c r="G72" s="185"/>
      <c r="H72" s="105"/>
      <c r="I72" s="105"/>
      <c r="J72" s="119"/>
    </row>
    <row r="73" spans="2:13" ht="13.5" thickBot="1" x14ac:dyDescent="0.3">
      <c r="B73" s="186" t="s">
        <v>171</v>
      </c>
      <c r="C73" s="187">
        <f>+F65</f>
        <v>464</v>
      </c>
      <c r="D73" s="187">
        <f>+D58</f>
        <v>5040</v>
      </c>
      <c r="E73" s="192">
        <f>+C73/D73</f>
        <v>9.2063492063492069E-2</v>
      </c>
      <c r="F73" s="104"/>
      <c r="G73" s="185"/>
      <c r="H73" s="105"/>
      <c r="I73" s="105"/>
      <c r="J73" s="119"/>
    </row>
    <row r="74" spans="2:13" ht="13.5" thickBot="1" x14ac:dyDescent="0.3">
      <c r="B74" s="186" t="s">
        <v>172</v>
      </c>
      <c r="C74" s="187">
        <f>+F56</f>
        <v>1347.9176502712412</v>
      </c>
      <c r="D74" s="187">
        <f>+D73</f>
        <v>5040</v>
      </c>
      <c r="E74" s="188">
        <f>+C74/D74</f>
        <v>0.26744397822842086</v>
      </c>
      <c r="F74" s="104"/>
      <c r="G74" s="185"/>
      <c r="H74" s="105"/>
      <c r="I74" s="105"/>
      <c r="J74" s="119"/>
    </row>
    <row r="75" spans="2:13" ht="13.5" thickBot="1" x14ac:dyDescent="0.3">
      <c r="B75" s="153"/>
      <c r="C75" s="154"/>
      <c r="D75" s="154"/>
      <c r="E75" s="192"/>
      <c r="F75" s="104"/>
      <c r="G75" s="185"/>
      <c r="H75" s="105"/>
      <c r="I75" s="105"/>
      <c r="J75" s="119"/>
    </row>
    <row r="76" spans="2:13" ht="13.5" thickBot="1" x14ac:dyDescent="0.3">
      <c r="B76" s="186" t="s">
        <v>173</v>
      </c>
      <c r="C76" s="187">
        <f>+F54</f>
        <v>411.97842419073311</v>
      </c>
      <c r="D76" s="187">
        <f>+D74</f>
        <v>5040</v>
      </c>
      <c r="E76" s="188">
        <f>+C76/D76</f>
        <v>8.1741750831494667E-2</v>
      </c>
      <c r="F76" s="104"/>
      <c r="G76" s="185"/>
      <c r="H76" s="105"/>
      <c r="I76" s="105"/>
      <c r="J76" s="105"/>
    </row>
    <row r="77" spans="2:13" ht="13.5" thickBot="1" x14ac:dyDescent="0.3">
      <c r="B77" s="153"/>
      <c r="C77" s="154"/>
      <c r="D77" s="154"/>
      <c r="E77" s="192"/>
      <c r="F77" s="104"/>
      <c r="G77" s="185"/>
      <c r="H77" s="105"/>
      <c r="I77" s="105"/>
    </row>
    <row r="78" spans="2:13" ht="13.5" thickBot="1" x14ac:dyDescent="0.3">
      <c r="B78" s="270" t="s">
        <v>174</v>
      </c>
      <c r="C78" s="271"/>
      <c r="D78" s="272"/>
      <c r="E78" s="188">
        <f>+E69+E74</f>
        <v>2.6242811878825663</v>
      </c>
      <c r="G78" s="104"/>
      <c r="H78" s="185"/>
      <c r="I78" s="105"/>
      <c r="J78" s="192"/>
    </row>
    <row r="79" spans="2:13" x14ac:dyDescent="0.25">
      <c r="I79" s="185"/>
      <c r="J79" s="119"/>
    </row>
    <row r="80" spans="2:13" ht="13.5" thickBot="1" x14ac:dyDescent="0.3">
      <c r="B80" s="264" t="s">
        <v>175</v>
      </c>
      <c r="C80" s="264"/>
      <c r="D80" s="264"/>
      <c r="E80" s="264"/>
      <c r="F80" s="264"/>
      <c r="G80" s="104"/>
      <c r="H80" s="185"/>
      <c r="J80" s="119"/>
    </row>
    <row r="81" spans="1:10" ht="13.5" thickBot="1" x14ac:dyDescent="0.3">
      <c r="B81" s="186" t="s">
        <v>169</v>
      </c>
      <c r="C81" s="187">
        <f>+C69</f>
        <v>11878.459536656892</v>
      </c>
      <c r="D81" s="187">
        <f>+D60</f>
        <v>18</v>
      </c>
      <c r="E81" s="188">
        <f>+C81/D81</f>
        <v>659.91441870316066</v>
      </c>
      <c r="F81" s="104"/>
      <c r="G81" s="185"/>
      <c r="H81" s="105"/>
      <c r="I81" s="185"/>
      <c r="J81" s="119"/>
    </row>
    <row r="82" spans="1:10" x14ac:dyDescent="0.25">
      <c r="B82" s="189"/>
      <c r="C82" s="190"/>
      <c r="D82" s="191"/>
      <c r="E82" s="175"/>
      <c r="F82" s="104"/>
      <c r="G82" s="185"/>
      <c r="H82" s="105"/>
      <c r="I82" s="105"/>
      <c r="J82" s="119"/>
    </row>
    <row r="83" spans="1:10" x14ac:dyDescent="0.25">
      <c r="B83" s="186" t="s">
        <v>170</v>
      </c>
      <c r="C83" s="187">
        <f>+C71</f>
        <v>12528.007151580763</v>
      </c>
      <c r="D83" s="187">
        <f>+D60</f>
        <v>18</v>
      </c>
      <c r="E83" s="192">
        <f>+C83/D83</f>
        <v>696.00039731004244</v>
      </c>
      <c r="F83" s="104"/>
      <c r="G83" s="185"/>
      <c r="H83" s="105"/>
      <c r="I83" s="105"/>
      <c r="J83" s="119"/>
    </row>
    <row r="84" spans="1:10" x14ac:dyDescent="0.25">
      <c r="B84" s="186"/>
      <c r="C84" s="187"/>
      <c r="D84" s="187"/>
      <c r="E84" s="192"/>
      <c r="F84" s="104"/>
      <c r="G84" s="185"/>
      <c r="H84" s="105"/>
      <c r="I84" s="105"/>
      <c r="J84" s="119"/>
    </row>
    <row r="85" spans="1:10" ht="13.5" thickBot="1" x14ac:dyDescent="0.3">
      <c r="B85" s="186" t="s">
        <v>172</v>
      </c>
      <c r="C85" s="187">
        <f>+C73</f>
        <v>464</v>
      </c>
      <c r="D85" s="187">
        <f>+D60</f>
        <v>18</v>
      </c>
      <c r="E85" s="192">
        <f>+C85/D85</f>
        <v>25.777777777777779</v>
      </c>
      <c r="F85" s="193"/>
      <c r="G85" s="184"/>
      <c r="H85" s="118"/>
      <c r="I85" s="105"/>
    </row>
    <row r="86" spans="1:10" ht="13.5" thickBot="1" x14ac:dyDescent="0.3">
      <c r="B86" s="186" t="s">
        <v>172</v>
      </c>
      <c r="C86" s="187">
        <f>+C74</f>
        <v>1347.9176502712412</v>
      </c>
      <c r="D86" s="187">
        <f>+D85</f>
        <v>18</v>
      </c>
      <c r="E86" s="188">
        <f>+C86/D86</f>
        <v>74.884313903957846</v>
      </c>
      <c r="F86" s="107"/>
      <c r="G86" s="184"/>
      <c r="H86" s="118"/>
      <c r="I86" s="118"/>
    </row>
    <row r="87" spans="1:10" x14ac:dyDescent="0.25">
      <c r="I87" s="118"/>
    </row>
    <row r="88" spans="1:10" x14ac:dyDescent="0.2">
      <c r="A88" s="263"/>
      <c r="B88" s="263"/>
      <c r="C88" s="194"/>
      <c r="D88" s="194"/>
      <c r="E88" s="195"/>
      <c r="G88" s="108"/>
    </row>
    <row r="89" spans="1:10" x14ac:dyDescent="0.2">
      <c r="A89" s="135"/>
      <c r="B89" s="196"/>
      <c r="C89" s="197"/>
      <c r="D89" s="197"/>
      <c r="E89" s="198"/>
      <c r="G89" s="108"/>
    </row>
    <row r="90" spans="1:10" x14ac:dyDescent="0.2">
      <c r="A90" s="135"/>
      <c r="B90" s="196"/>
      <c r="C90" s="199"/>
      <c r="D90" s="199"/>
      <c r="E90" s="135"/>
      <c r="G90" s="108"/>
    </row>
    <row r="91" spans="1:10" x14ac:dyDescent="0.2">
      <c r="A91" s="135"/>
      <c r="B91" s="196"/>
      <c r="C91" s="200"/>
      <c r="D91" s="200"/>
      <c r="E91" s="135"/>
      <c r="G91" s="108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0A1E4-4E2F-4FA1-9DCE-B07D202291FC}">
  <dimension ref="A1:Q97"/>
  <sheetViews>
    <sheetView workbookViewId="0">
      <selection activeCell="C68" sqref="C68"/>
    </sheetView>
  </sheetViews>
  <sheetFormatPr baseColWidth="10" defaultColWidth="8.42578125" defaultRowHeight="12.75" x14ac:dyDescent="0.25"/>
  <cols>
    <col min="1" max="1" width="10" style="119" bestFit="1" customWidth="1"/>
    <col min="2" max="2" width="44.42578125" style="119" bestFit="1" customWidth="1"/>
    <col min="3" max="3" width="10.42578125" style="119" bestFit="1" customWidth="1"/>
    <col min="4" max="4" width="10.42578125" style="119" customWidth="1"/>
    <col min="5" max="6" width="9.5703125" style="119" bestFit="1" customWidth="1"/>
    <col min="7" max="7" width="9.5703125" style="107" bestFit="1" customWidth="1"/>
    <col min="8" max="8" width="10.42578125" style="184" bestFit="1" customWidth="1"/>
    <col min="9" max="9" width="4.5703125" style="184" customWidth="1"/>
    <col min="10" max="10" width="1.85546875" style="118" customWidth="1"/>
    <col min="11" max="11" width="7" style="119" bestFit="1" customWidth="1"/>
    <col min="12" max="12" width="6.42578125" style="119" customWidth="1"/>
    <col min="13" max="13" width="20.42578125" style="119" customWidth="1"/>
    <col min="14" max="14" width="6.42578125" style="119" bestFit="1" customWidth="1"/>
    <col min="15" max="16" width="8.42578125" style="119"/>
    <col min="17" max="17" width="3.42578125" style="119" customWidth="1"/>
    <col min="18" max="256" width="8.42578125" style="119"/>
    <col min="257" max="257" width="10" style="119" bestFit="1" customWidth="1"/>
    <col min="258" max="258" width="44.42578125" style="119" bestFit="1" customWidth="1"/>
    <col min="259" max="259" width="10.42578125" style="119" bestFit="1" customWidth="1"/>
    <col min="260" max="260" width="10.42578125" style="119" customWidth="1"/>
    <col min="261" max="263" width="9.5703125" style="119" bestFit="1" customWidth="1"/>
    <col min="264" max="264" width="10.42578125" style="119" bestFit="1" customWidth="1"/>
    <col min="265" max="265" width="4.5703125" style="119" customWidth="1"/>
    <col min="266" max="266" width="1.85546875" style="119" customWidth="1"/>
    <col min="267" max="267" width="7" style="119" bestFit="1" customWidth="1"/>
    <col min="268" max="268" width="6.42578125" style="119" customWidth="1"/>
    <col min="269" max="269" width="20.42578125" style="119" customWidth="1"/>
    <col min="270" max="270" width="6.42578125" style="119" bestFit="1" customWidth="1"/>
    <col min="271" max="272" width="8.42578125" style="119"/>
    <col min="273" max="273" width="3.42578125" style="119" customWidth="1"/>
    <col min="274" max="512" width="8.42578125" style="119"/>
    <col min="513" max="513" width="10" style="119" bestFit="1" customWidth="1"/>
    <col min="514" max="514" width="44.42578125" style="119" bestFit="1" customWidth="1"/>
    <col min="515" max="515" width="10.42578125" style="119" bestFit="1" customWidth="1"/>
    <col min="516" max="516" width="10.42578125" style="119" customWidth="1"/>
    <col min="517" max="519" width="9.5703125" style="119" bestFit="1" customWidth="1"/>
    <col min="520" max="520" width="10.42578125" style="119" bestFit="1" customWidth="1"/>
    <col min="521" max="521" width="4.5703125" style="119" customWidth="1"/>
    <col min="522" max="522" width="1.85546875" style="119" customWidth="1"/>
    <col min="523" max="523" width="7" style="119" bestFit="1" customWidth="1"/>
    <col min="524" max="524" width="6.42578125" style="119" customWidth="1"/>
    <col min="525" max="525" width="20.42578125" style="119" customWidth="1"/>
    <col min="526" max="526" width="6.42578125" style="119" bestFit="1" customWidth="1"/>
    <col min="527" max="528" width="8.42578125" style="119"/>
    <col min="529" max="529" width="3.42578125" style="119" customWidth="1"/>
    <col min="530" max="768" width="8.42578125" style="119"/>
    <col min="769" max="769" width="10" style="119" bestFit="1" customWidth="1"/>
    <col min="770" max="770" width="44.42578125" style="119" bestFit="1" customWidth="1"/>
    <col min="771" max="771" width="10.42578125" style="119" bestFit="1" customWidth="1"/>
    <col min="772" max="772" width="10.42578125" style="119" customWidth="1"/>
    <col min="773" max="775" width="9.5703125" style="119" bestFit="1" customWidth="1"/>
    <col min="776" max="776" width="10.42578125" style="119" bestFit="1" customWidth="1"/>
    <col min="777" max="777" width="4.5703125" style="119" customWidth="1"/>
    <col min="778" max="778" width="1.85546875" style="119" customWidth="1"/>
    <col min="779" max="779" width="7" style="119" bestFit="1" customWidth="1"/>
    <col min="780" max="780" width="6.42578125" style="119" customWidth="1"/>
    <col min="781" max="781" width="20.42578125" style="119" customWidth="1"/>
    <col min="782" max="782" width="6.42578125" style="119" bestFit="1" customWidth="1"/>
    <col min="783" max="784" width="8.42578125" style="119"/>
    <col min="785" max="785" width="3.42578125" style="119" customWidth="1"/>
    <col min="786" max="1024" width="8.42578125" style="119"/>
    <col min="1025" max="1025" width="10" style="119" bestFit="1" customWidth="1"/>
    <col min="1026" max="1026" width="44.42578125" style="119" bestFit="1" customWidth="1"/>
    <col min="1027" max="1027" width="10.42578125" style="119" bestFit="1" customWidth="1"/>
    <col min="1028" max="1028" width="10.42578125" style="119" customWidth="1"/>
    <col min="1029" max="1031" width="9.5703125" style="119" bestFit="1" customWidth="1"/>
    <col min="1032" max="1032" width="10.42578125" style="119" bestFit="1" customWidth="1"/>
    <col min="1033" max="1033" width="4.5703125" style="119" customWidth="1"/>
    <col min="1034" max="1034" width="1.85546875" style="119" customWidth="1"/>
    <col min="1035" max="1035" width="7" style="119" bestFit="1" customWidth="1"/>
    <col min="1036" max="1036" width="6.42578125" style="119" customWidth="1"/>
    <col min="1037" max="1037" width="20.42578125" style="119" customWidth="1"/>
    <col min="1038" max="1038" width="6.42578125" style="119" bestFit="1" customWidth="1"/>
    <col min="1039" max="1040" width="8.42578125" style="119"/>
    <col min="1041" max="1041" width="3.42578125" style="119" customWidth="1"/>
    <col min="1042" max="1280" width="8.42578125" style="119"/>
    <col min="1281" max="1281" width="10" style="119" bestFit="1" customWidth="1"/>
    <col min="1282" max="1282" width="44.42578125" style="119" bestFit="1" customWidth="1"/>
    <col min="1283" max="1283" width="10.42578125" style="119" bestFit="1" customWidth="1"/>
    <col min="1284" max="1284" width="10.42578125" style="119" customWidth="1"/>
    <col min="1285" max="1287" width="9.5703125" style="119" bestFit="1" customWidth="1"/>
    <col min="1288" max="1288" width="10.42578125" style="119" bestFit="1" customWidth="1"/>
    <col min="1289" max="1289" width="4.5703125" style="119" customWidth="1"/>
    <col min="1290" max="1290" width="1.85546875" style="119" customWidth="1"/>
    <col min="1291" max="1291" width="7" style="119" bestFit="1" customWidth="1"/>
    <col min="1292" max="1292" width="6.42578125" style="119" customWidth="1"/>
    <col min="1293" max="1293" width="20.42578125" style="119" customWidth="1"/>
    <col min="1294" max="1294" width="6.42578125" style="119" bestFit="1" customWidth="1"/>
    <col min="1295" max="1296" width="8.42578125" style="119"/>
    <col min="1297" max="1297" width="3.42578125" style="119" customWidth="1"/>
    <col min="1298" max="1536" width="8.42578125" style="119"/>
    <col min="1537" max="1537" width="10" style="119" bestFit="1" customWidth="1"/>
    <col min="1538" max="1538" width="44.42578125" style="119" bestFit="1" customWidth="1"/>
    <col min="1539" max="1539" width="10.42578125" style="119" bestFit="1" customWidth="1"/>
    <col min="1540" max="1540" width="10.42578125" style="119" customWidth="1"/>
    <col min="1541" max="1543" width="9.5703125" style="119" bestFit="1" customWidth="1"/>
    <col min="1544" max="1544" width="10.42578125" style="119" bestFit="1" customWidth="1"/>
    <col min="1545" max="1545" width="4.5703125" style="119" customWidth="1"/>
    <col min="1546" max="1546" width="1.85546875" style="119" customWidth="1"/>
    <col min="1547" max="1547" width="7" style="119" bestFit="1" customWidth="1"/>
    <col min="1548" max="1548" width="6.42578125" style="119" customWidth="1"/>
    <col min="1549" max="1549" width="20.42578125" style="119" customWidth="1"/>
    <col min="1550" max="1550" width="6.42578125" style="119" bestFit="1" customWidth="1"/>
    <col min="1551" max="1552" width="8.42578125" style="119"/>
    <col min="1553" max="1553" width="3.42578125" style="119" customWidth="1"/>
    <col min="1554" max="1792" width="8.42578125" style="119"/>
    <col min="1793" max="1793" width="10" style="119" bestFit="1" customWidth="1"/>
    <col min="1794" max="1794" width="44.42578125" style="119" bestFit="1" customWidth="1"/>
    <col min="1795" max="1795" width="10.42578125" style="119" bestFit="1" customWidth="1"/>
    <col min="1796" max="1796" width="10.42578125" style="119" customWidth="1"/>
    <col min="1797" max="1799" width="9.5703125" style="119" bestFit="1" customWidth="1"/>
    <col min="1800" max="1800" width="10.42578125" style="119" bestFit="1" customWidth="1"/>
    <col min="1801" max="1801" width="4.5703125" style="119" customWidth="1"/>
    <col min="1802" max="1802" width="1.85546875" style="119" customWidth="1"/>
    <col min="1803" max="1803" width="7" style="119" bestFit="1" customWidth="1"/>
    <col min="1804" max="1804" width="6.42578125" style="119" customWidth="1"/>
    <col min="1805" max="1805" width="20.42578125" style="119" customWidth="1"/>
    <col min="1806" max="1806" width="6.42578125" style="119" bestFit="1" customWidth="1"/>
    <col min="1807" max="1808" width="8.42578125" style="119"/>
    <col min="1809" max="1809" width="3.42578125" style="119" customWidth="1"/>
    <col min="1810" max="2048" width="8.42578125" style="119"/>
    <col min="2049" max="2049" width="10" style="119" bestFit="1" customWidth="1"/>
    <col min="2050" max="2050" width="44.42578125" style="119" bestFit="1" customWidth="1"/>
    <col min="2051" max="2051" width="10.42578125" style="119" bestFit="1" customWidth="1"/>
    <col min="2052" max="2052" width="10.42578125" style="119" customWidth="1"/>
    <col min="2053" max="2055" width="9.5703125" style="119" bestFit="1" customWidth="1"/>
    <col min="2056" max="2056" width="10.42578125" style="119" bestFit="1" customWidth="1"/>
    <col min="2057" max="2057" width="4.5703125" style="119" customWidth="1"/>
    <col min="2058" max="2058" width="1.85546875" style="119" customWidth="1"/>
    <col min="2059" max="2059" width="7" style="119" bestFit="1" customWidth="1"/>
    <col min="2060" max="2060" width="6.42578125" style="119" customWidth="1"/>
    <col min="2061" max="2061" width="20.42578125" style="119" customWidth="1"/>
    <col min="2062" max="2062" width="6.42578125" style="119" bestFit="1" customWidth="1"/>
    <col min="2063" max="2064" width="8.42578125" style="119"/>
    <col min="2065" max="2065" width="3.42578125" style="119" customWidth="1"/>
    <col min="2066" max="2304" width="8.42578125" style="119"/>
    <col min="2305" max="2305" width="10" style="119" bestFit="1" customWidth="1"/>
    <col min="2306" max="2306" width="44.42578125" style="119" bestFit="1" customWidth="1"/>
    <col min="2307" max="2307" width="10.42578125" style="119" bestFit="1" customWidth="1"/>
    <col min="2308" max="2308" width="10.42578125" style="119" customWidth="1"/>
    <col min="2309" max="2311" width="9.5703125" style="119" bestFit="1" customWidth="1"/>
    <col min="2312" max="2312" width="10.42578125" style="119" bestFit="1" customWidth="1"/>
    <col min="2313" max="2313" width="4.5703125" style="119" customWidth="1"/>
    <col min="2314" max="2314" width="1.85546875" style="119" customWidth="1"/>
    <col min="2315" max="2315" width="7" style="119" bestFit="1" customWidth="1"/>
    <col min="2316" max="2316" width="6.42578125" style="119" customWidth="1"/>
    <col min="2317" max="2317" width="20.42578125" style="119" customWidth="1"/>
    <col min="2318" max="2318" width="6.42578125" style="119" bestFit="1" customWidth="1"/>
    <col min="2319" max="2320" width="8.42578125" style="119"/>
    <col min="2321" max="2321" width="3.42578125" style="119" customWidth="1"/>
    <col min="2322" max="2560" width="8.42578125" style="119"/>
    <col min="2561" max="2561" width="10" style="119" bestFit="1" customWidth="1"/>
    <col min="2562" max="2562" width="44.42578125" style="119" bestFit="1" customWidth="1"/>
    <col min="2563" max="2563" width="10.42578125" style="119" bestFit="1" customWidth="1"/>
    <col min="2564" max="2564" width="10.42578125" style="119" customWidth="1"/>
    <col min="2565" max="2567" width="9.5703125" style="119" bestFit="1" customWidth="1"/>
    <col min="2568" max="2568" width="10.42578125" style="119" bestFit="1" customWidth="1"/>
    <col min="2569" max="2569" width="4.5703125" style="119" customWidth="1"/>
    <col min="2570" max="2570" width="1.85546875" style="119" customWidth="1"/>
    <col min="2571" max="2571" width="7" style="119" bestFit="1" customWidth="1"/>
    <col min="2572" max="2572" width="6.42578125" style="119" customWidth="1"/>
    <col min="2573" max="2573" width="20.42578125" style="119" customWidth="1"/>
    <col min="2574" max="2574" width="6.42578125" style="119" bestFit="1" customWidth="1"/>
    <col min="2575" max="2576" width="8.42578125" style="119"/>
    <col min="2577" max="2577" width="3.42578125" style="119" customWidth="1"/>
    <col min="2578" max="2816" width="8.42578125" style="119"/>
    <col min="2817" max="2817" width="10" style="119" bestFit="1" customWidth="1"/>
    <col min="2818" max="2818" width="44.42578125" style="119" bestFit="1" customWidth="1"/>
    <col min="2819" max="2819" width="10.42578125" style="119" bestFit="1" customWidth="1"/>
    <col min="2820" max="2820" width="10.42578125" style="119" customWidth="1"/>
    <col min="2821" max="2823" width="9.5703125" style="119" bestFit="1" customWidth="1"/>
    <col min="2824" max="2824" width="10.42578125" style="119" bestFit="1" customWidth="1"/>
    <col min="2825" max="2825" width="4.5703125" style="119" customWidth="1"/>
    <col min="2826" max="2826" width="1.85546875" style="119" customWidth="1"/>
    <col min="2827" max="2827" width="7" style="119" bestFit="1" customWidth="1"/>
    <col min="2828" max="2828" width="6.42578125" style="119" customWidth="1"/>
    <col min="2829" max="2829" width="20.42578125" style="119" customWidth="1"/>
    <col min="2830" max="2830" width="6.42578125" style="119" bestFit="1" customWidth="1"/>
    <col min="2831" max="2832" width="8.42578125" style="119"/>
    <col min="2833" max="2833" width="3.42578125" style="119" customWidth="1"/>
    <col min="2834" max="3072" width="8.42578125" style="119"/>
    <col min="3073" max="3073" width="10" style="119" bestFit="1" customWidth="1"/>
    <col min="3074" max="3074" width="44.42578125" style="119" bestFit="1" customWidth="1"/>
    <col min="3075" max="3075" width="10.42578125" style="119" bestFit="1" customWidth="1"/>
    <col min="3076" max="3076" width="10.42578125" style="119" customWidth="1"/>
    <col min="3077" max="3079" width="9.5703125" style="119" bestFit="1" customWidth="1"/>
    <col min="3080" max="3080" width="10.42578125" style="119" bestFit="1" customWidth="1"/>
    <col min="3081" max="3081" width="4.5703125" style="119" customWidth="1"/>
    <col min="3082" max="3082" width="1.85546875" style="119" customWidth="1"/>
    <col min="3083" max="3083" width="7" style="119" bestFit="1" customWidth="1"/>
    <col min="3084" max="3084" width="6.42578125" style="119" customWidth="1"/>
    <col min="3085" max="3085" width="20.42578125" style="119" customWidth="1"/>
    <col min="3086" max="3086" width="6.42578125" style="119" bestFit="1" customWidth="1"/>
    <col min="3087" max="3088" width="8.42578125" style="119"/>
    <col min="3089" max="3089" width="3.42578125" style="119" customWidth="1"/>
    <col min="3090" max="3328" width="8.42578125" style="119"/>
    <col min="3329" max="3329" width="10" style="119" bestFit="1" customWidth="1"/>
    <col min="3330" max="3330" width="44.42578125" style="119" bestFit="1" customWidth="1"/>
    <col min="3331" max="3331" width="10.42578125" style="119" bestFit="1" customWidth="1"/>
    <col min="3332" max="3332" width="10.42578125" style="119" customWidth="1"/>
    <col min="3333" max="3335" width="9.5703125" style="119" bestFit="1" customWidth="1"/>
    <col min="3336" max="3336" width="10.42578125" style="119" bestFit="1" customWidth="1"/>
    <col min="3337" max="3337" width="4.5703125" style="119" customWidth="1"/>
    <col min="3338" max="3338" width="1.85546875" style="119" customWidth="1"/>
    <col min="3339" max="3339" width="7" style="119" bestFit="1" customWidth="1"/>
    <col min="3340" max="3340" width="6.42578125" style="119" customWidth="1"/>
    <col min="3341" max="3341" width="20.42578125" style="119" customWidth="1"/>
    <col min="3342" max="3342" width="6.42578125" style="119" bestFit="1" customWidth="1"/>
    <col min="3343" max="3344" width="8.42578125" style="119"/>
    <col min="3345" max="3345" width="3.42578125" style="119" customWidth="1"/>
    <col min="3346" max="3584" width="8.42578125" style="119"/>
    <col min="3585" max="3585" width="10" style="119" bestFit="1" customWidth="1"/>
    <col min="3586" max="3586" width="44.42578125" style="119" bestFit="1" customWidth="1"/>
    <col min="3587" max="3587" width="10.42578125" style="119" bestFit="1" customWidth="1"/>
    <col min="3588" max="3588" width="10.42578125" style="119" customWidth="1"/>
    <col min="3589" max="3591" width="9.5703125" style="119" bestFit="1" customWidth="1"/>
    <col min="3592" max="3592" width="10.42578125" style="119" bestFit="1" customWidth="1"/>
    <col min="3593" max="3593" width="4.5703125" style="119" customWidth="1"/>
    <col min="3594" max="3594" width="1.85546875" style="119" customWidth="1"/>
    <col min="3595" max="3595" width="7" style="119" bestFit="1" customWidth="1"/>
    <col min="3596" max="3596" width="6.42578125" style="119" customWidth="1"/>
    <col min="3597" max="3597" width="20.42578125" style="119" customWidth="1"/>
    <col min="3598" max="3598" width="6.42578125" style="119" bestFit="1" customWidth="1"/>
    <col min="3599" max="3600" width="8.42578125" style="119"/>
    <col min="3601" max="3601" width="3.42578125" style="119" customWidth="1"/>
    <col min="3602" max="3840" width="8.42578125" style="119"/>
    <col min="3841" max="3841" width="10" style="119" bestFit="1" customWidth="1"/>
    <col min="3842" max="3842" width="44.42578125" style="119" bestFit="1" customWidth="1"/>
    <col min="3843" max="3843" width="10.42578125" style="119" bestFit="1" customWidth="1"/>
    <col min="3844" max="3844" width="10.42578125" style="119" customWidth="1"/>
    <col min="3845" max="3847" width="9.5703125" style="119" bestFit="1" customWidth="1"/>
    <col min="3848" max="3848" width="10.42578125" style="119" bestFit="1" customWidth="1"/>
    <col min="3849" max="3849" width="4.5703125" style="119" customWidth="1"/>
    <col min="3850" max="3850" width="1.85546875" style="119" customWidth="1"/>
    <col min="3851" max="3851" width="7" style="119" bestFit="1" customWidth="1"/>
    <col min="3852" max="3852" width="6.42578125" style="119" customWidth="1"/>
    <col min="3853" max="3853" width="20.42578125" style="119" customWidth="1"/>
    <col min="3854" max="3854" width="6.42578125" style="119" bestFit="1" customWidth="1"/>
    <col min="3855" max="3856" width="8.42578125" style="119"/>
    <col min="3857" max="3857" width="3.42578125" style="119" customWidth="1"/>
    <col min="3858" max="4096" width="8.42578125" style="119"/>
    <col min="4097" max="4097" width="10" style="119" bestFit="1" customWidth="1"/>
    <col min="4098" max="4098" width="44.42578125" style="119" bestFit="1" customWidth="1"/>
    <col min="4099" max="4099" width="10.42578125" style="119" bestFit="1" customWidth="1"/>
    <col min="4100" max="4100" width="10.42578125" style="119" customWidth="1"/>
    <col min="4101" max="4103" width="9.5703125" style="119" bestFit="1" customWidth="1"/>
    <col min="4104" max="4104" width="10.42578125" style="119" bestFit="1" customWidth="1"/>
    <col min="4105" max="4105" width="4.5703125" style="119" customWidth="1"/>
    <col min="4106" max="4106" width="1.85546875" style="119" customWidth="1"/>
    <col min="4107" max="4107" width="7" style="119" bestFit="1" customWidth="1"/>
    <col min="4108" max="4108" width="6.42578125" style="119" customWidth="1"/>
    <col min="4109" max="4109" width="20.42578125" style="119" customWidth="1"/>
    <col min="4110" max="4110" width="6.42578125" style="119" bestFit="1" customWidth="1"/>
    <col min="4111" max="4112" width="8.42578125" style="119"/>
    <col min="4113" max="4113" width="3.42578125" style="119" customWidth="1"/>
    <col min="4114" max="4352" width="8.42578125" style="119"/>
    <col min="4353" max="4353" width="10" style="119" bestFit="1" customWidth="1"/>
    <col min="4354" max="4354" width="44.42578125" style="119" bestFit="1" customWidth="1"/>
    <col min="4355" max="4355" width="10.42578125" style="119" bestFit="1" customWidth="1"/>
    <col min="4356" max="4356" width="10.42578125" style="119" customWidth="1"/>
    <col min="4357" max="4359" width="9.5703125" style="119" bestFit="1" customWidth="1"/>
    <col min="4360" max="4360" width="10.42578125" style="119" bestFit="1" customWidth="1"/>
    <col min="4361" max="4361" width="4.5703125" style="119" customWidth="1"/>
    <col min="4362" max="4362" width="1.85546875" style="119" customWidth="1"/>
    <col min="4363" max="4363" width="7" style="119" bestFit="1" customWidth="1"/>
    <col min="4364" max="4364" width="6.42578125" style="119" customWidth="1"/>
    <col min="4365" max="4365" width="20.42578125" style="119" customWidth="1"/>
    <col min="4366" max="4366" width="6.42578125" style="119" bestFit="1" customWidth="1"/>
    <col min="4367" max="4368" width="8.42578125" style="119"/>
    <col min="4369" max="4369" width="3.42578125" style="119" customWidth="1"/>
    <col min="4370" max="4608" width="8.42578125" style="119"/>
    <col min="4609" max="4609" width="10" style="119" bestFit="1" customWidth="1"/>
    <col min="4610" max="4610" width="44.42578125" style="119" bestFit="1" customWidth="1"/>
    <col min="4611" max="4611" width="10.42578125" style="119" bestFit="1" customWidth="1"/>
    <col min="4612" max="4612" width="10.42578125" style="119" customWidth="1"/>
    <col min="4613" max="4615" width="9.5703125" style="119" bestFit="1" customWidth="1"/>
    <col min="4616" max="4616" width="10.42578125" style="119" bestFit="1" customWidth="1"/>
    <col min="4617" max="4617" width="4.5703125" style="119" customWidth="1"/>
    <col min="4618" max="4618" width="1.85546875" style="119" customWidth="1"/>
    <col min="4619" max="4619" width="7" style="119" bestFit="1" customWidth="1"/>
    <col min="4620" max="4620" width="6.42578125" style="119" customWidth="1"/>
    <col min="4621" max="4621" width="20.42578125" style="119" customWidth="1"/>
    <col min="4622" max="4622" width="6.42578125" style="119" bestFit="1" customWidth="1"/>
    <col min="4623" max="4624" width="8.42578125" style="119"/>
    <col min="4625" max="4625" width="3.42578125" style="119" customWidth="1"/>
    <col min="4626" max="4864" width="8.42578125" style="119"/>
    <col min="4865" max="4865" width="10" style="119" bestFit="1" customWidth="1"/>
    <col min="4866" max="4866" width="44.42578125" style="119" bestFit="1" customWidth="1"/>
    <col min="4867" max="4867" width="10.42578125" style="119" bestFit="1" customWidth="1"/>
    <col min="4868" max="4868" width="10.42578125" style="119" customWidth="1"/>
    <col min="4869" max="4871" width="9.5703125" style="119" bestFit="1" customWidth="1"/>
    <col min="4872" max="4872" width="10.42578125" style="119" bestFit="1" customWidth="1"/>
    <col min="4873" max="4873" width="4.5703125" style="119" customWidth="1"/>
    <col min="4874" max="4874" width="1.85546875" style="119" customWidth="1"/>
    <col min="4875" max="4875" width="7" style="119" bestFit="1" customWidth="1"/>
    <col min="4876" max="4876" width="6.42578125" style="119" customWidth="1"/>
    <col min="4877" max="4877" width="20.42578125" style="119" customWidth="1"/>
    <col min="4878" max="4878" width="6.42578125" style="119" bestFit="1" customWidth="1"/>
    <col min="4879" max="4880" width="8.42578125" style="119"/>
    <col min="4881" max="4881" width="3.42578125" style="119" customWidth="1"/>
    <col min="4882" max="5120" width="8.42578125" style="119"/>
    <col min="5121" max="5121" width="10" style="119" bestFit="1" customWidth="1"/>
    <col min="5122" max="5122" width="44.42578125" style="119" bestFit="1" customWidth="1"/>
    <col min="5123" max="5123" width="10.42578125" style="119" bestFit="1" customWidth="1"/>
    <col min="5124" max="5124" width="10.42578125" style="119" customWidth="1"/>
    <col min="5125" max="5127" width="9.5703125" style="119" bestFit="1" customWidth="1"/>
    <col min="5128" max="5128" width="10.42578125" style="119" bestFit="1" customWidth="1"/>
    <col min="5129" max="5129" width="4.5703125" style="119" customWidth="1"/>
    <col min="5130" max="5130" width="1.85546875" style="119" customWidth="1"/>
    <col min="5131" max="5131" width="7" style="119" bestFit="1" customWidth="1"/>
    <col min="5132" max="5132" width="6.42578125" style="119" customWidth="1"/>
    <col min="5133" max="5133" width="20.42578125" style="119" customWidth="1"/>
    <col min="5134" max="5134" width="6.42578125" style="119" bestFit="1" customWidth="1"/>
    <col min="5135" max="5136" width="8.42578125" style="119"/>
    <col min="5137" max="5137" width="3.42578125" style="119" customWidth="1"/>
    <col min="5138" max="5376" width="8.42578125" style="119"/>
    <col min="5377" max="5377" width="10" style="119" bestFit="1" customWidth="1"/>
    <col min="5378" max="5378" width="44.42578125" style="119" bestFit="1" customWidth="1"/>
    <col min="5379" max="5379" width="10.42578125" style="119" bestFit="1" customWidth="1"/>
    <col min="5380" max="5380" width="10.42578125" style="119" customWidth="1"/>
    <col min="5381" max="5383" width="9.5703125" style="119" bestFit="1" customWidth="1"/>
    <col min="5384" max="5384" width="10.42578125" style="119" bestFit="1" customWidth="1"/>
    <col min="5385" max="5385" width="4.5703125" style="119" customWidth="1"/>
    <col min="5386" max="5386" width="1.85546875" style="119" customWidth="1"/>
    <col min="5387" max="5387" width="7" style="119" bestFit="1" customWidth="1"/>
    <col min="5388" max="5388" width="6.42578125" style="119" customWidth="1"/>
    <col min="5389" max="5389" width="20.42578125" style="119" customWidth="1"/>
    <col min="5390" max="5390" width="6.42578125" style="119" bestFit="1" customWidth="1"/>
    <col min="5391" max="5392" width="8.42578125" style="119"/>
    <col min="5393" max="5393" width="3.42578125" style="119" customWidth="1"/>
    <col min="5394" max="5632" width="8.42578125" style="119"/>
    <col min="5633" max="5633" width="10" style="119" bestFit="1" customWidth="1"/>
    <col min="5634" max="5634" width="44.42578125" style="119" bestFit="1" customWidth="1"/>
    <col min="5635" max="5635" width="10.42578125" style="119" bestFit="1" customWidth="1"/>
    <col min="5636" max="5636" width="10.42578125" style="119" customWidth="1"/>
    <col min="5637" max="5639" width="9.5703125" style="119" bestFit="1" customWidth="1"/>
    <col min="5640" max="5640" width="10.42578125" style="119" bestFit="1" customWidth="1"/>
    <col min="5641" max="5641" width="4.5703125" style="119" customWidth="1"/>
    <col min="5642" max="5642" width="1.85546875" style="119" customWidth="1"/>
    <col min="5643" max="5643" width="7" style="119" bestFit="1" customWidth="1"/>
    <col min="5644" max="5644" width="6.42578125" style="119" customWidth="1"/>
    <col min="5645" max="5645" width="20.42578125" style="119" customWidth="1"/>
    <col min="5646" max="5646" width="6.42578125" style="119" bestFit="1" customWidth="1"/>
    <col min="5647" max="5648" width="8.42578125" style="119"/>
    <col min="5649" max="5649" width="3.42578125" style="119" customWidth="1"/>
    <col min="5650" max="5888" width="8.42578125" style="119"/>
    <col min="5889" max="5889" width="10" style="119" bestFit="1" customWidth="1"/>
    <col min="5890" max="5890" width="44.42578125" style="119" bestFit="1" customWidth="1"/>
    <col min="5891" max="5891" width="10.42578125" style="119" bestFit="1" customWidth="1"/>
    <col min="5892" max="5892" width="10.42578125" style="119" customWidth="1"/>
    <col min="5893" max="5895" width="9.5703125" style="119" bestFit="1" customWidth="1"/>
    <col min="5896" max="5896" width="10.42578125" style="119" bestFit="1" customWidth="1"/>
    <col min="5897" max="5897" width="4.5703125" style="119" customWidth="1"/>
    <col min="5898" max="5898" width="1.85546875" style="119" customWidth="1"/>
    <col min="5899" max="5899" width="7" style="119" bestFit="1" customWidth="1"/>
    <col min="5900" max="5900" width="6.42578125" style="119" customWidth="1"/>
    <col min="5901" max="5901" width="20.42578125" style="119" customWidth="1"/>
    <col min="5902" max="5902" width="6.42578125" style="119" bestFit="1" customWidth="1"/>
    <col min="5903" max="5904" width="8.42578125" style="119"/>
    <col min="5905" max="5905" width="3.42578125" style="119" customWidth="1"/>
    <col min="5906" max="6144" width="8.42578125" style="119"/>
    <col min="6145" max="6145" width="10" style="119" bestFit="1" customWidth="1"/>
    <col min="6146" max="6146" width="44.42578125" style="119" bestFit="1" customWidth="1"/>
    <col min="6147" max="6147" width="10.42578125" style="119" bestFit="1" customWidth="1"/>
    <col min="6148" max="6148" width="10.42578125" style="119" customWidth="1"/>
    <col min="6149" max="6151" width="9.5703125" style="119" bestFit="1" customWidth="1"/>
    <col min="6152" max="6152" width="10.42578125" style="119" bestFit="1" customWidth="1"/>
    <col min="6153" max="6153" width="4.5703125" style="119" customWidth="1"/>
    <col min="6154" max="6154" width="1.85546875" style="119" customWidth="1"/>
    <col min="6155" max="6155" width="7" style="119" bestFit="1" customWidth="1"/>
    <col min="6156" max="6156" width="6.42578125" style="119" customWidth="1"/>
    <col min="6157" max="6157" width="20.42578125" style="119" customWidth="1"/>
    <col min="6158" max="6158" width="6.42578125" style="119" bestFit="1" customWidth="1"/>
    <col min="6159" max="6160" width="8.42578125" style="119"/>
    <col min="6161" max="6161" width="3.42578125" style="119" customWidth="1"/>
    <col min="6162" max="6400" width="8.42578125" style="119"/>
    <col min="6401" max="6401" width="10" style="119" bestFit="1" customWidth="1"/>
    <col min="6402" max="6402" width="44.42578125" style="119" bestFit="1" customWidth="1"/>
    <col min="6403" max="6403" width="10.42578125" style="119" bestFit="1" customWidth="1"/>
    <col min="6404" max="6404" width="10.42578125" style="119" customWidth="1"/>
    <col min="6405" max="6407" width="9.5703125" style="119" bestFit="1" customWidth="1"/>
    <col min="6408" max="6408" width="10.42578125" style="119" bestFit="1" customWidth="1"/>
    <col min="6409" max="6409" width="4.5703125" style="119" customWidth="1"/>
    <col min="6410" max="6410" width="1.85546875" style="119" customWidth="1"/>
    <col min="6411" max="6411" width="7" style="119" bestFit="1" customWidth="1"/>
    <col min="6412" max="6412" width="6.42578125" style="119" customWidth="1"/>
    <col min="6413" max="6413" width="20.42578125" style="119" customWidth="1"/>
    <col min="6414" max="6414" width="6.42578125" style="119" bestFit="1" customWidth="1"/>
    <col min="6415" max="6416" width="8.42578125" style="119"/>
    <col min="6417" max="6417" width="3.42578125" style="119" customWidth="1"/>
    <col min="6418" max="6656" width="8.42578125" style="119"/>
    <col min="6657" max="6657" width="10" style="119" bestFit="1" customWidth="1"/>
    <col min="6658" max="6658" width="44.42578125" style="119" bestFit="1" customWidth="1"/>
    <col min="6659" max="6659" width="10.42578125" style="119" bestFit="1" customWidth="1"/>
    <col min="6660" max="6660" width="10.42578125" style="119" customWidth="1"/>
    <col min="6661" max="6663" width="9.5703125" style="119" bestFit="1" customWidth="1"/>
    <col min="6664" max="6664" width="10.42578125" style="119" bestFit="1" customWidth="1"/>
    <col min="6665" max="6665" width="4.5703125" style="119" customWidth="1"/>
    <col min="6666" max="6666" width="1.85546875" style="119" customWidth="1"/>
    <col min="6667" max="6667" width="7" style="119" bestFit="1" customWidth="1"/>
    <col min="6668" max="6668" width="6.42578125" style="119" customWidth="1"/>
    <col min="6669" max="6669" width="20.42578125" style="119" customWidth="1"/>
    <col min="6670" max="6670" width="6.42578125" style="119" bestFit="1" customWidth="1"/>
    <col min="6671" max="6672" width="8.42578125" style="119"/>
    <col min="6673" max="6673" width="3.42578125" style="119" customWidth="1"/>
    <col min="6674" max="6912" width="8.42578125" style="119"/>
    <col min="6913" max="6913" width="10" style="119" bestFit="1" customWidth="1"/>
    <col min="6914" max="6914" width="44.42578125" style="119" bestFit="1" customWidth="1"/>
    <col min="6915" max="6915" width="10.42578125" style="119" bestFit="1" customWidth="1"/>
    <col min="6916" max="6916" width="10.42578125" style="119" customWidth="1"/>
    <col min="6917" max="6919" width="9.5703125" style="119" bestFit="1" customWidth="1"/>
    <col min="6920" max="6920" width="10.42578125" style="119" bestFit="1" customWidth="1"/>
    <col min="6921" max="6921" width="4.5703125" style="119" customWidth="1"/>
    <col min="6922" max="6922" width="1.85546875" style="119" customWidth="1"/>
    <col min="6923" max="6923" width="7" style="119" bestFit="1" customWidth="1"/>
    <col min="6924" max="6924" width="6.42578125" style="119" customWidth="1"/>
    <col min="6925" max="6925" width="20.42578125" style="119" customWidth="1"/>
    <col min="6926" max="6926" width="6.42578125" style="119" bestFit="1" customWidth="1"/>
    <col min="6927" max="6928" width="8.42578125" style="119"/>
    <col min="6929" max="6929" width="3.42578125" style="119" customWidth="1"/>
    <col min="6930" max="7168" width="8.42578125" style="119"/>
    <col min="7169" max="7169" width="10" style="119" bestFit="1" customWidth="1"/>
    <col min="7170" max="7170" width="44.42578125" style="119" bestFit="1" customWidth="1"/>
    <col min="7171" max="7171" width="10.42578125" style="119" bestFit="1" customWidth="1"/>
    <col min="7172" max="7172" width="10.42578125" style="119" customWidth="1"/>
    <col min="7173" max="7175" width="9.5703125" style="119" bestFit="1" customWidth="1"/>
    <col min="7176" max="7176" width="10.42578125" style="119" bestFit="1" customWidth="1"/>
    <col min="7177" max="7177" width="4.5703125" style="119" customWidth="1"/>
    <col min="7178" max="7178" width="1.85546875" style="119" customWidth="1"/>
    <col min="7179" max="7179" width="7" style="119" bestFit="1" customWidth="1"/>
    <col min="7180" max="7180" width="6.42578125" style="119" customWidth="1"/>
    <col min="7181" max="7181" width="20.42578125" style="119" customWidth="1"/>
    <col min="7182" max="7182" width="6.42578125" style="119" bestFit="1" customWidth="1"/>
    <col min="7183" max="7184" width="8.42578125" style="119"/>
    <col min="7185" max="7185" width="3.42578125" style="119" customWidth="1"/>
    <col min="7186" max="7424" width="8.42578125" style="119"/>
    <col min="7425" max="7425" width="10" style="119" bestFit="1" customWidth="1"/>
    <col min="7426" max="7426" width="44.42578125" style="119" bestFit="1" customWidth="1"/>
    <col min="7427" max="7427" width="10.42578125" style="119" bestFit="1" customWidth="1"/>
    <col min="7428" max="7428" width="10.42578125" style="119" customWidth="1"/>
    <col min="7429" max="7431" width="9.5703125" style="119" bestFit="1" customWidth="1"/>
    <col min="7432" max="7432" width="10.42578125" style="119" bestFit="1" customWidth="1"/>
    <col min="7433" max="7433" width="4.5703125" style="119" customWidth="1"/>
    <col min="7434" max="7434" width="1.85546875" style="119" customWidth="1"/>
    <col min="7435" max="7435" width="7" style="119" bestFit="1" customWidth="1"/>
    <col min="7436" max="7436" width="6.42578125" style="119" customWidth="1"/>
    <col min="7437" max="7437" width="20.42578125" style="119" customWidth="1"/>
    <col min="7438" max="7438" width="6.42578125" style="119" bestFit="1" customWidth="1"/>
    <col min="7439" max="7440" width="8.42578125" style="119"/>
    <col min="7441" max="7441" width="3.42578125" style="119" customWidth="1"/>
    <col min="7442" max="7680" width="8.42578125" style="119"/>
    <col min="7681" max="7681" width="10" style="119" bestFit="1" customWidth="1"/>
    <col min="7682" max="7682" width="44.42578125" style="119" bestFit="1" customWidth="1"/>
    <col min="7683" max="7683" width="10.42578125" style="119" bestFit="1" customWidth="1"/>
    <col min="7684" max="7684" width="10.42578125" style="119" customWidth="1"/>
    <col min="7685" max="7687" width="9.5703125" style="119" bestFit="1" customWidth="1"/>
    <col min="7688" max="7688" width="10.42578125" style="119" bestFit="1" customWidth="1"/>
    <col min="7689" max="7689" width="4.5703125" style="119" customWidth="1"/>
    <col min="7690" max="7690" width="1.85546875" style="119" customWidth="1"/>
    <col min="7691" max="7691" width="7" style="119" bestFit="1" customWidth="1"/>
    <col min="7692" max="7692" width="6.42578125" style="119" customWidth="1"/>
    <col min="7693" max="7693" width="20.42578125" style="119" customWidth="1"/>
    <col min="7694" max="7694" width="6.42578125" style="119" bestFit="1" customWidth="1"/>
    <col min="7695" max="7696" width="8.42578125" style="119"/>
    <col min="7697" max="7697" width="3.42578125" style="119" customWidth="1"/>
    <col min="7698" max="7936" width="8.42578125" style="119"/>
    <col min="7937" max="7937" width="10" style="119" bestFit="1" customWidth="1"/>
    <col min="7938" max="7938" width="44.42578125" style="119" bestFit="1" customWidth="1"/>
    <col min="7939" max="7939" width="10.42578125" style="119" bestFit="1" customWidth="1"/>
    <col min="7940" max="7940" width="10.42578125" style="119" customWidth="1"/>
    <col min="7941" max="7943" width="9.5703125" style="119" bestFit="1" customWidth="1"/>
    <col min="7944" max="7944" width="10.42578125" style="119" bestFit="1" customWidth="1"/>
    <col min="7945" max="7945" width="4.5703125" style="119" customWidth="1"/>
    <col min="7946" max="7946" width="1.85546875" style="119" customWidth="1"/>
    <col min="7947" max="7947" width="7" style="119" bestFit="1" customWidth="1"/>
    <col min="7948" max="7948" width="6.42578125" style="119" customWidth="1"/>
    <col min="7949" max="7949" width="20.42578125" style="119" customWidth="1"/>
    <col min="7950" max="7950" width="6.42578125" style="119" bestFit="1" customWidth="1"/>
    <col min="7951" max="7952" width="8.42578125" style="119"/>
    <col min="7953" max="7953" width="3.42578125" style="119" customWidth="1"/>
    <col min="7954" max="8192" width="8.42578125" style="119"/>
    <col min="8193" max="8193" width="10" style="119" bestFit="1" customWidth="1"/>
    <col min="8194" max="8194" width="44.42578125" style="119" bestFit="1" customWidth="1"/>
    <col min="8195" max="8195" width="10.42578125" style="119" bestFit="1" customWidth="1"/>
    <col min="8196" max="8196" width="10.42578125" style="119" customWidth="1"/>
    <col min="8197" max="8199" width="9.5703125" style="119" bestFit="1" customWidth="1"/>
    <col min="8200" max="8200" width="10.42578125" style="119" bestFit="1" customWidth="1"/>
    <col min="8201" max="8201" width="4.5703125" style="119" customWidth="1"/>
    <col min="8202" max="8202" width="1.85546875" style="119" customWidth="1"/>
    <col min="8203" max="8203" width="7" style="119" bestFit="1" customWidth="1"/>
    <col min="8204" max="8204" width="6.42578125" style="119" customWidth="1"/>
    <col min="8205" max="8205" width="20.42578125" style="119" customWidth="1"/>
    <col min="8206" max="8206" width="6.42578125" style="119" bestFit="1" customWidth="1"/>
    <col min="8207" max="8208" width="8.42578125" style="119"/>
    <col min="8209" max="8209" width="3.42578125" style="119" customWidth="1"/>
    <col min="8210" max="8448" width="8.42578125" style="119"/>
    <col min="8449" max="8449" width="10" style="119" bestFit="1" customWidth="1"/>
    <col min="8450" max="8450" width="44.42578125" style="119" bestFit="1" customWidth="1"/>
    <col min="8451" max="8451" width="10.42578125" style="119" bestFit="1" customWidth="1"/>
    <col min="8452" max="8452" width="10.42578125" style="119" customWidth="1"/>
    <col min="8453" max="8455" width="9.5703125" style="119" bestFit="1" customWidth="1"/>
    <col min="8456" max="8456" width="10.42578125" style="119" bestFit="1" customWidth="1"/>
    <col min="8457" max="8457" width="4.5703125" style="119" customWidth="1"/>
    <col min="8458" max="8458" width="1.85546875" style="119" customWidth="1"/>
    <col min="8459" max="8459" width="7" style="119" bestFit="1" customWidth="1"/>
    <col min="8460" max="8460" width="6.42578125" style="119" customWidth="1"/>
    <col min="8461" max="8461" width="20.42578125" style="119" customWidth="1"/>
    <col min="8462" max="8462" width="6.42578125" style="119" bestFit="1" customWidth="1"/>
    <col min="8463" max="8464" width="8.42578125" style="119"/>
    <col min="8465" max="8465" width="3.42578125" style="119" customWidth="1"/>
    <col min="8466" max="8704" width="8.42578125" style="119"/>
    <col min="8705" max="8705" width="10" style="119" bestFit="1" customWidth="1"/>
    <col min="8706" max="8706" width="44.42578125" style="119" bestFit="1" customWidth="1"/>
    <col min="8707" max="8707" width="10.42578125" style="119" bestFit="1" customWidth="1"/>
    <col min="8708" max="8708" width="10.42578125" style="119" customWidth="1"/>
    <col min="8709" max="8711" width="9.5703125" style="119" bestFit="1" customWidth="1"/>
    <col min="8712" max="8712" width="10.42578125" style="119" bestFit="1" customWidth="1"/>
    <col min="8713" max="8713" width="4.5703125" style="119" customWidth="1"/>
    <col min="8714" max="8714" width="1.85546875" style="119" customWidth="1"/>
    <col min="8715" max="8715" width="7" style="119" bestFit="1" customWidth="1"/>
    <col min="8716" max="8716" width="6.42578125" style="119" customWidth="1"/>
    <col min="8717" max="8717" width="20.42578125" style="119" customWidth="1"/>
    <col min="8718" max="8718" width="6.42578125" style="119" bestFit="1" customWidth="1"/>
    <col min="8719" max="8720" width="8.42578125" style="119"/>
    <col min="8721" max="8721" width="3.42578125" style="119" customWidth="1"/>
    <col min="8722" max="8960" width="8.42578125" style="119"/>
    <col min="8961" max="8961" width="10" style="119" bestFit="1" customWidth="1"/>
    <col min="8962" max="8962" width="44.42578125" style="119" bestFit="1" customWidth="1"/>
    <col min="8963" max="8963" width="10.42578125" style="119" bestFit="1" customWidth="1"/>
    <col min="8964" max="8964" width="10.42578125" style="119" customWidth="1"/>
    <col min="8965" max="8967" width="9.5703125" style="119" bestFit="1" customWidth="1"/>
    <col min="8968" max="8968" width="10.42578125" style="119" bestFit="1" customWidth="1"/>
    <col min="8969" max="8969" width="4.5703125" style="119" customWidth="1"/>
    <col min="8970" max="8970" width="1.85546875" style="119" customWidth="1"/>
    <col min="8971" max="8971" width="7" style="119" bestFit="1" customWidth="1"/>
    <col min="8972" max="8972" width="6.42578125" style="119" customWidth="1"/>
    <col min="8973" max="8973" width="20.42578125" style="119" customWidth="1"/>
    <col min="8974" max="8974" width="6.42578125" style="119" bestFit="1" customWidth="1"/>
    <col min="8975" max="8976" width="8.42578125" style="119"/>
    <col min="8977" max="8977" width="3.42578125" style="119" customWidth="1"/>
    <col min="8978" max="9216" width="8.42578125" style="119"/>
    <col min="9217" max="9217" width="10" style="119" bestFit="1" customWidth="1"/>
    <col min="9218" max="9218" width="44.42578125" style="119" bestFit="1" customWidth="1"/>
    <col min="9219" max="9219" width="10.42578125" style="119" bestFit="1" customWidth="1"/>
    <col min="9220" max="9220" width="10.42578125" style="119" customWidth="1"/>
    <col min="9221" max="9223" width="9.5703125" style="119" bestFit="1" customWidth="1"/>
    <col min="9224" max="9224" width="10.42578125" style="119" bestFit="1" customWidth="1"/>
    <col min="9225" max="9225" width="4.5703125" style="119" customWidth="1"/>
    <col min="9226" max="9226" width="1.85546875" style="119" customWidth="1"/>
    <col min="9227" max="9227" width="7" style="119" bestFit="1" customWidth="1"/>
    <col min="9228" max="9228" width="6.42578125" style="119" customWidth="1"/>
    <col min="9229" max="9229" width="20.42578125" style="119" customWidth="1"/>
    <col min="9230" max="9230" width="6.42578125" style="119" bestFit="1" customWidth="1"/>
    <col min="9231" max="9232" width="8.42578125" style="119"/>
    <col min="9233" max="9233" width="3.42578125" style="119" customWidth="1"/>
    <col min="9234" max="9472" width="8.42578125" style="119"/>
    <col min="9473" max="9473" width="10" style="119" bestFit="1" customWidth="1"/>
    <col min="9474" max="9474" width="44.42578125" style="119" bestFit="1" customWidth="1"/>
    <col min="9475" max="9475" width="10.42578125" style="119" bestFit="1" customWidth="1"/>
    <col min="9476" max="9476" width="10.42578125" style="119" customWidth="1"/>
    <col min="9477" max="9479" width="9.5703125" style="119" bestFit="1" customWidth="1"/>
    <col min="9480" max="9480" width="10.42578125" style="119" bestFit="1" customWidth="1"/>
    <col min="9481" max="9481" width="4.5703125" style="119" customWidth="1"/>
    <col min="9482" max="9482" width="1.85546875" style="119" customWidth="1"/>
    <col min="9483" max="9483" width="7" style="119" bestFit="1" customWidth="1"/>
    <col min="9484" max="9484" width="6.42578125" style="119" customWidth="1"/>
    <col min="9485" max="9485" width="20.42578125" style="119" customWidth="1"/>
    <col min="9486" max="9486" width="6.42578125" style="119" bestFit="1" customWidth="1"/>
    <col min="9487" max="9488" width="8.42578125" style="119"/>
    <col min="9489" max="9489" width="3.42578125" style="119" customWidth="1"/>
    <col min="9490" max="9728" width="8.42578125" style="119"/>
    <col min="9729" max="9729" width="10" style="119" bestFit="1" customWidth="1"/>
    <col min="9730" max="9730" width="44.42578125" style="119" bestFit="1" customWidth="1"/>
    <col min="9731" max="9731" width="10.42578125" style="119" bestFit="1" customWidth="1"/>
    <col min="9732" max="9732" width="10.42578125" style="119" customWidth="1"/>
    <col min="9733" max="9735" width="9.5703125" style="119" bestFit="1" customWidth="1"/>
    <col min="9736" max="9736" width="10.42578125" style="119" bestFit="1" customWidth="1"/>
    <col min="9737" max="9737" width="4.5703125" style="119" customWidth="1"/>
    <col min="9738" max="9738" width="1.85546875" style="119" customWidth="1"/>
    <col min="9739" max="9739" width="7" style="119" bestFit="1" customWidth="1"/>
    <col min="9740" max="9740" width="6.42578125" style="119" customWidth="1"/>
    <col min="9741" max="9741" width="20.42578125" style="119" customWidth="1"/>
    <col min="9742" max="9742" width="6.42578125" style="119" bestFit="1" customWidth="1"/>
    <col min="9743" max="9744" width="8.42578125" style="119"/>
    <col min="9745" max="9745" width="3.42578125" style="119" customWidth="1"/>
    <col min="9746" max="9984" width="8.42578125" style="119"/>
    <col min="9985" max="9985" width="10" style="119" bestFit="1" customWidth="1"/>
    <col min="9986" max="9986" width="44.42578125" style="119" bestFit="1" customWidth="1"/>
    <col min="9987" max="9987" width="10.42578125" style="119" bestFit="1" customWidth="1"/>
    <col min="9988" max="9988" width="10.42578125" style="119" customWidth="1"/>
    <col min="9989" max="9991" width="9.5703125" style="119" bestFit="1" customWidth="1"/>
    <col min="9992" max="9992" width="10.42578125" style="119" bestFit="1" customWidth="1"/>
    <col min="9993" max="9993" width="4.5703125" style="119" customWidth="1"/>
    <col min="9994" max="9994" width="1.85546875" style="119" customWidth="1"/>
    <col min="9995" max="9995" width="7" style="119" bestFit="1" customWidth="1"/>
    <col min="9996" max="9996" width="6.42578125" style="119" customWidth="1"/>
    <col min="9997" max="9997" width="20.42578125" style="119" customWidth="1"/>
    <col min="9998" max="9998" width="6.42578125" style="119" bestFit="1" customWidth="1"/>
    <col min="9999" max="10000" width="8.42578125" style="119"/>
    <col min="10001" max="10001" width="3.42578125" style="119" customWidth="1"/>
    <col min="10002" max="10240" width="8.42578125" style="119"/>
    <col min="10241" max="10241" width="10" style="119" bestFit="1" customWidth="1"/>
    <col min="10242" max="10242" width="44.42578125" style="119" bestFit="1" customWidth="1"/>
    <col min="10243" max="10243" width="10.42578125" style="119" bestFit="1" customWidth="1"/>
    <col min="10244" max="10244" width="10.42578125" style="119" customWidth="1"/>
    <col min="10245" max="10247" width="9.5703125" style="119" bestFit="1" customWidth="1"/>
    <col min="10248" max="10248" width="10.42578125" style="119" bestFit="1" customWidth="1"/>
    <col min="10249" max="10249" width="4.5703125" style="119" customWidth="1"/>
    <col min="10250" max="10250" width="1.85546875" style="119" customWidth="1"/>
    <col min="10251" max="10251" width="7" style="119" bestFit="1" customWidth="1"/>
    <col min="10252" max="10252" width="6.42578125" style="119" customWidth="1"/>
    <col min="10253" max="10253" width="20.42578125" style="119" customWidth="1"/>
    <col min="10254" max="10254" width="6.42578125" style="119" bestFit="1" customWidth="1"/>
    <col min="10255" max="10256" width="8.42578125" style="119"/>
    <col min="10257" max="10257" width="3.42578125" style="119" customWidth="1"/>
    <col min="10258" max="10496" width="8.42578125" style="119"/>
    <col min="10497" max="10497" width="10" style="119" bestFit="1" customWidth="1"/>
    <col min="10498" max="10498" width="44.42578125" style="119" bestFit="1" customWidth="1"/>
    <col min="10499" max="10499" width="10.42578125" style="119" bestFit="1" customWidth="1"/>
    <col min="10500" max="10500" width="10.42578125" style="119" customWidth="1"/>
    <col min="10501" max="10503" width="9.5703125" style="119" bestFit="1" customWidth="1"/>
    <col min="10504" max="10504" width="10.42578125" style="119" bestFit="1" customWidth="1"/>
    <col min="10505" max="10505" width="4.5703125" style="119" customWidth="1"/>
    <col min="10506" max="10506" width="1.85546875" style="119" customWidth="1"/>
    <col min="10507" max="10507" width="7" style="119" bestFit="1" customWidth="1"/>
    <col min="10508" max="10508" width="6.42578125" style="119" customWidth="1"/>
    <col min="10509" max="10509" width="20.42578125" style="119" customWidth="1"/>
    <col min="10510" max="10510" width="6.42578125" style="119" bestFit="1" customWidth="1"/>
    <col min="10511" max="10512" width="8.42578125" style="119"/>
    <col min="10513" max="10513" width="3.42578125" style="119" customWidth="1"/>
    <col min="10514" max="10752" width="8.42578125" style="119"/>
    <col min="10753" max="10753" width="10" style="119" bestFit="1" customWidth="1"/>
    <col min="10754" max="10754" width="44.42578125" style="119" bestFit="1" customWidth="1"/>
    <col min="10755" max="10755" width="10.42578125" style="119" bestFit="1" customWidth="1"/>
    <col min="10756" max="10756" width="10.42578125" style="119" customWidth="1"/>
    <col min="10757" max="10759" width="9.5703125" style="119" bestFit="1" customWidth="1"/>
    <col min="10760" max="10760" width="10.42578125" style="119" bestFit="1" customWidth="1"/>
    <col min="10761" max="10761" width="4.5703125" style="119" customWidth="1"/>
    <col min="10762" max="10762" width="1.85546875" style="119" customWidth="1"/>
    <col min="10763" max="10763" width="7" style="119" bestFit="1" customWidth="1"/>
    <col min="10764" max="10764" width="6.42578125" style="119" customWidth="1"/>
    <col min="10765" max="10765" width="20.42578125" style="119" customWidth="1"/>
    <col min="10766" max="10766" width="6.42578125" style="119" bestFit="1" customWidth="1"/>
    <col min="10767" max="10768" width="8.42578125" style="119"/>
    <col min="10769" max="10769" width="3.42578125" style="119" customWidth="1"/>
    <col min="10770" max="11008" width="8.42578125" style="119"/>
    <col min="11009" max="11009" width="10" style="119" bestFit="1" customWidth="1"/>
    <col min="11010" max="11010" width="44.42578125" style="119" bestFit="1" customWidth="1"/>
    <col min="11011" max="11011" width="10.42578125" style="119" bestFit="1" customWidth="1"/>
    <col min="11012" max="11012" width="10.42578125" style="119" customWidth="1"/>
    <col min="11013" max="11015" width="9.5703125" style="119" bestFit="1" customWidth="1"/>
    <col min="11016" max="11016" width="10.42578125" style="119" bestFit="1" customWidth="1"/>
    <col min="11017" max="11017" width="4.5703125" style="119" customWidth="1"/>
    <col min="11018" max="11018" width="1.85546875" style="119" customWidth="1"/>
    <col min="11019" max="11019" width="7" style="119" bestFit="1" customWidth="1"/>
    <col min="11020" max="11020" width="6.42578125" style="119" customWidth="1"/>
    <col min="11021" max="11021" width="20.42578125" style="119" customWidth="1"/>
    <col min="11022" max="11022" width="6.42578125" style="119" bestFit="1" customWidth="1"/>
    <col min="11023" max="11024" width="8.42578125" style="119"/>
    <col min="11025" max="11025" width="3.42578125" style="119" customWidth="1"/>
    <col min="11026" max="11264" width="8.42578125" style="119"/>
    <col min="11265" max="11265" width="10" style="119" bestFit="1" customWidth="1"/>
    <col min="11266" max="11266" width="44.42578125" style="119" bestFit="1" customWidth="1"/>
    <col min="11267" max="11267" width="10.42578125" style="119" bestFit="1" customWidth="1"/>
    <col min="11268" max="11268" width="10.42578125" style="119" customWidth="1"/>
    <col min="11269" max="11271" width="9.5703125" style="119" bestFit="1" customWidth="1"/>
    <col min="11272" max="11272" width="10.42578125" style="119" bestFit="1" customWidth="1"/>
    <col min="11273" max="11273" width="4.5703125" style="119" customWidth="1"/>
    <col min="11274" max="11274" width="1.85546875" style="119" customWidth="1"/>
    <col min="11275" max="11275" width="7" style="119" bestFit="1" customWidth="1"/>
    <col min="11276" max="11276" width="6.42578125" style="119" customWidth="1"/>
    <col min="11277" max="11277" width="20.42578125" style="119" customWidth="1"/>
    <col min="11278" max="11278" width="6.42578125" style="119" bestFit="1" customWidth="1"/>
    <col min="11279" max="11280" width="8.42578125" style="119"/>
    <col min="11281" max="11281" width="3.42578125" style="119" customWidth="1"/>
    <col min="11282" max="11520" width="8.42578125" style="119"/>
    <col min="11521" max="11521" width="10" style="119" bestFit="1" customWidth="1"/>
    <col min="11522" max="11522" width="44.42578125" style="119" bestFit="1" customWidth="1"/>
    <col min="11523" max="11523" width="10.42578125" style="119" bestFit="1" customWidth="1"/>
    <col min="11524" max="11524" width="10.42578125" style="119" customWidth="1"/>
    <col min="11525" max="11527" width="9.5703125" style="119" bestFit="1" customWidth="1"/>
    <col min="11528" max="11528" width="10.42578125" style="119" bestFit="1" customWidth="1"/>
    <col min="11529" max="11529" width="4.5703125" style="119" customWidth="1"/>
    <col min="11530" max="11530" width="1.85546875" style="119" customWidth="1"/>
    <col min="11531" max="11531" width="7" style="119" bestFit="1" customWidth="1"/>
    <col min="11532" max="11532" width="6.42578125" style="119" customWidth="1"/>
    <col min="11533" max="11533" width="20.42578125" style="119" customWidth="1"/>
    <col min="11534" max="11534" width="6.42578125" style="119" bestFit="1" customWidth="1"/>
    <col min="11535" max="11536" width="8.42578125" style="119"/>
    <col min="11537" max="11537" width="3.42578125" style="119" customWidth="1"/>
    <col min="11538" max="11776" width="8.42578125" style="119"/>
    <col min="11777" max="11777" width="10" style="119" bestFit="1" customWidth="1"/>
    <col min="11778" max="11778" width="44.42578125" style="119" bestFit="1" customWidth="1"/>
    <col min="11779" max="11779" width="10.42578125" style="119" bestFit="1" customWidth="1"/>
    <col min="11780" max="11780" width="10.42578125" style="119" customWidth="1"/>
    <col min="11781" max="11783" width="9.5703125" style="119" bestFit="1" customWidth="1"/>
    <col min="11784" max="11784" width="10.42578125" style="119" bestFit="1" customWidth="1"/>
    <col min="11785" max="11785" width="4.5703125" style="119" customWidth="1"/>
    <col min="11786" max="11786" width="1.85546875" style="119" customWidth="1"/>
    <col min="11787" max="11787" width="7" style="119" bestFit="1" customWidth="1"/>
    <col min="11788" max="11788" width="6.42578125" style="119" customWidth="1"/>
    <col min="11789" max="11789" width="20.42578125" style="119" customWidth="1"/>
    <col min="11790" max="11790" width="6.42578125" style="119" bestFit="1" customWidth="1"/>
    <col min="11791" max="11792" width="8.42578125" style="119"/>
    <col min="11793" max="11793" width="3.42578125" style="119" customWidth="1"/>
    <col min="11794" max="12032" width="8.42578125" style="119"/>
    <col min="12033" max="12033" width="10" style="119" bestFit="1" customWidth="1"/>
    <col min="12034" max="12034" width="44.42578125" style="119" bestFit="1" customWidth="1"/>
    <col min="12035" max="12035" width="10.42578125" style="119" bestFit="1" customWidth="1"/>
    <col min="12036" max="12036" width="10.42578125" style="119" customWidth="1"/>
    <col min="12037" max="12039" width="9.5703125" style="119" bestFit="1" customWidth="1"/>
    <col min="12040" max="12040" width="10.42578125" style="119" bestFit="1" customWidth="1"/>
    <col min="12041" max="12041" width="4.5703125" style="119" customWidth="1"/>
    <col min="12042" max="12042" width="1.85546875" style="119" customWidth="1"/>
    <col min="12043" max="12043" width="7" style="119" bestFit="1" customWidth="1"/>
    <col min="12044" max="12044" width="6.42578125" style="119" customWidth="1"/>
    <col min="12045" max="12045" width="20.42578125" style="119" customWidth="1"/>
    <col min="12046" max="12046" width="6.42578125" style="119" bestFit="1" customWidth="1"/>
    <col min="12047" max="12048" width="8.42578125" style="119"/>
    <col min="12049" max="12049" width="3.42578125" style="119" customWidth="1"/>
    <col min="12050" max="12288" width="8.42578125" style="119"/>
    <col min="12289" max="12289" width="10" style="119" bestFit="1" customWidth="1"/>
    <col min="12290" max="12290" width="44.42578125" style="119" bestFit="1" customWidth="1"/>
    <col min="12291" max="12291" width="10.42578125" style="119" bestFit="1" customWidth="1"/>
    <col min="12292" max="12292" width="10.42578125" style="119" customWidth="1"/>
    <col min="12293" max="12295" width="9.5703125" style="119" bestFit="1" customWidth="1"/>
    <col min="12296" max="12296" width="10.42578125" style="119" bestFit="1" customWidth="1"/>
    <col min="12297" max="12297" width="4.5703125" style="119" customWidth="1"/>
    <col min="12298" max="12298" width="1.85546875" style="119" customWidth="1"/>
    <col min="12299" max="12299" width="7" style="119" bestFit="1" customWidth="1"/>
    <col min="12300" max="12300" width="6.42578125" style="119" customWidth="1"/>
    <col min="12301" max="12301" width="20.42578125" style="119" customWidth="1"/>
    <col min="12302" max="12302" width="6.42578125" style="119" bestFit="1" customWidth="1"/>
    <col min="12303" max="12304" width="8.42578125" style="119"/>
    <col min="12305" max="12305" width="3.42578125" style="119" customWidth="1"/>
    <col min="12306" max="12544" width="8.42578125" style="119"/>
    <col min="12545" max="12545" width="10" style="119" bestFit="1" customWidth="1"/>
    <col min="12546" max="12546" width="44.42578125" style="119" bestFit="1" customWidth="1"/>
    <col min="12547" max="12547" width="10.42578125" style="119" bestFit="1" customWidth="1"/>
    <col min="12548" max="12548" width="10.42578125" style="119" customWidth="1"/>
    <col min="12549" max="12551" width="9.5703125" style="119" bestFit="1" customWidth="1"/>
    <col min="12552" max="12552" width="10.42578125" style="119" bestFit="1" customWidth="1"/>
    <col min="12553" max="12553" width="4.5703125" style="119" customWidth="1"/>
    <col min="12554" max="12554" width="1.85546875" style="119" customWidth="1"/>
    <col min="12555" max="12555" width="7" style="119" bestFit="1" customWidth="1"/>
    <col min="12556" max="12556" width="6.42578125" style="119" customWidth="1"/>
    <col min="12557" max="12557" width="20.42578125" style="119" customWidth="1"/>
    <col min="12558" max="12558" width="6.42578125" style="119" bestFit="1" customWidth="1"/>
    <col min="12559" max="12560" width="8.42578125" style="119"/>
    <col min="12561" max="12561" width="3.42578125" style="119" customWidth="1"/>
    <col min="12562" max="12800" width="8.42578125" style="119"/>
    <col min="12801" max="12801" width="10" style="119" bestFit="1" customWidth="1"/>
    <col min="12802" max="12802" width="44.42578125" style="119" bestFit="1" customWidth="1"/>
    <col min="12803" max="12803" width="10.42578125" style="119" bestFit="1" customWidth="1"/>
    <col min="12804" max="12804" width="10.42578125" style="119" customWidth="1"/>
    <col min="12805" max="12807" width="9.5703125" style="119" bestFit="1" customWidth="1"/>
    <col min="12808" max="12808" width="10.42578125" style="119" bestFit="1" customWidth="1"/>
    <col min="12809" max="12809" width="4.5703125" style="119" customWidth="1"/>
    <col min="12810" max="12810" width="1.85546875" style="119" customWidth="1"/>
    <col min="12811" max="12811" width="7" style="119" bestFit="1" customWidth="1"/>
    <col min="12812" max="12812" width="6.42578125" style="119" customWidth="1"/>
    <col min="12813" max="12813" width="20.42578125" style="119" customWidth="1"/>
    <col min="12814" max="12814" width="6.42578125" style="119" bestFit="1" customWidth="1"/>
    <col min="12815" max="12816" width="8.42578125" style="119"/>
    <col min="12817" max="12817" width="3.42578125" style="119" customWidth="1"/>
    <col min="12818" max="13056" width="8.42578125" style="119"/>
    <col min="13057" max="13057" width="10" style="119" bestFit="1" customWidth="1"/>
    <col min="13058" max="13058" width="44.42578125" style="119" bestFit="1" customWidth="1"/>
    <col min="13059" max="13059" width="10.42578125" style="119" bestFit="1" customWidth="1"/>
    <col min="13060" max="13060" width="10.42578125" style="119" customWidth="1"/>
    <col min="13061" max="13063" width="9.5703125" style="119" bestFit="1" customWidth="1"/>
    <col min="13064" max="13064" width="10.42578125" style="119" bestFit="1" customWidth="1"/>
    <col min="13065" max="13065" width="4.5703125" style="119" customWidth="1"/>
    <col min="13066" max="13066" width="1.85546875" style="119" customWidth="1"/>
    <col min="13067" max="13067" width="7" style="119" bestFit="1" customWidth="1"/>
    <col min="13068" max="13068" width="6.42578125" style="119" customWidth="1"/>
    <col min="13069" max="13069" width="20.42578125" style="119" customWidth="1"/>
    <col min="13070" max="13070" width="6.42578125" style="119" bestFit="1" customWidth="1"/>
    <col min="13071" max="13072" width="8.42578125" style="119"/>
    <col min="13073" max="13073" width="3.42578125" style="119" customWidth="1"/>
    <col min="13074" max="13312" width="8.42578125" style="119"/>
    <col min="13313" max="13313" width="10" style="119" bestFit="1" customWidth="1"/>
    <col min="13314" max="13314" width="44.42578125" style="119" bestFit="1" customWidth="1"/>
    <col min="13315" max="13315" width="10.42578125" style="119" bestFit="1" customWidth="1"/>
    <col min="13316" max="13316" width="10.42578125" style="119" customWidth="1"/>
    <col min="13317" max="13319" width="9.5703125" style="119" bestFit="1" customWidth="1"/>
    <col min="13320" max="13320" width="10.42578125" style="119" bestFit="1" customWidth="1"/>
    <col min="13321" max="13321" width="4.5703125" style="119" customWidth="1"/>
    <col min="13322" max="13322" width="1.85546875" style="119" customWidth="1"/>
    <col min="13323" max="13323" width="7" style="119" bestFit="1" customWidth="1"/>
    <col min="13324" max="13324" width="6.42578125" style="119" customWidth="1"/>
    <col min="13325" max="13325" width="20.42578125" style="119" customWidth="1"/>
    <col min="13326" max="13326" width="6.42578125" style="119" bestFit="1" customWidth="1"/>
    <col min="13327" max="13328" width="8.42578125" style="119"/>
    <col min="13329" max="13329" width="3.42578125" style="119" customWidth="1"/>
    <col min="13330" max="13568" width="8.42578125" style="119"/>
    <col min="13569" max="13569" width="10" style="119" bestFit="1" customWidth="1"/>
    <col min="13570" max="13570" width="44.42578125" style="119" bestFit="1" customWidth="1"/>
    <col min="13571" max="13571" width="10.42578125" style="119" bestFit="1" customWidth="1"/>
    <col min="13572" max="13572" width="10.42578125" style="119" customWidth="1"/>
    <col min="13573" max="13575" width="9.5703125" style="119" bestFit="1" customWidth="1"/>
    <col min="13576" max="13576" width="10.42578125" style="119" bestFit="1" customWidth="1"/>
    <col min="13577" max="13577" width="4.5703125" style="119" customWidth="1"/>
    <col min="13578" max="13578" width="1.85546875" style="119" customWidth="1"/>
    <col min="13579" max="13579" width="7" style="119" bestFit="1" customWidth="1"/>
    <col min="13580" max="13580" width="6.42578125" style="119" customWidth="1"/>
    <col min="13581" max="13581" width="20.42578125" style="119" customWidth="1"/>
    <col min="13582" max="13582" width="6.42578125" style="119" bestFit="1" customWidth="1"/>
    <col min="13583" max="13584" width="8.42578125" style="119"/>
    <col min="13585" max="13585" width="3.42578125" style="119" customWidth="1"/>
    <col min="13586" max="13824" width="8.42578125" style="119"/>
    <col min="13825" max="13825" width="10" style="119" bestFit="1" customWidth="1"/>
    <col min="13826" max="13826" width="44.42578125" style="119" bestFit="1" customWidth="1"/>
    <col min="13827" max="13827" width="10.42578125" style="119" bestFit="1" customWidth="1"/>
    <col min="13828" max="13828" width="10.42578125" style="119" customWidth="1"/>
    <col min="13829" max="13831" width="9.5703125" style="119" bestFit="1" customWidth="1"/>
    <col min="13832" max="13832" width="10.42578125" style="119" bestFit="1" customWidth="1"/>
    <col min="13833" max="13833" width="4.5703125" style="119" customWidth="1"/>
    <col min="13834" max="13834" width="1.85546875" style="119" customWidth="1"/>
    <col min="13835" max="13835" width="7" style="119" bestFit="1" customWidth="1"/>
    <col min="13836" max="13836" width="6.42578125" style="119" customWidth="1"/>
    <col min="13837" max="13837" width="20.42578125" style="119" customWidth="1"/>
    <col min="13838" max="13838" width="6.42578125" style="119" bestFit="1" customWidth="1"/>
    <col min="13839" max="13840" width="8.42578125" style="119"/>
    <col min="13841" max="13841" width="3.42578125" style="119" customWidth="1"/>
    <col min="13842" max="14080" width="8.42578125" style="119"/>
    <col min="14081" max="14081" width="10" style="119" bestFit="1" customWidth="1"/>
    <col min="14082" max="14082" width="44.42578125" style="119" bestFit="1" customWidth="1"/>
    <col min="14083" max="14083" width="10.42578125" style="119" bestFit="1" customWidth="1"/>
    <col min="14084" max="14084" width="10.42578125" style="119" customWidth="1"/>
    <col min="14085" max="14087" width="9.5703125" style="119" bestFit="1" customWidth="1"/>
    <col min="14088" max="14088" width="10.42578125" style="119" bestFit="1" customWidth="1"/>
    <col min="14089" max="14089" width="4.5703125" style="119" customWidth="1"/>
    <col min="14090" max="14090" width="1.85546875" style="119" customWidth="1"/>
    <col min="14091" max="14091" width="7" style="119" bestFit="1" customWidth="1"/>
    <col min="14092" max="14092" width="6.42578125" style="119" customWidth="1"/>
    <col min="14093" max="14093" width="20.42578125" style="119" customWidth="1"/>
    <col min="14094" max="14094" width="6.42578125" style="119" bestFit="1" customWidth="1"/>
    <col min="14095" max="14096" width="8.42578125" style="119"/>
    <col min="14097" max="14097" width="3.42578125" style="119" customWidth="1"/>
    <col min="14098" max="14336" width="8.42578125" style="119"/>
    <col min="14337" max="14337" width="10" style="119" bestFit="1" customWidth="1"/>
    <col min="14338" max="14338" width="44.42578125" style="119" bestFit="1" customWidth="1"/>
    <col min="14339" max="14339" width="10.42578125" style="119" bestFit="1" customWidth="1"/>
    <col min="14340" max="14340" width="10.42578125" style="119" customWidth="1"/>
    <col min="14341" max="14343" width="9.5703125" style="119" bestFit="1" customWidth="1"/>
    <col min="14344" max="14344" width="10.42578125" style="119" bestFit="1" customWidth="1"/>
    <col min="14345" max="14345" width="4.5703125" style="119" customWidth="1"/>
    <col min="14346" max="14346" width="1.85546875" style="119" customWidth="1"/>
    <col min="14347" max="14347" width="7" style="119" bestFit="1" customWidth="1"/>
    <col min="14348" max="14348" width="6.42578125" style="119" customWidth="1"/>
    <col min="14349" max="14349" width="20.42578125" style="119" customWidth="1"/>
    <col min="14350" max="14350" width="6.42578125" style="119" bestFit="1" customWidth="1"/>
    <col min="14351" max="14352" width="8.42578125" style="119"/>
    <col min="14353" max="14353" width="3.42578125" style="119" customWidth="1"/>
    <col min="14354" max="14592" width="8.42578125" style="119"/>
    <col min="14593" max="14593" width="10" style="119" bestFit="1" customWidth="1"/>
    <col min="14594" max="14594" width="44.42578125" style="119" bestFit="1" customWidth="1"/>
    <col min="14595" max="14595" width="10.42578125" style="119" bestFit="1" customWidth="1"/>
    <col min="14596" max="14596" width="10.42578125" style="119" customWidth="1"/>
    <col min="14597" max="14599" width="9.5703125" style="119" bestFit="1" customWidth="1"/>
    <col min="14600" max="14600" width="10.42578125" style="119" bestFit="1" customWidth="1"/>
    <col min="14601" max="14601" width="4.5703125" style="119" customWidth="1"/>
    <col min="14602" max="14602" width="1.85546875" style="119" customWidth="1"/>
    <col min="14603" max="14603" width="7" style="119" bestFit="1" customWidth="1"/>
    <col min="14604" max="14604" width="6.42578125" style="119" customWidth="1"/>
    <col min="14605" max="14605" width="20.42578125" style="119" customWidth="1"/>
    <col min="14606" max="14606" width="6.42578125" style="119" bestFit="1" customWidth="1"/>
    <col min="14607" max="14608" width="8.42578125" style="119"/>
    <col min="14609" max="14609" width="3.42578125" style="119" customWidth="1"/>
    <col min="14610" max="14848" width="8.42578125" style="119"/>
    <col min="14849" max="14849" width="10" style="119" bestFit="1" customWidth="1"/>
    <col min="14850" max="14850" width="44.42578125" style="119" bestFit="1" customWidth="1"/>
    <col min="14851" max="14851" width="10.42578125" style="119" bestFit="1" customWidth="1"/>
    <col min="14852" max="14852" width="10.42578125" style="119" customWidth="1"/>
    <col min="14853" max="14855" width="9.5703125" style="119" bestFit="1" customWidth="1"/>
    <col min="14856" max="14856" width="10.42578125" style="119" bestFit="1" customWidth="1"/>
    <col min="14857" max="14857" width="4.5703125" style="119" customWidth="1"/>
    <col min="14858" max="14858" width="1.85546875" style="119" customWidth="1"/>
    <col min="14859" max="14859" width="7" style="119" bestFit="1" customWidth="1"/>
    <col min="14860" max="14860" width="6.42578125" style="119" customWidth="1"/>
    <col min="14861" max="14861" width="20.42578125" style="119" customWidth="1"/>
    <col min="14862" max="14862" width="6.42578125" style="119" bestFit="1" customWidth="1"/>
    <col min="14863" max="14864" width="8.42578125" style="119"/>
    <col min="14865" max="14865" width="3.42578125" style="119" customWidth="1"/>
    <col min="14866" max="15104" width="8.42578125" style="119"/>
    <col min="15105" max="15105" width="10" style="119" bestFit="1" customWidth="1"/>
    <col min="15106" max="15106" width="44.42578125" style="119" bestFit="1" customWidth="1"/>
    <col min="15107" max="15107" width="10.42578125" style="119" bestFit="1" customWidth="1"/>
    <col min="15108" max="15108" width="10.42578125" style="119" customWidth="1"/>
    <col min="15109" max="15111" width="9.5703125" style="119" bestFit="1" customWidth="1"/>
    <col min="15112" max="15112" width="10.42578125" style="119" bestFit="1" customWidth="1"/>
    <col min="15113" max="15113" width="4.5703125" style="119" customWidth="1"/>
    <col min="15114" max="15114" width="1.85546875" style="119" customWidth="1"/>
    <col min="15115" max="15115" width="7" style="119" bestFit="1" customWidth="1"/>
    <col min="15116" max="15116" width="6.42578125" style="119" customWidth="1"/>
    <col min="15117" max="15117" width="20.42578125" style="119" customWidth="1"/>
    <col min="15118" max="15118" width="6.42578125" style="119" bestFit="1" customWidth="1"/>
    <col min="15119" max="15120" width="8.42578125" style="119"/>
    <col min="15121" max="15121" width="3.42578125" style="119" customWidth="1"/>
    <col min="15122" max="15360" width="8.42578125" style="119"/>
    <col min="15361" max="15361" width="10" style="119" bestFit="1" customWidth="1"/>
    <col min="15362" max="15362" width="44.42578125" style="119" bestFit="1" customWidth="1"/>
    <col min="15363" max="15363" width="10.42578125" style="119" bestFit="1" customWidth="1"/>
    <col min="15364" max="15364" width="10.42578125" style="119" customWidth="1"/>
    <col min="15365" max="15367" width="9.5703125" style="119" bestFit="1" customWidth="1"/>
    <col min="15368" max="15368" width="10.42578125" style="119" bestFit="1" customWidth="1"/>
    <col min="15369" max="15369" width="4.5703125" style="119" customWidth="1"/>
    <col min="15370" max="15370" width="1.85546875" style="119" customWidth="1"/>
    <col min="15371" max="15371" width="7" style="119" bestFit="1" customWidth="1"/>
    <col min="15372" max="15372" width="6.42578125" style="119" customWidth="1"/>
    <col min="15373" max="15373" width="20.42578125" style="119" customWidth="1"/>
    <col min="15374" max="15374" width="6.42578125" style="119" bestFit="1" customWidth="1"/>
    <col min="15375" max="15376" width="8.42578125" style="119"/>
    <col min="15377" max="15377" width="3.42578125" style="119" customWidth="1"/>
    <col min="15378" max="15616" width="8.42578125" style="119"/>
    <col min="15617" max="15617" width="10" style="119" bestFit="1" customWidth="1"/>
    <col min="15618" max="15618" width="44.42578125" style="119" bestFit="1" customWidth="1"/>
    <col min="15619" max="15619" width="10.42578125" style="119" bestFit="1" customWidth="1"/>
    <col min="15620" max="15620" width="10.42578125" style="119" customWidth="1"/>
    <col min="15621" max="15623" width="9.5703125" style="119" bestFit="1" customWidth="1"/>
    <col min="15624" max="15624" width="10.42578125" style="119" bestFit="1" customWidth="1"/>
    <col min="15625" max="15625" width="4.5703125" style="119" customWidth="1"/>
    <col min="15626" max="15626" width="1.85546875" style="119" customWidth="1"/>
    <col min="15627" max="15627" width="7" style="119" bestFit="1" customWidth="1"/>
    <col min="15628" max="15628" width="6.42578125" style="119" customWidth="1"/>
    <col min="15629" max="15629" width="20.42578125" style="119" customWidth="1"/>
    <col min="15630" max="15630" width="6.42578125" style="119" bestFit="1" customWidth="1"/>
    <col min="15631" max="15632" width="8.42578125" style="119"/>
    <col min="15633" max="15633" width="3.42578125" style="119" customWidth="1"/>
    <col min="15634" max="15872" width="8.42578125" style="119"/>
    <col min="15873" max="15873" width="10" style="119" bestFit="1" customWidth="1"/>
    <col min="15874" max="15874" width="44.42578125" style="119" bestFit="1" customWidth="1"/>
    <col min="15875" max="15875" width="10.42578125" style="119" bestFit="1" customWidth="1"/>
    <col min="15876" max="15876" width="10.42578125" style="119" customWidth="1"/>
    <col min="15877" max="15879" width="9.5703125" style="119" bestFit="1" customWidth="1"/>
    <col min="15880" max="15880" width="10.42578125" style="119" bestFit="1" customWidth="1"/>
    <col min="15881" max="15881" width="4.5703125" style="119" customWidth="1"/>
    <col min="15882" max="15882" width="1.85546875" style="119" customWidth="1"/>
    <col min="15883" max="15883" width="7" style="119" bestFit="1" customWidth="1"/>
    <col min="15884" max="15884" width="6.42578125" style="119" customWidth="1"/>
    <col min="15885" max="15885" width="20.42578125" style="119" customWidth="1"/>
    <col min="15886" max="15886" width="6.42578125" style="119" bestFit="1" customWidth="1"/>
    <col min="15887" max="15888" width="8.42578125" style="119"/>
    <col min="15889" max="15889" width="3.42578125" style="119" customWidth="1"/>
    <col min="15890" max="16128" width="8.42578125" style="119"/>
    <col min="16129" max="16129" width="10" style="119" bestFit="1" customWidth="1"/>
    <col min="16130" max="16130" width="44.42578125" style="119" bestFit="1" customWidth="1"/>
    <col min="16131" max="16131" width="10.42578125" style="119" bestFit="1" customWidth="1"/>
    <col min="16132" max="16132" width="10.42578125" style="119" customWidth="1"/>
    <col min="16133" max="16135" width="9.5703125" style="119" bestFit="1" customWidth="1"/>
    <col min="16136" max="16136" width="10.42578125" style="119" bestFit="1" customWidth="1"/>
    <col min="16137" max="16137" width="4.5703125" style="119" customWidth="1"/>
    <col min="16138" max="16138" width="1.85546875" style="119" customWidth="1"/>
    <col min="16139" max="16139" width="7" style="119" bestFit="1" customWidth="1"/>
    <col min="16140" max="16140" width="6.42578125" style="119" customWidth="1"/>
    <col min="16141" max="16141" width="20.42578125" style="119" customWidth="1"/>
    <col min="16142" max="16142" width="6.42578125" style="119" bestFit="1" customWidth="1"/>
    <col min="16143" max="16144" width="8.42578125" style="119"/>
    <col min="16145" max="16145" width="3.42578125" style="119" customWidth="1"/>
    <col min="16146" max="16384" width="8.42578125" style="119"/>
  </cols>
  <sheetData>
    <row r="1" spans="1:10" ht="27.75" customHeight="1" x14ac:dyDescent="0.25">
      <c r="A1" s="114"/>
      <c r="B1" s="114"/>
      <c r="C1" s="114"/>
      <c r="D1" s="114"/>
      <c r="E1" s="115" t="s">
        <v>126</v>
      </c>
      <c r="F1" s="116" t="s">
        <v>127</v>
      </c>
      <c r="G1" s="116" t="s">
        <v>128</v>
      </c>
      <c r="H1" s="116" t="s">
        <v>129</v>
      </c>
      <c r="I1" s="117"/>
    </row>
    <row r="2" spans="1:10" ht="30.75" customHeight="1" x14ac:dyDescent="0.25">
      <c r="A2" s="114"/>
      <c r="B2" s="114"/>
      <c r="C2" s="114"/>
      <c r="D2" s="114"/>
      <c r="E2" s="120">
        <f>IFERROR(O68,"")</f>
        <v>1434.0458754985759</v>
      </c>
      <c r="F2" s="120">
        <f>IFERROR(H59,"")</f>
        <v>1233.768888888889</v>
      </c>
      <c r="G2" s="120">
        <f>IFERROR(H60,"")</f>
        <v>3.0982905982905977E-3</v>
      </c>
      <c r="H2" s="120">
        <f>IFERROR(H62,"")</f>
        <v>51.666666666666664</v>
      </c>
      <c r="I2" s="121"/>
    </row>
    <row r="3" spans="1:10" ht="15" customHeight="1" x14ac:dyDescent="0.25">
      <c r="A3" s="114"/>
      <c r="B3" s="114"/>
      <c r="C3" s="114"/>
      <c r="D3" s="114"/>
      <c r="E3" s="114"/>
      <c r="F3" s="122"/>
      <c r="G3" s="122"/>
      <c r="H3" s="122"/>
      <c r="I3" s="122"/>
    </row>
    <row r="4" spans="1:10" ht="24.75" customHeight="1" thickBot="1" x14ac:dyDescent="0.3">
      <c r="A4" s="273"/>
      <c r="B4" s="273"/>
      <c r="C4" s="273"/>
      <c r="D4" s="273"/>
      <c r="E4" s="273"/>
      <c r="F4" s="273"/>
      <c r="G4" s="273"/>
      <c r="H4" s="273"/>
      <c r="I4" s="123"/>
    </row>
    <row r="5" spans="1:10" ht="19.5" customHeight="1" thickBot="1" x14ac:dyDescent="0.3">
      <c r="A5" s="279" t="s">
        <v>130</v>
      </c>
      <c r="B5" s="280"/>
      <c r="C5" s="280"/>
      <c r="D5" s="280"/>
      <c r="E5" s="280"/>
      <c r="F5" s="280"/>
      <c r="G5" s="280"/>
      <c r="H5" s="281"/>
      <c r="I5" s="124"/>
    </row>
    <row r="6" spans="1:10" ht="19.5" thickBot="1" x14ac:dyDescent="0.3">
      <c r="A6" s="124"/>
      <c r="B6" s="124"/>
      <c r="C6" s="124"/>
      <c r="D6" s="124"/>
      <c r="E6" s="124"/>
      <c r="F6" s="282" t="s">
        <v>131</v>
      </c>
      <c r="G6" s="282"/>
      <c r="H6" s="125">
        <f ca="1">TODAY()</f>
        <v>45663</v>
      </c>
      <c r="I6" s="125"/>
    </row>
    <row r="7" spans="1:10" ht="39" thickBot="1" x14ac:dyDescent="0.3">
      <c r="A7" s="126" t="s">
        <v>132</v>
      </c>
      <c r="B7" s="127" t="s">
        <v>133</v>
      </c>
      <c r="C7" s="127" t="s">
        <v>132</v>
      </c>
      <c r="D7" s="128" t="s">
        <v>134</v>
      </c>
      <c r="E7" s="128" t="s">
        <v>135</v>
      </c>
      <c r="F7" s="128" t="s">
        <v>136</v>
      </c>
      <c r="G7" s="128" t="s">
        <v>137</v>
      </c>
      <c r="H7" s="129" t="s">
        <v>138</v>
      </c>
      <c r="I7" s="130"/>
    </row>
    <row r="8" spans="1:10" ht="13.5" x14ac:dyDescent="0.25">
      <c r="A8" s="131">
        <v>1960</v>
      </c>
      <c r="B8" s="119" t="str">
        <f>IFERROR(VLOOKUP(H8,'[1]Consolidado MP Planta'!$A$2:$M$823,3,0),"")</f>
        <v>QUESO CREMA PANADERO (CAJA: 5 K)</v>
      </c>
      <c r="C8" s="132">
        <f>+A8</f>
        <v>1960</v>
      </c>
      <c r="D8" s="133" t="str">
        <f>IFERROR(VLOOKUP(H8,'[1]Consolidado MP Planta'!$A$2:$M$823,13,0),"")</f>
        <v>Gramos</v>
      </c>
      <c r="E8" s="133">
        <v>3.08</v>
      </c>
      <c r="F8" s="133">
        <f>IFERROR(C8*E8,"")</f>
        <v>6036.8</v>
      </c>
      <c r="G8" s="104">
        <f>IFERROR(F8/$F$72,"")</f>
        <v>0.25664426955225605</v>
      </c>
      <c r="H8" s="134" t="s">
        <v>66</v>
      </c>
      <c r="I8" s="134"/>
      <c r="J8" s="105"/>
    </row>
    <row r="9" spans="1:10" ht="13.5" x14ac:dyDescent="0.25">
      <c r="A9" s="131">
        <v>1560</v>
      </c>
      <c r="B9" s="119" t="str">
        <f>IFERROR(VLOOKUP(H9,'[1]Consolidado MP Planta'!$A$2:$M$823,3,0),"")</f>
        <v>LECHE CONDENSADA (PAQ:11 K)</v>
      </c>
      <c r="C9" s="132">
        <f t="shared" ref="C9:C20" si="0">+A9</f>
        <v>1560</v>
      </c>
      <c r="D9" s="133" t="str">
        <f>IFERROR(VLOOKUP(H9,'[1]Consolidado MP Planta'!$A$2:$M$823,13,0),"")</f>
        <v>Gramos</v>
      </c>
      <c r="E9" s="133">
        <v>2.16</v>
      </c>
      <c r="F9" s="133">
        <f t="shared" ref="F9:F20" si="1">IFERROR(C9*E9,"")</f>
        <v>3369.6000000000004</v>
      </c>
      <c r="G9" s="104">
        <f>IFERROR(F9/$F$72,"")</f>
        <v>0.14325280457912837</v>
      </c>
      <c r="H9" s="134" t="s">
        <v>67</v>
      </c>
      <c r="I9" s="134"/>
      <c r="J9" s="105"/>
    </row>
    <row r="10" spans="1:10" ht="13.5" x14ac:dyDescent="0.25">
      <c r="A10" s="131">
        <v>820</v>
      </c>
      <c r="B10" s="119" t="str">
        <f>IFERROR(VLOOKUP(H10,'[1]Consolidado MP Planta'!$A$2:$M$823,3,0),"")</f>
        <v>LECHE HOMOGENIZ TB 3.5%  (CAJA:12 UND)</v>
      </c>
      <c r="C10" s="132">
        <f t="shared" si="0"/>
        <v>820</v>
      </c>
      <c r="D10" s="133" t="str">
        <f>IFERROR(VLOOKUP(H10,'[1]Consolidado MP Planta'!$A$2:$M$823,13,0),"")</f>
        <v>Mililitros</v>
      </c>
      <c r="E10" s="133">
        <v>0.76</v>
      </c>
      <c r="F10" s="133">
        <f t="shared" si="1"/>
        <v>623.20000000000005</v>
      </c>
      <c r="G10" s="104">
        <f>IFERROR(F10/$F$72,"")</f>
        <v>2.6494286506918565E-2</v>
      </c>
      <c r="H10" s="134" t="s">
        <v>183</v>
      </c>
      <c r="I10" s="134"/>
      <c r="J10" s="105"/>
    </row>
    <row r="11" spans="1:10" ht="13.5" x14ac:dyDescent="0.25">
      <c r="A11" s="131">
        <v>295</v>
      </c>
      <c r="B11" s="119" t="str">
        <f>IFERROR(VLOOKUP(H11,'[1]Consolidado MP Planta'!$A$2:$M$823,3,0),"")</f>
        <v>AZUCAR GLASS MOLIDA (PAQ: 4 K)</v>
      </c>
      <c r="C11" s="132">
        <f t="shared" ref="C11:C16" si="2">+A11</f>
        <v>295</v>
      </c>
      <c r="D11" s="133" t="str">
        <f>IFERROR(VLOOKUP(H11,'[1]Consolidado MP Planta'!$A$2:$M$823,13,0),"")</f>
        <v>Gramos</v>
      </c>
      <c r="E11" s="133">
        <v>1.72</v>
      </c>
      <c r="F11" s="133">
        <f t="shared" ref="F11:F16" si="3">IFERROR(C11*E11,"")</f>
        <v>507.4</v>
      </c>
      <c r="G11" s="104">
        <f t="shared" ref="G11:G16" si="4">IFERROR(F11/$F$72,"")</f>
        <v>2.1571246748412192E-2</v>
      </c>
      <c r="H11" s="134" t="s">
        <v>70</v>
      </c>
      <c r="I11" s="134"/>
      <c r="J11" s="105"/>
    </row>
    <row r="12" spans="1:10" ht="13.5" x14ac:dyDescent="0.25">
      <c r="A12" s="131">
        <v>100</v>
      </c>
      <c r="B12" s="119" t="str">
        <f>IFERROR(VLOOKUP(H12,'[1]Consolidado MP Planta'!$A$2:$M$823,3,0),"")</f>
        <v>GELATINA PURA  (PAQ:1 k)</v>
      </c>
      <c r="C12" s="132">
        <f t="shared" si="2"/>
        <v>100</v>
      </c>
      <c r="D12" s="133" t="str">
        <f>IFERROR(VLOOKUP(H12,'[1]Consolidado MP Planta'!$A$2:$M$823,13,0),"")</f>
        <v>Gramos</v>
      </c>
      <c r="E12" s="133">
        <v>12.86</v>
      </c>
      <c r="F12" s="133">
        <f t="shared" si="3"/>
        <v>1286</v>
      </c>
      <c r="G12" s="104">
        <f t="shared" si="4"/>
        <v>5.4672099563378158E-2</v>
      </c>
      <c r="H12" s="134" t="s">
        <v>71</v>
      </c>
      <c r="I12" s="134"/>
      <c r="J12" s="105"/>
    </row>
    <row r="13" spans="1:10" ht="13.5" x14ac:dyDescent="0.25">
      <c r="A13" s="131">
        <v>600</v>
      </c>
      <c r="B13" s="119" t="str">
        <f>IFERROR(VLOOKUP(H13,'[1]Consolidado MP Planta'!$A$2:$M$823,3,0),"")</f>
        <v>AGUA PLANTA</v>
      </c>
      <c r="C13" s="132">
        <f t="shared" si="2"/>
        <v>600</v>
      </c>
      <c r="D13" s="133" t="str">
        <f>IFERROR(VLOOKUP(H13,'[1]Consolidado MP Planta'!$A$2:$M$823,13,0),"")</f>
        <v>Mililitros</v>
      </c>
      <c r="E13" s="133">
        <f>IFERROR(VLOOKUP(H13,'[1]Consolidado MP Planta'!$A$2:$M$823,12,0),"")</f>
        <v>0.1</v>
      </c>
      <c r="F13" s="133">
        <f t="shared" si="3"/>
        <v>60</v>
      </c>
      <c r="G13" s="104">
        <f t="shared" si="4"/>
        <v>2.5507978023349065E-3</v>
      </c>
      <c r="H13" s="134" t="s">
        <v>72</v>
      </c>
      <c r="I13" s="134"/>
      <c r="J13" s="105"/>
    </row>
    <row r="14" spans="1:10" ht="13.5" x14ac:dyDescent="0.25">
      <c r="A14" s="131">
        <v>100</v>
      </c>
      <c r="B14" s="119" t="str">
        <f>IFERROR(VLOOKUP(H14,'[1]Consolidado MP Planta'!$A$2:$M$823,3,0),"")</f>
        <v xml:space="preserve">TRIPLE SEC </v>
      </c>
      <c r="C14" s="132">
        <f t="shared" si="2"/>
        <v>100</v>
      </c>
      <c r="D14" s="133" t="str">
        <f>IFERROR(VLOOKUP(H14,'[1]Consolidado MP Planta'!$A$2:$M$823,13,0),"")</f>
        <v>Mililitros</v>
      </c>
      <c r="E14" s="133">
        <v>7.47</v>
      </c>
      <c r="F14" s="133">
        <f t="shared" si="3"/>
        <v>747</v>
      </c>
      <c r="G14" s="104">
        <f t="shared" si="4"/>
        <v>3.1757432639069584E-2</v>
      </c>
      <c r="H14" s="134" t="s">
        <v>73</v>
      </c>
      <c r="I14" s="134"/>
      <c r="J14" s="105"/>
    </row>
    <row r="15" spans="1:10" ht="13.5" x14ac:dyDescent="0.25">
      <c r="A15" s="131">
        <v>18</v>
      </c>
      <c r="B15" s="119" t="str">
        <f>IFERROR(VLOOKUP(H15,'[1]Consolidado MP Planta'!$A$2:$M$823,3,0),"")</f>
        <v>PRESERVANTE 1047S (PAQ=5 KILO)</v>
      </c>
      <c r="C15" s="132">
        <f t="shared" si="2"/>
        <v>18</v>
      </c>
      <c r="D15" s="133" t="str">
        <f>IFERROR(VLOOKUP(H15,'[1]Consolidado MP Planta'!$A$2:$M$823,13,0),"")</f>
        <v>Gramos</v>
      </c>
      <c r="E15" s="133">
        <v>7.88</v>
      </c>
      <c r="F15" s="133">
        <f t="shared" si="3"/>
        <v>141.84</v>
      </c>
      <c r="G15" s="104">
        <f t="shared" si="4"/>
        <v>6.030086004719719E-3</v>
      </c>
      <c r="H15" s="134" t="s">
        <v>74</v>
      </c>
      <c r="I15" s="134"/>
      <c r="J15" s="105"/>
    </row>
    <row r="16" spans="1:10" ht="13.5" x14ac:dyDescent="0.25">
      <c r="A16" s="131">
        <v>1850</v>
      </c>
      <c r="B16" s="119" t="s">
        <v>184</v>
      </c>
      <c r="C16" s="132">
        <f t="shared" si="2"/>
        <v>1850</v>
      </c>
      <c r="D16" s="133" t="s">
        <v>178</v>
      </c>
      <c r="E16" s="133">
        <v>2.56</v>
      </c>
      <c r="F16" s="133">
        <f t="shared" si="3"/>
        <v>4736</v>
      </c>
      <c r="G16" s="104">
        <f t="shared" si="4"/>
        <v>0.20134297319763528</v>
      </c>
      <c r="H16" s="134" t="s">
        <v>182</v>
      </c>
      <c r="I16" s="134"/>
      <c r="J16" s="105"/>
    </row>
    <row r="17" spans="1:10" ht="13.5" hidden="1" x14ac:dyDescent="0.25">
      <c r="A17" s="131"/>
      <c r="B17" s="119" t="str">
        <f>IFERROR(VLOOKUP(H17,'[1]Consolidado MP Planta'!$A$2:$M$823,3,0),"")</f>
        <v/>
      </c>
      <c r="C17" s="132">
        <f t="shared" si="0"/>
        <v>0</v>
      </c>
      <c r="D17" s="133" t="str">
        <f>IFERROR(VLOOKUP(H17,'[1]Consolidado MP Planta'!$A$2:$M$823,13,0),"")</f>
        <v/>
      </c>
      <c r="E17" s="133" t="str">
        <f>IFERROR(VLOOKUP(H17,'[1]Consolidado MP Planta'!$A$2:$M$823,12,0),"")</f>
        <v/>
      </c>
      <c r="F17" s="133" t="str">
        <f t="shared" si="1"/>
        <v/>
      </c>
      <c r="G17" s="104" t="str">
        <f>IFERROR(F17/$F$72,"")</f>
        <v/>
      </c>
      <c r="H17" s="134"/>
      <c r="I17" s="134"/>
      <c r="J17" s="105"/>
    </row>
    <row r="18" spans="1:10" ht="13.5" hidden="1" x14ac:dyDescent="0.25">
      <c r="A18" s="131"/>
      <c r="B18" s="119" t="str">
        <f>IFERROR(VLOOKUP(H18,'[1]Consolidado MP Planta'!$A$2:$M$823,3,0),"")</f>
        <v/>
      </c>
      <c r="C18" s="132">
        <f t="shared" si="0"/>
        <v>0</v>
      </c>
      <c r="D18" s="133" t="str">
        <f>IFERROR(VLOOKUP(H18,'[1]Consolidado MP Planta'!$A$2:$M$823,13,0),"")</f>
        <v/>
      </c>
      <c r="E18" s="133" t="str">
        <f>IFERROR(VLOOKUP(H18,'[1]Consolidado MP Planta'!$A$2:$M$823,12,0),"")</f>
        <v/>
      </c>
      <c r="F18" s="133" t="str">
        <f t="shared" si="1"/>
        <v/>
      </c>
      <c r="G18" s="104" t="str">
        <f>IFERROR(F18/$F$72,"")</f>
        <v/>
      </c>
      <c r="H18" s="134"/>
      <c r="I18" s="134"/>
      <c r="J18" s="105"/>
    </row>
    <row r="19" spans="1:10" ht="13.5" hidden="1" x14ac:dyDescent="0.25">
      <c r="A19" s="131"/>
      <c r="B19" s="119" t="str">
        <f>IFERROR(VLOOKUP(H19,'[1]Consolidado MP Planta'!$A$2:$M$823,3,0),"")</f>
        <v/>
      </c>
      <c r="C19" s="132">
        <f t="shared" si="0"/>
        <v>0</v>
      </c>
      <c r="D19" s="133" t="str">
        <f>IFERROR(VLOOKUP(H19,'[1]Consolidado MP Planta'!$A$2:$M$823,13,0),"")</f>
        <v/>
      </c>
      <c r="E19" s="133" t="str">
        <f>IFERROR(VLOOKUP(H19,'[1]Consolidado MP Planta'!$A$2:$M$823,12,0),"")</f>
        <v/>
      </c>
      <c r="F19" s="133" t="str">
        <f t="shared" si="1"/>
        <v/>
      </c>
      <c r="G19" s="104" t="str">
        <f>IFERROR(F19/$F$72,"")</f>
        <v/>
      </c>
      <c r="H19" s="134"/>
      <c r="I19" s="134"/>
      <c r="J19" s="105"/>
    </row>
    <row r="20" spans="1:10" ht="13.5" hidden="1" x14ac:dyDescent="0.25">
      <c r="A20" s="131"/>
      <c r="B20" s="119" t="str">
        <f>IFERROR(VLOOKUP(H20,'[1]Consolidado MP Planta'!$A$2:$M$823,3,0),"")</f>
        <v/>
      </c>
      <c r="C20" s="132">
        <f t="shared" si="0"/>
        <v>0</v>
      </c>
      <c r="D20" s="133" t="str">
        <f>IFERROR(VLOOKUP(H20,'[1]Consolidado MP Planta'!$A$2:$M$823,13,0),"")</f>
        <v/>
      </c>
      <c r="E20" s="133" t="str">
        <f>IFERROR(VLOOKUP(H20,'[1]Consolidado MP Planta'!$A$2:$M$823,12,0),"")</f>
        <v/>
      </c>
      <c r="F20" s="133" t="str">
        <f t="shared" si="1"/>
        <v/>
      </c>
      <c r="G20" s="104" t="str">
        <f>IFERROR(F20/$F$72,"")</f>
        <v/>
      </c>
      <c r="H20" s="134"/>
      <c r="I20" s="134"/>
      <c r="J20" s="105"/>
    </row>
    <row r="21" spans="1:10" ht="14.25" thickBot="1" x14ac:dyDescent="0.3">
      <c r="A21" s="131"/>
      <c r="B21" s="119" t="str">
        <f>IFERROR(VLOOKUP(H21,'[2]ARTICULOS MP PLANTA'!$A$2:$G$589,2,0),"")</f>
        <v/>
      </c>
      <c r="C21" s="132"/>
      <c r="D21" s="133"/>
      <c r="E21" s="133"/>
      <c r="F21" s="133"/>
      <c r="G21" s="104"/>
      <c r="H21" s="134"/>
      <c r="I21" s="134"/>
      <c r="J21" s="105"/>
    </row>
    <row r="22" spans="1:10" ht="39" thickBot="1" x14ac:dyDescent="0.3">
      <c r="A22" s="126" t="s">
        <v>132</v>
      </c>
      <c r="B22" s="127" t="s">
        <v>139</v>
      </c>
      <c r="C22" s="127" t="s">
        <v>132</v>
      </c>
      <c r="D22" s="128" t="s">
        <v>134</v>
      </c>
      <c r="E22" s="128" t="s">
        <v>135</v>
      </c>
      <c r="F22" s="128" t="s">
        <v>136</v>
      </c>
      <c r="G22" s="128" t="s">
        <v>137</v>
      </c>
      <c r="H22" s="129" t="s">
        <v>138</v>
      </c>
      <c r="I22" s="130"/>
      <c r="J22" s="105"/>
    </row>
    <row r="23" spans="1:10" ht="13.5" x14ac:dyDescent="0.25">
      <c r="A23" s="131">
        <v>2000</v>
      </c>
      <c r="B23" s="119" t="str">
        <f>IFERROR(VLOOKUP(H23,[1]SEMIELABORADOS!$A$2:$M$6000,2,0),"")</f>
        <v>CREMA CHANTILLY BLANCA SPOON-IND KILO</v>
      </c>
      <c r="C23" s="132">
        <f>+A23</f>
        <v>2000</v>
      </c>
      <c r="D23" s="132" t="str">
        <f>IFERROR(VLOOKUP(H23,[1]SEMIELABORADOS!$A$2:$M$6000,6,0),"")</f>
        <v>Gramo</v>
      </c>
      <c r="E23" s="133">
        <v>2.35</v>
      </c>
      <c r="F23" s="133">
        <f>IFERROR(E23*C23,"")</f>
        <v>4700</v>
      </c>
      <c r="G23" s="104">
        <f t="shared" ref="G23:G30" si="5">IFERROR(F23/$F$72,"")</f>
        <v>0.19981249451623434</v>
      </c>
      <c r="H23" s="134" t="s">
        <v>75</v>
      </c>
      <c r="I23" s="134"/>
      <c r="J23" s="105"/>
    </row>
    <row r="24" spans="1:10" ht="13.5" hidden="1" x14ac:dyDescent="0.25">
      <c r="A24" s="131"/>
      <c r="B24" s="119" t="str">
        <f>IFERROR(VLOOKUP(H24,[1]SEMIELABORADOS!$A$2:$M$6000,2,0),"")</f>
        <v/>
      </c>
      <c r="C24" s="132">
        <f t="shared" ref="C24:C30" si="6">+A24</f>
        <v>0</v>
      </c>
      <c r="D24" s="132" t="str">
        <f>IFERROR(VLOOKUP(H24,[1]SEMIELABORADOS!$A$2:$M$6000,6,0),"")</f>
        <v/>
      </c>
      <c r="E24" s="133" t="str">
        <f>IFERROR(VLOOKUP(H24,[1]SEMIELABORADOS!$A$2:$H$65536,8,0),"")</f>
        <v/>
      </c>
      <c r="F24" s="133" t="str">
        <f t="shared" ref="F24:F30" si="7">IFERROR(E24*C24,"")</f>
        <v/>
      </c>
      <c r="G24" s="104" t="str">
        <f t="shared" si="5"/>
        <v/>
      </c>
      <c r="H24" s="134"/>
      <c r="I24" s="134"/>
      <c r="J24" s="105"/>
    </row>
    <row r="25" spans="1:10" ht="13.5" hidden="1" x14ac:dyDescent="0.25">
      <c r="A25" s="131"/>
      <c r="B25" s="119" t="str">
        <f>IFERROR(VLOOKUP(H25,[1]SEMIELABORADOS!$A$2:$M$6000,2,0),"")</f>
        <v/>
      </c>
      <c r="C25" s="132">
        <f>+A25</f>
        <v>0</v>
      </c>
      <c r="D25" s="132" t="str">
        <f>IFERROR(VLOOKUP(H25,[1]SEMIELABORADOS!$A$2:$M$6000,6,0),"")</f>
        <v/>
      </c>
      <c r="E25" s="133" t="str">
        <f>IFERROR(VLOOKUP(H25,[1]SEMIELABORADOS!$A$2:$H$65536,8,0),"")</f>
        <v/>
      </c>
      <c r="F25" s="133" t="str">
        <f>IFERROR(E25*C25,"")</f>
        <v/>
      </c>
      <c r="G25" s="104" t="str">
        <f t="shared" si="5"/>
        <v/>
      </c>
      <c r="H25" s="134"/>
      <c r="I25" s="134"/>
      <c r="J25" s="105"/>
    </row>
    <row r="26" spans="1:10" ht="13.5" hidden="1" x14ac:dyDescent="0.25">
      <c r="A26" s="131"/>
      <c r="B26" s="119" t="str">
        <f>IFERROR(VLOOKUP(H26,[1]SEMIELABORADOS!$A$2:$M$6000,2,0),"")</f>
        <v/>
      </c>
      <c r="C26" s="132">
        <f>+A26</f>
        <v>0</v>
      </c>
      <c r="D26" s="132" t="str">
        <f>IFERROR(VLOOKUP(H26,[1]SEMIELABORADOS!$A$2:$M$6000,6,0),"")</f>
        <v/>
      </c>
      <c r="E26" s="133" t="str">
        <f>IFERROR(VLOOKUP(H26,[1]SEMIELABORADOS!$A$2:$H$65536,8,0),"")</f>
        <v/>
      </c>
      <c r="F26" s="133" t="str">
        <f>IFERROR(E26*C26,"")</f>
        <v/>
      </c>
      <c r="G26" s="104" t="str">
        <f t="shared" si="5"/>
        <v/>
      </c>
      <c r="H26" s="134"/>
      <c r="I26" s="134"/>
      <c r="J26" s="105"/>
    </row>
    <row r="27" spans="1:10" ht="13.5" hidden="1" x14ac:dyDescent="0.25">
      <c r="A27" s="131"/>
      <c r="B27" s="119" t="str">
        <f>IFERROR(VLOOKUP(H27,[1]SEMIELABORADOS!$A$2:$M$6000,2,0),"")</f>
        <v/>
      </c>
      <c r="C27" s="132">
        <f>+A27</f>
        <v>0</v>
      </c>
      <c r="D27" s="132" t="str">
        <f>IFERROR(VLOOKUP(H27,[1]SEMIELABORADOS!$A$2:$M$6000,6,0),"")</f>
        <v/>
      </c>
      <c r="E27" s="133" t="str">
        <f>IFERROR(VLOOKUP(H27,[1]SEMIELABORADOS!$A$2:$H$65536,8,0),"")</f>
        <v/>
      </c>
      <c r="F27" s="133" t="str">
        <f>IFERROR(E27*C27,"")</f>
        <v/>
      </c>
      <c r="G27" s="104" t="str">
        <f t="shared" si="5"/>
        <v/>
      </c>
      <c r="H27" s="134"/>
      <c r="I27" s="134"/>
      <c r="J27" s="105"/>
    </row>
    <row r="28" spans="1:10" ht="13.5" hidden="1" x14ac:dyDescent="0.25">
      <c r="A28" s="131"/>
      <c r="B28" s="119" t="str">
        <f>IFERROR(VLOOKUP(H28,[1]SEMIELABORADOS!$A$2:$M$6000,2,0),"")</f>
        <v/>
      </c>
      <c r="C28" s="132">
        <f t="shared" si="6"/>
        <v>0</v>
      </c>
      <c r="D28" s="132" t="str">
        <f>IFERROR(VLOOKUP(H28,[1]SEMIELABORADOS!$A$2:$M$6000,6,0),"")</f>
        <v/>
      </c>
      <c r="E28" s="133" t="str">
        <f>IFERROR(VLOOKUP(H28,[1]SEMIELABORADOS!$A$2:$H$65536,8,0),"")</f>
        <v/>
      </c>
      <c r="F28" s="133" t="str">
        <f t="shared" si="7"/>
        <v/>
      </c>
      <c r="G28" s="104" t="str">
        <f t="shared" si="5"/>
        <v/>
      </c>
      <c r="H28" s="134"/>
      <c r="I28" s="134"/>
      <c r="J28" s="105"/>
    </row>
    <row r="29" spans="1:10" ht="13.5" hidden="1" x14ac:dyDescent="0.25">
      <c r="A29" s="131"/>
      <c r="B29" s="119" t="str">
        <f>IFERROR(VLOOKUP(H29,[1]SEMIELABORADOS!$A$2:$M$6000,2,0),"")</f>
        <v/>
      </c>
      <c r="C29" s="132">
        <f t="shared" si="6"/>
        <v>0</v>
      </c>
      <c r="D29" s="132" t="str">
        <f>IFERROR(VLOOKUP(H29,[1]SEMIELABORADOS!$A$2:$M$6000,6,0),"")</f>
        <v/>
      </c>
      <c r="E29" s="133" t="str">
        <f>IFERROR(VLOOKUP(H29,[1]SEMIELABORADOS!$A$2:$H$65536,8,0),"")</f>
        <v/>
      </c>
      <c r="F29" s="133" t="str">
        <f t="shared" si="7"/>
        <v/>
      </c>
      <c r="G29" s="104" t="str">
        <f t="shared" si="5"/>
        <v/>
      </c>
      <c r="H29" s="134"/>
      <c r="I29" s="134"/>
      <c r="J29" s="105"/>
    </row>
    <row r="30" spans="1:10" ht="13.5" hidden="1" x14ac:dyDescent="0.25">
      <c r="A30" s="131"/>
      <c r="B30" s="119" t="str">
        <f>IFERROR(VLOOKUP(H30,[1]SEMIELABORADOS!$A$2:$M$6000,2,0),"")</f>
        <v/>
      </c>
      <c r="C30" s="132">
        <f t="shared" si="6"/>
        <v>0</v>
      </c>
      <c r="D30" s="132" t="str">
        <f>IFERROR(VLOOKUP(H30,[1]SEMIELABORADOS!$A$2:$M$6000,6,0),"")</f>
        <v/>
      </c>
      <c r="E30" s="133" t="str">
        <f>IFERROR(VLOOKUP(H30,[1]SEMIELABORADOS!$A$2:$H$65536,8,0),"")</f>
        <v/>
      </c>
      <c r="F30" s="133" t="str">
        <f t="shared" si="7"/>
        <v/>
      </c>
      <c r="G30" s="104" t="str">
        <f t="shared" si="5"/>
        <v/>
      </c>
      <c r="H30" s="134"/>
      <c r="I30" s="134"/>
      <c r="J30" s="105"/>
    </row>
    <row r="31" spans="1:10" ht="14.25" thickBot="1" x14ac:dyDescent="0.3">
      <c r="A31" s="131"/>
      <c r="C31" s="132"/>
      <c r="D31" s="132"/>
      <c r="E31" s="133"/>
      <c r="F31" s="133"/>
      <c r="G31" s="104"/>
      <c r="H31" s="134"/>
      <c r="I31" s="134"/>
      <c r="J31" s="105"/>
    </row>
    <row r="32" spans="1:10" ht="39" hidden="1" thickBot="1" x14ac:dyDescent="0.3">
      <c r="A32" s="126" t="s">
        <v>132</v>
      </c>
      <c r="B32" s="127" t="s">
        <v>63</v>
      </c>
      <c r="C32" s="127" t="s">
        <v>132</v>
      </c>
      <c r="D32" s="128" t="s">
        <v>134</v>
      </c>
      <c r="E32" s="128" t="s">
        <v>135</v>
      </c>
      <c r="F32" s="128" t="s">
        <v>136</v>
      </c>
      <c r="G32" s="128" t="s">
        <v>137</v>
      </c>
      <c r="H32" s="129" t="s">
        <v>138</v>
      </c>
      <c r="I32" s="130"/>
    </row>
    <row r="33" spans="1:12" ht="13.5" hidden="1" x14ac:dyDescent="0.25">
      <c r="A33" s="131">
        <v>0</v>
      </c>
      <c r="B33" s="135" t="str">
        <f>IFERROR(VLOOKUP(H33,'[1]Consolidado MP Planta'!$A$2:$M$823,3,0),"")</f>
        <v/>
      </c>
      <c r="C33" s="132">
        <f t="shared" ref="C33:C38" si="8">+A33</f>
        <v>0</v>
      </c>
      <c r="D33" s="133" t="str">
        <f>IFERROR(VLOOKUP(H33,'[1]Consolidado MP Planta'!$A$2:$M$823,13,0),"")</f>
        <v/>
      </c>
      <c r="E33" s="133" t="str">
        <f>IFERROR(VLOOKUP(H33,'[1]Consolidado MP Planta'!$A$2:$M$823,12,0),"")</f>
        <v/>
      </c>
      <c r="F33" s="133" t="str">
        <f t="shared" ref="F33:F38" si="9">IFERROR(C33*E33,"")</f>
        <v/>
      </c>
      <c r="G33" s="104" t="str">
        <f t="shared" ref="G33:G38" si="10">IFERROR(F33/$F$72,"")</f>
        <v/>
      </c>
      <c r="H33" s="136"/>
      <c r="I33" s="136"/>
      <c r="J33" s="105"/>
      <c r="K33" s="274"/>
      <c r="L33" s="274"/>
    </row>
    <row r="34" spans="1:12" ht="13.5" hidden="1" x14ac:dyDescent="0.25">
      <c r="A34" s="131"/>
      <c r="B34" s="135" t="str">
        <f>IFERROR(VLOOKUP(H34,'[1]Consolidado MP Planta'!$A$2:$M$823,3,0),"")</f>
        <v/>
      </c>
      <c r="C34" s="132">
        <f t="shared" si="8"/>
        <v>0</v>
      </c>
      <c r="D34" s="133" t="str">
        <f>IFERROR(VLOOKUP(H34,'[1]Consolidado MP Planta'!$A$2:$M$823,13,0),"")</f>
        <v/>
      </c>
      <c r="E34" s="133" t="str">
        <f>IFERROR(VLOOKUP(H34,'[1]Consolidado MP Planta'!$A$2:$M$823,12,0),"")</f>
        <v/>
      </c>
      <c r="F34" s="133" t="str">
        <f t="shared" si="9"/>
        <v/>
      </c>
      <c r="G34" s="104" t="str">
        <f t="shared" si="10"/>
        <v/>
      </c>
      <c r="H34" s="136"/>
      <c r="I34" s="136"/>
      <c r="J34" s="105"/>
      <c r="K34" s="274"/>
      <c r="L34" s="274"/>
    </row>
    <row r="35" spans="1:12" ht="13.5" hidden="1" x14ac:dyDescent="0.25">
      <c r="A35" s="131"/>
      <c r="B35" s="135" t="str">
        <f>IFERROR(VLOOKUP(H35,'[1]Consolidado MP Planta'!$A$2:$M$823,3,0),"")</f>
        <v/>
      </c>
      <c r="C35" s="132">
        <f t="shared" si="8"/>
        <v>0</v>
      </c>
      <c r="D35" s="133" t="str">
        <f>IFERROR(VLOOKUP(H35,'[1]Consolidado MP Planta'!$A$2:$M$823,13,0),"")</f>
        <v/>
      </c>
      <c r="E35" s="133" t="str">
        <f>IFERROR(VLOOKUP(H35,'[1]Consolidado MP Planta'!$A$2:$M$823,12,0),"")</f>
        <v/>
      </c>
      <c r="F35" s="133" t="str">
        <f t="shared" si="9"/>
        <v/>
      </c>
      <c r="G35" s="104" t="str">
        <f t="shared" si="10"/>
        <v/>
      </c>
      <c r="H35" s="136"/>
      <c r="I35" s="136"/>
      <c r="J35" s="105"/>
      <c r="K35" s="274"/>
      <c r="L35" s="274"/>
    </row>
    <row r="36" spans="1:12" ht="13.5" hidden="1" x14ac:dyDescent="0.25">
      <c r="A36" s="131"/>
      <c r="B36" s="135" t="str">
        <f>IFERROR(VLOOKUP(H36,'[1]Consolidado MP Planta'!$A$2:$M$823,3,0),"")</f>
        <v/>
      </c>
      <c r="C36" s="132">
        <f t="shared" si="8"/>
        <v>0</v>
      </c>
      <c r="D36" s="133" t="str">
        <f>IFERROR(VLOOKUP(H36,'[1]Consolidado MP Planta'!$A$2:$M$823,13,0),"")</f>
        <v/>
      </c>
      <c r="E36" s="133" t="str">
        <f>IFERROR(VLOOKUP(H36,'[1]Consolidado MP Planta'!$A$2:$M$823,12,0),"")</f>
        <v/>
      </c>
      <c r="F36" s="133" t="str">
        <f t="shared" si="9"/>
        <v/>
      </c>
      <c r="G36" s="104" t="str">
        <f t="shared" si="10"/>
        <v/>
      </c>
      <c r="H36" s="136"/>
      <c r="I36" s="136"/>
      <c r="J36" s="105"/>
      <c r="K36" s="274"/>
      <c r="L36" s="274"/>
    </row>
    <row r="37" spans="1:12" ht="13.5" hidden="1" x14ac:dyDescent="0.25">
      <c r="A37" s="131"/>
      <c r="B37" s="135" t="str">
        <f>IFERROR(VLOOKUP(H37,'[1]Consolidado MP Planta'!$A$2:$M$823,3,0),"")</f>
        <v/>
      </c>
      <c r="C37" s="132">
        <f t="shared" si="8"/>
        <v>0</v>
      </c>
      <c r="D37" s="133" t="str">
        <f>IFERROR(VLOOKUP(H37,'[1]Consolidado MP Planta'!$A$2:$M$823,13,0),"")</f>
        <v/>
      </c>
      <c r="E37" s="133" t="str">
        <f>IFERROR(VLOOKUP(H37,'[1]Consolidado MP Planta'!$A$2:$M$823,12,0),"")</f>
        <v/>
      </c>
      <c r="F37" s="133" t="str">
        <f t="shared" si="9"/>
        <v/>
      </c>
      <c r="G37" s="104" t="str">
        <f t="shared" si="10"/>
        <v/>
      </c>
      <c r="H37" s="136"/>
      <c r="I37" s="136"/>
      <c r="J37" s="105"/>
      <c r="K37" s="137"/>
      <c r="L37" s="138"/>
    </row>
    <row r="38" spans="1:12" ht="13.5" hidden="1" x14ac:dyDescent="0.25">
      <c r="A38" s="131"/>
      <c r="B38" s="135" t="str">
        <f>IFERROR(VLOOKUP(H38,'[1]Consolidado MP Planta'!$A$2:$M$823,3,0),"")</f>
        <v/>
      </c>
      <c r="C38" s="132">
        <f t="shared" si="8"/>
        <v>0</v>
      </c>
      <c r="D38" s="133" t="str">
        <f>IFERROR(VLOOKUP(H38,'[1]Consolidado MP Planta'!$A$2:$M$823,13,0),"")</f>
        <v/>
      </c>
      <c r="E38" s="133" t="str">
        <f>IFERROR(VLOOKUP(H38,'[1]Consolidado MP Planta'!$A$2:$M$823,12,0),"")</f>
        <v/>
      </c>
      <c r="F38" s="133" t="str">
        <f t="shared" si="9"/>
        <v/>
      </c>
      <c r="G38" s="104" t="str">
        <f t="shared" si="10"/>
        <v/>
      </c>
      <c r="H38" s="136"/>
      <c r="I38" s="136"/>
      <c r="J38" s="105"/>
    </row>
    <row r="39" spans="1:12" ht="14.25" hidden="1" thickBot="1" x14ac:dyDescent="0.3">
      <c r="A39" s="131"/>
      <c r="B39" s="135"/>
      <c r="C39" s="132"/>
      <c r="D39" s="133"/>
      <c r="E39" s="133"/>
      <c r="F39" s="133"/>
      <c r="G39" s="104"/>
      <c r="H39" s="136"/>
      <c r="I39" s="136"/>
      <c r="J39" s="105"/>
    </row>
    <row r="40" spans="1:12" ht="39" thickBot="1" x14ac:dyDescent="0.25">
      <c r="A40" s="126" t="s">
        <v>132</v>
      </c>
      <c r="B40" s="127" t="s">
        <v>140</v>
      </c>
      <c r="C40" s="127" t="s">
        <v>132</v>
      </c>
      <c r="D40" s="128" t="s">
        <v>134</v>
      </c>
      <c r="E40" s="128" t="s">
        <v>135</v>
      </c>
      <c r="F40" s="128" t="s">
        <v>136</v>
      </c>
      <c r="G40" s="128" t="s">
        <v>137</v>
      </c>
      <c r="H40" s="129" t="s">
        <v>138</v>
      </c>
      <c r="I40" s="136"/>
      <c r="J40" s="105"/>
    </row>
    <row r="41" spans="1:12" ht="13.5" x14ac:dyDescent="0.25">
      <c r="A41" s="131">
        <f>+A23</f>
        <v>2000</v>
      </c>
      <c r="B41" s="135" t="str">
        <f>IFERROR(VLOOKUP(H41,[1]SEMIELABORADOS!$A$2:$M$6000,2,0),"")</f>
        <v>CREMA CHANTILLY BLANCA SPOON-IND KILO</v>
      </c>
      <c r="C41" s="132">
        <f>+A41</f>
        <v>2000</v>
      </c>
      <c r="D41" s="133" t="str">
        <f>IFERROR(VLOOKUP(H41,[1]SEMIELABORADOS!$A$2:$M$6000,6,0),"")</f>
        <v>Gramo</v>
      </c>
      <c r="E41" s="133">
        <f>IFERROR(VLOOKUP(H41,[1]SEMIELABORADOS!$A$2:$M$65536,10,0),"")</f>
        <v>2.7884615384615379E-5</v>
      </c>
      <c r="F41" s="133">
        <f>IFERROR(E41*C41,"")</f>
        <v>5.5769230769230758E-2</v>
      </c>
      <c r="G41" s="104">
        <f t="shared" ref="G41:G47" si="11">IFERROR(F41/$F$72,"")</f>
        <v>2.3709338547343676E-6</v>
      </c>
      <c r="H41" s="136" t="s">
        <v>75</v>
      </c>
      <c r="I41" s="136"/>
      <c r="J41" s="105"/>
    </row>
    <row r="42" spans="1:12" ht="13.5" hidden="1" x14ac:dyDescent="0.25">
      <c r="A42" s="131">
        <f t="shared" ref="A42:A47" si="12">+A24</f>
        <v>0</v>
      </c>
      <c r="B42" s="135" t="str">
        <f>IFERROR(VLOOKUP(H42,[1]SEMIELABORADOS!$A$2:$M$6000,2,0),"")</f>
        <v/>
      </c>
      <c r="C42" s="132">
        <f t="shared" ref="C42:C47" si="13">+A42</f>
        <v>0</v>
      </c>
      <c r="D42" s="133" t="str">
        <f>IFERROR(VLOOKUP(H42,[1]SEMIELABORADOS!$A$2:$M$6000,6,0),"")</f>
        <v/>
      </c>
      <c r="E42" s="133" t="str">
        <f>IFERROR(VLOOKUP(H42,[1]SEMIELABORADOS!$A$2:$M$65536,10,0),"")</f>
        <v/>
      </c>
      <c r="F42" s="133" t="str">
        <f t="shared" ref="F42:F47" si="14">IFERROR(E42*C42,"")</f>
        <v/>
      </c>
      <c r="G42" s="104" t="str">
        <f t="shared" si="11"/>
        <v/>
      </c>
      <c r="H42" s="136"/>
      <c r="I42" s="136"/>
      <c r="J42" s="105"/>
    </row>
    <row r="43" spans="1:12" ht="13.5" hidden="1" x14ac:dyDescent="0.25">
      <c r="A43" s="131">
        <f t="shared" si="12"/>
        <v>0</v>
      </c>
      <c r="B43" s="135" t="str">
        <f>IFERROR(VLOOKUP(H43,[1]SEMIELABORADOS!$A$2:$M$6000,2,0),"")</f>
        <v/>
      </c>
      <c r="C43" s="132">
        <f t="shared" si="13"/>
        <v>0</v>
      </c>
      <c r="D43" s="133" t="str">
        <f>IFERROR(VLOOKUP(H43,[1]SEMIELABORADOS!$A$2:$M$6000,6,0),"")</f>
        <v/>
      </c>
      <c r="E43" s="133" t="str">
        <f>IFERROR(VLOOKUP(H43,[1]SEMIELABORADOS!$A$2:$M$65536,10,0),"")</f>
        <v/>
      </c>
      <c r="F43" s="133" t="str">
        <f t="shared" si="14"/>
        <v/>
      </c>
      <c r="G43" s="104" t="str">
        <f t="shared" si="11"/>
        <v/>
      </c>
      <c r="H43" s="136"/>
      <c r="I43" s="136"/>
      <c r="J43" s="105"/>
    </row>
    <row r="44" spans="1:12" ht="13.5" hidden="1" x14ac:dyDescent="0.25">
      <c r="A44" s="131">
        <f t="shared" si="12"/>
        <v>0</v>
      </c>
      <c r="B44" s="135" t="str">
        <f>IFERROR(VLOOKUP(H44,[1]SEMIELABORADOS!$A$2:$M$6000,2,0),"")</f>
        <v/>
      </c>
      <c r="C44" s="132">
        <f>+A44</f>
        <v>0</v>
      </c>
      <c r="D44" s="133" t="str">
        <f>IFERROR(VLOOKUP(H44,[1]SEMIELABORADOS!$A$2:$M$6000,6,0),"")</f>
        <v/>
      </c>
      <c r="E44" s="133" t="str">
        <f>IFERROR(VLOOKUP(H44,[1]SEMIELABORADOS!$A$2:$M$65536,10,0),"")</f>
        <v/>
      </c>
      <c r="F44" s="133" t="str">
        <f>IFERROR(E44*C44,"")</f>
        <v/>
      </c>
      <c r="G44" s="104" t="str">
        <f t="shared" si="11"/>
        <v/>
      </c>
      <c r="H44" s="136"/>
      <c r="I44" s="136"/>
      <c r="J44" s="105"/>
    </row>
    <row r="45" spans="1:12" ht="13.5" hidden="1" x14ac:dyDescent="0.25">
      <c r="A45" s="131">
        <f t="shared" si="12"/>
        <v>0</v>
      </c>
      <c r="B45" s="135" t="str">
        <f>IFERROR(VLOOKUP(H45,[1]SEMIELABORADOS!$A$2:$M$6000,2,0),"")</f>
        <v/>
      </c>
      <c r="C45" s="132">
        <f>+A45</f>
        <v>0</v>
      </c>
      <c r="D45" s="133" t="str">
        <f>IFERROR(VLOOKUP(H45,[1]SEMIELABORADOS!$A$2:$M$6000,6,0),"")</f>
        <v/>
      </c>
      <c r="E45" s="133" t="str">
        <f>IFERROR(VLOOKUP(H45,[1]SEMIELABORADOS!$A$2:$M$65536,10,0),"")</f>
        <v/>
      </c>
      <c r="F45" s="133" t="str">
        <f>IFERROR(E45*C45,"")</f>
        <v/>
      </c>
      <c r="G45" s="104" t="str">
        <f t="shared" si="11"/>
        <v/>
      </c>
      <c r="H45" s="136"/>
      <c r="I45" s="136"/>
      <c r="J45" s="105"/>
    </row>
    <row r="46" spans="1:12" ht="13.5" hidden="1" x14ac:dyDescent="0.25">
      <c r="A46" s="131">
        <f t="shared" si="12"/>
        <v>0</v>
      </c>
      <c r="B46" s="135" t="str">
        <f>IFERROR(VLOOKUP(H46,[1]SEMIELABORADOS!$A$2:$M$6000,2,0),"")</f>
        <v/>
      </c>
      <c r="C46" s="132">
        <f t="shared" si="13"/>
        <v>0</v>
      </c>
      <c r="D46" s="133" t="str">
        <f>IFERROR(VLOOKUP(H46,[1]SEMIELABORADOS!$A$2:$M$6000,6,0),"")</f>
        <v/>
      </c>
      <c r="E46" s="133" t="str">
        <f>IFERROR(VLOOKUP(H46,[1]SEMIELABORADOS!$A$2:$M$65536,10,0),"")</f>
        <v/>
      </c>
      <c r="F46" s="133" t="str">
        <f t="shared" si="14"/>
        <v/>
      </c>
      <c r="G46" s="104" t="str">
        <f t="shared" si="11"/>
        <v/>
      </c>
      <c r="H46" s="136"/>
      <c r="I46" s="136"/>
      <c r="J46" s="105"/>
    </row>
    <row r="47" spans="1:12" ht="13.5" hidden="1" x14ac:dyDescent="0.25">
      <c r="A47" s="131">
        <f t="shared" si="12"/>
        <v>0</v>
      </c>
      <c r="B47" s="135" t="str">
        <f>IFERROR(VLOOKUP(H47,[1]SEMIELABORADOS!$A$2:$M$6000,2,0),"")</f>
        <v/>
      </c>
      <c r="C47" s="132">
        <f t="shared" si="13"/>
        <v>0</v>
      </c>
      <c r="D47" s="133" t="str">
        <f>IFERROR(VLOOKUP(H47,[1]SEMIELABORADOS!$A$2:$M$6000,6,0),"")</f>
        <v/>
      </c>
      <c r="E47" s="133" t="str">
        <f>IFERROR(VLOOKUP(H47,[1]SEMIELABORADOS!$A$2:$M$65536,10,0),"")</f>
        <v/>
      </c>
      <c r="F47" s="133" t="str">
        <f t="shared" si="14"/>
        <v/>
      </c>
      <c r="G47" s="104" t="str">
        <f t="shared" si="11"/>
        <v/>
      </c>
      <c r="H47" s="136"/>
      <c r="I47" s="136"/>
      <c r="J47" s="105"/>
    </row>
    <row r="48" spans="1:12" ht="14.25" thickBot="1" x14ac:dyDescent="0.3">
      <c r="A48" s="131"/>
      <c r="B48" s="135"/>
      <c r="C48" s="132"/>
      <c r="D48" s="133"/>
      <c r="E48" s="133"/>
      <c r="F48" s="133"/>
      <c r="G48" s="104"/>
      <c r="H48" s="136"/>
      <c r="I48" s="136"/>
      <c r="J48" s="105"/>
    </row>
    <row r="49" spans="1:17" ht="39" thickBot="1" x14ac:dyDescent="0.3">
      <c r="A49" s="126" t="s">
        <v>132</v>
      </c>
      <c r="B49" s="127" t="s">
        <v>141</v>
      </c>
      <c r="C49" s="127" t="s">
        <v>132</v>
      </c>
      <c r="D49" s="128" t="s">
        <v>134</v>
      </c>
      <c r="E49" s="128" t="s">
        <v>135</v>
      </c>
      <c r="F49" s="128" t="s">
        <v>136</v>
      </c>
      <c r="G49" s="128" t="s">
        <v>137</v>
      </c>
      <c r="H49" s="129" t="s">
        <v>138</v>
      </c>
      <c r="I49" s="130"/>
      <c r="J49" s="105"/>
    </row>
    <row r="50" spans="1:17" ht="13.5" x14ac:dyDescent="0.25">
      <c r="A50" s="131">
        <f>+A41</f>
        <v>2000</v>
      </c>
      <c r="B50" s="135" t="str">
        <f>IFERROR(VLOOKUP(H50,[1]SEMIELABORADOS!$A$2:$M$6000,2,0),"")</f>
        <v>CREMA CHANTILLY BLANCA SPOON-IND KILO</v>
      </c>
      <c r="C50" s="132">
        <f>+A50</f>
        <v>2000</v>
      </c>
      <c r="D50" s="133" t="str">
        <f>IFERROR(VLOOKUP(H50,[1]SEMIELABORADOS!$A$2:$M$6000,6,0),"")</f>
        <v>Gramo</v>
      </c>
      <c r="E50" s="133">
        <v>0.03</v>
      </c>
      <c r="F50" s="133">
        <f>IFERROR(E50*C50,"")</f>
        <v>60</v>
      </c>
      <c r="G50" s="104">
        <f>IFERROR(F50/$F$72,"")</f>
        <v>2.5507978023349065E-3</v>
      </c>
      <c r="H50" s="136" t="s">
        <v>75</v>
      </c>
      <c r="I50" s="130"/>
      <c r="J50" s="105"/>
    </row>
    <row r="51" spans="1:17" ht="13.5" hidden="1" x14ac:dyDescent="0.25">
      <c r="A51" s="131">
        <f t="shared" ref="A51:A56" si="15">+A42</f>
        <v>0</v>
      </c>
      <c r="B51" s="135" t="str">
        <f>IFERROR(VLOOKUP(H51,[1]SEMIELABORADOS!$A$2:$M$6000,2,0),"")</f>
        <v/>
      </c>
      <c r="C51" s="132">
        <f t="shared" ref="C51:C56" si="16">+A51</f>
        <v>0</v>
      </c>
      <c r="D51" s="133" t="str">
        <f>IFERROR(VLOOKUP(H51,[1]SEMIELABORADOS!$A$2:$M$6000,6,0),"")</f>
        <v/>
      </c>
      <c r="E51" s="133" t="str">
        <f>IFERROR(VLOOKUP(H51,[1]SEMIELABORADOS!$A$2:$M$65536,12,0),"")</f>
        <v/>
      </c>
      <c r="F51" s="133" t="str">
        <f t="shared" ref="F51:F56" si="17">IFERROR(E51*C51,"")</f>
        <v/>
      </c>
      <c r="G51" s="104" t="str">
        <f t="shared" ref="G51:G56" si="18">IFERROR(F51/$F$72,"")</f>
        <v/>
      </c>
      <c r="H51" s="136"/>
      <c r="I51" s="130"/>
      <c r="J51" s="105"/>
      <c r="M51" s="139"/>
    </row>
    <row r="52" spans="1:17" ht="13.5" hidden="1" x14ac:dyDescent="0.25">
      <c r="A52" s="131">
        <f t="shared" si="15"/>
        <v>0</v>
      </c>
      <c r="B52" s="135" t="str">
        <f>IFERROR(VLOOKUP(H52,[1]SEMIELABORADOS!$A$2:$M$6000,2,0),"")</f>
        <v/>
      </c>
      <c r="C52" s="132">
        <f t="shared" si="16"/>
        <v>0</v>
      </c>
      <c r="D52" s="133" t="str">
        <f>IFERROR(VLOOKUP(H52,[1]SEMIELABORADOS!$A$2:$M$6000,6,0),"")</f>
        <v/>
      </c>
      <c r="E52" s="133" t="str">
        <f>IFERROR(VLOOKUP(H52,[1]SEMIELABORADOS!$A$2:$M$65536,12,0),"")</f>
        <v/>
      </c>
      <c r="F52" s="133" t="str">
        <f t="shared" si="17"/>
        <v/>
      </c>
      <c r="G52" s="104" t="str">
        <f t="shared" si="18"/>
        <v/>
      </c>
      <c r="H52" s="136"/>
      <c r="I52" s="130"/>
      <c r="J52" s="105"/>
    </row>
    <row r="53" spans="1:17" ht="13.5" hidden="1" x14ac:dyDescent="0.25">
      <c r="A53" s="131">
        <f t="shared" si="15"/>
        <v>0</v>
      </c>
      <c r="B53" s="135" t="str">
        <f>IFERROR(VLOOKUP(H53,[1]SEMIELABORADOS!$A$2:$M$6000,2,0),"")</f>
        <v/>
      </c>
      <c r="C53" s="132">
        <f t="shared" si="16"/>
        <v>0</v>
      </c>
      <c r="D53" s="133" t="str">
        <f>IFERROR(VLOOKUP(H53,[1]SEMIELABORADOS!$A$2:$M$6000,6,0),"")</f>
        <v/>
      </c>
      <c r="E53" s="133" t="str">
        <f>IFERROR(VLOOKUP(H53,[1]SEMIELABORADOS!$A$2:$M$65536,12,0),"")</f>
        <v/>
      </c>
      <c r="F53" s="133" t="str">
        <f t="shared" si="17"/>
        <v/>
      </c>
      <c r="G53" s="104" t="str">
        <f t="shared" si="18"/>
        <v/>
      </c>
      <c r="H53" s="136"/>
      <c r="I53" s="130"/>
      <c r="J53" s="105"/>
    </row>
    <row r="54" spans="1:17" ht="13.5" hidden="1" x14ac:dyDescent="0.25">
      <c r="A54" s="131">
        <f t="shared" si="15"/>
        <v>0</v>
      </c>
      <c r="B54" s="135" t="str">
        <f>IFERROR(VLOOKUP(H54,[1]SEMIELABORADOS!$A$2:$M$6000,2,0),"")</f>
        <v/>
      </c>
      <c r="C54" s="132">
        <f t="shared" si="16"/>
        <v>0</v>
      </c>
      <c r="D54" s="133" t="str">
        <f>IFERROR(VLOOKUP(H54,[1]SEMIELABORADOS!$A$2:$M$6000,6,0),"")</f>
        <v/>
      </c>
      <c r="E54" s="133" t="str">
        <f>IFERROR(VLOOKUP(H54,[1]SEMIELABORADOS!$A$2:$M$65536,12,0),"")</f>
        <v/>
      </c>
      <c r="F54" s="133" t="str">
        <f t="shared" si="17"/>
        <v/>
      </c>
      <c r="G54" s="104" t="str">
        <f t="shared" si="18"/>
        <v/>
      </c>
      <c r="H54" s="136"/>
      <c r="I54" s="130"/>
      <c r="J54" s="105"/>
    </row>
    <row r="55" spans="1:17" ht="13.5" hidden="1" x14ac:dyDescent="0.25">
      <c r="A55" s="131">
        <f t="shared" si="15"/>
        <v>0</v>
      </c>
      <c r="B55" s="135" t="str">
        <f>IFERROR(VLOOKUP(H55,[1]SEMIELABORADOS!$A$2:$M$6000,2,0),"")</f>
        <v/>
      </c>
      <c r="C55" s="132">
        <f t="shared" si="16"/>
        <v>0</v>
      </c>
      <c r="D55" s="133" t="str">
        <f>IFERROR(VLOOKUP(H55,[1]SEMIELABORADOS!$A$2:$M$6000,6,0),"")</f>
        <v/>
      </c>
      <c r="E55" s="133" t="str">
        <f>IFERROR(VLOOKUP(H55,[1]SEMIELABORADOS!$A$2:$M$65536,12,0),"")</f>
        <v/>
      </c>
      <c r="F55" s="133" t="str">
        <f t="shared" si="17"/>
        <v/>
      </c>
      <c r="G55" s="104" t="str">
        <f t="shared" si="18"/>
        <v/>
      </c>
      <c r="H55" s="136"/>
      <c r="I55" s="130"/>
      <c r="J55" s="105"/>
    </row>
    <row r="56" spans="1:17" ht="13.5" hidden="1" x14ac:dyDescent="0.25">
      <c r="A56" s="131">
        <f t="shared" si="15"/>
        <v>0</v>
      </c>
      <c r="B56" s="135" t="str">
        <f>IFERROR(VLOOKUP(H56,[1]SEMIELABORADOS!$A$2:$M$6000,2,0),"")</f>
        <v/>
      </c>
      <c r="C56" s="132">
        <f t="shared" si="16"/>
        <v>0</v>
      </c>
      <c r="D56" s="133" t="str">
        <f>IFERROR(VLOOKUP(H56,[1]SEMIELABORADOS!$A$2:$M$6000,6,0),"")</f>
        <v/>
      </c>
      <c r="E56" s="133" t="str">
        <f>IFERROR(VLOOKUP(H56,[1]SEMIELABORADOS!$A$2:$M$65536,12,0),"")</f>
        <v/>
      </c>
      <c r="F56" s="133" t="str">
        <f t="shared" si="17"/>
        <v/>
      </c>
      <c r="G56" s="104" t="str">
        <f t="shared" si="18"/>
        <v/>
      </c>
      <c r="H56" s="135"/>
      <c r="I56" s="130"/>
      <c r="J56" s="105"/>
    </row>
    <row r="57" spans="1:17" ht="13.5" x14ac:dyDescent="0.25">
      <c r="A57" s="131">
        <v>1</v>
      </c>
      <c r="B57" s="135" t="s">
        <v>142</v>
      </c>
      <c r="C57" s="132">
        <f>+A57</f>
        <v>1</v>
      </c>
      <c r="D57" s="132" t="s">
        <v>143</v>
      </c>
      <c r="E57" s="133">
        <f>+F71</f>
        <v>870</v>
      </c>
      <c r="F57" s="133">
        <f>IFERROR(C57*E57,"")</f>
        <v>870</v>
      </c>
      <c r="G57" s="104">
        <f>IFERROR(F57/$F$72,"")</f>
        <v>3.6986568133856146E-2</v>
      </c>
      <c r="H57" s="140"/>
      <c r="I57" s="140"/>
      <c r="J57" s="105"/>
    </row>
    <row r="58" spans="1:17" ht="14.25" thickBot="1" x14ac:dyDescent="0.3">
      <c r="A58" s="131"/>
      <c r="B58" s="135"/>
      <c r="C58" s="132"/>
      <c r="D58" s="132"/>
      <c r="E58" s="133"/>
      <c r="F58" s="133"/>
      <c r="G58" s="104"/>
      <c r="H58" s="140"/>
      <c r="I58" s="140"/>
      <c r="J58" s="105"/>
    </row>
    <row r="59" spans="1:17" ht="13.5" thickBot="1" x14ac:dyDescent="0.3">
      <c r="A59" s="141"/>
      <c r="B59" s="277" t="s">
        <v>144</v>
      </c>
      <c r="C59" s="277"/>
      <c r="D59" s="277"/>
      <c r="E59" s="277"/>
      <c r="F59" s="143">
        <f>SUM(F8:F20,F23:F30)</f>
        <v>22207.840000000004</v>
      </c>
      <c r="G59" s="104">
        <f>+F59/$F$72</f>
        <v>0.94412849111008734</v>
      </c>
      <c r="H59" s="144">
        <f>+F59/$D$66</f>
        <v>1233.768888888889</v>
      </c>
      <c r="I59" s="144"/>
      <c r="J59" s="110"/>
      <c r="K59" s="145"/>
      <c r="L59" s="145"/>
      <c r="M59" s="145"/>
      <c r="N59" s="145"/>
      <c r="O59" s="145"/>
      <c r="P59" s="145"/>
      <c r="Q59" s="146"/>
    </row>
    <row r="60" spans="1:17" x14ac:dyDescent="0.2">
      <c r="A60" s="141"/>
      <c r="B60" s="277" t="s">
        <v>145</v>
      </c>
      <c r="C60" s="277"/>
      <c r="D60" s="277"/>
      <c r="E60" s="277"/>
      <c r="F60" s="143">
        <f>SUM(F33:F38,F41:F47)</f>
        <v>5.5769230769230758E-2</v>
      </c>
      <c r="G60" s="104">
        <f>+F60/$F$72</f>
        <v>2.3709338547343676E-6</v>
      </c>
      <c r="H60" s="144">
        <f>+F60/$D$66</f>
        <v>3.0982905982905977E-3</v>
      </c>
      <c r="I60" s="144"/>
      <c r="J60" s="147"/>
      <c r="K60" s="286" t="s">
        <v>146</v>
      </c>
      <c r="L60" s="287"/>
      <c r="M60" s="287"/>
      <c r="N60" s="287"/>
      <c r="O60" s="148">
        <f>+F61</f>
        <v>22207.895769230774</v>
      </c>
      <c r="P60" s="148"/>
      <c r="Q60" s="149"/>
    </row>
    <row r="61" spans="1:17" x14ac:dyDescent="0.2">
      <c r="A61" s="141"/>
      <c r="B61" s="277" t="s">
        <v>147</v>
      </c>
      <c r="C61" s="277"/>
      <c r="D61" s="277"/>
      <c r="E61" s="277"/>
      <c r="F61" s="143">
        <f>+F59+F60</f>
        <v>22207.895769230774</v>
      </c>
      <c r="G61" s="104">
        <f>+F61/$F$72</f>
        <v>0.94413086204394203</v>
      </c>
      <c r="H61" s="144">
        <f>+F61/$D$66</f>
        <v>1233.7719871794875</v>
      </c>
      <c r="I61" s="144"/>
      <c r="J61" s="111"/>
      <c r="K61" s="150"/>
      <c r="M61" s="151" t="s">
        <v>148</v>
      </c>
      <c r="N61" s="152"/>
      <c r="O61" s="148">
        <f>+H62</f>
        <v>51.666666666666664</v>
      </c>
      <c r="P61" s="148"/>
      <c r="Q61" s="149"/>
    </row>
    <row r="62" spans="1:17" ht="13.5" thickBot="1" x14ac:dyDescent="0.25">
      <c r="A62" s="141"/>
      <c r="B62" s="142"/>
      <c r="C62" s="277" t="s">
        <v>149</v>
      </c>
      <c r="D62" s="277"/>
      <c r="E62" s="277"/>
      <c r="F62" s="143">
        <f>SUM(F50:F57)</f>
        <v>930</v>
      </c>
      <c r="G62" s="104">
        <f>+F62/$F$72</f>
        <v>3.9537365936191053E-2</v>
      </c>
      <c r="H62" s="144">
        <f>+F62/$D$66</f>
        <v>51.666666666666664</v>
      </c>
      <c r="I62" s="144"/>
      <c r="J62" s="111"/>
      <c r="K62" s="150"/>
      <c r="L62" s="150"/>
      <c r="M62" s="150" t="s">
        <v>150</v>
      </c>
      <c r="N62" s="113"/>
      <c r="O62" s="148">
        <f>O60*N62</f>
        <v>0</v>
      </c>
      <c r="P62" s="148"/>
      <c r="Q62" s="149"/>
    </row>
    <row r="63" spans="1:17" ht="13.5" thickBot="1" x14ac:dyDescent="0.25">
      <c r="A63" s="141"/>
      <c r="B63" s="153"/>
      <c r="C63" s="153"/>
      <c r="D63" s="153"/>
      <c r="E63" s="153"/>
      <c r="F63" s="154"/>
      <c r="G63" s="104"/>
      <c r="H63" s="155"/>
      <c r="I63" s="144"/>
      <c r="J63" s="111"/>
      <c r="K63" s="156"/>
      <c r="M63" s="157" t="s">
        <v>151</v>
      </c>
      <c r="N63" s="158"/>
      <c r="O63" s="159">
        <f>SUM(O60:O62)</f>
        <v>22259.562435897442</v>
      </c>
      <c r="P63" s="160"/>
      <c r="Q63" s="149"/>
    </row>
    <row r="64" spans="1:17" x14ac:dyDescent="0.2">
      <c r="B64" s="292" t="s">
        <v>152</v>
      </c>
      <c r="C64" s="292"/>
      <c r="D64" s="161">
        <v>9000</v>
      </c>
      <c r="E64" s="162"/>
      <c r="G64" s="104"/>
      <c r="H64" s="155"/>
      <c r="I64" s="163"/>
      <c r="J64" s="111"/>
      <c r="K64" s="156"/>
      <c r="L64" s="150"/>
      <c r="M64" s="150" t="s">
        <v>153</v>
      </c>
      <c r="N64" s="109">
        <v>0.16</v>
      </c>
      <c r="O64" s="148">
        <f>+O60*N64</f>
        <v>3553.2633230769238</v>
      </c>
      <c r="P64" s="148"/>
      <c r="Q64" s="149"/>
    </row>
    <row r="65" spans="2:17" x14ac:dyDescent="0.2">
      <c r="B65" s="292" t="s">
        <v>154</v>
      </c>
      <c r="C65" s="292"/>
      <c r="D65" s="164">
        <v>500</v>
      </c>
      <c r="E65" s="162"/>
      <c r="G65" s="104"/>
      <c r="H65" s="155"/>
      <c r="I65" s="163"/>
      <c r="J65" s="111"/>
      <c r="K65" s="156"/>
      <c r="L65" s="150"/>
      <c r="M65" s="285" t="s">
        <v>151</v>
      </c>
      <c r="N65" s="285"/>
      <c r="O65" s="148">
        <f>SUM(O63:O64)</f>
        <v>25812.825758974366</v>
      </c>
      <c r="P65" s="148"/>
      <c r="Q65" s="149"/>
    </row>
    <row r="66" spans="2:17" ht="13.5" thickBot="1" x14ac:dyDescent="0.25">
      <c r="B66" s="283" t="s">
        <v>155</v>
      </c>
      <c r="C66" s="283"/>
      <c r="D66" s="161">
        <f>+D64/D65</f>
        <v>18</v>
      </c>
      <c r="E66" s="162"/>
      <c r="F66" s="165"/>
      <c r="G66" s="104"/>
      <c r="H66" s="155"/>
      <c r="I66" s="163"/>
      <c r="J66" s="111"/>
      <c r="K66" s="156"/>
      <c r="L66" s="285"/>
      <c r="M66" s="285"/>
      <c r="N66" s="109"/>
      <c r="O66" s="148">
        <f>+O65*N66</f>
        <v>0</v>
      </c>
      <c r="P66" s="148"/>
      <c r="Q66" s="149"/>
    </row>
    <row r="67" spans="2:17" ht="13.5" thickBot="1" x14ac:dyDescent="0.25">
      <c r="B67" s="283" t="s">
        <v>156</v>
      </c>
      <c r="C67" s="283"/>
      <c r="D67" s="166"/>
      <c r="E67" s="162"/>
      <c r="F67" s="165"/>
      <c r="G67" s="104"/>
      <c r="H67" s="155"/>
      <c r="I67" s="163"/>
      <c r="J67" s="111"/>
      <c r="K67" s="289" t="s">
        <v>157</v>
      </c>
      <c r="L67" s="290"/>
      <c r="M67" s="290"/>
      <c r="N67" s="291"/>
      <c r="O67" s="159">
        <f>SUM(O65:O66)</f>
        <v>25812.825758974366</v>
      </c>
      <c r="P67" s="167" t="s">
        <v>158</v>
      </c>
      <c r="Q67" s="149"/>
    </row>
    <row r="68" spans="2:17" ht="13.5" thickBot="1" x14ac:dyDescent="0.25">
      <c r="C68" s="141" t="s">
        <v>159</v>
      </c>
      <c r="D68" s="168"/>
      <c r="E68" s="117" t="s">
        <v>160</v>
      </c>
      <c r="F68" s="169" t="s">
        <v>161</v>
      </c>
      <c r="G68" s="104"/>
      <c r="H68" s="155"/>
      <c r="I68" s="163"/>
      <c r="J68" s="170"/>
      <c r="K68" s="171"/>
      <c r="L68" s="278" t="s">
        <v>162</v>
      </c>
      <c r="M68" s="278"/>
      <c r="N68" s="278"/>
      <c r="O68" s="172">
        <f>+O67/D66</f>
        <v>1434.0458754985759</v>
      </c>
      <c r="P68" s="173">
        <f>+O68/D65</f>
        <v>2.8680917509971517</v>
      </c>
      <c r="Q68" s="174"/>
    </row>
    <row r="69" spans="2:17" ht="13.5" thickBot="1" x14ac:dyDescent="0.25">
      <c r="B69" s="284" t="s">
        <v>147</v>
      </c>
      <c r="C69" s="284"/>
      <c r="D69" s="284"/>
      <c r="E69" s="106">
        <f>+F69/F69</f>
        <v>1</v>
      </c>
      <c r="F69" s="175">
        <f>SUM(F61)</f>
        <v>22207.895769230774</v>
      </c>
      <c r="G69" s="104">
        <f>+F69/$F$72</f>
        <v>0.94413086204394203</v>
      </c>
      <c r="H69" s="155"/>
      <c r="I69" s="163"/>
      <c r="K69" s="275"/>
      <c r="L69" s="276"/>
      <c r="M69" s="276"/>
      <c r="N69" s="276"/>
      <c r="O69" s="176"/>
      <c r="P69" s="177"/>
    </row>
    <row r="70" spans="2:17" ht="13.5" thickBot="1" x14ac:dyDescent="0.3">
      <c r="B70" s="293" t="s">
        <v>163</v>
      </c>
      <c r="C70" s="293"/>
      <c r="D70" s="293"/>
      <c r="E70" s="178">
        <v>0.02</v>
      </c>
      <c r="F70" s="175">
        <f>+F59*E70</f>
        <v>444.15680000000009</v>
      </c>
      <c r="G70" s="104">
        <f>+F70/$F$72</f>
        <v>1.8882569822201746E-2</v>
      </c>
      <c r="H70" s="144"/>
      <c r="I70" s="163"/>
      <c r="J70" s="112"/>
      <c r="O70" s="179"/>
      <c r="P70" s="142"/>
    </row>
    <row r="71" spans="2:17" ht="13.5" thickBot="1" x14ac:dyDescent="0.3">
      <c r="B71" s="268" t="s">
        <v>164</v>
      </c>
      <c r="C71" s="269"/>
      <c r="D71" s="180">
        <v>15</v>
      </c>
      <c r="E71" s="181">
        <v>58</v>
      </c>
      <c r="F71" s="175">
        <f>+E71*D71</f>
        <v>870</v>
      </c>
      <c r="G71" s="104">
        <f>+F71/$F$72</f>
        <v>3.6986568133856146E-2</v>
      </c>
      <c r="H71" s="144"/>
      <c r="I71" s="144"/>
      <c r="J71" s="105"/>
    </row>
    <row r="72" spans="2:17" ht="13.5" thickBot="1" x14ac:dyDescent="0.3">
      <c r="B72" s="265" t="s">
        <v>165</v>
      </c>
      <c r="C72" s="266"/>
      <c r="D72" s="266"/>
      <c r="E72" s="267"/>
      <c r="F72" s="154">
        <f>SUM(F69:F71)</f>
        <v>23522.052569230775</v>
      </c>
      <c r="G72" s="104">
        <f>+F72/$F$72</f>
        <v>1</v>
      </c>
      <c r="H72" s="288"/>
      <c r="I72" s="144"/>
      <c r="J72" s="105"/>
      <c r="M72" s="119" t="s">
        <v>166</v>
      </c>
    </row>
    <row r="73" spans="2:17" x14ac:dyDescent="0.25">
      <c r="C73" s="139"/>
      <c r="D73" s="139"/>
      <c r="E73" s="183"/>
      <c r="F73" s="175"/>
      <c r="G73" s="104"/>
      <c r="H73" s="288"/>
      <c r="I73" s="182"/>
      <c r="J73" s="119"/>
      <c r="M73" s="119" t="s">
        <v>167</v>
      </c>
    </row>
    <row r="74" spans="2:17" ht="13.5" thickBot="1" x14ac:dyDescent="0.3">
      <c r="B74" s="264" t="s">
        <v>168</v>
      </c>
      <c r="C74" s="264"/>
      <c r="D74" s="264"/>
      <c r="E74" s="264"/>
      <c r="F74" s="264"/>
      <c r="G74" s="104"/>
      <c r="H74" s="185"/>
      <c r="I74" s="182"/>
      <c r="J74" s="119"/>
    </row>
    <row r="75" spans="2:17" ht="13.5" thickBot="1" x14ac:dyDescent="0.3">
      <c r="B75" s="186" t="s">
        <v>169</v>
      </c>
      <c r="C75" s="187">
        <f>+F59</f>
        <v>22207.840000000004</v>
      </c>
      <c r="D75" s="187">
        <f>+D64</f>
        <v>9000</v>
      </c>
      <c r="E75" s="188">
        <f>+C75/D75</f>
        <v>2.4675377777777783</v>
      </c>
      <c r="F75" s="104"/>
      <c r="G75" s="185"/>
      <c r="H75" s="105"/>
      <c r="I75" s="185"/>
      <c r="J75" s="119"/>
    </row>
    <row r="76" spans="2:17" x14ac:dyDescent="0.25">
      <c r="B76" s="189"/>
      <c r="C76" s="190"/>
      <c r="D76" s="191"/>
      <c r="E76" s="175"/>
      <c r="F76" s="104"/>
      <c r="G76" s="185"/>
      <c r="H76" s="105"/>
      <c r="I76" s="105"/>
      <c r="J76" s="119"/>
    </row>
    <row r="77" spans="2:17" x14ac:dyDescent="0.25">
      <c r="B77" s="186" t="s">
        <v>170</v>
      </c>
      <c r="C77" s="187">
        <f>SUM(F69:F70)</f>
        <v>22652.052569230775</v>
      </c>
      <c r="D77" s="187">
        <f>+D64</f>
        <v>9000</v>
      </c>
      <c r="E77" s="192">
        <f>+C77/D77</f>
        <v>2.5168947299145303</v>
      </c>
      <c r="F77" s="104"/>
      <c r="G77" s="185"/>
      <c r="H77" s="105"/>
      <c r="I77" s="105"/>
      <c r="J77" s="119"/>
    </row>
    <row r="78" spans="2:17" x14ac:dyDescent="0.25">
      <c r="B78" s="186"/>
      <c r="C78" s="187"/>
      <c r="D78" s="187"/>
      <c r="E78" s="192"/>
      <c r="F78" s="104"/>
      <c r="G78" s="185"/>
      <c r="H78" s="105"/>
      <c r="I78" s="105"/>
      <c r="J78" s="119"/>
    </row>
    <row r="79" spans="2:17" ht="13.5" thickBot="1" x14ac:dyDescent="0.3">
      <c r="B79" s="186" t="s">
        <v>171</v>
      </c>
      <c r="C79" s="187">
        <f>+F71</f>
        <v>870</v>
      </c>
      <c r="D79" s="187">
        <f>+D64</f>
        <v>9000</v>
      </c>
      <c r="E79" s="192">
        <f>+C79/D79</f>
        <v>9.6666666666666665E-2</v>
      </c>
      <c r="F79" s="104"/>
      <c r="G79" s="185"/>
      <c r="H79" s="105"/>
      <c r="I79" s="105"/>
      <c r="J79" s="119"/>
    </row>
    <row r="80" spans="2:17" ht="13.5" thickBot="1" x14ac:dyDescent="0.3">
      <c r="B80" s="186" t="s">
        <v>172</v>
      </c>
      <c r="C80" s="187">
        <f>+F62</f>
        <v>930</v>
      </c>
      <c r="D80" s="187">
        <f>+D79</f>
        <v>9000</v>
      </c>
      <c r="E80" s="188">
        <f>+C80/D80</f>
        <v>0.10333333333333333</v>
      </c>
      <c r="F80" s="104"/>
      <c r="G80" s="185"/>
      <c r="H80" s="105"/>
      <c r="I80" s="105"/>
      <c r="J80" s="119"/>
    </row>
    <row r="81" spans="1:10" ht="13.5" thickBot="1" x14ac:dyDescent="0.3">
      <c r="B81" s="153"/>
      <c r="C81" s="154"/>
      <c r="D81" s="154"/>
      <c r="E81" s="192"/>
      <c r="F81" s="104"/>
      <c r="G81" s="185"/>
      <c r="H81" s="105"/>
      <c r="I81" s="105"/>
      <c r="J81" s="119"/>
    </row>
    <row r="82" spans="1:10" ht="13.5" thickBot="1" x14ac:dyDescent="0.3">
      <c r="B82" s="186" t="s">
        <v>173</v>
      </c>
      <c r="C82" s="187">
        <f>+F60</f>
        <v>5.5769230769230758E-2</v>
      </c>
      <c r="D82" s="187">
        <f>+D80</f>
        <v>9000</v>
      </c>
      <c r="E82" s="188">
        <f>+C82/D82</f>
        <v>6.1965811965811951E-6</v>
      </c>
      <c r="F82" s="104"/>
      <c r="G82" s="185"/>
      <c r="H82" s="105"/>
      <c r="I82" s="105"/>
      <c r="J82" s="105"/>
    </row>
    <row r="83" spans="1:10" ht="13.5" thickBot="1" x14ac:dyDescent="0.3">
      <c r="B83" s="153"/>
      <c r="C83" s="154"/>
      <c r="D83" s="154"/>
      <c r="E83" s="192"/>
      <c r="F83" s="104"/>
      <c r="G83" s="185"/>
      <c r="H83" s="105"/>
      <c r="I83" s="105"/>
    </row>
    <row r="84" spans="1:10" ht="13.5" thickBot="1" x14ac:dyDescent="0.3">
      <c r="B84" s="270" t="s">
        <v>174</v>
      </c>
      <c r="C84" s="271"/>
      <c r="D84" s="272"/>
      <c r="E84" s="188">
        <f>+E75+E80</f>
        <v>2.5708711111111118</v>
      </c>
      <c r="G84" s="104"/>
      <c r="H84" s="185"/>
      <c r="I84" s="105"/>
      <c r="J84" s="192"/>
    </row>
    <row r="85" spans="1:10" x14ac:dyDescent="0.25">
      <c r="I85" s="185"/>
      <c r="J85" s="119"/>
    </row>
    <row r="86" spans="1:10" ht="13.5" thickBot="1" x14ac:dyDescent="0.3">
      <c r="B86" s="264" t="s">
        <v>175</v>
      </c>
      <c r="C86" s="264"/>
      <c r="D86" s="264"/>
      <c r="E86" s="264"/>
      <c r="F86" s="264"/>
      <c r="G86" s="104"/>
      <c r="H86" s="185"/>
      <c r="J86" s="119"/>
    </row>
    <row r="87" spans="1:10" ht="13.5" thickBot="1" x14ac:dyDescent="0.3">
      <c r="B87" s="186" t="s">
        <v>169</v>
      </c>
      <c r="C87" s="187">
        <f>+C75</f>
        <v>22207.840000000004</v>
      </c>
      <c r="D87" s="187">
        <f>+D66</f>
        <v>18</v>
      </c>
      <c r="E87" s="188">
        <f>+C87/D87</f>
        <v>1233.768888888889</v>
      </c>
      <c r="F87" s="104"/>
      <c r="G87" s="185"/>
      <c r="H87" s="105"/>
      <c r="I87" s="185"/>
      <c r="J87" s="119"/>
    </row>
    <row r="88" spans="1:10" x14ac:dyDescent="0.25">
      <c r="B88" s="189"/>
      <c r="C88" s="190"/>
      <c r="D88" s="191"/>
      <c r="E88" s="175"/>
      <c r="F88" s="104"/>
      <c r="G88" s="185"/>
      <c r="H88" s="105"/>
      <c r="I88" s="105"/>
      <c r="J88" s="119"/>
    </row>
    <row r="89" spans="1:10" x14ac:dyDescent="0.25">
      <c r="B89" s="186" t="s">
        <v>170</v>
      </c>
      <c r="C89" s="187">
        <f>+C77</f>
        <v>22652.052569230775</v>
      </c>
      <c r="D89" s="187">
        <f>+D66</f>
        <v>18</v>
      </c>
      <c r="E89" s="192">
        <f>+C89/D89</f>
        <v>1258.4473649572653</v>
      </c>
      <c r="F89" s="104"/>
      <c r="G89" s="185"/>
      <c r="H89" s="105"/>
      <c r="I89" s="105"/>
      <c r="J89" s="119"/>
    </row>
    <row r="90" spans="1:10" x14ac:dyDescent="0.25">
      <c r="B90" s="186"/>
      <c r="C90" s="187"/>
      <c r="D90" s="187"/>
      <c r="E90" s="192"/>
      <c r="F90" s="104"/>
      <c r="G90" s="185"/>
      <c r="H90" s="105"/>
      <c r="I90" s="105"/>
      <c r="J90" s="119"/>
    </row>
    <row r="91" spans="1:10" ht="13.5" thickBot="1" x14ac:dyDescent="0.3">
      <c r="B91" s="186" t="s">
        <v>172</v>
      </c>
      <c r="C91" s="187">
        <f>+C79</f>
        <v>870</v>
      </c>
      <c r="D91" s="187">
        <f>+D66</f>
        <v>18</v>
      </c>
      <c r="E91" s="192">
        <f>+C91/D91</f>
        <v>48.333333333333336</v>
      </c>
      <c r="F91" s="193"/>
      <c r="G91" s="184"/>
      <c r="H91" s="118"/>
      <c r="I91" s="105"/>
    </row>
    <row r="92" spans="1:10" ht="13.5" thickBot="1" x14ac:dyDescent="0.3">
      <c r="B92" s="186" t="s">
        <v>172</v>
      </c>
      <c r="C92" s="187">
        <f>+C80</f>
        <v>930</v>
      </c>
      <c r="D92" s="187">
        <f>+D91</f>
        <v>18</v>
      </c>
      <c r="E92" s="188">
        <f>+C92/D92</f>
        <v>51.666666666666664</v>
      </c>
      <c r="F92" s="107"/>
      <c r="G92" s="184"/>
      <c r="H92" s="118"/>
      <c r="I92" s="118"/>
    </row>
    <row r="93" spans="1:10" x14ac:dyDescent="0.25">
      <c r="I93" s="118"/>
    </row>
    <row r="94" spans="1:10" x14ac:dyDescent="0.2">
      <c r="A94" s="263"/>
      <c r="B94" s="263"/>
      <c r="C94" s="194"/>
      <c r="D94" s="194"/>
      <c r="E94" s="195"/>
      <c r="G94" s="108"/>
    </row>
    <row r="95" spans="1:10" x14ac:dyDescent="0.2">
      <c r="A95" s="135"/>
      <c r="B95" s="196"/>
      <c r="C95" s="197"/>
      <c r="D95" s="197"/>
      <c r="E95" s="198"/>
      <c r="G95" s="108"/>
    </row>
    <row r="96" spans="1:10" x14ac:dyDescent="0.2">
      <c r="A96" s="135"/>
      <c r="B96" s="196"/>
      <c r="C96" s="199"/>
      <c r="D96" s="199"/>
      <c r="E96" s="135"/>
      <c r="G96" s="108"/>
    </row>
    <row r="97" spans="1:7" x14ac:dyDescent="0.2">
      <c r="A97" s="135"/>
      <c r="B97" s="196"/>
      <c r="C97" s="200"/>
      <c r="D97" s="200"/>
      <c r="E97" s="135"/>
      <c r="G97" s="108"/>
    </row>
  </sheetData>
  <mergeCells count="30">
    <mergeCell ref="B74:F74"/>
    <mergeCell ref="B84:D84"/>
    <mergeCell ref="B86:F86"/>
    <mergeCell ref="A94:B94"/>
    <mergeCell ref="L68:N68"/>
    <mergeCell ref="B69:D69"/>
    <mergeCell ref="K69:N69"/>
    <mergeCell ref="B70:D70"/>
    <mergeCell ref="B71:C71"/>
    <mergeCell ref="B72:E72"/>
    <mergeCell ref="H72:H73"/>
    <mergeCell ref="B67:C67"/>
    <mergeCell ref="K67:N67"/>
    <mergeCell ref="K36:L36"/>
    <mergeCell ref="B59:E59"/>
    <mergeCell ref="B60:E60"/>
    <mergeCell ref="K60:N60"/>
    <mergeCell ref="B61:E61"/>
    <mergeCell ref="C62:E62"/>
    <mergeCell ref="B64:C64"/>
    <mergeCell ref="B65:C65"/>
    <mergeCell ref="M65:N65"/>
    <mergeCell ref="B66:C66"/>
    <mergeCell ref="L66:M66"/>
    <mergeCell ref="K35:L35"/>
    <mergeCell ref="A4:H4"/>
    <mergeCell ref="A5:H5"/>
    <mergeCell ref="F6:G6"/>
    <mergeCell ref="K33:L33"/>
    <mergeCell ref="K34:L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BC823-73E3-4BC2-90DD-CD14DA5F8224}">
  <dimension ref="A1:J33"/>
  <sheetViews>
    <sheetView workbookViewId="0">
      <selection activeCell="B3" sqref="B3:F3"/>
    </sheetView>
  </sheetViews>
  <sheetFormatPr baseColWidth="10" defaultColWidth="11.42578125" defaultRowHeight="13.5" x14ac:dyDescent="0.25"/>
  <cols>
    <col min="1" max="1" width="16.140625" style="28" customWidth="1"/>
    <col min="2" max="2" width="46.42578125" style="28" customWidth="1"/>
    <col min="3" max="3" width="15" style="28" customWidth="1"/>
    <col min="4" max="5" width="11.42578125" style="28"/>
    <col min="6" max="6" width="12.42578125" style="28" customWidth="1"/>
    <col min="7" max="7" width="14.42578125" style="28" bestFit="1" customWidth="1"/>
    <col min="8" max="8" width="15.5703125" style="28" customWidth="1"/>
    <col min="9" max="251" width="11.42578125" style="28"/>
    <col min="252" max="252" width="16.140625" style="28" customWidth="1"/>
    <col min="253" max="253" width="38" style="28" customWidth="1"/>
    <col min="254" max="256" width="11.42578125" style="28"/>
    <col min="257" max="257" width="12.42578125" style="28" customWidth="1"/>
    <col min="258" max="258" width="14.42578125" style="28" bestFit="1" customWidth="1"/>
    <col min="259" max="259" width="15.5703125" style="28" customWidth="1"/>
    <col min="260" max="507" width="11.42578125" style="28"/>
    <col min="508" max="508" width="16.140625" style="28" customWidth="1"/>
    <col min="509" max="509" width="38" style="28" customWidth="1"/>
    <col min="510" max="512" width="11.42578125" style="28"/>
    <col min="513" max="513" width="12.42578125" style="28" customWidth="1"/>
    <col min="514" max="514" width="14.42578125" style="28" bestFit="1" customWidth="1"/>
    <col min="515" max="515" width="15.5703125" style="28" customWidth="1"/>
    <col min="516" max="763" width="11.42578125" style="28"/>
    <col min="764" max="764" width="16.140625" style="28" customWidth="1"/>
    <col min="765" max="765" width="38" style="28" customWidth="1"/>
    <col min="766" max="768" width="11.42578125" style="28"/>
    <col min="769" max="769" width="12.42578125" style="28" customWidth="1"/>
    <col min="770" max="770" width="14.42578125" style="28" bestFit="1" customWidth="1"/>
    <col min="771" max="771" width="15.5703125" style="28" customWidth="1"/>
    <col min="772" max="1019" width="11.42578125" style="28"/>
    <col min="1020" max="1020" width="16.140625" style="28" customWidth="1"/>
    <col min="1021" max="1021" width="38" style="28" customWidth="1"/>
    <col min="1022" max="1024" width="11.42578125" style="28"/>
    <col min="1025" max="1025" width="12.42578125" style="28" customWidth="1"/>
    <col min="1026" max="1026" width="14.42578125" style="28" bestFit="1" customWidth="1"/>
    <col min="1027" max="1027" width="15.5703125" style="28" customWidth="1"/>
    <col min="1028" max="1275" width="11.42578125" style="28"/>
    <col min="1276" max="1276" width="16.140625" style="28" customWidth="1"/>
    <col min="1277" max="1277" width="38" style="28" customWidth="1"/>
    <col min="1278" max="1280" width="11.42578125" style="28"/>
    <col min="1281" max="1281" width="12.42578125" style="28" customWidth="1"/>
    <col min="1282" max="1282" width="14.42578125" style="28" bestFit="1" customWidth="1"/>
    <col min="1283" max="1283" width="15.5703125" style="28" customWidth="1"/>
    <col min="1284" max="1531" width="11.42578125" style="28"/>
    <col min="1532" max="1532" width="16.140625" style="28" customWidth="1"/>
    <col min="1533" max="1533" width="38" style="28" customWidth="1"/>
    <col min="1534" max="1536" width="11.42578125" style="28"/>
    <col min="1537" max="1537" width="12.42578125" style="28" customWidth="1"/>
    <col min="1538" max="1538" width="14.42578125" style="28" bestFit="1" customWidth="1"/>
    <col min="1539" max="1539" width="15.5703125" style="28" customWidth="1"/>
    <col min="1540" max="1787" width="11.42578125" style="28"/>
    <col min="1788" max="1788" width="16.140625" style="28" customWidth="1"/>
    <col min="1789" max="1789" width="38" style="28" customWidth="1"/>
    <col min="1790" max="1792" width="11.42578125" style="28"/>
    <col min="1793" max="1793" width="12.42578125" style="28" customWidth="1"/>
    <col min="1794" max="1794" width="14.42578125" style="28" bestFit="1" customWidth="1"/>
    <col min="1795" max="1795" width="15.5703125" style="28" customWidth="1"/>
    <col min="1796" max="2043" width="11.42578125" style="28"/>
    <col min="2044" max="2044" width="16.140625" style="28" customWidth="1"/>
    <col min="2045" max="2045" width="38" style="28" customWidth="1"/>
    <col min="2046" max="2048" width="11.42578125" style="28"/>
    <col min="2049" max="2049" width="12.42578125" style="28" customWidth="1"/>
    <col min="2050" max="2050" width="14.42578125" style="28" bestFit="1" customWidth="1"/>
    <col min="2051" max="2051" width="15.5703125" style="28" customWidth="1"/>
    <col min="2052" max="2299" width="11.42578125" style="28"/>
    <col min="2300" max="2300" width="16.140625" style="28" customWidth="1"/>
    <col min="2301" max="2301" width="38" style="28" customWidth="1"/>
    <col min="2302" max="2304" width="11.42578125" style="28"/>
    <col min="2305" max="2305" width="12.42578125" style="28" customWidth="1"/>
    <col min="2306" max="2306" width="14.42578125" style="28" bestFit="1" customWidth="1"/>
    <col min="2307" max="2307" width="15.5703125" style="28" customWidth="1"/>
    <col min="2308" max="2555" width="11.42578125" style="28"/>
    <col min="2556" max="2556" width="16.140625" style="28" customWidth="1"/>
    <col min="2557" max="2557" width="38" style="28" customWidth="1"/>
    <col min="2558" max="2560" width="11.42578125" style="28"/>
    <col min="2561" max="2561" width="12.42578125" style="28" customWidth="1"/>
    <col min="2562" max="2562" width="14.42578125" style="28" bestFit="1" customWidth="1"/>
    <col min="2563" max="2563" width="15.5703125" style="28" customWidth="1"/>
    <col min="2564" max="2811" width="11.42578125" style="28"/>
    <col min="2812" max="2812" width="16.140625" style="28" customWidth="1"/>
    <col min="2813" max="2813" width="38" style="28" customWidth="1"/>
    <col min="2814" max="2816" width="11.42578125" style="28"/>
    <col min="2817" max="2817" width="12.42578125" style="28" customWidth="1"/>
    <col min="2818" max="2818" width="14.42578125" style="28" bestFit="1" customWidth="1"/>
    <col min="2819" max="2819" width="15.5703125" style="28" customWidth="1"/>
    <col min="2820" max="3067" width="11.42578125" style="28"/>
    <col min="3068" max="3068" width="16.140625" style="28" customWidth="1"/>
    <col min="3069" max="3069" width="38" style="28" customWidth="1"/>
    <col min="3070" max="3072" width="11.42578125" style="28"/>
    <col min="3073" max="3073" width="12.42578125" style="28" customWidth="1"/>
    <col min="3074" max="3074" width="14.42578125" style="28" bestFit="1" customWidth="1"/>
    <col min="3075" max="3075" width="15.5703125" style="28" customWidth="1"/>
    <col min="3076" max="3323" width="11.42578125" style="28"/>
    <col min="3324" max="3324" width="16.140625" style="28" customWidth="1"/>
    <col min="3325" max="3325" width="38" style="28" customWidth="1"/>
    <col min="3326" max="3328" width="11.42578125" style="28"/>
    <col min="3329" max="3329" width="12.42578125" style="28" customWidth="1"/>
    <col min="3330" max="3330" width="14.42578125" style="28" bestFit="1" customWidth="1"/>
    <col min="3331" max="3331" width="15.5703125" style="28" customWidth="1"/>
    <col min="3332" max="3579" width="11.42578125" style="28"/>
    <col min="3580" max="3580" width="16.140625" style="28" customWidth="1"/>
    <col min="3581" max="3581" width="38" style="28" customWidth="1"/>
    <col min="3582" max="3584" width="11.42578125" style="28"/>
    <col min="3585" max="3585" width="12.42578125" style="28" customWidth="1"/>
    <col min="3586" max="3586" width="14.42578125" style="28" bestFit="1" customWidth="1"/>
    <col min="3587" max="3587" width="15.5703125" style="28" customWidth="1"/>
    <col min="3588" max="3835" width="11.42578125" style="28"/>
    <col min="3836" max="3836" width="16.140625" style="28" customWidth="1"/>
    <col min="3837" max="3837" width="38" style="28" customWidth="1"/>
    <col min="3838" max="3840" width="11.42578125" style="28"/>
    <col min="3841" max="3841" width="12.42578125" style="28" customWidth="1"/>
    <col min="3842" max="3842" width="14.42578125" style="28" bestFit="1" customWidth="1"/>
    <col min="3843" max="3843" width="15.5703125" style="28" customWidth="1"/>
    <col min="3844" max="4091" width="11.42578125" style="28"/>
    <col min="4092" max="4092" width="16.140625" style="28" customWidth="1"/>
    <col min="4093" max="4093" width="38" style="28" customWidth="1"/>
    <col min="4094" max="4096" width="11.42578125" style="28"/>
    <col min="4097" max="4097" width="12.42578125" style="28" customWidth="1"/>
    <col min="4098" max="4098" width="14.42578125" style="28" bestFit="1" customWidth="1"/>
    <col min="4099" max="4099" width="15.5703125" style="28" customWidth="1"/>
    <col min="4100" max="4347" width="11.42578125" style="28"/>
    <col min="4348" max="4348" width="16.140625" style="28" customWidth="1"/>
    <col min="4349" max="4349" width="38" style="28" customWidth="1"/>
    <col min="4350" max="4352" width="11.42578125" style="28"/>
    <col min="4353" max="4353" width="12.42578125" style="28" customWidth="1"/>
    <col min="4354" max="4354" width="14.42578125" style="28" bestFit="1" customWidth="1"/>
    <col min="4355" max="4355" width="15.5703125" style="28" customWidth="1"/>
    <col min="4356" max="4603" width="11.42578125" style="28"/>
    <col min="4604" max="4604" width="16.140625" style="28" customWidth="1"/>
    <col min="4605" max="4605" width="38" style="28" customWidth="1"/>
    <col min="4606" max="4608" width="11.42578125" style="28"/>
    <col min="4609" max="4609" width="12.42578125" style="28" customWidth="1"/>
    <col min="4610" max="4610" width="14.42578125" style="28" bestFit="1" customWidth="1"/>
    <col min="4611" max="4611" width="15.5703125" style="28" customWidth="1"/>
    <col min="4612" max="4859" width="11.42578125" style="28"/>
    <col min="4860" max="4860" width="16.140625" style="28" customWidth="1"/>
    <col min="4861" max="4861" width="38" style="28" customWidth="1"/>
    <col min="4862" max="4864" width="11.42578125" style="28"/>
    <col min="4865" max="4865" width="12.42578125" style="28" customWidth="1"/>
    <col min="4866" max="4866" width="14.42578125" style="28" bestFit="1" customWidth="1"/>
    <col min="4867" max="4867" width="15.5703125" style="28" customWidth="1"/>
    <col min="4868" max="5115" width="11.42578125" style="28"/>
    <col min="5116" max="5116" width="16.140625" style="28" customWidth="1"/>
    <col min="5117" max="5117" width="38" style="28" customWidth="1"/>
    <col min="5118" max="5120" width="11.42578125" style="28"/>
    <col min="5121" max="5121" width="12.42578125" style="28" customWidth="1"/>
    <col min="5122" max="5122" width="14.42578125" style="28" bestFit="1" customWidth="1"/>
    <col min="5123" max="5123" width="15.5703125" style="28" customWidth="1"/>
    <col min="5124" max="5371" width="11.42578125" style="28"/>
    <col min="5372" max="5372" width="16.140625" style="28" customWidth="1"/>
    <col min="5373" max="5373" width="38" style="28" customWidth="1"/>
    <col min="5374" max="5376" width="11.42578125" style="28"/>
    <col min="5377" max="5377" width="12.42578125" style="28" customWidth="1"/>
    <col min="5378" max="5378" width="14.42578125" style="28" bestFit="1" customWidth="1"/>
    <col min="5379" max="5379" width="15.5703125" style="28" customWidth="1"/>
    <col min="5380" max="5627" width="11.42578125" style="28"/>
    <col min="5628" max="5628" width="16.140625" style="28" customWidth="1"/>
    <col min="5629" max="5629" width="38" style="28" customWidth="1"/>
    <col min="5630" max="5632" width="11.42578125" style="28"/>
    <col min="5633" max="5633" width="12.42578125" style="28" customWidth="1"/>
    <col min="5634" max="5634" width="14.42578125" style="28" bestFit="1" customWidth="1"/>
    <col min="5635" max="5635" width="15.5703125" style="28" customWidth="1"/>
    <col min="5636" max="5883" width="11.42578125" style="28"/>
    <col min="5884" max="5884" width="16.140625" style="28" customWidth="1"/>
    <col min="5885" max="5885" width="38" style="28" customWidth="1"/>
    <col min="5886" max="5888" width="11.42578125" style="28"/>
    <col min="5889" max="5889" width="12.42578125" style="28" customWidth="1"/>
    <col min="5890" max="5890" width="14.42578125" style="28" bestFit="1" customWidth="1"/>
    <col min="5891" max="5891" width="15.5703125" style="28" customWidth="1"/>
    <col min="5892" max="6139" width="11.42578125" style="28"/>
    <col min="6140" max="6140" width="16.140625" style="28" customWidth="1"/>
    <col min="6141" max="6141" width="38" style="28" customWidth="1"/>
    <col min="6142" max="6144" width="11.42578125" style="28"/>
    <col min="6145" max="6145" width="12.42578125" style="28" customWidth="1"/>
    <col min="6146" max="6146" width="14.42578125" style="28" bestFit="1" customWidth="1"/>
    <col min="6147" max="6147" width="15.5703125" style="28" customWidth="1"/>
    <col min="6148" max="6395" width="11.42578125" style="28"/>
    <col min="6396" max="6396" width="16.140625" style="28" customWidth="1"/>
    <col min="6397" max="6397" width="38" style="28" customWidth="1"/>
    <col min="6398" max="6400" width="11.42578125" style="28"/>
    <col min="6401" max="6401" width="12.42578125" style="28" customWidth="1"/>
    <col min="6402" max="6402" width="14.42578125" style="28" bestFit="1" customWidth="1"/>
    <col min="6403" max="6403" width="15.5703125" style="28" customWidth="1"/>
    <col min="6404" max="6651" width="11.42578125" style="28"/>
    <col min="6652" max="6652" width="16.140625" style="28" customWidth="1"/>
    <col min="6653" max="6653" width="38" style="28" customWidth="1"/>
    <col min="6654" max="6656" width="11.42578125" style="28"/>
    <col min="6657" max="6657" width="12.42578125" style="28" customWidth="1"/>
    <col min="6658" max="6658" width="14.42578125" style="28" bestFit="1" customWidth="1"/>
    <col min="6659" max="6659" width="15.5703125" style="28" customWidth="1"/>
    <col min="6660" max="6907" width="11.42578125" style="28"/>
    <col min="6908" max="6908" width="16.140625" style="28" customWidth="1"/>
    <col min="6909" max="6909" width="38" style="28" customWidth="1"/>
    <col min="6910" max="6912" width="11.42578125" style="28"/>
    <col min="6913" max="6913" width="12.42578125" style="28" customWidth="1"/>
    <col min="6914" max="6914" width="14.42578125" style="28" bestFit="1" customWidth="1"/>
    <col min="6915" max="6915" width="15.5703125" style="28" customWidth="1"/>
    <col min="6916" max="7163" width="11.42578125" style="28"/>
    <col min="7164" max="7164" width="16.140625" style="28" customWidth="1"/>
    <col min="7165" max="7165" width="38" style="28" customWidth="1"/>
    <col min="7166" max="7168" width="11.42578125" style="28"/>
    <col min="7169" max="7169" width="12.42578125" style="28" customWidth="1"/>
    <col min="7170" max="7170" width="14.42578125" style="28" bestFit="1" customWidth="1"/>
    <col min="7171" max="7171" width="15.5703125" style="28" customWidth="1"/>
    <col min="7172" max="7419" width="11.42578125" style="28"/>
    <col min="7420" max="7420" width="16.140625" style="28" customWidth="1"/>
    <col min="7421" max="7421" width="38" style="28" customWidth="1"/>
    <col min="7422" max="7424" width="11.42578125" style="28"/>
    <col min="7425" max="7425" width="12.42578125" style="28" customWidth="1"/>
    <col min="7426" max="7426" width="14.42578125" style="28" bestFit="1" customWidth="1"/>
    <col min="7427" max="7427" width="15.5703125" style="28" customWidth="1"/>
    <col min="7428" max="7675" width="11.42578125" style="28"/>
    <col min="7676" max="7676" width="16.140625" style="28" customWidth="1"/>
    <col min="7677" max="7677" width="38" style="28" customWidth="1"/>
    <col min="7678" max="7680" width="11.42578125" style="28"/>
    <col min="7681" max="7681" width="12.42578125" style="28" customWidth="1"/>
    <col min="7682" max="7682" width="14.42578125" style="28" bestFit="1" customWidth="1"/>
    <col min="7683" max="7683" width="15.5703125" style="28" customWidth="1"/>
    <col min="7684" max="7931" width="11.42578125" style="28"/>
    <col min="7932" max="7932" width="16.140625" style="28" customWidth="1"/>
    <col min="7933" max="7933" width="38" style="28" customWidth="1"/>
    <col min="7934" max="7936" width="11.42578125" style="28"/>
    <col min="7937" max="7937" width="12.42578125" style="28" customWidth="1"/>
    <col min="7938" max="7938" width="14.42578125" style="28" bestFit="1" customWidth="1"/>
    <col min="7939" max="7939" width="15.5703125" style="28" customWidth="1"/>
    <col min="7940" max="8187" width="11.42578125" style="28"/>
    <col min="8188" max="8188" width="16.140625" style="28" customWidth="1"/>
    <col min="8189" max="8189" width="38" style="28" customWidth="1"/>
    <col min="8190" max="8192" width="11.42578125" style="28"/>
    <col min="8193" max="8193" width="12.42578125" style="28" customWidth="1"/>
    <col min="8194" max="8194" width="14.42578125" style="28" bestFit="1" customWidth="1"/>
    <col min="8195" max="8195" width="15.5703125" style="28" customWidth="1"/>
    <col min="8196" max="8443" width="11.42578125" style="28"/>
    <col min="8444" max="8444" width="16.140625" style="28" customWidth="1"/>
    <col min="8445" max="8445" width="38" style="28" customWidth="1"/>
    <col min="8446" max="8448" width="11.42578125" style="28"/>
    <col min="8449" max="8449" width="12.42578125" style="28" customWidth="1"/>
    <col min="8450" max="8450" width="14.42578125" style="28" bestFit="1" customWidth="1"/>
    <col min="8451" max="8451" width="15.5703125" style="28" customWidth="1"/>
    <col min="8452" max="8699" width="11.42578125" style="28"/>
    <col min="8700" max="8700" width="16.140625" style="28" customWidth="1"/>
    <col min="8701" max="8701" width="38" style="28" customWidth="1"/>
    <col min="8702" max="8704" width="11.42578125" style="28"/>
    <col min="8705" max="8705" width="12.42578125" style="28" customWidth="1"/>
    <col min="8706" max="8706" width="14.42578125" style="28" bestFit="1" customWidth="1"/>
    <col min="8707" max="8707" width="15.5703125" style="28" customWidth="1"/>
    <col min="8708" max="8955" width="11.42578125" style="28"/>
    <col min="8956" max="8956" width="16.140625" style="28" customWidth="1"/>
    <col min="8957" max="8957" width="38" style="28" customWidth="1"/>
    <col min="8958" max="8960" width="11.42578125" style="28"/>
    <col min="8961" max="8961" width="12.42578125" style="28" customWidth="1"/>
    <col min="8962" max="8962" width="14.42578125" style="28" bestFit="1" customWidth="1"/>
    <col min="8963" max="8963" width="15.5703125" style="28" customWidth="1"/>
    <col min="8964" max="9211" width="11.42578125" style="28"/>
    <col min="9212" max="9212" width="16.140625" style="28" customWidth="1"/>
    <col min="9213" max="9213" width="38" style="28" customWidth="1"/>
    <col min="9214" max="9216" width="11.42578125" style="28"/>
    <col min="9217" max="9217" width="12.42578125" style="28" customWidth="1"/>
    <col min="9218" max="9218" width="14.42578125" style="28" bestFit="1" customWidth="1"/>
    <col min="9219" max="9219" width="15.5703125" style="28" customWidth="1"/>
    <col min="9220" max="9467" width="11.42578125" style="28"/>
    <col min="9468" max="9468" width="16.140625" style="28" customWidth="1"/>
    <col min="9469" max="9469" width="38" style="28" customWidth="1"/>
    <col min="9470" max="9472" width="11.42578125" style="28"/>
    <col min="9473" max="9473" width="12.42578125" style="28" customWidth="1"/>
    <col min="9474" max="9474" width="14.42578125" style="28" bestFit="1" customWidth="1"/>
    <col min="9475" max="9475" width="15.5703125" style="28" customWidth="1"/>
    <col min="9476" max="9723" width="11.42578125" style="28"/>
    <col min="9724" max="9724" width="16.140625" style="28" customWidth="1"/>
    <col min="9725" max="9725" width="38" style="28" customWidth="1"/>
    <col min="9726" max="9728" width="11.42578125" style="28"/>
    <col min="9729" max="9729" width="12.42578125" style="28" customWidth="1"/>
    <col min="9730" max="9730" width="14.42578125" style="28" bestFit="1" customWidth="1"/>
    <col min="9731" max="9731" width="15.5703125" style="28" customWidth="1"/>
    <col min="9732" max="9979" width="11.42578125" style="28"/>
    <col min="9980" max="9980" width="16.140625" style="28" customWidth="1"/>
    <col min="9981" max="9981" width="38" style="28" customWidth="1"/>
    <col min="9982" max="9984" width="11.42578125" style="28"/>
    <col min="9985" max="9985" width="12.42578125" style="28" customWidth="1"/>
    <col min="9986" max="9986" width="14.42578125" style="28" bestFit="1" customWidth="1"/>
    <col min="9987" max="9987" width="15.5703125" style="28" customWidth="1"/>
    <col min="9988" max="10235" width="11.42578125" style="28"/>
    <col min="10236" max="10236" width="16.140625" style="28" customWidth="1"/>
    <col min="10237" max="10237" width="38" style="28" customWidth="1"/>
    <col min="10238" max="10240" width="11.42578125" style="28"/>
    <col min="10241" max="10241" width="12.42578125" style="28" customWidth="1"/>
    <col min="10242" max="10242" width="14.42578125" style="28" bestFit="1" customWidth="1"/>
    <col min="10243" max="10243" width="15.5703125" style="28" customWidth="1"/>
    <col min="10244" max="10491" width="11.42578125" style="28"/>
    <col min="10492" max="10492" width="16.140625" style="28" customWidth="1"/>
    <col min="10493" max="10493" width="38" style="28" customWidth="1"/>
    <col min="10494" max="10496" width="11.42578125" style="28"/>
    <col min="10497" max="10497" width="12.42578125" style="28" customWidth="1"/>
    <col min="10498" max="10498" width="14.42578125" style="28" bestFit="1" customWidth="1"/>
    <col min="10499" max="10499" width="15.5703125" style="28" customWidth="1"/>
    <col min="10500" max="10747" width="11.42578125" style="28"/>
    <col min="10748" max="10748" width="16.140625" style="28" customWidth="1"/>
    <col min="10749" max="10749" width="38" style="28" customWidth="1"/>
    <col min="10750" max="10752" width="11.42578125" style="28"/>
    <col min="10753" max="10753" width="12.42578125" style="28" customWidth="1"/>
    <col min="10754" max="10754" width="14.42578125" style="28" bestFit="1" customWidth="1"/>
    <col min="10755" max="10755" width="15.5703125" style="28" customWidth="1"/>
    <col min="10756" max="11003" width="11.42578125" style="28"/>
    <col min="11004" max="11004" width="16.140625" style="28" customWidth="1"/>
    <col min="11005" max="11005" width="38" style="28" customWidth="1"/>
    <col min="11006" max="11008" width="11.42578125" style="28"/>
    <col min="11009" max="11009" width="12.42578125" style="28" customWidth="1"/>
    <col min="11010" max="11010" width="14.42578125" style="28" bestFit="1" customWidth="1"/>
    <col min="11011" max="11011" width="15.5703125" style="28" customWidth="1"/>
    <col min="11012" max="11259" width="11.42578125" style="28"/>
    <col min="11260" max="11260" width="16.140625" style="28" customWidth="1"/>
    <col min="11261" max="11261" width="38" style="28" customWidth="1"/>
    <col min="11262" max="11264" width="11.42578125" style="28"/>
    <col min="11265" max="11265" width="12.42578125" style="28" customWidth="1"/>
    <col min="11266" max="11266" width="14.42578125" style="28" bestFit="1" customWidth="1"/>
    <col min="11267" max="11267" width="15.5703125" style="28" customWidth="1"/>
    <col min="11268" max="11515" width="11.42578125" style="28"/>
    <col min="11516" max="11516" width="16.140625" style="28" customWidth="1"/>
    <col min="11517" max="11517" width="38" style="28" customWidth="1"/>
    <col min="11518" max="11520" width="11.42578125" style="28"/>
    <col min="11521" max="11521" width="12.42578125" style="28" customWidth="1"/>
    <col min="11522" max="11522" width="14.42578125" style="28" bestFit="1" customWidth="1"/>
    <col min="11523" max="11523" width="15.5703125" style="28" customWidth="1"/>
    <col min="11524" max="11771" width="11.42578125" style="28"/>
    <col min="11772" max="11772" width="16.140625" style="28" customWidth="1"/>
    <col min="11773" max="11773" width="38" style="28" customWidth="1"/>
    <col min="11774" max="11776" width="11.42578125" style="28"/>
    <col min="11777" max="11777" width="12.42578125" style="28" customWidth="1"/>
    <col min="11778" max="11778" width="14.42578125" style="28" bestFit="1" customWidth="1"/>
    <col min="11779" max="11779" width="15.5703125" style="28" customWidth="1"/>
    <col min="11780" max="12027" width="11.42578125" style="28"/>
    <col min="12028" max="12028" width="16.140625" style="28" customWidth="1"/>
    <col min="12029" max="12029" width="38" style="28" customWidth="1"/>
    <col min="12030" max="12032" width="11.42578125" style="28"/>
    <col min="12033" max="12033" width="12.42578125" style="28" customWidth="1"/>
    <col min="12034" max="12034" width="14.42578125" style="28" bestFit="1" customWidth="1"/>
    <col min="12035" max="12035" width="15.5703125" style="28" customWidth="1"/>
    <col min="12036" max="12283" width="11.42578125" style="28"/>
    <col min="12284" max="12284" width="16.140625" style="28" customWidth="1"/>
    <col min="12285" max="12285" width="38" style="28" customWidth="1"/>
    <col min="12286" max="12288" width="11.42578125" style="28"/>
    <col min="12289" max="12289" width="12.42578125" style="28" customWidth="1"/>
    <col min="12290" max="12290" width="14.42578125" style="28" bestFit="1" customWidth="1"/>
    <col min="12291" max="12291" width="15.5703125" style="28" customWidth="1"/>
    <col min="12292" max="12539" width="11.42578125" style="28"/>
    <col min="12540" max="12540" width="16.140625" style="28" customWidth="1"/>
    <col min="12541" max="12541" width="38" style="28" customWidth="1"/>
    <col min="12542" max="12544" width="11.42578125" style="28"/>
    <col min="12545" max="12545" width="12.42578125" style="28" customWidth="1"/>
    <col min="12546" max="12546" width="14.42578125" style="28" bestFit="1" customWidth="1"/>
    <col min="12547" max="12547" width="15.5703125" style="28" customWidth="1"/>
    <col min="12548" max="12795" width="11.42578125" style="28"/>
    <col min="12796" max="12796" width="16.140625" style="28" customWidth="1"/>
    <col min="12797" max="12797" width="38" style="28" customWidth="1"/>
    <col min="12798" max="12800" width="11.42578125" style="28"/>
    <col min="12801" max="12801" width="12.42578125" style="28" customWidth="1"/>
    <col min="12802" max="12802" width="14.42578125" style="28" bestFit="1" customWidth="1"/>
    <col min="12803" max="12803" width="15.5703125" style="28" customWidth="1"/>
    <col min="12804" max="13051" width="11.42578125" style="28"/>
    <col min="13052" max="13052" width="16.140625" style="28" customWidth="1"/>
    <col min="13053" max="13053" width="38" style="28" customWidth="1"/>
    <col min="13054" max="13056" width="11.42578125" style="28"/>
    <col min="13057" max="13057" width="12.42578125" style="28" customWidth="1"/>
    <col min="13058" max="13058" width="14.42578125" style="28" bestFit="1" customWidth="1"/>
    <col min="13059" max="13059" width="15.5703125" style="28" customWidth="1"/>
    <col min="13060" max="13307" width="11.42578125" style="28"/>
    <col min="13308" max="13308" width="16.140625" style="28" customWidth="1"/>
    <col min="13309" max="13309" width="38" style="28" customWidth="1"/>
    <col min="13310" max="13312" width="11.42578125" style="28"/>
    <col min="13313" max="13313" width="12.42578125" style="28" customWidth="1"/>
    <col min="13314" max="13314" width="14.42578125" style="28" bestFit="1" customWidth="1"/>
    <col min="13315" max="13315" width="15.5703125" style="28" customWidth="1"/>
    <col min="13316" max="13563" width="11.42578125" style="28"/>
    <col min="13564" max="13564" width="16.140625" style="28" customWidth="1"/>
    <col min="13565" max="13565" width="38" style="28" customWidth="1"/>
    <col min="13566" max="13568" width="11.42578125" style="28"/>
    <col min="13569" max="13569" width="12.42578125" style="28" customWidth="1"/>
    <col min="13570" max="13570" width="14.42578125" style="28" bestFit="1" customWidth="1"/>
    <col min="13571" max="13571" width="15.5703125" style="28" customWidth="1"/>
    <col min="13572" max="13819" width="11.42578125" style="28"/>
    <col min="13820" max="13820" width="16.140625" style="28" customWidth="1"/>
    <col min="13821" max="13821" width="38" style="28" customWidth="1"/>
    <col min="13822" max="13824" width="11.42578125" style="28"/>
    <col min="13825" max="13825" width="12.42578125" style="28" customWidth="1"/>
    <col min="13826" max="13826" width="14.42578125" style="28" bestFit="1" customWidth="1"/>
    <col min="13827" max="13827" width="15.5703125" style="28" customWidth="1"/>
    <col min="13828" max="14075" width="11.42578125" style="28"/>
    <col min="14076" max="14076" width="16.140625" style="28" customWidth="1"/>
    <col min="14077" max="14077" width="38" style="28" customWidth="1"/>
    <col min="14078" max="14080" width="11.42578125" style="28"/>
    <col min="14081" max="14081" width="12.42578125" style="28" customWidth="1"/>
    <col min="14082" max="14082" width="14.42578125" style="28" bestFit="1" customWidth="1"/>
    <col min="14083" max="14083" width="15.5703125" style="28" customWidth="1"/>
    <col min="14084" max="14331" width="11.42578125" style="28"/>
    <col min="14332" max="14332" width="16.140625" style="28" customWidth="1"/>
    <col min="14333" max="14333" width="38" style="28" customWidth="1"/>
    <col min="14334" max="14336" width="11.42578125" style="28"/>
    <col min="14337" max="14337" width="12.42578125" style="28" customWidth="1"/>
    <col min="14338" max="14338" width="14.42578125" style="28" bestFit="1" customWidth="1"/>
    <col min="14339" max="14339" width="15.5703125" style="28" customWidth="1"/>
    <col min="14340" max="14587" width="11.42578125" style="28"/>
    <col min="14588" max="14588" width="16.140625" style="28" customWidth="1"/>
    <col min="14589" max="14589" width="38" style="28" customWidth="1"/>
    <col min="14590" max="14592" width="11.42578125" style="28"/>
    <col min="14593" max="14593" width="12.42578125" style="28" customWidth="1"/>
    <col min="14594" max="14594" width="14.42578125" style="28" bestFit="1" customWidth="1"/>
    <col min="14595" max="14595" width="15.5703125" style="28" customWidth="1"/>
    <col min="14596" max="14843" width="11.42578125" style="28"/>
    <col min="14844" max="14844" width="16.140625" style="28" customWidth="1"/>
    <col min="14845" max="14845" width="38" style="28" customWidth="1"/>
    <col min="14846" max="14848" width="11.42578125" style="28"/>
    <col min="14849" max="14849" width="12.42578125" style="28" customWidth="1"/>
    <col min="14850" max="14850" width="14.42578125" style="28" bestFit="1" customWidth="1"/>
    <col min="14851" max="14851" width="15.5703125" style="28" customWidth="1"/>
    <col min="14852" max="15099" width="11.42578125" style="28"/>
    <col min="15100" max="15100" width="16.140625" style="28" customWidth="1"/>
    <col min="15101" max="15101" width="38" style="28" customWidth="1"/>
    <col min="15102" max="15104" width="11.42578125" style="28"/>
    <col min="15105" max="15105" width="12.42578125" style="28" customWidth="1"/>
    <col min="15106" max="15106" width="14.42578125" style="28" bestFit="1" customWidth="1"/>
    <col min="15107" max="15107" width="15.5703125" style="28" customWidth="1"/>
    <col min="15108" max="15355" width="11.42578125" style="28"/>
    <col min="15356" max="15356" width="16.140625" style="28" customWidth="1"/>
    <col min="15357" max="15357" width="38" style="28" customWidth="1"/>
    <col min="15358" max="15360" width="11.42578125" style="28"/>
    <col min="15361" max="15361" width="12.42578125" style="28" customWidth="1"/>
    <col min="15362" max="15362" width="14.42578125" style="28" bestFit="1" customWidth="1"/>
    <col min="15363" max="15363" width="15.5703125" style="28" customWidth="1"/>
    <col min="15364" max="15611" width="11.42578125" style="28"/>
    <col min="15612" max="15612" width="16.140625" style="28" customWidth="1"/>
    <col min="15613" max="15613" width="38" style="28" customWidth="1"/>
    <col min="15614" max="15616" width="11.42578125" style="28"/>
    <col min="15617" max="15617" width="12.42578125" style="28" customWidth="1"/>
    <col min="15618" max="15618" width="14.42578125" style="28" bestFit="1" customWidth="1"/>
    <col min="15619" max="15619" width="15.5703125" style="28" customWidth="1"/>
    <col min="15620" max="15867" width="11.42578125" style="28"/>
    <col min="15868" max="15868" width="16.140625" style="28" customWidth="1"/>
    <col min="15869" max="15869" width="38" style="28" customWidth="1"/>
    <col min="15870" max="15872" width="11.42578125" style="28"/>
    <col min="15873" max="15873" width="12.42578125" style="28" customWidth="1"/>
    <col min="15874" max="15874" width="14.42578125" style="28" bestFit="1" customWidth="1"/>
    <col min="15875" max="15875" width="15.5703125" style="28" customWidth="1"/>
    <col min="15876" max="16123" width="11.42578125" style="28"/>
    <col min="16124" max="16124" width="16.140625" style="28" customWidth="1"/>
    <col min="16125" max="16125" width="38" style="28" customWidth="1"/>
    <col min="16126" max="16128" width="11.42578125" style="28"/>
    <col min="16129" max="16129" width="12.42578125" style="28" customWidth="1"/>
    <col min="16130" max="16130" width="14.42578125" style="28" bestFit="1" customWidth="1"/>
    <col min="16131" max="16131" width="15.5703125" style="28" customWidth="1"/>
    <col min="16132" max="16384" width="11.42578125" style="28"/>
  </cols>
  <sheetData>
    <row r="1" spans="1:8" ht="15.75" x14ac:dyDescent="0.25">
      <c r="A1" s="409"/>
      <c r="B1" s="309" t="s">
        <v>0</v>
      </c>
      <c r="C1" s="309"/>
      <c r="D1" s="309"/>
      <c r="E1" s="309"/>
      <c r="F1" s="309"/>
      <c r="G1" s="1" t="s">
        <v>1</v>
      </c>
      <c r="H1" s="38"/>
    </row>
    <row r="2" spans="1:8" ht="16.5" thickBot="1" x14ac:dyDescent="0.3">
      <c r="A2" s="410"/>
      <c r="B2" s="372" t="s">
        <v>2</v>
      </c>
      <c r="C2" s="372"/>
      <c r="D2" s="372"/>
      <c r="E2" s="372"/>
      <c r="F2" s="372"/>
      <c r="G2" s="3" t="s">
        <v>3</v>
      </c>
      <c r="H2" s="39"/>
    </row>
    <row r="3" spans="1:8" ht="18.75" thickBot="1" x14ac:dyDescent="0.3">
      <c r="A3" s="305"/>
      <c r="B3" s="411" t="s">
        <v>195</v>
      </c>
      <c r="C3" s="374"/>
      <c r="D3" s="374"/>
      <c r="E3" s="374"/>
      <c r="F3" s="375"/>
      <c r="G3" s="314" t="s">
        <v>4</v>
      </c>
      <c r="H3" s="294"/>
    </row>
    <row r="4" spans="1:8" x14ac:dyDescent="0.25">
      <c r="A4" s="410"/>
      <c r="B4" s="29" t="s">
        <v>5</v>
      </c>
      <c r="C4" s="407" t="s">
        <v>52</v>
      </c>
      <c r="D4" s="407"/>
      <c r="E4" s="407"/>
      <c r="F4" s="407"/>
      <c r="G4" s="315"/>
      <c r="H4" s="295"/>
    </row>
    <row r="5" spans="1:8" ht="14.25" thickBot="1" x14ac:dyDescent="0.3">
      <c r="A5" s="410"/>
      <c r="B5" s="5" t="s">
        <v>6</v>
      </c>
      <c r="C5" s="408" t="s">
        <v>37</v>
      </c>
      <c r="D5" s="408"/>
      <c r="E5" s="408"/>
      <c r="F5" s="408"/>
      <c r="G5" s="316"/>
      <c r="H5" s="295"/>
    </row>
    <row r="6" spans="1:8" x14ac:dyDescent="0.25">
      <c r="A6" s="376" t="s">
        <v>9</v>
      </c>
      <c r="B6" s="378" t="s">
        <v>10</v>
      </c>
      <c r="C6" s="378" t="s">
        <v>11</v>
      </c>
      <c r="D6" s="378" t="s">
        <v>12</v>
      </c>
      <c r="E6" s="378"/>
      <c r="F6" s="414" t="s">
        <v>28</v>
      </c>
      <c r="G6" s="415"/>
      <c r="H6" s="416"/>
    </row>
    <row r="7" spans="1:8" ht="27" thickBot="1" x14ac:dyDescent="0.3">
      <c r="A7" s="412"/>
      <c r="B7" s="413"/>
      <c r="C7" s="413"/>
      <c r="D7" s="44" t="s">
        <v>15</v>
      </c>
      <c r="E7" s="45" t="s">
        <v>16</v>
      </c>
      <c r="F7" s="417" t="s">
        <v>15</v>
      </c>
      <c r="G7" s="418"/>
      <c r="H7" s="419"/>
    </row>
    <row r="8" spans="1:8" s="31" customFormat="1" ht="15.75" x14ac:dyDescent="0.25">
      <c r="A8" s="58">
        <v>1110414</v>
      </c>
      <c r="B8" s="52" t="s">
        <v>81</v>
      </c>
      <c r="C8" s="54" t="s">
        <v>69</v>
      </c>
      <c r="D8" s="55">
        <v>400</v>
      </c>
      <c r="E8" s="56" t="s">
        <v>20</v>
      </c>
      <c r="F8" s="64"/>
      <c r="G8" s="56"/>
      <c r="H8" s="57"/>
    </row>
    <row r="9" spans="1:8" s="31" customFormat="1" ht="15.75" x14ac:dyDescent="0.25">
      <c r="A9" s="58" t="s">
        <v>67</v>
      </c>
      <c r="B9" s="52" t="s">
        <v>68</v>
      </c>
      <c r="C9" s="40" t="s">
        <v>69</v>
      </c>
      <c r="D9" s="23">
        <v>400</v>
      </c>
      <c r="E9" s="23" t="s">
        <v>20</v>
      </c>
      <c r="F9" s="65"/>
      <c r="G9" s="23"/>
      <c r="H9" s="12"/>
    </row>
    <row r="10" spans="1:8" s="31" customFormat="1" ht="15.75" x14ac:dyDescent="0.25">
      <c r="A10" s="58" t="s">
        <v>82</v>
      </c>
      <c r="B10" s="52" t="s">
        <v>83</v>
      </c>
      <c r="C10" s="23" t="s">
        <v>87</v>
      </c>
      <c r="D10" s="23">
        <v>80</v>
      </c>
      <c r="E10" s="23" t="s">
        <v>20</v>
      </c>
      <c r="F10" s="65"/>
      <c r="G10" s="23"/>
      <c r="H10" s="12"/>
    </row>
    <row r="11" spans="1:8" s="31" customFormat="1" ht="15.75" x14ac:dyDescent="0.25">
      <c r="A11" s="201" t="s">
        <v>196</v>
      </c>
      <c r="B11" s="52" t="s">
        <v>84</v>
      </c>
      <c r="C11" s="23" t="s">
        <v>88</v>
      </c>
      <c r="D11" s="23">
        <v>10</v>
      </c>
      <c r="E11" s="23" t="s">
        <v>20</v>
      </c>
      <c r="F11" s="65"/>
      <c r="G11" s="10"/>
      <c r="H11" s="41"/>
    </row>
    <row r="12" spans="1:8" s="31" customFormat="1" ht="15.75" x14ac:dyDescent="0.25">
      <c r="A12" s="58" t="s">
        <v>85</v>
      </c>
      <c r="B12" s="52" t="s">
        <v>86</v>
      </c>
      <c r="C12" s="23" t="s">
        <v>88</v>
      </c>
      <c r="D12" s="23">
        <v>10</v>
      </c>
      <c r="E12" s="23" t="s">
        <v>20</v>
      </c>
      <c r="F12" s="65"/>
      <c r="G12" s="10"/>
      <c r="H12" s="41"/>
    </row>
    <row r="13" spans="1:8" s="31" customFormat="1" ht="15.75" x14ac:dyDescent="0.25">
      <c r="A13" s="58" t="s">
        <v>89</v>
      </c>
      <c r="B13" s="52" t="s">
        <v>90</v>
      </c>
      <c r="C13" s="23" t="s">
        <v>53</v>
      </c>
      <c r="D13" s="23">
        <f>0.8*2</f>
        <v>1.6</v>
      </c>
      <c r="E13" s="23" t="s">
        <v>20</v>
      </c>
      <c r="F13" s="65"/>
      <c r="G13" s="10"/>
      <c r="H13" s="12"/>
    </row>
    <row r="14" spans="1:8" x14ac:dyDescent="0.25">
      <c r="A14" s="66">
        <v>10415</v>
      </c>
      <c r="B14" s="52" t="s">
        <v>102</v>
      </c>
      <c r="C14" s="53" t="s">
        <v>61</v>
      </c>
      <c r="D14" s="32">
        <v>30</v>
      </c>
      <c r="E14" s="23" t="s">
        <v>20</v>
      </c>
      <c r="F14" s="65"/>
      <c r="G14" s="32"/>
      <c r="H14" s="33"/>
    </row>
    <row r="15" spans="1:8" x14ac:dyDescent="0.25">
      <c r="A15" s="42"/>
      <c r="B15" s="43"/>
      <c r="C15" s="43"/>
      <c r="D15" s="32"/>
      <c r="E15" s="34"/>
      <c r="F15" s="34"/>
      <c r="G15" s="34"/>
      <c r="H15" s="33"/>
    </row>
    <row r="16" spans="1:8" ht="14.25" thickBot="1" x14ac:dyDescent="0.3">
      <c r="A16" s="59"/>
      <c r="B16" s="60"/>
      <c r="C16" s="60"/>
      <c r="D16" s="61"/>
      <c r="E16" s="62"/>
      <c r="F16" s="60"/>
      <c r="G16" s="60"/>
      <c r="H16" s="63"/>
    </row>
    <row r="17" spans="1:10" ht="14.25" thickBot="1" x14ac:dyDescent="0.3">
      <c r="A17" s="46"/>
      <c r="B17" s="47"/>
      <c r="C17" s="48" t="s">
        <v>15</v>
      </c>
      <c r="D17" s="49" t="s">
        <v>28</v>
      </c>
      <c r="E17" s="50"/>
      <c r="F17" s="47"/>
      <c r="G17" s="47"/>
      <c r="H17" s="51"/>
    </row>
    <row r="18" spans="1:10" x14ac:dyDescent="0.25">
      <c r="A18" s="362" t="s">
        <v>29</v>
      </c>
      <c r="B18" s="363"/>
      <c r="C18" s="35">
        <v>800</v>
      </c>
      <c r="D18" s="36" t="s">
        <v>20</v>
      </c>
      <c r="E18" s="364" t="s">
        <v>76</v>
      </c>
      <c r="F18" s="364"/>
      <c r="G18" s="365"/>
      <c r="H18" s="366"/>
    </row>
    <row r="19" spans="1:10" x14ac:dyDescent="0.25">
      <c r="A19" s="380" t="s">
        <v>30</v>
      </c>
      <c r="B19" s="381"/>
      <c r="C19" s="27">
        <v>15</v>
      </c>
      <c r="D19" s="27" t="s">
        <v>77</v>
      </c>
      <c r="E19" s="382" t="s">
        <v>55</v>
      </c>
      <c r="F19" s="382"/>
      <c r="G19" s="383"/>
      <c r="H19" s="384"/>
      <c r="I19" s="28">
        <f>+C19/C18</f>
        <v>1.8749999999999999E-2</v>
      </c>
      <c r="J19" s="28">
        <f>+I19*1000</f>
        <v>18.75</v>
      </c>
    </row>
    <row r="20" spans="1:10" x14ac:dyDescent="0.25">
      <c r="A20" s="380" t="s">
        <v>32</v>
      </c>
      <c r="B20" s="381"/>
      <c r="C20" s="27">
        <v>1</v>
      </c>
      <c r="D20" s="27" t="s">
        <v>78</v>
      </c>
      <c r="E20" s="382" t="s">
        <v>79</v>
      </c>
      <c r="F20" s="382"/>
      <c r="G20" s="383"/>
      <c r="H20" s="384"/>
    </row>
    <row r="21" spans="1:10" x14ac:dyDescent="0.25">
      <c r="A21" s="380" t="s">
        <v>33</v>
      </c>
      <c r="B21" s="381"/>
      <c r="C21" s="32">
        <f>C18</f>
        <v>800</v>
      </c>
      <c r="D21" s="27" t="s">
        <v>20</v>
      </c>
      <c r="E21" s="382" t="s">
        <v>80</v>
      </c>
      <c r="F21" s="382"/>
      <c r="G21" s="343"/>
      <c r="H21" s="344"/>
    </row>
    <row r="22" spans="1:10" ht="14.25" thickBot="1" x14ac:dyDescent="0.3">
      <c r="A22" s="387" t="s">
        <v>34</v>
      </c>
      <c r="B22" s="388"/>
      <c r="C22" s="68">
        <v>130</v>
      </c>
      <c r="D22" s="37" t="s">
        <v>20</v>
      </c>
      <c r="E22" s="389"/>
      <c r="F22" s="389"/>
      <c r="G22" s="390"/>
      <c r="H22" s="391"/>
    </row>
    <row r="23" spans="1:10" ht="14.25" thickBot="1" x14ac:dyDescent="0.3">
      <c r="A23" s="392" t="s">
        <v>35</v>
      </c>
      <c r="B23" s="393"/>
      <c r="C23" s="393"/>
      <c r="D23" s="393"/>
      <c r="E23" s="393"/>
      <c r="F23" s="393"/>
      <c r="G23" s="393"/>
      <c r="H23" s="394"/>
    </row>
    <row r="24" spans="1:10" ht="27" customHeight="1" x14ac:dyDescent="0.25">
      <c r="A24" s="423" t="s">
        <v>92</v>
      </c>
      <c r="B24" s="424"/>
      <c r="C24" s="424"/>
      <c r="D24" s="424"/>
      <c r="E24" s="424"/>
      <c r="F24" s="424"/>
      <c r="G24" s="424"/>
      <c r="H24" s="425"/>
    </row>
    <row r="25" spans="1:10" ht="17.45" customHeight="1" x14ac:dyDescent="0.25">
      <c r="A25" s="426" t="s">
        <v>93</v>
      </c>
      <c r="B25" s="427"/>
      <c r="C25" s="427"/>
      <c r="D25" s="427"/>
      <c r="E25" s="427"/>
      <c r="F25" s="427"/>
      <c r="G25" s="427"/>
      <c r="H25" s="428"/>
    </row>
    <row r="26" spans="1:10" ht="18.600000000000001" customHeight="1" x14ac:dyDescent="0.25">
      <c r="A26" s="429" t="s">
        <v>94</v>
      </c>
      <c r="B26" s="430"/>
      <c r="C26" s="430"/>
      <c r="D26" s="430"/>
      <c r="E26" s="430"/>
      <c r="F26" s="430"/>
      <c r="G26" s="430"/>
      <c r="H26" s="431"/>
    </row>
    <row r="27" spans="1:10" ht="20.100000000000001" customHeight="1" x14ac:dyDescent="0.25">
      <c r="A27" s="426"/>
      <c r="B27" s="427"/>
      <c r="C27" s="427"/>
      <c r="D27" s="427"/>
      <c r="E27" s="427"/>
      <c r="F27" s="427"/>
      <c r="G27" s="427"/>
      <c r="H27" s="428"/>
    </row>
    <row r="28" spans="1:10" s="67" customFormat="1" x14ac:dyDescent="0.25">
      <c r="A28" s="432"/>
      <c r="B28" s="433"/>
      <c r="C28" s="433"/>
      <c r="D28" s="433"/>
      <c r="E28" s="433"/>
      <c r="F28" s="433"/>
      <c r="G28" s="433"/>
      <c r="H28" s="434"/>
    </row>
    <row r="29" spans="1:10" s="67" customFormat="1" x14ac:dyDescent="0.25">
      <c r="A29" s="435" t="s">
        <v>36</v>
      </c>
      <c r="B29" s="436"/>
      <c r="C29" s="436"/>
      <c r="D29" s="436"/>
      <c r="E29" s="436"/>
      <c r="F29" s="436"/>
      <c r="G29" s="436"/>
      <c r="H29" s="437"/>
    </row>
    <row r="30" spans="1:10" s="67" customFormat="1" x14ac:dyDescent="0.25">
      <c r="A30" s="438"/>
      <c r="B30" s="439"/>
      <c r="C30" s="439"/>
      <c r="D30" s="439"/>
      <c r="E30" s="439"/>
      <c r="F30" s="439"/>
      <c r="G30" s="439"/>
      <c r="H30" s="440"/>
    </row>
    <row r="31" spans="1:10" ht="14.25" thickBot="1" x14ac:dyDescent="0.3">
      <c r="A31" s="420"/>
      <c r="B31" s="421"/>
      <c r="C31" s="421"/>
      <c r="D31" s="421"/>
      <c r="E31" s="421"/>
      <c r="F31" s="421"/>
      <c r="G31" s="421"/>
      <c r="H31" s="422"/>
    </row>
    <row r="33" spans="1:2" x14ac:dyDescent="0.25">
      <c r="A33" s="30"/>
      <c r="B33" s="30"/>
    </row>
  </sheetData>
  <mergeCells count="38">
    <mergeCell ref="A31:H31"/>
    <mergeCell ref="A22:B22"/>
    <mergeCell ref="E22:F22"/>
    <mergeCell ref="G22:H22"/>
    <mergeCell ref="A23:H23"/>
    <mergeCell ref="A24:H24"/>
    <mergeCell ref="A25:H25"/>
    <mergeCell ref="A26:H26"/>
    <mergeCell ref="A27:H27"/>
    <mergeCell ref="A28:H28"/>
    <mergeCell ref="A29:H29"/>
    <mergeCell ref="A30:H30"/>
    <mergeCell ref="A20:B20"/>
    <mergeCell ref="E20:F20"/>
    <mergeCell ref="G20:H20"/>
    <mergeCell ref="A21:B21"/>
    <mergeCell ref="E21:F21"/>
    <mergeCell ref="G21:H21"/>
    <mergeCell ref="A18:B18"/>
    <mergeCell ref="E18:F18"/>
    <mergeCell ref="G18:H18"/>
    <mergeCell ref="A19:B19"/>
    <mergeCell ref="E19:F19"/>
    <mergeCell ref="G19:H19"/>
    <mergeCell ref="A6:A7"/>
    <mergeCell ref="B6:B7"/>
    <mergeCell ref="C6:C7"/>
    <mergeCell ref="D6:E6"/>
    <mergeCell ref="F6:H6"/>
    <mergeCell ref="F7:H7"/>
    <mergeCell ref="H3:H5"/>
    <mergeCell ref="C4:F4"/>
    <mergeCell ref="C5:F5"/>
    <mergeCell ref="A1:A5"/>
    <mergeCell ref="B1:F1"/>
    <mergeCell ref="B2:F2"/>
    <mergeCell ref="B3:F3"/>
    <mergeCell ref="G3:G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1D7AC-239C-48DA-BB68-0D278F7B827B}">
  <dimension ref="A1:Q91"/>
  <sheetViews>
    <sheetView workbookViewId="0">
      <selection activeCell="D10" sqref="D10"/>
    </sheetView>
  </sheetViews>
  <sheetFormatPr baseColWidth="10" defaultColWidth="8.42578125" defaultRowHeight="12.75" x14ac:dyDescent="0.25"/>
  <cols>
    <col min="1" max="1" width="10" style="119" bestFit="1" customWidth="1"/>
    <col min="2" max="2" width="44.42578125" style="119" bestFit="1" customWidth="1"/>
    <col min="3" max="3" width="10.42578125" style="119" bestFit="1" customWidth="1"/>
    <col min="4" max="4" width="10.42578125" style="119" customWidth="1"/>
    <col min="5" max="6" width="9.5703125" style="119" bestFit="1" customWidth="1"/>
    <col min="7" max="7" width="9.5703125" style="107" bestFit="1" customWidth="1"/>
    <col min="8" max="8" width="10.42578125" style="184" bestFit="1" customWidth="1"/>
    <col min="9" max="9" width="4.5703125" style="184" customWidth="1"/>
    <col min="10" max="10" width="1.85546875" style="118" customWidth="1"/>
    <col min="11" max="11" width="7" style="119" bestFit="1" customWidth="1"/>
    <col min="12" max="12" width="6.42578125" style="119" customWidth="1"/>
    <col min="13" max="13" width="20.42578125" style="119" customWidth="1"/>
    <col min="14" max="14" width="6.42578125" style="119" bestFit="1" customWidth="1"/>
    <col min="15" max="16" width="8.42578125" style="119"/>
    <col min="17" max="17" width="3.42578125" style="119" customWidth="1"/>
    <col min="18" max="256" width="8.42578125" style="119"/>
    <col min="257" max="257" width="10" style="119" bestFit="1" customWidth="1"/>
    <col min="258" max="258" width="44.42578125" style="119" bestFit="1" customWidth="1"/>
    <col min="259" max="259" width="10.42578125" style="119" bestFit="1" customWidth="1"/>
    <col min="260" max="260" width="10.42578125" style="119" customWidth="1"/>
    <col min="261" max="263" width="9.5703125" style="119" bestFit="1" customWidth="1"/>
    <col min="264" max="264" width="10.42578125" style="119" bestFit="1" customWidth="1"/>
    <col min="265" max="265" width="4.5703125" style="119" customWidth="1"/>
    <col min="266" max="266" width="1.85546875" style="119" customWidth="1"/>
    <col min="267" max="267" width="7" style="119" bestFit="1" customWidth="1"/>
    <col min="268" max="268" width="6.42578125" style="119" customWidth="1"/>
    <col min="269" max="269" width="20.42578125" style="119" customWidth="1"/>
    <col min="270" max="270" width="6.42578125" style="119" bestFit="1" customWidth="1"/>
    <col min="271" max="272" width="8.42578125" style="119"/>
    <col min="273" max="273" width="3.42578125" style="119" customWidth="1"/>
    <col min="274" max="512" width="8.42578125" style="119"/>
    <col min="513" max="513" width="10" style="119" bestFit="1" customWidth="1"/>
    <col min="514" max="514" width="44.42578125" style="119" bestFit="1" customWidth="1"/>
    <col min="515" max="515" width="10.42578125" style="119" bestFit="1" customWidth="1"/>
    <col min="516" max="516" width="10.42578125" style="119" customWidth="1"/>
    <col min="517" max="519" width="9.5703125" style="119" bestFit="1" customWidth="1"/>
    <col min="520" max="520" width="10.42578125" style="119" bestFit="1" customWidth="1"/>
    <col min="521" max="521" width="4.5703125" style="119" customWidth="1"/>
    <col min="522" max="522" width="1.85546875" style="119" customWidth="1"/>
    <col min="523" max="523" width="7" style="119" bestFit="1" customWidth="1"/>
    <col min="524" max="524" width="6.42578125" style="119" customWidth="1"/>
    <col min="525" max="525" width="20.42578125" style="119" customWidth="1"/>
    <col min="526" max="526" width="6.42578125" style="119" bestFit="1" customWidth="1"/>
    <col min="527" max="528" width="8.42578125" style="119"/>
    <col min="529" max="529" width="3.42578125" style="119" customWidth="1"/>
    <col min="530" max="768" width="8.42578125" style="119"/>
    <col min="769" max="769" width="10" style="119" bestFit="1" customWidth="1"/>
    <col min="770" max="770" width="44.42578125" style="119" bestFit="1" customWidth="1"/>
    <col min="771" max="771" width="10.42578125" style="119" bestFit="1" customWidth="1"/>
    <col min="772" max="772" width="10.42578125" style="119" customWidth="1"/>
    <col min="773" max="775" width="9.5703125" style="119" bestFit="1" customWidth="1"/>
    <col min="776" max="776" width="10.42578125" style="119" bestFit="1" customWidth="1"/>
    <col min="777" max="777" width="4.5703125" style="119" customWidth="1"/>
    <col min="778" max="778" width="1.85546875" style="119" customWidth="1"/>
    <col min="779" max="779" width="7" style="119" bestFit="1" customWidth="1"/>
    <col min="780" max="780" width="6.42578125" style="119" customWidth="1"/>
    <col min="781" max="781" width="20.42578125" style="119" customWidth="1"/>
    <col min="782" max="782" width="6.42578125" style="119" bestFit="1" customWidth="1"/>
    <col min="783" max="784" width="8.42578125" style="119"/>
    <col min="785" max="785" width="3.42578125" style="119" customWidth="1"/>
    <col min="786" max="1024" width="8.42578125" style="119"/>
    <col min="1025" max="1025" width="10" style="119" bestFit="1" customWidth="1"/>
    <col min="1026" max="1026" width="44.42578125" style="119" bestFit="1" customWidth="1"/>
    <col min="1027" max="1027" width="10.42578125" style="119" bestFit="1" customWidth="1"/>
    <col min="1028" max="1028" width="10.42578125" style="119" customWidth="1"/>
    <col min="1029" max="1031" width="9.5703125" style="119" bestFit="1" customWidth="1"/>
    <col min="1032" max="1032" width="10.42578125" style="119" bestFit="1" customWidth="1"/>
    <col min="1033" max="1033" width="4.5703125" style="119" customWidth="1"/>
    <col min="1034" max="1034" width="1.85546875" style="119" customWidth="1"/>
    <col min="1035" max="1035" width="7" style="119" bestFit="1" customWidth="1"/>
    <col min="1036" max="1036" width="6.42578125" style="119" customWidth="1"/>
    <col min="1037" max="1037" width="20.42578125" style="119" customWidth="1"/>
    <col min="1038" max="1038" width="6.42578125" style="119" bestFit="1" customWidth="1"/>
    <col min="1039" max="1040" width="8.42578125" style="119"/>
    <col min="1041" max="1041" width="3.42578125" style="119" customWidth="1"/>
    <col min="1042" max="1280" width="8.42578125" style="119"/>
    <col min="1281" max="1281" width="10" style="119" bestFit="1" customWidth="1"/>
    <col min="1282" max="1282" width="44.42578125" style="119" bestFit="1" customWidth="1"/>
    <col min="1283" max="1283" width="10.42578125" style="119" bestFit="1" customWidth="1"/>
    <col min="1284" max="1284" width="10.42578125" style="119" customWidth="1"/>
    <col min="1285" max="1287" width="9.5703125" style="119" bestFit="1" customWidth="1"/>
    <col min="1288" max="1288" width="10.42578125" style="119" bestFit="1" customWidth="1"/>
    <col min="1289" max="1289" width="4.5703125" style="119" customWidth="1"/>
    <col min="1290" max="1290" width="1.85546875" style="119" customWidth="1"/>
    <col min="1291" max="1291" width="7" style="119" bestFit="1" customWidth="1"/>
    <col min="1292" max="1292" width="6.42578125" style="119" customWidth="1"/>
    <col min="1293" max="1293" width="20.42578125" style="119" customWidth="1"/>
    <col min="1294" max="1294" width="6.42578125" style="119" bestFit="1" customWidth="1"/>
    <col min="1295" max="1296" width="8.42578125" style="119"/>
    <col min="1297" max="1297" width="3.42578125" style="119" customWidth="1"/>
    <col min="1298" max="1536" width="8.42578125" style="119"/>
    <col min="1537" max="1537" width="10" style="119" bestFit="1" customWidth="1"/>
    <col min="1538" max="1538" width="44.42578125" style="119" bestFit="1" customWidth="1"/>
    <col min="1539" max="1539" width="10.42578125" style="119" bestFit="1" customWidth="1"/>
    <col min="1540" max="1540" width="10.42578125" style="119" customWidth="1"/>
    <col min="1541" max="1543" width="9.5703125" style="119" bestFit="1" customWidth="1"/>
    <col min="1544" max="1544" width="10.42578125" style="119" bestFit="1" customWidth="1"/>
    <col min="1545" max="1545" width="4.5703125" style="119" customWidth="1"/>
    <col min="1546" max="1546" width="1.85546875" style="119" customWidth="1"/>
    <col min="1547" max="1547" width="7" style="119" bestFit="1" customWidth="1"/>
    <col min="1548" max="1548" width="6.42578125" style="119" customWidth="1"/>
    <col min="1549" max="1549" width="20.42578125" style="119" customWidth="1"/>
    <col min="1550" max="1550" width="6.42578125" style="119" bestFit="1" customWidth="1"/>
    <col min="1551" max="1552" width="8.42578125" style="119"/>
    <col min="1553" max="1553" width="3.42578125" style="119" customWidth="1"/>
    <col min="1554" max="1792" width="8.42578125" style="119"/>
    <col min="1793" max="1793" width="10" style="119" bestFit="1" customWidth="1"/>
    <col min="1794" max="1794" width="44.42578125" style="119" bestFit="1" customWidth="1"/>
    <col min="1795" max="1795" width="10.42578125" style="119" bestFit="1" customWidth="1"/>
    <col min="1796" max="1796" width="10.42578125" style="119" customWidth="1"/>
    <col min="1797" max="1799" width="9.5703125" style="119" bestFit="1" customWidth="1"/>
    <col min="1800" max="1800" width="10.42578125" style="119" bestFit="1" customWidth="1"/>
    <col min="1801" max="1801" width="4.5703125" style="119" customWidth="1"/>
    <col min="1802" max="1802" width="1.85546875" style="119" customWidth="1"/>
    <col min="1803" max="1803" width="7" style="119" bestFit="1" customWidth="1"/>
    <col min="1804" max="1804" width="6.42578125" style="119" customWidth="1"/>
    <col min="1805" max="1805" width="20.42578125" style="119" customWidth="1"/>
    <col min="1806" max="1806" width="6.42578125" style="119" bestFit="1" customWidth="1"/>
    <col min="1807" max="1808" width="8.42578125" style="119"/>
    <col min="1809" max="1809" width="3.42578125" style="119" customWidth="1"/>
    <col min="1810" max="2048" width="8.42578125" style="119"/>
    <col min="2049" max="2049" width="10" style="119" bestFit="1" customWidth="1"/>
    <col min="2050" max="2050" width="44.42578125" style="119" bestFit="1" customWidth="1"/>
    <col min="2051" max="2051" width="10.42578125" style="119" bestFit="1" customWidth="1"/>
    <col min="2052" max="2052" width="10.42578125" style="119" customWidth="1"/>
    <col min="2053" max="2055" width="9.5703125" style="119" bestFit="1" customWidth="1"/>
    <col min="2056" max="2056" width="10.42578125" style="119" bestFit="1" customWidth="1"/>
    <col min="2057" max="2057" width="4.5703125" style="119" customWidth="1"/>
    <col min="2058" max="2058" width="1.85546875" style="119" customWidth="1"/>
    <col min="2059" max="2059" width="7" style="119" bestFit="1" customWidth="1"/>
    <col min="2060" max="2060" width="6.42578125" style="119" customWidth="1"/>
    <col min="2061" max="2061" width="20.42578125" style="119" customWidth="1"/>
    <col min="2062" max="2062" width="6.42578125" style="119" bestFit="1" customWidth="1"/>
    <col min="2063" max="2064" width="8.42578125" style="119"/>
    <col min="2065" max="2065" width="3.42578125" style="119" customWidth="1"/>
    <col min="2066" max="2304" width="8.42578125" style="119"/>
    <col min="2305" max="2305" width="10" style="119" bestFit="1" customWidth="1"/>
    <col min="2306" max="2306" width="44.42578125" style="119" bestFit="1" customWidth="1"/>
    <col min="2307" max="2307" width="10.42578125" style="119" bestFit="1" customWidth="1"/>
    <col min="2308" max="2308" width="10.42578125" style="119" customWidth="1"/>
    <col min="2309" max="2311" width="9.5703125" style="119" bestFit="1" customWidth="1"/>
    <col min="2312" max="2312" width="10.42578125" style="119" bestFit="1" customWidth="1"/>
    <col min="2313" max="2313" width="4.5703125" style="119" customWidth="1"/>
    <col min="2314" max="2314" width="1.85546875" style="119" customWidth="1"/>
    <col min="2315" max="2315" width="7" style="119" bestFit="1" customWidth="1"/>
    <col min="2316" max="2316" width="6.42578125" style="119" customWidth="1"/>
    <col min="2317" max="2317" width="20.42578125" style="119" customWidth="1"/>
    <col min="2318" max="2318" width="6.42578125" style="119" bestFit="1" customWidth="1"/>
    <col min="2319" max="2320" width="8.42578125" style="119"/>
    <col min="2321" max="2321" width="3.42578125" style="119" customWidth="1"/>
    <col min="2322" max="2560" width="8.42578125" style="119"/>
    <col min="2561" max="2561" width="10" style="119" bestFit="1" customWidth="1"/>
    <col min="2562" max="2562" width="44.42578125" style="119" bestFit="1" customWidth="1"/>
    <col min="2563" max="2563" width="10.42578125" style="119" bestFit="1" customWidth="1"/>
    <col min="2564" max="2564" width="10.42578125" style="119" customWidth="1"/>
    <col min="2565" max="2567" width="9.5703125" style="119" bestFit="1" customWidth="1"/>
    <col min="2568" max="2568" width="10.42578125" style="119" bestFit="1" customWidth="1"/>
    <col min="2569" max="2569" width="4.5703125" style="119" customWidth="1"/>
    <col min="2570" max="2570" width="1.85546875" style="119" customWidth="1"/>
    <col min="2571" max="2571" width="7" style="119" bestFit="1" customWidth="1"/>
    <col min="2572" max="2572" width="6.42578125" style="119" customWidth="1"/>
    <col min="2573" max="2573" width="20.42578125" style="119" customWidth="1"/>
    <col min="2574" max="2574" width="6.42578125" style="119" bestFit="1" customWidth="1"/>
    <col min="2575" max="2576" width="8.42578125" style="119"/>
    <col min="2577" max="2577" width="3.42578125" style="119" customWidth="1"/>
    <col min="2578" max="2816" width="8.42578125" style="119"/>
    <col min="2817" max="2817" width="10" style="119" bestFit="1" customWidth="1"/>
    <col min="2818" max="2818" width="44.42578125" style="119" bestFit="1" customWidth="1"/>
    <col min="2819" max="2819" width="10.42578125" style="119" bestFit="1" customWidth="1"/>
    <col min="2820" max="2820" width="10.42578125" style="119" customWidth="1"/>
    <col min="2821" max="2823" width="9.5703125" style="119" bestFit="1" customWidth="1"/>
    <col min="2824" max="2824" width="10.42578125" style="119" bestFit="1" customWidth="1"/>
    <col min="2825" max="2825" width="4.5703125" style="119" customWidth="1"/>
    <col min="2826" max="2826" width="1.85546875" style="119" customWidth="1"/>
    <col min="2827" max="2827" width="7" style="119" bestFit="1" customWidth="1"/>
    <col min="2828" max="2828" width="6.42578125" style="119" customWidth="1"/>
    <col min="2829" max="2829" width="20.42578125" style="119" customWidth="1"/>
    <col min="2830" max="2830" width="6.42578125" style="119" bestFit="1" customWidth="1"/>
    <col min="2831" max="2832" width="8.42578125" style="119"/>
    <col min="2833" max="2833" width="3.42578125" style="119" customWidth="1"/>
    <col min="2834" max="3072" width="8.42578125" style="119"/>
    <col min="3073" max="3073" width="10" style="119" bestFit="1" customWidth="1"/>
    <col min="3074" max="3074" width="44.42578125" style="119" bestFit="1" customWidth="1"/>
    <col min="3075" max="3075" width="10.42578125" style="119" bestFit="1" customWidth="1"/>
    <col min="3076" max="3076" width="10.42578125" style="119" customWidth="1"/>
    <col min="3077" max="3079" width="9.5703125" style="119" bestFit="1" customWidth="1"/>
    <col min="3080" max="3080" width="10.42578125" style="119" bestFit="1" customWidth="1"/>
    <col min="3081" max="3081" width="4.5703125" style="119" customWidth="1"/>
    <col min="3082" max="3082" width="1.85546875" style="119" customWidth="1"/>
    <col min="3083" max="3083" width="7" style="119" bestFit="1" customWidth="1"/>
    <col min="3084" max="3084" width="6.42578125" style="119" customWidth="1"/>
    <col min="3085" max="3085" width="20.42578125" style="119" customWidth="1"/>
    <col min="3086" max="3086" width="6.42578125" style="119" bestFit="1" customWidth="1"/>
    <col min="3087" max="3088" width="8.42578125" style="119"/>
    <col min="3089" max="3089" width="3.42578125" style="119" customWidth="1"/>
    <col min="3090" max="3328" width="8.42578125" style="119"/>
    <col min="3329" max="3329" width="10" style="119" bestFit="1" customWidth="1"/>
    <col min="3330" max="3330" width="44.42578125" style="119" bestFit="1" customWidth="1"/>
    <col min="3331" max="3331" width="10.42578125" style="119" bestFit="1" customWidth="1"/>
    <col min="3332" max="3332" width="10.42578125" style="119" customWidth="1"/>
    <col min="3333" max="3335" width="9.5703125" style="119" bestFit="1" customWidth="1"/>
    <col min="3336" max="3336" width="10.42578125" style="119" bestFit="1" customWidth="1"/>
    <col min="3337" max="3337" width="4.5703125" style="119" customWidth="1"/>
    <col min="3338" max="3338" width="1.85546875" style="119" customWidth="1"/>
    <col min="3339" max="3339" width="7" style="119" bestFit="1" customWidth="1"/>
    <col min="3340" max="3340" width="6.42578125" style="119" customWidth="1"/>
    <col min="3341" max="3341" width="20.42578125" style="119" customWidth="1"/>
    <col min="3342" max="3342" width="6.42578125" style="119" bestFit="1" customWidth="1"/>
    <col min="3343" max="3344" width="8.42578125" style="119"/>
    <col min="3345" max="3345" width="3.42578125" style="119" customWidth="1"/>
    <col min="3346" max="3584" width="8.42578125" style="119"/>
    <col min="3585" max="3585" width="10" style="119" bestFit="1" customWidth="1"/>
    <col min="3586" max="3586" width="44.42578125" style="119" bestFit="1" customWidth="1"/>
    <col min="3587" max="3587" width="10.42578125" style="119" bestFit="1" customWidth="1"/>
    <col min="3588" max="3588" width="10.42578125" style="119" customWidth="1"/>
    <col min="3589" max="3591" width="9.5703125" style="119" bestFit="1" customWidth="1"/>
    <col min="3592" max="3592" width="10.42578125" style="119" bestFit="1" customWidth="1"/>
    <col min="3593" max="3593" width="4.5703125" style="119" customWidth="1"/>
    <col min="3594" max="3594" width="1.85546875" style="119" customWidth="1"/>
    <col min="3595" max="3595" width="7" style="119" bestFit="1" customWidth="1"/>
    <col min="3596" max="3596" width="6.42578125" style="119" customWidth="1"/>
    <col min="3597" max="3597" width="20.42578125" style="119" customWidth="1"/>
    <col min="3598" max="3598" width="6.42578125" style="119" bestFit="1" customWidth="1"/>
    <col min="3599" max="3600" width="8.42578125" style="119"/>
    <col min="3601" max="3601" width="3.42578125" style="119" customWidth="1"/>
    <col min="3602" max="3840" width="8.42578125" style="119"/>
    <col min="3841" max="3841" width="10" style="119" bestFit="1" customWidth="1"/>
    <col min="3842" max="3842" width="44.42578125" style="119" bestFit="1" customWidth="1"/>
    <col min="3843" max="3843" width="10.42578125" style="119" bestFit="1" customWidth="1"/>
    <col min="3844" max="3844" width="10.42578125" style="119" customWidth="1"/>
    <col min="3845" max="3847" width="9.5703125" style="119" bestFit="1" customWidth="1"/>
    <col min="3848" max="3848" width="10.42578125" style="119" bestFit="1" customWidth="1"/>
    <col min="3849" max="3849" width="4.5703125" style="119" customWidth="1"/>
    <col min="3850" max="3850" width="1.85546875" style="119" customWidth="1"/>
    <col min="3851" max="3851" width="7" style="119" bestFit="1" customWidth="1"/>
    <col min="3852" max="3852" width="6.42578125" style="119" customWidth="1"/>
    <col min="3853" max="3853" width="20.42578125" style="119" customWidth="1"/>
    <col min="3854" max="3854" width="6.42578125" style="119" bestFit="1" customWidth="1"/>
    <col min="3855" max="3856" width="8.42578125" style="119"/>
    <col min="3857" max="3857" width="3.42578125" style="119" customWidth="1"/>
    <col min="3858" max="4096" width="8.42578125" style="119"/>
    <col min="4097" max="4097" width="10" style="119" bestFit="1" customWidth="1"/>
    <col min="4098" max="4098" width="44.42578125" style="119" bestFit="1" customWidth="1"/>
    <col min="4099" max="4099" width="10.42578125" style="119" bestFit="1" customWidth="1"/>
    <col min="4100" max="4100" width="10.42578125" style="119" customWidth="1"/>
    <col min="4101" max="4103" width="9.5703125" style="119" bestFit="1" customWidth="1"/>
    <col min="4104" max="4104" width="10.42578125" style="119" bestFit="1" customWidth="1"/>
    <col min="4105" max="4105" width="4.5703125" style="119" customWidth="1"/>
    <col min="4106" max="4106" width="1.85546875" style="119" customWidth="1"/>
    <col min="4107" max="4107" width="7" style="119" bestFit="1" customWidth="1"/>
    <col min="4108" max="4108" width="6.42578125" style="119" customWidth="1"/>
    <col min="4109" max="4109" width="20.42578125" style="119" customWidth="1"/>
    <col min="4110" max="4110" width="6.42578125" style="119" bestFit="1" customWidth="1"/>
    <col min="4111" max="4112" width="8.42578125" style="119"/>
    <col min="4113" max="4113" width="3.42578125" style="119" customWidth="1"/>
    <col min="4114" max="4352" width="8.42578125" style="119"/>
    <col min="4353" max="4353" width="10" style="119" bestFit="1" customWidth="1"/>
    <col min="4354" max="4354" width="44.42578125" style="119" bestFit="1" customWidth="1"/>
    <col min="4355" max="4355" width="10.42578125" style="119" bestFit="1" customWidth="1"/>
    <col min="4356" max="4356" width="10.42578125" style="119" customWidth="1"/>
    <col min="4357" max="4359" width="9.5703125" style="119" bestFit="1" customWidth="1"/>
    <col min="4360" max="4360" width="10.42578125" style="119" bestFit="1" customWidth="1"/>
    <col min="4361" max="4361" width="4.5703125" style="119" customWidth="1"/>
    <col min="4362" max="4362" width="1.85546875" style="119" customWidth="1"/>
    <col min="4363" max="4363" width="7" style="119" bestFit="1" customWidth="1"/>
    <col min="4364" max="4364" width="6.42578125" style="119" customWidth="1"/>
    <col min="4365" max="4365" width="20.42578125" style="119" customWidth="1"/>
    <col min="4366" max="4366" width="6.42578125" style="119" bestFit="1" customWidth="1"/>
    <col min="4367" max="4368" width="8.42578125" style="119"/>
    <col min="4369" max="4369" width="3.42578125" style="119" customWidth="1"/>
    <col min="4370" max="4608" width="8.42578125" style="119"/>
    <col min="4609" max="4609" width="10" style="119" bestFit="1" customWidth="1"/>
    <col min="4610" max="4610" width="44.42578125" style="119" bestFit="1" customWidth="1"/>
    <col min="4611" max="4611" width="10.42578125" style="119" bestFit="1" customWidth="1"/>
    <col min="4612" max="4612" width="10.42578125" style="119" customWidth="1"/>
    <col min="4613" max="4615" width="9.5703125" style="119" bestFit="1" customWidth="1"/>
    <col min="4616" max="4616" width="10.42578125" style="119" bestFit="1" customWidth="1"/>
    <col min="4617" max="4617" width="4.5703125" style="119" customWidth="1"/>
    <col min="4618" max="4618" width="1.85546875" style="119" customWidth="1"/>
    <col min="4619" max="4619" width="7" style="119" bestFit="1" customWidth="1"/>
    <col min="4620" max="4620" width="6.42578125" style="119" customWidth="1"/>
    <col min="4621" max="4621" width="20.42578125" style="119" customWidth="1"/>
    <col min="4622" max="4622" width="6.42578125" style="119" bestFit="1" customWidth="1"/>
    <col min="4623" max="4624" width="8.42578125" style="119"/>
    <col min="4625" max="4625" width="3.42578125" style="119" customWidth="1"/>
    <col min="4626" max="4864" width="8.42578125" style="119"/>
    <col min="4865" max="4865" width="10" style="119" bestFit="1" customWidth="1"/>
    <col min="4866" max="4866" width="44.42578125" style="119" bestFit="1" customWidth="1"/>
    <col min="4867" max="4867" width="10.42578125" style="119" bestFit="1" customWidth="1"/>
    <col min="4868" max="4868" width="10.42578125" style="119" customWidth="1"/>
    <col min="4869" max="4871" width="9.5703125" style="119" bestFit="1" customWidth="1"/>
    <col min="4872" max="4872" width="10.42578125" style="119" bestFit="1" customWidth="1"/>
    <col min="4873" max="4873" width="4.5703125" style="119" customWidth="1"/>
    <col min="4874" max="4874" width="1.85546875" style="119" customWidth="1"/>
    <col min="4875" max="4875" width="7" style="119" bestFit="1" customWidth="1"/>
    <col min="4876" max="4876" width="6.42578125" style="119" customWidth="1"/>
    <col min="4877" max="4877" width="20.42578125" style="119" customWidth="1"/>
    <col min="4878" max="4878" width="6.42578125" style="119" bestFit="1" customWidth="1"/>
    <col min="4879" max="4880" width="8.42578125" style="119"/>
    <col min="4881" max="4881" width="3.42578125" style="119" customWidth="1"/>
    <col min="4882" max="5120" width="8.42578125" style="119"/>
    <col min="5121" max="5121" width="10" style="119" bestFit="1" customWidth="1"/>
    <col min="5122" max="5122" width="44.42578125" style="119" bestFit="1" customWidth="1"/>
    <col min="5123" max="5123" width="10.42578125" style="119" bestFit="1" customWidth="1"/>
    <col min="5124" max="5124" width="10.42578125" style="119" customWidth="1"/>
    <col min="5125" max="5127" width="9.5703125" style="119" bestFit="1" customWidth="1"/>
    <col min="5128" max="5128" width="10.42578125" style="119" bestFit="1" customWidth="1"/>
    <col min="5129" max="5129" width="4.5703125" style="119" customWidth="1"/>
    <col min="5130" max="5130" width="1.85546875" style="119" customWidth="1"/>
    <col min="5131" max="5131" width="7" style="119" bestFit="1" customWidth="1"/>
    <col min="5132" max="5132" width="6.42578125" style="119" customWidth="1"/>
    <col min="5133" max="5133" width="20.42578125" style="119" customWidth="1"/>
    <col min="5134" max="5134" width="6.42578125" style="119" bestFit="1" customWidth="1"/>
    <col min="5135" max="5136" width="8.42578125" style="119"/>
    <col min="5137" max="5137" width="3.42578125" style="119" customWidth="1"/>
    <col min="5138" max="5376" width="8.42578125" style="119"/>
    <col min="5377" max="5377" width="10" style="119" bestFit="1" customWidth="1"/>
    <col min="5378" max="5378" width="44.42578125" style="119" bestFit="1" customWidth="1"/>
    <col min="5379" max="5379" width="10.42578125" style="119" bestFit="1" customWidth="1"/>
    <col min="5380" max="5380" width="10.42578125" style="119" customWidth="1"/>
    <col min="5381" max="5383" width="9.5703125" style="119" bestFit="1" customWidth="1"/>
    <col min="5384" max="5384" width="10.42578125" style="119" bestFit="1" customWidth="1"/>
    <col min="5385" max="5385" width="4.5703125" style="119" customWidth="1"/>
    <col min="5386" max="5386" width="1.85546875" style="119" customWidth="1"/>
    <col min="5387" max="5387" width="7" style="119" bestFit="1" customWidth="1"/>
    <col min="5388" max="5388" width="6.42578125" style="119" customWidth="1"/>
    <col min="5389" max="5389" width="20.42578125" style="119" customWidth="1"/>
    <col min="5390" max="5390" width="6.42578125" style="119" bestFit="1" customWidth="1"/>
    <col min="5391" max="5392" width="8.42578125" style="119"/>
    <col min="5393" max="5393" width="3.42578125" style="119" customWidth="1"/>
    <col min="5394" max="5632" width="8.42578125" style="119"/>
    <col min="5633" max="5633" width="10" style="119" bestFit="1" customWidth="1"/>
    <col min="5634" max="5634" width="44.42578125" style="119" bestFit="1" customWidth="1"/>
    <col min="5635" max="5635" width="10.42578125" style="119" bestFit="1" customWidth="1"/>
    <col min="5636" max="5636" width="10.42578125" style="119" customWidth="1"/>
    <col min="5637" max="5639" width="9.5703125" style="119" bestFit="1" customWidth="1"/>
    <col min="5640" max="5640" width="10.42578125" style="119" bestFit="1" customWidth="1"/>
    <col min="5641" max="5641" width="4.5703125" style="119" customWidth="1"/>
    <col min="5642" max="5642" width="1.85546875" style="119" customWidth="1"/>
    <col min="5643" max="5643" width="7" style="119" bestFit="1" customWidth="1"/>
    <col min="5644" max="5644" width="6.42578125" style="119" customWidth="1"/>
    <col min="5645" max="5645" width="20.42578125" style="119" customWidth="1"/>
    <col min="5646" max="5646" width="6.42578125" style="119" bestFit="1" customWidth="1"/>
    <col min="5647" max="5648" width="8.42578125" style="119"/>
    <col min="5649" max="5649" width="3.42578125" style="119" customWidth="1"/>
    <col min="5650" max="5888" width="8.42578125" style="119"/>
    <col min="5889" max="5889" width="10" style="119" bestFit="1" customWidth="1"/>
    <col min="5890" max="5890" width="44.42578125" style="119" bestFit="1" customWidth="1"/>
    <col min="5891" max="5891" width="10.42578125" style="119" bestFit="1" customWidth="1"/>
    <col min="5892" max="5892" width="10.42578125" style="119" customWidth="1"/>
    <col min="5893" max="5895" width="9.5703125" style="119" bestFit="1" customWidth="1"/>
    <col min="5896" max="5896" width="10.42578125" style="119" bestFit="1" customWidth="1"/>
    <col min="5897" max="5897" width="4.5703125" style="119" customWidth="1"/>
    <col min="5898" max="5898" width="1.85546875" style="119" customWidth="1"/>
    <col min="5899" max="5899" width="7" style="119" bestFit="1" customWidth="1"/>
    <col min="5900" max="5900" width="6.42578125" style="119" customWidth="1"/>
    <col min="5901" max="5901" width="20.42578125" style="119" customWidth="1"/>
    <col min="5902" max="5902" width="6.42578125" style="119" bestFit="1" customWidth="1"/>
    <col min="5903" max="5904" width="8.42578125" style="119"/>
    <col min="5905" max="5905" width="3.42578125" style="119" customWidth="1"/>
    <col min="5906" max="6144" width="8.42578125" style="119"/>
    <col min="6145" max="6145" width="10" style="119" bestFit="1" customWidth="1"/>
    <col min="6146" max="6146" width="44.42578125" style="119" bestFit="1" customWidth="1"/>
    <col min="6147" max="6147" width="10.42578125" style="119" bestFit="1" customWidth="1"/>
    <col min="6148" max="6148" width="10.42578125" style="119" customWidth="1"/>
    <col min="6149" max="6151" width="9.5703125" style="119" bestFit="1" customWidth="1"/>
    <col min="6152" max="6152" width="10.42578125" style="119" bestFit="1" customWidth="1"/>
    <col min="6153" max="6153" width="4.5703125" style="119" customWidth="1"/>
    <col min="6154" max="6154" width="1.85546875" style="119" customWidth="1"/>
    <col min="6155" max="6155" width="7" style="119" bestFit="1" customWidth="1"/>
    <col min="6156" max="6156" width="6.42578125" style="119" customWidth="1"/>
    <col min="6157" max="6157" width="20.42578125" style="119" customWidth="1"/>
    <col min="6158" max="6158" width="6.42578125" style="119" bestFit="1" customWidth="1"/>
    <col min="6159" max="6160" width="8.42578125" style="119"/>
    <col min="6161" max="6161" width="3.42578125" style="119" customWidth="1"/>
    <col min="6162" max="6400" width="8.42578125" style="119"/>
    <col min="6401" max="6401" width="10" style="119" bestFit="1" customWidth="1"/>
    <col min="6402" max="6402" width="44.42578125" style="119" bestFit="1" customWidth="1"/>
    <col min="6403" max="6403" width="10.42578125" style="119" bestFit="1" customWidth="1"/>
    <col min="6404" max="6404" width="10.42578125" style="119" customWidth="1"/>
    <col min="6405" max="6407" width="9.5703125" style="119" bestFit="1" customWidth="1"/>
    <col min="6408" max="6408" width="10.42578125" style="119" bestFit="1" customWidth="1"/>
    <col min="6409" max="6409" width="4.5703125" style="119" customWidth="1"/>
    <col min="6410" max="6410" width="1.85546875" style="119" customWidth="1"/>
    <col min="6411" max="6411" width="7" style="119" bestFit="1" customWidth="1"/>
    <col min="6412" max="6412" width="6.42578125" style="119" customWidth="1"/>
    <col min="6413" max="6413" width="20.42578125" style="119" customWidth="1"/>
    <col min="6414" max="6414" width="6.42578125" style="119" bestFit="1" customWidth="1"/>
    <col min="6415" max="6416" width="8.42578125" style="119"/>
    <col min="6417" max="6417" width="3.42578125" style="119" customWidth="1"/>
    <col min="6418" max="6656" width="8.42578125" style="119"/>
    <col min="6657" max="6657" width="10" style="119" bestFit="1" customWidth="1"/>
    <col min="6658" max="6658" width="44.42578125" style="119" bestFit="1" customWidth="1"/>
    <col min="6659" max="6659" width="10.42578125" style="119" bestFit="1" customWidth="1"/>
    <col min="6660" max="6660" width="10.42578125" style="119" customWidth="1"/>
    <col min="6661" max="6663" width="9.5703125" style="119" bestFit="1" customWidth="1"/>
    <col min="6664" max="6664" width="10.42578125" style="119" bestFit="1" customWidth="1"/>
    <col min="6665" max="6665" width="4.5703125" style="119" customWidth="1"/>
    <col min="6666" max="6666" width="1.85546875" style="119" customWidth="1"/>
    <col min="6667" max="6667" width="7" style="119" bestFit="1" customWidth="1"/>
    <col min="6668" max="6668" width="6.42578125" style="119" customWidth="1"/>
    <col min="6669" max="6669" width="20.42578125" style="119" customWidth="1"/>
    <col min="6670" max="6670" width="6.42578125" style="119" bestFit="1" customWidth="1"/>
    <col min="6671" max="6672" width="8.42578125" style="119"/>
    <col min="6673" max="6673" width="3.42578125" style="119" customWidth="1"/>
    <col min="6674" max="6912" width="8.42578125" style="119"/>
    <col min="6913" max="6913" width="10" style="119" bestFit="1" customWidth="1"/>
    <col min="6914" max="6914" width="44.42578125" style="119" bestFit="1" customWidth="1"/>
    <col min="6915" max="6915" width="10.42578125" style="119" bestFit="1" customWidth="1"/>
    <col min="6916" max="6916" width="10.42578125" style="119" customWidth="1"/>
    <col min="6917" max="6919" width="9.5703125" style="119" bestFit="1" customWidth="1"/>
    <col min="6920" max="6920" width="10.42578125" style="119" bestFit="1" customWidth="1"/>
    <col min="6921" max="6921" width="4.5703125" style="119" customWidth="1"/>
    <col min="6922" max="6922" width="1.85546875" style="119" customWidth="1"/>
    <col min="6923" max="6923" width="7" style="119" bestFit="1" customWidth="1"/>
    <col min="6924" max="6924" width="6.42578125" style="119" customWidth="1"/>
    <col min="6925" max="6925" width="20.42578125" style="119" customWidth="1"/>
    <col min="6926" max="6926" width="6.42578125" style="119" bestFit="1" customWidth="1"/>
    <col min="6927" max="6928" width="8.42578125" style="119"/>
    <col min="6929" max="6929" width="3.42578125" style="119" customWidth="1"/>
    <col min="6930" max="7168" width="8.42578125" style="119"/>
    <col min="7169" max="7169" width="10" style="119" bestFit="1" customWidth="1"/>
    <col min="7170" max="7170" width="44.42578125" style="119" bestFit="1" customWidth="1"/>
    <col min="7171" max="7171" width="10.42578125" style="119" bestFit="1" customWidth="1"/>
    <col min="7172" max="7172" width="10.42578125" style="119" customWidth="1"/>
    <col min="7173" max="7175" width="9.5703125" style="119" bestFit="1" customWidth="1"/>
    <col min="7176" max="7176" width="10.42578125" style="119" bestFit="1" customWidth="1"/>
    <col min="7177" max="7177" width="4.5703125" style="119" customWidth="1"/>
    <col min="7178" max="7178" width="1.85546875" style="119" customWidth="1"/>
    <col min="7179" max="7179" width="7" style="119" bestFit="1" customWidth="1"/>
    <col min="7180" max="7180" width="6.42578125" style="119" customWidth="1"/>
    <col min="7181" max="7181" width="20.42578125" style="119" customWidth="1"/>
    <col min="7182" max="7182" width="6.42578125" style="119" bestFit="1" customWidth="1"/>
    <col min="7183" max="7184" width="8.42578125" style="119"/>
    <col min="7185" max="7185" width="3.42578125" style="119" customWidth="1"/>
    <col min="7186" max="7424" width="8.42578125" style="119"/>
    <col min="7425" max="7425" width="10" style="119" bestFit="1" customWidth="1"/>
    <col min="7426" max="7426" width="44.42578125" style="119" bestFit="1" customWidth="1"/>
    <col min="7427" max="7427" width="10.42578125" style="119" bestFit="1" customWidth="1"/>
    <col min="7428" max="7428" width="10.42578125" style="119" customWidth="1"/>
    <col min="7429" max="7431" width="9.5703125" style="119" bestFit="1" customWidth="1"/>
    <col min="7432" max="7432" width="10.42578125" style="119" bestFit="1" customWidth="1"/>
    <col min="7433" max="7433" width="4.5703125" style="119" customWidth="1"/>
    <col min="7434" max="7434" width="1.85546875" style="119" customWidth="1"/>
    <col min="7435" max="7435" width="7" style="119" bestFit="1" customWidth="1"/>
    <col min="7436" max="7436" width="6.42578125" style="119" customWidth="1"/>
    <col min="7437" max="7437" width="20.42578125" style="119" customWidth="1"/>
    <col min="7438" max="7438" width="6.42578125" style="119" bestFit="1" customWidth="1"/>
    <col min="7439" max="7440" width="8.42578125" style="119"/>
    <col min="7441" max="7441" width="3.42578125" style="119" customWidth="1"/>
    <col min="7442" max="7680" width="8.42578125" style="119"/>
    <col min="7681" max="7681" width="10" style="119" bestFit="1" customWidth="1"/>
    <col min="7682" max="7682" width="44.42578125" style="119" bestFit="1" customWidth="1"/>
    <col min="7683" max="7683" width="10.42578125" style="119" bestFit="1" customWidth="1"/>
    <col min="7684" max="7684" width="10.42578125" style="119" customWidth="1"/>
    <col min="7685" max="7687" width="9.5703125" style="119" bestFit="1" customWidth="1"/>
    <col min="7688" max="7688" width="10.42578125" style="119" bestFit="1" customWidth="1"/>
    <col min="7689" max="7689" width="4.5703125" style="119" customWidth="1"/>
    <col min="7690" max="7690" width="1.85546875" style="119" customWidth="1"/>
    <col min="7691" max="7691" width="7" style="119" bestFit="1" customWidth="1"/>
    <col min="7692" max="7692" width="6.42578125" style="119" customWidth="1"/>
    <col min="7693" max="7693" width="20.42578125" style="119" customWidth="1"/>
    <col min="7694" max="7694" width="6.42578125" style="119" bestFit="1" customWidth="1"/>
    <col min="7695" max="7696" width="8.42578125" style="119"/>
    <col min="7697" max="7697" width="3.42578125" style="119" customWidth="1"/>
    <col min="7698" max="7936" width="8.42578125" style="119"/>
    <col min="7937" max="7937" width="10" style="119" bestFit="1" customWidth="1"/>
    <col min="7938" max="7938" width="44.42578125" style="119" bestFit="1" customWidth="1"/>
    <col min="7939" max="7939" width="10.42578125" style="119" bestFit="1" customWidth="1"/>
    <col min="7940" max="7940" width="10.42578125" style="119" customWidth="1"/>
    <col min="7941" max="7943" width="9.5703125" style="119" bestFit="1" customWidth="1"/>
    <col min="7944" max="7944" width="10.42578125" style="119" bestFit="1" customWidth="1"/>
    <col min="7945" max="7945" width="4.5703125" style="119" customWidth="1"/>
    <col min="7946" max="7946" width="1.85546875" style="119" customWidth="1"/>
    <col min="7947" max="7947" width="7" style="119" bestFit="1" customWidth="1"/>
    <col min="7948" max="7948" width="6.42578125" style="119" customWidth="1"/>
    <col min="7949" max="7949" width="20.42578125" style="119" customWidth="1"/>
    <col min="7950" max="7950" width="6.42578125" style="119" bestFit="1" customWidth="1"/>
    <col min="7951" max="7952" width="8.42578125" style="119"/>
    <col min="7953" max="7953" width="3.42578125" style="119" customWidth="1"/>
    <col min="7954" max="8192" width="8.42578125" style="119"/>
    <col min="8193" max="8193" width="10" style="119" bestFit="1" customWidth="1"/>
    <col min="8194" max="8194" width="44.42578125" style="119" bestFit="1" customWidth="1"/>
    <col min="8195" max="8195" width="10.42578125" style="119" bestFit="1" customWidth="1"/>
    <col min="8196" max="8196" width="10.42578125" style="119" customWidth="1"/>
    <col min="8197" max="8199" width="9.5703125" style="119" bestFit="1" customWidth="1"/>
    <col min="8200" max="8200" width="10.42578125" style="119" bestFit="1" customWidth="1"/>
    <col min="8201" max="8201" width="4.5703125" style="119" customWidth="1"/>
    <col min="8202" max="8202" width="1.85546875" style="119" customWidth="1"/>
    <col min="8203" max="8203" width="7" style="119" bestFit="1" customWidth="1"/>
    <col min="8204" max="8204" width="6.42578125" style="119" customWidth="1"/>
    <col min="8205" max="8205" width="20.42578125" style="119" customWidth="1"/>
    <col min="8206" max="8206" width="6.42578125" style="119" bestFit="1" customWidth="1"/>
    <col min="8207" max="8208" width="8.42578125" style="119"/>
    <col min="8209" max="8209" width="3.42578125" style="119" customWidth="1"/>
    <col min="8210" max="8448" width="8.42578125" style="119"/>
    <col min="8449" max="8449" width="10" style="119" bestFit="1" customWidth="1"/>
    <col min="8450" max="8450" width="44.42578125" style="119" bestFit="1" customWidth="1"/>
    <col min="8451" max="8451" width="10.42578125" style="119" bestFit="1" customWidth="1"/>
    <col min="8452" max="8452" width="10.42578125" style="119" customWidth="1"/>
    <col min="8453" max="8455" width="9.5703125" style="119" bestFit="1" customWidth="1"/>
    <col min="8456" max="8456" width="10.42578125" style="119" bestFit="1" customWidth="1"/>
    <col min="8457" max="8457" width="4.5703125" style="119" customWidth="1"/>
    <col min="8458" max="8458" width="1.85546875" style="119" customWidth="1"/>
    <col min="8459" max="8459" width="7" style="119" bestFit="1" customWidth="1"/>
    <col min="8460" max="8460" width="6.42578125" style="119" customWidth="1"/>
    <col min="8461" max="8461" width="20.42578125" style="119" customWidth="1"/>
    <col min="8462" max="8462" width="6.42578125" style="119" bestFit="1" customWidth="1"/>
    <col min="8463" max="8464" width="8.42578125" style="119"/>
    <col min="8465" max="8465" width="3.42578125" style="119" customWidth="1"/>
    <col min="8466" max="8704" width="8.42578125" style="119"/>
    <col min="8705" max="8705" width="10" style="119" bestFit="1" customWidth="1"/>
    <col min="8706" max="8706" width="44.42578125" style="119" bestFit="1" customWidth="1"/>
    <col min="8707" max="8707" width="10.42578125" style="119" bestFit="1" customWidth="1"/>
    <col min="8708" max="8708" width="10.42578125" style="119" customWidth="1"/>
    <col min="8709" max="8711" width="9.5703125" style="119" bestFit="1" customWidth="1"/>
    <col min="8712" max="8712" width="10.42578125" style="119" bestFit="1" customWidth="1"/>
    <col min="8713" max="8713" width="4.5703125" style="119" customWidth="1"/>
    <col min="8714" max="8714" width="1.85546875" style="119" customWidth="1"/>
    <col min="8715" max="8715" width="7" style="119" bestFit="1" customWidth="1"/>
    <col min="8716" max="8716" width="6.42578125" style="119" customWidth="1"/>
    <col min="8717" max="8717" width="20.42578125" style="119" customWidth="1"/>
    <col min="8718" max="8718" width="6.42578125" style="119" bestFit="1" customWidth="1"/>
    <col min="8719" max="8720" width="8.42578125" style="119"/>
    <col min="8721" max="8721" width="3.42578125" style="119" customWidth="1"/>
    <col min="8722" max="8960" width="8.42578125" style="119"/>
    <col min="8961" max="8961" width="10" style="119" bestFit="1" customWidth="1"/>
    <col min="8962" max="8962" width="44.42578125" style="119" bestFit="1" customWidth="1"/>
    <col min="8963" max="8963" width="10.42578125" style="119" bestFit="1" customWidth="1"/>
    <col min="8964" max="8964" width="10.42578125" style="119" customWidth="1"/>
    <col min="8965" max="8967" width="9.5703125" style="119" bestFit="1" customWidth="1"/>
    <col min="8968" max="8968" width="10.42578125" style="119" bestFit="1" customWidth="1"/>
    <col min="8969" max="8969" width="4.5703125" style="119" customWidth="1"/>
    <col min="8970" max="8970" width="1.85546875" style="119" customWidth="1"/>
    <col min="8971" max="8971" width="7" style="119" bestFit="1" customWidth="1"/>
    <col min="8972" max="8972" width="6.42578125" style="119" customWidth="1"/>
    <col min="8973" max="8973" width="20.42578125" style="119" customWidth="1"/>
    <col min="8974" max="8974" width="6.42578125" style="119" bestFit="1" customWidth="1"/>
    <col min="8975" max="8976" width="8.42578125" style="119"/>
    <col min="8977" max="8977" width="3.42578125" style="119" customWidth="1"/>
    <col min="8978" max="9216" width="8.42578125" style="119"/>
    <col min="9217" max="9217" width="10" style="119" bestFit="1" customWidth="1"/>
    <col min="9218" max="9218" width="44.42578125" style="119" bestFit="1" customWidth="1"/>
    <col min="9219" max="9219" width="10.42578125" style="119" bestFit="1" customWidth="1"/>
    <col min="9220" max="9220" width="10.42578125" style="119" customWidth="1"/>
    <col min="9221" max="9223" width="9.5703125" style="119" bestFit="1" customWidth="1"/>
    <col min="9224" max="9224" width="10.42578125" style="119" bestFit="1" customWidth="1"/>
    <col min="9225" max="9225" width="4.5703125" style="119" customWidth="1"/>
    <col min="9226" max="9226" width="1.85546875" style="119" customWidth="1"/>
    <col min="9227" max="9227" width="7" style="119" bestFit="1" customWidth="1"/>
    <col min="9228" max="9228" width="6.42578125" style="119" customWidth="1"/>
    <col min="9229" max="9229" width="20.42578125" style="119" customWidth="1"/>
    <col min="9230" max="9230" width="6.42578125" style="119" bestFit="1" customWidth="1"/>
    <col min="9231" max="9232" width="8.42578125" style="119"/>
    <col min="9233" max="9233" width="3.42578125" style="119" customWidth="1"/>
    <col min="9234" max="9472" width="8.42578125" style="119"/>
    <col min="9473" max="9473" width="10" style="119" bestFit="1" customWidth="1"/>
    <col min="9474" max="9474" width="44.42578125" style="119" bestFit="1" customWidth="1"/>
    <col min="9475" max="9475" width="10.42578125" style="119" bestFit="1" customWidth="1"/>
    <col min="9476" max="9476" width="10.42578125" style="119" customWidth="1"/>
    <col min="9477" max="9479" width="9.5703125" style="119" bestFit="1" customWidth="1"/>
    <col min="9480" max="9480" width="10.42578125" style="119" bestFit="1" customWidth="1"/>
    <col min="9481" max="9481" width="4.5703125" style="119" customWidth="1"/>
    <col min="9482" max="9482" width="1.85546875" style="119" customWidth="1"/>
    <col min="9483" max="9483" width="7" style="119" bestFit="1" customWidth="1"/>
    <col min="9484" max="9484" width="6.42578125" style="119" customWidth="1"/>
    <col min="9485" max="9485" width="20.42578125" style="119" customWidth="1"/>
    <col min="9486" max="9486" width="6.42578125" style="119" bestFit="1" customWidth="1"/>
    <col min="9487" max="9488" width="8.42578125" style="119"/>
    <col min="9489" max="9489" width="3.42578125" style="119" customWidth="1"/>
    <col min="9490" max="9728" width="8.42578125" style="119"/>
    <col min="9729" max="9729" width="10" style="119" bestFit="1" customWidth="1"/>
    <col min="9730" max="9730" width="44.42578125" style="119" bestFit="1" customWidth="1"/>
    <col min="9731" max="9731" width="10.42578125" style="119" bestFit="1" customWidth="1"/>
    <col min="9732" max="9732" width="10.42578125" style="119" customWidth="1"/>
    <col min="9733" max="9735" width="9.5703125" style="119" bestFit="1" customWidth="1"/>
    <col min="9736" max="9736" width="10.42578125" style="119" bestFit="1" customWidth="1"/>
    <col min="9737" max="9737" width="4.5703125" style="119" customWidth="1"/>
    <col min="9738" max="9738" width="1.85546875" style="119" customWidth="1"/>
    <col min="9739" max="9739" width="7" style="119" bestFit="1" customWidth="1"/>
    <col min="9740" max="9740" width="6.42578125" style="119" customWidth="1"/>
    <col min="9741" max="9741" width="20.42578125" style="119" customWidth="1"/>
    <col min="9742" max="9742" width="6.42578125" style="119" bestFit="1" customWidth="1"/>
    <col min="9743" max="9744" width="8.42578125" style="119"/>
    <col min="9745" max="9745" width="3.42578125" style="119" customWidth="1"/>
    <col min="9746" max="9984" width="8.42578125" style="119"/>
    <col min="9985" max="9985" width="10" style="119" bestFit="1" customWidth="1"/>
    <col min="9986" max="9986" width="44.42578125" style="119" bestFit="1" customWidth="1"/>
    <col min="9987" max="9987" width="10.42578125" style="119" bestFit="1" customWidth="1"/>
    <col min="9988" max="9988" width="10.42578125" style="119" customWidth="1"/>
    <col min="9989" max="9991" width="9.5703125" style="119" bestFit="1" customWidth="1"/>
    <col min="9992" max="9992" width="10.42578125" style="119" bestFit="1" customWidth="1"/>
    <col min="9993" max="9993" width="4.5703125" style="119" customWidth="1"/>
    <col min="9994" max="9994" width="1.85546875" style="119" customWidth="1"/>
    <col min="9995" max="9995" width="7" style="119" bestFit="1" customWidth="1"/>
    <col min="9996" max="9996" width="6.42578125" style="119" customWidth="1"/>
    <col min="9997" max="9997" width="20.42578125" style="119" customWidth="1"/>
    <col min="9998" max="9998" width="6.42578125" style="119" bestFit="1" customWidth="1"/>
    <col min="9999" max="10000" width="8.42578125" style="119"/>
    <col min="10001" max="10001" width="3.42578125" style="119" customWidth="1"/>
    <col min="10002" max="10240" width="8.42578125" style="119"/>
    <col min="10241" max="10241" width="10" style="119" bestFit="1" customWidth="1"/>
    <col min="10242" max="10242" width="44.42578125" style="119" bestFit="1" customWidth="1"/>
    <col min="10243" max="10243" width="10.42578125" style="119" bestFit="1" customWidth="1"/>
    <col min="10244" max="10244" width="10.42578125" style="119" customWidth="1"/>
    <col min="10245" max="10247" width="9.5703125" style="119" bestFit="1" customWidth="1"/>
    <col min="10248" max="10248" width="10.42578125" style="119" bestFit="1" customWidth="1"/>
    <col min="10249" max="10249" width="4.5703125" style="119" customWidth="1"/>
    <col min="10250" max="10250" width="1.85546875" style="119" customWidth="1"/>
    <col min="10251" max="10251" width="7" style="119" bestFit="1" customWidth="1"/>
    <col min="10252" max="10252" width="6.42578125" style="119" customWidth="1"/>
    <col min="10253" max="10253" width="20.42578125" style="119" customWidth="1"/>
    <col min="10254" max="10254" width="6.42578125" style="119" bestFit="1" customWidth="1"/>
    <col min="10255" max="10256" width="8.42578125" style="119"/>
    <col min="10257" max="10257" width="3.42578125" style="119" customWidth="1"/>
    <col min="10258" max="10496" width="8.42578125" style="119"/>
    <col min="10497" max="10497" width="10" style="119" bestFit="1" customWidth="1"/>
    <col min="10498" max="10498" width="44.42578125" style="119" bestFit="1" customWidth="1"/>
    <col min="10499" max="10499" width="10.42578125" style="119" bestFit="1" customWidth="1"/>
    <col min="10500" max="10500" width="10.42578125" style="119" customWidth="1"/>
    <col min="10501" max="10503" width="9.5703125" style="119" bestFit="1" customWidth="1"/>
    <col min="10504" max="10504" width="10.42578125" style="119" bestFit="1" customWidth="1"/>
    <col min="10505" max="10505" width="4.5703125" style="119" customWidth="1"/>
    <col min="10506" max="10506" width="1.85546875" style="119" customWidth="1"/>
    <col min="10507" max="10507" width="7" style="119" bestFit="1" customWidth="1"/>
    <col min="10508" max="10508" width="6.42578125" style="119" customWidth="1"/>
    <col min="10509" max="10509" width="20.42578125" style="119" customWidth="1"/>
    <col min="10510" max="10510" width="6.42578125" style="119" bestFit="1" customWidth="1"/>
    <col min="10511" max="10512" width="8.42578125" style="119"/>
    <col min="10513" max="10513" width="3.42578125" style="119" customWidth="1"/>
    <col min="10514" max="10752" width="8.42578125" style="119"/>
    <col min="10753" max="10753" width="10" style="119" bestFit="1" customWidth="1"/>
    <col min="10754" max="10754" width="44.42578125" style="119" bestFit="1" customWidth="1"/>
    <col min="10755" max="10755" width="10.42578125" style="119" bestFit="1" customWidth="1"/>
    <col min="10756" max="10756" width="10.42578125" style="119" customWidth="1"/>
    <col min="10757" max="10759" width="9.5703125" style="119" bestFit="1" customWidth="1"/>
    <col min="10760" max="10760" width="10.42578125" style="119" bestFit="1" customWidth="1"/>
    <col min="10761" max="10761" width="4.5703125" style="119" customWidth="1"/>
    <col min="10762" max="10762" width="1.85546875" style="119" customWidth="1"/>
    <col min="10763" max="10763" width="7" style="119" bestFit="1" customWidth="1"/>
    <col min="10764" max="10764" width="6.42578125" style="119" customWidth="1"/>
    <col min="10765" max="10765" width="20.42578125" style="119" customWidth="1"/>
    <col min="10766" max="10766" width="6.42578125" style="119" bestFit="1" customWidth="1"/>
    <col min="10767" max="10768" width="8.42578125" style="119"/>
    <col min="10769" max="10769" width="3.42578125" style="119" customWidth="1"/>
    <col min="10770" max="11008" width="8.42578125" style="119"/>
    <col min="11009" max="11009" width="10" style="119" bestFit="1" customWidth="1"/>
    <col min="11010" max="11010" width="44.42578125" style="119" bestFit="1" customWidth="1"/>
    <col min="11011" max="11011" width="10.42578125" style="119" bestFit="1" customWidth="1"/>
    <col min="11012" max="11012" width="10.42578125" style="119" customWidth="1"/>
    <col min="11013" max="11015" width="9.5703125" style="119" bestFit="1" customWidth="1"/>
    <col min="11016" max="11016" width="10.42578125" style="119" bestFit="1" customWidth="1"/>
    <col min="11017" max="11017" width="4.5703125" style="119" customWidth="1"/>
    <col min="11018" max="11018" width="1.85546875" style="119" customWidth="1"/>
    <col min="11019" max="11019" width="7" style="119" bestFit="1" customWidth="1"/>
    <col min="11020" max="11020" width="6.42578125" style="119" customWidth="1"/>
    <col min="11021" max="11021" width="20.42578125" style="119" customWidth="1"/>
    <col min="11022" max="11022" width="6.42578125" style="119" bestFit="1" customWidth="1"/>
    <col min="11023" max="11024" width="8.42578125" style="119"/>
    <col min="11025" max="11025" width="3.42578125" style="119" customWidth="1"/>
    <col min="11026" max="11264" width="8.42578125" style="119"/>
    <col min="11265" max="11265" width="10" style="119" bestFit="1" customWidth="1"/>
    <col min="11266" max="11266" width="44.42578125" style="119" bestFit="1" customWidth="1"/>
    <col min="11267" max="11267" width="10.42578125" style="119" bestFit="1" customWidth="1"/>
    <col min="11268" max="11268" width="10.42578125" style="119" customWidth="1"/>
    <col min="11269" max="11271" width="9.5703125" style="119" bestFit="1" customWidth="1"/>
    <col min="11272" max="11272" width="10.42578125" style="119" bestFit="1" customWidth="1"/>
    <col min="11273" max="11273" width="4.5703125" style="119" customWidth="1"/>
    <col min="11274" max="11274" width="1.85546875" style="119" customWidth="1"/>
    <col min="11275" max="11275" width="7" style="119" bestFit="1" customWidth="1"/>
    <col min="11276" max="11276" width="6.42578125" style="119" customWidth="1"/>
    <col min="11277" max="11277" width="20.42578125" style="119" customWidth="1"/>
    <col min="11278" max="11278" width="6.42578125" style="119" bestFit="1" customWidth="1"/>
    <col min="11279" max="11280" width="8.42578125" style="119"/>
    <col min="11281" max="11281" width="3.42578125" style="119" customWidth="1"/>
    <col min="11282" max="11520" width="8.42578125" style="119"/>
    <col min="11521" max="11521" width="10" style="119" bestFit="1" customWidth="1"/>
    <col min="11522" max="11522" width="44.42578125" style="119" bestFit="1" customWidth="1"/>
    <col min="11523" max="11523" width="10.42578125" style="119" bestFit="1" customWidth="1"/>
    <col min="11524" max="11524" width="10.42578125" style="119" customWidth="1"/>
    <col min="11525" max="11527" width="9.5703125" style="119" bestFit="1" customWidth="1"/>
    <col min="11528" max="11528" width="10.42578125" style="119" bestFit="1" customWidth="1"/>
    <col min="11529" max="11529" width="4.5703125" style="119" customWidth="1"/>
    <col min="11530" max="11530" width="1.85546875" style="119" customWidth="1"/>
    <col min="11531" max="11531" width="7" style="119" bestFit="1" customWidth="1"/>
    <col min="11532" max="11532" width="6.42578125" style="119" customWidth="1"/>
    <col min="11533" max="11533" width="20.42578125" style="119" customWidth="1"/>
    <col min="11534" max="11534" width="6.42578125" style="119" bestFit="1" customWidth="1"/>
    <col min="11535" max="11536" width="8.42578125" style="119"/>
    <col min="11537" max="11537" width="3.42578125" style="119" customWidth="1"/>
    <col min="11538" max="11776" width="8.42578125" style="119"/>
    <col min="11777" max="11777" width="10" style="119" bestFit="1" customWidth="1"/>
    <col min="11778" max="11778" width="44.42578125" style="119" bestFit="1" customWidth="1"/>
    <col min="11779" max="11779" width="10.42578125" style="119" bestFit="1" customWidth="1"/>
    <col min="11780" max="11780" width="10.42578125" style="119" customWidth="1"/>
    <col min="11781" max="11783" width="9.5703125" style="119" bestFit="1" customWidth="1"/>
    <col min="11784" max="11784" width="10.42578125" style="119" bestFit="1" customWidth="1"/>
    <col min="11785" max="11785" width="4.5703125" style="119" customWidth="1"/>
    <col min="11786" max="11786" width="1.85546875" style="119" customWidth="1"/>
    <col min="11787" max="11787" width="7" style="119" bestFit="1" customWidth="1"/>
    <col min="11788" max="11788" width="6.42578125" style="119" customWidth="1"/>
    <col min="11789" max="11789" width="20.42578125" style="119" customWidth="1"/>
    <col min="11790" max="11790" width="6.42578125" style="119" bestFit="1" customWidth="1"/>
    <col min="11791" max="11792" width="8.42578125" style="119"/>
    <col min="11793" max="11793" width="3.42578125" style="119" customWidth="1"/>
    <col min="11794" max="12032" width="8.42578125" style="119"/>
    <col min="12033" max="12033" width="10" style="119" bestFit="1" customWidth="1"/>
    <col min="12034" max="12034" width="44.42578125" style="119" bestFit="1" customWidth="1"/>
    <col min="12035" max="12035" width="10.42578125" style="119" bestFit="1" customWidth="1"/>
    <col min="12036" max="12036" width="10.42578125" style="119" customWidth="1"/>
    <col min="12037" max="12039" width="9.5703125" style="119" bestFit="1" customWidth="1"/>
    <col min="12040" max="12040" width="10.42578125" style="119" bestFit="1" customWidth="1"/>
    <col min="12041" max="12041" width="4.5703125" style="119" customWidth="1"/>
    <col min="12042" max="12042" width="1.85546875" style="119" customWidth="1"/>
    <col min="12043" max="12043" width="7" style="119" bestFit="1" customWidth="1"/>
    <col min="12044" max="12044" width="6.42578125" style="119" customWidth="1"/>
    <col min="12045" max="12045" width="20.42578125" style="119" customWidth="1"/>
    <col min="12046" max="12046" width="6.42578125" style="119" bestFit="1" customWidth="1"/>
    <col min="12047" max="12048" width="8.42578125" style="119"/>
    <col min="12049" max="12049" width="3.42578125" style="119" customWidth="1"/>
    <col min="12050" max="12288" width="8.42578125" style="119"/>
    <col min="12289" max="12289" width="10" style="119" bestFit="1" customWidth="1"/>
    <col min="12290" max="12290" width="44.42578125" style="119" bestFit="1" customWidth="1"/>
    <col min="12291" max="12291" width="10.42578125" style="119" bestFit="1" customWidth="1"/>
    <col min="12292" max="12292" width="10.42578125" style="119" customWidth="1"/>
    <col min="12293" max="12295" width="9.5703125" style="119" bestFit="1" customWidth="1"/>
    <col min="12296" max="12296" width="10.42578125" style="119" bestFit="1" customWidth="1"/>
    <col min="12297" max="12297" width="4.5703125" style="119" customWidth="1"/>
    <col min="12298" max="12298" width="1.85546875" style="119" customWidth="1"/>
    <col min="12299" max="12299" width="7" style="119" bestFit="1" customWidth="1"/>
    <col min="12300" max="12300" width="6.42578125" style="119" customWidth="1"/>
    <col min="12301" max="12301" width="20.42578125" style="119" customWidth="1"/>
    <col min="12302" max="12302" width="6.42578125" style="119" bestFit="1" customWidth="1"/>
    <col min="12303" max="12304" width="8.42578125" style="119"/>
    <col min="12305" max="12305" width="3.42578125" style="119" customWidth="1"/>
    <col min="12306" max="12544" width="8.42578125" style="119"/>
    <col min="12545" max="12545" width="10" style="119" bestFit="1" customWidth="1"/>
    <col min="12546" max="12546" width="44.42578125" style="119" bestFit="1" customWidth="1"/>
    <col min="12547" max="12547" width="10.42578125" style="119" bestFit="1" customWidth="1"/>
    <col min="12548" max="12548" width="10.42578125" style="119" customWidth="1"/>
    <col min="12549" max="12551" width="9.5703125" style="119" bestFit="1" customWidth="1"/>
    <col min="12552" max="12552" width="10.42578125" style="119" bestFit="1" customWidth="1"/>
    <col min="12553" max="12553" width="4.5703125" style="119" customWidth="1"/>
    <col min="12554" max="12554" width="1.85546875" style="119" customWidth="1"/>
    <col min="12555" max="12555" width="7" style="119" bestFit="1" customWidth="1"/>
    <col min="12556" max="12556" width="6.42578125" style="119" customWidth="1"/>
    <col min="12557" max="12557" width="20.42578125" style="119" customWidth="1"/>
    <col min="12558" max="12558" width="6.42578125" style="119" bestFit="1" customWidth="1"/>
    <col min="12559" max="12560" width="8.42578125" style="119"/>
    <col min="12561" max="12561" width="3.42578125" style="119" customWidth="1"/>
    <col min="12562" max="12800" width="8.42578125" style="119"/>
    <col min="12801" max="12801" width="10" style="119" bestFit="1" customWidth="1"/>
    <col min="12802" max="12802" width="44.42578125" style="119" bestFit="1" customWidth="1"/>
    <col min="12803" max="12803" width="10.42578125" style="119" bestFit="1" customWidth="1"/>
    <col min="12804" max="12804" width="10.42578125" style="119" customWidth="1"/>
    <col min="12805" max="12807" width="9.5703125" style="119" bestFit="1" customWidth="1"/>
    <col min="12808" max="12808" width="10.42578125" style="119" bestFit="1" customWidth="1"/>
    <col min="12809" max="12809" width="4.5703125" style="119" customWidth="1"/>
    <col min="12810" max="12810" width="1.85546875" style="119" customWidth="1"/>
    <col min="12811" max="12811" width="7" style="119" bestFit="1" customWidth="1"/>
    <col min="12812" max="12812" width="6.42578125" style="119" customWidth="1"/>
    <col min="12813" max="12813" width="20.42578125" style="119" customWidth="1"/>
    <col min="12814" max="12814" width="6.42578125" style="119" bestFit="1" customWidth="1"/>
    <col min="12815" max="12816" width="8.42578125" style="119"/>
    <col min="12817" max="12817" width="3.42578125" style="119" customWidth="1"/>
    <col min="12818" max="13056" width="8.42578125" style="119"/>
    <col min="13057" max="13057" width="10" style="119" bestFit="1" customWidth="1"/>
    <col min="13058" max="13058" width="44.42578125" style="119" bestFit="1" customWidth="1"/>
    <col min="13059" max="13059" width="10.42578125" style="119" bestFit="1" customWidth="1"/>
    <col min="13060" max="13060" width="10.42578125" style="119" customWidth="1"/>
    <col min="13061" max="13063" width="9.5703125" style="119" bestFit="1" customWidth="1"/>
    <col min="13064" max="13064" width="10.42578125" style="119" bestFit="1" customWidth="1"/>
    <col min="13065" max="13065" width="4.5703125" style="119" customWidth="1"/>
    <col min="13066" max="13066" width="1.85546875" style="119" customWidth="1"/>
    <col min="13067" max="13067" width="7" style="119" bestFit="1" customWidth="1"/>
    <col min="13068" max="13068" width="6.42578125" style="119" customWidth="1"/>
    <col min="13069" max="13069" width="20.42578125" style="119" customWidth="1"/>
    <col min="13070" max="13070" width="6.42578125" style="119" bestFit="1" customWidth="1"/>
    <col min="13071" max="13072" width="8.42578125" style="119"/>
    <col min="13073" max="13073" width="3.42578125" style="119" customWidth="1"/>
    <col min="13074" max="13312" width="8.42578125" style="119"/>
    <col min="13313" max="13313" width="10" style="119" bestFit="1" customWidth="1"/>
    <col min="13314" max="13314" width="44.42578125" style="119" bestFit="1" customWidth="1"/>
    <col min="13315" max="13315" width="10.42578125" style="119" bestFit="1" customWidth="1"/>
    <col min="13316" max="13316" width="10.42578125" style="119" customWidth="1"/>
    <col min="13317" max="13319" width="9.5703125" style="119" bestFit="1" customWidth="1"/>
    <col min="13320" max="13320" width="10.42578125" style="119" bestFit="1" customWidth="1"/>
    <col min="13321" max="13321" width="4.5703125" style="119" customWidth="1"/>
    <col min="13322" max="13322" width="1.85546875" style="119" customWidth="1"/>
    <col min="13323" max="13323" width="7" style="119" bestFit="1" customWidth="1"/>
    <col min="13324" max="13324" width="6.42578125" style="119" customWidth="1"/>
    <col min="13325" max="13325" width="20.42578125" style="119" customWidth="1"/>
    <col min="13326" max="13326" width="6.42578125" style="119" bestFit="1" customWidth="1"/>
    <col min="13327" max="13328" width="8.42578125" style="119"/>
    <col min="13329" max="13329" width="3.42578125" style="119" customWidth="1"/>
    <col min="13330" max="13568" width="8.42578125" style="119"/>
    <col min="13569" max="13569" width="10" style="119" bestFit="1" customWidth="1"/>
    <col min="13570" max="13570" width="44.42578125" style="119" bestFit="1" customWidth="1"/>
    <col min="13571" max="13571" width="10.42578125" style="119" bestFit="1" customWidth="1"/>
    <col min="13572" max="13572" width="10.42578125" style="119" customWidth="1"/>
    <col min="13573" max="13575" width="9.5703125" style="119" bestFit="1" customWidth="1"/>
    <col min="13576" max="13576" width="10.42578125" style="119" bestFit="1" customWidth="1"/>
    <col min="13577" max="13577" width="4.5703125" style="119" customWidth="1"/>
    <col min="13578" max="13578" width="1.85546875" style="119" customWidth="1"/>
    <col min="13579" max="13579" width="7" style="119" bestFit="1" customWidth="1"/>
    <col min="13580" max="13580" width="6.42578125" style="119" customWidth="1"/>
    <col min="13581" max="13581" width="20.42578125" style="119" customWidth="1"/>
    <col min="13582" max="13582" width="6.42578125" style="119" bestFit="1" customWidth="1"/>
    <col min="13583" max="13584" width="8.42578125" style="119"/>
    <col min="13585" max="13585" width="3.42578125" style="119" customWidth="1"/>
    <col min="13586" max="13824" width="8.42578125" style="119"/>
    <col min="13825" max="13825" width="10" style="119" bestFit="1" customWidth="1"/>
    <col min="13826" max="13826" width="44.42578125" style="119" bestFit="1" customWidth="1"/>
    <col min="13827" max="13827" width="10.42578125" style="119" bestFit="1" customWidth="1"/>
    <col min="13828" max="13828" width="10.42578125" style="119" customWidth="1"/>
    <col min="13829" max="13831" width="9.5703125" style="119" bestFit="1" customWidth="1"/>
    <col min="13832" max="13832" width="10.42578125" style="119" bestFit="1" customWidth="1"/>
    <col min="13833" max="13833" width="4.5703125" style="119" customWidth="1"/>
    <col min="13834" max="13834" width="1.85546875" style="119" customWidth="1"/>
    <col min="13835" max="13835" width="7" style="119" bestFit="1" customWidth="1"/>
    <col min="13836" max="13836" width="6.42578125" style="119" customWidth="1"/>
    <col min="13837" max="13837" width="20.42578125" style="119" customWidth="1"/>
    <col min="13838" max="13838" width="6.42578125" style="119" bestFit="1" customWidth="1"/>
    <col min="13839" max="13840" width="8.42578125" style="119"/>
    <col min="13841" max="13841" width="3.42578125" style="119" customWidth="1"/>
    <col min="13842" max="14080" width="8.42578125" style="119"/>
    <col min="14081" max="14081" width="10" style="119" bestFit="1" customWidth="1"/>
    <col min="14082" max="14082" width="44.42578125" style="119" bestFit="1" customWidth="1"/>
    <col min="14083" max="14083" width="10.42578125" style="119" bestFit="1" customWidth="1"/>
    <col min="14084" max="14084" width="10.42578125" style="119" customWidth="1"/>
    <col min="14085" max="14087" width="9.5703125" style="119" bestFit="1" customWidth="1"/>
    <col min="14088" max="14088" width="10.42578125" style="119" bestFit="1" customWidth="1"/>
    <col min="14089" max="14089" width="4.5703125" style="119" customWidth="1"/>
    <col min="14090" max="14090" width="1.85546875" style="119" customWidth="1"/>
    <col min="14091" max="14091" width="7" style="119" bestFit="1" customWidth="1"/>
    <col min="14092" max="14092" width="6.42578125" style="119" customWidth="1"/>
    <col min="14093" max="14093" width="20.42578125" style="119" customWidth="1"/>
    <col min="14094" max="14094" width="6.42578125" style="119" bestFit="1" customWidth="1"/>
    <col min="14095" max="14096" width="8.42578125" style="119"/>
    <col min="14097" max="14097" width="3.42578125" style="119" customWidth="1"/>
    <col min="14098" max="14336" width="8.42578125" style="119"/>
    <col min="14337" max="14337" width="10" style="119" bestFit="1" customWidth="1"/>
    <col min="14338" max="14338" width="44.42578125" style="119" bestFit="1" customWidth="1"/>
    <col min="14339" max="14339" width="10.42578125" style="119" bestFit="1" customWidth="1"/>
    <col min="14340" max="14340" width="10.42578125" style="119" customWidth="1"/>
    <col min="14341" max="14343" width="9.5703125" style="119" bestFit="1" customWidth="1"/>
    <col min="14344" max="14344" width="10.42578125" style="119" bestFit="1" customWidth="1"/>
    <col min="14345" max="14345" width="4.5703125" style="119" customWidth="1"/>
    <col min="14346" max="14346" width="1.85546875" style="119" customWidth="1"/>
    <col min="14347" max="14347" width="7" style="119" bestFit="1" customWidth="1"/>
    <col min="14348" max="14348" width="6.42578125" style="119" customWidth="1"/>
    <col min="14349" max="14349" width="20.42578125" style="119" customWidth="1"/>
    <col min="14350" max="14350" width="6.42578125" style="119" bestFit="1" customWidth="1"/>
    <col min="14351" max="14352" width="8.42578125" style="119"/>
    <col min="14353" max="14353" width="3.42578125" style="119" customWidth="1"/>
    <col min="14354" max="14592" width="8.42578125" style="119"/>
    <col min="14593" max="14593" width="10" style="119" bestFit="1" customWidth="1"/>
    <col min="14594" max="14594" width="44.42578125" style="119" bestFit="1" customWidth="1"/>
    <col min="14595" max="14595" width="10.42578125" style="119" bestFit="1" customWidth="1"/>
    <col min="14596" max="14596" width="10.42578125" style="119" customWidth="1"/>
    <col min="14597" max="14599" width="9.5703125" style="119" bestFit="1" customWidth="1"/>
    <col min="14600" max="14600" width="10.42578125" style="119" bestFit="1" customWidth="1"/>
    <col min="14601" max="14601" width="4.5703125" style="119" customWidth="1"/>
    <col min="14602" max="14602" width="1.85546875" style="119" customWidth="1"/>
    <col min="14603" max="14603" width="7" style="119" bestFit="1" customWidth="1"/>
    <col min="14604" max="14604" width="6.42578125" style="119" customWidth="1"/>
    <col min="14605" max="14605" width="20.42578125" style="119" customWidth="1"/>
    <col min="14606" max="14606" width="6.42578125" style="119" bestFit="1" customWidth="1"/>
    <col min="14607" max="14608" width="8.42578125" style="119"/>
    <col min="14609" max="14609" width="3.42578125" style="119" customWidth="1"/>
    <col min="14610" max="14848" width="8.42578125" style="119"/>
    <col min="14849" max="14849" width="10" style="119" bestFit="1" customWidth="1"/>
    <col min="14850" max="14850" width="44.42578125" style="119" bestFit="1" customWidth="1"/>
    <col min="14851" max="14851" width="10.42578125" style="119" bestFit="1" customWidth="1"/>
    <col min="14852" max="14852" width="10.42578125" style="119" customWidth="1"/>
    <col min="14853" max="14855" width="9.5703125" style="119" bestFit="1" customWidth="1"/>
    <col min="14856" max="14856" width="10.42578125" style="119" bestFit="1" customWidth="1"/>
    <col min="14857" max="14857" width="4.5703125" style="119" customWidth="1"/>
    <col min="14858" max="14858" width="1.85546875" style="119" customWidth="1"/>
    <col min="14859" max="14859" width="7" style="119" bestFit="1" customWidth="1"/>
    <col min="14860" max="14860" width="6.42578125" style="119" customWidth="1"/>
    <col min="14861" max="14861" width="20.42578125" style="119" customWidth="1"/>
    <col min="14862" max="14862" width="6.42578125" style="119" bestFit="1" customWidth="1"/>
    <col min="14863" max="14864" width="8.42578125" style="119"/>
    <col min="14865" max="14865" width="3.42578125" style="119" customWidth="1"/>
    <col min="14866" max="15104" width="8.42578125" style="119"/>
    <col min="15105" max="15105" width="10" style="119" bestFit="1" customWidth="1"/>
    <col min="15106" max="15106" width="44.42578125" style="119" bestFit="1" customWidth="1"/>
    <col min="15107" max="15107" width="10.42578125" style="119" bestFit="1" customWidth="1"/>
    <col min="15108" max="15108" width="10.42578125" style="119" customWidth="1"/>
    <col min="15109" max="15111" width="9.5703125" style="119" bestFit="1" customWidth="1"/>
    <col min="15112" max="15112" width="10.42578125" style="119" bestFit="1" customWidth="1"/>
    <col min="15113" max="15113" width="4.5703125" style="119" customWidth="1"/>
    <col min="15114" max="15114" width="1.85546875" style="119" customWidth="1"/>
    <col min="15115" max="15115" width="7" style="119" bestFit="1" customWidth="1"/>
    <col min="15116" max="15116" width="6.42578125" style="119" customWidth="1"/>
    <col min="15117" max="15117" width="20.42578125" style="119" customWidth="1"/>
    <col min="15118" max="15118" width="6.42578125" style="119" bestFit="1" customWidth="1"/>
    <col min="15119" max="15120" width="8.42578125" style="119"/>
    <col min="15121" max="15121" width="3.42578125" style="119" customWidth="1"/>
    <col min="15122" max="15360" width="8.42578125" style="119"/>
    <col min="15361" max="15361" width="10" style="119" bestFit="1" customWidth="1"/>
    <col min="15362" max="15362" width="44.42578125" style="119" bestFit="1" customWidth="1"/>
    <col min="15363" max="15363" width="10.42578125" style="119" bestFit="1" customWidth="1"/>
    <col min="15364" max="15364" width="10.42578125" style="119" customWidth="1"/>
    <col min="15365" max="15367" width="9.5703125" style="119" bestFit="1" customWidth="1"/>
    <col min="15368" max="15368" width="10.42578125" style="119" bestFit="1" customWidth="1"/>
    <col min="15369" max="15369" width="4.5703125" style="119" customWidth="1"/>
    <col min="15370" max="15370" width="1.85546875" style="119" customWidth="1"/>
    <col min="15371" max="15371" width="7" style="119" bestFit="1" customWidth="1"/>
    <col min="15372" max="15372" width="6.42578125" style="119" customWidth="1"/>
    <col min="15373" max="15373" width="20.42578125" style="119" customWidth="1"/>
    <col min="15374" max="15374" width="6.42578125" style="119" bestFit="1" customWidth="1"/>
    <col min="15375" max="15376" width="8.42578125" style="119"/>
    <col min="15377" max="15377" width="3.42578125" style="119" customWidth="1"/>
    <col min="15378" max="15616" width="8.42578125" style="119"/>
    <col min="15617" max="15617" width="10" style="119" bestFit="1" customWidth="1"/>
    <col min="15618" max="15618" width="44.42578125" style="119" bestFit="1" customWidth="1"/>
    <col min="15619" max="15619" width="10.42578125" style="119" bestFit="1" customWidth="1"/>
    <col min="15620" max="15620" width="10.42578125" style="119" customWidth="1"/>
    <col min="15621" max="15623" width="9.5703125" style="119" bestFit="1" customWidth="1"/>
    <col min="15624" max="15624" width="10.42578125" style="119" bestFit="1" customWidth="1"/>
    <col min="15625" max="15625" width="4.5703125" style="119" customWidth="1"/>
    <col min="15626" max="15626" width="1.85546875" style="119" customWidth="1"/>
    <col min="15627" max="15627" width="7" style="119" bestFit="1" customWidth="1"/>
    <col min="15628" max="15628" width="6.42578125" style="119" customWidth="1"/>
    <col min="15629" max="15629" width="20.42578125" style="119" customWidth="1"/>
    <col min="15630" max="15630" width="6.42578125" style="119" bestFit="1" customWidth="1"/>
    <col min="15631" max="15632" width="8.42578125" style="119"/>
    <col min="15633" max="15633" width="3.42578125" style="119" customWidth="1"/>
    <col min="15634" max="15872" width="8.42578125" style="119"/>
    <col min="15873" max="15873" width="10" style="119" bestFit="1" customWidth="1"/>
    <col min="15874" max="15874" width="44.42578125" style="119" bestFit="1" customWidth="1"/>
    <col min="15875" max="15875" width="10.42578125" style="119" bestFit="1" customWidth="1"/>
    <col min="15876" max="15876" width="10.42578125" style="119" customWidth="1"/>
    <col min="15877" max="15879" width="9.5703125" style="119" bestFit="1" customWidth="1"/>
    <col min="15880" max="15880" width="10.42578125" style="119" bestFit="1" customWidth="1"/>
    <col min="15881" max="15881" width="4.5703125" style="119" customWidth="1"/>
    <col min="15882" max="15882" width="1.85546875" style="119" customWidth="1"/>
    <col min="15883" max="15883" width="7" style="119" bestFit="1" customWidth="1"/>
    <col min="15884" max="15884" width="6.42578125" style="119" customWidth="1"/>
    <col min="15885" max="15885" width="20.42578125" style="119" customWidth="1"/>
    <col min="15886" max="15886" width="6.42578125" style="119" bestFit="1" customWidth="1"/>
    <col min="15887" max="15888" width="8.42578125" style="119"/>
    <col min="15889" max="15889" width="3.42578125" style="119" customWidth="1"/>
    <col min="15890" max="16128" width="8.42578125" style="119"/>
    <col min="16129" max="16129" width="10" style="119" bestFit="1" customWidth="1"/>
    <col min="16130" max="16130" width="44.42578125" style="119" bestFit="1" customWidth="1"/>
    <col min="16131" max="16131" width="10.42578125" style="119" bestFit="1" customWidth="1"/>
    <col min="16132" max="16132" width="10.42578125" style="119" customWidth="1"/>
    <col min="16133" max="16135" width="9.5703125" style="119" bestFit="1" customWidth="1"/>
    <col min="16136" max="16136" width="10.42578125" style="119" bestFit="1" customWidth="1"/>
    <col min="16137" max="16137" width="4.5703125" style="119" customWidth="1"/>
    <col min="16138" max="16138" width="1.85546875" style="119" customWidth="1"/>
    <col min="16139" max="16139" width="7" style="119" bestFit="1" customWidth="1"/>
    <col min="16140" max="16140" width="6.42578125" style="119" customWidth="1"/>
    <col min="16141" max="16141" width="20.42578125" style="119" customWidth="1"/>
    <col min="16142" max="16142" width="6.42578125" style="119" bestFit="1" customWidth="1"/>
    <col min="16143" max="16144" width="8.42578125" style="119"/>
    <col min="16145" max="16145" width="3.42578125" style="119" customWidth="1"/>
    <col min="16146" max="16384" width="8.42578125" style="119"/>
  </cols>
  <sheetData>
    <row r="1" spans="1:10" ht="27.75" customHeight="1" x14ac:dyDescent="0.25">
      <c r="A1" s="114"/>
      <c r="B1" s="114"/>
      <c r="C1" s="114"/>
      <c r="D1" s="114"/>
      <c r="E1" s="115" t="s">
        <v>126</v>
      </c>
      <c r="F1" s="116" t="s">
        <v>127</v>
      </c>
      <c r="G1" s="116" t="s">
        <v>128</v>
      </c>
      <c r="H1" s="116" t="s">
        <v>129</v>
      </c>
      <c r="I1" s="117"/>
    </row>
    <row r="2" spans="1:10" ht="30.75" customHeight="1" x14ac:dyDescent="0.25">
      <c r="A2" s="114"/>
      <c r="B2" s="114"/>
      <c r="C2" s="114"/>
      <c r="D2" s="114"/>
      <c r="E2" s="120">
        <f>IFERROR(O62,"")</f>
        <v>74808.005600000004</v>
      </c>
      <c r="F2" s="120">
        <f>IFERROR(H53,"")</f>
        <v>63989.08</v>
      </c>
      <c r="G2" s="120">
        <f>IFERROR(H54,"")</f>
        <v>0.57999999999999996</v>
      </c>
      <c r="H2" s="120">
        <f>IFERROR(H56,"")</f>
        <v>580</v>
      </c>
      <c r="I2" s="121"/>
    </row>
    <row r="3" spans="1:10" ht="15" customHeight="1" x14ac:dyDescent="0.25">
      <c r="A3" s="114"/>
      <c r="B3" s="114"/>
      <c r="C3" s="114"/>
      <c r="D3" s="114"/>
      <c r="E3" s="114"/>
      <c r="F3" s="122"/>
      <c r="G3" s="122"/>
      <c r="H3" s="122"/>
      <c r="I3" s="122"/>
    </row>
    <row r="4" spans="1:10" ht="24.75" customHeight="1" thickBot="1" x14ac:dyDescent="0.3">
      <c r="A4" s="273"/>
      <c r="B4" s="273"/>
      <c r="C4" s="273"/>
      <c r="D4" s="273"/>
      <c r="E4" s="273"/>
      <c r="F4" s="273"/>
      <c r="G4" s="273"/>
      <c r="H4" s="273"/>
      <c r="I4" s="123"/>
    </row>
    <row r="5" spans="1:10" ht="19.5" customHeight="1" thickBot="1" x14ac:dyDescent="0.3">
      <c r="A5" s="279" t="s">
        <v>130</v>
      </c>
      <c r="B5" s="280"/>
      <c r="C5" s="280"/>
      <c r="D5" s="280"/>
      <c r="E5" s="280"/>
      <c r="F5" s="280"/>
      <c r="G5" s="280"/>
      <c r="H5" s="281"/>
      <c r="I5" s="124"/>
    </row>
    <row r="6" spans="1:10" ht="19.5" thickBot="1" x14ac:dyDescent="0.3">
      <c r="A6" s="124"/>
      <c r="B6" s="124"/>
      <c r="C6" s="124"/>
      <c r="D6" s="124"/>
      <c r="E6" s="124"/>
      <c r="F6" s="282" t="s">
        <v>131</v>
      </c>
      <c r="G6" s="282"/>
      <c r="H6" s="125">
        <f ca="1">TODAY()</f>
        <v>45663</v>
      </c>
      <c r="I6" s="125"/>
    </row>
    <row r="7" spans="1:10" ht="39" thickBot="1" x14ac:dyDescent="0.3">
      <c r="A7" s="126" t="s">
        <v>132</v>
      </c>
      <c r="B7" s="127" t="s">
        <v>133</v>
      </c>
      <c r="C7" s="127" t="s">
        <v>132</v>
      </c>
      <c r="D7" s="128" t="s">
        <v>134</v>
      </c>
      <c r="E7" s="128" t="s">
        <v>135</v>
      </c>
      <c r="F7" s="128" t="s">
        <v>136</v>
      </c>
      <c r="G7" s="128" t="s">
        <v>137</v>
      </c>
      <c r="H7" s="129" t="s">
        <v>138</v>
      </c>
      <c r="I7" s="130"/>
    </row>
    <row r="8" spans="1:10" ht="13.5" x14ac:dyDescent="0.25">
      <c r="A8" s="131">
        <v>16000</v>
      </c>
      <c r="B8" s="119" t="s">
        <v>101</v>
      </c>
      <c r="C8" s="132">
        <f>+A8</f>
        <v>16000</v>
      </c>
      <c r="D8" s="133" t="s">
        <v>178</v>
      </c>
      <c r="E8" s="133">
        <v>3.61</v>
      </c>
      <c r="F8" s="133">
        <f>IFERROR(C8*E8,"")</f>
        <v>57760</v>
      </c>
      <c r="G8" s="104">
        <f t="shared" ref="G8:G14" si="0">IFERROR(F8/$F$66,"")</f>
        <v>0.87715246472188757</v>
      </c>
      <c r="H8" s="134" t="s">
        <v>88</v>
      </c>
      <c r="I8" s="134"/>
      <c r="J8" s="105"/>
    </row>
    <row r="9" spans="1:10" ht="13.5" x14ac:dyDescent="0.25">
      <c r="A9" s="131">
        <v>2100</v>
      </c>
      <c r="B9" s="119" t="s">
        <v>193</v>
      </c>
      <c r="C9" s="132">
        <f t="shared" ref="C9:C14" si="1">+A9</f>
        <v>2100</v>
      </c>
      <c r="D9" s="133" t="s">
        <v>194</v>
      </c>
      <c r="E9" s="133">
        <v>2.8</v>
      </c>
      <c r="F9" s="133">
        <f t="shared" ref="F9:F14" si="2">IFERROR(C9*E9,"")</f>
        <v>5880</v>
      </c>
      <c r="G9" s="104">
        <f t="shared" si="0"/>
        <v>8.9294606865732318E-2</v>
      </c>
      <c r="H9" s="134">
        <v>102000063</v>
      </c>
      <c r="I9" s="134"/>
      <c r="J9" s="105"/>
    </row>
    <row r="10" spans="1:10" ht="13.5" x14ac:dyDescent="0.25">
      <c r="A10" s="131">
        <v>36</v>
      </c>
      <c r="B10" s="119" t="str">
        <f>IFERROR(VLOOKUP(H10,'[1]Consolidado MP Planta'!$A$2:$M$823,3,0),"")</f>
        <v>PRESERVANTE 1017S (PAQ=5 KILO)</v>
      </c>
      <c r="C10" s="132">
        <f t="shared" si="1"/>
        <v>36</v>
      </c>
      <c r="D10" s="133" t="str">
        <f>IFERROR(VLOOKUP(H10,'[1]Consolidado MP Planta'!$A$2:$M$823,13,0),"")</f>
        <v>Gramos</v>
      </c>
      <c r="E10" s="133">
        <v>9.2799999999999994</v>
      </c>
      <c r="F10" s="133">
        <f t="shared" si="2"/>
        <v>334.08</v>
      </c>
      <c r="G10" s="104">
        <f t="shared" si="0"/>
        <v>5.0733915411060974E-3</v>
      </c>
      <c r="H10" s="134" t="s">
        <v>89</v>
      </c>
      <c r="I10" s="134"/>
      <c r="J10" s="105"/>
    </row>
    <row r="11" spans="1:10" ht="13.5" x14ac:dyDescent="0.25">
      <c r="A11" s="131">
        <v>150</v>
      </c>
      <c r="B11" s="119" t="str">
        <f>IFERROR(VLOOKUP(H11,'[1]Consolidado MP Planta'!$A$2:$M$823,3,0),"")</f>
        <v>AGUA PLANTA</v>
      </c>
      <c r="C11" s="132">
        <f t="shared" si="1"/>
        <v>150</v>
      </c>
      <c r="D11" s="133" t="str">
        <f>IFERROR(VLOOKUP(H11,'[1]Consolidado MP Planta'!$A$2:$M$823,13,0),"")</f>
        <v>Mililitros</v>
      </c>
      <c r="E11" s="133">
        <f>IFERROR(VLOOKUP(H11,'[1]Consolidado MP Planta'!$A$2:$M$823,12,0),"")</f>
        <v>0.1</v>
      </c>
      <c r="F11" s="133">
        <f t="shared" si="2"/>
        <v>15</v>
      </c>
      <c r="G11" s="104">
        <f t="shared" si="0"/>
        <v>2.2779236445339877E-4</v>
      </c>
      <c r="H11" s="134" t="s">
        <v>72</v>
      </c>
      <c r="I11" s="134"/>
      <c r="J11" s="105"/>
    </row>
    <row r="12" spans="1:10" ht="13.5" hidden="1" x14ac:dyDescent="0.25">
      <c r="A12" s="131"/>
      <c r="B12" s="119" t="str">
        <f>IFERROR(VLOOKUP(H12,'[1]Consolidado MP Planta'!$A$2:$M$823,3,0),"")</f>
        <v/>
      </c>
      <c r="C12" s="132">
        <f t="shared" si="1"/>
        <v>0</v>
      </c>
      <c r="D12" s="133" t="str">
        <f>IFERROR(VLOOKUP(H12,'[1]Consolidado MP Planta'!$A$2:$M$823,13,0),"")</f>
        <v/>
      </c>
      <c r="E12" s="133" t="str">
        <f>IFERROR(VLOOKUP(H12,'[1]Consolidado MP Planta'!$A$2:$M$823,12,0),"")</f>
        <v/>
      </c>
      <c r="F12" s="133" t="str">
        <f t="shared" si="2"/>
        <v/>
      </c>
      <c r="G12" s="104" t="str">
        <f t="shared" si="0"/>
        <v/>
      </c>
      <c r="H12" s="134"/>
      <c r="I12" s="134"/>
      <c r="J12" s="105"/>
    </row>
    <row r="13" spans="1:10" ht="13.5" hidden="1" x14ac:dyDescent="0.25">
      <c r="A13" s="131"/>
      <c r="B13" s="119" t="str">
        <f>IFERROR(VLOOKUP(H13,'[1]Consolidado MP Planta'!$A$2:$M$823,3,0),"")</f>
        <v/>
      </c>
      <c r="C13" s="132">
        <f t="shared" si="1"/>
        <v>0</v>
      </c>
      <c r="D13" s="133" t="str">
        <f>IFERROR(VLOOKUP(H13,'[1]Consolidado MP Planta'!$A$2:$M$823,13,0),"")</f>
        <v/>
      </c>
      <c r="E13" s="133" t="str">
        <f>IFERROR(VLOOKUP(H13,'[1]Consolidado MP Planta'!$A$2:$M$823,12,0),"")</f>
        <v/>
      </c>
      <c r="F13" s="133" t="str">
        <f t="shared" si="2"/>
        <v/>
      </c>
      <c r="G13" s="104" t="str">
        <f t="shared" si="0"/>
        <v/>
      </c>
      <c r="H13" s="134"/>
      <c r="I13" s="134"/>
      <c r="J13" s="105"/>
    </row>
    <row r="14" spans="1:10" ht="13.5" hidden="1" x14ac:dyDescent="0.25">
      <c r="A14" s="131"/>
      <c r="B14" s="119" t="str">
        <f>IFERROR(VLOOKUP(H14,'[1]Consolidado MP Planta'!$A$2:$M$823,3,0),"")</f>
        <v/>
      </c>
      <c r="C14" s="132">
        <f t="shared" si="1"/>
        <v>0</v>
      </c>
      <c r="D14" s="133" t="str">
        <f>IFERROR(VLOOKUP(H14,'[1]Consolidado MP Planta'!$A$2:$M$823,13,0),"")</f>
        <v/>
      </c>
      <c r="E14" s="133" t="str">
        <f>IFERROR(VLOOKUP(H14,'[1]Consolidado MP Planta'!$A$2:$M$823,12,0),"")</f>
        <v/>
      </c>
      <c r="F14" s="133" t="str">
        <f t="shared" si="2"/>
        <v/>
      </c>
      <c r="G14" s="104" t="str">
        <f t="shared" si="0"/>
        <v/>
      </c>
      <c r="H14" s="134"/>
      <c r="I14" s="134"/>
      <c r="J14" s="105"/>
    </row>
    <row r="15" spans="1:10" ht="14.25" thickBot="1" x14ac:dyDescent="0.3">
      <c r="A15" s="131"/>
      <c r="B15" s="119" t="str">
        <f>IFERROR(VLOOKUP(H15,'[2]ARTICULOS MP PLANTA'!$A$2:$G$589,2,0),"")</f>
        <v/>
      </c>
      <c r="C15" s="132"/>
      <c r="D15" s="133"/>
      <c r="E15" s="133"/>
      <c r="F15" s="133"/>
      <c r="G15" s="104"/>
      <c r="H15" s="134"/>
      <c r="I15" s="134"/>
      <c r="J15" s="105"/>
    </row>
    <row r="16" spans="1:10" ht="39" hidden="1" thickBot="1" x14ac:dyDescent="0.3">
      <c r="A16" s="126" t="s">
        <v>132</v>
      </c>
      <c r="B16" s="127" t="s">
        <v>139</v>
      </c>
      <c r="C16" s="127" t="s">
        <v>132</v>
      </c>
      <c r="D16" s="128" t="s">
        <v>134</v>
      </c>
      <c r="E16" s="128" t="s">
        <v>135</v>
      </c>
      <c r="F16" s="128" t="s">
        <v>136</v>
      </c>
      <c r="G16" s="128" t="s">
        <v>137</v>
      </c>
      <c r="H16" s="129" t="s">
        <v>138</v>
      </c>
      <c r="I16" s="130"/>
      <c r="J16" s="105"/>
    </row>
    <row r="17" spans="1:12" ht="13.5" hidden="1" x14ac:dyDescent="0.25">
      <c r="A17" s="131"/>
      <c r="B17" s="119" t="str">
        <f>IFERROR(VLOOKUP(H17,[1]SEMIELABORADOS!$A$2:$M$6000,2,0),"")</f>
        <v/>
      </c>
      <c r="C17" s="132">
        <f>+A17</f>
        <v>0</v>
      </c>
      <c r="D17" s="132" t="str">
        <f>IFERROR(VLOOKUP(H17,[1]SEMIELABORADOS!$A$2:$M$6000,6,0),"")</f>
        <v/>
      </c>
      <c r="E17" s="133" t="str">
        <f>IFERROR(VLOOKUP(H17,[1]SEMIELABORADOS!$A$2:$H$65536,8,0),"")</f>
        <v/>
      </c>
      <c r="F17" s="133" t="str">
        <f>IFERROR(E17*C17,"")</f>
        <v/>
      </c>
      <c r="G17" s="104" t="str">
        <f t="shared" ref="G17:G24" si="3">IFERROR(F17/$F$66,"")</f>
        <v/>
      </c>
      <c r="H17" s="134"/>
      <c r="I17" s="134"/>
      <c r="J17" s="105"/>
    </row>
    <row r="18" spans="1:12" ht="13.5" hidden="1" x14ac:dyDescent="0.25">
      <c r="A18" s="131"/>
      <c r="B18" s="119" t="str">
        <f>IFERROR(VLOOKUP(H18,[1]SEMIELABORADOS!$A$2:$M$6000,2,0),"")</f>
        <v/>
      </c>
      <c r="C18" s="132">
        <f t="shared" ref="C18:C24" si="4">+A18</f>
        <v>0</v>
      </c>
      <c r="D18" s="132" t="str">
        <f>IFERROR(VLOOKUP(H18,[1]SEMIELABORADOS!$A$2:$M$6000,6,0),"")</f>
        <v/>
      </c>
      <c r="E18" s="133" t="str">
        <f>IFERROR(VLOOKUP(H18,[1]SEMIELABORADOS!$A$2:$H$65536,8,0),"")</f>
        <v/>
      </c>
      <c r="F18" s="133" t="str">
        <f t="shared" ref="F18:F24" si="5">IFERROR(E18*C18,"")</f>
        <v/>
      </c>
      <c r="G18" s="104" t="str">
        <f t="shared" si="3"/>
        <v/>
      </c>
      <c r="H18" s="134"/>
      <c r="I18" s="134"/>
      <c r="J18" s="105"/>
    </row>
    <row r="19" spans="1:12" ht="13.5" hidden="1" x14ac:dyDescent="0.25">
      <c r="A19" s="131"/>
      <c r="B19" s="119" t="str">
        <f>IFERROR(VLOOKUP(H19,[1]SEMIELABORADOS!$A$2:$M$6000,2,0),"")</f>
        <v/>
      </c>
      <c r="C19" s="132">
        <f>+A19</f>
        <v>0</v>
      </c>
      <c r="D19" s="132" t="str">
        <f>IFERROR(VLOOKUP(H19,[1]SEMIELABORADOS!$A$2:$M$6000,6,0),"")</f>
        <v/>
      </c>
      <c r="E19" s="133" t="str">
        <f>IFERROR(VLOOKUP(H19,[1]SEMIELABORADOS!$A$2:$H$65536,8,0),"")</f>
        <v/>
      </c>
      <c r="F19" s="133" t="str">
        <f>IFERROR(E19*C19,"")</f>
        <v/>
      </c>
      <c r="G19" s="104" t="str">
        <f t="shared" si="3"/>
        <v/>
      </c>
      <c r="H19" s="134"/>
      <c r="I19" s="134"/>
      <c r="J19" s="105"/>
    </row>
    <row r="20" spans="1:12" ht="13.5" hidden="1" x14ac:dyDescent="0.25">
      <c r="A20" s="131"/>
      <c r="B20" s="119" t="str">
        <f>IFERROR(VLOOKUP(H20,[1]SEMIELABORADOS!$A$2:$M$6000,2,0),"")</f>
        <v/>
      </c>
      <c r="C20" s="132">
        <f>+A20</f>
        <v>0</v>
      </c>
      <c r="D20" s="132" t="str">
        <f>IFERROR(VLOOKUP(H20,[1]SEMIELABORADOS!$A$2:$M$6000,6,0),"")</f>
        <v/>
      </c>
      <c r="E20" s="133" t="str">
        <f>IFERROR(VLOOKUP(H20,[1]SEMIELABORADOS!$A$2:$H$65536,8,0),"")</f>
        <v/>
      </c>
      <c r="F20" s="133" t="str">
        <f>IFERROR(E20*C20,"")</f>
        <v/>
      </c>
      <c r="G20" s="104" t="str">
        <f t="shared" si="3"/>
        <v/>
      </c>
      <c r="H20" s="134"/>
      <c r="I20" s="134"/>
      <c r="J20" s="105"/>
    </row>
    <row r="21" spans="1:12" ht="13.5" hidden="1" x14ac:dyDescent="0.25">
      <c r="A21" s="131"/>
      <c r="B21" s="119" t="str">
        <f>IFERROR(VLOOKUP(H21,[1]SEMIELABORADOS!$A$2:$M$6000,2,0),"")</f>
        <v/>
      </c>
      <c r="C21" s="132">
        <f>+A21</f>
        <v>0</v>
      </c>
      <c r="D21" s="132" t="str">
        <f>IFERROR(VLOOKUP(H21,[1]SEMIELABORADOS!$A$2:$M$6000,6,0),"")</f>
        <v/>
      </c>
      <c r="E21" s="133" t="str">
        <f>IFERROR(VLOOKUP(H21,[1]SEMIELABORADOS!$A$2:$H$65536,8,0),"")</f>
        <v/>
      </c>
      <c r="F21" s="133" t="str">
        <f>IFERROR(E21*C21,"")</f>
        <v/>
      </c>
      <c r="G21" s="104" t="str">
        <f t="shared" si="3"/>
        <v/>
      </c>
      <c r="H21" s="134"/>
      <c r="I21" s="134"/>
      <c r="J21" s="105"/>
    </row>
    <row r="22" spans="1:12" ht="13.5" hidden="1" x14ac:dyDescent="0.25">
      <c r="A22" s="131"/>
      <c r="B22" s="119" t="str">
        <f>IFERROR(VLOOKUP(H22,[1]SEMIELABORADOS!$A$2:$M$6000,2,0),"")</f>
        <v/>
      </c>
      <c r="C22" s="132">
        <f t="shared" si="4"/>
        <v>0</v>
      </c>
      <c r="D22" s="132" t="str">
        <f>IFERROR(VLOOKUP(H22,[1]SEMIELABORADOS!$A$2:$M$6000,6,0),"")</f>
        <v/>
      </c>
      <c r="E22" s="133" t="str">
        <f>IFERROR(VLOOKUP(H22,[1]SEMIELABORADOS!$A$2:$H$65536,8,0),"")</f>
        <v/>
      </c>
      <c r="F22" s="133" t="str">
        <f t="shared" si="5"/>
        <v/>
      </c>
      <c r="G22" s="104" t="str">
        <f t="shared" si="3"/>
        <v/>
      </c>
      <c r="H22" s="134"/>
      <c r="I22" s="134"/>
      <c r="J22" s="105"/>
    </row>
    <row r="23" spans="1:12" ht="13.5" hidden="1" x14ac:dyDescent="0.25">
      <c r="A23" s="131"/>
      <c r="B23" s="119" t="str">
        <f>IFERROR(VLOOKUP(H23,[1]SEMIELABORADOS!$A$2:$M$6000,2,0),"")</f>
        <v/>
      </c>
      <c r="C23" s="132">
        <f t="shared" si="4"/>
        <v>0</v>
      </c>
      <c r="D23" s="132" t="str">
        <f>IFERROR(VLOOKUP(H23,[1]SEMIELABORADOS!$A$2:$M$6000,6,0),"")</f>
        <v/>
      </c>
      <c r="E23" s="133" t="str">
        <f>IFERROR(VLOOKUP(H23,[1]SEMIELABORADOS!$A$2:$H$65536,8,0),"")</f>
        <v/>
      </c>
      <c r="F23" s="133" t="str">
        <f t="shared" si="5"/>
        <v/>
      </c>
      <c r="G23" s="104" t="str">
        <f t="shared" si="3"/>
        <v/>
      </c>
      <c r="H23" s="134"/>
      <c r="I23" s="134"/>
      <c r="J23" s="105"/>
    </row>
    <row r="24" spans="1:12" ht="13.5" hidden="1" x14ac:dyDescent="0.25">
      <c r="A24" s="131"/>
      <c r="B24" s="119" t="str">
        <f>IFERROR(VLOOKUP(H24,[1]SEMIELABORADOS!$A$2:$M$6000,2,0),"")</f>
        <v/>
      </c>
      <c r="C24" s="132">
        <f t="shared" si="4"/>
        <v>0</v>
      </c>
      <c r="D24" s="132" t="str">
        <f>IFERROR(VLOOKUP(H24,[1]SEMIELABORADOS!$A$2:$M$6000,6,0),"")</f>
        <v/>
      </c>
      <c r="E24" s="133" t="str">
        <f>IFERROR(VLOOKUP(H24,[1]SEMIELABORADOS!$A$2:$H$65536,8,0),"")</f>
        <v/>
      </c>
      <c r="F24" s="133" t="str">
        <f t="shared" si="5"/>
        <v/>
      </c>
      <c r="G24" s="104" t="str">
        <f t="shared" si="3"/>
        <v/>
      </c>
      <c r="H24" s="134"/>
      <c r="I24" s="134"/>
      <c r="J24" s="105"/>
    </row>
    <row r="25" spans="1:12" ht="14.25" hidden="1" thickBot="1" x14ac:dyDescent="0.3">
      <c r="A25" s="131"/>
      <c r="C25" s="132"/>
      <c r="D25" s="132"/>
      <c r="E25" s="133"/>
      <c r="F25" s="133"/>
      <c r="G25" s="104"/>
      <c r="H25" s="134"/>
      <c r="I25" s="134"/>
      <c r="J25" s="105"/>
    </row>
    <row r="26" spans="1:12" ht="39" thickBot="1" x14ac:dyDescent="0.3">
      <c r="A26" s="126" t="s">
        <v>132</v>
      </c>
      <c r="B26" s="127" t="s">
        <v>63</v>
      </c>
      <c r="C26" s="127" t="s">
        <v>132</v>
      </c>
      <c r="D26" s="128" t="s">
        <v>134</v>
      </c>
      <c r="E26" s="128" t="s">
        <v>135</v>
      </c>
      <c r="F26" s="128" t="s">
        <v>136</v>
      </c>
      <c r="G26" s="128" t="s">
        <v>137</v>
      </c>
      <c r="H26" s="129" t="s">
        <v>138</v>
      </c>
      <c r="I26" s="130"/>
    </row>
    <row r="27" spans="1:12" ht="13.5" x14ac:dyDescent="0.25">
      <c r="A27" s="131">
        <v>1</v>
      </c>
      <c r="B27" s="135" t="str">
        <f>IFERROR(VLOOKUP(H27,'[1]Consolidado MP Planta'!$A$2:$M$823,3,0),"")</f>
        <v>ETIQ.BLANCA 1 1/4 * 3/4 (UND)</v>
      </c>
      <c r="C27" s="132">
        <f t="shared" ref="C27:C32" si="6">+A27</f>
        <v>1</v>
      </c>
      <c r="D27" s="133" t="str">
        <f>IFERROR(VLOOKUP(H27,'[1]Consolidado MP Planta'!$A$2:$M$823,13,0),"")</f>
        <v>Und</v>
      </c>
      <c r="E27" s="133">
        <f>IFERROR(VLOOKUP(H27,'[1]Consolidado MP Planta'!$A$2:$M$823,12,0),"")</f>
        <v>0.57999999999999996</v>
      </c>
      <c r="F27" s="133">
        <f t="shared" ref="F27:F32" si="7">IFERROR(C27*E27,"")</f>
        <v>0.57999999999999996</v>
      </c>
      <c r="G27" s="104">
        <f t="shared" ref="G27:G32" si="8">IFERROR(F27/$F$66,"")</f>
        <v>8.8079714255314194E-6</v>
      </c>
      <c r="H27" s="136" t="s">
        <v>65</v>
      </c>
      <c r="I27" s="136"/>
      <c r="J27" s="105"/>
      <c r="K27" s="274"/>
      <c r="L27" s="274"/>
    </row>
    <row r="28" spans="1:12" ht="13.5" hidden="1" x14ac:dyDescent="0.25">
      <c r="A28" s="131"/>
      <c r="B28" s="135" t="str">
        <f>IFERROR(VLOOKUP(H28,'[1]Consolidado MP Planta'!$A$2:$M$823,3,0),"")</f>
        <v/>
      </c>
      <c r="C28" s="132">
        <f t="shared" si="6"/>
        <v>0</v>
      </c>
      <c r="D28" s="133" t="str">
        <f>IFERROR(VLOOKUP(H28,'[1]Consolidado MP Planta'!$A$2:$M$823,13,0),"")</f>
        <v/>
      </c>
      <c r="E28" s="133" t="str">
        <f>IFERROR(VLOOKUP(H28,'[1]Consolidado MP Planta'!$A$2:$M$823,12,0),"")</f>
        <v/>
      </c>
      <c r="F28" s="133" t="str">
        <f t="shared" si="7"/>
        <v/>
      </c>
      <c r="G28" s="104" t="str">
        <f t="shared" si="8"/>
        <v/>
      </c>
      <c r="H28" s="136"/>
      <c r="I28" s="136"/>
      <c r="J28" s="105"/>
      <c r="K28" s="274"/>
      <c r="L28" s="274"/>
    </row>
    <row r="29" spans="1:12" ht="13.5" hidden="1" x14ac:dyDescent="0.25">
      <c r="A29" s="131"/>
      <c r="B29" s="135" t="str">
        <f>IFERROR(VLOOKUP(H29,'[1]Consolidado MP Planta'!$A$2:$M$823,3,0),"")</f>
        <v/>
      </c>
      <c r="C29" s="132">
        <f t="shared" si="6"/>
        <v>0</v>
      </c>
      <c r="D29" s="133" t="str">
        <f>IFERROR(VLOOKUP(H29,'[1]Consolidado MP Planta'!$A$2:$M$823,13,0),"")</f>
        <v/>
      </c>
      <c r="E29" s="133" t="str">
        <f>IFERROR(VLOOKUP(H29,'[1]Consolidado MP Planta'!$A$2:$M$823,12,0),"")</f>
        <v/>
      </c>
      <c r="F29" s="133" t="str">
        <f t="shared" si="7"/>
        <v/>
      </c>
      <c r="G29" s="104" t="str">
        <f t="shared" si="8"/>
        <v/>
      </c>
      <c r="H29" s="136"/>
      <c r="I29" s="136"/>
      <c r="J29" s="105"/>
      <c r="K29" s="274"/>
      <c r="L29" s="274"/>
    </row>
    <row r="30" spans="1:12" ht="13.5" hidden="1" x14ac:dyDescent="0.25">
      <c r="A30" s="131"/>
      <c r="B30" s="135" t="str">
        <f>IFERROR(VLOOKUP(H30,'[1]Consolidado MP Planta'!$A$2:$M$823,3,0),"")</f>
        <v/>
      </c>
      <c r="C30" s="132">
        <f t="shared" si="6"/>
        <v>0</v>
      </c>
      <c r="D30" s="133" t="str">
        <f>IFERROR(VLOOKUP(H30,'[1]Consolidado MP Planta'!$A$2:$M$823,13,0),"")</f>
        <v/>
      </c>
      <c r="E30" s="133" t="str">
        <f>IFERROR(VLOOKUP(H30,'[1]Consolidado MP Planta'!$A$2:$M$823,12,0),"")</f>
        <v/>
      </c>
      <c r="F30" s="133" t="str">
        <f t="shared" si="7"/>
        <v/>
      </c>
      <c r="G30" s="104" t="str">
        <f t="shared" si="8"/>
        <v/>
      </c>
      <c r="H30" s="136"/>
      <c r="I30" s="136"/>
      <c r="J30" s="105"/>
      <c r="K30" s="274"/>
      <c r="L30" s="274"/>
    </row>
    <row r="31" spans="1:12" ht="13.5" hidden="1" x14ac:dyDescent="0.25">
      <c r="A31" s="131"/>
      <c r="B31" s="135" t="str">
        <f>IFERROR(VLOOKUP(H31,'[1]Consolidado MP Planta'!$A$2:$M$823,3,0),"")</f>
        <v/>
      </c>
      <c r="C31" s="132">
        <f t="shared" si="6"/>
        <v>0</v>
      </c>
      <c r="D31" s="133" t="str">
        <f>IFERROR(VLOOKUP(H31,'[1]Consolidado MP Planta'!$A$2:$M$823,13,0),"")</f>
        <v/>
      </c>
      <c r="E31" s="133" t="str">
        <f>IFERROR(VLOOKUP(H31,'[1]Consolidado MP Planta'!$A$2:$M$823,12,0),"")</f>
        <v/>
      </c>
      <c r="F31" s="133" t="str">
        <f t="shared" si="7"/>
        <v/>
      </c>
      <c r="G31" s="104" t="str">
        <f t="shared" si="8"/>
        <v/>
      </c>
      <c r="H31" s="136"/>
      <c r="I31" s="136"/>
      <c r="J31" s="105"/>
      <c r="K31" s="137"/>
      <c r="L31" s="138"/>
    </row>
    <row r="32" spans="1:12" ht="13.5" hidden="1" x14ac:dyDescent="0.25">
      <c r="A32" s="131"/>
      <c r="B32" s="135" t="str">
        <f>IFERROR(VLOOKUP(H32,'[1]Consolidado MP Planta'!$A$2:$M$823,3,0),"")</f>
        <v/>
      </c>
      <c r="C32" s="132">
        <f t="shared" si="6"/>
        <v>0</v>
      </c>
      <c r="D32" s="133" t="str">
        <f>IFERROR(VLOOKUP(H32,'[1]Consolidado MP Planta'!$A$2:$M$823,13,0),"")</f>
        <v/>
      </c>
      <c r="E32" s="133" t="str">
        <f>IFERROR(VLOOKUP(H32,'[1]Consolidado MP Planta'!$A$2:$M$823,12,0),"")</f>
        <v/>
      </c>
      <c r="F32" s="133" t="str">
        <f t="shared" si="7"/>
        <v/>
      </c>
      <c r="G32" s="104" t="str">
        <f t="shared" si="8"/>
        <v/>
      </c>
      <c r="H32" s="136"/>
      <c r="I32" s="136"/>
      <c r="J32" s="105"/>
    </row>
    <row r="33" spans="1:13" ht="13.5" x14ac:dyDescent="0.25">
      <c r="A33" s="131"/>
      <c r="B33" s="135"/>
      <c r="C33" s="132"/>
      <c r="D33" s="133"/>
      <c r="E33" s="133"/>
      <c r="F33" s="133"/>
      <c r="G33" s="104"/>
      <c r="H33" s="136"/>
      <c r="I33" s="136"/>
      <c r="J33" s="105"/>
    </row>
    <row r="34" spans="1:13" ht="39" hidden="1" thickBot="1" x14ac:dyDescent="0.25">
      <c r="A34" s="126" t="s">
        <v>132</v>
      </c>
      <c r="B34" s="127" t="s">
        <v>140</v>
      </c>
      <c r="C34" s="127" t="s">
        <v>132</v>
      </c>
      <c r="D34" s="128" t="s">
        <v>134</v>
      </c>
      <c r="E34" s="128" t="s">
        <v>135</v>
      </c>
      <c r="F34" s="128" t="s">
        <v>136</v>
      </c>
      <c r="G34" s="128" t="s">
        <v>137</v>
      </c>
      <c r="H34" s="129" t="s">
        <v>138</v>
      </c>
      <c r="I34" s="136"/>
      <c r="J34" s="105"/>
    </row>
    <row r="35" spans="1:13" ht="13.5" hidden="1" x14ac:dyDescent="0.25">
      <c r="A35" s="131">
        <f>+A17</f>
        <v>0</v>
      </c>
      <c r="B35" s="135" t="str">
        <f>IFERROR(VLOOKUP(H35,[1]SEMIELABORADOS!$A$2:$M$6000,2,0),"")</f>
        <v/>
      </c>
      <c r="C35" s="132">
        <f>+A35</f>
        <v>0</v>
      </c>
      <c r="D35" s="133" t="str">
        <f>IFERROR(VLOOKUP(H35,[1]SEMIELABORADOS!$A$2:$M$6000,6,0),"")</f>
        <v/>
      </c>
      <c r="E35" s="133" t="str">
        <f>IFERROR(VLOOKUP(H35,[1]SEMIELABORADOS!$A$2:$M$65536,10,0),"")</f>
        <v/>
      </c>
      <c r="F35" s="133" t="str">
        <f>IFERROR(E35*C35,"")</f>
        <v/>
      </c>
      <c r="G35" s="104" t="str">
        <f t="shared" ref="G35:G41" si="9">IFERROR(F35/$F$66,"")</f>
        <v/>
      </c>
      <c r="H35" s="136"/>
      <c r="I35" s="136"/>
      <c r="J35" s="105"/>
    </row>
    <row r="36" spans="1:13" ht="13.5" hidden="1" x14ac:dyDescent="0.25">
      <c r="A36" s="131">
        <f t="shared" ref="A36:A41" si="10">+A18</f>
        <v>0</v>
      </c>
      <c r="B36" s="135" t="str">
        <f>IFERROR(VLOOKUP(H36,[1]SEMIELABORADOS!$A$2:$M$6000,2,0),"")</f>
        <v/>
      </c>
      <c r="C36" s="132">
        <f t="shared" ref="C36:C41" si="11">+A36</f>
        <v>0</v>
      </c>
      <c r="D36" s="133" t="str">
        <f>IFERROR(VLOOKUP(H36,[1]SEMIELABORADOS!$A$2:$M$6000,6,0),"")</f>
        <v/>
      </c>
      <c r="E36" s="133" t="str">
        <f>IFERROR(VLOOKUP(H36,[1]SEMIELABORADOS!$A$2:$M$65536,10,0),"")</f>
        <v/>
      </c>
      <c r="F36" s="133" t="str">
        <f t="shared" ref="F36:F41" si="12">IFERROR(E36*C36,"")</f>
        <v/>
      </c>
      <c r="G36" s="104" t="str">
        <f t="shared" si="9"/>
        <v/>
      </c>
      <c r="H36" s="136"/>
      <c r="I36" s="136"/>
      <c r="J36" s="105"/>
    </row>
    <row r="37" spans="1:13" ht="13.5" hidden="1" x14ac:dyDescent="0.25">
      <c r="A37" s="131">
        <f t="shared" si="10"/>
        <v>0</v>
      </c>
      <c r="B37" s="135" t="str">
        <f>IFERROR(VLOOKUP(H37,[1]SEMIELABORADOS!$A$2:$M$6000,2,0),"")</f>
        <v/>
      </c>
      <c r="C37" s="132">
        <f t="shared" si="11"/>
        <v>0</v>
      </c>
      <c r="D37" s="133" t="str">
        <f>IFERROR(VLOOKUP(H37,[1]SEMIELABORADOS!$A$2:$M$6000,6,0),"")</f>
        <v/>
      </c>
      <c r="E37" s="133" t="str">
        <f>IFERROR(VLOOKUP(H37,[1]SEMIELABORADOS!$A$2:$M$65536,10,0),"")</f>
        <v/>
      </c>
      <c r="F37" s="133" t="str">
        <f t="shared" si="12"/>
        <v/>
      </c>
      <c r="G37" s="104" t="str">
        <f t="shared" si="9"/>
        <v/>
      </c>
      <c r="H37" s="136"/>
      <c r="I37" s="136"/>
      <c r="J37" s="105"/>
    </row>
    <row r="38" spans="1:13" ht="13.5" hidden="1" x14ac:dyDescent="0.25">
      <c r="A38" s="131">
        <f t="shared" si="10"/>
        <v>0</v>
      </c>
      <c r="B38" s="135" t="str">
        <f>IFERROR(VLOOKUP(H38,[1]SEMIELABORADOS!$A$2:$M$6000,2,0),"")</f>
        <v/>
      </c>
      <c r="C38" s="132">
        <f>+A38</f>
        <v>0</v>
      </c>
      <c r="D38" s="133" t="str">
        <f>IFERROR(VLOOKUP(H38,[1]SEMIELABORADOS!$A$2:$M$6000,6,0),"")</f>
        <v/>
      </c>
      <c r="E38" s="133" t="str">
        <f>IFERROR(VLOOKUP(H38,[1]SEMIELABORADOS!$A$2:$M$65536,10,0),"")</f>
        <v/>
      </c>
      <c r="F38" s="133" t="str">
        <f>IFERROR(E38*C38,"")</f>
        <v/>
      </c>
      <c r="G38" s="104" t="str">
        <f t="shared" si="9"/>
        <v/>
      </c>
      <c r="H38" s="136"/>
      <c r="I38" s="136"/>
      <c r="J38" s="105"/>
    </row>
    <row r="39" spans="1:13" ht="13.5" hidden="1" x14ac:dyDescent="0.25">
      <c r="A39" s="131">
        <f t="shared" si="10"/>
        <v>0</v>
      </c>
      <c r="B39" s="135" t="str">
        <f>IFERROR(VLOOKUP(H39,[1]SEMIELABORADOS!$A$2:$M$6000,2,0),"")</f>
        <v/>
      </c>
      <c r="C39" s="132">
        <f>+A39</f>
        <v>0</v>
      </c>
      <c r="D39" s="133" t="str">
        <f>IFERROR(VLOOKUP(H39,[1]SEMIELABORADOS!$A$2:$M$6000,6,0),"")</f>
        <v/>
      </c>
      <c r="E39" s="133" t="str">
        <f>IFERROR(VLOOKUP(H39,[1]SEMIELABORADOS!$A$2:$M$65536,10,0),"")</f>
        <v/>
      </c>
      <c r="F39" s="133" t="str">
        <f>IFERROR(E39*C39,"")</f>
        <v/>
      </c>
      <c r="G39" s="104" t="str">
        <f t="shared" si="9"/>
        <v/>
      </c>
      <c r="H39" s="136"/>
      <c r="I39" s="136"/>
      <c r="J39" s="105"/>
    </row>
    <row r="40" spans="1:13" ht="13.5" hidden="1" x14ac:dyDescent="0.25">
      <c r="A40" s="131">
        <f t="shared" si="10"/>
        <v>0</v>
      </c>
      <c r="B40" s="135" t="str">
        <f>IFERROR(VLOOKUP(H40,[1]SEMIELABORADOS!$A$2:$M$6000,2,0),"")</f>
        <v/>
      </c>
      <c r="C40" s="132">
        <f t="shared" si="11"/>
        <v>0</v>
      </c>
      <c r="D40" s="133" t="str">
        <f>IFERROR(VLOOKUP(H40,[1]SEMIELABORADOS!$A$2:$M$6000,6,0),"")</f>
        <v/>
      </c>
      <c r="E40" s="133" t="str">
        <f>IFERROR(VLOOKUP(H40,[1]SEMIELABORADOS!$A$2:$M$65536,10,0),"")</f>
        <v/>
      </c>
      <c r="F40" s="133" t="str">
        <f t="shared" si="12"/>
        <v/>
      </c>
      <c r="G40" s="104" t="str">
        <f t="shared" si="9"/>
        <v/>
      </c>
      <c r="H40" s="136"/>
      <c r="I40" s="136"/>
      <c r="J40" s="105"/>
    </row>
    <row r="41" spans="1:13" ht="13.5" hidden="1" x14ac:dyDescent="0.25">
      <c r="A41" s="131">
        <f t="shared" si="10"/>
        <v>0</v>
      </c>
      <c r="B41" s="135" t="str">
        <f>IFERROR(VLOOKUP(H41,[1]SEMIELABORADOS!$A$2:$M$6000,2,0),"")</f>
        <v/>
      </c>
      <c r="C41" s="132">
        <f t="shared" si="11"/>
        <v>0</v>
      </c>
      <c r="D41" s="133" t="str">
        <f>IFERROR(VLOOKUP(H41,[1]SEMIELABORADOS!$A$2:$M$6000,6,0),"")</f>
        <v/>
      </c>
      <c r="E41" s="133" t="str">
        <f>IFERROR(VLOOKUP(H41,[1]SEMIELABORADOS!$A$2:$M$65536,10,0),"")</f>
        <v/>
      </c>
      <c r="F41" s="133" t="str">
        <f t="shared" si="12"/>
        <v/>
      </c>
      <c r="G41" s="104" t="str">
        <f t="shared" si="9"/>
        <v/>
      </c>
      <c r="H41" s="136"/>
      <c r="I41" s="136"/>
      <c r="J41" s="105"/>
    </row>
    <row r="42" spans="1:13" ht="14.25" thickBot="1" x14ac:dyDescent="0.3">
      <c r="A42" s="131"/>
      <c r="B42" s="135"/>
      <c r="C42" s="132"/>
      <c r="D42" s="133"/>
      <c r="E42" s="133"/>
      <c r="F42" s="133"/>
      <c r="G42" s="104"/>
      <c r="H42" s="136"/>
      <c r="I42" s="136"/>
      <c r="J42" s="105"/>
    </row>
    <row r="43" spans="1:13" ht="39" thickBot="1" x14ac:dyDescent="0.3">
      <c r="A43" s="126" t="s">
        <v>132</v>
      </c>
      <c r="B43" s="127" t="s">
        <v>141</v>
      </c>
      <c r="C43" s="127" t="s">
        <v>132</v>
      </c>
      <c r="D43" s="128" t="s">
        <v>134</v>
      </c>
      <c r="E43" s="128" t="s">
        <v>135</v>
      </c>
      <c r="F43" s="128" t="s">
        <v>136</v>
      </c>
      <c r="G43" s="128" t="s">
        <v>137</v>
      </c>
      <c r="H43" s="129" t="s">
        <v>138</v>
      </c>
      <c r="I43" s="130"/>
      <c r="J43" s="105"/>
    </row>
    <row r="44" spans="1:13" ht="13.5" hidden="1" x14ac:dyDescent="0.25">
      <c r="A44" s="131">
        <f>+A35</f>
        <v>0</v>
      </c>
      <c r="B44" s="135" t="str">
        <f>IFERROR(VLOOKUP(H44,[1]SEMIELABORADOS!$A$2:$M$6000,2,0),"")</f>
        <v/>
      </c>
      <c r="C44" s="132">
        <f>+A44</f>
        <v>0</v>
      </c>
      <c r="D44" s="133" t="str">
        <f>IFERROR(VLOOKUP(H44,[1]SEMIELABORADOS!$A$2:$M$6000,6,0),"")</f>
        <v/>
      </c>
      <c r="E44" s="133" t="str">
        <f>IFERROR(VLOOKUP(H44,[1]SEMIELABORADOS!$A$2:$M$65536,12,0),"")</f>
        <v/>
      </c>
      <c r="F44" s="133" t="str">
        <f>IFERROR(E44*C44,"")</f>
        <v/>
      </c>
      <c r="G44" s="104" t="str">
        <f>IFERROR(F44/$F$66,"")</f>
        <v/>
      </c>
      <c r="H44" s="136"/>
      <c r="I44" s="130"/>
      <c r="J44" s="105"/>
    </row>
    <row r="45" spans="1:13" ht="13.5" hidden="1" x14ac:dyDescent="0.25">
      <c r="A45" s="131">
        <f t="shared" ref="A45:A50" si="13">+A36</f>
        <v>0</v>
      </c>
      <c r="B45" s="135" t="str">
        <f>IFERROR(VLOOKUP(H45,[1]SEMIELABORADOS!$A$2:$M$6000,2,0),"")</f>
        <v/>
      </c>
      <c r="C45" s="132">
        <f t="shared" ref="C45:C50" si="14">+A45</f>
        <v>0</v>
      </c>
      <c r="D45" s="133" t="str">
        <f>IFERROR(VLOOKUP(H45,[1]SEMIELABORADOS!$A$2:$M$6000,6,0),"")</f>
        <v/>
      </c>
      <c r="E45" s="133" t="str">
        <f>IFERROR(VLOOKUP(H45,[1]SEMIELABORADOS!$A$2:$M$65536,12,0),"")</f>
        <v/>
      </c>
      <c r="F45" s="133" t="str">
        <f t="shared" ref="F45:F50" si="15">IFERROR(E45*C45,"")</f>
        <v/>
      </c>
      <c r="G45" s="104" t="str">
        <f t="shared" ref="G45:G50" si="16">IFERROR(F45/$F$66,"")</f>
        <v/>
      </c>
      <c r="H45" s="136"/>
      <c r="I45" s="130"/>
      <c r="J45" s="105"/>
      <c r="M45" s="139"/>
    </row>
    <row r="46" spans="1:13" ht="13.5" hidden="1" x14ac:dyDescent="0.25">
      <c r="A46" s="131">
        <f t="shared" si="13"/>
        <v>0</v>
      </c>
      <c r="B46" s="135" t="str">
        <f>IFERROR(VLOOKUP(H46,[1]SEMIELABORADOS!$A$2:$M$6000,2,0),"")</f>
        <v/>
      </c>
      <c r="C46" s="132">
        <f t="shared" si="14"/>
        <v>0</v>
      </c>
      <c r="D46" s="133" t="str">
        <f>IFERROR(VLOOKUP(H46,[1]SEMIELABORADOS!$A$2:$M$6000,6,0),"")</f>
        <v/>
      </c>
      <c r="E46" s="133" t="str">
        <f>IFERROR(VLOOKUP(H46,[1]SEMIELABORADOS!$A$2:$M$65536,12,0),"")</f>
        <v/>
      </c>
      <c r="F46" s="133" t="str">
        <f t="shared" si="15"/>
        <v/>
      </c>
      <c r="G46" s="104" t="str">
        <f t="shared" si="16"/>
        <v/>
      </c>
      <c r="H46" s="136"/>
      <c r="I46" s="130"/>
      <c r="J46" s="105"/>
    </row>
    <row r="47" spans="1:13" ht="13.5" hidden="1" x14ac:dyDescent="0.25">
      <c r="A47" s="131">
        <f t="shared" si="13"/>
        <v>0</v>
      </c>
      <c r="B47" s="135" t="str">
        <f>IFERROR(VLOOKUP(H47,[1]SEMIELABORADOS!$A$2:$M$6000,2,0),"")</f>
        <v/>
      </c>
      <c r="C47" s="132">
        <f t="shared" si="14"/>
        <v>0</v>
      </c>
      <c r="D47" s="133" t="str">
        <f>IFERROR(VLOOKUP(H47,[1]SEMIELABORADOS!$A$2:$M$6000,6,0),"")</f>
        <v/>
      </c>
      <c r="E47" s="133" t="str">
        <f>IFERROR(VLOOKUP(H47,[1]SEMIELABORADOS!$A$2:$M$65536,12,0),"")</f>
        <v/>
      </c>
      <c r="F47" s="133" t="str">
        <f t="shared" si="15"/>
        <v/>
      </c>
      <c r="G47" s="104" t="str">
        <f t="shared" si="16"/>
        <v/>
      </c>
      <c r="H47" s="136"/>
      <c r="I47" s="130"/>
      <c r="J47" s="105"/>
    </row>
    <row r="48" spans="1:13" ht="13.5" hidden="1" x14ac:dyDescent="0.25">
      <c r="A48" s="131">
        <f t="shared" si="13"/>
        <v>0</v>
      </c>
      <c r="B48" s="135" t="str">
        <f>IFERROR(VLOOKUP(H48,[1]SEMIELABORADOS!$A$2:$M$6000,2,0),"")</f>
        <v/>
      </c>
      <c r="C48" s="132">
        <f t="shared" si="14"/>
        <v>0</v>
      </c>
      <c r="D48" s="133" t="str">
        <f>IFERROR(VLOOKUP(H48,[1]SEMIELABORADOS!$A$2:$M$6000,6,0),"")</f>
        <v/>
      </c>
      <c r="E48" s="133" t="str">
        <f>IFERROR(VLOOKUP(H48,[1]SEMIELABORADOS!$A$2:$M$65536,12,0),"")</f>
        <v/>
      </c>
      <c r="F48" s="133" t="str">
        <f t="shared" si="15"/>
        <v/>
      </c>
      <c r="G48" s="104" t="str">
        <f t="shared" si="16"/>
        <v/>
      </c>
      <c r="H48" s="136"/>
      <c r="I48" s="130"/>
      <c r="J48" s="105"/>
    </row>
    <row r="49" spans="1:17" ht="13.5" hidden="1" x14ac:dyDescent="0.25">
      <c r="A49" s="131">
        <f t="shared" si="13"/>
        <v>0</v>
      </c>
      <c r="B49" s="135" t="str">
        <f>IFERROR(VLOOKUP(H49,[1]SEMIELABORADOS!$A$2:$M$6000,2,0),"")</f>
        <v/>
      </c>
      <c r="C49" s="132">
        <f t="shared" si="14"/>
        <v>0</v>
      </c>
      <c r="D49" s="133" t="str">
        <f>IFERROR(VLOOKUP(H49,[1]SEMIELABORADOS!$A$2:$M$6000,6,0),"")</f>
        <v/>
      </c>
      <c r="E49" s="133" t="str">
        <f>IFERROR(VLOOKUP(H49,[1]SEMIELABORADOS!$A$2:$M$65536,12,0),"")</f>
        <v/>
      </c>
      <c r="F49" s="133" t="str">
        <f t="shared" si="15"/>
        <v/>
      </c>
      <c r="G49" s="104" t="str">
        <f t="shared" si="16"/>
        <v/>
      </c>
      <c r="H49" s="136"/>
      <c r="I49" s="130"/>
      <c r="J49" s="105"/>
    </row>
    <row r="50" spans="1:17" ht="13.5" hidden="1" x14ac:dyDescent="0.25">
      <c r="A50" s="131">
        <f t="shared" si="13"/>
        <v>0</v>
      </c>
      <c r="B50" s="135" t="str">
        <f>IFERROR(VLOOKUP(H50,[1]SEMIELABORADOS!$A$2:$M$6000,2,0),"")</f>
        <v/>
      </c>
      <c r="C50" s="132">
        <f t="shared" si="14"/>
        <v>0</v>
      </c>
      <c r="D50" s="133" t="str">
        <f>IFERROR(VLOOKUP(H50,[1]SEMIELABORADOS!$A$2:$M$6000,6,0),"")</f>
        <v/>
      </c>
      <c r="E50" s="133" t="str">
        <f>IFERROR(VLOOKUP(H50,[1]SEMIELABORADOS!$A$2:$M$65536,12,0),"")</f>
        <v/>
      </c>
      <c r="F50" s="133" t="str">
        <f t="shared" si="15"/>
        <v/>
      </c>
      <c r="G50" s="104" t="str">
        <f t="shared" si="16"/>
        <v/>
      </c>
      <c r="H50" s="135"/>
      <c r="I50" s="130"/>
      <c r="J50" s="105"/>
    </row>
    <row r="51" spans="1:17" ht="13.5" x14ac:dyDescent="0.25">
      <c r="A51" s="131">
        <v>1</v>
      </c>
      <c r="B51" s="135" t="s">
        <v>142</v>
      </c>
      <c r="C51" s="132">
        <f>+A51</f>
        <v>1</v>
      </c>
      <c r="D51" s="132" t="s">
        <v>143</v>
      </c>
      <c r="E51" s="133">
        <f>+F65</f>
        <v>580</v>
      </c>
      <c r="F51" s="133">
        <f>IFERROR(C51*E51,"")</f>
        <v>580</v>
      </c>
      <c r="G51" s="104">
        <f>IFERROR(F51/$F$66,"")</f>
        <v>8.8079714255314186E-3</v>
      </c>
      <c r="H51" s="140"/>
      <c r="I51" s="140"/>
      <c r="J51" s="105"/>
    </row>
    <row r="52" spans="1:17" ht="14.25" thickBot="1" x14ac:dyDescent="0.3">
      <c r="A52" s="131"/>
      <c r="B52" s="135"/>
      <c r="C52" s="132"/>
      <c r="D52" s="132"/>
      <c r="E52" s="133"/>
      <c r="F52" s="133"/>
      <c r="G52" s="104"/>
      <c r="H52" s="140"/>
      <c r="I52" s="140"/>
      <c r="J52" s="105"/>
    </row>
    <row r="53" spans="1:17" ht="13.5" thickBot="1" x14ac:dyDescent="0.3">
      <c r="A53" s="141"/>
      <c r="B53" s="277" t="s">
        <v>144</v>
      </c>
      <c r="C53" s="277"/>
      <c r="D53" s="277"/>
      <c r="E53" s="277"/>
      <c r="F53" s="143">
        <f>SUM(F8:F14,F17:F24)</f>
        <v>63989.08</v>
      </c>
      <c r="G53" s="104">
        <f>+F53/$F$66</f>
        <v>0.97174825549317945</v>
      </c>
      <c r="H53" s="144">
        <f>+F53/$D$60</f>
        <v>63989.08</v>
      </c>
      <c r="I53" s="144"/>
      <c r="J53" s="110"/>
      <c r="K53" s="145"/>
      <c r="L53" s="145"/>
      <c r="M53" s="145"/>
      <c r="N53" s="145"/>
      <c r="O53" s="145"/>
      <c r="P53" s="145"/>
      <c r="Q53" s="146"/>
    </row>
    <row r="54" spans="1:17" x14ac:dyDescent="0.2">
      <c r="A54" s="141"/>
      <c r="B54" s="277" t="s">
        <v>145</v>
      </c>
      <c r="C54" s="277"/>
      <c r="D54" s="277"/>
      <c r="E54" s="277"/>
      <c r="F54" s="143">
        <f>SUM(F27:F32,F35:F41)</f>
        <v>0.57999999999999996</v>
      </c>
      <c r="G54" s="104">
        <f>+F54/$F$66</f>
        <v>8.8079714255314194E-6</v>
      </c>
      <c r="H54" s="144">
        <f>+F54/$D$60</f>
        <v>0.57999999999999996</v>
      </c>
      <c r="I54" s="144"/>
      <c r="J54" s="147"/>
      <c r="K54" s="286" t="s">
        <v>146</v>
      </c>
      <c r="L54" s="287"/>
      <c r="M54" s="287"/>
      <c r="N54" s="287"/>
      <c r="O54" s="148">
        <f>+F55</f>
        <v>63989.66</v>
      </c>
      <c r="P54" s="148"/>
      <c r="Q54" s="149"/>
    </row>
    <row r="55" spans="1:17" x14ac:dyDescent="0.2">
      <c r="A55" s="141"/>
      <c r="B55" s="277" t="s">
        <v>147</v>
      </c>
      <c r="C55" s="277"/>
      <c r="D55" s="277"/>
      <c r="E55" s="277"/>
      <c r="F55" s="143">
        <f>+F53+F54</f>
        <v>63989.66</v>
      </c>
      <c r="G55" s="104">
        <f>+F55/$F$66</f>
        <v>0.971757063464605</v>
      </c>
      <c r="H55" s="144">
        <f>+F55/$D$60</f>
        <v>63989.66</v>
      </c>
      <c r="I55" s="144"/>
      <c r="J55" s="111"/>
      <c r="K55" s="150"/>
      <c r="M55" s="151" t="s">
        <v>148</v>
      </c>
      <c r="N55" s="152"/>
      <c r="O55" s="148">
        <f>+H56</f>
        <v>580</v>
      </c>
      <c r="P55" s="148"/>
      <c r="Q55" s="149"/>
    </row>
    <row r="56" spans="1:17" ht="13.5" thickBot="1" x14ac:dyDescent="0.25">
      <c r="A56" s="141"/>
      <c r="B56" s="142"/>
      <c r="C56" s="277" t="s">
        <v>149</v>
      </c>
      <c r="D56" s="277"/>
      <c r="E56" s="277"/>
      <c r="F56" s="143">
        <f>SUM(F44:F51)</f>
        <v>580</v>
      </c>
      <c r="G56" s="104">
        <f>+F56/$F$66</f>
        <v>8.8079714255314186E-3</v>
      </c>
      <c r="H56" s="144">
        <f>+F56/$D$60</f>
        <v>580</v>
      </c>
      <c r="I56" s="144"/>
      <c r="J56" s="111"/>
      <c r="K56" s="150"/>
      <c r="L56" s="150"/>
      <c r="M56" s="150" t="s">
        <v>150</v>
      </c>
      <c r="N56" s="113"/>
      <c r="O56" s="148">
        <f>O54*N56</f>
        <v>0</v>
      </c>
      <c r="P56" s="148"/>
      <c r="Q56" s="149"/>
    </row>
    <row r="57" spans="1:17" ht="13.5" thickBot="1" x14ac:dyDescent="0.25">
      <c r="A57" s="141"/>
      <c r="B57" s="153"/>
      <c r="C57" s="153"/>
      <c r="D57" s="153"/>
      <c r="E57" s="153"/>
      <c r="F57" s="154"/>
      <c r="G57" s="104"/>
      <c r="H57" s="155"/>
      <c r="I57" s="144"/>
      <c r="J57" s="111"/>
      <c r="K57" s="156"/>
      <c r="M57" s="157" t="s">
        <v>151</v>
      </c>
      <c r="N57" s="158"/>
      <c r="O57" s="159">
        <f>SUM(O54:O56)</f>
        <v>64569.66</v>
      </c>
      <c r="P57" s="160"/>
      <c r="Q57" s="149"/>
    </row>
    <row r="58" spans="1:17" x14ac:dyDescent="0.2">
      <c r="B58" s="292" t="s">
        <v>152</v>
      </c>
      <c r="C58" s="292"/>
      <c r="D58" s="161">
        <v>17800</v>
      </c>
      <c r="E58" s="162"/>
      <c r="G58" s="104"/>
      <c r="H58" s="155"/>
      <c r="I58" s="163"/>
      <c r="J58" s="111"/>
      <c r="K58" s="156"/>
      <c r="L58" s="150"/>
      <c r="M58" s="150" t="s">
        <v>153</v>
      </c>
      <c r="N58" s="109">
        <v>0.16</v>
      </c>
      <c r="O58" s="148">
        <f>+O54*N58</f>
        <v>10238.345600000001</v>
      </c>
      <c r="P58" s="148"/>
      <c r="Q58" s="149"/>
    </row>
    <row r="59" spans="1:17" x14ac:dyDescent="0.2">
      <c r="B59" s="292" t="s">
        <v>154</v>
      </c>
      <c r="C59" s="292"/>
      <c r="D59" s="164">
        <v>17800</v>
      </c>
      <c r="E59" s="162"/>
      <c r="G59" s="104"/>
      <c r="H59" s="155"/>
      <c r="I59" s="163"/>
      <c r="J59" s="111"/>
      <c r="K59" s="156"/>
      <c r="L59" s="150"/>
      <c r="M59" s="285" t="s">
        <v>151</v>
      </c>
      <c r="N59" s="285"/>
      <c r="O59" s="148">
        <f>SUM(O57:O58)</f>
        <v>74808.005600000004</v>
      </c>
      <c r="P59" s="148"/>
      <c r="Q59" s="149"/>
    </row>
    <row r="60" spans="1:17" ht="13.5" thickBot="1" x14ac:dyDescent="0.25">
      <c r="B60" s="283" t="s">
        <v>155</v>
      </c>
      <c r="C60" s="283"/>
      <c r="D60" s="161">
        <f>+D58/D59</f>
        <v>1</v>
      </c>
      <c r="E60" s="162"/>
      <c r="F60" s="165"/>
      <c r="G60" s="104"/>
      <c r="H60" s="155"/>
      <c r="I60" s="163"/>
      <c r="J60" s="111"/>
      <c r="K60" s="156"/>
      <c r="L60" s="285"/>
      <c r="M60" s="285"/>
      <c r="N60" s="109"/>
      <c r="O60" s="148">
        <f>+O59*N60</f>
        <v>0</v>
      </c>
      <c r="P60" s="148"/>
      <c r="Q60" s="149"/>
    </row>
    <row r="61" spans="1:17" ht="13.5" thickBot="1" x14ac:dyDescent="0.25">
      <c r="B61" s="283" t="s">
        <v>156</v>
      </c>
      <c r="C61" s="283"/>
      <c r="D61" s="166"/>
      <c r="E61" s="162"/>
      <c r="F61" s="165"/>
      <c r="G61" s="104"/>
      <c r="H61" s="155"/>
      <c r="I61" s="163"/>
      <c r="J61" s="111"/>
      <c r="K61" s="289" t="s">
        <v>157</v>
      </c>
      <c r="L61" s="290"/>
      <c r="M61" s="290"/>
      <c r="N61" s="291"/>
      <c r="O61" s="159">
        <f>SUM(O59:O60)</f>
        <v>74808.005600000004</v>
      </c>
      <c r="P61" s="167" t="s">
        <v>158</v>
      </c>
      <c r="Q61" s="149"/>
    </row>
    <row r="62" spans="1:17" ht="13.5" thickBot="1" x14ac:dyDescent="0.25">
      <c r="C62" s="141" t="s">
        <v>159</v>
      </c>
      <c r="D62" s="168"/>
      <c r="E62" s="117" t="s">
        <v>160</v>
      </c>
      <c r="F62" s="169" t="s">
        <v>161</v>
      </c>
      <c r="G62" s="104"/>
      <c r="H62" s="155"/>
      <c r="I62" s="163"/>
      <c r="J62" s="170"/>
      <c r="K62" s="171"/>
      <c r="L62" s="278" t="s">
        <v>162</v>
      </c>
      <c r="M62" s="278"/>
      <c r="N62" s="278"/>
      <c r="O62" s="172">
        <f>+O61/D60</f>
        <v>74808.005600000004</v>
      </c>
      <c r="P62" s="173">
        <f>+O62/D59</f>
        <v>4.2026969438202251</v>
      </c>
      <c r="Q62" s="174"/>
    </row>
    <row r="63" spans="1:17" ht="13.5" thickBot="1" x14ac:dyDescent="0.25">
      <c r="B63" s="284" t="s">
        <v>147</v>
      </c>
      <c r="C63" s="284"/>
      <c r="D63" s="284"/>
      <c r="E63" s="106">
        <f>+F63/F63</f>
        <v>1</v>
      </c>
      <c r="F63" s="175">
        <f>SUM(F55)</f>
        <v>63989.66</v>
      </c>
      <c r="G63" s="104">
        <f>+F63/$F$66</f>
        <v>0.971757063464605</v>
      </c>
      <c r="H63" s="155"/>
      <c r="I63" s="163"/>
      <c r="K63" s="275"/>
      <c r="L63" s="276"/>
      <c r="M63" s="276"/>
      <c r="N63" s="276"/>
      <c r="O63" s="176"/>
      <c r="P63" s="177"/>
    </row>
    <row r="64" spans="1:17" ht="13.5" thickBot="1" x14ac:dyDescent="0.3">
      <c r="B64" s="293" t="s">
        <v>163</v>
      </c>
      <c r="C64" s="293"/>
      <c r="D64" s="293"/>
      <c r="E64" s="178">
        <v>0.02</v>
      </c>
      <c r="F64" s="175">
        <f>+F53*E64</f>
        <v>1279.7816</v>
      </c>
      <c r="G64" s="104">
        <f>+F64/$F$66</f>
        <v>1.9434965109863589E-2</v>
      </c>
      <c r="H64" s="144"/>
      <c r="I64" s="163"/>
      <c r="J64" s="112"/>
      <c r="O64" s="179"/>
      <c r="P64" s="142"/>
    </row>
    <row r="65" spans="2:13" ht="13.5" thickBot="1" x14ac:dyDescent="0.3">
      <c r="B65" s="268" t="s">
        <v>164</v>
      </c>
      <c r="C65" s="269"/>
      <c r="D65" s="180">
        <v>10</v>
      </c>
      <c r="E65" s="181">
        <v>58</v>
      </c>
      <c r="F65" s="175">
        <f>+E65*D65</f>
        <v>580</v>
      </c>
      <c r="G65" s="104">
        <f>+F65/$F$66</f>
        <v>8.8079714255314186E-3</v>
      </c>
      <c r="H65" s="144"/>
      <c r="I65" s="144"/>
      <c r="J65" s="105"/>
    </row>
    <row r="66" spans="2:13" ht="13.5" thickBot="1" x14ac:dyDescent="0.3">
      <c r="B66" s="265" t="s">
        <v>165</v>
      </c>
      <c r="C66" s="266"/>
      <c r="D66" s="266"/>
      <c r="E66" s="267"/>
      <c r="F66" s="154">
        <f>SUM(F63:F65)</f>
        <v>65849.441600000006</v>
      </c>
      <c r="G66" s="104">
        <f>+F66/$F$66</f>
        <v>1</v>
      </c>
      <c r="H66" s="288"/>
      <c r="I66" s="144"/>
      <c r="J66" s="105"/>
      <c r="M66" s="119" t="s">
        <v>166</v>
      </c>
    </row>
    <row r="67" spans="2:13" x14ac:dyDescent="0.25">
      <c r="C67" s="139"/>
      <c r="D67" s="139"/>
      <c r="E67" s="183"/>
      <c r="F67" s="175"/>
      <c r="G67" s="104"/>
      <c r="H67" s="288"/>
      <c r="I67" s="182"/>
      <c r="J67" s="119"/>
      <c r="M67" s="119" t="s">
        <v>167</v>
      </c>
    </row>
    <row r="68" spans="2:13" ht="13.5" thickBot="1" x14ac:dyDescent="0.3">
      <c r="B68" s="264" t="s">
        <v>168</v>
      </c>
      <c r="C68" s="264"/>
      <c r="D68" s="264"/>
      <c r="E68" s="264"/>
      <c r="F68" s="264"/>
      <c r="G68" s="104"/>
      <c r="H68" s="185"/>
      <c r="I68" s="182"/>
      <c r="J68" s="119"/>
    </row>
    <row r="69" spans="2:13" ht="13.5" thickBot="1" x14ac:dyDescent="0.3">
      <c r="B69" s="186" t="s">
        <v>169</v>
      </c>
      <c r="C69" s="187">
        <f>+F53</f>
        <v>63989.08</v>
      </c>
      <c r="D69" s="187">
        <f>+D58</f>
        <v>17800</v>
      </c>
      <c r="E69" s="188">
        <f>+C69/D69</f>
        <v>3.5948921348314609</v>
      </c>
      <c r="F69" s="104"/>
      <c r="G69" s="185"/>
      <c r="H69" s="105"/>
      <c r="I69" s="185"/>
      <c r="J69" s="119"/>
    </row>
    <row r="70" spans="2:13" x14ac:dyDescent="0.25">
      <c r="B70" s="189"/>
      <c r="C70" s="190"/>
      <c r="D70" s="191"/>
      <c r="E70" s="175"/>
      <c r="F70" s="104"/>
      <c r="G70" s="185"/>
      <c r="H70" s="105"/>
      <c r="I70" s="105"/>
      <c r="J70" s="119"/>
    </row>
    <row r="71" spans="2:13" x14ac:dyDescent="0.25">
      <c r="B71" s="186" t="s">
        <v>170</v>
      </c>
      <c r="C71" s="187">
        <f>SUM(F63:F64)</f>
        <v>65269.441600000006</v>
      </c>
      <c r="D71" s="187">
        <f>+D58</f>
        <v>17800</v>
      </c>
      <c r="E71" s="192">
        <f>+C71/D71</f>
        <v>3.666822561797753</v>
      </c>
      <c r="F71" s="104"/>
      <c r="G71" s="185"/>
      <c r="H71" s="105"/>
      <c r="I71" s="105"/>
      <c r="J71" s="119"/>
    </row>
    <row r="72" spans="2:13" x14ac:dyDescent="0.25">
      <c r="B72" s="186"/>
      <c r="C72" s="187"/>
      <c r="D72" s="187"/>
      <c r="E72" s="192"/>
      <c r="F72" s="104"/>
      <c r="G72" s="185"/>
      <c r="H72" s="105"/>
      <c r="I72" s="105"/>
      <c r="J72" s="119"/>
    </row>
    <row r="73" spans="2:13" ht="13.5" thickBot="1" x14ac:dyDescent="0.3">
      <c r="B73" s="186" t="s">
        <v>171</v>
      </c>
      <c r="C73" s="187">
        <f>+F65</f>
        <v>580</v>
      </c>
      <c r="D73" s="187">
        <f>+D58</f>
        <v>17800</v>
      </c>
      <c r="E73" s="192">
        <f>+C73/D73</f>
        <v>3.2584269662921349E-2</v>
      </c>
      <c r="F73" s="104"/>
      <c r="G73" s="185"/>
      <c r="H73" s="105"/>
      <c r="I73" s="105"/>
      <c r="J73" s="119"/>
    </row>
    <row r="74" spans="2:13" ht="13.5" thickBot="1" x14ac:dyDescent="0.3">
      <c r="B74" s="186" t="s">
        <v>172</v>
      </c>
      <c r="C74" s="187">
        <f>+F56</f>
        <v>580</v>
      </c>
      <c r="D74" s="187">
        <f>+D73</f>
        <v>17800</v>
      </c>
      <c r="E74" s="188">
        <f>+C74/D74</f>
        <v>3.2584269662921349E-2</v>
      </c>
      <c r="F74" s="104"/>
      <c r="G74" s="185"/>
      <c r="H74" s="105"/>
      <c r="I74" s="105"/>
      <c r="J74" s="119"/>
    </row>
    <row r="75" spans="2:13" ht="13.5" thickBot="1" x14ac:dyDescent="0.3">
      <c r="B75" s="153"/>
      <c r="C75" s="154"/>
      <c r="D75" s="154"/>
      <c r="E75" s="192"/>
      <c r="F75" s="104"/>
      <c r="G75" s="185"/>
      <c r="H75" s="105"/>
      <c r="I75" s="105"/>
      <c r="J75" s="119"/>
    </row>
    <row r="76" spans="2:13" ht="13.5" thickBot="1" x14ac:dyDescent="0.3">
      <c r="B76" s="186" t="s">
        <v>173</v>
      </c>
      <c r="C76" s="187">
        <f>+F54</f>
        <v>0.57999999999999996</v>
      </c>
      <c r="D76" s="187">
        <f>+D74</f>
        <v>17800</v>
      </c>
      <c r="E76" s="188">
        <f>+C76/D76</f>
        <v>3.2584269662921345E-5</v>
      </c>
      <c r="F76" s="104"/>
      <c r="G76" s="185"/>
      <c r="H76" s="105"/>
      <c r="I76" s="105"/>
      <c r="J76" s="105"/>
    </row>
    <row r="77" spans="2:13" ht="13.5" thickBot="1" x14ac:dyDescent="0.3">
      <c r="B77" s="153"/>
      <c r="C77" s="154"/>
      <c r="D77" s="154"/>
      <c r="E77" s="192"/>
      <c r="F77" s="104"/>
      <c r="G77" s="185"/>
      <c r="H77" s="105"/>
      <c r="I77" s="105"/>
    </row>
    <row r="78" spans="2:13" ht="13.5" thickBot="1" x14ac:dyDescent="0.3">
      <c r="B78" s="270" t="s">
        <v>174</v>
      </c>
      <c r="C78" s="271"/>
      <c r="D78" s="272"/>
      <c r="E78" s="188">
        <f>+E69+E74</f>
        <v>3.6274764044943821</v>
      </c>
      <c r="G78" s="104"/>
      <c r="H78" s="185"/>
      <c r="I78" s="105"/>
      <c r="J78" s="192"/>
    </row>
    <row r="79" spans="2:13" x14ac:dyDescent="0.25">
      <c r="I79" s="185"/>
      <c r="J79" s="119"/>
    </row>
    <row r="80" spans="2:13" ht="13.5" thickBot="1" x14ac:dyDescent="0.3">
      <c r="B80" s="264" t="s">
        <v>175</v>
      </c>
      <c r="C80" s="264"/>
      <c r="D80" s="264"/>
      <c r="E80" s="264"/>
      <c r="F80" s="264"/>
      <c r="G80" s="104"/>
      <c r="H80" s="185"/>
      <c r="J80" s="119"/>
    </row>
    <row r="81" spans="1:10" ht="13.5" thickBot="1" x14ac:dyDescent="0.3">
      <c r="B81" s="186" t="s">
        <v>169</v>
      </c>
      <c r="C81" s="187">
        <f>+C69</f>
        <v>63989.08</v>
      </c>
      <c r="D81" s="187">
        <f>+D60</f>
        <v>1</v>
      </c>
      <c r="E81" s="188">
        <f>+C81/D81</f>
        <v>63989.08</v>
      </c>
      <c r="F81" s="104"/>
      <c r="G81" s="185"/>
      <c r="H81" s="105"/>
      <c r="I81" s="185"/>
      <c r="J81" s="119"/>
    </row>
    <row r="82" spans="1:10" x14ac:dyDescent="0.25">
      <c r="B82" s="189"/>
      <c r="C82" s="190"/>
      <c r="D82" s="191"/>
      <c r="E82" s="175"/>
      <c r="F82" s="104"/>
      <c r="G82" s="185"/>
      <c r="H82" s="105"/>
      <c r="I82" s="105"/>
      <c r="J82" s="119"/>
    </row>
    <row r="83" spans="1:10" x14ac:dyDescent="0.25">
      <c r="B83" s="186" t="s">
        <v>170</v>
      </c>
      <c r="C83" s="187">
        <f>+C71</f>
        <v>65269.441600000006</v>
      </c>
      <c r="D83" s="187">
        <f>+D60</f>
        <v>1</v>
      </c>
      <c r="E83" s="192">
        <f>+C83/D83</f>
        <v>65269.441600000006</v>
      </c>
      <c r="F83" s="104"/>
      <c r="G83" s="185"/>
      <c r="H83" s="105"/>
      <c r="I83" s="105"/>
      <c r="J83" s="119"/>
    </row>
    <row r="84" spans="1:10" x14ac:dyDescent="0.25">
      <c r="B84" s="186"/>
      <c r="C84" s="187"/>
      <c r="D84" s="187"/>
      <c r="E84" s="192"/>
      <c r="F84" s="104"/>
      <c r="G84" s="185"/>
      <c r="H84" s="105"/>
      <c r="I84" s="105"/>
      <c r="J84" s="119"/>
    </row>
    <row r="85" spans="1:10" ht="13.5" thickBot="1" x14ac:dyDescent="0.3">
      <c r="B85" s="186" t="s">
        <v>172</v>
      </c>
      <c r="C85" s="187">
        <f>+C73</f>
        <v>580</v>
      </c>
      <c r="D85" s="187">
        <f>+D60</f>
        <v>1</v>
      </c>
      <c r="E85" s="192">
        <f>+C85/D85</f>
        <v>580</v>
      </c>
      <c r="F85" s="193"/>
      <c r="G85" s="184"/>
      <c r="H85" s="118"/>
      <c r="I85" s="105"/>
    </row>
    <row r="86" spans="1:10" ht="13.5" thickBot="1" x14ac:dyDescent="0.3">
      <c r="B86" s="186" t="s">
        <v>172</v>
      </c>
      <c r="C86" s="187">
        <f>+C74</f>
        <v>580</v>
      </c>
      <c r="D86" s="187">
        <f>+D85</f>
        <v>1</v>
      </c>
      <c r="E86" s="188">
        <f>+C86/D86</f>
        <v>580</v>
      </c>
      <c r="F86" s="107"/>
      <c r="G86" s="184"/>
      <c r="H86" s="118"/>
      <c r="I86" s="118"/>
    </row>
    <row r="87" spans="1:10" x14ac:dyDescent="0.25">
      <c r="I87" s="118"/>
    </row>
    <row r="88" spans="1:10" x14ac:dyDescent="0.2">
      <c r="A88" s="263"/>
      <c r="B88" s="263"/>
      <c r="C88" s="194"/>
      <c r="D88" s="194"/>
      <c r="E88" s="195"/>
      <c r="G88" s="108"/>
    </row>
    <row r="89" spans="1:10" x14ac:dyDescent="0.2">
      <c r="A89" s="135"/>
      <c r="B89" s="196"/>
      <c r="C89" s="197"/>
      <c r="D89" s="197"/>
      <c r="E89" s="198"/>
      <c r="G89" s="108"/>
    </row>
    <row r="90" spans="1:10" x14ac:dyDescent="0.2">
      <c r="A90" s="135"/>
      <c r="B90" s="196"/>
      <c r="C90" s="199"/>
      <c r="D90" s="199"/>
      <c r="E90" s="135"/>
      <c r="G90" s="108"/>
    </row>
    <row r="91" spans="1:10" x14ac:dyDescent="0.2">
      <c r="A91" s="135"/>
      <c r="B91" s="196"/>
      <c r="C91" s="200"/>
      <c r="D91" s="200"/>
      <c r="E91" s="135"/>
      <c r="G91" s="108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7EC39-3E4D-4227-86A5-45892A3D73CB}">
  <dimension ref="A1:Q91"/>
  <sheetViews>
    <sheetView topLeftCell="A2" workbookViewId="0">
      <selection activeCell="A2" sqref="A1:XFD1048576"/>
    </sheetView>
  </sheetViews>
  <sheetFormatPr baseColWidth="10" defaultColWidth="8.42578125" defaultRowHeight="12.75" x14ac:dyDescent="0.25"/>
  <cols>
    <col min="1" max="1" width="10" style="119" bestFit="1" customWidth="1"/>
    <col min="2" max="2" width="44.42578125" style="119" bestFit="1" customWidth="1"/>
    <col min="3" max="3" width="10.42578125" style="119" bestFit="1" customWidth="1"/>
    <col min="4" max="4" width="10.42578125" style="119" customWidth="1"/>
    <col min="5" max="6" width="9.5703125" style="119" bestFit="1" customWidth="1"/>
    <col min="7" max="7" width="9.5703125" style="107" bestFit="1" customWidth="1"/>
    <col min="8" max="8" width="10.42578125" style="184" bestFit="1" customWidth="1"/>
    <col min="9" max="9" width="4.5703125" style="184" customWidth="1"/>
    <col min="10" max="10" width="1.85546875" style="118" customWidth="1"/>
    <col min="11" max="11" width="7" style="119" bestFit="1" customWidth="1"/>
    <col min="12" max="12" width="6.42578125" style="119" customWidth="1"/>
    <col min="13" max="13" width="20.42578125" style="119" customWidth="1"/>
    <col min="14" max="14" width="6.42578125" style="119" bestFit="1" customWidth="1"/>
    <col min="15" max="16" width="8.42578125" style="119"/>
    <col min="17" max="17" width="3.42578125" style="119" customWidth="1"/>
    <col min="18" max="256" width="8.42578125" style="119"/>
    <col min="257" max="257" width="10" style="119" bestFit="1" customWidth="1"/>
    <col min="258" max="258" width="44.42578125" style="119" bestFit="1" customWidth="1"/>
    <col min="259" max="259" width="10.42578125" style="119" bestFit="1" customWidth="1"/>
    <col min="260" max="260" width="10.42578125" style="119" customWidth="1"/>
    <col min="261" max="263" width="9.5703125" style="119" bestFit="1" customWidth="1"/>
    <col min="264" max="264" width="10.42578125" style="119" bestFit="1" customWidth="1"/>
    <col min="265" max="265" width="4.5703125" style="119" customWidth="1"/>
    <col min="266" max="266" width="1.85546875" style="119" customWidth="1"/>
    <col min="267" max="267" width="7" style="119" bestFit="1" customWidth="1"/>
    <col min="268" max="268" width="6.42578125" style="119" customWidth="1"/>
    <col min="269" max="269" width="20.42578125" style="119" customWidth="1"/>
    <col min="270" max="270" width="6.42578125" style="119" bestFit="1" customWidth="1"/>
    <col min="271" max="272" width="8.42578125" style="119"/>
    <col min="273" max="273" width="3.42578125" style="119" customWidth="1"/>
    <col min="274" max="512" width="8.42578125" style="119"/>
    <col min="513" max="513" width="10" style="119" bestFit="1" customWidth="1"/>
    <col min="514" max="514" width="44.42578125" style="119" bestFit="1" customWidth="1"/>
    <col min="515" max="515" width="10.42578125" style="119" bestFit="1" customWidth="1"/>
    <col min="516" max="516" width="10.42578125" style="119" customWidth="1"/>
    <col min="517" max="519" width="9.5703125" style="119" bestFit="1" customWidth="1"/>
    <col min="520" max="520" width="10.42578125" style="119" bestFit="1" customWidth="1"/>
    <col min="521" max="521" width="4.5703125" style="119" customWidth="1"/>
    <col min="522" max="522" width="1.85546875" style="119" customWidth="1"/>
    <col min="523" max="523" width="7" style="119" bestFit="1" customWidth="1"/>
    <col min="524" max="524" width="6.42578125" style="119" customWidth="1"/>
    <col min="525" max="525" width="20.42578125" style="119" customWidth="1"/>
    <col min="526" max="526" width="6.42578125" style="119" bestFit="1" customWidth="1"/>
    <col min="527" max="528" width="8.42578125" style="119"/>
    <col min="529" max="529" width="3.42578125" style="119" customWidth="1"/>
    <col min="530" max="768" width="8.42578125" style="119"/>
    <col min="769" max="769" width="10" style="119" bestFit="1" customWidth="1"/>
    <col min="770" max="770" width="44.42578125" style="119" bestFit="1" customWidth="1"/>
    <col min="771" max="771" width="10.42578125" style="119" bestFit="1" customWidth="1"/>
    <col min="772" max="772" width="10.42578125" style="119" customWidth="1"/>
    <col min="773" max="775" width="9.5703125" style="119" bestFit="1" customWidth="1"/>
    <col min="776" max="776" width="10.42578125" style="119" bestFit="1" customWidth="1"/>
    <col min="777" max="777" width="4.5703125" style="119" customWidth="1"/>
    <col min="778" max="778" width="1.85546875" style="119" customWidth="1"/>
    <col min="779" max="779" width="7" style="119" bestFit="1" customWidth="1"/>
    <col min="780" max="780" width="6.42578125" style="119" customWidth="1"/>
    <col min="781" max="781" width="20.42578125" style="119" customWidth="1"/>
    <col min="782" max="782" width="6.42578125" style="119" bestFit="1" customWidth="1"/>
    <col min="783" max="784" width="8.42578125" style="119"/>
    <col min="785" max="785" width="3.42578125" style="119" customWidth="1"/>
    <col min="786" max="1024" width="8.42578125" style="119"/>
    <col min="1025" max="1025" width="10" style="119" bestFit="1" customWidth="1"/>
    <col min="1026" max="1026" width="44.42578125" style="119" bestFit="1" customWidth="1"/>
    <col min="1027" max="1027" width="10.42578125" style="119" bestFit="1" customWidth="1"/>
    <col min="1028" max="1028" width="10.42578125" style="119" customWidth="1"/>
    <col min="1029" max="1031" width="9.5703125" style="119" bestFit="1" customWidth="1"/>
    <col min="1032" max="1032" width="10.42578125" style="119" bestFit="1" customWidth="1"/>
    <col min="1033" max="1033" width="4.5703125" style="119" customWidth="1"/>
    <col min="1034" max="1034" width="1.85546875" style="119" customWidth="1"/>
    <col min="1035" max="1035" width="7" style="119" bestFit="1" customWidth="1"/>
    <col min="1036" max="1036" width="6.42578125" style="119" customWidth="1"/>
    <col min="1037" max="1037" width="20.42578125" style="119" customWidth="1"/>
    <col min="1038" max="1038" width="6.42578125" style="119" bestFit="1" customWidth="1"/>
    <col min="1039" max="1040" width="8.42578125" style="119"/>
    <col min="1041" max="1041" width="3.42578125" style="119" customWidth="1"/>
    <col min="1042" max="1280" width="8.42578125" style="119"/>
    <col min="1281" max="1281" width="10" style="119" bestFit="1" customWidth="1"/>
    <col min="1282" max="1282" width="44.42578125" style="119" bestFit="1" customWidth="1"/>
    <col min="1283" max="1283" width="10.42578125" style="119" bestFit="1" customWidth="1"/>
    <col min="1284" max="1284" width="10.42578125" style="119" customWidth="1"/>
    <col min="1285" max="1287" width="9.5703125" style="119" bestFit="1" customWidth="1"/>
    <col min="1288" max="1288" width="10.42578125" style="119" bestFit="1" customWidth="1"/>
    <col min="1289" max="1289" width="4.5703125" style="119" customWidth="1"/>
    <col min="1290" max="1290" width="1.85546875" style="119" customWidth="1"/>
    <col min="1291" max="1291" width="7" style="119" bestFit="1" customWidth="1"/>
    <col min="1292" max="1292" width="6.42578125" style="119" customWidth="1"/>
    <col min="1293" max="1293" width="20.42578125" style="119" customWidth="1"/>
    <col min="1294" max="1294" width="6.42578125" style="119" bestFit="1" customWidth="1"/>
    <col min="1295" max="1296" width="8.42578125" style="119"/>
    <col min="1297" max="1297" width="3.42578125" style="119" customWidth="1"/>
    <col min="1298" max="1536" width="8.42578125" style="119"/>
    <col min="1537" max="1537" width="10" style="119" bestFit="1" customWidth="1"/>
    <col min="1538" max="1538" width="44.42578125" style="119" bestFit="1" customWidth="1"/>
    <col min="1539" max="1539" width="10.42578125" style="119" bestFit="1" customWidth="1"/>
    <col min="1540" max="1540" width="10.42578125" style="119" customWidth="1"/>
    <col min="1541" max="1543" width="9.5703125" style="119" bestFit="1" customWidth="1"/>
    <col min="1544" max="1544" width="10.42578125" style="119" bestFit="1" customWidth="1"/>
    <col min="1545" max="1545" width="4.5703125" style="119" customWidth="1"/>
    <col min="1546" max="1546" width="1.85546875" style="119" customWidth="1"/>
    <col min="1547" max="1547" width="7" style="119" bestFit="1" customWidth="1"/>
    <col min="1548" max="1548" width="6.42578125" style="119" customWidth="1"/>
    <col min="1549" max="1549" width="20.42578125" style="119" customWidth="1"/>
    <col min="1550" max="1550" width="6.42578125" style="119" bestFit="1" customWidth="1"/>
    <col min="1551" max="1552" width="8.42578125" style="119"/>
    <col min="1553" max="1553" width="3.42578125" style="119" customWidth="1"/>
    <col min="1554" max="1792" width="8.42578125" style="119"/>
    <col min="1793" max="1793" width="10" style="119" bestFit="1" customWidth="1"/>
    <col min="1794" max="1794" width="44.42578125" style="119" bestFit="1" customWidth="1"/>
    <col min="1795" max="1795" width="10.42578125" style="119" bestFit="1" customWidth="1"/>
    <col min="1796" max="1796" width="10.42578125" style="119" customWidth="1"/>
    <col min="1797" max="1799" width="9.5703125" style="119" bestFit="1" customWidth="1"/>
    <col min="1800" max="1800" width="10.42578125" style="119" bestFit="1" customWidth="1"/>
    <col min="1801" max="1801" width="4.5703125" style="119" customWidth="1"/>
    <col min="1802" max="1802" width="1.85546875" style="119" customWidth="1"/>
    <col min="1803" max="1803" width="7" style="119" bestFit="1" customWidth="1"/>
    <col min="1804" max="1804" width="6.42578125" style="119" customWidth="1"/>
    <col min="1805" max="1805" width="20.42578125" style="119" customWidth="1"/>
    <col min="1806" max="1806" width="6.42578125" style="119" bestFit="1" customWidth="1"/>
    <col min="1807" max="1808" width="8.42578125" style="119"/>
    <col min="1809" max="1809" width="3.42578125" style="119" customWidth="1"/>
    <col min="1810" max="2048" width="8.42578125" style="119"/>
    <col min="2049" max="2049" width="10" style="119" bestFit="1" customWidth="1"/>
    <col min="2050" max="2050" width="44.42578125" style="119" bestFit="1" customWidth="1"/>
    <col min="2051" max="2051" width="10.42578125" style="119" bestFit="1" customWidth="1"/>
    <col min="2052" max="2052" width="10.42578125" style="119" customWidth="1"/>
    <col min="2053" max="2055" width="9.5703125" style="119" bestFit="1" customWidth="1"/>
    <col min="2056" max="2056" width="10.42578125" style="119" bestFit="1" customWidth="1"/>
    <col min="2057" max="2057" width="4.5703125" style="119" customWidth="1"/>
    <col min="2058" max="2058" width="1.85546875" style="119" customWidth="1"/>
    <col min="2059" max="2059" width="7" style="119" bestFit="1" customWidth="1"/>
    <col min="2060" max="2060" width="6.42578125" style="119" customWidth="1"/>
    <col min="2061" max="2061" width="20.42578125" style="119" customWidth="1"/>
    <col min="2062" max="2062" width="6.42578125" style="119" bestFit="1" customWidth="1"/>
    <col min="2063" max="2064" width="8.42578125" style="119"/>
    <col min="2065" max="2065" width="3.42578125" style="119" customWidth="1"/>
    <col min="2066" max="2304" width="8.42578125" style="119"/>
    <col min="2305" max="2305" width="10" style="119" bestFit="1" customWidth="1"/>
    <col min="2306" max="2306" width="44.42578125" style="119" bestFit="1" customWidth="1"/>
    <col min="2307" max="2307" width="10.42578125" style="119" bestFit="1" customWidth="1"/>
    <col min="2308" max="2308" width="10.42578125" style="119" customWidth="1"/>
    <col min="2309" max="2311" width="9.5703125" style="119" bestFit="1" customWidth="1"/>
    <col min="2312" max="2312" width="10.42578125" style="119" bestFit="1" customWidth="1"/>
    <col min="2313" max="2313" width="4.5703125" style="119" customWidth="1"/>
    <col min="2314" max="2314" width="1.85546875" style="119" customWidth="1"/>
    <col min="2315" max="2315" width="7" style="119" bestFit="1" customWidth="1"/>
    <col min="2316" max="2316" width="6.42578125" style="119" customWidth="1"/>
    <col min="2317" max="2317" width="20.42578125" style="119" customWidth="1"/>
    <col min="2318" max="2318" width="6.42578125" style="119" bestFit="1" customWidth="1"/>
    <col min="2319" max="2320" width="8.42578125" style="119"/>
    <col min="2321" max="2321" width="3.42578125" style="119" customWidth="1"/>
    <col min="2322" max="2560" width="8.42578125" style="119"/>
    <col min="2561" max="2561" width="10" style="119" bestFit="1" customWidth="1"/>
    <col min="2562" max="2562" width="44.42578125" style="119" bestFit="1" customWidth="1"/>
    <col min="2563" max="2563" width="10.42578125" style="119" bestFit="1" customWidth="1"/>
    <col min="2564" max="2564" width="10.42578125" style="119" customWidth="1"/>
    <col min="2565" max="2567" width="9.5703125" style="119" bestFit="1" customWidth="1"/>
    <col min="2568" max="2568" width="10.42578125" style="119" bestFit="1" customWidth="1"/>
    <col min="2569" max="2569" width="4.5703125" style="119" customWidth="1"/>
    <col min="2570" max="2570" width="1.85546875" style="119" customWidth="1"/>
    <col min="2571" max="2571" width="7" style="119" bestFit="1" customWidth="1"/>
    <col min="2572" max="2572" width="6.42578125" style="119" customWidth="1"/>
    <col min="2573" max="2573" width="20.42578125" style="119" customWidth="1"/>
    <col min="2574" max="2574" width="6.42578125" style="119" bestFit="1" customWidth="1"/>
    <col min="2575" max="2576" width="8.42578125" style="119"/>
    <col min="2577" max="2577" width="3.42578125" style="119" customWidth="1"/>
    <col min="2578" max="2816" width="8.42578125" style="119"/>
    <col min="2817" max="2817" width="10" style="119" bestFit="1" customWidth="1"/>
    <col min="2818" max="2818" width="44.42578125" style="119" bestFit="1" customWidth="1"/>
    <col min="2819" max="2819" width="10.42578125" style="119" bestFit="1" customWidth="1"/>
    <col min="2820" max="2820" width="10.42578125" style="119" customWidth="1"/>
    <col min="2821" max="2823" width="9.5703125" style="119" bestFit="1" customWidth="1"/>
    <col min="2824" max="2824" width="10.42578125" style="119" bestFit="1" customWidth="1"/>
    <col min="2825" max="2825" width="4.5703125" style="119" customWidth="1"/>
    <col min="2826" max="2826" width="1.85546875" style="119" customWidth="1"/>
    <col min="2827" max="2827" width="7" style="119" bestFit="1" customWidth="1"/>
    <col min="2828" max="2828" width="6.42578125" style="119" customWidth="1"/>
    <col min="2829" max="2829" width="20.42578125" style="119" customWidth="1"/>
    <col min="2830" max="2830" width="6.42578125" style="119" bestFit="1" customWidth="1"/>
    <col min="2831" max="2832" width="8.42578125" style="119"/>
    <col min="2833" max="2833" width="3.42578125" style="119" customWidth="1"/>
    <col min="2834" max="3072" width="8.42578125" style="119"/>
    <col min="3073" max="3073" width="10" style="119" bestFit="1" customWidth="1"/>
    <col min="3074" max="3074" width="44.42578125" style="119" bestFit="1" customWidth="1"/>
    <col min="3075" max="3075" width="10.42578125" style="119" bestFit="1" customWidth="1"/>
    <col min="3076" max="3076" width="10.42578125" style="119" customWidth="1"/>
    <col min="3077" max="3079" width="9.5703125" style="119" bestFit="1" customWidth="1"/>
    <col min="3080" max="3080" width="10.42578125" style="119" bestFit="1" customWidth="1"/>
    <col min="3081" max="3081" width="4.5703125" style="119" customWidth="1"/>
    <col min="3082" max="3082" width="1.85546875" style="119" customWidth="1"/>
    <col min="3083" max="3083" width="7" style="119" bestFit="1" customWidth="1"/>
    <col min="3084" max="3084" width="6.42578125" style="119" customWidth="1"/>
    <col min="3085" max="3085" width="20.42578125" style="119" customWidth="1"/>
    <col min="3086" max="3086" width="6.42578125" style="119" bestFit="1" customWidth="1"/>
    <col min="3087" max="3088" width="8.42578125" style="119"/>
    <col min="3089" max="3089" width="3.42578125" style="119" customWidth="1"/>
    <col min="3090" max="3328" width="8.42578125" style="119"/>
    <col min="3329" max="3329" width="10" style="119" bestFit="1" customWidth="1"/>
    <col min="3330" max="3330" width="44.42578125" style="119" bestFit="1" customWidth="1"/>
    <col min="3331" max="3331" width="10.42578125" style="119" bestFit="1" customWidth="1"/>
    <col min="3332" max="3332" width="10.42578125" style="119" customWidth="1"/>
    <col min="3333" max="3335" width="9.5703125" style="119" bestFit="1" customWidth="1"/>
    <col min="3336" max="3336" width="10.42578125" style="119" bestFit="1" customWidth="1"/>
    <col min="3337" max="3337" width="4.5703125" style="119" customWidth="1"/>
    <col min="3338" max="3338" width="1.85546875" style="119" customWidth="1"/>
    <col min="3339" max="3339" width="7" style="119" bestFit="1" customWidth="1"/>
    <col min="3340" max="3340" width="6.42578125" style="119" customWidth="1"/>
    <col min="3341" max="3341" width="20.42578125" style="119" customWidth="1"/>
    <col min="3342" max="3342" width="6.42578125" style="119" bestFit="1" customWidth="1"/>
    <col min="3343" max="3344" width="8.42578125" style="119"/>
    <col min="3345" max="3345" width="3.42578125" style="119" customWidth="1"/>
    <col min="3346" max="3584" width="8.42578125" style="119"/>
    <col min="3585" max="3585" width="10" style="119" bestFit="1" customWidth="1"/>
    <col min="3586" max="3586" width="44.42578125" style="119" bestFit="1" customWidth="1"/>
    <col min="3587" max="3587" width="10.42578125" style="119" bestFit="1" customWidth="1"/>
    <col min="3588" max="3588" width="10.42578125" style="119" customWidth="1"/>
    <col min="3589" max="3591" width="9.5703125" style="119" bestFit="1" customWidth="1"/>
    <col min="3592" max="3592" width="10.42578125" style="119" bestFit="1" customWidth="1"/>
    <col min="3593" max="3593" width="4.5703125" style="119" customWidth="1"/>
    <col min="3594" max="3594" width="1.85546875" style="119" customWidth="1"/>
    <col min="3595" max="3595" width="7" style="119" bestFit="1" customWidth="1"/>
    <col min="3596" max="3596" width="6.42578125" style="119" customWidth="1"/>
    <col min="3597" max="3597" width="20.42578125" style="119" customWidth="1"/>
    <col min="3598" max="3598" width="6.42578125" style="119" bestFit="1" customWidth="1"/>
    <col min="3599" max="3600" width="8.42578125" style="119"/>
    <col min="3601" max="3601" width="3.42578125" style="119" customWidth="1"/>
    <col min="3602" max="3840" width="8.42578125" style="119"/>
    <col min="3841" max="3841" width="10" style="119" bestFit="1" customWidth="1"/>
    <col min="3842" max="3842" width="44.42578125" style="119" bestFit="1" customWidth="1"/>
    <col min="3843" max="3843" width="10.42578125" style="119" bestFit="1" customWidth="1"/>
    <col min="3844" max="3844" width="10.42578125" style="119" customWidth="1"/>
    <col min="3845" max="3847" width="9.5703125" style="119" bestFit="1" customWidth="1"/>
    <col min="3848" max="3848" width="10.42578125" style="119" bestFit="1" customWidth="1"/>
    <col min="3849" max="3849" width="4.5703125" style="119" customWidth="1"/>
    <col min="3850" max="3850" width="1.85546875" style="119" customWidth="1"/>
    <col min="3851" max="3851" width="7" style="119" bestFit="1" customWidth="1"/>
    <col min="3852" max="3852" width="6.42578125" style="119" customWidth="1"/>
    <col min="3853" max="3853" width="20.42578125" style="119" customWidth="1"/>
    <col min="3854" max="3854" width="6.42578125" style="119" bestFit="1" customWidth="1"/>
    <col min="3855" max="3856" width="8.42578125" style="119"/>
    <col min="3857" max="3857" width="3.42578125" style="119" customWidth="1"/>
    <col min="3858" max="4096" width="8.42578125" style="119"/>
    <col min="4097" max="4097" width="10" style="119" bestFit="1" customWidth="1"/>
    <col min="4098" max="4098" width="44.42578125" style="119" bestFit="1" customWidth="1"/>
    <col min="4099" max="4099" width="10.42578125" style="119" bestFit="1" customWidth="1"/>
    <col min="4100" max="4100" width="10.42578125" style="119" customWidth="1"/>
    <col min="4101" max="4103" width="9.5703125" style="119" bestFit="1" customWidth="1"/>
    <col min="4104" max="4104" width="10.42578125" style="119" bestFit="1" customWidth="1"/>
    <col min="4105" max="4105" width="4.5703125" style="119" customWidth="1"/>
    <col min="4106" max="4106" width="1.85546875" style="119" customWidth="1"/>
    <col min="4107" max="4107" width="7" style="119" bestFit="1" customWidth="1"/>
    <col min="4108" max="4108" width="6.42578125" style="119" customWidth="1"/>
    <col min="4109" max="4109" width="20.42578125" style="119" customWidth="1"/>
    <col min="4110" max="4110" width="6.42578125" style="119" bestFit="1" customWidth="1"/>
    <col min="4111" max="4112" width="8.42578125" style="119"/>
    <col min="4113" max="4113" width="3.42578125" style="119" customWidth="1"/>
    <col min="4114" max="4352" width="8.42578125" style="119"/>
    <col min="4353" max="4353" width="10" style="119" bestFit="1" customWidth="1"/>
    <col min="4354" max="4354" width="44.42578125" style="119" bestFit="1" customWidth="1"/>
    <col min="4355" max="4355" width="10.42578125" style="119" bestFit="1" customWidth="1"/>
    <col min="4356" max="4356" width="10.42578125" style="119" customWidth="1"/>
    <col min="4357" max="4359" width="9.5703125" style="119" bestFit="1" customWidth="1"/>
    <col min="4360" max="4360" width="10.42578125" style="119" bestFit="1" customWidth="1"/>
    <col min="4361" max="4361" width="4.5703125" style="119" customWidth="1"/>
    <col min="4362" max="4362" width="1.85546875" style="119" customWidth="1"/>
    <col min="4363" max="4363" width="7" style="119" bestFit="1" customWidth="1"/>
    <col min="4364" max="4364" width="6.42578125" style="119" customWidth="1"/>
    <col min="4365" max="4365" width="20.42578125" style="119" customWidth="1"/>
    <col min="4366" max="4366" width="6.42578125" style="119" bestFit="1" customWidth="1"/>
    <col min="4367" max="4368" width="8.42578125" style="119"/>
    <col min="4369" max="4369" width="3.42578125" style="119" customWidth="1"/>
    <col min="4370" max="4608" width="8.42578125" style="119"/>
    <col min="4609" max="4609" width="10" style="119" bestFit="1" customWidth="1"/>
    <col min="4610" max="4610" width="44.42578125" style="119" bestFit="1" customWidth="1"/>
    <col min="4611" max="4611" width="10.42578125" style="119" bestFit="1" customWidth="1"/>
    <col min="4612" max="4612" width="10.42578125" style="119" customWidth="1"/>
    <col min="4613" max="4615" width="9.5703125" style="119" bestFit="1" customWidth="1"/>
    <col min="4616" max="4616" width="10.42578125" style="119" bestFit="1" customWidth="1"/>
    <col min="4617" max="4617" width="4.5703125" style="119" customWidth="1"/>
    <col min="4618" max="4618" width="1.85546875" style="119" customWidth="1"/>
    <col min="4619" max="4619" width="7" style="119" bestFit="1" customWidth="1"/>
    <col min="4620" max="4620" width="6.42578125" style="119" customWidth="1"/>
    <col min="4621" max="4621" width="20.42578125" style="119" customWidth="1"/>
    <col min="4622" max="4622" width="6.42578125" style="119" bestFit="1" customWidth="1"/>
    <col min="4623" max="4624" width="8.42578125" style="119"/>
    <col min="4625" max="4625" width="3.42578125" style="119" customWidth="1"/>
    <col min="4626" max="4864" width="8.42578125" style="119"/>
    <col min="4865" max="4865" width="10" style="119" bestFit="1" customWidth="1"/>
    <col min="4866" max="4866" width="44.42578125" style="119" bestFit="1" customWidth="1"/>
    <col min="4867" max="4867" width="10.42578125" style="119" bestFit="1" customWidth="1"/>
    <col min="4868" max="4868" width="10.42578125" style="119" customWidth="1"/>
    <col min="4869" max="4871" width="9.5703125" style="119" bestFit="1" customWidth="1"/>
    <col min="4872" max="4872" width="10.42578125" style="119" bestFit="1" customWidth="1"/>
    <col min="4873" max="4873" width="4.5703125" style="119" customWidth="1"/>
    <col min="4874" max="4874" width="1.85546875" style="119" customWidth="1"/>
    <col min="4875" max="4875" width="7" style="119" bestFit="1" customWidth="1"/>
    <col min="4876" max="4876" width="6.42578125" style="119" customWidth="1"/>
    <col min="4877" max="4877" width="20.42578125" style="119" customWidth="1"/>
    <col min="4878" max="4878" width="6.42578125" style="119" bestFit="1" customWidth="1"/>
    <col min="4879" max="4880" width="8.42578125" style="119"/>
    <col min="4881" max="4881" width="3.42578125" style="119" customWidth="1"/>
    <col min="4882" max="5120" width="8.42578125" style="119"/>
    <col min="5121" max="5121" width="10" style="119" bestFit="1" customWidth="1"/>
    <col min="5122" max="5122" width="44.42578125" style="119" bestFit="1" customWidth="1"/>
    <col min="5123" max="5123" width="10.42578125" style="119" bestFit="1" customWidth="1"/>
    <col min="5124" max="5124" width="10.42578125" style="119" customWidth="1"/>
    <col min="5125" max="5127" width="9.5703125" style="119" bestFit="1" customWidth="1"/>
    <col min="5128" max="5128" width="10.42578125" style="119" bestFit="1" customWidth="1"/>
    <col min="5129" max="5129" width="4.5703125" style="119" customWidth="1"/>
    <col min="5130" max="5130" width="1.85546875" style="119" customWidth="1"/>
    <col min="5131" max="5131" width="7" style="119" bestFit="1" customWidth="1"/>
    <col min="5132" max="5132" width="6.42578125" style="119" customWidth="1"/>
    <col min="5133" max="5133" width="20.42578125" style="119" customWidth="1"/>
    <col min="5134" max="5134" width="6.42578125" style="119" bestFit="1" customWidth="1"/>
    <col min="5135" max="5136" width="8.42578125" style="119"/>
    <col min="5137" max="5137" width="3.42578125" style="119" customWidth="1"/>
    <col min="5138" max="5376" width="8.42578125" style="119"/>
    <col min="5377" max="5377" width="10" style="119" bestFit="1" customWidth="1"/>
    <col min="5378" max="5378" width="44.42578125" style="119" bestFit="1" customWidth="1"/>
    <col min="5379" max="5379" width="10.42578125" style="119" bestFit="1" customWidth="1"/>
    <col min="5380" max="5380" width="10.42578125" style="119" customWidth="1"/>
    <col min="5381" max="5383" width="9.5703125" style="119" bestFit="1" customWidth="1"/>
    <col min="5384" max="5384" width="10.42578125" style="119" bestFit="1" customWidth="1"/>
    <col min="5385" max="5385" width="4.5703125" style="119" customWidth="1"/>
    <col min="5386" max="5386" width="1.85546875" style="119" customWidth="1"/>
    <col min="5387" max="5387" width="7" style="119" bestFit="1" customWidth="1"/>
    <col min="5388" max="5388" width="6.42578125" style="119" customWidth="1"/>
    <col min="5389" max="5389" width="20.42578125" style="119" customWidth="1"/>
    <col min="5390" max="5390" width="6.42578125" style="119" bestFit="1" customWidth="1"/>
    <col min="5391" max="5392" width="8.42578125" style="119"/>
    <col min="5393" max="5393" width="3.42578125" style="119" customWidth="1"/>
    <col min="5394" max="5632" width="8.42578125" style="119"/>
    <col min="5633" max="5633" width="10" style="119" bestFit="1" customWidth="1"/>
    <col min="5634" max="5634" width="44.42578125" style="119" bestFit="1" customWidth="1"/>
    <col min="5635" max="5635" width="10.42578125" style="119" bestFit="1" customWidth="1"/>
    <col min="5636" max="5636" width="10.42578125" style="119" customWidth="1"/>
    <col min="5637" max="5639" width="9.5703125" style="119" bestFit="1" customWidth="1"/>
    <col min="5640" max="5640" width="10.42578125" style="119" bestFit="1" customWidth="1"/>
    <col min="5641" max="5641" width="4.5703125" style="119" customWidth="1"/>
    <col min="5642" max="5642" width="1.85546875" style="119" customWidth="1"/>
    <col min="5643" max="5643" width="7" style="119" bestFit="1" customWidth="1"/>
    <col min="5644" max="5644" width="6.42578125" style="119" customWidth="1"/>
    <col min="5645" max="5645" width="20.42578125" style="119" customWidth="1"/>
    <col min="5646" max="5646" width="6.42578125" style="119" bestFit="1" customWidth="1"/>
    <col min="5647" max="5648" width="8.42578125" style="119"/>
    <col min="5649" max="5649" width="3.42578125" style="119" customWidth="1"/>
    <col min="5650" max="5888" width="8.42578125" style="119"/>
    <col min="5889" max="5889" width="10" style="119" bestFit="1" customWidth="1"/>
    <col min="5890" max="5890" width="44.42578125" style="119" bestFit="1" customWidth="1"/>
    <col min="5891" max="5891" width="10.42578125" style="119" bestFit="1" customWidth="1"/>
    <col min="5892" max="5892" width="10.42578125" style="119" customWidth="1"/>
    <col min="5893" max="5895" width="9.5703125" style="119" bestFit="1" customWidth="1"/>
    <col min="5896" max="5896" width="10.42578125" style="119" bestFit="1" customWidth="1"/>
    <col min="5897" max="5897" width="4.5703125" style="119" customWidth="1"/>
    <col min="5898" max="5898" width="1.85546875" style="119" customWidth="1"/>
    <col min="5899" max="5899" width="7" style="119" bestFit="1" customWidth="1"/>
    <col min="5900" max="5900" width="6.42578125" style="119" customWidth="1"/>
    <col min="5901" max="5901" width="20.42578125" style="119" customWidth="1"/>
    <col min="5902" max="5902" width="6.42578125" style="119" bestFit="1" customWidth="1"/>
    <col min="5903" max="5904" width="8.42578125" style="119"/>
    <col min="5905" max="5905" width="3.42578125" style="119" customWidth="1"/>
    <col min="5906" max="6144" width="8.42578125" style="119"/>
    <col min="6145" max="6145" width="10" style="119" bestFit="1" customWidth="1"/>
    <col min="6146" max="6146" width="44.42578125" style="119" bestFit="1" customWidth="1"/>
    <col min="6147" max="6147" width="10.42578125" style="119" bestFit="1" customWidth="1"/>
    <col min="6148" max="6148" width="10.42578125" style="119" customWidth="1"/>
    <col min="6149" max="6151" width="9.5703125" style="119" bestFit="1" customWidth="1"/>
    <col min="6152" max="6152" width="10.42578125" style="119" bestFit="1" customWidth="1"/>
    <col min="6153" max="6153" width="4.5703125" style="119" customWidth="1"/>
    <col min="6154" max="6154" width="1.85546875" style="119" customWidth="1"/>
    <col min="6155" max="6155" width="7" style="119" bestFit="1" customWidth="1"/>
    <col min="6156" max="6156" width="6.42578125" style="119" customWidth="1"/>
    <col min="6157" max="6157" width="20.42578125" style="119" customWidth="1"/>
    <col min="6158" max="6158" width="6.42578125" style="119" bestFit="1" customWidth="1"/>
    <col min="6159" max="6160" width="8.42578125" style="119"/>
    <col min="6161" max="6161" width="3.42578125" style="119" customWidth="1"/>
    <col min="6162" max="6400" width="8.42578125" style="119"/>
    <col min="6401" max="6401" width="10" style="119" bestFit="1" customWidth="1"/>
    <col min="6402" max="6402" width="44.42578125" style="119" bestFit="1" customWidth="1"/>
    <col min="6403" max="6403" width="10.42578125" style="119" bestFit="1" customWidth="1"/>
    <col min="6404" max="6404" width="10.42578125" style="119" customWidth="1"/>
    <col min="6405" max="6407" width="9.5703125" style="119" bestFit="1" customWidth="1"/>
    <col min="6408" max="6408" width="10.42578125" style="119" bestFit="1" customWidth="1"/>
    <col min="6409" max="6409" width="4.5703125" style="119" customWidth="1"/>
    <col min="6410" max="6410" width="1.85546875" style="119" customWidth="1"/>
    <col min="6411" max="6411" width="7" style="119" bestFit="1" customWidth="1"/>
    <col min="6412" max="6412" width="6.42578125" style="119" customWidth="1"/>
    <col min="6413" max="6413" width="20.42578125" style="119" customWidth="1"/>
    <col min="6414" max="6414" width="6.42578125" style="119" bestFit="1" customWidth="1"/>
    <col min="6415" max="6416" width="8.42578125" style="119"/>
    <col min="6417" max="6417" width="3.42578125" style="119" customWidth="1"/>
    <col min="6418" max="6656" width="8.42578125" style="119"/>
    <col min="6657" max="6657" width="10" style="119" bestFit="1" customWidth="1"/>
    <col min="6658" max="6658" width="44.42578125" style="119" bestFit="1" customWidth="1"/>
    <col min="6659" max="6659" width="10.42578125" style="119" bestFit="1" customWidth="1"/>
    <col min="6660" max="6660" width="10.42578125" style="119" customWidth="1"/>
    <col min="6661" max="6663" width="9.5703125" style="119" bestFit="1" customWidth="1"/>
    <col min="6664" max="6664" width="10.42578125" style="119" bestFit="1" customWidth="1"/>
    <col min="6665" max="6665" width="4.5703125" style="119" customWidth="1"/>
    <col min="6666" max="6666" width="1.85546875" style="119" customWidth="1"/>
    <col min="6667" max="6667" width="7" style="119" bestFit="1" customWidth="1"/>
    <col min="6668" max="6668" width="6.42578125" style="119" customWidth="1"/>
    <col min="6669" max="6669" width="20.42578125" style="119" customWidth="1"/>
    <col min="6670" max="6670" width="6.42578125" style="119" bestFit="1" customWidth="1"/>
    <col min="6671" max="6672" width="8.42578125" style="119"/>
    <col min="6673" max="6673" width="3.42578125" style="119" customWidth="1"/>
    <col min="6674" max="6912" width="8.42578125" style="119"/>
    <col min="6913" max="6913" width="10" style="119" bestFit="1" customWidth="1"/>
    <col min="6914" max="6914" width="44.42578125" style="119" bestFit="1" customWidth="1"/>
    <col min="6915" max="6915" width="10.42578125" style="119" bestFit="1" customWidth="1"/>
    <col min="6916" max="6916" width="10.42578125" style="119" customWidth="1"/>
    <col min="6917" max="6919" width="9.5703125" style="119" bestFit="1" customWidth="1"/>
    <col min="6920" max="6920" width="10.42578125" style="119" bestFit="1" customWidth="1"/>
    <col min="6921" max="6921" width="4.5703125" style="119" customWidth="1"/>
    <col min="6922" max="6922" width="1.85546875" style="119" customWidth="1"/>
    <col min="6923" max="6923" width="7" style="119" bestFit="1" customWidth="1"/>
    <col min="6924" max="6924" width="6.42578125" style="119" customWidth="1"/>
    <col min="6925" max="6925" width="20.42578125" style="119" customWidth="1"/>
    <col min="6926" max="6926" width="6.42578125" style="119" bestFit="1" customWidth="1"/>
    <col min="6927" max="6928" width="8.42578125" style="119"/>
    <col min="6929" max="6929" width="3.42578125" style="119" customWidth="1"/>
    <col min="6930" max="7168" width="8.42578125" style="119"/>
    <col min="7169" max="7169" width="10" style="119" bestFit="1" customWidth="1"/>
    <col min="7170" max="7170" width="44.42578125" style="119" bestFit="1" customWidth="1"/>
    <col min="7171" max="7171" width="10.42578125" style="119" bestFit="1" customWidth="1"/>
    <col min="7172" max="7172" width="10.42578125" style="119" customWidth="1"/>
    <col min="7173" max="7175" width="9.5703125" style="119" bestFit="1" customWidth="1"/>
    <col min="7176" max="7176" width="10.42578125" style="119" bestFit="1" customWidth="1"/>
    <col min="7177" max="7177" width="4.5703125" style="119" customWidth="1"/>
    <col min="7178" max="7178" width="1.85546875" style="119" customWidth="1"/>
    <col min="7179" max="7179" width="7" style="119" bestFit="1" customWidth="1"/>
    <col min="7180" max="7180" width="6.42578125" style="119" customWidth="1"/>
    <col min="7181" max="7181" width="20.42578125" style="119" customWidth="1"/>
    <col min="7182" max="7182" width="6.42578125" style="119" bestFit="1" customWidth="1"/>
    <col min="7183" max="7184" width="8.42578125" style="119"/>
    <col min="7185" max="7185" width="3.42578125" style="119" customWidth="1"/>
    <col min="7186" max="7424" width="8.42578125" style="119"/>
    <col min="7425" max="7425" width="10" style="119" bestFit="1" customWidth="1"/>
    <col min="7426" max="7426" width="44.42578125" style="119" bestFit="1" customWidth="1"/>
    <col min="7427" max="7427" width="10.42578125" style="119" bestFit="1" customWidth="1"/>
    <col min="7428" max="7428" width="10.42578125" style="119" customWidth="1"/>
    <col min="7429" max="7431" width="9.5703125" style="119" bestFit="1" customWidth="1"/>
    <col min="7432" max="7432" width="10.42578125" style="119" bestFit="1" customWidth="1"/>
    <col min="7433" max="7433" width="4.5703125" style="119" customWidth="1"/>
    <col min="7434" max="7434" width="1.85546875" style="119" customWidth="1"/>
    <col min="7435" max="7435" width="7" style="119" bestFit="1" customWidth="1"/>
    <col min="7436" max="7436" width="6.42578125" style="119" customWidth="1"/>
    <col min="7437" max="7437" width="20.42578125" style="119" customWidth="1"/>
    <col min="7438" max="7438" width="6.42578125" style="119" bestFit="1" customWidth="1"/>
    <col min="7439" max="7440" width="8.42578125" style="119"/>
    <col min="7441" max="7441" width="3.42578125" style="119" customWidth="1"/>
    <col min="7442" max="7680" width="8.42578125" style="119"/>
    <col min="7681" max="7681" width="10" style="119" bestFit="1" customWidth="1"/>
    <col min="7682" max="7682" width="44.42578125" style="119" bestFit="1" customWidth="1"/>
    <col min="7683" max="7683" width="10.42578125" style="119" bestFit="1" customWidth="1"/>
    <col min="7684" max="7684" width="10.42578125" style="119" customWidth="1"/>
    <col min="7685" max="7687" width="9.5703125" style="119" bestFit="1" customWidth="1"/>
    <col min="7688" max="7688" width="10.42578125" style="119" bestFit="1" customWidth="1"/>
    <col min="7689" max="7689" width="4.5703125" style="119" customWidth="1"/>
    <col min="7690" max="7690" width="1.85546875" style="119" customWidth="1"/>
    <col min="7691" max="7691" width="7" style="119" bestFit="1" customWidth="1"/>
    <col min="7692" max="7692" width="6.42578125" style="119" customWidth="1"/>
    <col min="7693" max="7693" width="20.42578125" style="119" customWidth="1"/>
    <col min="7694" max="7694" width="6.42578125" style="119" bestFit="1" customWidth="1"/>
    <col min="7695" max="7696" width="8.42578125" style="119"/>
    <col min="7697" max="7697" width="3.42578125" style="119" customWidth="1"/>
    <col min="7698" max="7936" width="8.42578125" style="119"/>
    <col min="7937" max="7937" width="10" style="119" bestFit="1" customWidth="1"/>
    <col min="7938" max="7938" width="44.42578125" style="119" bestFit="1" customWidth="1"/>
    <col min="7939" max="7939" width="10.42578125" style="119" bestFit="1" customWidth="1"/>
    <col min="7940" max="7940" width="10.42578125" style="119" customWidth="1"/>
    <col min="7941" max="7943" width="9.5703125" style="119" bestFit="1" customWidth="1"/>
    <col min="7944" max="7944" width="10.42578125" style="119" bestFit="1" customWidth="1"/>
    <col min="7945" max="7945" width="4.5703125" style="119" customWidth="1"/>
    <col min="7946" max="7946" width="1.85546875" style="119" customWidth="1"/>
    <col min="7947" max="7947" width="7" style="119" bestFit="1" customWidth="1"/>
    <col min="7948" max="7948" width="6.42578125" style="119" customWidth="1"/>
    <col min="7949" max="7949" width="20.42578125" style="119" customWidth="1"/>
    <col min="7950" max="7950" width="6.42578125" style="119" bestFit="1" customWidth="1"/>
    <col min="7951" max="7952" width="8.42578125" style="119"/>
    <col min="7953" max="7953" width="3.42578125" style="119" customWidth="1"/>
    <col min="7954" max="8192" width="8.42578125" style="119"/>
    <col min="8193" max="8193" width="10" style="119" bestFit="1" customWidth="1"/>
    <col min="8194" max="8194" width="44.42578125" style="119" bestFit="1" customWidth="1"/>
    <col min="8195" max="8195" width="10.42578125" style="119" bestFit="1" customWidth="1"/>
    <col min="8196" max="8196" width="10.42578125" style="119" customWidth="1"/>
    <col min="8197" max="8199" width="9.5703125" style="119" bestFit="1" customWidth="1"/>
    <col min="8200" max="8200" width="10.42578125" style="119" bestFit="1" customWidth="1"/>
    <col min="8201" max="8201" width="4.5703125" style="119" customWidth="1"/>
    <col min="8202" max="8202" width="1.85546875" style="119" customWidth="1"/>
    <col min="8203" max="8203" width="7" style="119" bestFit="1" customWidth="1"/>
    <col min="8204" max="8204" width="6.42578125" style="119" customWidth="1"/>
    <col min="8205" max="8205" width="20.42578125" style="119" customWidth="1"/>
    <col min="8206" max="8206" width="6.42578125" style="119" bestFit="1" customWidth="1"/>
    <col min="8207" max="8208" width="8.42578125" style="119"/>
    <col min="8209" max="8209" width="3.42578125" style="119" customWidth="1"/>
    <col min="8210" max="8448" width="8.42578125" style="119"/>
    <col min="8449" max="8449" width="10" style="119" bestFit="1" customWidth="1"/>
    <col min="8450" max="8450" width="44.42578125" style="119" bestFit="1" customWidth="1"/>
    <col min="8451" max="8451" width="10.42578125" style="119" bestFit="1" customWidth="1"/>
    <col min="8452" max="8452" width="10.42578125" style="119" customWidth="1"/>
    <col min="8453" max="8455" width="9.5703125" style="119" bestFit="1" customWidth="1"/>
    <col min="8456" max="8456" width="10.42578125" style="119" bestFit="1" customWidth="1"/>
    <col min="8457" max="8457" width="4.5703125" style="119" customWidth="1"/>
    <col min="8458" max="8458" width="1.85546875" style="119" customWidth="1"/>
    <col min="8459" max="8459" width="7" style="119" bestFit="1" customWidth="1"/>
    <col min="8460" max="8460" width="6.42578125" style="119" customWidth="1"/>
    <col min="8461" max="8461" width="20.42578125" style="119" customWidth="1"/>
    <col min="8462" max="8462" width="6.42578125" style="119" bestFit="1" customWidth="1"/>
    <col min="8463" max="8464" width="8.42578125" style="119"/>
    <col min="8465" max="8465" width="3.42578125" style="119" customWidth="1"/>
    <col min="8466" max="8704" width="8.42578125" style="119"/>
    <col min="8705" max="8705" width="10" style="119" bestFit="1" customWidth="1"/>
    <col min="8706" max="8706" width="44.42578125" style="119" bestFit="1" customWidth="1"/>
    <col min="8707" max="8707" width="10.42578125" style="119" bestFit="1" customWidth="1"/>
    <col min="8708" max="8708" width="10.42578125" style="119" customWidth="1"/>
    <col min="8709" max="8711" width="9.5703125" style="119" bestFit="1" customWidth="1"/>
    <col min="8712" max="8712" width="10.42578125" style="119" bestFit="1" customWidth="1"/>
    <col min="8713" max="8713" width="4.5703125" style="119" customWidth="1"/>
    <col min="8714" max="8714" width="1.85546875" style="119" customWidth="1"/>
    <col min="8715" max="8715" width="7" style="119" bestFit="1" customWidth="1"/>
    <col min="8716" max="8716" width="6.42578125" style="119" customWidth="1"/>
    <col min="8717" max="8717" width="20.42578125" style="119" customWidth="1"/>
    <col min="8718" max="8718" width="6.42578125" style="119" bestFit="1" customWidth="1"/>
    <col min="8719" max="8720" width="8.42578125" style="119"/>
    <col min="8721" max="8721" width="3.42578125" style="119" customWidth="1"/>
    <col min="8722" max="8960" width="8.42578125" style="119"/>
    <col min="8961" max="8961" width="10" style="119" bestFit="1" customWidth="1"/>
    <col min="8962" max="8962" width="44.42578125" style="119" bestFit="1" customWidth="1"/>
    <col min="8963" max="8963" width="10.42578125" style="119" bestFit="1" customWidth="1"/>
    <col min="8964" max="8964" width="10.42578125" style="119" customWidth="1"/>
    <col min="8965" max="8967" width="9.5703125" style="119" bestFit="1" customWidth="1"/>
    <col min="8968" max="8968" width="10.42578125" style="119" bestFit="1" customWidth="1"/>
    <col min="8969" max="8969" width="4.5703125" style="119" customWidth="1"/>
    <col min="8970" max="8970" width="1.85546875" style="119" customWidth="1"/>
    <col min="8971" max="8971" width="7" style="119" bestFit="1" customWidth="1"/>
    <col min="8972" max="8972" width="6.42578125" style="119" customWidth="1"/>
    <col min="8973" max="8973" width="20.42578125" style="119" customWidth="1"/>
    <col min="8974" max="8974" width="6.42578125" style="119" bestFit="1" customWidth="1"/>
    <col min="8975" max="8976" width="8.42578125" style="119"/>
    <col min="8977" max="8977" width="3.42578125" style="119" customWidth="1"/>
    <col min="8978" max="9216" width="8.42578125" style="119"/>
    <col min="9217" max="9217" width="10" style="119" bestFit="1" customWidth="1"/>
    <col min="9218" max="9218" width="44.42578125" style="119" bestFit="1" customWidth="1"/>
    <col min="9219" max="9219" width="10.42578125" style="119" bestFit="1" customWidth="1"/>
    <col min="9220" max="9220" width="10.42578125" style="119" customWidth="1"/>
    <col min="9221" max="9223" width="9.5703125" style="119" bestFit="1" customWidth="1"/>
    <col min="9224" max="9224" width="10.42578125" style="119" bestFit="1" customWidth="1"/>
    <col min="9225" max="9225" width="4.5703125" style="119" customWidth="1"/>
    <col min="9226" max="9226" width="1.85546875" style="119" customWidth="1"/>
    <col min="9227" max="9227" width="7" style="119" bestFit="1" customWidth="1"/>
    <col min="9228" max="9228" width="6.42578125" style="119" customWidth="1"/>
    <col min="9229" max="9229" width="20.42578125" style="119" customWidth="1"/>
    <col min="9230" max="9230" width="6.42578125" style="119" bestFit="1" customWidth="1"/>
    <col min="9231" max="9232" width="8.42578125" style="119"/>
    <col min="9233" max="9233" width="3.42578125" style="119" customWidth="1"/>
    <col min="9234" max="9472" width="8.42578125" style="119"/>
    <col min="9473" max="9473" width="10" style="119" bestFit="1" customWidth="1"/>
    <col min="9474" max="9474" width="44.42578125" style="119" bestFit="1" customWidth="1"/>
    <col min="9475" max="9475" width="10.42578125" style="119" bestFit="1" customWidth="1"/>
    <col min="9476" max="9476" width="10.42578125" style="119" customWidth="1"/>
    <col min="9477" max="9479" width="9.5703125" style="119" bestFit="1" customWidth="1"/>
    <col min="9480" max="9480" width="10.42578125" style="119" bestFit="1" customWidth="1"/>
    <col min="9481" max="9481" width="4.5703125" style="119" customWidth="1"/>
    <col min="9482" max="9482" width="1.85546875" style="119" customWidth="1"/>
    <col min="9483" max="9483" width="7" style="119" bestFit="1" customWidth="1"/>
    <col min="9484" max="9484" width="6.42578125" style="119" customWidth="1"/>
    <col min="9485" max="9485" width="20.42578125" style="119" customWidth="1"/>
    <col min="9486" max="9486" width="6.42578125" style="119" bestFit="1" customWidth="1"/>
    <col min="9487" max="9488" width="8.42578125" style="119"/>
    <col min="9489" max="9489" width="3.42578125" style="119" customWidth="1"/>
    <col min="9490" max="9728" width="8.42578125" style="119"/>
    <col min="9729" max="9729" width="10" style="119" bestFit="1" customWidth="1"/>
    <col min="9730" max="9730" width="44.42578125" style="119" bestFit="1" customWidth="1"/>
    <col min="9731" max="9731" width="10.42578125" style="119" bestFit="1" customWidth="1"/>
    <col min="9732" max="9732" width="10.42578125" style="119" customWidth="1"/>
    <col min="9733" max="9735" width="9.5703125" style="119" bestFit="1" customWidth="1"/>
    <col min="9736" max="9736" width="10.42578125" style="119" bestFit="1" customWidth="1"/>
    <col min="9737" max="9737" width="4.5703125" style="119" customWidth="1"/>
    <col min="9738" max="9738" width="1.85546875" style="119" customWidth="1"/>
    <col min="9739" max="9739" width="7" style="119" bestFit="1" customWidth="1"/>
    <col min="9740" max="9740" width="6.42578125" style="119" customWidth="1"/>
    <col min="9741" max="9741" width="20.42578125" style="119" customWidth="1"/>
    <col min="9742" max="9742" width="6.42578125" style="119" bestFit="1" customWidth="1"/>
    <col min="9743" max="9744" width="8.42578125" style="119"/>
    <col min="9745" max="9745" width="3.42578125" style="119" customWidth="1"/>
    <col min="9746" max="9984" width="8.42578125" style="119"/>
    <col min="9985" max="9985" width="10" style="119" bestFit="1" customWidth="1"/>
    <col min="9986" max="9986" width="44.42578125" style="119" bestFit="1" customWidth="1"/>
    <col min="9987" max="9987" width="10.42578125" style="119" bestFit="1" customWidth="1"/>
    <col min="9988" max="9988" width="10.42578125" style="119" customWidth="1"/>
    <col min="9989" max="9991" width="9.5703125" style="119" bestFit="1" customWidth="1"/>
    <col min="9992" max="9992" width="10.42578125" style="119" bestFit="1" customWidth="1"/>
    <col min="9993" max="9993" width="4.5703125" style="119" customWidth="1"/>
    <col min="9994" max="9994" width="1.85546875" style="119" customWidth="1"/>
    <col min="9995" max="9995" width="7" style="119" bestFit="1" customWidth="1"/>
    <col min="9996" max="9996" width="6.42578125" style="119" customWidth="1"/>
    <col min="9997" max="9997" width="20.42578125" style="119" customWidth="1"/>
    <col min="9998" max="9998" width="6.42578125" style="119" bestFit="1" customWidth="1"/>
    <col min="9999" max="10000" width="8.42578125" style="119"/>
    <col min="10001" max="10001" width="3.42578125" style="119" customWidth="1"/>
    <col min="10002" max="10240" width="8.42578125" style="119"/>
    <col min="10241" max="10241" width="10" style="119" bestFit="1" customWidth="1"/>
    <col min="10242" max="10242" width="44.42578125" style="119" bestFit="1" customWidth="1"/>
    <col min="10243" max="10243" width="10.42578125" style="119" bestFit="1" customWidth="1"/>
    <col min="10244" max="10244" width="10.42578125" style="119" customWidth="1"/>
    <col min="10245" max="10247" width="9.5703125" style="119" bestFit="1" customWidth="1"/>
    <col min="10248" max="10248" width="10.42578125" style="119" bestFit="1" customWidth="1"/>
    <col min="10249" max="10249" width="4.5703125" style="119" customWidth="1"/>
    <col min="10250" max="10250" width="1.85546875" style="119" customWidth="1"/>
    <col min="10251" max="10251" width="7" style="119" bestFit="1" customWidth="1"/>
    <col min="10252" max="10252" width="6.42578125" style="119" customWidth="1"/>
    <col min="10253" max="10253" width="20.42578125" style="119" customWidth="1"/>
    <col min="10254" max="10254" width="6.42578125" style="119" bestFit="1" customWidth="1"/>
    <col min="10255" max="10256" width="8.42578125" style="119"/>
    <col min="10257" max="10257" width="3.42578125" style="119" customWidth="1"/>
    <col min="10258" max="10496" width="8.42578125" style="119"/>
    <col min="10497" max="10497" width="10" style="119" bestFit="1" customWidth="1"/>
    <col min="10498" max="10498" width="44.42578125" style="119" bestFit="1" customWidth="1"/>
    <col min="10499" max="10499" width="10.42578125" style="119" bestFit="1" customWidth="1"/>
    <col min="10500" max="10500" width="10.42578125" style="119" customWidth="1"/>
    <col min="10501" max="10503" width="9.5703125" style="119" bestFit="1" customWidth="1"/>
    <col min="10504" max="10504" width="10.42578125" style="119" bestFit="1" customWidth="1"/>
    <col min="10505" max="10505" width="4.5703125" style="119" customWidth="1"/>
    <col min="10506" max="10506" width="1.85546875" style="119" customWidth="1"/>
    <col min="10507" max="10507" width="7" style="119" bestFit="1" customWidth="1"/>
    <col min="10508" max="10508" width="6.42578125" style="119" customWidth="1"/>
    <col min="10509" max="10509" width="20.42578125" style="119" customWidth="1"/>
    <col min="10510" max="10510" width="6.42578125" style="119" bestFit="1" customWidth="1"/>
    <col min="10511" max="10512" width="8.42578125" style="119"/>
    <col min="10513" max="10513" width="3.42578125" style="119" customWidth="1"/>
    <col min="10514" max="10752" width="8.42578125" style="119"/>
    <col min="10753" max="10753" width="10" style="119" bestFit="1" customWidth="1"/>
    <col min="10754" max="10754" width="44.42578125" style="119" bestFit="1" customWidth="1"/>
    <col min="10755" max="10755" width="10.42578125" style="119" bestFit="1" customWidth="1"/>
    <col min="10756" max="10756" width="10.42578125" style="119" customWidth="1"/>
    <col min="10757" max="10759" width="9.5703125" style="119" bestFit="1" customWidth="1"/>
    <col min="10760" max="10760" width="10.42578125" style="119" bestFit="1" customWidth="1"/>
    <col min="10761" max="10761" width="4.5703125" style="119" customWidth="1"/>
    <col min="10762" max="10762" width="1.85546875" style="119" customWidth="1"/>
    <col min="10763" max="10763" width="7" style="119" bestFit="1" customWidth="1"/>
    <col min="10764" max="10764" width="6.42578125" style="119" customWidth="1"/>
    <col min="10765" max="10765" width="20.42578125" style="119" customWidth="1"/>
    <col min="10766" max="10766" width="6.42578125" style="119" bestFit="1" customWidth="1"/>
    <col min="10767" max="10768" width="8.42578125" style="119"/>
    <col min="10769" max="10769" width="3.42578125" style="119" customWidth="1"/>
    <col min="10770" max="11008" width="8.42578125" style="119"/>
    <col min="11009" max="11009" width="10" style="119" bestFit="1" customWidth="1"/>
    <col min="11010" max="11010" width="44.42578125" style="119" bestFit="1" customWidth="1"/>
    <col min="11011" max="11011" width="10.42578125" style="119" bestFit="1" customWidth="1"/>
    <col min="11012" max="11012" width="10.42578125" style="119" customWidth="1"/>
    <col min="11013" max="11015" width="9.5703125" style="119" bestFit="1" customWidth="1"/>
    <col min="11016" max="11016" width="10.42578125" style="119" bestFit="1" customWidth="1"/>
    <col min="11017" max="11017" width="4.5703125" style="119" customWidth="1"/>
    <col min="11018" max="11018" width="1.85546875" style="119" customWidth="1"/>
    <col min="11019" max="11019" width="7" style="119" bestFit="1" customWidth="1"/>
    <col min="11020" max="11020" width="6.42578125" style="119" customWidth="1"/>
    <col min="11021" max="11021" width="20.42578125" style="119" customWidth="1"/>
    <col min="11022" max="11022" width="6.42578125" style="119" bestFit="1" customWidth="1"/>
    <col min="11023" max="11024" width="8.42578125" style="119"/>
    <col min="11025" max="11025" width="3.42578125" style="119" customWidth="1"/>
    <col min="11026" max="11264" width="8.42578125" style="119"/>
    <col min="11265" max="11265" width="10" style="119" bestFit="1" customWidth="1"/>
    <col min="11266" max="11266" width="44.42578125" style="119" bestFit="1" customWidth="1"/>
    <col min="11267" max="11267" width="10.42578125" style="119" bestFit="1" customWidth="1"/>
    <col min="11268" max="11268" width="10.42578125" style="119" customWidth="1"/>
    <col min="11269" max="11271" width="9.5703125" style="119" bestFit="1" customWidth="1"/>
    <col min="11272" max="11272" width="10.42578125" style="119" bestFit="1" customWidth="1"/>
    <col min="11273" max="11273" width="4.5703125" style="119" customWidth="1"/>
    <col min="11274" max="11274" width="1.85546875" style="119" customWidth="1"/>
    <col min="11275" max="11275" width="7" style="119" bestFit="1" customWidth="1"/>
    <col min="11276" max="11276" width="6.42578125" style="119" customWidth="1"/>
    <col min="11277" max="11277" width="20.42578125" style="119" customWidth="1"/>
    <col min="11278" max="11278" width="6.42578125" style="119" bestFit="1" customWidth="1"/>
    <col min="11279" max="11280" width="8.42578125" style="119"/>
    <col min="11281" max="11281" width="3.42578125" style="119" customWidth="1"/>
    <col min="11282" max="11520" width="8.42578125" style="119"/>
    <col min="11521" max="11521" width="10" style="119" bestFit="1" customWidth="1"/>
    <col min="11522" max="11522" width="44.42578125" style="119" bestFit="1" customWidth="1"/>
    <col min="11523" max="11523" width="10.42578125" style="119" bestFit="1" customWidth="1"/>
    <col min="11524" max="11524" width="10.42578125" style="119" customWidth="1"/>
    <col min="11525" max="11527" width="9.5703125" style="119" bestFit="1" customWidth="1"/>
    <col min="11528" max="11528" width="10.42578125" style="119" bestFit="1" customWidth="1"/>
    <col min="11529" max="11529" width="4.5703125" style="119" customWidth="1"/>
    <col min="11530" max="11530" width="1.85546875" style="119" customWidth="1"/>
    <col min="11531" max="11531" width="7" style="119" bestFit="1" customWidth="1"/>
    <col min="11532" max="11532" width="6.42578125" style="119" customWidth="1"/>
    <col min="11533" max="11533" width="20.42578125" style="119" customWidth="1"/>
    <col min="11534" max="11534" width="6.42578125" style="119" bestFit="1" customWidth="1"/>
    <col min="11535" max="11536" width="8.42578125" style="119"/>
    <col min="11537" max="11537" width="3.42578125" style="119" customWidth="1"/>
    <col min="11538" max="11776" width="8.42578125" style="119"/>
    <col min="11777" max="11777" width="10" style="119" bestFit="1" customWidth="1"/>
    <col min="11778" max="11778" width="44.42578125" style="119" bestFit="1" customWidth="1"/>
    <col min="11779" max="11779" width="10.42578125" style="119" bestFit="1" customWidth="1"/>
    <col min="11780" max="11780" width="10.42578125" style="119" customWidth="1"/>
    <col min="11781" max="11783" width="9.5703125" style="119" bestFit="1" customWidth="1"/>
    <col min="11784" max="11784" width="10.42578125" style="119" bestFit="1" customWidth="1"/>
    <col min="11785" max="11785" width="4.5703125" style="119" customWidth="1"/>
    <col min="11786" max="11786" width="1.85546875" style="119" customWidth="1"/>
    <col min="11787" max="11787" width="7" style="119" bestFit="1" customWidth="1"/>
    <col min="11788" max="11788" width="6.42578125" style="119" customWidth="1"/>
    <col min="11789" max="11789" width="20.42578125" style="119" customWidth="1"/>
    <col min="11790" max="11790" width="6.42578125" style="119" bestFit="1" customWidth="1"/>
    <col min="11791" max="11792" width="8.42578125" style="119"/>
    <col min="11793" max="11793" width="3.42578125" style="119" customWidth="1"/>
    <col min="11794" max="12032" width="8.42578125" style="119"/>
    <col min="12033" max="12033" width="10" style="119" bestFit="1" customWidth="1"/>
    <col min="12034" max="12034" width="44.42578125" style="119" bestFit="1" customWidth="1"/>
    <col min="12035" max="12035" width="10.42578125" style="119" bestFit="1" customWidth="1"/>
    <col min="12036" max="12036" width="10.42578125" style="119" customWidth="1"/>
    <col min="12037" max="12039" width="9.5703125" style="119" bestFit="1" customWidth="1"/>
    <col min="12040" max="12040" width="10.42578125" style="119" bestFit="1" customWidth="1"/>
    <col min="12041" max="12041" width="4.5703125" style="119" customWidth="1"/>
    <col min="12042" max="12042" width="1.85546875" style="119" customWidth="1"/>
    <col min="12043" max="12043" width="7" style="119" bestFit="1" customWidth="1"/>
    <col min="12044" max="12044" width="6.42578125" style="119" customWidth="1"/>
    <col min="12045" max="12045" width="20.42578125" style="119" customWidth="1"/>
    <col min="12046" max="12046" width="6.42578125" style="119" bestFit="1" customWidth="1"/>
    <col min="12047" max="12048" width="8.42578125" style="119"/>
    <col min="12049" max="12049" width="3.42578125" style="119" customWidth="1"/>
    <col min="12050" max="12288" width="8.42578125" style="119"/>
    <col min="12289" max="12289" width="10" style="119" bestFit="1" customWidth="1"/>
    <col min="12290" max="12290" width="44.42578125" style="119" bestFit="1" customWidth="1"/>
    <col min="12291" max="12291" width="10.42578125" style="119" bestFit="1" customWidth="1"/>
    <col min="12292" max="12292" width="10.42578125" style="119" customWidth="1"/>
    <col min="12293" max="12295" width="9.5703125" style="119" bestFit="1" customWidth="1"/>
    <col min="12296" max="12296" width="10.42578125" style="119" bestFit="1" customWidth="1"/>
    <col min="12297" max="12297" width="4.5703125" style="119" customWidth="1"/>
    <col min="12298" max="12298" width="1.85546875" style="119" customWidth="1"/>
    <col min="12299" max="12299" width="7" style="119" bestFit="1" customWidth="1"/>
    <col min="12300" max="12300" width="6.42578125" style="119" customWidth="1"/>
    <col min="12301" max="12301" width="20.42578125" style="119" customWidth="1"/>
    <col min="12302" max="12302" width="6.42578125" style="119" bestFit="1" customWidth="1"/>
    <col min="12303" max="12304" width="8.42578125" style="119"/>
    <col min="12305" max="12305" width="3.42578125" style="119" customWidth="1"/>
    <col min="12306" max="12544" width="8.42578125" style="119"/>
    <col min="12545" max="12545" width="10" style="119" bestFit="1" customWidth="1"/>
    <col min="12546" max="12546" width="44.42578125" style="119" bestFit="1" customWidth="1"/>
    <col min="12547" max="12547" width="10.42578125" style="119" bestFit="1" customWidth="1"/>
    <col min="12548" max="12548" width="10.42578125" style="119" customWidth="1"/>
    <col min="12549" max="12551" width="9.5703125" style="119" bestFit="1" customWidth="1"/>
    <col min="12552" max="12552" width="10.42578125" style="119" bestFit="1" customWidth="1"/>
    <col min="12553" max="12553" width="4.5703125" style="119" customWidth="1"/>
    <col min="12554" max="12554" width="1.85546875" style="119" customWidth="1"/>
    <col min="12555" max="12555" width="7" style="119" bestFit="1" customWidth="1"/>
    <col min="12556" max="12556" width="6.42578125" style="119" customWidth="1"/>
    <col min="12557" max="12557" width="20.42578125" style="119" customWidth="1"/>
    <col min="12558" max="12558" width="6.42578125" style="119" bestFit="1" customWidth="1"/>
    <col min="12559" max="12560" width="8.42578125" style="119"/>
    <col min="12561" max="12561" width="3.42578125" style="119" customWidth="1"/>
    <col min="12562" max="12800" width="8.42578125" style="119"/>
    <col min="12801" max="12801" width="10" style="119" bestFit="1" customWidth="1"/>
    <col min="12802" max="12802" width="44.42578125" style="119" bestFit="1" customWidth="1"/>
    <col min="12803" max="12803" width="10.42578125" style="119" bestFit="1" customWidth="1"/>
    <col min="12804" max="12804" width="10.42578125" style="119" customWidth="1"/>
    <col min="12805" max="12807" width="9.5703125" style="119" bestFit="1" customWidth="1"/>
    <col min="12808" max="12808" width="10.42578125" style="119" bestFit="1" customWidth="1"/>
    <col min="12809" max="12809" width="4.5703125" style="119" customWidth="1"/>
    <col min="12810" max="12810" width="1.85546875" style="119" customWidth="1"/>
    <col min="12811" max="12811" width="7" style="119" bestFit="1" customWidth="1"/>
    <col min="12812" max="12812" width="6.42578125" style="119" customWidth="1"/>
    <col min="12813" max="12813" width="20.42578125" style="119" customWidth="1"/>
    <col min="12814" max="12814" width="6.42578125" style="119" bestFit="1" customWidth="1"/>
    <col min="12815" max="12816" width="8.42578125" style="119"/>
    <col min="12817" max="12817" width="3.42578125" style="119" customWidth="1"/>
    <col min="12818" max="13056" width="8.42578125" style="119"/>
    <col min="13057" max="13057" width="10" style="119" bestFit="1" customWidth="1"/>
    <col min="13058" max="13058" width="44.42578125" style="119" bestFit="1" customWidth="1"/>
    <col min="13059" max="13059" width="10.42578125" style="119" bestFit="1" customWidth="1"/>
    <col min="13060" max="13060" width="10.42578125" style="119" customWidth="1"/>
    <col min="13061" max="13063" width="9.5703125" style="119" bestFit="1" customWidth="1"/>
    <col min="13064" max="13064" width="10.42578125" style="119" bestFit="1" customWidth="1"/>
    <col min="13065" max="13065" width="4.5703125" style="119" customWidth="1"/>
    <col min="13066" max="13066" width="1.85546875" style="119" customWidth="1"/>
    <col min="13067" max="13067" width="7" style="119" bestFit="1" customWidth="1"/>
    <col min="13068" max="13068" width="6.42578125" style="119" customWidth="1"/>
    <col min="13069" max="13069" width="20.42578125" style="119" customWidth="1"/>
    <col min="13070" max="13070" width="6.42578125" style="119" bestFit="1" customWidth="1"/>
    <col min="13071" max="13072" width="8.42578125" style="119"/>
    <col min="13073" max="13073" width="3.42578125" style="119" customWidth="1"/>
    <col min="13074" max="13312" width="8.42578125" style="119"/>
    <col min="13313" max="13313" width="10" style="119" bestFit="1" customWidth="1"/>
    <col min="13314" max="13314" width="44.42578125" style="119" bestFit="1" customWidth="1"/>
    <col min="13315" max="13315" width="10.42578125" style="119" bestFit="1" customWidth="1"/>
    <col min="13316" max="13316" width="10.42578125" style="119" customWidth="1"/>
    <col min="13317" max="13319" width="9.5703125" style="119" bestFit="1" customWidth="1"/>
    <col min="13320" max="13320" width="10.42578125" style="119" bestFit="1" customWidth="1"/>
    <col min="13321" max="13321" width="4.5703125" style="119" customWidth="1"/>
    <col min="13322" max="13322" width="1.85546875" style="119" customWidth="1"/>
    <col min="13323" max="13323" width="7" style="119" bestFit="1" customWidth="1"/>
    <col min="13324" max="13324" width="6.42578125" style="119" customWidth="1"/>
    <col min="13325" max="13325" width="20.42578125" style="119" customWidth="1"/>
    <col min="13326" max="13326" width="6.42578125" style="119" bestFit="1" customWidth="1"/>
    <col min="13327" max="13328" width="8.42578125" style="119"/>
    <col min="13329" max="13329" width="3.42578125" style="119" customWidth="1"/>
    <col min="13330" max="13568" width="8.42578125" style="119"/>
    <col min="13569" max="13569" width="10" style="119" bestFit="1" customWidth="1"/>
    <col min="13570" max="13570" width="44.42578125" style="119" bestFit="1" customWidth="1"/>
    <col min="13571" max="13571" width="10.42578125" style="119" bestFit="1" customWidth="1"/>
    <col min="13572" max="13572" width="10.42578125" style="119" customWidth="1"/>
    <col min="13573" max="13575" width="9.5703125" style="119" bestFit="1" customWidth="1"/>
    <col min="13576" max="13576" width="10.42578125" style="119" bestFit="1" customWidth="1"/>
    <col min="13577" max="13577" width="4.5703125" style="119" customWidth="1"/>
    <col min="13578" max="13578" width="1.85546875" style="119" customWidth="1"/>
    <col min="13579" max="13579" width="7" style="119" bestFit="1" customWidth="1"/>
    <col min="13580" max="13580" width="6.42578125" style="119" customWidth="1"/>
    <col min="13581" max="13581" width="20.42578125" style="119" customWidth="1"/>
    <col min="13582" max="13582" width="6.42578125" style="119" bestFit="1" customWidth="1"/>
    <col min="13583" max="13584" width="8.42578125" style="119"/>
    <col min="13585" max="13585" width="3.42578125" style="119" customWidth="1"/>
    <col min="13586" max="13824" width="8.42578125" style="119"/>
    <col min="13825" max="13825" width="10" style="119" bestFit="1" customWidth="1"/>
    <col min="13826" max="13826" width="44.42578125" style="119" bestFit="1" customWidth="1"/>
    <col min="13827" max="13827" width="10.42578125" style="119" bestFit="1" customWidth="1"/>
    <col min="13828" max="13828" width="10.42578125" style="119" customWidth="1"/>
    <col min="13829" max="13831" width="9.5703125" style="119" bestFit="1" customWidth="1"/>
    <col min="13832" max="13832" width="10.42578125" style="119" bestFit="1" customWidth="1"/>
    <col min="13833" max="13833" width="4.5703125" style="119" customWidth="1"/>
    <col min="13834" max="13834" width="1.85546875" style="119" customWidth="1"/>
    <col min="13835" max="13835" width="7" style="119" bestFit="1" customWidth="1"/>
    <col min="13836" max="13836" width="6.42578125" style="119" customWidth="1"/>
    <col min="13837" max="13837" width="20.42578125" style="119" customWidth="1"/>
    <col min="13838" max="13838" width="6.42578125" style="119" bestFit="1" customWidth="1"/>
    <col min="13839" max="13840" width="8.42578125" style="119"/>
    <col min="13841" max="13841" width="3.42578125" style="119" customWidth="1"/>
    <col min="13842" max="14080" width="8.42578125" style="119"/>
    <col min="14081" max="14081" width="10" style="119" bestFit="1" customWidth="1"/>
    <col min="14082" max="14082" width="44.42578125" style="119" bestFit="1" customWidth="1"/>
    <col min="14083" max="14083" width="10.42578125" style="119" bestFit="1" customWidth="1"/>
    <col min="14084" max="14084" width="10.42578125" style="119" customWidth="1"/>
    <col min="14085" max="14087" width="9.5703125" style="119" bestFit="1" customWidth="1"/>
    <col min="14088" max="14088" width="10.42578125" style="119" bestFit="1" customWidth="1"/>
    <col min="14089" max="14089" width="4.5703125" style="119" customWidth="1"/>
    <col min="14090" max="14090" width="1.85546875" style="119" customWidth="1"/>
    <col min="14091" max="14091" width="7" style="119" bestFit="1" customWidth="1"/>
    <col min="14092" max="14092" width="6.42578125" style="119" customWidth="1"/>
    <col min="14093" max="14093" width="20.42578125" style="119" customWidth="1"/>
    <col min="14094" max="14094" width="6.42578125" style="119" bestFit="1" customWidth="1"/>
    <col min="14095" max="14096" width="8.42578125" style="119"/>
    <col min="14097" max="14097" width="3.42578125" style="119" customWidth="1"/>
    <col min="14098" max="14336" width="8.42578125" style="119"/>
    <col min="14337" max="14337" width="10" style="119" bestFit="1" customWidth="1"/>
    <col min="14338" max="14338" width="44.42578125" style="119" bestFit="1" customWidth="1"/>
    <col min="14339" max="14339" width="10.42578125" style="119" bestFit="1" customWidth="1"/>
    <col min="14340" max="14340" width="10.42578125" style="119" customWidth="1"/>
    <col min="14341" max="14343" width="9.5703125" style="119" bestFit="1" customWidth="1"/>
    <col min="14344" max="14344" width="10.42578125" style="119" bestFit="1" customWidth="1"/>
    <col min="14345" max="14345" width="4.5703125" style="119" customWidth="1"/>
    <col min="14346" max="14346" width="1.85546875" style="119" customWidth="1"/>
    <col min="14347" max="14347" width="7" style="119" bestFit="1" customWidth="1"/>
    <col min="14348" max="14348" width="6.42578125" style="119" customWidth="1"/>
    <col min="14349" max="14349" width="20.42578125" style="119" customWidth="1"/>
    <col min="14350" max="14350" width="6.42578125" style="119" bestFit="1" customWidth="1"/>
    <col min="14351" max="14352" width="8.42578125" style="119"/>
    <col min="14353" max="14353" width="3.42578125" style="119" customWidth="1"/>
    <col min="14354" max="14592" width="8.42578125" style="119"/>
    <col min="14593" max="14593" width="10" style="119" bestFit="1" customWidth="1"/>
    <col min="14594" max="14594" width="44.42578125" style="119" bestFit="1" customWidth="1"/>
    <col min="14595" max="14595" width="10.42578125" style="119" bestFit="1" customWidth="1"/>
    <col min="14596" max="14596" width="10.42578125" style="119" customWidth="1"/>
    <col min="14597" max="14599" width="9.5703125" style="119" bestFit="1" customWidth="1"/>
    <col min="14600" max="14600" width="10.42578125" style="119" bestFit="1" customWidth="1"/>
    <col min="14601" max="14601" width="4.5703125" style="119" customWidth="1"/>
    <col min="14602" max="14602" width="1.85546875" style="119" customWidth="1"/>
    <col min="14603" max="14603" width="7" style="119" bestFit="1" customWidth="1"/>
    <col min="14604" max="14604" width="6.42578125" style="119" customWidth="1"/>
    <col min="14605" max="14605" width="20.42578125" style="119" customWidth="1"/>
    <col min="14606" max="14606" width="6.42578125" style="119" bestFit="1" customWidth="1"/>
    <col min="14607" max="14608" width="8.42578125" style="119"/>
    <col min="14609" max="14609" width="3.42578125" style="119" customWidth="1"/>
    <col min="14610" max="14848" width="8.42578125" style="119"/>
    <col min="14849" max="14849" width="10" style="119" bestFit="1" customWidth="1"/>
    <col min="14850" max="14850" width="44.42578125" style="119" bestFit="1" customWidth="1"/>
    <col min="14851" max="14851" width="10.42578125" style="119" bestFit="1" customWidth="1"/>
    <col min="14852" max="14852" width="10.42578125" style="119" customWidth="1"/>
    <col min="14853" max="14855" width="9.5703125" style="119" bestFit="1" customWidth="1"/>
    <col min="14856" max="14856" width="10.42578125" style="119" bestFit="1" customWidth="1"/>
    <col min="14857" max="14857" width="4.5703125" style="119" customWidth="1"/>
    <col min="14858" max="14858" width="1.85546875" style="119" customWidth="1"/>
    <col min="14859" max="14859" width="7" style="119" bestFit="1" customWidth="1"/>
    <col min="14860" max="14860" width="6.42578125" style="119" customWidth="1"/>
    <col min="14861" max="14861" width="20.42578125" style="119" customWidth="1"/>
    <col min="14862" max="14862" width="6.42578125" style="119" bestFit="1" customWidth="1"/>
    <col min="14863" max="14864" width="8.42578125" style="119"/>
    <col min="14865" max="14865" width="3.42578125" style="119" customWidth="1"/>
    <col min="14866" max="15104" width="8.42578125" style="119"/>
    <col min="15105" max="15105" width="10" style="119" bestFit="1" customWidth="1"/>
    <col min="15106" max="15106" width="44.42578125" style="119" bestFit="1" customWidth="1"/>
    <col min="15107" max="15107" width="10.42578125" style="119" bestFit="1" customWidth="1"/>
    <col min="15108" max="15108" width="10.42578125" style="119" customWidth="1"/>
    <col min="15109" max="15111" width="9.5703125" style="119" bestFit="1" customWidth="1"/>
    <col min="15112" max="15112" width="10.42578125" style="119" bestFit="1" customWidth="1"/>
    <col min="15113" max="15113" width="4.5703125" style="119" customWidth="1"/>
    <col min="15114" max="15114" width="1.85546875" style="119" customWidth="1"/>
    <col min="15115" max="15115" width="7" style="119" bestFit="1" customWidth="1"/>
    <col min="15116" max="15116" width="6.42578125" style="119" customWidth="1"/>
    <col min="15117" max="15117" width="20.42578125" style="119" customWidth="1"/>
    <col min="15118" max="15118" width="6.42578125" style="119" bestFit="1" customWidth="1"/>
    <col min="15119" max="15120" width="8.42578125" style="119"/>
    <col min="15121" max="15121" width="3.42578125" style="119" customWidth="1"/>
    <col min="15122" max="15360" width="8.42578125" style="119"/>
    <col min="15361" max="15361" width="10" style="119" bestFit="1" customWidth="1"/>
    <col min="15362" max="15362" width="44.42578125" style="119" bestFit="1" customWidth="1"/>
    <col min="15363" max="15363" width="10.42578125" style="119" bestFit="1" customWidth="1"/>
    <col min="15364" max="15364" width="10.42578125" style="119" customWidth="1"/>
    <col min="15365" max="15367" width="9.5703125" style="119" bestFit="1" customWidth="1"/>
    <col min="15368" max="15368" width="10.42578125" style="119" bestFit="1" customWidth="1"/>
    <col min="15369" max="15369" width="4.5703125" style="119" customWidth="1"/>
    <col min="15370" max="15370" width="1.85546875" style="119" customWidth="1"/>
    <col min="15371" max="15371" width="7" style="119" bestFit="1" customWidth="1"/>
    <col min="15372" max="15372" width="6.42578125" style="119" customWidth="1"/>
    <col min="15373" max="15373" width="20.42578125" style="119" customWidth="1"/>
    <col min="15374" max="15374" width="6.42578125" style="119" bestFit="1" customWidth="1"/>
    <col min="15375" max="15376" width="8.42578125" style="119"/>
    <col min="15377" max="15377" width="3.42578125" style="119" customWidth="1"/>
    <col min="15378" max="15616" width="8.42578125" style="119"/>
    <col min="15617" max="15617" width="10" style="119" bestFit="1" customWidth="1"/>
    <col min="15618" max="15618" width="44.42578125" style="119" bestFit="1" customWidth="1"/>
    <col min="15619" max="15619" width="10.42578125" style="119" bestFit="1" customWidth="1"/>
    <col min="15620" max="15620" width="10.42578125" style="119" customWidth="1"/>
    <col min="15621" max="15623" width="9.5703125" style="119" bestFit="1" customWidth="1"/>
    <col min="15624" max="15624" width="10.42578125" style="119" bestFit="1" customWidth="1"/>
    <col min="15625" max="15625" width="4.5703125" style="119" customWidth="1"/>
    <col min="15626" max="15626" width="1.85546875" style="119" customWidth="1"/>
    <col min="15627" max="15627" width="7" style="119" bestFit="1" customWidth="1"/>
    <col min="15628" max="15628" width="6.42578125" style="119" customWidth="1"/>
    <col min="15629" max="15629" width="20.42578125" style="119" customWidth="1"/>
    <col min="15630" max="15630" width="6.42578125" style="119" bestFit="1" customWidth="1"/>
    <col min="15631" max="15632" width="8.42578125" style="119"/>
    <col min="15633" max="15633" width="3.42578125" style="119" customWidth="1"/>
    <col min="15634" max="15872" width="8.42578125" style="119"/>
    <col min="15873" max="15873" width="10" style="119" bestFit="1" customWidth="1"/>
    <col min="15874" max="15874" width="44.42578125" style="119" bestFit="1" customWidth="1"/>
    <col min="15875" max="15875" width="10.42578125" style="119" bestFit="1" customWidth="1"/>
    <col min="15876" max="15876" width="10.42578125" style="119" customWidth="1"/>
    <col min="15877" max="15879" width="9.5703125" style="119" bestFit="1" customWidth="1"/>
    <col min="15880" max="15880" width="10.42578125" style="119" bestFit="1" customWidth="1"/>
    <col min="15881" max="15881" width="4.5703125" style="119" customWidth="1"/>
    <col min="15882" max="15882" width="1.85546875" style="119" customWidth="1"/>
    <col min="15883" max="15883" width="7" style="119" bestFit="1" customWidth="1"/>
    <col min="15884" max="15884" width="6.42578125" style="119" customWidth="1"/>
    <col min="15885" max="15885" width="20.42578125" style="119" customWidth="1"/>
    <col min="15886" max="15886" width="6.42578125" style="119" bestFit="1" customWidth="1"/>
    <col min="15887" max="15888" width="8.42578125" style="119"/>
    <col min="15889" max="15889" width="3.42578125" style="119" customWidth="1"/>
    <col min="15890" max="16128" width="8.42578125" style="119"/>
    <col min="16129" max="16129" width="10" style="119" bestFit="1" customWidth="1"/>
    <col min="16130" max="16130" width="44.42578125" style="119" bestFit="1" customWidth="1"/>
    <col min="16131" max="16131" width="10.42578125" style="119" bestFit="1" customWidth="1"/>
    <col min="16132" max="16132" width="10.42578125" style="119" customWidth="1"/>
    <col min="16133" max="16135" width="9.5703125" style="119" bestFit="1" customWidth="1"/>
    <col min="16136" max="16136" width="10.42578125" style="119" bestFit="1" customWidth="1"/>
    <col min="16137" max="16137" width="4.5703125" style="119" customWidth="1"/>
    <col min="16138" max="16138" width="1.85546875" style="119" customWidth="1"/>
    <col min="16139" max="16139" width="7" style="119" bestFit="1" customWidth="1"/>
    <col min="16140" max="16140" width="6.42578125" style="119" customWidth="1"/>
    <col min="16141" max="16141" width="20.42578125" style="119" customWidth="1"/>
    <col min="16142" max="16142" width="6.42578125" style="119" bestFit="1" customWidth="1"/>
    <col min="16143" max="16144" width="8.42578125" style="119"/>
    <col min="16145" max="16145" width="3.42578125" style="119" customWidth="1"/>
    <col min="16146" max="16384" width="8.42578125" style="119"/>
  </cols>
  <sheetData>
    <row r="1" spans="1:10" ht="27.75" customHeight="1" x14ac:dyDescent="0.25">
      <c r="A1" s="114"/>
      <c r="B1" s="114"/>
      <c r="C1" s="114"/>
      <c r="D1" s="114"/>
      <c r="E1" s="115" t="s">
        <v>126</v>
      </c>
      <c r="F1" s="116" t="s">
        <v>127</v>
      </c>
      <c r="G1" s="116" t="s">
        <v>128</v>
      </c>
      <c r="H1" s="116" t="s">
        <v>129</v>
      </c>
      <c r="I1" s="117"/>
    </row>
    <row r="2" spans="1:10" ht="30.75" customHeight="1" x14ac:dyDescent="0.25">
      <c r="A2" s="114"/>
      <c r="B2" s="114"/>
      <c r="C2" s="114"/>
      <c r="D2" s="114"/>
      <c r="E2" s="120">
        <f>IFERROR(O62,"")</f>
        <v>4432.7568647986482</v>
      </c>
      <c r="F2" s="120">
        <f>IFERROR(H53,"")</f>
        <v>2725.215757030252</v>
      </c>
      <c r="G2" s="120">
        <f>IFERROR(H54,"")</f>
        <v>635.06440275562659</v>
      </c>
      <c r="H2" s="120">
        <f>IFERROR(H56,"")</f>
        <v>534.831879447029</v>
      </c>
      <c r="I2" s="121"/>
    </row>
    <row r="3" spans="1:10" ht="15" customHeight="1" x14ac:dyDescent="0.25">
      <c r="A3" s="114"/>
      <c r="B3" s="114"/>
      <c r="C3" s="114"/>
      <c r="D3" s="114"/>
      <c r="E3" s="114"/>
      <c r="F3" s="122"/>
      <c r="G3" s="122"/>
      <c r="H3" s="122"/>
      <c r="I3" s="122"/>
    </row>
    <row r="4" spans="1:10" ht="24.75" customHeight="1" thickBot="1" x14ac:dyDescent="0.3">
      <c r="A4" s="273"/>
      <c r="B4" s="273"/>
      <c r="C4" s="273"/>
      <c r="D4" s="273"/>
      <c r="E4" s="273"/>
      <c r="F4" s="273"/>
      <c r="G4" s="273"/>
      <c r="H4" s="273"/>
      <c r="I4" s="123"/>
    </row>
    <row r="5" spans="1:10" ht="19.5" customHeight="1" thickBot="1" x14ac:dyDescent="0.3">
      <c r="A5" s="279" t="s">
        <v>130</v>
      </c>
      <c r="B5" s="280"/>
      <c r="C5" s="280"/>
      <c r="D5" s="280"/>
      <c r="E5" s="280"/>
      <c r="F5" s="280"/>
      <c r="G5" s="280"/>
      <c r="H5" s="281"/>
      <c r="I5" s="124"/>
    </row>
    <row r="6" spans="1:10" ht="19.5" thickBot="1" x14ac:dyDescent="0.3">
      <c r="A6" s="124"/>
      <c r="B6" s="124"/>
      <c r="C6" s="124"/>
      <c r="D6" s="124"/>
      <c r="E6" s="124"/>
      <c r="F6" s="282" t="s">
        <v>131</v>
      </c>
      <c r="G6" s="282"/>
      <c r="H6" s="125">
        <f ca="1">TODAY()</f>
        <v>45663</v>
      </c>
      <c r="I6" s="125"/>
    </row>
    <row r="7" spans="1:10" ht="39" thickBot="1" x14ac:dyDescent="0.3">
      <c r="A7" s="126" t="s">
        <v>132</v>
      </c>
      <c r="B7" s="127" t="s">
        <v>133</v>
      </c>
      <c r="C7" s="127" t="s">
        <v>132</v>
      </c>
      <c r="D7" s="128" t="s">
        <v>134</v>
      </c>
      <c r="E7" s="128" t="s">
        <v>135</v>
      </c>
      <c r="F7" s="128" t="s">
        <v>136</v>
      </c>
      <c r="G7" s="128" t="s">
        <v>137</v>
      </c>
      <c r="H7" s="129" t="s">
        <v>138</v>
      </c>
      <c r="I7" s="130"/>
    </row>
    <row r="8" spans="1:10" ht="13.5" x14ac:dyDescent="0.25">
      <c r="A8" s="131">
        <v>10</v>
      </c>
      <c r="B8" s="119" t="str">
        <f>IFERROR(VLOOKUP(H8,'[1]Consolidado MP Planta'!$A$2:$M$823,3,0),"")</f>
        <v>ACEITE CAPULLO RBD (UND:17  L)</v>
      </c>
      <c r="C8" s="132">
        <f>+A8</f>
        <v>10</v>
      </c>
      <c r="D8" s="133" t="str">
        <f>IFERROR(VLOOKUP(H8,'[1]Consolidado MP Planta'!$A$2:$M$823,13,0),"")</f>
        <v>Mililitros</v>
      </c>
      <c r="E8" s="133">
        <v>1.37</v>
      </c>
      <c r="F8" s="133">
        <f>IFERROR(C8*E8,"")</f>
        <v>13.700000000000001</v>
      </c>
      <c r="G8" s="104">
        <f t="shared" ref="G8:G14" si="0">IFERROR(F8/$F$66,"")</f>
        <v>3.5856510855047916E-3</v>
      </c>
      <c r="H8" s="134" t="s">
        <v>185</v>
      </c>
      <c r="I8" s="134"/>
      <c r="J8" s="105"/>
    </row>
    <row r="9" spans="1:10" ht="13.5" x14ac:dyDescent="0.25">
      <c r="A9" s="131">
        <v>60</v>
      </c>
      <c r="B9" s="119" t="str">
        <f>IFERROR(VLOOKUP(H9,'[1]Consolidado MP Planta'!$A$2:$M$823,3,0),"")</f>
        <v>PECANA ENTERA (CAJA:13.6 K)</v>
      </c>
      <c r="C9" s="132">
        <f t="shared" ref="C9:C14" si="1">+A9</f>
        <v>60</v>
      </c>
      <c r="D9" s="133" t="str">
        <f>IFERROR(VLOOKUP(H9,'[1]Consolidado MP Planta'!$A$2:$M$823,13,0),"")</f>
        <v>Gramos</v>
      </c>
      <c r="E9" s="133">
        <v>9.2799999999999994</v>
      </c>
      <c r="F9" s="133">
        <f t="shared" ref="F9:F14" si="2">IFERROR(C9*E9,"")</f>
        <v>556.79999999999995</v>
      </c>
      <c r="G9" s="104">
        <f t="shared" si="0"/>
        <v>0.1457292353583261</v>
      </c>
      <c r="H9" s="134" t="s">
        <v>50</v>
      </c>
      <c r="I9" s="134"/>
      <c r="J9" s="105"/>
    </row>
    <row r="10" spans="1:10" ht="13.5" x14ac:dyDescent="0.25">
      <c r="A10" s="131">
        <v>1</v>
      </c>
      <c r="B10" s="119" t="str">
        <f>IFERROR(VLOOKUP(H10,'[1]Consolidado MP Planta'!$A$2:$M$823,3,0),"")</f>
        <v>CANELA EN POLVO BADIA (UND: 1.82 K)</v>
      </c>
      <c r="C10" s="132">
        <f t="shared" si="1"/>
        <v>1</v>
      </c>
      <c r="D10" s="133" t="str">
        <f>IFERROR(VLOOKUP(H10,'[1]Consolidado MP Planta'!$A$2:$M$823,13,0),"")</f>
        <v>Gramos</v>
      </c>
      <c r="E10" s="133">
        <v>9.39</v>
      </c>
      <c r="F10" s="133">
        <f t="shared" si="2"/>
        <v>9.39</v>
      </c>
      <c r="G10" s="104">
        <f t="shared" si="0"/>
        <v>2.4576104885321161E-3</v>
      </c>
      <c r="H10" s="134" t="s">
        <v>188</v>
      </c>
      <c r="I10" s="134"/>
      <c r="J10" s="105"/>
    </row>
    <row r="11" spans="1:10" ht="13.5" hidden="1" x14ac:dyDescent="0.25">
      <c r="A11" s="131"/>
      <c r="B11" s="119" t="str">
        <f>IFERROR(VLOOKUP(H11,'[1]Consolidado MP Planta'!$A$2:$M$823,3,0),"")</f>
        <v/>
      </c>
      <c r="C11" s="132">
        <f t="shared" si="1"/>
        <v>0</v>
      </c>
      <c r="D11" s="133" t="str">
        <f>IFERROR(VLOOKUP(H11,'[1]Consolidado MP Planta'!$A$2:$M$823,13,0),"")</f>
        <v/>
      </c>
      <c r="E11" s="133" t="str">
        <f>IFERROR(VLOOKUP(H11,'[1]Consolidado MP Planta'!$A$2:$M$823,12,0),"")</f>
        <v/>
      </c>
      <c r="F11" s="133" t="str">
        <f t="shared" si="2"/>
        <v/>
      </c>
      <c r="G11" s="104" t="str">
        <f t="shared" si="0"/>
        <v/>
      </c>
      <c r="H11" s="134"/>
      <c r="I11" s="134"/>
      <c r="J11" s="105"/>
    </row>
    <row r="12" spans="1:10" ht="13.5" hidden="1" x14ac:dyDescent="0.25">
      <c r="A12" s="131"/>
      <c r="B12" s="119" t="str">
        <f>IFERROR(VLOOKUP(H12,'[1]Consolidado MP Planta'!$A$2:$M$823,3,0),"")</f>
        <v/>
      </c>
      <c r="C12" s="132">
        <f t="shared" si="1"/>
        <v>0</v>
      </c>
      <c r="D12" s="133" t="str">
        <f>IFERROR(VLOOKUP(H12,'[1]Consolidado MP Planta'!$A$2:$M$823,13,0),"")</f>
        <v/>
      </c>
      <c r="E12" s="133" t="str">
        <f>IFERROR(VLOOKUP(H12,'[1]Consolidado MP Planta'!$A$2:$M$823,12,0),"")</f>
        <v/>
      </c>
      <c r="F12" s="133" t="str">
        <f t="shared" si="2"/>
        <v/>
      </c>
      <c r="G12" s="104" t="str">
        <f t="shared" si="0"/>
        <v/>
      </c>
      <c r="H12" s="134"/>
      <c r="I12" s="134"/>
      <c r="J12" s="105"/>
    </row>
    <row r="13" spans="1:10" ht="13.5" hidden="1" x14ac:dyDescent="0.25">
      <c r="A13" s="131"/>
      <c r="B13" s="119" t="str">
        <f>IFERROR(VLOOKUP(H13,'[1]Consolidado MP Planta'!$A$2:$M$823,3,0),"")</f>
        <v/>
      </c>
      <c r="C13" s="132">
        <f t="shared" si="1"/>
        <v>0</v>
      </c>
      <c r="D13" s="133" t="str">
        <f>IFERROR(VLOOKUP(H13,'[1]Consolidado MP Planta'!$A$2:$M$823,13,0),"")</f>
        <v/>
      </c>
      <c r="E13" s="133" t="str">
        <f>IFERROR(VLOOKUP(H13,'[1]Consolidado MP Planta'!$A$2:$M$823,12,0),"")</f>
        <v/>
      </c>
      <c r="F13" s="133" t="str">
        <f t="shared" si="2"/>
        <v/>
      </c>
      <c r="G13" s="104" t="str">
        <f t="shared" si="0"/>
        <v/>
      </c>
      <c r="H13" s="134"/>
      <c r="I13" s="134"/>
      <c r="J13" s="105"/>
    </row>
    <row r="14" spans="1:10" ht="13.5" hidden="1" x14ac:dyDescent="0.25">
      <c r="A14" s="131"/>
      <c r="B14" s="119" t="str">
        <f>IFERROR(VLOOKUP(H14,'[1]Consolidado MP Planta'!$A$2:$M$823,3,0),"")</f>
        <v/>
      </c>
      <c r="C14" s="132">
        <f t="shared" si="1"/>
        <v>0</v>
      </c>
      <c r="D14" s="133" t="str">
        <f>IFERROR(VLOOKUP(H14,'[1]Consolidado MP Planta'!$A$2:$M$823,13,0),"")</f>
        <v/>
      </c>
      <c r="E14" s="133" t="str">
        <f>IFERROR(VLOOKUP(H14,'[1]Consolidado MP Planta'!$A$2:$M$823,12,0),"")</f>
        <v/>
      </c>
      <c r="F14" s="133" t="str">
        <f t="shared" si="2"/>
        <v/>
      </c>
      <c r="G14" s="104" t="str">
        <f t="shared" si="0"/>
        <v/>
      </c>
      <c r="H14" s="134"/>
      <c r="I14" s="134"/>
      <c r="J14" s="105"/>
    </row>
    <row r="15" spans="1:10" ht="14.25" thickBot="1" x14ac:dyDescent="0.3">
      <c r="A15" s="131"/>
      <c r="B15" s="119" t="str">
        <f>IFERROR(VLOOKUP(H15,'[2]ARTICULOS MP PLANTA'!$A$2:$G$589,2,0),"")</f>
        <v/>
      </c>
      <c r="C15" s="132"/>
      <c r="D15" s="133"/>
      <c r="E15" s="133"/>
      <c r="F15" s="133"/>
      <c r="G15" s="104"/>
      <c r="H15" s="134"/>
      <c r="I15" s="134"/>
      <c r="J15" s="105"/>
    </row>
    <row r="16" spans="1:10" ht="39" thickBot="1" x14ac:dyDescent="0.3">
      <c r="A16" s="126" t="s">
        <v>132</v>
      </c>
      <c r="B16" s="127" t="s">
        <v>139</v>
      </c>
      <c r="C16" s="127" t="s">
        <v>132</v>
      </c>
      <c r="D16" s="128" t="s">
        <v>134</v>
      </c>
      <c r="E16" s="128" t="s">
        <v>135</v>
      </c>
      <c r="F16" s="128" t="s">
        <v>136</v>
      </c>
      <c r="G16" s="128" t="s">
        <v>137</v>
      </c>
      <c r="H16" s="129" t="s">
        <v>138</v>
      </c>
      <c r="I16" s="130"/>
      <c r="J16" s="105"/>
    </row>
    <row r="17" spans="1:12" ht="13.5" x14ac:dyDescent="0.25">
      <c r="A17" s="131">
        <v>1</v>
      </c>
      <c r="B17" s="119" t="s">
        <v>95</v>
      </c>
      <c r="C17" s="132">
        <f>+A17</f>
        <v>1</v>
      </c>
      <c r="D17" s="132" t="s">
        <v>186</v>
      </c>
      <c r="E17" s="133">
        <f>+'Costo Rosquete '!H53</f>
        <v>659.91441870316066</v>
      </c>
      <c r="F17" s="133">
        <f>IFERROR(E17*C17,"")</f>
        <v>659.91441870316066</v>
      </c>
      <c r="G17" s="104">
        <f t="shared" ref="G17:G24" si="3">IFERROR(F17/$F$66,"")</f>
        <v>0.17271699647906943</v>
      </c>
      <c r="H17" s="134" t="s">
        <v>179</v>
      </c>
      <c r="I17" s="134"/>
      <c r="J17" s="105"/>
    </row>
    <row r="18" spans="1:12" ht="13.5" x14ac:dyDescent="0.25">
      <c r="A18" s="131">
        <v>1</v>
      </c>
      <c r="B18" s="119" t="s">
        <v>96</v>
      </c>
      <c r="C18" s="132">
        <f t="shared" ref="C18:C24" si="4">+A18</f>
        <v>1</v>
      </c>
      <c r="D18" s="132" t="s">
        <v>187</v>
      </c>
      <c r="E18" s="133">
        <f>+'Costo Chesse Cake Dulce Leche '!H59</f>
        <v>1233.768888888889</v>
      </c>
      <c r="F18" s="133">
        <f t="shared" ref="F18:F24" si="5">IFERROR(E18*C18,"")</f>
        <v>1233.768888888889</v>
      </c>
      <c r="G18" s="104">
        <f t="shared" si="3"/>
        <v>0.3229098361829551</v>
      </c>
      <c r="H18" s="134" t="s">
        <v>179</v>
      </c>
      <c r="I18" s="134"/>
      <c r="J18" s="105"/>
    </row>
    <row r="19" spans="1:12" ht="13.5" x14ac:dyDescent="0.25">
      <c r="A19" s="131">
        <v>240</v>
      </c>
      <c r="B19" s="119" t="s">
        <v>98</v>
      </c>
      <c r="C19" s="132">
        <f>+A19</f>
        <v>240</v>
      </c>
      <c r="D19" s="132" t="s">
        <v>178</v>
      </c>
      <c r="E19" s="133" t="e">
        <f>+#REF!</f>
        <v>#REF!</v>
      </c>
      <c r="F19" s="133" t="str">
        <f>IFERROR(E19*C19,"")</f>
        <v/>
      </c>
      <c r="G19" s="104" t="str">
        <f t="shared" si="3"/>
        <v/>
      </c>
      <c r="H19" s="134" t="s">
        <v>179</v>
      </c>
      <c r="I19" s="134"/>
      <c r="J19" s="105"/>
    </row>
    <row r="20" spans="1:12" ht="13.5" x14ac:dyDescent="0.25">
      <c r="A20" s="131">
        <v>70</v>
      </c>
      <c r="B20" s="119" t="s">
        <v>99</v>
      </c>
      <c r="C20" s="132">
        <f>+A20</f>
        <v>70</v>
      </c>
      <c r="D20" s="132" t="s">
        <v>178</v>
      </c>
      <c r="E20" s="133">
        <f>+'Costo Crema Vino tinto'!E69</f>
        <v>3.5948921348314609</v>
      </c>
      <c r="F20" s="133">
        <f>IFERROR(E20*C20,"")</f>
        <v>251.64244943820225</v>
      </c>
      <c r="G20" s="104">
        <f t="shared" si="3"/>
        <v>6.5861461458917844E-2</v>
      </c>
      <c r="H20" s="134" t="s">
        <v>179</v>
      </c>
      <c r="I20" s="134"/>
      <c r="J20" s="105"/>
    </row>
    <row r="21" spans="1:12" ht="13.5" hidden="1" x14ac:dyDescent="0.25">
      <c r="A21" s="131"/>
      <c r="B21" s="119" t="str">
        <f>IFERROR(VLOOKUP(H21,[1]SEMIELABORADOS!$A$2:$M$6000,2,0),"")</f>
        <v/>
      </c>
      <c r="C21" s="132">
        <f>+A21</f>
        <v>0</v>
      </c>
      <c r="D21" s="132" t="str">
        <f>IFERROR(VLOOKUP(H21,[1]SEMIELABORADOS!$A$2:$M$6000,6,0),"")</f>
        <v/>
      </c>
      <c r="E21" s="133" t="str">
        <f>IFERROR(VLOOKUP(H21,[1]SEMIELABORADOS!$A$2:$H$65536,8,0),"")</f>
        <v/>
      </c>
      <c r="F21" s="133" t="str">
        <f>IFERROR(E21*C21,"")</f>
        <v/>
      </c>
      <c r="G21" s="104" t="str">
        <f t="shared" si="3"/>
        <v/>
      </c>
      <c r="H21" s="134"/>
      <c r="I21" s="134"/>
      <c r="J21" s="105"/>
    </row>
    <row r="22" spans="1:12" ht="13.5" hidden="1" x14ac:dyDescent="0.25">
      <c r="A22" s="131"/>
      <c r="B22" s="119" t="str">
        <f>IFERROR(VLOOKUP(H22,[1]SEMIELABORADOS!$A$2:$M$6000,2,0),"")</f>
        <v/>
      </c>
      <c r="C22" s="132">
        <f t="shared" si="4"/>
        <v>0</v>
      </c>
      <c r="D22" s="132" t="str">
        <f>IFERROR(VLOOKUP(H22,[1]SEMIELABORADOS!$A$2:$M$6000,6,0),"")</f>
        <v/>
      </c>
      <c r="E22" s="133" t="str">
        <f>IFERROR(VLOOKUP(H22,[1]SEMIELABORADOS!$A$2:$H$65536,8,0),"")</f>
        <v/>
      </c>
      <c r="F22" s="133" t="str">
        <f t="shared" si="5"/>
        <v/>
      </c>
      <c r="G22" s="104" t="str">
        <f t="shared" si="3"/>
        <v/>
      </c>
      <c r="H22" s="134"/>
      <c r="I22" s="134"/>
      <c r="J22" s="105"/>
    </row>
    <row r="23" spans="1:12" ht="13.5" hidden="1" x14ac:dyDescent="0.25">
      <c r="A23" s="131"/>
      <c r="B23" s="119" t="str">
        <f>IFERROR(VLOOKUP(H23,[1]SEMIELABORADOS!$A$2:$M$6000,2,0),"")</f>
        <v/>
      </c>
      <c r="C23" s="132">
        <f t="shared" si="4"/>
        <v>0</v>
      </c>
      <c r="D23" s="132" t="str">
        <f>IFERROR(VLOOKUP(H23,[1]SEMIELABORADOS!$A$2:$M$6000,6,0),"")</f>
        <v/>
      </c>
      <c r="E23" s="133" t="str">
        <f>IFERROR(VLOOKUP(H23,[1]SEMIELABORADOS!$A$2:$H$65536,8,0),"")</f>
        <v/>
      </c>
      <c r="F23" s="133" t="str">
        <f t="shared" si="5"/>
        <v/>
      </c>
      <c r="G23" s="104" t="str">
        <f t="shared" si="3"/>
        <v/>
      </c>
      <c r="H23" s="134"/>
      <c r="I23" s="134"/>
      <c r="J23" s="105"/>
    </row>
    <row r="24" spans="1:12" ht="13.5" hidden="1" x14ac:dyDescent="0.25">
      <c r="A24" s="131"/>
      <c r="B24" s="119" t="str">
        <f>IFERROR(VLOOKUP(H24,[1]SEMIELABORADOS!$A$2:$M$6000,2,0),"")</f>
        <v/>
      </c>
      <c r="C24" s="132">
        <f t="shared" si="4"/>
        <v>0</v>
      </c>
      <c r="D24" s="132" t="str">
        <f>IFERROR(VLOOKUP(H24,[1]SEMIELABORADOS!$A$2:$M$6000,6,0),"")</f>
        <v/>
      </c>
      <c r="E24" s="133" t="str">
        <f>IFERROR(VLOOKUP(H24,[1]SEMIELABORADOS!$A$2:$H$65536,8,0),"")</f>
        <v/>
      </c>
      <c r="F24" s="133" t="str">
        <f t="shared" si="5"/>
        <v/>
      </c>
      <c r="G24" s="104" t="str">
        <f t="shared" si="3"/>
        <v/>
      </c>
      <c r="H24" s="134"/>
      <c r="I24" s="134"/>
      <c r="J24" s="105"/>
    </row>
    <row r="25" spans="1:12" ht="14.25" thickBot="1" x14ac:dyDescent="0.3">
      <c r="A25" s="131"/>
      <c r="C25" s="132"/>
      <c r="D25" s="132"/>
      <c r="E25" s="133"/>
      <c r="F25" s="133"/>
      <c r="G25" s="104"/>
      <c r="H25" s="134"/>
      <c r="I25" s="134"/>
      <c r="J25" s="105"/>
    </row>
    <row r="26" spans="1:12" ht="39" thickBot="1" x14ac:dyDescent="0.3">
      <c r="A26" s="126" t="s">
        <v>132</v>
      </c>
      <c r="B26" s="127" t="s">
        <v>63</v>
      </c>
      <c r="C26" s="127" t="s">
        <v>132</v>
      </c>
      <c r="D26" s="128" t="s">
        <v>134</v>
      </c>
      <c r="E26" s="128" t="s">
        <v>135</v>
      </c>
      <c r="F26" s="128" t="s">
        <v>136</v>
      </c>
      <c r="G26" s="128" t="s">
        <v>137</v>
      </c>
      <c r="H26" s="129" t="s">
        <v>138</v>
      </c>
      <c r="I26" s="130"/>
    </row>
    <row r="27" spans="1:12" ht="13.5" x14ac:dyDescent="0.25">
      <c r="A27" s="131">
        <v>1</v>
      </c>
      <c r="B27" s="135" t="str">
        <f>IFERROR(VLOOKUP(H27,'[1]Consolidado MP Planta'!$A$2:$M$823,3,0),"")</f>
        <v>ORLA #9  DORADA (UND)</v>
      </c>
      <c r="C27" s="132">
        <f t="shared" ref="C27:C32" si="6">+A27</f>
        <v>1</v>
      </c>
      <c r="D27" s="133" t="str">
        <f>IFERROR(VLOOKUP(H27,'[1]Consolidado MP Planta'!$A$2:$M$823,13,0),"")</f>
        <v>Und</v>
      </c>
      <c r="E27" s="133">
        <v>135</v>
      </c>
      <c r="F27" s="133">
        <f t="shared" ref="F27:F32" si="7">IFERROR(C27*E27,"")</f>
        <v>135</v>
      </c>
      <c r="G27" s="104">
        <f t="shared" ref="G27:G32" si="8">IFERROR(F27/$F$66,"")</f>
        <v>3.5333058141835537E-2</v>
      </c>
      <c r="H27" s="136" t="s">
        <v>189</v>
      </c>
      <c r="I27" s="136"/>
      <c r="J27" s="105"/>
      <c r="K27" s="274"/>
      <c r="L27" s="274"/>
    </row>
    <row r="28" spans="1:12" ht="13.5" x14ac:dyDescent="0.25">
      <c r="A28" s="131">
        <v>1</v>
      </c>
      <c r="B28" s="135" t="s">
        <v>192</v>
      </c>
      <c r="C28" s="132">
        <f t="shared" si="6"/>
        <v>1</v>
      </c>
      <c r="D28" s="133" t="s">
        <v>191</v>
      </c>
      <c r="E28" s="133">
        <v>463.63</v>
      </c>
      <c r="F28" s="133">
        <f t="shared" si="7"/>
        <v>463.63</v>
      </c>
      <c r="G28" s="104">
        <f t="shared" si="8"/>
        <v>0.12134419071332747</v>
      </c>
      <c r="H28" s="136" t="s">
        <v>190</v>
      </c>
      <c r="I28" s="136"/>
      <c r="J28" s="105"/>
      <c r="K28" s="274"/>
      <c r="L28" s="274"/>
    </row>
    <row r="29" spans="1:12" ht="13.5" x14ac:dyDescent="0.25">
      <c r="A29" s="131">
        <v>1</v>
      </c>
      <c r="B29" s="135" t="str">
        <f>IFERROR(VLOOKUP(H29,'[1]Consolidado MP Planta'!$A$2:$M$823,3,0),"")</f>
        <v>ETIQUETA BLANCA 2 5/8X1 15/16 (UND)</v>
      </c>
      <c r="C29" s="132">
        <f t="shared" si="6"/>
        <v>1</v>
      </c>
      <c r="D29" s="133" t="str">
        <f>IFERROR(VLOOKUP(H29,'[1]Consolidado MP Planta'!$A$2:$M$823,13,0),"")</f>
        <v>Und</v>
      </c>
      <c r="E29" s="133">
        <f>IFERROR(VLOOKUP(H29,'[1]Consolidado MP Planta'!$A$2:$M$823,12,0),"")</f>
        <v>2.1280000000000001</v>
      </c>
      <c r="F29" s="133">
        <f t="shared" si="7"/>
        <v>2.1280000000000001</v>
      </c>
      <c r="G29" s="104">
        <f t="shared" si="8"/>
        <v>5.5695368685797057E-4</v>
      </c>
      <c r="H29" s="136" t="s">
        <v>38</v>
      </c>
      <c r="I29" s="136"/>
      <c r="J29" s="105"/>
      <c r="K29" s="274"/>
      <c r="L29" s="274"/>
    </row>
    <row r="30" spans="1:12" ht="13.5" x14ac:dyDescent="0.25">
      <c r="A30" s="131">
        <v>1</v>
      </c>
      <c r="B30" s="135" t="str">
        <f>IFERROR(VLOOKUP(H30,'[1]Consolidado MP Planta'!$A$2:$M$823,3,0),"")</f>
        <v>ETIQ.BLANCA 1 1/4 * 3/4 (UND)</v>
      </c>
      <c r="C30" s="132">
        <f t="shared" si="6"/>
        <v>1</v>
      </c>
      <c r="D30" s="133" t="str">
        <f>IFERROR(VLOOKUP(H30,'[1]Consolidado MP Planta'!$A$2:$M$823,13,0),"")</f>
        <v>Und</v>
      </c>
      <c r="E30" s="133">
        <f>IFERROR(VLOOKUP(H30,'[1]Consolidado MP Planta'!$A$2:$M$823,12,0),"")</f>
        <v>0.57999999999999996</v>
      </c>
      <c r="F30" s="133">
        <f t="shared" si="7"/>
        <v>0.57999999999999996</v>
      </c>
      <c r="G30" s="104">
        <f t="shared" si="8"/>
        <v>1.5180128683158969E-4</v>
      </c>
      <c r="H30" s="136" t="s">
        <v>65</v>
      </c>
      <c r="I30" s="136"/>
      <c r="J30" s="105"/>
      <c r="K30" s="274"/>
      <c r="L30" s="274"/>
    </row>
    <row r="31" spans="1:12" ht="13.5" x14ac:dyDescent="0.25">
      <c r="A31" s="131">
        <v>1</v>
      </c>
      <c r="B31" s="135" t="str">
        <f>IFERROR(VLOOKUP(H31,'[1]Consolidado MP Planta'!$A$2:$M$823,3,0),"")</f>
        <v>ETIQ.FECHA VENCIMIENTO VERDE (ROLLO)</v>
      </c>
      <c r="C31" s="132">
        <f t="shared" si="6"/>
        <v>1</v>
      </c>
      <c r="D31" s="133" t="str">
        <f>IFERROR(VLOOKUP(H31,'[1]Consolidado MP Planta'!$A$2:$M$823,13,0),"")</f>
        <v>Und</v>
      </c>
      <c r="E31" s="133">
        <f>IFERROR(VLOOKUP(H31,'[1]Consolidado MP Planta'!$A$2:$M$823,12,0),"")</f>
        <v>0.33333333333333331</v>
      </c>
      <c r="F31" s="133">
        <f t="shared" si="7"/>
        <v>0.33333333333333331</v>
      </c>
      <c r="G31" s="104">
        <f t="shared" si="8"/>
        <v>8.7242118868729708E-5</v>
      </c>
      <c r="H31" s="136" t="s">
        <v>97</v>
      </c>
      <c r="I31" s="136"/>
      <c r="J31" s="105"/>
      <c r="K31" s="137"/>
      <c r="L31" s="138"/>
    </row>
    <row r="32" spans="1:12" ht="13.5" x14ac:dyDescent="0.25">
      <c r="A32" s="131">
        <v>60</v>
      </c>
      <c r="B32" s="135" t="str">
        <f>IFERROR(VLOOKUP(H32,'[1]Consolidado MP Planta'!$A$2:$M$823,3,0),"")</f>
        <v>CINTA ADHESIVA TRANSPARENT 2*100 M (UND)</v>
      </c>
      <c r="C32" s="132">
        <f t="shared" si="6"/>
        <v>60</v>
      </c>
      <c r="D32" s="133" t="str">
        <f>IFERROR(VLOOKUP(H32,'[1]Consolidado MP Planta'!$A$2:$M$823,13,0),"")</f>
        <v>Cm</v>
      </c>
      <c r="E32" s="133">
        <f>IFERROR(VLOOKUP(H32,'[1]Consolidado MP Planta'!$A$2:$M$823,12,0),"")</f>
        <v>0.17499999999999999</v>
      </c>
      <c r="F32" s="133">
        <f t="shared" si="7"/>
        <v>10.5</v>
      </c>
      <c r="G32" s="104">
        <f t="shared" si="8"/>
        <v>2.7481267443649859E-3</v>
      </c>
      <c r="H32" s="136" t="s">
        <v>64</v>
      </c>
      <c r="I32" s="136"/>
      <c r="J32" s="105"/>
    </row>
    <row r="33" spans="1:13" ht="14.25" thickBot="1" x14ac:dyDescent="0.3">
      <c r="A33" s="131"/>
      <c r="B33" s="135"/>
      <c r="C33" s="132"/>
      <c r="D33" s="133"/>
      <c r="E33" s="133"/>
      <c r="F33" s="133"/>
      <c r="G33" s="104"/>
      <c r="H33" s="136"/>
      <c r="I33" s="136"/>
      <c r="J33" s="105"/>
    </row>
    <row r="34" spans="1:13" ht="39" thickBot="1" x14ac:dyDescent="0.25">
      <c r="A34" s="126" t="s">
        <v>132</v>
      </c>
      <c r="B34" s="127" t="s">
        <v>140</v>
      </c>
      <c r="C34" s="127" t="s">
        <v>132</v>
      </c>
      <c r="D34" s="128" t="s">
        <v>134</v>
      </c>
      <c r="E34" s="128" t="s">
        <v>135</v>
      </c>
      <c r="F34" s="128" t="s">
        <v>136</v>
      </c>
      <c r="G34" s="128" t="s">
        <v>137</v>
      </c>
      <c r="H34" s="129" t="s">
        <v>138</v>
      </c>
      <c r="I34" s="136"/>
      <c r="J34" s="105"/>
    </row>
    <row r="35" spans="1:13" ht="13.5" x14ac:dyDescent="0.25">
      <c r="A35" s="131">
        <f>+A17</f>
        <v>1</v>
      </c>
      <c r="B35" s="135" t="s">
        <v>95</v>
      </c>
      <c r="C35" s="132">
        <f>+A35</f>
        <v>1</v>
      </c>
      <c r="D35" s="133" t="s">
        <v>187</v>
      </c>
      <c r="E35" s="133">
        <f>+'Costo Rosquete '!H54</f>
        <v>22.887690232818507</v>
      </c>
      <c r="F35" s="133">
        <f>IFERROR(E35*C35,"")</f>
        <v>22.887690232818507</v>
      </c>
      <c r="G35" s="104">
        <f t="shared" ref="G35:G41" si="9">IFERROR(F35/$F$66,"")</f>
        <v>5.9903117757666487E-3</v>
      </c>
      <c r="H35" s="136" t="s">
        <v>179</v>
      </c>
      <c r="I35" s="136"/>
      <c r="J35" s="105"/>
    </row>
    <row r="36" spans="1:13" ht="13.5" x14ac:dyDescent="0.25">
      <c r="A36" s="131">
        <f t="shared" ref="A36:A41" si="10">+A18</f>
        <v>1</v>
      </c>
      <c r="B36" s="135" t="s">
        <v>96</v>
      </c>
      <c r="C36" s="132">
        <f t="shared" ref="C36:C41" si="11">+A36</f>
        <v>1</v>
      </c>
      <c r="D36" s="133" t="s">
        <v>187</v>
      </c>
      <c r="E36" s="133">
        <f>+'Costo Chesse Cake Dulce Leche '!H60</f>
        <v>3.0982905982905977E-3</v>
      </c>
      <c r="F36" s="133">
        <f t="shared" ref="F36:F41" si="12">IFERROR(E36*C36,"")</f>
        <v>3.0982905982905977E-3</v>
      </c>
      <c r="G36" s="104">
        <f t="shared" si="9"/>
        <v>8.109043099978081E-7</v>
      </c>
      <c r="H36" s="136" t="s">
        <v>179</v>
      </c>
      <c r="I36" s="136"/>
      <c r="J36" s="105"/>
    </row>
    <row r="37" spans="1:13" ht="13.5" x14ac:dyDescent="0.25">
      <c r="A37" s="131">
        <f t="shared" si="10"/>
        <v>240</v>
      </c>
      <c r="B37" s="135" t="s">
        <v>98</v>
      </c>
      <c r="C37" s="132">
        <f t="shared" si="11"/>
        <v>240</v>
      </c>
      <c r="D37" s="133" t="s">
        <v>178</v>
      </c>
      <c r="E37" s="133">
        <f>+[3]Hoja1!$M$17</f>
        <v>0</v>
      </c>
      <c r="F37" s="133">
        <f t="shared" si="12"/>
        <v>0</v>
      </c>
      <c r="G37" s="104">
        <f t="shared" si="9"/>
        <v>0</v>
      </c>
      <c r="H37" s="136" t="s">
        <v>179</v>
      </c>
      <c r="I37" s="136"/>
      <c r="J37" s="105"/>
    </row>
    <row r="38" spans="1:13" ht="13.5" x14ac:dyDescent="0.25">
      <c r="A38" s="131">
        <f t="shared" si="10"/>
        <v>70</v>
      </c>
      <c r="B38" s="135" t="s">
        <v>99</v>
      </c>
      <c r="C38" s="132">
        <f>+A38</f>
        <v>70</v>
      </c>
      <c r="D38" s="133" t="s">
        <v>178</v>
      </c>
      <c r="E38" s="133">
        <f>+'Costo Crema Vino tinto'!E76</f>
        <v>3.2584269662921345E-5</v>
      </c>
      <c r="F38" s="133">
        <f>IFERROR(E38*C38,"")</f>
        <v>2.2808988764044941E-3</v>
      </c>
      <c r="G38" s="104">
        <f t="shared" si="9"/>
        <v>5.9697135270849871E-7</v>
      </c>
      <c r="H38" s="136" t="s">
        <v>179</v>
      </c>
      <c r="I38" s="136"/>
      <c r="J38" s="105"/>
    </row>
    <row r="39" spans="1:13" ht="13.5" hidden="1" x14ac:dyDescent="0.25">
      <c r="A39" s="131">
        <f t="shared" si="10"/>
        <v>0</v>
      </c>
      <c r="B39" s="135" t="str">
        <f>IFERROR(VLOOKUP(H39,[1]SEMIELABORADOS!$A$2:$M$6000,2,0),"")</f>
        <v/>
      </c>
      <c r="C39" s="132">
        <f>+A39</f>
        <v>0</v>
      </c>
      <c r="D39" s="133" t="str">
        <f>IFERROR(VLOOKUP(H39,[1]SEMIELABORADOS!$A$2:$M$6000,6,0),"")</f>
        <v/>
      </c>
      <c r="E39" s="133" t="str">
        <f>IFERROR(VLOOKUP(H39,[1]SEMIELABORADOS!$A$2:$M$65536,10,0),"")</f>
        <v/>
      </c>
      <c r="F39" s="133" t="str">
        <f>IFERROR(E39*C39,"")</f>
        <v/>
      </c>
      <c r="G39" s="104" t="str">
        <f t="shared" si="9"/>
        <v/>
      </c>
      <c r="H39" s="136"/>
      <c r="I39" s="136"/>
      <c r="J39" s="105"/>
    </row>
    <row r="40" spans="1:13" ht="13.5" hidden="1" x14ac:dyDescent="0.25">
      <c r="A40" s="131">
        <f t="shared" si="10"/>
        <v>0</v>
      </c>
      <c r="B40" s="135" t="str">
        <f>IFERROR(VLOOKUP(H40,[1]SEMIELABORADOS!$A$2:$M$6000,2,0),"")</f>
        <v/>
      </c>
      <c r="C40" s="132">
        <f t="shared" si="11"/>
        <v>0</v>
      </c>
      <c r="D40" s="133" t="str">
        <f>IFERROR(VLOOKUP(H40,[1]SEMIELABORADOS!$A$2:$M$6000,6,0),"")</f>
        <v/>
      </c>
      <c r="E40" s="133" t="str">
        <f>IFERROR(VLOOKUP(H40,[1]SEMIELABORADOS!$A$2:$M$65536,10,0),"")</f>
        <v/>
      </c>
      <c r="F40" s="133" t="str">
        <f t="shared" si="12"/>
        <v/>
      </c>
      <c r="G40" s="104" t="str">
        <f t="shared" si="9"/>
        <v/>
      </c>
      <c r="H40" s="136"/>
      <c r="I40" s="136"/>
      <c r="J40" s="105"/>
    </row>
    <row r="41" spans="1:13" ht="13.5" hidden="1" x14ac:dyDescent="0.25">
      <c r="A41" s="131">
        <f t="shared" si="10"/>
        <v>0</v>
      </c>
      <c r="B41" s="135" t="str">
        <f>IFERROR(VLOOKUP(H41,[1]SEMIELABORADOS!$A$2:$M$6000,2,0),"")</f>
        <v/>
      </c>
      <c r="C41" s="132">
        <f t="shared" si="11"/>
        <v>0</v>
      </c>
      <c r="D41" s="133" t="str">
        <f>IFERROR(VLOOKUP(H41,[1]SEMIELABORADOS!$A$2:$M$6000,6,0),"")</f>
        <v/>
      </c>
      <c r="E41" s="133" t="str">
        <f>IFERROR(VLOOKUP(H41,[1]SEMIELABORADOS!$A$2:$M$65536,10,0),"")</f>
        <v/>
      </c>
      <c r="F41" s="133" t="str">
        <f t="shared" si="12"/>
        <v/>
      </c>
      <c r="G41" s="104" t="str">
        <f t="shared" si="9"/>
        <v/>
      </c>
      <c r="H41" s="136"/>
      <c r="I41" s="136"/>
      <c r="J41" s="105"/>
    </row>
    <row r="42" spans="1:13" ht="14.25" thickBot="1" x14ac:dyDescent="0.3">
      <c r="A42" s="131"/>
      <c r="B42" s="135"/>
      <c r="C42" s="132"/>
      <c r="D42" s="133"/>
      <c r="E42" s="133"/>
      <c r="F42" s="133"/>
      <c r="G42" s="104"/>
      <c r="H42" s="136"/>
      <c r="I42" s="136"/>
      <c r="J42" s="105"/>
    </row>
    <row r="43" spans="1:13" ht="39" thickBot="1" x14ac:dyDescent="0.3">
      <c r="A43" s="126" t="s">
        <v>132</v>
      </c>
      <c r="B43" s="127" t="s">
        <v>141</v>
      </c>
      <c r="C43" s="127" t="s">
        <v>132</v>
      </c>
      <c r="D43" s="128" t="s">
        <v>134</v>
      </c>
      <c r="E43" s="128" t="s">
        <v>135</v>
      </c>
      <c r="F43" s="128" t="s">
        <v>136</v>
      </c>
      <c r="G43" s="128" t="s">
        <v>137</v>
      </c>
      <c r="H43" s="129" t="s">
        <v>138</v>
      </c>
      <c r="I43" s="130"/>
      <c r="J43" s="105"/>
    </row>
    <row r="44" spans="1:13" ht="13.5" x14ac:dyDescent="0.25">
      <c r="A44" s="131">
        <f>+A35</f>
        <v>1</v>
      </c>
      <c r="B44" s="135" t="s">
        <v>95</v>
      </c>
      <c r="C44" s="132">
        <f>+A44</f>
        <v>1</v>
      </c>
      <c r="D44" s="133" t="s">
        <v>187</v>
      </c>
      <c r="E44" s="133">
        <f>+'Costo Rosquete '!H56</f>
        <v>74.884313903957846</v>
      </c>
      <c r="F44" s="133">
        <f>IFERROR(E44*C44,"")</f>
        <v>74.884313903957846</v>
      </c>
      <c r="G44" s="104">
        <f>IFERROR(F44/$F$66,"")</f>
        <v>1.9599198645037078E-2</v>
      </c>
      <c r="H44" s="136" t="s">
        <v>179</v>
      </c>
      <c r="I44" s="130"/>
      <c r="J44" s="105"/>
    </row>
    <row r="45" spans="1:13" ht="13.5" x14ac:dyDescent="0.25">
      <c r="A45" s="131">
        <f t="shared" ref="A45:A50" si="13">+A36</f>
        <v>1</v>
      </c>
      <c r="B45" s="135" t="s">
        <v>96</v>
      </c>
      <c r="C45" s="132">
        <f t="shared" ref="C45:C50" si="14">+A45</f>
        <v>1</v>
      </c>
      <c r="D45" s="133" t="s">
        <v>187</v>
      </c>
      <c r="E45" s="133">
        <f>+'Costo Chesse Cake Dulce Leche '!H62</f>
        <v>51.666666666666664</v>
      </c>
      <c r="F45" s="133">
        <f t="shared" ref="F45:F50" si="15">IFERROR(E45*C45,"")</f>
        <v>51.666666666666664</v>
      </c>
      <c r="G45" s="104">
        <f t="shared" ref="G45:G50" si="16">IFERROR(F45/$F$66,"")</f>
        <v>1.3522528424653105E-2</v>
      </c>
      <c r="H45" s="136" t="s">
        <v>179</v>
      </c>
      <c r="I45" s="130"/>
      <c r="J45" s="105"/>
      <c r="M45" s="139"/>
    </row>
    <row r="46" spans="1:13" ht="13.5" x14ac:dyDescent="0.25">
      <c r="A46" s="131">
        <f t="shared" si="13"/>
        <v>240</v>
      </c>
      <c r="B46" s="135" t="s">
        <v>98</v>
      </c>
      <c r="C46" s="132">
        <f t="shared" si="14"/>
        <v>240</v>
      </c>
      <c r="D46" s="133" t="s">
        <v>178</v>
      </c>
      <c r="E46" s="133" t="e">
        <f>+#REF!</f>
        <v>#REF!</v>
      </c>
      <c r="F46" s="133" t="str">
        <f t="shared" si="15"/>
        <v/>
      </c>
      <c r="G46" s="104" t="str">
        <f t="shared" si="16"/>
        <v/>
      </c>
      <c r="H46" s="136" t="s">
        <v>179</v>
      </c>
      <c r="I46" s="130"/>
      <c r="J46" s="105"/>
    </row>
    <row r="47" spans="1:13" ht="13.5" x14ac:dyDescent="0.25">
      <c r="A47" s="131">
        <f t="shared" si="13"/>
        <v>70</v>
      </c>
      <c r="B47" s="135" t="s">
        <v>99</v>
      </c>
      <c r="C47" s="132">
        <f t="shared" si="14"/>
        <v>70</v>
      </c>
      <c r="D47" s="133" t="s">
        <v>178</v>
      </c>
      <c r="E47" s="133">
        <f>+'Costo Crema Vino tinto'!E74</f>
        <v>3.2584269662921349E-2</v>
      </c>
      <c r="F47" s="133">
        <f t="shared" si="15"/>
        <v>2.2808988764044944</v>
      </c>
      <c r="G47" s="104">
        <f t="shared" si="16"/>
        <v>5.9697135270849887E-4</v>
      </c>
      <c r="H47" s="136" t="s">
        <v>179</v>
      </c>
      <c r="I47" s="130"/>
      <c r="J47" s="105"/>
    </row>
    <row r="48" spans="1:13" ht="13.5" hidden="1" x14ac:dyDescent="0.25">
      <c r="A48" s="131">
        <f t="shared" si="13"/>
        <v>0</v>
      </c>
      <c r="B48" s="135" t="str">
        <f>IFERROR(VLOOKUP(H48,[1]SEMIELABORADOS!$A$2:$M$6000,2,0),"")</f>
        <v/>
      </c>
      <c r="C48" s="132">
        <f t="shared" si="14"/>
        <v>0</v>
      </c>
      <c r="D48" s="133" t="str">
        <f>IFERROR(VLOOKUP(H48,[1]SEMIELABORADOS!$A$2:$M$6000,6,0),"")</f>
        <v/>
      </c>
      <c r="E48" s="133" t="str">
        <f>IFERROR(VLOOKUP(H48,[1]SEMIELABORADOS!$A$2:$M$65536,12,0),"")</f>
        <v/>
      </c>
      <c r="F48" s="133" t="str">
        <f t="shared" si="15"/>
        <v/>
      </c>
      <c r="G48" s="104" t="str">
        <f t="shared" si="16"/>
        <v/>
      </c>
      <c r="H48" s="136"/>
      <c r="I48" s="130"/>
      <c r="J48" s="105"/>
    </row>
    <row r="49" spans="1:17" ht="13.5" hidden="1" x14ac:dyDescent="0.25">
      <c r="A49" s="131">
        <f t="shared" si="13"/>
        <v>0</v>
      </c>
      <c r="B49" s="135" t="str">
        <f>IFERROR(VLOOKUP(H49,[1]SEMIELABORADOS!$A$2:$M$6000,2,0),"")</f>
        <v/>
      </c>
      <c r="C49" s="132">
        <f t="shared" si="14"/>
        <v>0</v>
      </c>
      <c r="D49" s="133" t="str">
        <f>IFERROR(VLOOKUP(H49,[1]SEMIELABORADOS!$A$2:$M$6000,6,0),"")</f>
        <v/>
      </c>
      <c r="E49" s="133" t="str">
        <f>IFERROR(VLOOKUP(H49,[1]SEMIELABORADOS!$A$2:$M$65536,12,0),"")</f>
        <v/>
      </c>
      <c r="F49" s="133" t="str">
        <f t="shared" si="15"/>
        <v/>
      </c>
      <c r="G49" s="104" t="str">
        <f t="shared" si="16"/>
        <v/>
      </c>
      <c r="H49" s="136"/>
      <c r="I49" s="130"/>
      <c r="J49" s="105"/>
    </row>
    <row r="50" spans="1:17" ht="13.5" hidden="1" x14ac:dyDescent="0.25">
      <c r="A50" s="131">
        <f t="shared" si="13"/>
        <v>0</v>
      </c>
      <c r="B50" s="135" t="str">
        <f>IFERROR(VLOOKUP(H50,[1]SEMIELABORADOS!$A$2:$M$6000,2,0),"")</f>
        <v/>
      </c>
      <c r="C50" s="132">
        <f t="shared" si="14"/>
        <v>0</v>
      </c>
      <c r="D50" s="133" t="str">
        <f>IFERROR(VLOOKUP(H50,[1]SEMIELABORADOS!$A$2:$M$6000,6,0),"")</f>
        <v/>
      </c>
      <c r="E50" s="133" t="str">
        <f>IFERROR(VLOOKUP(H50,[1]SEMIELABORADOS!$A$2:$M$65536,12,0),"")</f>
        <v/>
      </c>
      <c r="F50" s="133" t="str">
        <f t="shared" si="15"/>
        <v/>
      </c>
      <c r="G50" s="104" t="str">
        <f t="shared" si="16"/>
        <v/>
      </c>
      <c r="H50" s="135"/>
      <c r="I50" s="130"/>
      <c r="J50" s="105"/>
    </row>
    <row r="51" spans="1:17" ht="13.5" x14ac:dyDescent="0.25">
      <c r="A51" s="131">
        <v>1</v>
      </c>
      <c r="B51" s="135" t="s">
        <v>142</v>
      </c>
      <c r="C51" s="132">
        <f>+A51</f>
        <v>1</v>
      </c>
      <c r="D51" s="132" t="s">
        <v>143</v>
      </c>
      <c r="E51" s="133">
        <f>+F65</f>
        <v>406</v>
      </c>
      <c r="F51" s="133">
        <f>IFERROR(C51*E51,"")</f>
        <v>406</v>
      </c>
      <c r="G51" s="104">
        <f>IFERROR(F51/$F$66,"")</f>
        <v>0.1062609007821128</v>
      </c>
      <c r="H51" s="140"/>
      <c r="I51" s="140"/>
      <c r="J51" s="105"/>
    </row>
    <row r="52" spans="1:17" ht="14.25" thickBot="1" x14ac:dyDescent="0.3">
      <c r="A52" s="131"/>
      <c r="B52" s="135"/>
      <c r="C52" s="132"/>
      <c r="D52" s="132"/>
      <c r="E52" s="133"/>
      <c r="F52" s="133"/>
      <c r="G52" s="104"/>
      <c r="H52" s="140"/>
      <c r="I52" s="140"/>
      <c r="J52" s="105"/>
    </row>
    <row r="53" spans="1:17" ht="13.5" thickBot="1" x14ac:dyDescent="0.3">
      <c r="A53" s="141"/>
      <c r="B53" s="277" t="s">
        <v>144</v>
      </c>
      <c r="C53" s="277"/>
      <c r="D53" s="277"/>
      <c r="E53" s="277"/>
      <c r="F53" s="143">
        <f>SUM(F8:F14,F17:F24)</f>
        <v>2725.215757030252</v>
      </c>
      <c r="G53" s="104">
        <f>+F53/$F$66</f>
        <v>0.71326079105330542</v>
      </c>
      <c r="H53" s="144">
        <f>+F53/$D$60</f>
        <v>2725.215757030252</v>
      </c>
      <c r="I53" s="144"/>
      <c r="J53" s="110"/>
      <c r="K53" s="145"/>
      <c r="L53" s="145"/>
      <c r="M53" s="145"/>
      <c r="N53" s="145"/>
      <c r="O53" s="145"/>
      <c r="P53" s="145"/>
      <c r="Q53" s="146"/>
    </row>
    <row r="54" spans="1:17" x14ac:dyDescent="0.2">
      <c r="A54" s="141"/>
      <c r="B54" s="277" t="s">
        <v>145</v>
      </c>
      <c r="C54" s="277"/>
      <c r="D54" s="277"/>
      <c r="E54" s="277"/>
      <c r="F54" s="143">
        <f>SUM(F27:F32,F35:F41)</f>
        <v>635.06440275562659</v>
      </c>
      <c r="G54" s="104">
        <f>+F54/$F$66</f>
        <v>0.16621309234351564</v>
      </c>
      <c r="H54" s="144">
        <f>+F54/$D$60</f>
        <v>635.06440275562659</v>
      </c>
      <c r="I54" s="144"/>
      <c r="J54" s="147"/>
      <c r="K54" s="286" t="s">
        <v>146</v>
      </c>
      <c r="L54" s="287"/>
      <c r="M54" s="287"/>
      <c r="N54" s="287"/>
      <c r="O54" s="148">
        <f>+F55</f>
        <v>3360.2801597858788</v>
      </c>
      <c r="P54" s="148"/>
      <c r="Q54" s="149"/>
    </row>
    <row r="55" spans="1:17" x14ac:dyDescent="0.2">
      <c r="A55" s="141"/>
      <c r="B55" s="277" t="s">
        <v>147</v>
      </c>
      <c r="C55" s="277"/>
      <c r="D55" s="277"/>
      <c r="E55" s="277"/>
      <c r="F55" s="143">
        <f>+F53+F54</f>
        <v>3360.2801597858788</v>
      </c>
      <c r="G55" s="104">
        <f>+F55/$F$66</f>
        <v>0.8794738833968212</v>
      </c>
      <c r="H55" s="144">
        <f>+F55/$D$60</f>
        <v>3360.2801597858788</v>
      </c>
      <c r="I55" s="144"/>
      <c r="J55" s="111"/>
      <c r="K55" s="150"/>
      <c r="M55" s="151" t="s">
        <v>148</v>
      </c>
      <c r="N55" s="152"/>
      <c r="O55" s="148">
        <f>+H56</f>
        <v>534.831879447029</v>
      </c>
      <c r="P55" s="148"/>
      <c r="Q55" s="149"/>
    </row>
    <row r="56" spans="1:17" ht="13.5" thickBot="1" x14ac:dyDescent="0.25">
      <c r="A56" s="141"/>
      <c r="B56" s="142"/>
      <c r="C56" s="277" t="s">
        <v>149</v>
      </c>
      <c r="D56" s="277"/>
      <c r="E56" s="277"/>
      <c r="F56" s="143">
        <f>SUM(F44:F51)</f>
        <v>534.831879447029</v>
      </c>
      <c r="G56" s="104">
        <f>+F56/$F$66</f>
        <v>0.13997959920451147</v>
      </c>
      <c r="H56" s="144">
        <f>+F56/$D$60</f>
        <v>534.831879447029</v>
      </c>
      <c r="I56" s="144"/>
      <c r="J56" s="111"/>
      <c r="K56" s="150"/>
      <c r="L56" s="150"/>
      <c r="M56" s="150" t="s">
        <v>150</v>
      </c>
      <c r="N56" s="113"/>
      <c r="O56" s="148">
        <f>O54*N56</f>
        <v>0</v>
      </c>
      <c r="P56" s="148"/>
      <c r="Q56" s="149"/>
    </row>
    <row r="57" spans="1:17" ht="13.5" thickBot="1" x14ac:dyDescent="0.25">
      <c r="A57" s="141"/>
      <c r="B57" s="153"/>
      <c r="C57" s="153"/>
      <c r="D57" s="153"/>
      <c r="E57" s="153"/>
      <c r="F57" s="154"/>
      <c r="G57" s="104"/>
      <c r="H57" s="155"/>
      <c r="I57" s="144"/>
      <c r="J57" s="111"/>
      <c r="K57" s="156"/>
      <c r="M57" s="157" t="s">
        <v>151</v>
      </c>
      <c r="N57" s="158"/>
      <c r="O57" s="159">
        <f>SUM(O54:O56)</f>
        <v>3895.1120392329076</v>
      </c>
      <c r="P57" s="160"/>
      <c r="Q57" s="149"/>
    </row>
    <row r="58" spans="1:17" x14ac:dyDescent="0.2">
      <c r="B58" s="292" t="s">
        <v>152</v>
      </c>
      <c r="C58" s="292"/>
      <c r="D58" s="161">
        <v>1070</v>
      </c>
      <c r="E58" s="162"/>
      <c r="G58" s="104"/>
      <c r="H58" s="155"/>
      <c r="I58" s="163"/>
      <c r="J58" s="111"/>
      <c r="K58" s="156"/>
      <c r="L58" s="150"/>
      <c r="M58" s="150" t="s">
        <v>153</v>
      </c>
      <c r="N58" s="109">
        <v>0.16</v>
      </c>
      <c r="O58" s="148">
        <f>+O54*N58</f>
        <v>537.64482556574058</v>
      </c>
      <c r="P58" s="148"/>
      <c r="Q58" s="149"/>
    </row>
    <row r="59" spans="1:17" x14ac:dyDescent="0.2">
      <c r="B59" s="292" t="s">
        <v>154</v>
      </c>
      <c r="C59" s="292"/>
      <c r="D59" s="164">
        <v>1070</v>
      </c>
      <c r="E59" s="162"/>
      <c r="G59" s="104"/>
      <c r="H59" s="155"/>
      <c r="I59" s="163"/>
      <c r="J59" s="111"/>
      <c r="K59" s="156"/>
      <c r="L59" s="150"/>
      <c r="M59" s="285" t="s">
        <v>151</v>
      </c>
      <c r="N59" s="285"/>
      <c r="O59" s="148">
        <f>SUM(O57:O58)</f>
        <v>4432.7568647986482</v>
      </c>
      <c r="P59" s="148"/>
      <c r="Q59" s="149"/>
    </row>
    <row r="60" spans="1:17" ht="13.5" thickBot="1" x14ac:dyDescent="0.25">
      <c r="B60" s="283" t="s">
        <v>155</v>
      </c>
      <c r="C60" s="283"/>
      <c r="D60" s="161">
        <f>+D58/D59</f>
        <v>1</v>
      </c>
      <c r="E60" s="162"/>
      <c r="F60" s="165"/>
      <c r="G60" s="104"/>
      <c r="H60" s="155"/>
      <c r="I60" s="163"/>
      <c r="J60" s="111"/>
      <c r="K60" s="156"/>
      <c r="L60" s="285"/>
      <c r="M60" s="285"/>
      <c r="N60" s="109"/>
      <c r="O60" s="148">
        <f>+O59*N60</f>
        <v>0</v>
      </c>
      <c r="P60" s="148"/>
      <c r="Q60" s="149"/>
    </row>
    <row r="61" spans="1:17" ht="13.5" thickBot="1" x14ac:dyDescent="0.25">
      <c r="B61" s="283" t="s">
        <v>156</v>
      </c>
      <c r="C61" s="283"/>
      <c r="D61" s="166"/>
      <c r="E61" s="162"/>
      <c r="F61" s="165"/>
      <c r="G61" s="104"/>
      <c r="H61" s="155"/>
      <c r="I61" s="163"/>
      <c r="J61" s="111"/>
      <c r="K61" s="289" t="s">
        <v>157</v>
      </c>
      <c r="L61" s="290"/>
      <c r="M61" s="290"/>
      <c r="N61" s="291"/>
      <c r="O61" s="159">
        <f>SUM(O59:O60)</f>
        <v>4432.7568647986482</v>
      </c>
      <c r="P61" s="167" t="s">
        <v>158</v>
      </c>
      <c r="Q61" s="149"/>
    </row>
    <row r="62" spans="1:17" ht="13.5" thickBot="1" x14ac:dyDescent="0.25">
      <c r="C62" s="141" t="s">
        <v>159</v>
      </c>
      <c r="D62" s="168"/>
      <c r="E62" s="117" t="s">
        <v>160</v>
      </c>
      <c r="F62" s="169" t="s">
        <v>161</v>
      </c>
      <c r="G62" s="104"/>
      <c r="H62" s="155"/>
      <c r="I62" s="163"/>
      <c r="J62" s="170"/>
      <c r="K62" s="171"/>
      <c r="L62" s="278" t="s">
        <v>162</v>
      </c>
      <c r="M62" s="278"/>
      <c r="N62" s="278"/>
      <c r="O62" s="172">
        <f>+O61/D60</f>
        <v>4432.7568647986482</v>
      </c>
      <c r="P62" s="173">
        <f>+O62/D59</f>
        <v>4.1427634250454659</v>
      </c>
      <c r="Q62" s="174"/>
    </row>
    <row r="63" spans="1:17" ht="13.5" thickBot="1" x14ac:dyDescent="0.25">
      <c r="B63" s="284" t="s">
        <v>147</v>
      </c>
      <c r="C63" s="284"/>
      <c r="D63" s="284"/>
      <c r="E63" s="106">
        <f>+F63/F63</f>
        <v>1</v>
      </c>
      <c r="F63" s="175">
        <f>SUM(F55)</f>
        <v>3360.2801597858788</v>
      </c>
      <c r="G63" s="104">
        <f>+F63/$F$66</f>
        <v>0.8794738833968212</v>
      </c>
      <c r="H63" s="155"/>
      <c r="I63" s="163"/>
      <c r="K63" s="275"/>
      <c r="L63" s="276"/>
      <c r="M63" s="276"/>
      <c r="N63" s="276"/>
      <c r="O63" s="176"/>
      <c r="P63" s="177"/>
    </row>
    <row r="64" spans="1:17" ht="13.5" thickBot="1" x14ac:dyDescent="0.3">
      <c r="B64" s="293" t="s">
        <v>163</v>
      </c>
      <c r="C64" s="293"/>
      <c r="D64" s="293"/>
      <c r="E64" s="178">
        <v>0.02</v>
      </c>
      <c r="F64" s="175">
        <f>+F53*E64</f>
        <v>54.504315140605044</v>
      </c>
      <c r="G64" s="104">
        <f>+F64/$F$66</f>
        <v>1.426521582106611E-2</v>
      </c>
      <c r="H64" s="144"/>
      <c r="I64" s="163"/>
      <c r="J64" s="112"/>
      <c r="O64" s="179"/>
      <c r="P64" s="142"/>
    </row>
    <row r="65" spans="2:13" ht="13.5" thickBot="1" x14ac:dyDescent="0.3">
      <c r="B65" s="268" t="s">
        <v>164</v>
      </c>
      <c r="C65" s="269"/>
      <c r="D65" s="180">
        <v>7</v>
      </c>
      <c r="E65" s="181">
        <v>58</v>
      </c>
      <c r="F65" s="175">
        <f>+E65*D65</f>
        <v>406</v>
      </c>
      <c r="G65" s="104">
        <f>+F65/$F$66</f>
        <v>0.1062609007821128</v>
      </c>
      <c r="H65" s="144"/>
      <c r="I65" s="144"/>
      <c r="J65" s="105"/>
    </row>
    <row r="66" spans="2:13" ht="13.5" thickBot="1" x14ac:dyDescent="0.3">
      <c r="B66" s="265" t="s">
        <v>165</v>
      </c>
      <c r="C66" s="266"/>
      <c r="D66" s="266"/>
      <c r="E66" s="267"/>
      <c r="F66" s="154">
        <f>SUM(F63:F65)</f>
        <v>3820.7844749264837</v>
      </c>
      <c r="G66" s="104">
        <f>+F66/$F$66</f>
        <v>1</v>
      </c>
      <c r="H66" s="288"/>
      <c r="I66" s="144"/>
      <c r="J66" s="105"/>
      <c r="M66" s="119" t="s">
        <v>166</v>
      </c>
    </row>
    <row r="67" spans="2:13" x14ac:dyDescent="0.25">
      <c r="C67" s="139"/>
      <c r="D67" s="139"/>
      <c r="E67" s="183"/>
      <c r="F67" s="175"/>
      <c r="G67" s="104"/>
      <c r="H67" s="288"/>
      <c r="I67" s="182"/>
      <c r="J67" s="119"/>
      <c r="M67" s="119" t="s">
        <v>167</v>
      </c>
    </row>
    <row r="68" spans="2:13" ht="13.5" thickBot="1" x14ac:dyDescent="0.3">
      <c r="B68" s="264" t="s">
        <v>168</v>
      </c>
      <c r="C68" s="264"/>
      <c r="D68" s="264"/>
      <c r="E68" s="264"/>
      <c r="F68" s="264"/>
      <c r="G68" s="104"/>
      <c r="H68" s="185"/>
      <c r="I68" s="182"/>
      <c r="J68" s="119"/>
    </row>
    <row r="69" spans="2:13" ht="13.5" thickBot="1" x14ac:dyDescent="0.3">
      <c r="B69" s="186" t="s">
        <v>169</v>
      </c>
      <c r="C69" s="187">
        <f>+F53</f>
        <v>2725.215757030252</v>
      </c>
      <c r="D69" s="187">
        <f>+D58</f>
        <v>1070</v>
      </c>
      <c r="E69" s="188">
        <f>+C69/D69</f>
        <v>2.5469306140469645</v>
      </c>
      <c r="F69" s="104"/>
      <c r="G69" s="185"/>
      <c r="H69" s="105"/>
      <c r="I69" s="185"/>
      <c r="J69" s="119"/>
    </row>
    <row r="70" spans="2:13" x14ac:dyDescent="0.25">
      <c r="B70" s="189"/>
      <c r="C70" s="190"/>
      <c r="D70" s="191"/>
      <c r="E70" s="175"/>
      <c r="F70" s="104"/>
      <c r="G70" s="185"/>
      <c r="H70" s="105"/>
      <c r="I70" s="105"/>
      <c r="J70" s="119"/>
    </row>
    <row r="71" spans="2:13" x14ac:dyDescent="0.25">
      <c r="B71" s="186" t="s">
        <v>170</v>
      </c>
      <c r="C71" s="187">
        <f>SUM(F63:F64)</f>
        <v>3414.7844749264837</v>
      </c>
      <c r="D71" s="187">
        <f>+D58</f>
        <v>1070</v>
      </c>
      <c r="E71" s="192">
        <f>+C71/D71</f>
        <v>3.1913873597443772</v>
      </c>
      <c r="F71" s="104"/>
      <c r="G71" s="185"/>
      <c r="H71" s="105"/>
      <c r="I71" s="105"/>
      <c r="J71" s="119"/>
    </row>
    <row r="72" spans="2:13" x14ac:dyDescent="0.25">
      <c r="B72" s="186"/>
      <c r="C72" s="187"/>
      <c r="D72" s="187"/>
      <c r="E72" s="192"/>
      <c r="F72" s="104"/>
      <c r="G72" s="185"/>
      <c r="H72" s="105"/>
      <c r="I72" s="105"/>
      <c r="J72" s="119"/>
    </row>
    <row r="73" spans="2:13" ht="13.5" thickBot="1" x14ac:dyDescent="0.3">
      <c r="B73" s="186" t="s">
        <v>171</v>
      </c>
      <c r="C73" s="187">
        <f>+F65</f>
        <v>406</v>
      </c>
      <c r="D73" s="187">
        <f>+D58</f>
        <v>1070</v>
      </c>
      <c r="E73" s="192">
        <f>+C73/D73</f>
        <v>0.3794392523364486</v>
      </c>
      <c r="F73" s="104"/>
      <c r="G73" s="185"/>
      <c r="H73" s="105"/>
      <c r="I73" s="105"/>
      <c r="J73" s="119"/>
    </row>
    <row r="74" spans="2:13" ht="13.5" thickBot="1" x14ac:dyDescent="0.3">
      <c r="B74" s="186" t="s">
        <v>172</v>
      </c>
      <c r="C74" s="187">
        <f>+F56</f>
        <v>534.831879447029</v>
      </c>
      <c r="D74" s="187">
        <f>+D73</f>
        <v>1070</v>
      </c>
      <c r="E74" s="188">
        <f>+C74/D74</f>
        <v>0.49984287798787758</v>
      </c>
      <c r="F74" s="104"/>
      <c r="G74" s="185"/>
      <c r="H74" s="105"/>
      <c r="I74" s="105"/>
      <c r="J74" s="119"/>
    </row>
    <row r="75" spans="2:13" ht="13.5" thickBot="1" x14ac:dyDescent="0.3">
      <c r="B75" s="153"/>
      <c r="C75" s="154"/>
      <c r="D75" s="154"/>
      <c r="E75" s="192"/>
      <c r="F75" s="104"/>
      <c r="G75" s="185"/>
      <c r="H75" s="105"/>
      <c r="I75" s="105"/>
      <c r="J75" s="119"/>
    </row>
    <row r="76" spans="2:13" ht="13.5" thickBot="1" x14ac:dyDescent="0.3">
      <c r="B76" s="186" t="s">
        <v>173</v>
      </c>
      <c r="C76" s="187">
        <f>+F54</f>
        <v>635.06440275562659</v>
      </c>
      <c r="D76" s="187">
        <f>+D74</f>
        <v>1070</v>
      </c>
      <c r="E76" s="188">
        <f>+C76/D76</f>
        <v>0.59351813341647341</v>
      </c>
      <c r="F76" s="104"/>
      <c r="G76" s="185"/>
      <c r="H76" s="105"/>
      <c r="I76" s="105"/>
      <c r="J76" s="105"/>
    </row>
    <row r="77" spans="2:13" ht="13.5" thickBot="1" x14ac:dyDescent="0.3">
      <c r="B77" s="153"/>
      <c r="C77" s="154"/>
      <c r="D77" s="154"/>
      <c r="E77" s="192"/>
      <c r="F77" s="104"/>
      <c r="G77" s="185"/>
      <c r="H77" s="105"/>
      <c r="I77" s="105"/>
    </row>
    <row r="78" spans="2:13" ht="13.5" thickBot="1" x14ac:dyDescent="0.3">
      <c r="B78" s="270" t="s">
        <v>174</v>
      </c>
      <c r="C78" s="271"/>
      <c r="D78" s="272"/>
      <c r="E78" s="188">
        <f>+E69+E74</f>
        <v>3.0467734920348422</v>
      </c>
      <c r="G78" s="104"/>
      <c r="H78" s="185"/>
      <c r="I78" s="105"/>
      <c r="J78" s="192"/>
    </row>
    <row r="79" spans="2:13" x14ac:dyDescent="0.25">
      <c r="I79" s="185"/>
      <c r="J79" s="119"/>
    </row>
    <row r="80" spans="2:13" ht="13.5" thickBot="1" x14ac:dyDescent="0.3">
      <c r="B80" s="264" t="s">
        <v>175</v>
      </c>
      <c r="C80" s="264"/>
      <c r="D80" s="264"/>
      <c r="E80" s="264"/>
      <c r="F80" s="264"/>
      <c r="G80" s="104"/>
      <c r="H80" s="185"/>
      <c r="J80" s="119"/>
    </row>
    <row r="81" spans="1:10" ht="13.5" thickBot="1" x14ac:dyDescent="0.3">
      <c r="B81" s="186" t="s">
        <v>169</v>
      </c>
      <c r="C81" s="187">
        <f>+C69</f>
        <v>2725.215757030252</v>
      </c>
      <c r="D81" s="187">
        <f>+D60</f>
        <v>1</v>
      </c>
      <c r="E81" s="188">
        <f>+C81/D81</f>
        <v>2725.215757030252</v>
      </c>
      <c r="F81" s="104"/>
      <c r="G81" s="185"/>
      <c r="H81" s="105"/>
      <c r="I81" s="185"/>
      <c r="J81" s="119"/>
    </row>
    <row r="82" spans="1:10" x14ac:dyDescent="0.25">
      <c r="B82" s="189"/>
      <c r="C82" s="190"/>
      <c r="D82" s="191"/>
      <c r="E82" s="175"/>
      <c r="F82" s="104"/>
      <c r="G82" s="185"/>
      <c r="H82" s="105"/>
      <c r="I82" s="105"/>
      <c r="J82" s="119"/>
    </row>
    <row r="83" spans="1:10" x14ac:dyDescent="0.25">
      <c r="B83" s="186" t="s">
        <v>170</v>
      </c>
      <c r="C83" s="187">
        <f>+C71</f>
        <v>3414.7844749264837</v>
      </c>
      <c r="D83" s="187">
        <f>+D60</f>
        <v>1</v>
      </c>
      <c r="E83" s="192">
        <f>+C83/D83</f>
        <v>3414.7844749264837</v>
      </c>
      <c r="F83" s="104"/>
      <c r="G83" s="185"/>
      <c r="H83" s="105"/>
      <c r="I83" s="105"/>
      <c r="J83" s="119"/>
    </row>
    <row r="84" spans="1:10" x14ac:dyDescent="0.25">
      <c r="B84" s="186"/>
      <c r="C84" s="187"/>
      <c r="D84" s="187"/>
      <c r="E84" s="192"/>
      <c r="F84" s="104"/>
      <c r="G84" s="185"/>
      <c r="H84" s="105"/>
      <c r="I84" s="105"/>
      <c r="J84" s="119"/>
    </row>
    <row r="85" spans="1:10" ht="13.5" thickBot="1" x14ac:dyDescent="0.3">
      <c r="B85" s="186" t="s">
        <v>172</v>
      </c>
      <c r="C85" s="187">
        <f>+C73</f>
        <v>406</v>
      </c>
      <c r="D85" s="187">
        <f>+D60</f>
        <v>1</v>
      </c>
      <c r="E85" s="192">
        <f>+C85/D85</f>
        <v>406</v>
      </c>
      <c r="F85" s="193"/>
      <c r="G85" s="184"/>
      <c r="H85" s="118"/>
      <c r="I85" s="105"/>
    </row>
    <row r="86" spans="1:10" ht="13.5" thickBot="1" x14ac:dyDescent="0.3">
      <c r="B86" s="186" t="s">
        <v>172</v>
      </c>
      <c r="C86" s="187">
        <f>+C74</f>
        <v>534.831879447029</v>
      </c>
      <c r="D86" s="187">
        <f>+D85</f>
        <v>1</v>
      </c>
      <c r="E86" s="188">
        <f>+C86/D86</f>
        <v>534.831879447029</v>
      </c>
      <c r="F86" s="107"/>
      <c r="G86" s="184"/>
      <c r="H86" s="118"/>
      <c r="I86" s="118"/>
    </row>
    <row r="87" spans="1:10" x14ac:dyDescent="0.25">
      <c r="I87" s="118"/>
    </row>
    <row r="88" spans="1:10" x14ac:dyDescent="0.2">
      <c r="A88" s="263"/>
      <c r="B88" s="263"/>
      <c r="C88" s="194"/>
      <c r="D88" s="194"/>
      <c r="E88" s="195"/>
      <c r="G88" s="108"/>
    </row>
    <row r="89" spans="1:10" x14ac:dyDescent="0.2">
      <c r="A89" s="135"/>
      <c r="B89" s="196"/>
      <c r="C89" s="197"/>
      <c r="D89" s="197"/>
      <c r="E89" s="198"/>
      <c r="G89" s="108"/>
    </row>
    <row r="90" spans="1:10" x14ac:dyDescent="0.2">
      <c r="A90" s="135"/>
      <c r="B90" s="196"/>
      <c r="C90" s="199"/>
      <c r="D90" s="199"/>
      <c r="E90" s="135"/>
      <c r="G90" s="108"/>
    </row>
    <row r="91" spans="1:10" x14ac:dyDescent="0.2">
      <c r="A91" s="135"/>
      <c r="B91" s="196"/>
      <c r="C91" s="200"/>
      <c r="D91" s="200"/>
      <c r="E91" s="135"/>
      <c r="G91" s="108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944CB-2FF7-4410-AEB7-1259243250C3}">
  <dimension ref="A1:Q92"/>
  <sheetViews>
    <sheetView topLeftCell="A18" workbookViewId="0">
      <selection activeCell="H31" sqref="H31"/>
    </sheetView>
  </sheetViews>
  <sheetFormatPr baseColWidth="10" defaultColWidth="8.42578125" defaultRowHeight="12.75" x14ac:dyDescent="0.25"/>
  <cols>
    <col min="1" max="1" width="10" style="119" bestFit="1" customWidth="1"/>
    <col min="2" max="2" width="44.42578125" style="119" bestFit="1" customWidth="1"/>
    <col min="3" max="3" width="10.42578125" style="119" bestFit="1" customWidth="1"/>
    <col min="4" max="4" width="10.42578125" style="119" customWidth="1"/>
    <col min="5" max="6" width="9.5703125" style="119" bestFit="1" customWidth="1"/>
    <col min="7" max="7" width="9.5703125" style="107" bestFit="1" customWidth="1"/>
    <col min="8" max="8" width="10.42578125" style="184" bestFit="1" customWidth="1"/>
    <col min="9" max="9" width="4.5703125" style="184" customWidth="1"/>
    <col min="10" max="10" width="1.85546875" style="118" customWidth="1"/>
    <col min="11" max="11" width="7" style="119" bestFit="1" customWidth="1"/>
    <col min="12" max="12" width="6.42578125" style="119" customWidth="1"/>
    <col min="13" max="13" width="20.42578125" style="119" customWidth="1"/>
    <col min="14" max="14" width="6.42578125" style="119" bestFit="1" customWidth="1"/>
    <col min="15" max="16" width="8.42578125" style="119"/>
    <col min="17" max="17" width="3.42578125" style="119" customWidth="1"/>
    <col min="18" max="256" width="8.42578125" style="119"/>
    <col min="257" max="257" width="10" style="119" bestFit="1" customWidth="1"/>
    <col min="258" max="258" width="44.42578125" style="119" bestFit="1" customWidth="1"/>
    <col min="259" max="259" width="10.42578125" style="119" bestFit="1" customWidth="1"/>
    <col min="260" max="260" width="10.42578125" style="119" customWidth="1"/>
    <col min="261" max="263" width="9.5703125" style="119" bestFit="1" customWidth="1"/>
    <col min="264" max="264" width="10.42578125" style="119" bestFit="1" customWidth="1"/>
    <col min="265" max="265" width="4.5703125" style="119" customWidth="1"/>
    <col min="266" max="266" width="1.85546875" style="119" customWidth="1"/>
    <col min="267" max="267" width="7" style="119" bestFit="1" customWidth="1"/>
    <col min="268" max="268" width="6.42578125" style="119" customWidth="1"/>
    <col min="269" max="269" width="20.42578125" style="119" customWidth="1"/>
    <col min="270" max="270" width="6.42578125" style="119" bestFit="1" customWidth="1"/>
    <col min="271" max="272" width="8.42578125" style="119"/>
    <col min="273" max="273" width="3.42578125" style="119" customWidth="1"/>
    <col min="274" max="512" width="8.42578125" style="119"/>
    <col min="513" max="513" width="10" style="119" bestFit="1" customWidth="1"/>
    <col min="514" max="514" width="44.42578125" style="119" bestFit="1" customWidth="1"/>
    <col min="515" max="515" width="10.42578125" style="119" bestFit="1" customWidth="1"/>
    <col min="516" max="516" width="10.42578125" style="119" customWidth="1"/>
    <col min="517" max="519" width="9.5703125" style="119" bestFit="1" customWidth="1"/>
    <col min="520" max="520" width="10.42578125" style="119" bestFit="1" customWidth="1"/>
    <col min="521" max="521" width="4.5703125" style="119" customWidth="1"/>
    <col min="522" max="522" width="1.85546875" style="119" customWidth="1"/>
    <col min="523" max="523" width="7" style="119" bestFit="1" customWidth="1"/>
    <col min="524" max="524" width="6.42578125" style="119" customWidth="1"/>
    <col min="525" max="525" width="20.42578125" style="119" customWidth="1"/>
    <col min="526" max="526" width="6.42578125" style="119" bestFit="1" customWidth="1"/>
    <col min="527" max="528" width="8.42578125" style="119"/>
    <col min="529" max="529" width="3.42578125" style="119" customWidth="1"/>
    <col min="530" max="768" width="8.42578125" style="119"/>
    <col min="769" max="769" width="10" style="119" bestFit="1" customWidth="1"/>
    <col min="770" max="770" width="44.42578125" style="119" bestFit="1" customWidth="1"/>
    <col min="771" max="771" width="10.42578125" style="119" bestFit="1" customWidth="1"/>
    <col min="772" max="772" width="10.42578125" style="119" customWidth="1"/>
    <col min="773" max="775" width="9.5703125" style="119" bestFit="1" customWidth="1"/>
    <col min="776" max="776" width="10.42578125" style="119" bestFit="1" customWidth="1"/>
    <col min="777" max="777" width="4.5703125" style="119" customWidth="1"/>
    <col min="778" max="778" width="1.85546875" style="119" customWidth="1"/>
    <col min="779" max="779" width="7" style="119" bestFit="1" customWidth="1"/>
    <col min="780" max="780" width="6.42578125" style="119" customWidth="1"/>
    <col min="781" max="781" width="20.42578125" style="119" customWidth="1"/>
    <col min="782" max="782" width="6.42578125" style="119" bestFit="1" customWidth="1"/>
    <col min="783" max="784" width="8.42578125" style="119"/>
    <col min="785" max="785" width="3.42578125" style="119" customWidth="1"/>
    <col min="786" max="1024" width="8.42578125" style="119"/>
    <col min="1025" max="1025" width="10" style="119" bestFit="1" customWidth="1"/>
    <col min="1026" max="1026" width="44.42578125" style="119" bestFit="1" customWidth="1"/>
    <col min="1027" max="1027" width="10.42578125" style="119" bestFit="1" customWidth="1"/>
    <col min="1028" max="1028" width="10.42578125" style="119" customWidth="1"/>
    <col min="1029" max="1031" width="9.5703125" style="119" bestFit="1" customWidth="1"/>
    <col min="1032" max="1032" width="10.42578125" style="119" bestFit="1" customWidth="1"/>
    <col min="1033" max="1033" width="4.5703125" style="119" customWidth="1"/>
    <col min="1034" max="1034" width="1.85546875" style="119" customWidth="1"/>
    <col min="1035" max="1035" width="7" style="119" bestFit="1" customWidth="1"/>
    <col min="1036" max="1036" width="6.42578125" style="119" customWidth="1"/>
    <col min="1037" max="1037" width="20.42578125" style="119" customWidth="1"/>
    <col min="1038" max="1038" width="6.42578125" style="119" bestFit="1" customWidth="1"/>
    <col min="1039" max="1040" width="8.42578125" style="119"/>
    <col min="1041" max="1041" width="3.42578125" style="119" customWidth="1"/>
    <col min="1042" max="1280" width="8.42578125" style="119"/>
    <col min="1281" max="1281" width="10" style="119" bestFit="1" customWidth="1"/>
    <col min="1282" max="1282" width="44.42578125" style="119" bestFit="1" customWidth="1"/>
    <col min="1283" max="1283" width="10.42578125" style="119" bestFit="1" customWidth="1"/>
    <col min="1284" max="1284" width="10.42578125" style="119" customWidth="1"/>
    <col min="1285" max="1287" width="9.5703125" style="119" bestFit="1" customWidth="1"/>
    <col min="1288" max="1288" width="10.42578125" style="119" bestFit="1" customWidth="1"/>
    <col min="1289" max="1289" width="4.5703125" style="119" customWidth="1"/>
    <col min="1290" max="1290" width="1.85546875" style="119" customWidth="1"/>
    <col min="1291" max="1291" width="7" style="119" bestFit="1" customWidth="1"/>
    <col min="1292" max="1292" width="6.42578125" style="119" customWidth="1"/>
    <col min="1293" max="1293" width="20.42578125" style="119" customWidth="1"/>
    <col min="1294" max="1294" width="6.42578125" style="119" bestFit="1" customWidth="1"/>
    <col min="1295" max="1296" width="8.42578125" style="119"/>
    <col min="1297" max="1297" width="3.42578125" style="119" customWidth="1"/>
    <col min="1298" max="1536" width="8.42578125" style="119"/>
    <col min="1537" max="1537" width="10" style="119" bestFit="1" customWidth="1"/>
    <col min="1538" max="1538" width="44.42578125" style="119" bestFit="1" customWidth="1"/>
    <col min="1539" max="1539" width="10.42578125" style="119" bestFit="1" customWidth="1"/>
    <col min="1540" max="1540" width="10.42578125" style="119" customWidth="1"/>
    <col min="1541" max="1543" width="9.5703125" style="119" bestFit="1" customWidth="1"/>
    <col min="1544" max="1544" width="10.42578125" style="119" bestFit="1" customWidth="1"/>
    <col min="1545" max="1545" width="4.5703125" style="119" customWidth="1"/>
    <col min="1546" max="1546" width="1.85546875" style="119" customWidth="1"/>
    <col min="1547" max="1547" width="7" style="119" bestFit="1" customWidth="1"/>
    <col min="1548" max="1548" width="6.42578125" style="119" customWidth="1"/>
    <col min="1549" max="1549" width="20.42578125" style="119" customWidth="1"/>
    <col min="1550" max="1550" width="6.42578125" style="119" bestFit="1" customWidth="1"/>
    <col min="1551" max="1552" width="8.42578125" style="119"/>
    <col min="1553" max="1553" width="3.42578125" style="119" customWidth="1"/>
    <col min="1554" max="1792" width="8.42578125" style="119"/>
    <col min="1793" max="1793" width="10" style="119" bestFit="1" customWidth="1"/>
    <col min="1794" max="1794" width="44.42578125" style="119" bestFit="1" customWidth="1"/>
    <col min="1795" max="1795" width="10.42578125" style="119" bestFit="1" customWidth="1"/>
    <col min="1796" max="1796" width="10.42578125" style="119" customWidth="1"/>
    <col min="1797" max="1799" width="9.5703125" style="119" bestFit="1" customWidth="1"/>
    <col min="1800" max="1800" width="10.42578125" style="119" bestFit="1" customWidth="1"/>
    <col min="1801" max="1801" width="4.5703125" style="119" customWidth="1"/>
    <col min="1802" max="1802" width="1.85546875" style="119" customWidth="1"/>
    <col min="1803" max="1803" width="7" style="119" bestFit="1" customWidth="1"/>
    <col min="1804" max="1804" width="6.42578125" style="119" customWidth="1"/>
    <col min="1805" max="1805" width="20.42578125" style="119" customWidth="1"/>
    <col min="1806" max="1806" width="6.42578125" style="119" bestFit="1" customWidth="1"/>
    <col min="1807" max="1808" width="8.42578125" style="119"/>
    <col min="1809" max="1809" width="3.42578125" style="119" customWidth="1"/>
    <col min="1810" max="2048" width="8.42578125" style="119"/>
    <col min="2049" max="2049" width="10" style="119" bestFit="1" customWidth="1"/>
    <col min="2050" max="2050" width="44.42578125" style="119" bestFit="1" customWidth="1"/>
    <col min="2051" max="2051" width="10.42578125" style="119" bestFit="1" customWidth="1"/>
    <col min="2052" max="2052" width="10.42578125" style="119" customWidth="1"/>
    <col min="2053" max="2055" width="9.5703125" style="119" bestFit="1" customWidth="1"/>
    <col min="2056" max="2056" width="10.42578125" style="119" bestFit="1" customWidth="1"/>
    <col min="2057" max="2057" width="4.5703125" style="119" customWidth="1"/>
    <col min="2058" max="2058" width="1.85546875" style="119" customWidth="1"/>
    <col min="2059" max="2059" width="7" style="119" bestFit="1" customWidth="1"/>
    <col min="2060" max="2060" width="6.42578125" style="119" customWidth="1"/>
    <col min="2061" max="2061" width="20.42578125" style="119" customWidth="1"/>
    <col min="2062" max="2062" width="6.42578125" style="119" bestFit="1" customWidth="1"/>
    <col min="2063" max="2064" width="8.42578125" style="119"/>
    <col min="2065" max="2065" width="3.42578125" style="119" customWidth="1"/>
    <col min="2066" max="2304" width="8.42578125" style="119"/>
    <col min="2305" max="2305" width="10" style="119" bestFit="1" customWidth="1"/>
    <col min="2306" max="2306" width="44.42578125" style="119" bestFit="1" customWidth="1"/>
    <col min="2307" max="2307" width="10.42578125" style="119" bestFit="1" customWidth="1"/>
    <col min="2308" max="2308" width="10.42578125" style="119" customWidth="1"/>
    <col min="2309" max="2311" width="9.5703125" style="119" bestFit="1" customWidth="1"/>
    <col min="2312" max="2312" width="10.42578125" style="119" bestFit="1" customWidth="1"/>
    <col min="2313" max="2313" width="4.5703125" style="119" customWidth="1"/>
    <col min="2314" max="2314" width="1.85546875" style="119" customWidth="1"/>
    <col min="2315" max="2315" width="7" style="119" bestFit="1" customWidth="1"/>
    <col min="2316" max="2316" width="6.42578125" style="119" customWidth="1"/>
    <col min="2317" max="2317" width="20.42578125" style="119" customWidth="1"/>
    <col min="2318" max="2318" width="6.42578125" style="119" bestFit="1" customWidth="1"/>
    <col min="2319" max="2320" width="8.42578125" style="119"/>
    <col min="2321" max="2321" width="3.42578125" style="119" customWidth="1"/>
    <col min="2322" max="2560" width="8.42578125" style="119"/>
    <col min="2561" max="2561" width="10" style="119" bestFit="1" customWidth="1"/>
    <col min="2562" max="2562" width="44.42578125" style="119" bestFit="1" customWidth="1"/>
    <col min="2563" max="2563" width="10.42578125" style="119" bestFit="1" customWidth="1"/>
    <col min="2564" max="2564" width="10.42578125" style="119" customWidth="1"/>
    <col min="2565" max="2567" width="9.5703125" style="119" bestFit="1" customWidth="1"/>
    <col min="2568" max="2568" width="10.42578125" style="119" bestFit="1" customWidth="1"/>
    <col min="2569" max="2569" width="4.5703125" style="119" customWidth="1"/>
    <col min="2570" max="2570" width="1.85546875" style="119" customWidth="1"/>
    <col min="2571" max="2571" width="7" style="119" bestFit="1" customWidth="1"/>
    <col min="2572" max="2572" width="6.42578125" style="119" customWidth="1"/>
    <col min="2573" max="2573" width="20.42578125" style="119" customWidth="1"/>
    <col min="2574" max="2574" width="6.42578125" style="119" bestFit="1" customWidth="1"/>
    <col min="2575" max="2576" width="8.42578125" style="119"/>
    <col min="2577" max="2577" width="3.42578125" style="119" customWidth="1"/>
    <col min="2578" max="2816" width="8.42578125" style="119"/>
    <col min="2817" max="2817" width="10" style="119" bestFit="1" customWidth="1"/>
    <col min="2818" max="2818" width="44.42578125" style="119" bestFit="1" customWidth="1"/>
    <col min="2819" max="2819" width="10.42578125" style="119" bestFit="1" customWidth="1"/>
    <col min="2820" max="2820" width="10.42578125" style="119" customWidth="1"/>
    <col min="2821" max="2823" width="9.5703125" style="119" bestFit="1" customWidth="1"/>
    <col min="2824" max="2824" width="10.42578125" style="119" bestFit="1" customWidth="1"/>
    <col min="2825" max="2825" width="4.5703125" style="119" customWidth="1"/>
    <col min="2826" max="2826" width="1.85546875" style="119" customWidth="1"/>
    <col min="2827" max="2827" width="7" style="119" bestFit="1" customWidth="1"/>
    <col min="2828" max="2828" width="6.42578125" style="119" customWidth="1"/>
    <col min="2829" max="2829" width="20.42578125" style="119" customWidth="1"/>
    <col min="2830" max="2830" width="6.42578125" style="119" bestFit="1" customWidth="1"/>
    <col min="2831" max="2832" width="8.42578125" style="119"/>
    <col min="2833" max="2833" width="3.42578125" style="119" customWidth="1"/>
    <col min="2834" max="3072" width="8.42578125" style="119"/>
    <col min="3073" max="3073" width="10" style="119" bestFit="1" customWidth="1"/>
    <col min="3074" max="3074" width="44.42578125" style="119" bestFit="1" customWidth="1"/>
    <col min="3075" max="3075" width="10.42578125" style="119" bestFit="1" customWidth="1"/>
    <col min="3076" max="3076" width="10.42578125" style="119" customWidth="1"/>
    <col min="3077" max="3079" width="9.5703125" style="119" bestFit="1" customWidth="1"/>
    <col min="3080" max="3080" width="10.42578125" style="119" bestFit="1" customWidth="1"/>
    <col min="3081" max="3081" width="4.5703125" style="119" customWidth="1"/>
    <col min="3082" max="3082" width="1.85546875" style="119" customWidth="1"/>
    <col min="3083" max="3083" width="7" style="119" bestFit="1" customWidth="1"/>
    <col min="3084" max="3084" width="6.42578125" style="119" customWidth="1"/>
    <col min="3085" max="3085" width="20.42578125" style="119" customWidth="1"/>
    <col min="3086" max="3086" width="6.42578125" style="119" bestFit="1" customWidth="1"/>
    <col min="3087" max="3088" width="8.42578125" style="119"/>
    <col min="3089" max="3089" width="3.42578125" style="119" customWidth="1"/>
    <col min="3090" max="3328" width="8.42578125" style="119"/>
    <col min="3329" max="3329" width="10" style="119" bestFit="1" customWidth="1"/>
    <col min="3330" max="3330" width="44.42578125" style="119" bestFit="1" customWidth="1"/>
    <col min="3331" max="3331" width="10.42578125" style="119" bestFit="1" customWidth="1"/>
    <col min="3332" max="3332" width="10.42578125" style="119" customWidth="1"/>
    <col min="3333" max="3335" width="9.5703125" style="119" bestFit="1" customWidth="1"/>
    <col min="3336" max="3336" width="10.42578125" style="119" bestFit="1" customWidth="1"/>
    <col min="3337" max="3337" width="4.5703125" style="119" customWidth="1"/>
    <col min="3338" max="3338" width="1.85546875" style="119" customWidth="1"/>
    <col min="3339" max="3339" width="7" style="119" bestFit="1" customWidth="1"/>
    <col min="3340" max="3340" width="6.42578125" style="119" customWidth="1"/>
    <col min="3341" max="3341" width="20.42578125" style="119" customWidth="1"/>
    <col min="3342" max="3342" width="6.42578125" style="119" bestFit="1" customWidth="1"/>
    <col min="3343" max="3344" width="8.42578125" style="119"/>
    <col min="3345" max="3345" width="3.42578125" style="119" customWidth="1"/>
    <col min="3346" max="3584" width="8.42578125" style="119"/>
    <col min="3585" max="3585" width="10" style="119" bestFit="1" customWidth="1"/>
    <col min="3586" max="3586" width="44.42578125" style="119" bestFit="1" customWidth="1"/>
    <col min="3587" max="3587" width="10.42578125" style="119" bestFit="1" customWidth="1"/>
    <col min="3588" max="3588" width="10.42578125" style="119" customWidth="1"/>
    <col min="3589" max="3591" width="9.5703125" style="119" bestFit="1" customWidth="1"/>
    <col min="3592" max="3592" width="10.42578125" style="119" bestFit="1" customWidth="1"/>
    <col min="3593" max="3593" width="4.5703125" style="119" customWidth="1"/>
    <col min="3594" max="3594" width="1.85546875" style="119" customWidth="1"/>
    <col min="3595" max="3595" width="7" style="119" bestFit="1" customWidth="1"/>
    <col min="3596" max="3596" width="6.42578125" style="119" customWidth="1"/>
    <col min="3597" max="3597" width="20.42578125" style="119" customWidth="1"/>
    <col min="3598" max="3598" width="6.42578125" style="119" bestFit="1" customWidth="1"/>
    <col min="3599" max="3600" width="8.42578125" style="119"/>
    <col min="3601" max="3601" width="3.42578125" style="119" customWidth="1"/>
    <col min="3602" max="3840" width="8.42578125" style="119"/>
    <col min="3841" max="3841" width="10" style="119" bestFit="1" customWidth="1"/>
    <col min="3842" max="3842" width="44.42578125" style="119" bestFit="1" customWidth="1"/>
    <col min="3843" max="3843" width="10.42578125" style="119" bestFit="1" customWidth="1"/>
    <col min="3844" max="3844" width="10.42578125" style="119" customWidth="1"/>
    <col min="3845" max="3847" width="9.5703125" style="119" bestFit="1" customWidth="1"/>
    <col min="3848" max="3848" width="10.42578125" style="119" bestFit="1" customWidth="1"/>
    <col min="3849" max="3849" width="4.5703125" style="119" customWidth="1"/>
    <col min="3850" max="3850" width="1.85546875" style="119" customWidth="1"/>
    <col min="3851" max="3851" width="7" style="119" bestFit="1" customWidth="1"/>
    <col min="3852" max="3852" width="6.42578125" style="119" customWidth="1"/>
    <col min="3853" max="3853" width="20.42578125" style="119" customWidth="1"/>
    <col min="3854" max="3854" width="6.42578125" style="119" bestFit="1" customWidth="1"/>
    <col min="3855" max="3856" width="8.42578125" style="119"/>
    <col min="3857" max="3857" width="3.42578125" style="119" customWidth="1"/>
    <col min="3858" max="4096" width="8.42578125" style="119"/>
    <col min="4097" max="4097" width="10" style="119" bestFit="1" customWidth="1"/>
    <col min="4098" max="4098" width="44.42578125" style="119" bestFit="1" customWidth="1"/>
    <col min="4099" max="4099" width="10.42578125" style="119" bestFit="1" customWidth="1"/>
    <col min="4100" max="4100" width="10.42578125" style="119" customWidth="1"/>
    <col min="4101" max="4103" width="9.5703125" style="119" bestFit="1" customWidth="1"/>
    <col min="4104" max="4104" width="10.42578125" style="119" bestFit="1" customWidth="1"/>
    <col min="4105" max="4105" width="4.5703125" style="119" customWidth="1"/>
    <col min="4106" max="4106" width="1.85546875" style="119" customWidth="1"/>
    <col min="4107" max="4107" width="7" style="119" bestFit="1" customWidth="1"/>
    <col min="4108" max="4108" width="6.42578125" style="119" customWidth="1"/>
    <col min="4109" max="4109" width="20.42578125" style="119" customWidth="1"/>
    <col min="4110" max="4110" width="6.42578125" style="119" bestFit="1" customWidth="1"/>
    <col min="4111" max="4112" width="8.42578125" style="119"/>
    <col min="4113" max="4113" width="3.42578125" style="119" customWidth="1"/>
    <col min="4114" max="4352" width="8.42578125" style="119"/>
    <col min="4353" max="4353" width="10" style="119" bestFit="1" customWidth="1"/>
    <col min="4354" max="4354" width="44.42578125" style="119" bestFit="1" customWidth="1"/>
    <col min="4355" max="4355" width="10.42578125" style="119" bestFit="1" customWidth="1"/>
    <col min="4356" max="4356" width="10.42578125" style="119" customWidth="1"/>
    <col min="4357" max="4359" width="9.5703125" style="119" bestFit="1" customWidth="1"/>
    <col min="4360" max="4360" width="10.42578125" style="119" bestFit="1" customWidth="1"/>
    <col min="4361" max="4361" width="4.5703125" style="119" customWidth="1"/>
    <col min="4362" max="4362" width="1.85546875" style="119" customWidth="1"/>
    <col min="4363" max="4363" width="7" style="119" bestFit="1" customWidth="1"/>
    <col min="4364" max="4364" width="6.42578125" style="119" customWidth="1"/>
    <col min="4365" max="4365" width="20.42578125" style="119" customWidth="1"/>
    <col min="4366" max="4366" width="6.42578125" style="119" bestFit="1" customWidth="1"/>
    <col min="4367" max="4368" width="8.42578125" style="119"/>
    <col min="4369" max="4369" width="3.42578125" style="119" customWidth="1"/>
    <col min="4370" max="4608" width="8.42578125" style="119"/>
    <col min="4609" max="4609" width="10" style="119" bestFit="1" customWidth="1"/>
    <col min="4610" max="4610" width="44.42578125" style="119" bestFit="1" customWidth="1"/>
    <col min="4611" max="4611" width="10.42578125" style="119" bestFit="1" customWidth="1"/>
    <col min="4612" max="4612" width="10.42578125" style="119" customWidth="1"/>
    <col min="4613" max="4615" width="9.5703125" style="119" bestFit="1" customWidth="1"/>
    <col min="4616" max="4616" width="10.42578125" style="119" bestFit="1" customWidth="1"/>
    <col min="4617" max="4617" width="4.5703125" style="119" customWidth="1"/>
    <col min="4618" max="4618" width="1.85546875" style="119" customWidth="1"/>
    <col min="4619" max="4619" width="7" style="119" bestFit="1" customWidth="1"/>
    <col min="4620" max="4620" width="6.42578125" style="119" customWidth="1"/>
    <col min="4621" max="4621" width="20.42578125" style="119" customWidth="1"/>
    <col min="4622" max="4622" width="6.42578125" style="119" bestFit="1" customWidth="1"/>
    <col min="4623" max="4624" width="8.42578125" style="119"/>
    <col min="4625" max="4625" width="3.42578125" style="119" customWidth="1"/>
    <col min="4626" max="4864" width="8.42578125" style="119"/>
    <col min="4865" max="4865" width="10" style="119" bestFit="1" customWidth="1"/>
    <col min="4866" max="4866" width="44.42578125" style="119" bestFit="1" customWidth="1"/>
    <col min="4867" max="4867" width="10.42578125" style="119" bestFit="1" customWidth="1"/>
    <col min="4868" max="4868" width="10.42578125" style="119" customWidth="1"/>
    <col min="4869" max="4871" width="9.5703125" style="119" bestFit="1" customWidth="1"/>
    <col min="4872" max="4872" width="10.42578125" style="119" bestFit="1" customWidth="1"/>
    <col min="4873" max="4873" width="4.5703125" style="119" customWidth="1"/>
    <col min="4874" max="4874" width="1.85546875" style="119" customWidth="1"/>
    <col min="4875" max="4875" width="7" style="119" bestFit="1" customWidth="1"/>
    <col min="4876" max="4876" width="6.42578125" style="119" customWidth="1"/>
    <col min="4877" max="4877" width="20.42578125" style="119" customWidth="1"/>
    <col min="4878" max="4878" width="6.42578125" style="119" bestFit="1" customWidth="1"/>
    <col min="4879" max="4880" width="8.42578125" style="119"/>
    <col min="4881" max="4881" width="3.42578125" style="119" customWidth="1"/>
    <col min="4882" max="5120" width="8.42578125" style="119"/>
    <col min="5121" max="5121" width="10" style="119" bestFit="1" customWidth="1"/>
    <col min="5122" max="5122" width="44.42578125" style="119" bestFit="1" customWidth="1"/>
    <col min="5123" max="5123" width="10.42578125" style="119" bestFit="1" customWidth="1"/>
    <col min="5124" max="5124" width="10.42578125" style="119" customWidth="1"/>
    <col min="5125" max="5127" width="9.5703125" style="119" bestFit="1" customWidth="1"/>
    <col min="5128" max="5128" width="10.42578125" style="119" bestFit="1" customWidth="1"/>
    <col min="5129" max="5129" width="4.5703125" style="119" customWidth="1"/>
    <col min="5130" max="5130" width="1.85546875" style="119" customWidth="1"/>
    <col min="5131" max="5131" width="7" style="119" bestFit="1" customWidth="1"/>
    <col min="5132" max="5132" width="6.42578125" style="119" customWidth="1"/>
    <col min="5133" max="5133" width="20.42578125" style="119" customWidth="1"/>
    <col min="5134" max="5134" width="6.42578125" style="119" bestFit="1" customWidth="1"/>
    <col min="5135" max="5136" width="8.42578125" style="119"/>
    <col min="5137" max="5137" width="3.42578125" style="119" customWidth="1"/>
    <col min="5138" max="5376" width="8.42578125" style="119"/>
    <col min="5377" max="5377" width="10" style="119" bestFit="1" customWidth="1"/>
    <col min="5378" max="5378" width="44.42578125" style="119" bestFit="1" customWidth="1"/>
    <col min="5379" max="5379" width="10.42578125" style="119" bestFit="1" customWidth="1"/>
    <col min="5380" max="5380" width="10.42578125" style="119" customWidth="1"/>
    <col min="5381" max="5383" width="9.5703125" style="119" bestFit="1" customWidth="1"/>
    <col min="5384" max="5384" width="10.42578125" style="119" bestFit="1" customWidth="1"/>
    <col min="5385" max="5385" width="4.5703125" style="119" customWidth="1"/>
    <col min="5386" max="5386" width="1.85546875" style="119" customWidth="1"/>
    <col min="5387" max="5387" width="7" style="119" bestFit="1" customWidth="1"/>
    <col min="5388" max="5388" width="6.42578125" style="119" customWidth="1"/>
    <col min="5389" max="5389" width="20.42578125" style="119" customWidth="1"/>
    <col min="5390" max="5390" width="6.42578125" style="119" bestFit="1" customWidth="1"/>
    <col min="5391" max="5392" width="8.42578125" style="119"/>
    <col min="5393" max="5393" width="3.42578125" style="119" customWidth="1"/>
    <col min="5394" max="5632" width="8.42578125" style="119"/>
    <col min="5633" max="5633" width="10" style="119" bestFit="1" customWidth="1"/>
    <col min="5634" max="5634" width="44.42578125" style="119" bestFit="1" customWidth="1"/>
    <col min="5635" max="5635" width="10.42578125" style="119" bestFit="1" customWidth="1"/>
    <col min="5636" max="5636" width="10.42578125" style="119" customWidth="1"/>
    <col min="5637" max="5639" width="9.5703125" style="119" bestFit="1" customWidth="1"/>
    <col min="5640" max="5640" width="10.42578125" style="119" bestFit="1" customWidth="1"/>
    <col min="5641" max="5641" width="4.5703125" style="119" customWidth="1"/>
    <col min="5642" max="5642" width="1.85546875" style="119" customWidth="1"/>
    <col min="5643" max="5643" width="7" style="119" bestFit="1" customWidth="1"/>
    <col min="5644" max="5644" width="6.42578125" style="119" customWidth="1"/>
    <col min="5645" max="5645" width="20.42578125" style="119" customWidth="1"/>
    <col min="5646" max="5646" width="6.42578125" style="119" bestFit="1" customWidth="1"/>
    <col min="5647" max="5648" width="8.42578125" style="119"/>
    <col min="5649" max="5649" width="3.42578125" style="119" customWidth="1"/>
    <col min="5650" max="5888" width="8.42578125" style="119"/>
    <col min="5889" max="5889" width="10" style="119" bestFit="1" customWidth="1"/>
    <col min="5890" max="5890" width="44.42578125" style="119" bestFit="1" customWidth="1"/>
    <col min="5891" max="5891" width="10.42578125" style="119" bestFit="1" customWidth="1"/>
    <col min="5892" max="5892" width="10.42578125" style="119" customWidth="1"/>
    <col min="5893" max="5895" width="9.5703125" style="119" bestFit="1" customWidth="1"/>
    <col min="5896" max="5896" width="10.42578125" style="119" bestFit="1" customWidth="1"/>
    <col min="5897" max="5897" width="4.5703125" style="119" customWidth="1"/>
    <col min="5898" max="5898" width="1.85546875" style="119" customWidth="1"/>
    <col min="5899" max="5899" width="7" style="119" bestFit="1" customWidth="1"/>
    <col min="5900" max="5900" width="6.42578125" style="119" customWidth="1"/>
    <col min="5901" max="5901" width="20.42578125" style="119" customWidth="1"/>
    <col min="5902" max="5902" width="6.42578125" style="119" bestFit="1" customWidth="1"/>
    <col min="5903" max="5904" width="8.42578125" style="119"/>
    <col min="5905" max="5905" width="3.42578125" style="119" customWidth="1"/>
    <col min="5906" max="6144" width="8.42578125" style="119"/>
    <col min="6145" max="6145" width="10" style="119" bestFit="1" customWidth="1"/>
    <col min="6146" max="6146" width="44.42578125" style="119" bestFit="1" customWidth="1"/>
    <col min="6147" max="6147" width="10.42578125" style="119" bestFit="1" customWidth="1"/>
    <col min="6148" max="6148" width="10.42578125" style="119" customWidth="1"/>
    <col min="6149" max="6151" width="9.5703125" style="119" bestFit="1" customWidth="1"/>
    <col min="6152" max="6152" width="10.42578125" style="119" bestFit="1" customWidth="1"/>
    <col min="6153" max="6153" width="4.5703125" style="119" customWidth="1"/>
    <col min="6154" max="6154" width="1.85546875" style="119" customWidth="1"/>
    <col min="6155" max="6155" width="7" style="119" bestFit="1" customWidth="1"/>
    <col min="6156" max="6156" width="6.42578125" style="119" customWidth="1"/>
    <col min="6157" max="6157" width="20.42578125" style="119" customWidth="1"/>
    <col min="6158" max="6158" width="6.42578125" style="119" bestFit="1" customWidth="1"/>
    <col min="6159" max="6160" width="8.42578125" style="119"/>
    <col min="6161" max="6161" width="3.42578125" style="119" customWidth="1"/>
    <col min="6162" max="6400" width="8.42578125" style="119"/>
    <col min="6401" max="6401" width="10" style="119" bestFit="1" customWidth="1"/>
    <col min="6402" max="6402" width="44.42578125" style="119" bestFit="1" customWidth="1"/>
    <col min="6403" max="6403" width="10.42578125" style="119" bestFit="1" customWidth="1"/>
    <col min="6404" max="6404" width="10.42578125" style="119" customWidth="1"/>
    <col min="6405" max="6407" width="9.5703125" style="119" bestFit="1" customWidth="1"/>
    <col min="6408" max="6408" width="10.42578125" style="119" bestFit="1" customWidth="1"/>
    <col min="6409" max="6409" width="4.5703125" style="119" customWidth="1"/>
    <col min="6410" max="6410" width="1.85546875" style="119" customWidth="1"/>
    <col min="6411" max="6411" width="7" style="119" bestFit="1" customWidth="1"/>
    <col min="6412" max="6412" width="6.42578125" style="119" customWidth="1"/>
    <col min="6413" max="6413" width="20.42578125" style="119" customWidth="1"/>
    <col min="6414" max="6414" width="6.42578125" style="119" bestFit="1" customWidth="1"/>
    <col min="6415" max="6416" width="8.42578125" style="119"/>
    <col min="6417" max="6417" width="3.42578125" style="119" customWidth="1"/>
    <col min="6418" max="6656" width="8.42578125" style="119"/>
    <col min="6657" max="6657" width="10" style="119" bestFit="1" customWidth="1"/>
    <col min="6658" max="6658" width="44.42578125" style="119" bestFit="1" customWidth="1"/>
    <col min="6659" max="6659" width="10.42578125" style="119" bestFit="1" customWidth="1"/>
    <col min="6660" max="6660" width="10.42578125" style="119" customWidth="1"/>
    <col min="6661" max="6663" width="9.5703125" style="119" bestFit="1" customWidth="1"/>
    <col min="6664" max="6664" width="10.42578125" style="119" bestFit="1" customWidth="1"/>
    <col min="6665" max="6665" width="4.5703125" style="119" customWidth="1"/>
    <col min="6666" max="6666" width="1.85546875" style="119" customWidth="1"/>
    <col min="6667" max="6667" width="7" style="119" bestFit="1" customWidth="1"/>
    <col min="6668" max="6668" width="6.42578125" style="119" customWidth="1"/>
    <col min="6669" max="6669" width="20.42578125" style="119" customWidth="1"/>
    <col min="6670" max="6670" width="6.42578125" style="119" bestFit="1" customWidth="1"/>
    <col min="6671" max="6672" width="8.42578125" style="119"/>
    <col min="6673" max="6673" width="3.42578125" style="119" customWidth="1"/>
    <col min="6674" max="6912" width="8.42578125" style="119"/>
    <col min="6913" max="6913" width="10" style="119" bestFit="1" customWidth="1"/>
    <col min="6914" max="6914" width="44.42578125" style="119" bestFit="1" customWidth="1"/>
    <col min="6915" max="6915" width="10.42578125" style="119" bestFit="1" customWidth="1"/>
    <col min="6916" max="6916" width="10.42578125" style="119" customWidth="1"/>
    <col min="6917" max="6919" width="9.5703125" style="119" bestFit="1" customWidth="1"/>
    <col min="6920" max="6920" width="10.42578125" style="119" bestFit="1" customWidth="1"/>
    <col min="6921" max="6921" width="4.5703125" style="119" customWidth="1"/>
    <col min="6922" max="6922" width="1.85546875" style="119" customWidth="1"/>
    <col min="6923" max="6923" width="7" style="119" bestFit="1" customWidth="1"/>
    <col min="6924" max="6924" width="6.42578125" style="119" customWidth="1"/>
    <col min="6925" max="6925" width="20.42578125" style="119" customWidth="1"/>
    <col min="6926" max="6926" width="6.42578125" style="119" bestFit="1" customWidth="1"/>
    <col min="6927" max="6928" width="8.42578125" style="119"/>
    <col min="6929" max="6929" width="3.42578125" style="119" customWidth="1"/>
    <col min="6930" max="7168" width="8.42578125" style="119"/>
    <col min="7169" max="7169" width="10" style="119" bestFit="1" customWidth="1"/>
    <col min="7170" max="7170" width="44.42578125" style="119" bestFit="1" customWidth="1"/>
    <col min="7171" max="7171" width="10.42578125" style="119" bestFit="1" customWidth="1"/>
    <col min="7172" max="7172" width="10.42578125" style="119" customWidth="1"/>
    <col min="7173" max="7175" width="9.5703125" style="119" bestFit="1" customWidth="1"/>
    <col min="7176" max="7176" width="10.42578125" style="119" bestFit="1" customWidth="1"/>
    <col min="7177" max="7177" width="4.5703125" style="119" customWidth="1"/>
    <col min="7178" max="7178" width="1.85546875" style="119" customWidth="1"/>
    <col min="7179" max="7179" width="7" style="119" bestFit="1" customWidth="1"/>
    <col min="7180" max="7180" width="6.42578125" style="119" customWidth="1"/>
    <col min="7181" max="7181" width="20.42578125" style="119" customWidth="1"/>
    <col min="7182" max="7182" width="6.42578125" style="119" bestFit="1" customWidth="1"/>
    <col min="7183" max="7184" width="8.42578125" style="119"/>
    <col min="7185" max="7185" width="3.42578125" style="119" customWidth="1"/>
    <col min="7186" max="7424" width="8.42578125" style="119"/>
    <col min="7425" max="7425" width="10" style="119" bestFit="1" customWidth="1"/>
    <col min="7426" max="7426" width="44.42578125" style="119" bestFit="1" customWidth="1"/>
    <col min="7427" max="7427" width="10.42578125" style="119" bestFit="1" customWidth="1"/>
    <col min="7428" max="7428" width="10.42578125" style="119" customWidth="1"/>
    <col min="7429" max="7431" width="9.5703125" style="119" bestFit="1" customWidth="1"/>
    <col min="7432" max="7432" width="10.42578125" style="119" bestFit="1" customWidth="1"/>
    <col min="7433" max="7433" width="4.5703125" style="119" customWidth="1"/>
    <col min="7434" max="7434" width="1.85546875" style="119" customWidth="1"/>
    <col min="7435" max="7435" width="7" style="119" bestFit="1" customWidth="1"/>
    <col min="7436" max="7436" width="6.42578125" style="119" customWidth="1"/>
    <col min="7437" max="7437" width="20.42578125" style="119" customWidth="1"/>
    <col min="7438" max="7438" width="6.42578125" style="119" bestFit="1" customWidth="1"/>
    <col min="7439" max="7440" width="8.42578125" style="119"/>
    <col min="7441" max="7441" width="3.42578125" style="119" customWidth="1"/>
    <col min="7442" max="7680" width="8.42578125" style="119"/>
    <col min="7681" max="7681" width="10" style="119" bestFit="1" customWidth="1"/>
    <col min="7682" max="7682" width="44.42578125" style="119" bestFit="1" customWidth="1"/>
    <col min="7683" max="7683" width="10.42578125" style="119" bestFit="1" customWidth="1"/>
    <col min="7684" max="7684" width="10.42578125" style="119" customWidth="1"/>
    <col min="7685" max="7687" width="9.5703125" style="119" bestFit="1" customWidth="1"/>
    <col min="7688" max="7688" width="10.42578125" style="119" bestFit="1" customWidth="1"/>
    <col min="7689" max="7689" width="4.5703125" style="119" customWidth="1"/>
    <col min="7690" max="7690" width="1.85546875" style="119" customWidth="1"/>
    <col min="7691" max="7691" width="7" style="119" bestFit="1" customWidth="1"/>
    <col min="7692" max="7692" width="6.42578125" style="119" customWidth="1"/>
    <col min="7693" max="7693" width="20.42578125" style="119" customWidth="1"/>
    <col min="7694" max="7694" width="6.42578125" style="119" bestFit="1" customWidth="1"/>
    <col min="7695" max="7696" width="8.42578125" style="119"/>
    <col min="7697" max="7697" width="3.42578125" style="119" customWidth="1"/>
    <col min="7698" max="7936" width="8.42578125" style="119"/>
    <col min="7937" max="7937" width="10" style="119" bestFit="1" customWidth="1"/>
    <col min="7938" max="7938" width="44.42578125" style="119" bestFit="1" customWidth="1"/>
    <col min="7939" max="7939" width="10.42578125" style="119" bestFit="1" customWidth="1"/>
    <col min="7940" max="7940" width="10.42578125" style="119" customWidth="1"/>
    <col min="7941" max="7943" width="9.5703125" style="119" bestFit="1" customWidth="1"/>
    <col min="7944" max="7944" width="10.42578125" style="119" bestFit="1" customWidth="1"/>
    <col min="7945" max="7945" width="4.5703125" style="119" customWidth="1"/>
    <col min="7946" max="7946" width="1.85546875" style="119" customWidth="1"/>
    <col min="7947" max="7947" width="7" style="119" bestFit="1" customWidth="1"/>
    <col min="7948" max="7948" width="6.42578125" style="119" customWidth="1"/>
    <col min="7949" max="7949" width="20.42578125" style="119" customWidth="1"/>
    <col min="7950" max="7950" width="6.42578125" style="119" bestFit="1" customWidth="1"/>
    <col min="7951" max="7952" width="8.42578125" style="119"/>
    <col min="7953" max="7953" width="3.42578125" style="119" customWidth="1"/>
    <col min="7954" max="8192" width="8.42578125" style="119"/>
    <col min="8193" max="8193" width="10" style="119" bestFit="1" customWidth="1"/>
    <col min="8194" max="8194" width="44.42578125" style="119" bestFit="1" customWidth="1"/>
    <col min="8195" max="8195" width="10.42578125" style="119" bestFit="1" customWidth="1"/>
    <col min="8196" max="8196" width="10.42578125" style="119" customWidth="1"/>
    <col min="8197" max="8199" width="9.5703125" style="119" bestFit="1" customWidth="1"/>
    <col min="8200" max="8200" width="10.42578125" style="119" bestFit="1" customWidth="1"/>
    <col min="8201" max="8201" width="4.5703125" style="119" customWidth="1"/>
    <col min="8202" max="8202" width="1.85546875" style="119" customWidth="1"/>
    <col min="8203" max="8203" width="7" style="119" bestFit="1" customWidth="1"/>
    <col min="8204" max="8204" width="6.42578125" style="119" customWidth="1"/>
    <col min="8205" max="8205" width="20.42578125" style="119" customWidth="1"/>
    <col min="8206" max="8206" width="6.42578125" style="119" bestFit="1" customWidth="1"/>
    <col min="8207" max="8208" width="8.42578125" style="119"/>
    <col min="8209" max="8209" width="3.42578125" style="119" customWidth="1"/>
    <col min="8210" max="8448" width="8.42578125" style="119"/>
    <col min="8449" max="8449" width="10" style="119" bestFit="1" customWidth="1"/>
    <col min="8450" max="8450" width="44.42578125" style="119" bestFit="1" customWidth="1"/>
    <col min="8451" max="8451" width="10.42578125" style="119" bestFit="1" customWidth="1"/>
    <col min="8452" max="8452" width="10.42578125" style="119" customWidth="1"/>
    <col min="8453" max="8455" width="9.5703125" style="119" bestFit="1" customWidth="1"/>
    <col min="8456" max="8456" width="10.42578125" style="119" bestFit="1" customWidth="1"/>
    <col min="8457" max="8457" width="4.5703125" style="119" customWidth="1"/>
    <col min="8458" max="8458" width="1.85546875" style="119" customWidth="1"/>
    <col min="8459" max="8459" width="7" style="119" bestFit="1" customWidth="1"/>
    <col min="8460" max="8460" width="6.42578125" style="119" customWidth="1"/>
    <col min="8461" max="8461" width="20.42578125" style="119" customWidth="1"/>
    <col min="8462" max="8462" width="6.42578125" style="119" bestFit="1" customWidth="1"/>
    <col min="8463" max="8464" width="8.42578125" style="119"/>
    <col min="8465" max="8465" width="3.42578125" style="119" customWidth="1"/>
    <col min="8466" max="8704" width="8.42578125" style="119"/>
    <col min="8705" max="8705" width="10" style="119" bestFit="1" customWidth="1"/>
    <col min="8706" max="8706" width="44.42578125" style="119" bestFit="1" customWidth="1"/>
    <col min="8707" max="8707" width="10.42578125" style="119" bestFit="1" customWidth="1"/>
    <col min="8708" max="8708" width="10.42578125" style="119" customWidth="1"/>
    <col min="8709" max="8711" width="9.5703125" style="119" bestFit="1" customWidth="1"/>
    <col min="8712" max="8712" width="10.42578125" style="119" bestFit="1" customWidth="1"/>
    <col min="8713" max="8713" width="4.5703125" style="119" customWidth="1"/>
    <col min="8714" max="8714" width="1.85546875" style="119" customWidth="1"/>
    <col min="8715" max="8715" width="7" style="119" bestFit="1" customWidth="1"/>
    <col min="8716" max="8716" width="6.42578125" style="119" customWidth="1"/>
    <col min="8717" max="8717" width="20.42578125" style="119" customWidth="1"/>
    <col min="8718" max="8718" width="6.42578125" style="119" bestFit="1" customWidth="1"/>
    <col min="8719" max="8720" width="8.42578125" style="119"/>
    <col min="8721" max="8721" width="3.42578125" style="119" customWidth="1"/>
    <col min="8722" max="8960" width="8.42578125" style="119"/>
    <col min="8961" max="8961" width="10" style="119" bestFit="1" customWidth="1"/>
    <col min="8962" max="8962" width="44.42578125" style="119" bestFit="1" customWidth="1"/>
    <col min="8963" max="8963" width="10.42578125" style="119" bestFit="1" customWidth="1"/>
    <col min="8964" max="8964" width="10.42578125" style="119" customWidth="1"/>
    <col min="8965" max="8967" width="9.5703125" style="119" bestFit="1" customWidth="1"/>
    <col min="8968" max="8968" width="10.42578125" style="119" bestFit="1" customWidth="1"/>
    <col min="8969" max="8969" width="4.5703125" style="119" customWidth="1"/>
    <col min="8970" max="8970" width="1.85546875" style="119" customWidth="1"/>
    <col min="8971" max="8971" width="7" style="119" bestFit="1" customWidth="1"/>
    <col min="8972" max="8972" width="6.42578125" style="119" customWidth="1"/>
    <col min="8973" max="8973" width="20.42578125" style="119" customWidth="1"/>
    <col min="8974" max="8974" width="6.42578125" style="119" bestFit="1" customWidth="1"/>
    <col min="8975" max="8976" width="8.42578125" style="119"/>
    <col min="8977" max="8977" width="3.42578125" style="119" customWidth="1"/>
    <col min="8978" max="9216" width="8.42578125" style="119"/>
    <col min="9217" max="9217" width="10" style="119" bestFit="1" customWidth="1"/>
    <col min="9218" max="9218" width="44.42578125" style="119" bestFit="1" customWidth="1"/>
    <col min="9219" max="9219" width="10.42578125" style="119" bestFit="1" customWidth="1"/>
    <col min="9220" max="9220" width="10.42578125" style="119" customWidth="1"/>
    <col min="9221" max="9223" width="9.5703125" style="119" bestFit="1" customWidth="1"/>
    <col min="9224" max="9224" width="10.42578125" style="119" bestFit="1" customWidth="1"/>
    <col min="9225" max="9225" width="4.5703125" style="119" customWidth="1"/>
    <col min="9226" max="9226" width="1.85546875" style="119" customWidth="1"/>
    <col min="9227" max="9227" width="7" style="119" bestFit="1" customWidth="1"/>
    <col min="9228" max="9228" width="6.42578125" style="119" customWidth="1"/>
    <col min="9229" max="9229" width="20.42578125" style="119" customWidth="1"/>
    <col min="9230" max="9230" width="6.42578125" style="119" bestFit="1" customWidth="1"/>
    <col min="9231" max="9232" width="8.42578125" style="119"/>
    <col min="9233" max="9233" width="3.42578125" style="119" customWidth="1"/>
    <col min="9234" max="9472" width="8.42578125" style="119"/>
    <col min="9473" max="9473" width="10" style="119" bestFit="1" customWidth="1"/>
    <col min="9474" max="9474" width="44.42578125" style="119" bestFit="1" customWidth="1"/>
    <col min="9475" max="9475" width="10.42578125" style="119" bestFit="1" customWidth="1"/>
    <col min="9476" max="9476" width="10.42578125" style="119" customWidth="1"/>
    <col min="9477" max="9479" width="9.5703125" style="119" bestFit="1" customWidth="1"/>
    <col min="9480" max="9480" width="10.42578125" style="119" bestFit="1" customWidth="1"/>
    <col min="9481" max="9481" width="4.5703125" style="119" customWidth="1"/>
    <col min="9482" max="9482" width="1.85546875" style="119" customWidth="1"/>
    <col min="9483" max="9483" width="7" style="119" bestFit="1" customWidth="1"/>
    <col min="9484" max="9484" width="6.42578125" style="119" customWidth="1"/>
    <col min="9485" max="9485" width="20.42578125" style="119" customWidth="1"/>
    <col min="9486" max="9486" width="6.42578125" style="119" bestFit="1" customWidth="1"/>
    <col min="9487" max="9488" width="8.42578125" style="119"/>
    <col min="9489" max="9489" width="3.42578125" style="119" customWidth="1"/>
    <col min="9490" max="9728" width="8.42578125" style="119"/>
    <col min="9729" max="9729" width="10" style="119" bestFit="1" customWidth="1"/>
    <col min="9730" max="9730" width="44.42578125" style="119" bestFit="1" customWidth="1"/>
    <col min="9731" max="9731" width="10.42578125" style="119" bestFit="1" customWidth="1"/>
    <col min="9732" max="9732" width="10.42578125" style="119" customWidth="1"/>
    <col min="9733" max="9735" width="9.5703125" style="119" bestFit="1" customWidth="1"/>
    <col min="9736" max="9736" width="10.42578125" style="119" bestFit="1" customWidth="1"/>
    <col min="9737" max="9737" width="4.5703125" style="119" customWidth="1"/>
    <col min="9738" max="9738" width="1.85546875" style="119" customWidth="1"/>
    <col min="9739" max="9739" width="7" style="119" bestFit="1" customWidth="1"/>
    <col min="9740" max="9740" width="6.42578125" style="119" customWidth="1"/>
    <col min="9741" max="9741" width="20.42578125" style="119" customWidth="1"/>
    <col min="9742" max="9742" width="6.42578125" style="119" bestFit="1" customWidth="1"/>
    <col min="9743" max="9744" width="8.42578125" style="119"/>
    <col min="9745" max="9745" width="3.42578125" style="119" customWidth="1"/>
    <col min="9746" max="9984" width="8.42578125" style="119"/>
    <col min="9985" max="9985" width="10" style="119" bestFit="1" customWidth="1"/>
    <col min="9986" max="9986" width="44.42578125" style="119" bestFit="1" customWidth="1"/>
    <col min="9987" max="9987" width="10.42578125" style="119" bestFit="1" customWidth="1"/>
    <col min="9988" max="9988" width="10.42578125" style="119" customWidth="1"/>
    <col min="9989" max="9991" width="9.5703125" style="119" bestFit="1" customWidth="1"/>
    <col min="9992" max="9992" width="10.42578125" style="119" bestFit="1" customWidth="1"/>
    <col min="9993" max="9993" width="4.5703125" style="119" customWidth="1"/>
    <col min="9994" max="9994" width="1.85546875" style="119" customWidth="1"/>
    <col min="9995" max="9995" width="7" style="119" bestFit="1" customWidth="1"/>
    <col min="9996" max="9996" width="6.42578125" style="119" customWidth="1"/>
    <col min="9997" max="9997" width="20.42578125" style="119" customWidth="1"/>
    <col min="9998" max="9998" width="6.42578125" style="119" bestFit="1" customWidth="1"/>
    <col min="9999" max="10000" width="8.42578125" style="119"/>
    <col min="10001" max="10001" width="3.42578125" style="119" customWidth="1"/>
    <col min="10002" max="10240" width="8.42578125" style="119"/>
    <col min="10241" max="10241" width="10" style="119" bestFit="1" customWidth="1"/>
    <col min="10242" max="10242" width="44.42578125" style="119" bestFit="1" customWidth="1"/>
    <col min="10243" max="10243" width="10.42578125" style="119" bestFit="1" customWidth="1"/>
    <col min="10244" max="10244" width="10.42578125" style="119" customWidth="1"/>
    <col min="10245" max="10247" width="9.5703125" style="119" bestFit="1" customWidth="1"/>
    <col min="10248" max="10248" width="10.42578125" style="119" bestFit="1" customWidth="1"/>
    <col min="10249" max="10249" width="4.5703125" style="119" customWidth="1"/>
    <col min="10250" max="10250" width="1.85546875" style="119" customWidth="1"/>
    <col min="10251" max="10251" width="7" style="119" bestFit="1" customWidth="1"/>
    <col min="10252" max="10252" width="6.42578125" style="119" customWidth="1"/>
    <col min="10253" max="10253" width="20.42578125" style="119" customWidth="1"/>
    <col min="10254" max="10254" width="6.42578125" style="119" bestFit="1" customWidth="1"/>
    <col min="10255" max="10256" width="8.42578125" style="119"/>
    <col min="10257" max="10257" width="3.42578125" style="119" customWidth="1"/>
    <col min="10258" max="10496" width="8.42578125" style="119"/>
    <col min="10497" max="10497" width="10" style="119" bestFit="1" customWidth="1"/>
    <col min="10498" max="10498" width="44.42578125" style="119" bestFit="1" customWidth="1"/>
    <col min="10499" max="10499" width="10.42578125" style="119" bestFit="1" customWidth="1"/>
    <col min="10500" max="10500" width="10.42578125" style="119" customWidth="1"/>
    <col min="10501" max="10503" width="9.5703125" style="119" bestFit="1" customWidth="1"/>
    <col min="10504" max="10504" width="10.42578125" style="119" bestFit="1" customWidth="1"/>
    <col min="10505" max="10505" width="4.5703125" style="119" customWidth="1"/>
    <col min="10506" max="10506" width="1.85546875" style="119" customWidth="1"/>
    <col min="10507" max="10507" width="7" style="119" bestFit="1" customWidth="1"/>
    <col min="10508" max="10508" width="6.42578125" style="119" customWidth="1"/>
    <col min="10509" max="10509" width="20.42578125" style="119" customWidth="1"/>
    <col min="10510" max="10510" width="6.42578125" style="119" bestFit="1" customWidth="1"/>
    <col min="10511" max="10512" width="8.42578125" style="119"/>
    <col min="10513" max="10513" width="3.42578125" style="119" customWidth="1"/>
    <col min="10514" max="10752" width="8.42578125" style="119"/>
    <col min="10753" max="10753" width="10" style="119" bestFit="1" customWidth="1"/>
    <col min="10754" max="10754" width="44.42578125" style="119" bestFit="1" customWidth="1"/>
    <col min="10755" max="10755" width="10.42578125" style="119" bestFit="1" customWidth="1"/>
    <col min="10756" max="10756" width="10.42578125" style="119" customWidth="1"/>
    <col min="10757" max="10759" width="9.5703125" style="119" bestFit="1" customWidth="1"/>
    <col min="10760" max="10760" width="10.42578125" style="119" bestFit="1" customWidth="1"/>
    <col min="10761" max="10761" width="4.5703125" style="119" customWidth="1"/>
    <col min="10762" max="10762" width="1.85546875" style="119" customWidth="1"/>
    <col min="10763" max="10763" width="7" style="119" bestFit="1" customWidth="1"/>
    <col min="10764" max="10764" width="6.42578125" style="119" customWidth="1"/>
    <col min="10765" max="10765" width="20.42578125" style="119" customWidth="1"/>
    <col min="10766" max="10766" width="6.42578125" style="119" bestFit="1" customWidth="1"/>
    <col min="10767" max="10768" width="8.42578125" style="119"/>
    <col min="10769" max="10769" width="3.42578125" style="119" customWidth="1"/>
    <col min="10770" max="11008" width="8.42578125" style="119"/>
    <col min="11009" max="11009" width="10" style="119" bestFit="1" customWidth="1"/>
    <col min="11010" max="11010" width="44.42578125" style="119" bestFit="1" customWidth="1"/>
    <col min="11011" max="11011" width="10.42578125" style="119" bestFit="1" customWidth="1"/>
    <col min="11012" max="11012" width="10.42578125" style="119" customWidth="1"/>
    <col min="11013" max="11015" width="9.5703125" style="119" bestFit="1" customWidth="1"/>
    <col min="11016" max="11016" width="10.42578125" style="119" bestFit="1" customWidth="1"/>
    <col min="11017" max="11017" width="4.5703125" style="119" customWidth="1"/>
    <col min="11018" max="11018" width="1.85546875" style="119" customWidth="1"/>
    <col min="11019" max="11019" width="7" style="119" bestFit="1" customWidth="1"/>
    <col min="11020" max="11020" width="6.42578125" style="119" customWidth="1"/>
    <col min="11021" max="11021" width="20.42578125" style="119" customWidth="1"/>
    <col min="11022" max="11022" width="6.42578125" style="119" bestFit="1" customWidth="1"/>
    <col min="11023" max="11024" width="8.42578125" style="119"/>
    <col min="11025" max="11025" width="3.42578125" style="119" customWidth="1"/>
    <col min="11026" max="11264" width="8.42578125" style="119"/>
    <col min="11265" max="11265" width="10" style="119" bestFit="1" customWidth="1"/>
    <col min="11266" max="11266" width="44.42578125" style="119" bestFit="1" customWidth="1"/>
    <col min="11267" max="11267" width="10.42578125" style="119" bestFit="1" customWidth="1"/>
    <col min="11268" max="11268" width="10.42578125" style="119" customWidth="1"/>
    <col min="11269" max="11271" width="9.5703125" style="119" bestFit="1" customWidth="1"/>
    <col min="11272" max="11272" width="10.42578125" style="119" bestFit="1" customWidth="1"/>
    <col min="11273" max="11273" width="4.5703125" style="119" customWidth="1"/>
    <col min="11274" max="11274" width="1.85546875" style="119" customWidth="1"/>
    <col min="11275" max="11275" width="7" style="119" bestFit="1" customWidth="1"/>
    <col min="11276" max="11276" width="6.42578125" style="119" customWidth="1"/>
    <col min="11277" max="11277" width="20.42578125" style="119" customWidth="1"/>
    <col min="11278" max="11278" width="6.42578125" style="119" bestFit="1" customWidth="1"/>
    <col min="11279" max="11280" width="8.42578125" style="119"/>
    <col min="11281" max="11281" width="3.42578125" style="119" customWidth="1"/>
    <col min="11282" max="11520" width="8.42578125" style="119"/>
    <col min="11521" max="11521" width="10" style="119" bestFit="1" customWidth="1"/>
    <col min="11522" max="11522" width="44.42578125" style="119" bestFit="1" customWidth="1"/>
    <col min="11523" max="11523" width="10.42578125" style="119" bestFit="1" customWidth="1"/>
    <col min="11524" max="11524" width="10.42578125" style="119" customWidth="1"/>
    <col min="11525" max="11527" width="9.5703125" style="119" bestFit="1" customWidth="1"/>
    <col min="11528" max="11528" width="10.42578125" style="119" bestFit="1" customWidth="1"/>
    <col min="11529" max="11529" width="4.5703125" style="119" customWidth="1"/>
    <col min="11530" max="11530" width="1.85546875" style="119" customWidth="1"/>
    <col min="11531" max="11531" width="7" style="119" bestFit="1" customWidth="1"/>
    <col min="11532" max="11532" width="6.42578125" style="119" customWidth="1"/>
    <col min="11533" max="11533" width="20.42578125" style="119" customWidth="1"/>
    <col min="11534" max="11534" width="6.42578125" style="119" bestFit="1" customWidth="1"/>
    <col min="11535" max="11536" width="8.42578125" style="119"/>
    <col min="11537" max="11537" width="3.42578125" style="119" customWidth="1"/>
    <col min="11538" max="11776" width="8.42578125" style="119"/>
    <col min="11777" max="11777" width="10" style="119" bestFit="1" customWidth="1"/>
    <col min="11778" max="11778" width="44.42578125" style="119" bestFit="1" customWidth="1"/>
    <col min="11779" max="11779" width="10.42578125" style="119" bestFit="1" customWidth="1"/>
    <col min="11780" max="11780" width="10.42578125" style="119" customWidth="1"/>
    <col min="11781" max="11783" width="9.5703125" style="119" bestFit="1" customWidth="1"/>
    <col min="11784" max="11784" width="10.42578125" style="119" bestFit="1" customWidth="1"/>
    <col min="11785" max="11785" width="4.5703125" style="119" customWidth="1"/>
    <col min="11786" max="11786" width="1.85546875" style="119" customWidth="1"/>
    <col min="11787" max="11787" width="7" style="119" bestFit="1" customWidth="1"/>
    <col min="11788" max="11788" width="6.42578125" style="119" customWidth="1"/>
    <col min="11789" max="11789" width="20.42578125" style="119" customWidth="1"/>
    <col min="11790" max="11790" width="6.42578125" style="119" bestFit="1" customWidth="1"/>
    <col min="11791" max="11792" width="8.42578125" style="119"/>
    <col min="11793" max="11793" width="3.42578125" style="119" customWidth="1"/>
    <col min="11794" max="12032" width="8.42578125" style="119"/>
    <col min="12033" max="12033" width="10" style="119" bestFit="1" customWidth="1"/>
    <col min="12034" max="12034" width="44.42578125" style="119" bestFit="1" customWidth="1"/>
    <col min="12035" max="12035" width="10.42578125" style="119" bestFit="1" customWidth="1"/>
    <col min="12036" max="12036" width="10.42578125" style="119" customWidth="1"/>
    <col min="12037" max="12039" width="9.5703125" style="119" bestFit="1" customWidth="1"/>
    <col min="12040" max="12040" width="10.42578125" style="119" bestFit="1" customWidth="1"/>
    <col min="12041" max="12041" width="4.5703125" style="119" customWidth="1"/>
    <col min="12042" max="12042" width="1.85546875" style="119" customWidth="1"/>
    <col min="12043" max="12043" width="7" style="119" bestFit="1" customWidth="1"/>
    <col min="12044" max="12044" width="6.42578125" style="119" customWidth="1"/>
    <col min="12045" max="12045" width="20.42578125" style="119" customWidth="1"/>
    <col min="12046" max="12046" width="6.42578125" style="119" bestFit="1" customWidth="1"/>
    <col min="12047" max="12048" width="8.42578125" style="119"/>
    <col min="12049" max="12049" width="3.42578125" style="119" customWidth="1"/>
    <col min="12050" max="12288" width="8.42578125" style="119"/>
    <col min="12289" max="12289" width="10" style="119" bestFit="1" customWidth="1"/>
    <col min="12290" max="12290" width="44.42578125" style="119" bestFit="1" customWidth="1"/>
    <col min="12291" max="12291" width="10.42578125" style="119" bestFit="1" customWidth="1"/>
    <col min="12292" max="12292" width="10.42578125" style="119" customWidth="1"/>
    <col min="12293" max="12295" width="9.5703125" style="119" bestFit="1" customWidth="1"/>
    <col min="12296" max="12296" width="10.42578125" style="119" bestFit="1" customWidth="1"/>
    <col min="12297" max="12297" width="4.5703125" style="119" customWidth="1"/>
    <col min="12298" max="12298" width="1.85546875" style="119" customWidth="1"/>
    <col min="12299" max="12299" width="7" style="119" bestFit="1" customWidth="1"/>
    <col min="12300" max="12300" width="6.42578125" style="119" customWidth="1"/>
    <col min="12301" max="12301" width="20.42578125" style="119" customWidth="1"/>
    <col min="12302" max="12302" width="6.42578125" style="119" bestFit="1" customWidth="1"/>
    <col min="12303" max="12304" width="8.42578125" style="119"/>
    <col min="12305" max="12305" width="3.42578125" style="119" customWidth="1"/>
    <col min="12306" max="12544" width="8.42578125" style="119"/>
    <col min="12545" max="12545" width="10" style="119" bestFit="1" customWidth="1"/>
    <col min="12546" max="12546" width="44.42578125" style="119" bestFit="1" customWidth="1"/>
    <col min="12547" max="12547" width="10.42578125" style="119" bestFit="1" customWidth="1"/>
    <col min="12548" max="12548" width="10.42578125" style="119" customWidth="1"/>
    <col min="12549" max="12551" width="9.5703125" style="119" bestFit="1" customWidth="1"/>
    <col min="12552" max="12552" width="10.42578125" style="119" bestFit="1" customWidth="1"/>
    <col min="12553" max="12553" width="4.5703125" style="119" customWidth="1"/>
    <col min="12554" max="12554" width="1.85546875" style="119" customWidth="1"/>
    <col min="12555" max="12555" width="7" style="119" bestFit="1" customWidth="1"/>
    <col min="12556" max="12556" width="6.42578125" style="119" customWidth="1"/>
    <col min="12557" max="12557" width="20.42578125" style="119" customWidth="1"/>
    <col min="12558" max="12558" width="6.42578125" style="119" bestFit="1" customWidth="1"/>
    <col min="12559" max="12560" width="8.42578125" style="119"/>
    <col min="12561" max="12561" width="3.42578125" style="119" customWidth="1"/>
    <col min="12562" max="12800" width="8.42578125" style="119"/>
    <col min="12801" max="12801" width="10" style="119" bestFit="1" customWidth="1"/>
    <col min="12802" max="12802" width="44.42578125" style="119" bestFit="1" customWidth="1"/>
    <col min="12803" max="12803" width="10.42578125" style="119" bestFit="1" customWidth="1"/>
    <col min="12804" max="12804" width="10.42578125" style="119" customWidth="1"/>
    <col min="12805" max="12807" width="9.5703125" style="119" bestFit="1" customWidth="1"/>
    <col min="12808" max="12808" width="10.42578125" style="119" bestFit="1" customWidth="1"/>
    <col min="12809" max="12809" width="4.5703125" style="119" customWidth="1"/>
    <col min="12810" max="12810" width="1.85546875" style="119" customWidth="1"/>
    <col min="12811" max="12811" width="7" style="119" bestFit="1" customWidth="1"/>
    <col min="12812" max="12812" width="6.42578125" style="119" customWidth="1"/>
    <col min="12813" max="12813" width="20.42578125" style="119" customWidth="1"/>
    <col min="12814" max="12814" width="6.42578125" style="119" bestFit="1" customWidth="1"/>
    <col min="12815" max="12816" width="8.42578125" style="119"/>
    <col min="12817" max="12817" width="3.42578125" style="119" customWidth="1"/>
    <col min="12818" max="13056" width="8.42578125" style="119"/>
    <col min="13057" max="13057" width="10" style="119" bestFit="1" customWidth="1"/>
    <col min="13058" max="13058" width="44.42578125" style="119" bestFit="1" customWidth="1"/>
    <col min="13059" max="13059" width="10.42578125" style="119" bestFit="1" customWidth="1"/>
    <col min="13060" max="13060" width="10.42578125" style="119" customWidth="1"/>
    <col min="13061" max="13063" width="9.5703125" style="119" bestFit="1" customWidth="1"/>
    <col min="13064" max="13064" width="10.42578125" style="119" bestFit="1" customWidth="1"/>
    <col min="13065" max="13065" width="4.5703125" style="119" customWidth="1"/>
    <col min="13066" max="13066" width="1.85546875" style="119" customWidth="1"/>
    <col min="13067" max="13067" width="7" style="119" bestFit="1" customWidth="1"/>
    <col min="13068" max="13068" width="6.42578125" style="119" customWidth="1"/>
    <col min="13069" max="13069" width="20.42578125" style="119" customWidth="1"/>
    <col min="13070" max="13070" width="6.42578125" style="119" bestFit="1" customWidth="1"/>
    <col min="13071" max="13072" width="8.42578125" style="119"/>
    <col min="13073" max="13073" width="3.42578125" style="119" customWidth="1"/>
    <col min="13074" max="13312" width="8.42578125" style="119"/>
    <col min="13313" max="13313" width="10" style="119" bestFit="1" customWidth="1"/>
    <col min="13314" max="13314" width="44.42578125" style="119" bestFit="1" customWidth="1"/>
    <col min="13315" max="13315" width="10.42578125" style="119" bestFit="1" customWidth="1"/>
    <col min="13316" max="13316" width="10.42578125" style="119" customWidth="1"/>
    <col min="13317" max="13319" width="9.5703125" style="119" bestFit="1" customWidth="1"/>
    <col min="13320" max="13320" width="10.42578125" style="119" bestFit="1" customWidth="1"/>
    <col min="13321" max="13321" width="4.5703125" style="119" customWidth="1"/>
    <col min="13322" max="13322" width="1.85546875" style="119" customWidth="1"/>
    <col min="13323" max="13323" width="7" style="119" bestFit="1" customWidth="1"/>
    <col min="13324" max="13324" width="6.42578125" style="119" customWidth="1"/>
    <col min="13325" max="13325" width="20.42578125" style="119" customWidth="1"/>
    <col min="13326" max="13326" width="6.42578125" style="119" bestFit="1" customWidth="1"/>
    <col min="13327" max="13328" width="8.42578125" style="119"/>
    <col min="13329" max="13329" width="3.42578125" style="119" customWidth="1"/>
    <col min="13330" max="13568" width="8.42578125" style="119"/>
    <col min="13569" max="13569" width="10" style="119" bestFit="1" customWidth="1"/>
    <col min="13570" max="13570" width="44.42578125" style="119" bestFit="1" customWidth="1"/>
    <col min="13571" max="13571" width="10.42578125" style="119" bestFit="1" customWidth="1"/>
    <col min="13572" max="13572" width="10.42578125" style="119" customWidth="1"/>
    <col min="13573" max="13575" width="9.5703125" style="119" bestFit="1" customWidth="1"/>
    <col min="13576" max="13576" width="10.42578125" style="119" bestFit="1" customWidth="1"/>
    <col min="13577" max="13577" width="4.5703125" style="119" customWidth="1"/>
    <col min="13578" max="13578" width="1.85546875" style="119" customWidth="1"/>
    <col min="13579" max="13579" width="7" style="119" bestFit="1" customWidth="1"/>
    <col min="13580" max="13580" width="6.42578125" style="119" customWidth="1"/>
    <col min="13581" max="13581" width="20.42578125" style="119" customWidth="1"/>
    <col min="13582" max="13582" width="6.42578125" style="119" bestFit="1" customWidth="1"/>
    <col min="13583" max="13584" width="8.42578125" style="119"/>
    <col min="13585" max="13585" width="3.42578125" style="119" customWidth="1"/>
    <col min="13586" max="13824" width="8.42578125" style="119"/>
    <col min="13825" max="13825" width="10" style="119" bestFit="1" customWidth="1"/>
    <col min="13826" max="13826" width="44.42578125" style="119" bestFit="1" customWidth="1"/>
    <col min="13827" max="13827" width="10.42578125" style="119" bestFit="1" customWidth="1"/>
    <col min="13828" max="13828" width="10.42578125" style="119" customWidth="1"/>
    <col min="13829" max="13831" width="9.5703125" style="119" bestFit="1" customWidth="1"/>
    <col min="13832" max="13832" width="10.42578125" style="119" bestFit="1" customWidth="1"/>
    <col min="13833" max="13833" width="4.5703125" style="119" customWidth="1"/>
    <col min="13834" max="13834" width="1.85546875" style="119" customWidth="1"/>
    <col min="13835" max="13835" width="7" style="119" bestFit="1" customWidth="1"/>
    <col min="13836" max="13836" width="6.42578125" style="119" customWidth="1"/>
    <col min="13837" max="13837" width="20.42578125" style="119" customWidth="1"/>
    <col min="13838" max="13838" width="6.42578125" style="119" bestFit="1" customWidth="1"/>
    <col min="13839" max="13840" width="8.42578125" style="119"/>
    <col min="13841" max="13841" width="3.42578125" style="119" customWidth="1"/>
    <col min="13842" max="14080" width="8.42578125" style="119"/>
    <col min="14081" max="14081" width="10" style="119" bestFit="1" customWidth="1"/>
    <col min="14082" max="14082" width="44.42578125" style="119" bestFit="1" customWidth="1"/>
    <col min="14083" max="14083" width="10.42578125" style="119" bestFit="1" customWidth="1"/>
    <col min="14084" max="14084" width="10.42578125" style="119" customWidth="1"/>
    <col min="14085" max="14087" width="9.5703125" style="119" bestFit="1" customWidth="1"/>
    <col min="14088" max="14088" width="10.42578125" style="119" bestFit="1" customWidth="1"/>
    <col min="14089" max="14089" width="4.5703125" style="119" customWidth="1"/>
    <col min="14090" max="14090" width="1.85546875" style="119" customWidth="1"/>
    <col min="14091" max="14091" width="7" style="119" bestFit="1" customWidth="1"/>
    <col min="14092" max="14092" width="6.42578125" style="119" customWidth="1"/>
    <col min="14093" max="14093" width="20.42578125" style="119" customWidth="1"/>
    <col min="14094" max="14094" width="6.42578125" style="119" bestFit="1" customWidth="1"/>
    <col min="14095" max="14096" width="8.42578125" style="119"/>
    <col min="14097" max="14097" width="3.42578125" style="119" customWidth="1"/>
    <col min="14098" max="14336" width="8.42578125" style="119"/>
    <col min="14337" max="14337" width="10" style="119" bestFit="1" customWidth="1"/>
    <col min="14338" max="14338" width="44.42578125" style="119" bestFit="1" customWidth="1"/>
    <col min="14339" max="14339" width="10.42578125" style="119" bestFit="1" customWidth="1"/>
    <col min="14340" max="14340" width="10.42578125" style="119" customWidth="1"/>
    <col min="14341" max="14343" width="9.5703125" style="119" bestFit="1" customWidth="1"/>
    <col min="14344" max="14344" width="10.42578125" style="119" bestFit="1" customWidth="1"/>
    <col min="14345" max="14345" width="4.5703125" style="119" customWidth="1"/>
    <col min="14346" max="14346" width="1.85546875" style="119" customWidth="1"/>
    <col min="14347" max="14347" width="7" style="119" bestFit="1" customWidth="1"/>
    <col min="14348" max="14348" width="6.42578125" style="119" customWidth="1"/>
    <col min="14349" max="14349" width="20.42578125" style="119" customWidth="1"/>
    <col min="14350" max="14350" width="6.42578125" style="119" bestFit="1" customWidth="1"/>
    <col min="14351" max="14352" width="8.42578125" style="119"/>
    <col min="14353" max="14353" width="3.42578125" style="119" customWidth="1"/>
    <col min="14354" max="14592" width="8.42578125" style="119"/>
    <col min="14593" max="14593" width="10" style="119" bestFit="1" customWidth="1"/>
    <col min="14594" max="14594" width="44.42578125" style="119" bestFit="1" customWidth="1"/>
    <col min="14595" max="14595" width="10.42578125" style="119" bestFit="1" customWidth="1"/>
    <col min="14596" max="14596" width="10.42578125" style="119" customWidth="1"/>
    <col min="14597" max="14599" width="9.5703125" style="119" bestFit="1" customWidth="1"/>
    <col min="14600" max="14600" width="10.42578125" style="119" bestFit="1" customWidth="1"/>
    <col min="14601" max="14601" width="4.5703125" style="119" customWidth="1"/>
    <col min="14602" max="14602" width="1.85546875" style="119" customWidth="1"/>
    <col min="14603" max="14603" width="7" style="119" bestFit="1" customWidth="1"/>
    <col min="14604" max="14604" width="6.42578125" style="119" customWidth="1"/>
    <col min="14605" max="14605" width="20.42578125" style="119" customWidth="1"/>
    <col min="14606" max="14606" width="6.42578125" style="119" bestFit="1" customWidth="1"/>
    <col min="14607" max="14608" width="8.42578125" style="119"/>
    <col min="14609" max="14609" width="3.42578125" style="119" customWidth="1"/>
    <col min="14610" max="14848" width="8.42578125" style="119"/>
    <col min="14849" max="14849" width="10" style="119" bestFit="1" customWidth="1"/>
    <col min="14850" max="14850" width="44.42578125" style="119" bestFit="1" customWidth="1"/>
    <col min="14851" max="14851" width="10.42578125" style="119" bestFit="1" customWidth="1"/>
    <col min="14852" max="14852" width="10.42578125" style="119" customWidth="1"/>
    <col min="14853" max="14855" width="9.5703125" style="119" bestFit="1" customWidth="1"/>
    <col min="14856" max="14856" width="10.42578125" style="119" bestFit="1" customWidth="1"/>
    <col min="14857" max="14857" width="4.5703125" style="119" customWidth="1"/>
    <col min="14858" max="14858" width="1.85546875" style="119" customWidth="1"/>
    <col min="14859" max="14859" width="7" style="119" bestFit="1" customWidth="1"/>
    <col min="14860" max="14860" width="6.42578125" style="119" customWidth="1"/>
    <col min="14861" max="14861" width="20.42578125" style="119" customWidth="1"/>
    <col min="14862" max="14862" width="6.42578125" style="119" bestFit="1" customWidth="1"/>
    <col min="14863" max="14864" width="8.42578125" style="119"/>
    <col min="14865" max="14865" width="3.42578125" style="119" customWidth="1"/>
    <col min="14866" max="15104" width="8.42578125" style="119"/>
    <col min="15105" max="15105" width="10" style="119" bestFit="1" customWidth="1"/>
    <col min="15106" max="15106" width="44.42578125" style="119" bestFit="1" customWidth="1"/>
    <col min="15107" max="15107" width="10.42578125" style="119" bestFit="1" customWidth="1"/>
    <col min="15108" max="15108" width="10.42578125" style="119" customWidth="1"/>
    <col min="15109" max="15111" width="9.5703125" style="119" bestFit="1" customWidth="1"/>
    <col min="15112" max="15112" width="10.42578125" style="119" bestFit="1" customWidth="1"/>
    <col min="15113" max="15113" width="4.5703125" style="119" customWidth="1"/>
    <col min="15114" max="15114" width="1.85546875" style="119" customWidth="1"/>
    <col min="15115" max="15115" width="7" style="119" bestFit="1" customWidth="1"/>
    <col min="15116" max="15116" width="6.42578125" style="119" customWidth="1"/>
    <col min="15117" max="15117" width="20.42578125" style="119" customWidth="1"/>
    <col min="15118" max="15118" width="6.42578125" style="119" bestFit="1" customWidth="1"/>
    <col min="15119" max="15120" width="8.42578125" style="119"/>
    <col min="15121" max="15121" width="3.42578125" style="119" customWidth="1"/>
    <col min="15122" max="15360" width="8.42578125" style="119"/>
    <col min="15361" max="15361" width="10" style="119" bestFit="1" customWidth="1"/>
    <col min="15362" max="15362" width="44.42578125" style="119" bestFit="1" customWidth="1"/>
    <col min="15363" max="15363" width="10.42578125" style="119" bestFit="1" customWidth="1"/>
    <col min="15364" max="15364" width="10.42578125" style="119" customWidth="1"/>
    <col min="15365" max="15367" width="9.5703125" style="119" bestFit="1" customWidth="1"/>
    <col min="15368" max="15368" width="10.42578125" style="119" bestFit="1" customWidth="1"/>
    <col min="15369" max="15369" width="4.5703125" style="119" customWidth="1"/>
    <col min="15370" max="15370" width="1.85546875" style="119" customWidth="1"/>
    <col min="15371" max="15371" width="7" style="119" bestFit="1" customWidth="1"/>
    <col min="15372" max="15372" width="6.42578125" style="119" customWidth="1"/>
    <col min="15373" max="15373" width="20.42578125" style="119" customWidth="1"/>
    <col min="15374" max="15374" width="6.42578125" style="119" bestFit="1" customWidth="1"/>
    <col min="15375" max="15376" width="8.42578125" style="119"/>
    <col min="15377" max="15377" width="3.42578125" style="119" customWidth="1"/>
    <col min="15378" max="15616" width="8.42578125" style="119"/>
    <col min="15617" max="15617" width="10" style="119" bestFit="1" customWidth="1"/>
    <col min="15618" max="15618" width="44.42578125" style="119" bestFit="1" customWidth="1"/>
    <col min="15619" max="15619" width="10.42578125" style="119" bestFit="1" customWidth="1"/>
    <col min="15620" max="15620" width="10.42578125" style="119" customWidth="1"/>
    <col min="15621" max="15623" width="9.5703125" style="119" bestFit="1" customWidth="1"/>
    <col min="15624" max="15624" width="10.42578125" style="119" bestFit="1" customWidth="1"/>
    <col min="15625" max="15625" width="4.5703125" style="119" customWidth="1"/>
    <col min="15626" max="15626" width="1.85546875" style="119" customWidth="1"/>
    <col min="15627" max="15627" width="7" style="119" bestFit="1" customWidth="1"/>
    <col min="15628" max="15628" width="6.42578125" style="119" customWidth="1"/>
    <col min="15629" max="15629" width="20.42578125" style="119" customWidth="1"/>
    <col min="15630" max="15630" width="6.42578125" style="119" bestFit="1" customWidth="1"/>
    <col min="15631" max="15632" width="8.42578125" style="119"/>
    <col min="15633" max="15633" width="3.42578125" style="119" customWidth="1"/>
    <col min="15634" max="15872" width="8.42578125" style="119"/>
    <col min="15873" max="15873" width="10" style="119" bestFit="1" customWidth="1"/>
    <col min="15874" max="15874" width="44.42578125" style="119" bestFit="1" customWidth="1"/>
    <col min="15875" max="15875" width="10.42578125" style="119" bestFit="1" customWidth="1"/>
    <col min="15876" max="15876" width="10.42578125" style="119" customWidth="1"/>
    <col min="15877" max="15879" width="9.5703125" style="119" bestFit="1" customWidth="1"/>
    <col min="15880" max="15880" width="10.42578125" style="119" bestFit="1" customWidth="1"/>
    <col min="15881" max="15881" width="4.5703125" style="119" customWidth="1"/>
    <col min="15882" max="15882" width="1.85546875" style="119" customWidth="1"/>
    <col min="15883" max="15883" width="7" style="119" bestFit="1" customWidth="1"/>
    <col min="15884" max="15884" width="6.42578125" style="119" customWidth="1"/>
    <col min="15885" max="15885" width="20.42578125" style="119" customWidth="1"/>
    <col min="15886" max="15886" width="6.42578125" style="119" bestFit="1" customWidth="1"/>
    <col min="15887" max="15888" width="8.42578125" style="119"/>
    <col min="15889" max="15889" width="3.42578125" style="119" customWidth="1"/>
    <col min="15890" max="16128" width="8.42578125" style="119"/>
    <col min="16129" max="16129" width="10" style="119" bestFit="1" customWidth="1"/>
    <col min="16130" max="16130" width="44.42578125" style="119" bestFit="1" customWidth="1"/>
    <col min="16131" max="16131" width="10.42578125" style="119" bestFit="1" customWidth="1"/>
    <col min="16132" max="16132" width="10.42578125" style="119" customWidth="1"/>
    <col min="16133" max="16135" width="9.5703125" style="119" bestFit="1" customWidth="1"/>
    <col min="16136" max="16136" width="10.42578125" style="119" bestFit="1" customWidth="1"/>
    <col min="16137" max="16137" width="4.5703125" style="119" customWidth="1"/>
    <col min="16138" max="16138" width="1.85546875" style="119" customWidth="1"/>
    <col min="16139" max="16139" width="7" style="119" bestFit="1" customWidth="1"/>
    <col min="16140" max="16140" width="6.42578125" style="119" customWidth="1"/>
    <col min="16141" max="16141" width="20.42578125" style="119" customWidth="1"/>
    <col min="16142" max="16142" width="6.42578125" style="119" bestFit="1" customWidth="1"/>
    <col min="16143" max="16144" width="8.42578125" style="119"/>
    <col min="16145" max="16145" width="3.42578125" style="119" customWidth="1"/>
    <col min="16146" max="16384" width="8.42578125" style="119"/>
  </cols>
  <sheetData>
    <row r="1" spans="1:10" ht="27.75" customHeight="1" x14ac:dyDescent="0.25">
      <c r="A1" s="114"/>
      <c r="B1" s="114"/>
      <c r="C1" s="114"/>
      <c r="D1" s="114"/>
      <c r="E1" s="115" t="s">
        <v>126</v>
      </c>
      <c r="F1" s="116" t="s">
        <v>127</v>
      </c>
      <c r="G1" s="116" t="s">
        <v>128</v>
      </c>
      <c r="H1" s="116" t="s">
        <v>129</v>
      </c>
      <c r="I1" s="117"/>
    </row>
    <row r="2" spans="1:10" ht="30.75" customHeight="1" x14ac:dyDescent="0.25">
      <c r="A2" s="114"/>
      <c r="B2" s="114"/>
      <c r="C2" s="114"/>
      <c r="D2" s="114"/>
      <c r="E2" s="120">
        <f>IFERROR(O63,"")</f>
        <v>4474.4008647986475</v>
      </c>
      <c r="F2" s="120">
        <f>IFERROR(H54,"")</f>
        <v>2725.215757030252</v>
      </c>
      <c r="G2" s="120">
        <f>IFERROR(H55,"")</f>
        <v>670.96440275562657</v>
      </c>
      <c r="H2" s="120">
        <f>IFERROR(H57,"")</f>
        <v>534.831879447029</v>
      </c>
      <c r="I2" s="121"/>
    </row>
    <row r="3" spans="1:10" ht="15" customHeight="1" x14ac:dyDescent="0.25">
      <c r="A3" s="114"/>
      <c r="B3" s="114"/>
      <c r="C3" s="114"/>
      <c r="D3" s="114"/>
      <c r="E3" s="114"/>
      <c r="F3" s="122"/>
      <c r="G3" s="122"/>
      <c r="H3" s="122"/>
      <c r="I3" s="122"/>
    </row>
    <row r="4" spans="1:10" ht="24.75" customHeight="1" thickBot="1" x14ac:dyDescent="0.3">
      <c r="A4" s="273"/>
      <c r="B4" s="273"/>
      <c r="C4" s="273"/>
      <c r="D4" s="273"/>
      <c r="E4" s="273"/>
      <c r="F4" s="273"/>
      <c r="G4" s="273"/>
      <c r="H4" s="273"/>
      <c r="I4" s="123"/>
    </row>
    <row r="5" spans="1:10" ht="19.5" customHeight="1" thickBot="1" x14ac:dyDescent="0.3">
      <c r="A5" s="279" t="s">
        <v>130</v>
      </c>
      <c r="B5" s="280"/>
      <c r="C5" s="280"/>
      <c r="D5" s="280"/>
      <c r="E5" s="280"/>
      <c r="F5" s="280"/>
      <c r="G5" s="280"/>
      <c r="H5" s="281"/>
      <c r="I5" s="124"/>
    </row>
    <row r="6" spans="1:10" ht="19.5" thickBot="1" x14ac:dyDescent="0.3">
      <c r="A6" s="124"/>
      <c r="B6" s="124"/>
      <c r="C6" s="124"/>
      <c r="D6" s="124"/>
      <c r="E6" s="124"/>
      <c r="F6" s="282" t="s">
        <v>131</v>
      </c>
      <c r="G6" s="282"/>
      <c r="H6" s="125">
        <f ca="1">TODAY()</f>
        <v>45663</v>
      </c>
      <c r="I6" s="125"/>
    </row>
    <row r="7" spans="1:10" ht="39" thickBot="1" x14ac:dyDescent="0.3">
      <c r="A7" s="126" t="s">
        <v>132</v>
      </c>
      <c r="B7" s="127" t="s">
        <v>133</v>
      </c>
      <c r="C7" s="127" t="s">
        <v>132</v>
      </c>
      <c r="D7" s="128" t="s">
        <v>134</v>
      </c>
      <c r="E7" s="128" t="s">
        <v>135</v>
      </c>
      <c r="F7" s="128" t="s">
        <v>136</v>
      </c>
      <c r="G7" s="128" t="s">
        <v>137</v>
      </c>
      <c r="H7" s="129" t="s">
        <v>138</v>
      </c>
      <c r="I7" s="130"/>
    </row>
    <row r="8" spans="1:10" ht="13.5" x14ac:dyDescent="0.25">
      <c r="A8" s="131">
        <v>10</v>
      </c>
      <c r="B8" s="119" t="str">
        <f>IFERROR(VLOOKUP(H8,'[1]Consolidado MP Planta'!$A$2:$M$823,3,0),"")</f>
        <v>ACEITE CAPULLO RBD (UND:17  L)</v>
      </c>
      <c r="C8" s="132">
        <f>+A8</f>
        <v>10</v>
      </c>
      <c r="D8" s="133" t="str">
        <f>IFERROR(VLOOKUP(H8,'[1]Consolidado MP Planta'!$A$2:$M$823,13,0),"")</f>
        <v>Mililitros</v>
      </c>
      <c r="E8" s="133">
        <v>1.37</v>
      </c>
      <c r="F8" s="133">
        <f>IFERROR(C8*E8,"")</f>
        <v>13.700000000000001</v>
      </c>
      <c r="G8" s="104">
        <f t="shared" ref="G8:G14" si="0">IFERROR(F8/$F$67,"")</f>
        <v>3.552274003504306E-3</v>
      </c>
      <c r="H8" s="134" t="s">
        <v>185</v>
      </c>
      <c r="I8" s="134"/>
      <c r="J8" s="105"/>
    </row>
    <row r="9" spans="1:10" ht="13.5" x14ac:dyDescent="0.25">
      <c r="A9" s="131">
        <v>60</v>
      </c>
      <c r="B9" s="119" t="str">
        <f>IFERROR(VLOOKUP(H9,'[1]Consolidado MP Planta'!$A$2:$M$823,3,0),"")</f>
        <v>PECANA ENTERA (CAJA:13.6 K)</v>
      </c>
      <c r="C9" s="132">
        <f t="shared" ref="C9:C14" si="1">+A9</f>
        <v>60</v>
      </c>
      <c r="D9" s="133" t="str">
        <f>IFERROR(VLOOKUP(H9,'[1]Consolidado MP Planta'!$A$2:$M$823,13,0),"")</f>
        <v>Gramos</v>
      </c>
      <c r="E9" s="133">
        <v>9.2799999999999994</v>
      </c>
      <c r="F9" s="133">
        <f t="shared" ref="F9:F14" si="2">IFERROR(C9*E9,"")</f>
        <v>556.79999999999995</v>
      </c>
      <c r="G9" s="104">
        <f t="shared" si="0"/>
        <v>0.14437271278475891</v>
      </c>
      <c r="H9" s="134" t="s">
        <v>50</v>
      </c>
      <c r="I9" s="134"/>
      <c r="J9" s="105"/>
    </row>
    <row r="10" spans="1:10" ht="13.5" x14ac:dyDescent="0.25">
      <c r="A10" s="131">
        <v>1</v>
      </c>
      <c r="B10" s="119" t="str">
        <f>IFERROR(VLOOKUP(H10,'[1]Consolidado MP Planta'!$A$2:$M$823,3,0),"")</f>
        <v>CANELA EN POLVO BADIA (UND: 1.82 K)</v>
      </c>
      <c r="C10" s="132">
        <f t="shared" si="1"/>
        <v>1</v>
      </c>
      <c r="D10" s="133" t="str">
        <f>IFERROR(VLOOKUP(H10,'[1]Consolidado MP Planta'!$A$2:$M$823,13,0),"")</f>
        <v>Gramos</v>
      </c>
      <c r="E10" s="133">
        <v>9.39</v>
      </c>
      <c r="F10" s="133">
        <f t="shared" si="2"/>
        <v>9.39</v>
      </c>
      <c r="G10" s="104">
        <f t="shared" si="0"/>
        <v>2.4347337878033162E-3</v>
      </c>
      <c r="H10" s="134" t="s">
        <v>188</v>
      </c>
      <c r="I10" s="134"/>
      <c r="J10" s="105"/>
    </row>
    <row r="11" spans="1:10" ht="13.5" hidden="1" x14ac:dyDescent="0.25">
      <c r="A11" s="131"/>
      <c r="B11" s="119" t="str">
        <f>IFERROR(VLOOKUP(H11,'[1]Consolidado MP Planta'!$A$2:$M$823,3,0),"")</f>
        <v/>
      </c>
      <c r="C11" s="132">
        <f t="shared" si="1"/>
        <v>0</v>
      </c>
      <c r="D11" s="133" t="str">
        <f>IFERROR(VLOOKUP(H11,'[1]Consolidado MP Planta'!$A$2:$M$823,13,0),"")</f>
        <v/>
      </c>
      <c r="E11" s="133" t="str">
        <f>IFERROR(VLOOKUP(H11,'[1]Consolidado MP Planta'!$A$2:$M$823,12,0),"")</f>
        <v/>
      </c>
      <c r="F11" s="133" t="str">
        <f t="shared" si="2"/>
        <v/>
      </c>
      <c r="G11" s="104" t="str">
        <f t="shared" si="0"/>
        <v/>
      </c>
      <c r="H11" s="134"/>
      <c r="I11" s="134"/>
      <c r="J11" s="105"/>
    </row>
    <row r="12" spans="1:10" ht="13.5" hidden="1" x14ac:dyDescent="0.25">
      <c r="A12" s="131"/>
      <c r="B12" s="119" t="str">
        <f>IFERROR(VLOOKUP(H12,'[1]Consolidado MP Planta'!$A$2:$M$823,3,0),"")</f>
        <v/>
      </c>
      <c r="C12" s="132">
        <f t="shared" si="1"/>
        <v>0</v>
      </c>
      <c r="D12" s="133" t="str">
        <f>IFERROR(VLOOKUP(H12,'[1]Consolidado MP Planta'!$A$2:$M$823,13,0),"")</f>
        <v/>
      </c>
      <c r="E12" s="133" t="str">
        <f>IFERROR(VLOOKUP(H12,'[1]Consolidado MP Planta'!$A$2:$M$823,12,0),"")</f>
        <v/>
      </c>
      <c r="F12" s="133" t="str">
        <f t="shared" si="2"/>
        <v/>
      </c>
      <c r="G12" s="104" t="str">
        <f t="shared" si="0"/>
        <v/>
      </c>
      <c r="H12" s="134"/>
      <c r="I12" s="134"/>
      <c r="J12" s="105"/>
    </row>
    <row r="13" spans="1:10" ht="13.5" hidden="1" x14ac:dyDescent="0.25">
      <c r="A13" s="131"/>
      <c r="B13" s="119" t="str">
        <f>IFERROR(VLOOKUP(H13,'[1]Consolidado MP Planta'!$A$2:$M$823,3,0),"")</f>
        <v/>
      </c>
      <c r="C13" s="132">
        <f t="shared" si="1"/>
        <v>0</v>
      </c>
      <c r="D13" s="133" t="str">
        <f>IFERROR(VLOOKUP(H13,'[1]Consolidado MP Planta'!$A$2:$M$823,13,0),"")</f>
        <v/>
      </c>
      <c r="E13" s="133" t="str">
        <f>IFERROR(VLOOKUP(H13,'[1]Consolidado MP Planta'!$A$2:$M$823,12,0),"")</f>
        <v/>
      </c>
      <c r="F13" s="133" t="str">
        <f t="shared" si="2"/>
        <v/>
      </c>
      <c r="G13" s="104" t="str">
        <f t="shared" si="0"/>
        <v/>
      </c>
      <c r="H13" s="134"/>
      <c r="I13" s="134"/>
      <c r="J13" s="105"/>
    </row>
    <row r="14" spans="1:10" ht="13.5" hidden="1" x14ac:dyDescent="0.25">
      <c r="A14" s="131"/>
      <c r="B14" s="119" t="str">
        <f>IFERROR(VLOOKUP(H14,'[1]Consolidado MP Planta'!$A$2:$M$823,3,0),"")</f>
        <v/>
      </c>
      <c r="C14" s="132">
        <f t="shared" si="1"/>
        <v>0</v>
      </c>
      <c r="D14" s="133" t="str">
        <f>IFERROR(VLOOKUP(H14,'[1]Consolidado MP Planta'!$A$2:$M$823,13,0),"")</f>
        <v/>
      </c>
      <c r="E14" s="133" t="str">
        <f>IFERROR(VLOOKUP(H14,'[1]Consolidado MP Planta'!$A$2:$M$823,12,0),"")</f>
        <v/>
      </c>
      <c r="F14" s="133" t="str">
        <f t="shared" si="2"/>
        <v/>
      </c>
      <c r="G14" s="104" t="str">
        <f t="shared" si="0"/>
        <v/>
      </c>
      <c r="H14" s="134"/>
      <c r="I14" s="134"/>
      <c r="J14" s="105"/>
    </row>
    <row r="15" spans="1:10" ht="14.25" thickBot="1" x14ac:dyDescent="0.3">
      <c r="A15" s="131"/>
      <c r="B15" s="119" t="str">
        <f>IFERROR(VLOOKUP(H15,'[2]ARTICULOS MP PLANTA'!$A$2:$G$589,2,0),"")</f>
        <v/>
      </c>
      <c r="C15" s="132"/>
      <c r="D15" s="133"/>
      <c r="E15" s="133"/>
      <c r="F15" s="133"/>
      <c r="G15" s="104"/>
      <c r="H15" s="134"/>
      <c r="I15" s="134"/>
      <c r="J15" s="105"/>
    </row>
    <row r="16" spans="1:10" ht="39" thickBot="1" x14ac:dyDescent="0.3">
      <c r="A16" s="126" t="s">
        <v>132</v>
      </c>
      <c r="B16" s="127" t="s">
        <v>139</v>
      </c>
      <c r="C16" s="127" t="s">
        <v>132</v>
      </c>
      <c r="D16" s="128" t="s">
        <v>134</v>
      </c>
      <c r="E16" s="128" t="s">
        <v>135</v>
      </c>
      <c r="F16" s="128" t="s">
        <v>136</v>
      </c>
      <c r="G16" s="128" t="s">
        <v>137</v>
      </c>
      <c r="H16" s="129" t="s">
        <v>138</v>
      </c>
      <c r="I16" s="130"/>
      <c r="J16" s="105"/>
    </row>
    <row r="17" spans="1:12" ht="13.5" x14ac:dyDescent="0.25">
      <c r="A17" s="131">
        <v>1</v>
      </c>
      <c r="B17" s="119" t="s">
        <v>95</v>
      </c>
      <c r="C17" s="132">
        <f>+A17</f>
        <v>1</v>
      </c>
      <c r="D17" s="132" t="s">
        <v>186</v>
      </c>
      <c r="E17" s="133">
        <f>+'Costo Rosquete '!H53</f>
        <v>659.91441870316066</v>
      </c>
      <c r="F17" s="133">
        <f>IFERROR(E17*C17,"")</f>
        <v>659.91441870316066</v>
      </c>
      <c r="G17" s="104">
        <f t="shared" ref="G17:G24" si="3">IFERROR(F17/$F$67,"")</f>
        <v>0.17110925796327689</v>
      </c>
      <c r="H17" s="134" t="s">
        <v>179</v>
      </c>
      <c r="I17" s="134"/>
      <c r="J17" s="105"/>
    </row>
    <row r="18" spans="1:12" ht="13.5" x14ac:dyDescent="0.25">
      <c r="A18" s="131">
        <v>1</v>
      </c>
      <c r="B18" s="119" t="s">
        <v>96</v>
      </c>
      <c r="C18" s="132">
        <f t="shared" ref="C18:C24" si="4">+A18</f>
        <v>1</v>
      </c>
      <c r="D18" s="132" t="s">
        <v>187</v>
      </c>
      <c r="E18" s="133">
        <f>+'Costo Chesse Cake Dulce Leche '!H59</f>
        <v>1233.768888888889</v>
      </c>
      <c r="F18" s="133">
        <f t="shared" ref="F18:F24" si="5">IFERROR(E18*C18,"")</f>
        <v>1233.768888888889</v>
      </c>
      <c r="G18" s="104">
        <f t="shared" si="3"/>
        <v>0.3199040255717075</v>
      </c>
      <c r="H18" s="134" t="s">
        <v>179</v>
      </c>
      <c r="I18" s="134"/>
      <c r="J18" s="105"/>
    </row>
    <row r="19" spans="1:12" ht="13.5" x14ac:dyDescent="0.25">
      <c r="A19" s="131">
        <v>240</v>
      </c>
      <c r="B19" s="119" t="s">
        <v>98</v>
      </c>
      <c r="C19" s="132">
        <f>+A19</f>
        <v>240</v>
      </c>
      <c r="D19" s="132" t="s">
        <v>178</v>
      </c>
      <c r="E19" s="133" t="e">
        <f>+#REF!</f>
        <v>#REF!</v>
      </c>
      <c r="F19" s="133" t="str">
        <f>IFERROR(E19*C19,"")</f>
        <v/>
      </c>
      <c r="G19" s="104" t="str">
        <f t="shared" si="3"/>
        <v/>
      </c>
      <c r="H19" s="134" t="s">
        <v>179</v>
      </c>
      <c r="I19" s="134"/>
      <c r="J19" s="105"/>
    </row>
    <row r="20" spans="1:12" ht="13.5" x14ac:dyDescent="0.25">
      <c r="A20" s="131">
        <v>70</v>
      </c>
      <c r="B20" s="119" t="s">
        <v>99</v>
      </c>
      <c r="C20" s="132">
        <f>+A20</f>
        <v>70</v>
      </c>
      <c r="D20" s="132" t="s">
        <v>178</v>
      </c>
      <c r="E20" s="133">
        <f>+'Costo Crema Vino tinto'!E69</f>
        <v>3.5948921348314609</v>
      </c>
      <c r="F20" s="133">
        <f>IFERROR(E20*C20,"")</f>
        <v>251.64244943820225</v>
      </c>
      <c r="G20" s="104">
        <f t="shared" si="3"/>
        <v>6.5248389147260763E-2</v>
      </c>
      <c r="H20" s="134" t="s">
        <v>179</v>
      </c>
      <c r="I20" s="134"/>
      <c r="J20" s="105"/>
    </row>
    <row r="21" spans="1:12" ht="13.5" hidden="1" x14ac:dyDescent="0.25">
      <c r="A21" s="131"/>
      <c r="B21" s="119" t="str">
        <f>IFERROR(VLOOKUP(H21,[1]SEMIELABORADOS!$A$2:$M$6000,2,0),"")</f>
        <v/>
      </c>
      <c r="C21" s="132">
        <f>+A21</f>
        <v>0</v>
      </c>
      <c r="D21" s="132" t="str">
        <f>IFERROR(VLOOKUP(H21,[1]SEMIELABORADOS!$A$2:$M$6000,6,0),"")</f>
        <v/>
      </c>
      <c r="E21" s="133" t="str">
        <f>IFERROR(VLOOKUP(H21,[1]SEMIELABORADOS!$A$2:$H$65536,8,0),"")</f>
        <v/>
      </c>
      <c r="F21" s="133" t="str">
        <f>IFERROR(E21*C21,"")</f>
        <v/>
      </c>
      <c r="G21" s="104" t="str">
        <f t="shared" si="3"/>
        <v/>
      </c>
      <c r="H21" s="134"/>
      <c r="I21" s="134"/>
      <c r="J21" s="105"/>
    </row>
    <row r="22" spans="1:12" ht="13.5" hidden="1" x14ac:dyDescent="0.25">
      <c r="A22" s="131"/>
      <c r="B22" s="119" t="str">
        <f>IFERROR(VLOOKUP(H22,[1]SEMIELABORADOS!$A$2:$M$6000,2,0),"")</f>
        <v/>
      </c>
      <c r="C22" s="132">
        <f t="shared" si="4"/>
        <v>0</v>
      </c>
      <c r="D22" s="132" t="str">
        <f>IFERROR(VLOOKUP(H22,[1]SEMIELABORADOS!$A$2:$M$6000,6,0),"")</f>
        <v/>
      </c>
      <c r="E22" s="133" t="str">
        <f>IFERROR(VLOOKUP(H22,[1]SEMIELABORADOS!$A$2:$H$65536,8,0),"")</f>
        <v/>
      </c>
      <c r="F22" s="133" t="str">
        <f t="shared" si="5"/>
        <v/>
      </c>
      <c r="G22" s="104" t="str">
        <f t="shared" si="3"/>
        <v/>
      </c>
      <c r="H22" s="134"/>
      <c r="I22" s="134"/>
      <c r="J22" s="105"/>
    </row>
    <row r="23" spans="1:12" ht="13.5" hidden="1" x14ac:dyDescent="0.25">
      <c r="A23" s="131"/>
      <c r="B23" s="119" t="str">
        <f>IFERROR(VLOOKUP(H23,[1]SEMIELABORADOS!$A$2:$M$6000,2,0),"")</f>
        <v/>
      </c>
      <c r="C23" s="132">
        <f t="shared" si="4"/>
        <v>0</v>
      </c>
      <c r="D23" s="132" t="str">
        <f>IFERROR(VLOOKUP(H23,[1]SEMIELABORADOS!$A$2:$M$6000,6,0),"")</f>
        <v/>
      </c>
      <c r="E23" s="133" t="str">
        <f>IFERROR(VLOOKUP(H23,[1]SEMIELABORADOS!$A$2:$H$65536,8,0),"")</f>
        <v/>
      </c>
      <c r="F23" s="133" t="str">
        <f t="shared" si="5"/>
        <v/>
      </c>
      <c r="G23" s="104" t="str">
        <f t="shared" si="3"/>
        <v/>
      </c>
      <c r="H23" s="134"/>
      <c r="I23" s="134"/>
      <c r="J23" s="105"/>
    </row>
    <row r="24" spans="1:12" ht="13.5" hidden="1" x14ac:dyDescent="0.25">
      <c r="A24" s="131"/>
      <c r="B24" s="119" t="str">
        <f>IFERROR(VLOOKUP(H24,[1]SEMIELABORADOS!$A$2:$M$6000,2,0),"")</f>
        <v/>
      </c>
      <c r="C24" s="132">
        <f t="shared" si="4"/>
        <v>0</v>
      </c>
      <c r="D24" s="132" t="str">
        <f>IFERROR(VLOOKUP(H24,[1]SEMIELABORADOS!$A$2:$M$6000,6,0),"")</f>
        <v/>
      </c>
      <c r="E24" s="133" t="str">
        <f>IFERROR(VLOOKUP(H24,[1]SEMIELABORADOS!$A$2:$H$65536,8,0),"")</f>
        <v/>
      </c>
      <c r="F24" s="133" t="str">
        <f t="shared" si="5"/>
        <v/>
      </c>
      <c r="G24" s="104" t="str">
        <f t="shared" si="3"/>
        <v/>
      </c>
      <c r="H24" s="134"/>
      <c r="I24" s="134"/>
      <c r="J24" s="105"/>
    </row>
    <row r="25" spans="1:12" ht="14.25" thickBot="1" x14ac:dyDescent="0.3">
      <c r="A25" s="131"/>
      <c r="C25" s="132"/>
      <c r="D25" s="132"/>
      <c r="E25" s="133"/>
      <c r="F25" s="133"/>
      <c r="G25" s="104"/>
      <c r="H25" s="134"/>
      <c r="I25" s="134"/>
      <c r="J25" s="105"/>
    </row>
    <row r="26" spans="1:12" ht="39" thickBot="1" x14ac:dyDescent="0.3">
      <c r="A26" s="126" t="s">
        <v>132</v>
      </c>
      <c r="B26" s="127" t="s">
        <v>63</v>
      </c>
      <c r="C26" s="127" t="s">
        <v>132</v>
      </c>
      <c r="D26" s="128" t="s">
        <v>134</v>
      </c>
      <c r="E26" s="128" t="s">
        <v>135</v>
      </c>
      <c r="F26" s="128" t="s">
        <v>136</v>
      </c>
      <c r="G26" s="128" t="s">
        <v>137</v>
      </c>
      <c r="H26" s="129" t="s">
        <v>138</v>
      </c>
      <c r="I26" s="130"/>
    </row>
    <row r="27" spans="1:12" ht="13.5" x14ac:dyDescent="0.25">
      <c r="A27" s="131">
        <v>1</v>
      </c>
      <c r="B27" s="135" t="str">
        <f>IFERROR(VLOOKUP(H27,'[1]Consolidado MP Planta'!$A$2:$M$823,3,0),"")</f>
        <v>ORLA #9  DORADA (UND)</v>
      </c>
      <c r="C27" s="132">
        <f t="shared" ref="C27:C33" si="6">+A27</f>
        <v>1</v>
      </c>
      <c r="D27" s="133" t="str">
        <f>IFERROR(VLOOKUP(H27,'[1]Consolidado MP Planta'!$A$2:$M$823,13,0),"")</f>
        <v>Und</v>
      </c>
      <c r="E27" s="133">
        <v>135</v>
      </c>
      <c r="F27" s="133">
        <f t="shared" ref="F27:F33" si="7">IFERROR(C27*E27,"")</f>
        <v>135</v>
      </c>
      <c r="G27" s="104">
        <f t="shared" ref="G27:G33" si="8">IFERROR(F27/$F$67,"")</f>
        <v>3.5004159888546077E-2</v>
      </c>
      <c r="H27" s="136" t="s">
        <v>189</v>
      </c>
      <c r="I27" s="136"/>
      <c r="J27" s="105"/>
      <c r="K27" s="274"/>
      <c r="L27" s="274"/>
    </row>
    <row r="28" spans="1:12" ht="13.5" x14ac:dyDescent="0.25">
      <c r="A28" s="131">
        <v>1</v>
      </c>
      <c r="B28" s="135" t="s">
        <v>192</v>
      </c>
      <c r="C28" s="132">
        <f t="shared" si="6"/>
        <v>1</v>
      </c>
      <c r="D28" s="133" t="s">
        <v>191</v>
      </c>
      <c r="E28" s="133">
        <v>463.63</v>
      </c>
      <c r="F28" s="133">
        <f t="shared" si="7"/>
        <v>463.63</v>
      </c>
      <c r="G28" s="104">
        <f t="shared" si="8"/>
        <v>0.12021465666019718</v>
      </c>
      <c r="H28" s="136" t="s">
        <v>190</v>
      </c>
      <c r="I28" s="136"/>
      <c r="J28" s="105"/>
      <c r="K28" s="274"/>
      <c r="L28" s="274"/>
    </row>
    <row r="29" spans="1:12" ht="13.5" x14ac:dyDescent="0.25">
      <c r="A29" s="131">
        <v>1</v>
      </c>
      <c r="B29" s="135" t="str">
        <f>IFERROR(VLOOKUP(H29,'[1]Consolidado MP Planta'!$A$2:$M$823,3,0),"")</f>
        <v>ETIQUETA BLANCA 2 5/8X1 15/16 (UND)</v>
      </c>
      <c r="C29" s="132">
        <f t="shared" si="6"/>
        <v>1</v>
      </c>
      <c r="D29" s="133" t="str">
        <f>IFERROR(VLOOKUP(H29,'[1]Consolidado MP Planta'!$A$2:$M$823,13,0),"")</f>
        <v>Und</v>
      </c>
      <c r="E29" s="133">
        <f>IFERROR(VLOOKUP(H29,'[1]Consolidado MP Planta'!$A$2:$M$823,12,0),"")</f>
        <v>2.1280000000000001</v>
      </c>
      <c r="F29" s="133">
        <f t="shared" si="7"/>
        <v>2.1280000000000001</v>
      </c>
      <c r="G29" s="104">
        <f t="shared" si="8"/>
        <v>5.5176927587278558E-4</v>
      </c>
      <c r="H29" s="136" t="s">
        <v>38</v>
      </c>
      <c r="I29" s="136"/>
      <c r="J29" s="105"/>
      <c r="K29" s="274"/>
      <c r="L29" s="274"/>
    </row>
    <row r="30" spans="1:12" ht="13.5" x14ac:dyDescent="0.25">
      <c r="A30" s="131">
        <v>1</v>
      </c>
      <c r="B30" s="135" t="str">
        <f>IFERROR(VLOOKUP(H30,'[1]Consolidado MP Planta'!$A$2:$M$823,3,0),"")</f>
        <v>ETIQ.BLANCA 1 1/4 * 3/4 (UND)</v>
      </c>
      <c r="C30" s="132">
        <f t="shared" si="6"/>
        <v>1</v>
      </c>
      <c r="D30" s="133" t="str">
        <f>IFERROR(VLOOKUP(H30,'[1]Consolidado MP Planta'!$A$2:$M$823,13,0),"")</f>
        <v>Und</v>
      </c>
      <c r="E30" s="133">
        <f>IFERROR(VLOOKUP(H30,'[1]Consolidado MP Planta'!$A$2:$M$823,12,0),"")</f>
        <v>0.57999999999999996</v>
      </c>
      <c r="F30" s="133">
        <f t="shared" si="7"/>
        <v>0.57999999999999996</v>
      </c>
      <c r="G30" s="104">
        <f t="shared" si="8"/>
        <v>1.5038824248412387E-4</v>
      </c>
      <c r="H30" s="136" t="s">
        <v>65</v>
      </c>
      <c r="I30" s="136"/>
      <c r="J30" s="105"/>
      <c r="K30" s="274"/>
      <c r="L30" s="274"/>
    </row>
    <row r="31" spans="1:12" ht="13.5" x14ac:dyDescent="0.25">
      <c r="A31" s="131">
        <v>1</v>
      </c>
      <c r="B31" s="135" t="str">
        <f>IFERROR(VLOOKUP(H31,'[1]Consolidado MP Planta'!$A$2:$M$823,3,0),"")</f>
        <v>ETIQUETA IMP. SPOON MEDIANA V-273 (UND)</v>
      </c>
      <c r="C31" s="132">
        <f t="shared" ref="C31" si="9">+A31</f>
        <v>1</v>
      </c>
      <c r="D31" s="133" t="str">
        <f>IFERROR(VLOOKUP(H31,'[1]Consolidado MP Planta'!$A$2:$M$823,13,0),"")</f>
        <v>Und</v>
      </c>
      <c r="E31" s="133">
        <f>IFERROR(VLOOKUP(H31,'[1]Consolidado MP Planta'!$A$2:$M$823,12,0),"")</f>
        <v>35.9</v>
      </c>
      <c r="F31" s="133">
        <f t="shared" ref="F31" si="10">IFERROR(C31*E31,"")</f>
        <v>35.9</v>
      </c>
      <c r="G31" s="104">
        <f t="shared" si="8"/>
        <v>9.3085136296207713E-3</v>
      </c>
      <c r="H31" s="136" t="s">
        <v>197</v>
      </c>
      <c r="I31" s="136"/>
      <c r="J31" s="105"/>
      <c r="K31" s="117"/>
      <c r="L31" s="117"/>
    </row>
    <row r="32" spans="1:12" ht="13.5" x14ac:dyDescent="0.25">
      <c r="A32" s="131">
        <v>1</v>
      </c>
      <c r="B32" s="135" t="str">
        <f>IFERROR(VLOOKUP(H32,'[1]Consolidado MP Planta'!$A$2:$M$823,3,0),"")</f>
        <v>ETIQ.FECHA VENCIMIENTO VERDE (ROLLO)</v>
      </c>
      <c r="C32" s="132">
        <f t="shared" si="6"/>
        <v>1</v>
      </c>
      <c r="D32" s="133" t="str">
        <f>IFERROR(VLOOKUP(H32,'[1]Consolidado MP Planta'!$A$2:$M$823,13,0),"")</f>
        <v>Und</v>
      </c>
      <c r="E32" s="133">
        <f>IFERROR(VLOOKUP(H32,'[1]Consolidado MP Planta'!$A$2:$M$823,12,0),"")</f>
        <v>0.33333333333333331</v>
      </c>
      <c r="F32" s="133">
        <f t="shared" si="7"/>
        <v>0.33333333333333331</v>
      </c>
      <c r="G32" s="104">
        <f t="shared" si="8"/>
        <v>8.6430024416163153E-5</v>
      </c>
      <c r="H32" s="136" t="s">
        <v>97</v>
      </c>
      <c r="I32" s="136"/>
      <c r="J32" s="105"/>
      <c r="K32" s="137"/>
      <c r="L32" s="138"/>
    </row>
    <row r="33" spans="1:13" ht="13.5" x14ac:dyDescent="0.25">
      <c r="A33" s="131">
        <v>60</v>
      </c>
      <c r="B33" s="135" t="str">
        <f>IFERROR(VLOOKUP(H33,'[1]Consolidado MP Planta'!$A$2:$M$823,3,0),"")</f>
        <v>CINTA ADHESIVA TRANSPARENT 2*100 M (UND)</v>
      </c>
      <c r="C33" s="132">
        <f t="shared" si="6"/>
        <v>60</v>
      </c>
      <c r="D33" s="133" t="str">
        <f>IFERROR(VLOOKUP(H33,'[1]Consolidado MP Planta'!$A$2:$M$823,13,0),"")</f>
        <v>Cm</v>
      </c>
      <c r="E33" s="133">
        <f>IFERROR(VLOOKUP(H33,'[1]Consolidado MP Planta'!$A$2:$M$823,12,0),"")</f>
        <v>0.17499999999999999</v>
      </c>
      <c r="F33" s="133">
        <f t="shared" si="7"/>
        <v>10.5</v>
      </c>
      <c r="G33" s="104">
        <f t="shared" si="8"/>
        <v>2.7225457691091395E-3</v>
      </c>
      <c r="H33" s="136" t="s">
        <v>64</v>
      </c>
      <c r="I33" s="136"/>
      <c r="J33" s="105"/>
    </row>
    <row r="34" spans="1:13" ht="14.25" thickBot="1" x14ac:dyDescent="0.3">
      <c r="A34" s="131"/>
      <c r="B34" s="135"/>
      <c r="C34" s="132"/>
      <c r="D34" s="133"/>
      <c r="E34" s="133"/>
      <c r="F34" s="133"/>
      <c r="G34" s="104"/>
      <c r="H34" s="136"/>
      <c r="I34" s="136"/>
      <c r="J34" s="105"/>
    </row>
    <row r="35" spans="1:13" ht="39" thickBot="1" x14ac:dyDescent="0.25">
      <c r="A35" s="126" t="s">
        <v>132</v>
      </c>
      <c r="B35" s="127" t="s">
        <v>140</v>
      </c>
      <c r="C35" s="127" t="s">
        <v>132</v>
      </c>
      <c r="D35" s="128" t="s">
        <v>134</v>
      </c>
      <c r="E35" s="128" t="s">
        <v>135</v>
      </c>
      <c r="F35" s="128" t="s">
        <v>136</v>
      </c>
      <c r="G35" s="128" t="s">
        <v>137</v>
      </c>
      <c r="H35" s="129" t="s">
        <v>138</v>
      </c>
      <c r="I35" s="136"/>
      <c r="J35" s="105"/>
    </row>
    <row r="36" spans="1:13" ht="13.5" x14ac:dyDescent="0.25">
      <c r="A36" s="131">
        <f t="shared" ref="A36:A42" si="11">+A17</f>
        <v>1</v>
      </c>
      <c r="B36" s="135" t="s">
        <v>95</v>
      </c>
      <c r="C36" s="132">
        <f>+A36</f>
        <v>1</v>
      </c>
      <c r="D36" s="133" t="s">
        <v>187</v>
      </c>
      <c r="E36" s="133">
        <f>+'Costo Rosquete '!H54</f>
        <v>22.887690232818507</v>
      </c>
      <c r="F36" s="133">
        <f>IFERROR(E36*C36,"")</f>
        <v>22.887690232818507</v>
      </c>
      <c r="G36" s="104">
        <f t="shared" ref="G36:G42" si="12">IFERROR(F36/$F$67,"")</f>
        <v>5.9345508769562474E-3</v>
      </c>
      <c r="H36" s="136" t="s">
        <v>179</v>
      </c>
      <c r="I36" s="136"/>
      <c r="J36" s="105"/>
    </row>
    <row r="37" spans="1:13" ht="13.5" x14ac:dyDescent="0.25">
      <c r="A37" s="131">
        <f t="shared" si="11"/>
        <v>1</v>
      </c>
      <c r="B37" s="135" t="s">
        <v>96</v>
      </c>
      <c r="C37" s="132">
        <f t="shared" ref="C37:C42" si="13">+A37</f>
        <v>1</v>
      </c>
      <c r="D37" s="133" t="s">
        <v>187</v>
      </c>
      <c r="E37" s="133">
        <f>+'Costo Chesse Cake Dulce Leche '!H60</f>
        <v>3.0982905982905977E-3</v>
      </c>
      <c r="F37" s="133">
        <f t="shared" ref="F37:F42" si="14">IFERROR(E37*C37,"")</f>
        <v>3.0982905982905977E-3</v>
      </c>
      <c r="G37" s="104">
        <f t="shared" si="12"/>
        <v>8.0335599617587532E-7</v>
      </c>
      <c r="H37" s="136" t="s">
        <v>179</v>
      </c>
      <c r="I37" s="136"/>
      <c r="J37" s="105"/>
    </row>
    <row r="38" spans="1:13" ht="13.5" x14ac:dyDescent="0.25">
      <c r="A38" s="131">
        <f t="shared" si="11"/>
        <v>240</v>
      </c>
      <c r="B38" s="135" t="s">
        <v>98</v>
      </c>
      <c r="C38" s="132">
        <f t="shared" si="13"/>
        <v>240</v>
      </c>
      <c r="D38" s="133" t="s">
        <v>178</v>
      </c>
      <c r="E38" s="133">
        <f>+[3]Hoja1!$M$17</f>
        <v>0</v>
      </c>
      <c r="F38" s="133">
        <f t="shared" si="14"/>
        <v>0</v>
      </c>
      <c r="G38" s="104">
        <f t="shared" si="12"/>
        <v>0</v>
      </c>
      <c r="H38" s="136" t="s">
        <v>179</v>
      </c>
      <c r="I38" s="136"/>
      <c r="J38" s="105"/>
    </row>
    <row r="39" spans="1:13" ht="13.5" x14ac:dyDescent="0.25">
      <c r="A39" s="131">
        <f t="shared" si="11"/>
        <v>70</v>
      </c>
      <c r="B39" s="135" t="s">
        <v>99</v>
      </c>
      <c r="C39" s="132">
        <f>+A39</f>
        <v>70</v>
      </c>
      <c r="D39" s="133" t="s">
        <v>178</v>
      </c>
      <c r="E39" s="133">
        <f>+'Costo Crema Vino tinto'!E76</f>
        <v>3.2584269662921345E-5</v>
      </c>
      <c r="F39" s="133">
        <f>IFERROR(E39*C39,"")</f>
        <v>2.2808988764044941E-3</v>
      </c>
      <c r="G39" s="104">
        <f t="shared" si="12"/>
        <v>5.9141443673531864E-7</v>
      </c>
      <c r="H39" s="136" t="s">
        <v>179</v>
      </c>
      <c r="I39" s="136"/>
      <c r="J39" s="105"/>
    </row>
    <row r="40" spans="1:13" ht="13.5" hidden="1" x14ac:dyDescent="0.25">
      <c r="A40" s="131">
        <f t="shared" si="11"/>
        <v>0</v>
      </c>
      <c r="B40" s="135" t="str">
        <f>IFERROR(VLOOKUP(H40,[1]SEMIELABORADOS!$A$2:$M$6000,2,0),"")</f>
        <v/>
      </c>
      <c r="C40" s="132">
        <f>+A40</f>
        <v>0</v>
      </c>
      <c r="D40" s="133" t="str">
        <f>IFERROR(VLOOKUP(H40,[1]SEMIELABORADOS!$A$2:$M$6000,6,0),"")</f>
        <v/>
      </c>
      <c r="E40" s="133" t="str">
        <f>IFERROR(VLOOKUP(H40,[1]SEMIELABORADOS!$A$2:$M$65536,10,0),"")</f>
        <v/>
      </c>
      <c r="F40" s="133" t="str">
        <f>IFERROR(E40*C40,"")</f>
        <v/>
      </c>
      <c r="G40" s="104" t="str">
        <f t="shared" si="12"/>
        <v/>
      </c>
      <c r="H40" s="136"/>
      <c r="I40" s="136"/>
      <c r="J40" s="105"/>
    </row>
    <row r="41" spans="1:13" ht="13.5" hidden="1" x14ac:dyDescent="0.25">
      <c r="A41" s="131">
        <f t="shared" si="11"/>
        <v>0</v>
      </c>
      <c r="B41" s="135" t="str">
        <f>IFERROR(VLOOKUP(H41,[1]SEMIELABORADOS!$A$2:$M$6000,2,0),"")</f>
        <v/>
      </c>
      <c r="C41" s="132">
        <f t="shared" si="13"/>
        <v>0</v>
      </c>
      <c r="D41" s="133" t="str">
        <f>IFERROR(VLOOKUP(H41,[1]SEMIELABORADOS!$A$2:$M$6000,6,0),"")</f>
        <v/>
      </c>
      <c r="E41" s="133" t="str">
        <f>IFERROR(VLOOKUP(H41,[1]SEMIELABORADOS!$A$2:$M$65536,10,0),"")</f>
        <v/>
      </c>
      <c r="F41" s="133" t="str">
        <f t="shared" si="14"/>
        <v/>
      </c>
      <c r="G41" s="104" t="str">
        <f t="shared" si="12"/>
        <v/>
      </c>
      <c r="H41" s="136"/>
      <c r="I41" s="136"/>
      <c r="J41" s="105"/>
    </row>
    <row r="42" spans="1:13" ht="13.5" hidden="1" x14ac:dyDescent="0.25">
      <c r="A42" s="131">
        <f t="shared" si="11"/>
        <v>0</v>
      </c>
      <c r="B42" s="135" t="str">
        <f>IFERROR(VLOOKUP(H42,[1]SEMIELABORADOS!$A$2:$M$6000,2,0),"")</f>
        <v/>
      </c>
      <c r="C42" s="132">
        <f t="shared" si="13"/>
        <v>0</v>
      </c>
      <c r="D42" s="133" t="str">
        <f>IFERROR(VLOOKUP(H42,[1]SEMIELABORADOS!$A$2:$M$6000,6,0),"")</f>
        <v/>
      </c>
      <c r="E42" s="133" t="str">
        <f>IFERROR(VLOOKUP(H42,[1]SEMIELABORADOS!$A$2:$M$65536,10,0),"")</f>
        <v/>
      </c>
      <c r="F42" s="133" t="str">
        <f t="shared" si="14"/>
        <v/>
      </c>
      <c r="G42" s="104" t="str">
        <f t="shared" si="12"/>
        <v/>
      </c>
      <c r="H42" s="136"/>
      <c r="I42" s="136"/>
      <c r="J42" s="105"/>
    </row>
    <row r="43" spans="1:13" ht="14.25" thickBot="1" x14ac:dyDescent="0.3">
      <c r="A43" s="131"/>
      <c r="B43" s="135"/>
      <c r="C43" s="132"/>
      <c r="D43" s="133"/>
      <c r="E43" s="133"/>
      <c r="F43" s="133"/>
      <c r="G43" s="104"/>
      <c r="H43" s="136"/>
      <c r="I43" s="136"/>
      <c r="J43" s="105"/>
    </row>
    <row r="44" spans="1:13" ht="39" thickBot="1" x14ac:dyDescent="0.3">
      <c r="A44" s="126" t="s">
        <v>132</v>
      </c>
      <c r="B44" s="127" t="s">
        <v>141</v>
      </c>
      <c r="C44" s="127" t="s">
        <v>132</v>
      </c>
      <c r="D44" s="128" t="s">
        <v>134</v>
      </c>
      <c r="E44" s="128" t="s">
        <v>135</v>
      </c>
      <c r="F44" s="128" t="s">
        <v>136</v>
      </c>
      <c r="G44" s="128" t="s">
        <v>137</v>
      </c>
      <c r="H44" s="129" t="s">
        <v>138</v>
      </c>
      <c r="I44" s="130"/>
      <c r="J44" s="105"/>
    </row>
    <row r="45" spans="1:13" ht="13.5" x14ac:dyDescent="0.25">
      <c r="A45" s="131">
        <f>+A36</f>
        <v>1</v>
      </c>
      <c r="B45" s="135" t="s">
        <v>95</v>
      </c>
      <c r="C45" s="132">
        <f>+A45</f>
        <v>1</v>
      </c>
      <c r="D45" s="133" t="s">
        <v>187</v>
      </c>
      <c r="E45" s="133">
        <f>+'Costo Rosquete '!H56</f>
        <v>74.884313903957846</v>
      </c>
      <c r="F45" s="133">
        <f>IFERROR(E45*C45,"")</f>
        <v>74.884313903957846</v>
      </c>
      <c r="G45" s="104">
        <f>IFERROR(F45/$F$67,"")</f>
        <v>1.9416759237320107E-2</v>
      </c>
      <c r="H45" s="136" t="s">
        <v>179</v>
      </c>
      <c r="I45" s="130"/>
      <c r="J45" s="105"/>
    </row>
    <row r="46" spans="1:13" ht="13.5" x14ac:dyDescent="0.25">
      <c r="A46" s="131">
        <f t="shared" ref="A46:A51" si="15">+A37</f>
        <v>1</v>
      </c>
      <c r="B46" s="135" t="s">
        <v>96</v>
      </c>
      <c r="C46" s="132">
        <f t="shared" ref="C46:C51" si="16">+A46</f>
        <v>1</v>
      </c>
      <c r="D46" s="133" t="s">
        <v>187</v>
      </c>
      <c r="E46" s="133">
        <f>+'Costo Chesse Cake Dulce Leche '!H62</f>
        <v>51.666666666666664</v>
      </c>
      <c r="F46" s="133">
        <f t="shared" ref="F46:F51" si="17">IFERROR(E46*C46,"")</f>
        <v>51.666666666666664</v>
      </c>
      <c r="G46" s="104">
        <f t="shared" ref="G46:G51" si="18">IFERROR(F46/$F$67,"")</f>
        <v>1.3396653784505289E-2</v>
      </c>
      <c r="H46" s="136" t="s">
        <v>179</v>
      </c>
      <c r="I46" s="130"/>
      <c r="J46" s="105"/>
      <c r="M46" s="139"/>
    </row>
    <row r="47" spans="1:13" ht="13.5" x14ac:dyDescent="0.25">
      <c r="A47" s="131">
        <f t="shared" si="15"/>
        <v>240</v>
      </c>
      <c r="B47" s="135" t="s">
        <v>98</v>
      </c>
      <c r="C47" s="132">
        <f t="shared" si="16"/>
        <v>240</v>
      </c>
      <c r="D47" s="133" t="s">
        <v>178</v>
      </c>
      <c r="E47" s="133" t="e">
        <f>+#REF!</f>
        <v>#REF!</v>
      </c>
      <c r="F47" s="133" t="str">
        <f t="shared" si="17"/>
        <v/>
      </c>
      <c r="G47" s="104" t="str">
        <f t="shared" si="18"/>
        <v/>
      </c>
      <c r="H47" s="136" t="s">
        <v>179</v>
      </c>
      <c r="I47" s="130"/>
      <c r="J47" s="105"/>
    </row>
    <row r="48" spans="1:13" ht="13.5" x14ac:dyDescent="0.25">
      <c r="A48" s="131">
        <f t="shared" si="15"/>
        <v>70</v>
      </c>
      <c r="B48" s="135" t="s">
        <v>99</v>
      </c>
      <c r="C48" s="132">
        <f t="shared" si="16"/>
        <v>70</v>
      </c>
      <c r="D48" s="133" t="s">
        <v>178</v>
      </c>
      <c r="E48" s="133">
        <f>+'Costo Crema Vino tinto'!E74</f>
        <v>3.2584269662921349E-2</v>
      </c>
      <c r="F48" s="133">
        <f t="shared" si="17"/>
        <v>2.2808988764044944</v>
      </c>
      <c r="G48" s="104">
        <f t="shared" si="18"/>
        <v>5.9141443673531866E-4</v>
      </c>
      <c r="H48" s="136" t="s">
        <v>179</v>
      </c>
      <c r="I48" s="130"/>
      <c r="J48" s="105"/>
    </row>
    <row r="49" spans="1:17" ht="13.5" hidden="1" x14ac:dyDescent="0.25">
      <c r="A49" s="131">
        <f t="shared" si="15"/>
        <v>0</v>
      </c>
      <c r="B49" s="135" t="str">
        <f>IFERROR(VLOOKUP(H49,[1]SEMIELABORADOS!$A$2:$M$6000,2,0),"")</f>
        <v/>
      </c>
      <c r="C49" s="132">
        <f t="shared" si="16"/>
        <v>0</v>
      </c>
      <c r="D49" s="133" t="str">
        <f>IFERROR(VLOOKUP(H49,[1]SEMIELABORADOS!$A$2:$M$6000,6,0),"")</f>
        <v/>
      </c>
      <c r="E49" s="133" t="str">
        <f>IFERROR(VLOOKUP(H49,[1]SEMIELABORADOS!$A$2:$M$65536,12,0),"")</f>
        <v/>
      </c>
      <c r="F49" s="133" t="str">
        <f t="shared" si="17"/>
        <v/>
      </c>
      <c r="G49" s="104" t="str">
        <f t="shared" si="18"/>
        <v/>
      </c>
      <c r="H49" s="136"/>
      <c r="I49" s="130"/>
      <c r="J49" s="105"/>
    </row>
    <row r="50" spans="1:17" ht="13.5" hidden="1" x14ac:dyDescent="0.25">
      <c r="A50" s="131">
        <f t="shared" si="15"/>
        <v>0</v>
      </c>
      <c r="B50" s="135" t="str">
        <f>IFERROR(VLOOKUP(H50,[1]SEMIELABORADOS!$A$2:$M$6000,2,0),"")</f>
        <v/>
      </c>
      <c r="C50" s="132">
        <f t="shared" si="16"/>
        <v>0</v>
      </c>
      <c r="D50" s="133" t="str">
        <f>IFERROR(VLOOKUP(H50,[1]SEMIELABORADOS!$A$2:$M$6000,6,0),"")</f>
        <v/>
      </c>
      <c r="E50" s="133" t="str">
        <f>IFERROR(VLOOKUP(H50,[1]SEMIELABORADOS!$A$2:$M$65536,12,0),"")</f>
        <v/>
      </c>
      <c r="F50" s="133" t="str">
        <f t="shared" si="17"/>
        <v/>
      </c>
      <c r="G50" s="104" t="str">
        <f t="shared" si="18"/>
        <v/>
      </c>
      <c r="H50" s="136"/>
      <c r="I50" s="130"/>
      <c r="J50" s="105"/>
    </row>
    <row r="51" spans="1:17" ht="13.5" hidden="1" x14ac:dyDescent="0.25">
      <c r="A51" s="131">
        <f t="shared" si="15"/>
        <v>0</v>
      </c>
      <c r="B51" s="135" t="str">
        <f>IFERROR(VLOOKUP(H51,[1]SEMIELABORADOS!$A$2:$M$6000,2,0),"")</f>
        <v/>
      </c>
      <c r="C51" s="132">
        <f t="shared" si="16"/>
        <v>0</v>
      </c>
      <c r="D51" s="133" t="str">
        <f>IFERROR(VLOOKUP(H51,[1]SEMIELABORADOS!$A$2:$M$6000,6,0),"")</f>
        <v/>
      </c>
      <c r="E51" s="133" t="str">
        <f>IFERROR(VLOOKUP(H51,[1]SEMIELABORADOS!$A$2:$M$65536,12,0),"")</f>
        <v/>
      </c>
      <c r="F51" s="133" t="str">
        <f t="shared" si="17"/>
        <v/>
      </c>
      <c r="G51" s="104" t="str">
        <f t="shared" si="18"/>
        <v/>
      </c>
      <c r="H51" s="135"/>
      <c r="I51" s="130"/>
      <c r="J51" s="105"/>
    </row>
    <row r="52" spans="1:17" ht="13.5" x14ac:dyDescent="0.25">
      <c r="A52" s="131">
        <v>1</v>
      </c>
      <c r="B52" s="135" t="s">
        <v>142</v>
      </c>
      <c r="C52" s="132">
        <f>+A52</f>
        <v>1</v>
      </c>
      <c r="D52" s="132" t="s">
        <v>143</v>
      </c>
      <c r="E52" s="133">
        <f>+F66</f>
        <v>406</v>
      </c>
      <c r="F52" s="133">
        <f>IFERROR(C52*E52,"")</f>
        <v>406</v>
      </c>
      <c r="G52" s="104">
        <f>IFERROR(F52/$F$67,"")</f>
        <v>0.10527176973888673</v>
      </c>
      <c r="H52" s="140"/>
      <c r="I52" s="140"/>
      <c r="J52" s="105"/>
    </row>
    <row r="53" spans="1:17" ht="14.25" thickBot="1" x14ac:dyDescent="0.3">
      <c r="A53" s="131"/>
      <c r="B53" s="135"/>
      <c r="C53" s="132"/>
      <c r="D53" s="132"/>
      <c r="E53" s="133"/>
      <c r="F53" s="133"/>
      <c r="G53" s="104"/>
      <c r="H53" s="140"/>
      <c r="I53" s="140"/>
      <c r="J53" s="105"/>
    </row>
    <row r="54" spans="1:17" ht="13.5" thickBot="1" x14ac:dyDescent="0.3">
      <c r="A54" s="141"/>
      <c r="B54" s="277" t="s">
        <v>144</v>
      </c>
      <c r="C54" s="277"/>
      <c r="D54" s="277"/>
      <c r="E54" s="277"/>
      <c r="F54" s="143">
        <f>SUM(F8:F14,F17:F24)</f>
        <v>2725.215757030252</v>
      </c>
      <c r="G54" s="104">
        <f>+F54/$F$67</f>
        <v>0.70662139325831175</v>
      </c>
      <c r="H54" s="144">
        <f>+F54/$D$61</f>
        <v>2725.215757030252</v>
      </c>
      <c r="I54" s="144"/>
      <c r="J54" s="110"/>
      <c r="K54" s="145"/>
      <c r="L54" s="145"/>
      <c r="M54" s="145"/>
      <c r="N54" s="145"/>
      <c r="O54" s="145"/>
      <c r="P54" s="145"/>
      <c r="Q54" s="146"/>
    </row>
    <row r="55" spans="1:17" x14ac:dyDescent="0.2">
      <c r="A55" s="141"/>
      <c r="B55" s="277" t="s">
        <v>145</v>
      </c>
      <c r="C55" s="277"/>
      <c r="D55" s="277"/>
      <c r="E55" s="277"/>
      <c r="F55" s="143">
        <f>SUM(F27:F33,F36:F42)</f>
        <v>670.96440275562657</v>
      </c>
      <c r="G55" s="104">
        <f>+F55/$F$67</f>
        <v>0.1739744091376354</v>
      </c>
      <c r="H55" s="144">
        <f>+F55/$D$61</f>
        <v>670.96440275562657</v>
      </c>
      <c r="I55" s="144"/>
      <c r="J55" s="147"/>
      <c r="K55" s="286" t="s">
        <v>146</v>
      </c>
      <c r="L55" s="287"/>
      <c r="M55" s="287"/>
      <c r="N55" s="287"/>
      <c r="O55" s="148">
        <f>+F56</f>
        <v>3396.1801597858785</v>
      </c>
      <c r="P55" s="148"/>
      <c r="Q55" s="149"/>
    </row>
    <row r="56" spans="1:17" x14ac:dyDescent="0.2">
      <c r="A56" s="141"/>
      <c r="B56" s="277" t="s">
        <v>147</v>
      </c>
      <c r="C56" s="277"/>
      <c r="D56" s="277"/>
      <c r="E56" s="277"/>
      <c r="F56" s="143">
        <f>+F54+F55</f>
        <v>3396.1801597858785</v>
      </c>
      <c r="G56" s="104">
        <f>+F56/$F$67</f>
        <v>0.88059580239594715</v>
      </c>
      <c r="H56" s="144">
        <f>+F56/$D$61</f>
        <v>3396.1801597858785</v>
      </c>
      <c r="I56" s="144"/>
      <c r="J56" s="111"/>
      <c r="K56" s="150"/>
      <c r="M56" s="151" t="s">
        <v>148</v>
      </c>
      <c r="N56" s="152"/>
      <c r="O56" s="148">
        <f>+H57</f>
        <v>534.831879447029</v>
      </c>
      <c r="P56" s="148"/>
      <c r="Q56" s="149"/>
    </row>
    <row r="57" spans="1:17" ht="13.5" thickBot="1" x14ac:dyDescent="0.25">
      <c r="A57" s="141"/>
      <c r="B57" s="142"/>
      <c r="C57" s="277" t="s">
        <v>149</v>
      </c>
      <c r="D57" s="277"/>
      <c r="E57" s="277"/>
      <c r="F57" s="143">
        <f>SUM(F45:F52)</f>
        <v>534.831879447029</v>
      </c>
      <c r="G57" s="104">
        <f>+F57/$F$67</f>
        <v>0.13867659719744743</v>
      </c>
      <c r="H57" s="144">
        <f>+F57/$D$61</f>
        <v>534.831879447029</v>
      </c>
      <c r="I57" s="144"/>
      <c r="J57" s="111"/>
      <c r="K57" s="150"/>
      <c r="L57" s="150"/>
      <c r="M57" s="150" t="s">
        <v>150</v>
      </c>
      <c r="N57" s="113"/>
      <c r="O57" s="148">
        <f>O55*N57</f>
        <v>0</v>
      </c>
      <c r="P57" s="148"/>
      <c r="Q57" s="149"/>
    </row>
    <row r="58" spans="1:17" ht="13.5" thickBot="1" x14ac:dyDescent="0.25">
      <c r="A58" s="141"/>
      <c r="B58" s="153"/>
      <c r="C58" s="153"/>
      <c r="D58" s="153"/>
      <c r="E58" s="153"/>
      <c r="F58" s="154"/>
      <c r="G58" s="104"/>
      <c r="H58" s="155"/>
      <c r="I58" s="144"/>
      <c r="J58" s="111"/>
      <c r="K58" s="156"/>
      <c r="M58" s="157" t="s">
        <v>151</v>
      </c>
      <c r="N58" s="158"/>
      <c r="O58" s="159">
        <f>SUM(O55:O57)</f>
        <v>3931.0120392329072</v>
      </c>
      <c r="P58" s="160"/>
      <c r="Q58" s="149"/>
    </row>
    <row r="59" spans="1:17" x14ac:dyDescent="0.2">
      <c r="B59" s="292" t="s">
        <v>152</v>
      </c>
      <c r="C59" s="292"/>
      <c r="D59" s="161">
        <v>1070</v>
      </c>
      <c r="E59" s="162"/>
      <c r="G59" s="104"/>
      <c r="H59" s="155"/>
      <c r="I59" s="163"/>
      <c r="J59" s="111"/>
      <c r="K59" s="156"/>
      <c r="L59" s="150"/>
      <c r="M59" s="150" t="s">
        <v>153</v>
      </c>
      <c r="N59" s="109">
        <v>0.16</v>
      </c>
      <c r="O59" s="148">
        <f>+O55*N59</f>
        <v>543.3888255657406</v>
      </c>
      <c r="P59" s="148"/>
      <c r="Q59" s="149"/>
    </row>
    <row r="60" spans="1:17" x14ac:dyDescent="0.2">
      <c r="B60" s="292" t="s">
        <v>154</v>
      </c>
      <c r="C60" s="292"/>
      <c r="D60" s="164">
        <v>1070</v>
      </c>
      <c r="E60" s="162"/>
      <c r="G60" s="104"/>
      <c r="H60" s="155"/>
      <c r="I60" s="163"/>
      <c r="J60" s="111"/>
      <c r="K60" s="156"/>
      <c r="L60" s="150"/>
      <c r="M60" s="285" t="s">
        <v>151</v>
      </c>
      <c r="N60" s="285"/>
      <c r="O60" s="148">
        <f>SUM(O58:O59)</f>
        <v>4474.4008647986475</v>
      </c>
      <c r="P60" s="148"/>
      <c r="Q60" s="149"/>
    </row>
    <row r="61" spans="1:17" ht="13.5" thickBot="1" x14ac:dyDescent="0.25">
      <c r="B61" s="283" t="s">
        <v>155</v>
      </c>
      <c r="C61" s="283"/>
      <c r="D61" s="161">
        <f>+D59/D60</f>
        <v>1</v>
      </c>
      <c r="E61" s="162"/>
      <c r="F61" s="165"/>
      <c r="G61" s="104"/>
      <c r="H61" s="155"/>
      <c r="I61" s="163"/>
      <c r="J61" s="111"/>
      <c r="K61" s="156"/>
      <c r="L61" s="285"/>
      <c r="M61" s="285"/>
      <c r="N61" s="109"/>
      <c r="O61" s="148">
        <f>+O60*N61</f>
        <v>0</v>
      </c>
      <c r="P61" s="148"/>
      <c r="Q61" s="149"/>
    </row>
    <row r="62" spans="1:17" ht="13.5" thickBot="1" x14ac:dyDescent="0.25">
      <c r="B62" s="283" t="s">
        <v>156</v>
      </c>
      <c r="C62" s="283"/>
      <c r="D62" s="166"/>
      <c r="E62" s="162"/>
      <c r="F62" s="165"/>
      <c r="G62" s="104"/>
      <c r="H62" s="155"/>
      <c r="I62" s="163"/>
      <c r="J62" s="111"/>
      <c r="K62" s="289" t="s">
        <v>157</v>
      </c>
      <c r="L62" s="290"/>
      <c r="M62" s="290"/>
      <c r="N62" s="291"/>
      <c r="O62" s="159">
        <f>SUM(O60:O61)</f>
        <v>4474.4008647986475</v>
      </c>
      <c r="P62" s="167" t="s">
        <v>158</v>
      </c>
      <c r="Q62" s="149"/>
    </row>
    <row r="63" spans="1:17" ht="13.5" thickBot="1" x14ac:dyDescent="0.25">
      <c r="C63" s="141" t="s">
        <v>159</v>
      </c>
      <c r="D63" s="168"/>
      <c r="E63" s="117" t="s">
        <v>160</v>
      </c>
      <c r="F63" s="169" t="s">
        <v>161</v>
      </c>
      <c r="G63" s="104"/>
      <c r="H63" s="155"/>
      <c r="I63" s="163"/>
      <c r="J63" s="170"/>
      <c r="K63" s="171"/>
      <c r="L63" s="278" t="s">
        <v>162</v>
      </c>
      <c r="M63" s="278"/>
      <c r="N63" s="278"/>
      <c r="O63" s="172">
        <f>+O62/D61</f>
        <v>4474.4008647986475</v>
      </c>
      <c r="P63" s="173">
        <f>+O63/D60</f>
        <v>4.1816830512136889</v>
      </c>
      <c r="Q63" s="174"/>
    </row>
    <row r="64" spans="1:17" ht="13.5" thickBot="1" x14ac:dyDescent="0.25">
      <c r="B64" s="284" t="s">
        <v>147</v>
      </c>
      <c r="C64" s="284"/>
      <c r="D64" s="284"/>
      <c r="E64" s="106">
        <f>+F64/F64</f>
        <v>1</v>
      </c>
      <c r="F64" s="175">
        <f>SUM(F56)</f>
        <v>3396.1801597858785</v>
      </c>
      <c r="G64" s="104">
        <f>+F64/$F$67</f>
        <v>0.88059580239594715</v>
      </c>
      <c r="H64" s="155"/>
      <c r="I64" s="163"/>
      <c r="K64" s="275"/>
      <c r="L64" s="276"/>
      <c r="M64" s="276"/>
      <c r="N64" s="276"/>
      <c r="O64" s="176"/>
      <c r="P64" s="177"/>
    </row>
    <row r="65" spans="2:16" ht="13.5" thickBot="1" x14ac:dyDescent="0.3">
      <c r="B65" s="293" t="s">
        <v>163</v>
      </c>
      <c r="C65" s="293"/>
      <c r="D65" s="293"/>
      <c r="E65" s="178">
        <v>0.02</v>
      </c>
      <c r="F65" s="175">
        <f>+F54*E65</f>
        <v>54.504315140605044</v>
      </c>
      <c r="G65" s="104">
        <f>+F65/$F$67</f>
        <v>1.4132427865166235E-2</v>
      </c>
      <c r="H65" s="144"/>
      <c r="I65" s="163"/>
      <c r="J65" s="112"/>
      <c r="O65" s="179"/>
      <c r="P65" s="142"/>
    </row>
    <row r="66" spans="2:16" ht="13.5" thickBot="1" x14ac:dyDescent="0.3">
      <c r="B66" s="268" t="s">
        <v>164</v>
      </c>
      <c r="C66" s="269"/>
      <c r="D66" s="180">
        <v>7</v>
      </c>
      <c r="E66" s="181">
        <v>58</v>
      </c>
      <c r="F66" s="175">
        <f>+E66*D66</f>
        <v>406</v>
      </c>
      <c r="G66" s="104">
        <f>+F66/$F$67</f>
        <v>0.10527176973888673</v>
      </c>
      <c r="H66" s="144"/>
      <c r="I66" s="144"/>
      <c r="J66" s="105"/>
    </row>
    <row r="67" spans="2:16" ht="13.5" thickBot="1" x14ac:dyDescent="0.3">
      <c r="B67" s="265" t="s">
        <v>165</v>
      </c>
      <c r="C67" s="266"/>
      <c r="D67" s="266"/>
      <c r="E67" s="267"/>
      <c r="F67" s="154">
        <f>SUM(F64:F66)</f>
        <v>3856.6844749264833</v>
      </c>
      <c r="G67" s="104">
        <f>+F67/$F$67</f>
        <v>1</v>
      </c>
      <c r="H67" s="288"/>
      <c r="I67" s="144"/>
      <c r="J67" s="105"/>
      <c r="M67" s="119" t="s">
        <v>166</v>
      </c>
    </row>
    <row r="68" spans="2:16" x14ac:dyDescent="0.25">
      <c r="C68" s="139"/>
      <c r="D68" s="139"/>
      <c r="E68" s="183"/>
      <c r="F68" s="175"/>
      <c r="G68" s="104"/>
      <c r="H68" s="288"/>
      <c r="I68" s="182"/>
      <c r="J68" s="119"/>
      <c r="M68" s="119" t="s">
        <v>167</v>
      </c>
    </row>
    <row r="69" spans="2:16" ht="13.5" thickBot="1" x14ac:dyDescent="0.3">
      <c r="B69" s="264" t="s">
        <v>168</v>
      </c>
      <c r="C69" s="264"/>
      <c r="D69" s="264"/>
      <c r="E69" s="264"/>
      <c r="F69" s="264"/>
      <c r="G69" s="104"/>
      <c r="H69" s="185"/>
      <c r="I69" s="182"/>
      <c r="J69" s="119"/>
    </row>
    <row r="70" spans="2:16" ht="13.5" thickBot="1" x14ac:dyDescent="0.3">
      <c r="B70" s="186" t="s">
        <v>169</v>
      </c>
      <c r="C70" s="187">
        <f>+F54</f>
        <v>2725.215757030252</v>
      </c>
      <c r="D70" s="187">
        <f>+D59</f>
        <v>1070</v>
      </c>
      <c r="E70" s="188">
        <f>+C70/D70</f>
        <v>2.5469306140469645</v>
      </c>
      <c r="F70" s="104"/>
      <c r="G70" s="185"/>
      <c r="H70" s="105"/>
      <c r="I70" s="185"/>
      <c r="J70" s="119"/>
    </row>
    <row r="71" spans="2:16" x14ac:dyDescent="0.25">
      <c r="B71" s="189"/>
      <c r="C71" s="190"/>
      <c r="D71" s="191"/>
      <c r="E71" s="175"/>
      <c r="F71" s="104"/>
      <c r="G71" s="185"/>
      <c r="H71" s="105"/>
      <c r="I71" s="105"/>
      <c r="J71" s="119"/>
    </row>
    <row r="72" spans="2:16" x14ac:dyDescent="0.25">
      <c r="B72" s="186" t="s">
        <v>170</v>
      </c>
      <c r="C72" s="187">
        <f>SUM(F64:F65)</f>
        <v>3450.6844749264833</v>
      </c>
      <c r="D72" s="187">
        <f>+D59</f>
        <v>1070</v>
      </c>
      <c r="E72" s="192">
        <f>+C72/D72</f>
        <v>3.2249387616135357</v>
      </c>
      <c r="F72" s="104"/>
      <c r="G72" s="185"/>
      <c r="H72" s="105"/>
      <c r="I72" s="105"/>
      <c r="J72" s="119"/>
    </row>
    <row r="73" spans="2:16" x14ac:dyDescent="0.25">
      <c r="B73" s="186"/>
      <c r="C73" s="187"/>
      <c r="D73" s="187"/>
      <c r="E73" s="192"/>
      <c r="F73" s="104"/>
      <c r="G73" s="185"/>
      <c r="H73" s="105"/>
      <c r="I73" s="105"/>
      <c r="J73" s="119"/>
    </row>
    <row r="74" spans="2:16" ht="13.5" thickBot="1" x14ac:dyDescent="0.3">
      <c r="B74" s="186" t="s">
        <v>171</v>
      </c>
      <c r="C74" s="187">
        <f>+F66</f>
        <v>406</v>
      </c>
      <c r="D74" s="187">
        <f>+D59</f>
        <v>1070</v>
      </c>
      <c r="E74" s="192">
        <f>+C74/D74</f>
        <v>0.3794392523364486</v>
      </c>
      <c r="F74" s="104"/>
      <c r="G74" s="185"/>
      <c r="H74" s="105"/>
      <c r="I74" s="105"/>
      <c r="J74" s="119"/>
    </row>
    <row r="75" spans="2:16" ht="13.5" thickBot="1" x14ac:dyDescent="0.3">
      <c r="B75" s="186" t="s">
        <v>172</v>
      </c>
      <c r="C75" s="187">
        <f>+F57</f>
        <v>534.831879447029</v>
      </c>
      <c r="D75" s="187">
        <f>+D74</f>
        <v>1070</v>
      </c>
      <c r="E75" s="188">
        <f>+C75/D75</f>
        <v>0.49984287798787758</v>
      </c>
      <c r="F75" s="104"/>
      <c r="G75" s="185"/>
      <c r="H75" s="105"/>
      <c r="I75" s="105"/>
      <c r="J75" s="119"/>
    </row>
    <row r="76" spans="2:16" ht="13.5" thickBot="1" x14ac:dyDescent="0.3">
      <c r="B76" s="153"/>
      <c r="C76" s="154"/>
      <c r="D76" s="154"/>
      <c r="E76" s="192"/>
      <c r="F76" s="104"/>
      <c r="G76" s="185"/>
      <c r="H76" s="105"/>
      <c r="I76" s="105"/>
      <c r="J76" s="119"/>
    </row>
    <row r="77" spans="2:16" ht="13.5" thickBot="1" x14ac:dyDescent="0.3">
      <c r="B77" s="186" t="s">
        <v>173</v>
      </c>
      <c r="C77" s="187">
        <f>+F55</f>
        <v>670.96440275562657</v>
      </c>
      <c r="D77" s="187">
        <f>+D75</f>
        <v>1070</v>
      </c>
      <c r="E77" s="188">
        <f>+C77/D77</f>
        <v>0.62706953528563225</v>
      </c>
      <c r="F77" s="104"/>
      <c r="G77" s="185"/>
      <c r="H77" s="105"/>
      <c r="I77" s="105"/>
      <c r="J77" s="105"/>
    </row>
    <row r="78" spans="2:16" ht="13.5" thickBot="1" x14ac:dyDescent="0.3">
      <c r="B78" s="153"/>
      <c r="C78" s="154"/>
      <c r="D78" s="154"/>
      <c r="E78" s="192"/>
      <c r="F78" s="104"/>
      <c r="G78" s="185"/>
      <c r="H78" s="105"/>
      <c r="I78" s="105"/>
    </row>
    <row r="79" spans="2:16" ht="13.5" thickBot="1" x14ac:dyDescent="0.3">
      <c r="B79" s="270" t="s">
        <v>174</v>
      </c>
      <c r="C79" s="271"/>
      <c r="D79" s="272"/>
      <c r="E79" s="188">
        <f>+E70+E75</f>
        <v>3.0467734920348422</v>
      </c>
      <c r="G79" s="104"/>
      <c r="H79" s="185"/>
      <c r="I79" s="105"/>
      <c r="J79" s="192"/>
    </row>
    <row r="80" spans="2:16" x14ac:dyDescent="0.25">
      <c r="I80" s="185"/>
      <c r="J80" s="119"/>
    </row>
    <row r="81" spans="1:10" ht="13.5" thickBot="1" x14ac:dyDescent="0.3">
      <c r="B81" s="264" t="s">
        <v>175</v>
      </c>
      <c r="C81" s="264"/>
      <c r="D81" s="264"/>
      <c r="E81" s="264"/>
      <c r="F81" s="264"/>
      <c r="G81" s="104"/>
      <c r="H81" s="185"/>
      <c r="J81" s="119"/>
    </row>
    <row r="82" spans="1:10" ht="13.5" thickBot="1" x14ac:dyDescent="0.3">
      <c r="B82" s="186" t="s">
        <v>169</v>
      </c>
      <c r="C82" s="187">
        <f>+C70</f>
        <v>2725.215757030252</v>
      </c>
      <c r="D82" s="187">
        <f>+D61</f>
        <v>1</v>
      </c>
      <c r="E82" s="188">
        <f>+C82/D82</f>
        <v>2725.215757030252</v>
      </c>
      <c r="F82" s="104"/>
      <c r="G82" s="185"/>
      <c r="H82" s="105"/>
      <c r="I82" s="185"/>
      <c r="J82" s="119"/>
    </row>
    <row r="83" spans="1:10" x14ac:dyDescent="0.25">
      <c r="B83" s="189"/>
      <c r="C83" s="190"/>
      <c r="D83" s="191"/>
      <c r="E83" s="175"/>
      <c r="F83" s="104"/>
      <c r="G83" s="185"/>
      <c r="H83" s="105"/>
      <c r="I83" s="105"/>
      <c r="J83" s="119"/>
    </row>
    <row r="84" spans="1:10" x14ac:dyDescent="0.25">
      <c r="B84" s="186" t="s">
        <v>170</v>
      </c>
      <c r="C84" s="187">
        <f>+C72</f>
        <v>3450.6844749264833</v>
      </c>
      <c r="D84" s="187">
        <f>+D61</f>
        <v>1</v>
      </c>
      <c r="E84" s="192">
        <f>+C84/D84</f>
        <v>3450.6844749264833</v>
      </c>
      <c r="F84" s="104"/>
      <c r="G84" s="185"/>
      <c r="H84" s="105"/>
      <c r="I84" s="105"/>
      <c r="J84" s="119"/>
    </row>
    <row r="85" spans="1:10" x14ac:dyDescent="0.25">
      <c r="B85" s="186"/>
      <c r="C85" s="187"/>
      <c r="D85" s="187"/>
      <c r="E85" s="192"/>
      <c r="F85" s="104"/>
      <c r="G85" s="185"/>
      <c r="H85" s="105"/>
      <c r="I85" s="105"/>
      <c r="J85" s="119"/>
    </row>
    <row r="86" spans="1:10" ht="13.5" thickBot="1" x14ac:dyDescent="0.3">
      <c r="B86" s="186" t="s">
        <v>172</v>
      </c>
      <c r="C86" s="187">
        <f>+C74</f>
        <v>406</v>
      </c>
      <c r="D86" s="187">
        <f>+D61</f>
        <v>1</v>
      </c>
      <c r="E86" s="192">
        <f>+C86/D86</f>
        <v>406</v>
      </c>
      <c r="F86" s="193"/>
      <c r="G86" s="184"/>
      <c r="H86" s="118"/>
      <c r="I86" s="105"/>
    </row>
    <row r="87" spans="1:10" ht="13.5" thickBot="1" x14ac:dyDescent="0.3">
      <c r="B87" s="186" t="s">
        <v>172</v>
      </c>
      <c r="C87" s="187">
        <f>+C75</f>
        <v>534.831879447029</v>
      </c>
      <c r="D87" s="187">
        <f>+D86</f>
        <v>1</v>
      </c>
      <c r="E87" s="188">
        <f>+C87/D87</f>
        <v>534.831879447029</v>
      </c>
      <c r="F87" s="107"/>
      <c r="G87" s="184"/>
      <c r="H87" s="118"/>
      <c r="I87" s="118"/>
    </row>
    <row r="88" spans="1:10" x14ac:dyDescent="0.25">
      <c r="I88" s="118"/>
    </row>
    <row r="89" spans="1:10" x14ac:dyDescent="0.2">
      <c r="A89" s="263"/>
      <c r="B89" s="263"/>
      <c r="C89" s="194"/>
      <c r="D89" s="194"/>
      <c r="E89" s="195"/>
      <c r="G89" s="108"/>
    </row>
    <row r="90" spans="1:10" x14ac:dyDescent="0.2">
      <c r="A90" s="135"/>
      <c r="B90" s="196"/>
      <c r="C90" s="197"/>
      <c r="D90" s="197"/>
      <c r="E90" s="198"/>
      <c r="G90" s="108"/>
    </row>
    <row r="91" spans="1:10" x14ac:dyDescent="0.2">
      <c r="A91" s="135"/>
      <c r="B91" s="196"/>
      <c r="C91" s="199"/>
      <c r="D91" s="199"/>
      <c r="E91" s="135"/>
      <c r="G91" s="108"/>
    </row>
    <row r="92" spans="1:10" x14ac:dyDescent="0.2">
      <c r="A92" s="135"/>
      <c r="B92" s="196"/>
      <c r="C92" s="200"/>
      <c r="D92" s="200"/>
      <c r="E92" s="135"/>
      <c r="G92" s="108"/>
    </row>
  </sheetData>
  <mergeCells count="30">
    <mergeCell ref="B69:F69"/>
    <mergeCell ref="B79:D79"/>
    <mergeCell ref="B81:F81"/>
    <mergeCell ref="A89:B89"/>
    <mergeCell ref="L63:N63"/>
    <mergeCell ref="B64:D64"/>
    <mergeCell ref="K64:N64"/>
    <mergeCell ref="B65:D65"/>
    <mergeCell ref="B66:C66"/>
    <mergeCell ref="B67:E67"/>
    <mergeCell ref="H67:H68"/>
    <mergeCell ref="B62:C62"/>
    <mergeCell ref="K62:N62"/>
    <mergeCell ref="K30:L30"/>
    <mergeCell ref="B54:E54"/>
    <mergeCell ref="B55:E55"/>
    <mergeCell ref="K55:N55"/>
    <mergeCell ref="B56:E56"/>
    <mergeCell ref="C57:E57"/>
    <mergeCell ref="B59:C59"/>
    <mergeCell ref="B60:C60"/>
    <mergeCell ref="M60:N60"/>
    <mergeCell ref="B61:C61"/>
    <mergeCell ref="L61:M61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43831-04F7-4710-A885-0453B7858DC1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16CC7-44D1-4ECA-8436-514B1C5F5ED3}">
  <dimension ref="A1"/>
  <sheetViews>
    <sheetView workbookViewId="0">
      <selection activeCell="E10" sqref="E10"/>
    </sheetView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B89F3FC-4DDD-4EB9-9730-EB921F666EF5}"/>
</file>

<file path=customXml/itemProps2.xml><?xml version="1.0" encoding="utf-8"?>
<ds:datastoreItem xmlns:ds="http://schemas.openxmlformats.org/officeDocument/2006/customXml" ds:itemID="{3AD7CDD9-6CAB-4BA2-9E3E-4EAA98E9A6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FD6371-923D-4E64-9E2B-0D8E98389BBB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Costo Premezcla </vt:lpstr>
      <vt:lpstr>Hoja1</vt:lpstr>
      <vt:lpstr>Costo Batido</vt:lpstr>
      <vt:lpstr>Mezcla engrase moldes</vt:lpstr>
      <vt:lpstr>Costo Rosquete </vt:lpstr>
      <vt:lpstr>Costo Chesse Cake Dulce Leche </vt:lpstr>
      <vt:lpstr>Relleno Suspiro Limeño</vt:lpstr>
      <vt:lpstr>Costo Crema Vino tinto</vt:lpstr>
      <vt:lpstr>Costo Ensamble locales </vt:lpstr>
      <vt:lpstr>Costo ensamble Industria </vt:lpstr>
      <vt:lpstr>Hoja8</vt:lpstr>
      <vt:lpstr>Hoja9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Miguel Coto Consultor</cp:lastModifiedBy>
  <cp:lastPrinted>2025-01-06T23:17:40Z</cp:lastPrinted>
  <dcterms:created xsi:type="dcterms:W3CDTF">2021-10-11T17:59:25Z</dcterms:created>
  <dcterms:modified xsi:type="dcterms:W3CDTF">2025-01-06T23:17:53Z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9200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
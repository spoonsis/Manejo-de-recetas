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A1BA4FDA-206A-4C44-9495-4C02DB525AC5}" xr6:coauthVersionLast="47" xr6:coauthVersionMax="47" xr10:uidLastSave="{8386637C-5DCB-4635-97BD-0C7BC381CB9B}"/>
  <bookViews>
    <workbookView xWindow="-120" yWindow="-120" windowWidth="29040" windowHeight="15840" tabRatio="908" xr2:uid="{00000000-000D-0000-FFFF-FFFF00000000}"/>
  </bookViews>
  <sheets>
    <sheet name="Hoja1" sheetId="14" r:id="rId1"/>
    <sheet name="Premezcla Nucleo choco Dawn" sheetId="11" state="hidden" r:id="rId2"/>
    <sheet name="Batido nucleo Choco Dawn" sheetId="12" state="hidden" r:id="rId3"/>
    <sheet name="Rosquete Chocolate Dawn " sheetId="13" state="hidden" r:id="rId4"/>
  </sheets>
  <definedNames>
    <definedName name="_xlnm.Print_Area" localSheetId="0">Hoja1!$A$1:$I$49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14" l="1"/>
  <c r="E11" i="14"/>
  <c r="E10" i="14"/>
  <c r="K18" i="14"/>
  <c r="C31" i="11"/>
  <c r="C28" i="11"/>
  <c r="C31" i="12"/>
  <c r="C30" i="12"/>
  <c r="F10" i="12"/>
  <c r="C21" i="13"/>
  <c r="C19" i="13"/>
  <c r="I18" i="13"/>
  <c r="C17" i="13"/>
  <c r="F14" i="13"/>
  <c r="I13" i="13"/>
  <c r="F13" i="13"/>
  <c r="I12" i="13"/>
  <c r="F12" i="13"/>
  <c r="I11" i="13"/>
  <c r="F11" i="13"/>
  <c r="D11" i="13"/>
  <c r="F10" i="13"/>
  <c r="F9" i="13"/>
  <c r="I8" i="13"/>
  <c r="F8" i="13"/>
</calcChain>
</file>

<file path=xl/sharedStrings.xml><?xml version="1.0" encoding="utf-8"?>
<sst xmlns="http://schemas.openxmlformats.org/spreadsheetml/2006/main" count="268" uniqueCount="122">
  <si>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</si>
  <si>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</si>
  <si>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</si>
  <si>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</si>
  <si>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</si>
  <si>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</si>
  <si>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</si>
  <si>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</si>
  <si>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</si>
  <si>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</si>
  <si>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</si>
  <si>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</si>
  <si>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</si>
  <si>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</si>
  <si>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</si>
  <si>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</si>
  <si>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</si>
  <si>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</si>
  <si>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FAS</t>
  </si>
  <si>
    <t>g</t>
  </si>
  <si>
    <t>ud</t>
  </si>
  <si>
    <t>0702007</t>
  </si>
  <si>
    <t>Etiplast</t>
  </si>
  <si>
    <t>0702123</t>
  </si>
  <si>
    <t>Unidad</t>
  </si>
  <si>
    <t>PESO TOTAL OBTENIDO</t>
  </si>
  <si>
    <t>Tiempo de Horneo:</t>
  </si>
  <si>
    <t>TIEMPO TOTAL DE PREPARACION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</si>
  <si>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</si>
  <si>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</si>
  <si>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</si>
  <si>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</si>
  <si>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</si>
  <si>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</si>
  <si>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</si>
  <si>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10415</t>
  </si>
  <si>
    <t>AGUA POTABLE (PLANTA)</t>
  </si>
  <si>
    <t>PRESERVANTE 1047S (PAQ=5 KILO)</t>
  </si>
  <si>
    <t>ASEAL</t>
  </si>
  <si>
    <t>ETIQUETA BLANCA 2 5/8X1 15/16 (UND)</t>
  </si>
  <si>
    <t>ETIPLAST</t>
  </si>
  <si>
    <t>min</t>
  </si>
  <si>
    <t>Tanda</t>
  </si>
  <si>
    <t>Control de cambios</t>
  </si>
  <si>
    <t>Min</t>
  </si>
  <si>
    <t>EMPAQUE</t>
  </si>
  <si>
    <t>ESP-RE-BAS-149</t>
  </si>
  <si>
    <t>02</t>
  </si>
  <si>
    <t>907000265 ROSQUETE CHOCOLATE DAWN 530g</t>
  </si>
  <si>
    <t>23/03/2023</t>
  </si>
  <si>
    <t>BATIDO NUCLEO CHOCOLATE DAWN</t>
  </si>
  <si>
    <t>MEZCLA P/ENGRASE MOLDES KILO</t>
  </si>
  <si>
    <t>Fas</t>
  </si>
  <si>
    <t>1950928</t>
  </si>
  <si>
    <t>BOLSA TRANSPARENTE 56X96X1.80 KILO</t>
  </si>
  <si>
    <t>Plasticos P</t>
  </si>
  <si>
    <t>ETIQ.FECHA VENCIMIENTO BLANCO (ROLLO)</t>
  </si>
  <si>
    <t>PESO POR PORCION</t>
  </si>
  <si>
    <t>1.- Dosificar 530g de mezcla en moldes engrasados. Hornear en Dicte 1 o 2 a 185°C por 58 min</t>
  </si>
  <si>
    <t>2.- Enfriar y colocar en latas limpias, 12 unidades por lata, envolver en bolsa plastica y etiquetar con fecha de producción.</t>
  </si>
  <si>
    <t>2, Cambio de Horneo</t>
  </si>
  <si>
    <t>ESP-RE-BAS-148</t>
  </si>
  <si>
    <t>907000264 Batido Nucleo Chocolate Dawn</t>
  </si>
  <si>
    <t>Javier Tong, chf</t>
  </si>
  <si>
    <t>AREA QUE PRODUCE:</t>
  </si>
  <si>
    <t>Premezcla</t>
  </si>
  <si>
    <t xml:space="preserve">AREA QUE EMPACA: </t>
  </si>
  <si>
    <t>Premezcla Batido Nucleo Chocolate Dawn</t>
  </si>
  <si>
    <t xml:space="preserve">HUEVO ENTERO PASTERI INNOVO ( CAJA: 10 K) </t>
  </si>
  <si>
    <t>INNOVO</t>
  </si>
  <si>
    <t>ACEITE CAPULLO RBD (UND:17 L)</t>
  </si>
  <si>
    <t>CAPULLO</t>
  </si>
  <si>
    <t>1, Disolver el preservante y el polvo de hornear con el agua y ayuda de un batidor de mano.</t>
  </si>
  <si>
    <t>2, Colocar los liquidos en la batidora, posterior agregar los ingredientes secos</t>
  </si>
  <si>
    <t>3, Batir por 1 min en velocidad 1. Con paleta</t>
  </si>
  <si>
    <t>4, Batir 5 min en velocidad 2. con Paleta</t>
  </si>
  <si>
    <t>2, Cambio en procedimiento</t>
  </si>
  <si>
    <t>ESP-RE-PRES-127</t>
  </si>
  <si>
    <t>04</t>
  </si>
  <si>
    <t>906000130 Premezcla Batido Nucleo Chocolate Dawn</t>
  </si>
  <si>
    <t>15/03/2023</t>
  </si>
  <si>
    <t>AZUCAR BLANCO INDUSTRIAL (SACO:50 K)</t>
  </si>
  <si>
    <t>LAICA</t>
  </si>
  <si>
    <t>HARINA SILVER CAKE</t>
  </si>
  <si>
    <t>FAHACASA</t>
  </si>
  <si>
    <t>HARINA VERDE</t>
  </si>
  <si>
    <t>POLVO HORNEAR FLEISHMAN (PAQ:2.5 K)</t>
  </si>
  <si>
    <t>FLEISHMAN</t>
  </si>
  <si>
    <t>COCAO DUTCH PROCESS (SACO:25KG)</t>
  </si>
  <si>
    <t>DUTCH</t>
  </si>
  <si>
    <t>GOMA XANTANA</t>
  </si>
  <si>
    <t>MABAKER &amp; CHEF</t>
  </si>
  <si>
    <t>COCENTRADO CHOCOLATE DAWN</t>
  </si>
  <si>
    <t>DAWN</t>
  </si>
  <si>
    <t>BOLSA 17x25 TRANSP KILO</t>
  </si>
  <si>
    <t>ETIQUETA ROJA LETRA ALERJENO (UND)</t>
  </si>
  <si>
    <t>BOLSA 8x12 TRANSPARENTE KILO</t>
  </si>
  <si>
    <t>1, En una bolsa 17x25 empacar el azucar. Etiquetar</t>
  </si>
  <si>
    <t>2, En una bolsa 17x25 empacar las harinas, concentrado, la cocoa y la goma. Etiquetar</t>
  </si>
  <si>
    <t>3, En una bolsa 8*12 pesar el polvo de hornear y el preservante. Colcoarla dentro de la bolsa de harinas.</t>
  </si>
  <si>
    <t>2, Se pesa el preservante y el polvo de hornear por aparte.</t>
  </si>
  <si>
    <t>Revision #3 : actualizacion de la cocoa</t>
  </si>
  <si>
    <t>4, Actualizacion de procedimiento y bolsas</t>
  </si>
  <si>
    <t>Decoracion</t>
  </si>
  <si>
    <t>CREMA CHANTILLY BLANCA SPOON-IND KILO</t>
  </si>
  <si>
    <t>2.- Etiquetar con nombre y fecha de vencimiento.</t>
  </si>
  <si>
    <t># Código Netsuite</t>
  </si>
  <si>
    <t>EM10011</t>
  </si>
  <si>
    <t>SE00010</t>
  </si>
  <si>
    <t>CONTROL DE CAMBIOS</t>
  </si>
  <si>
    <t>Decoración</t>
  </si>
  <si>
    <t>Ensamble</t>
  </si>
  <si>
    <t>Empaque</t>
  </si>
  <si>
    <t>ESP-RE-DES-049</t>
  </si>
  <si>
    <t>1.- Mezclar en la top cream la crema montada (18° temperatura maxima) con la galleta oreo molida, darle tres vueltas para incorporarlo bien. ( no exceder ya que el color puede oscurecer. )</t>
  </si>
  <si>
    <t xml:space="preserve">3.- Mantener en refrigeración hasta su uso </t>
  </si>
  <si>
    <t>MP10617</t>
  </si>
  <si>
    <t>Galleta Oreo Entera 1/12 UD</t>
  </si>
  <si>
    <t xml:space="preserve">2.Actualización procedimiento y se cambia a galleta oreo entera </t>
  </si>
  <si>
    <t xml:space="preserve"> SE00513 Crema OREO</t>
  </si>
  <si>
    <t>3, Se actualizan datos receta y pesos finales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</si>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</sst>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32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color indexed="8"/>
      <name val="Century Gothic"/>
      <family val="2"/>
    </font>
    <font>
      <sz val="10"/>
      <name val="Arial"/>
      <family val="2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sz val="10"/>
      <color rgb="FFFF0000"/>
      <name val="Arial"/>
      <family val="2"/>
    </font>
    <font>
      <sz val="9.85"/>
      <color indexed="8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name val="Arial"/>
      <family val="2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6">
    <xf numFmtId="0" fontId="0" fillId="0" borderId="0"/>
    <xf numFmtId="0" fontId="1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9" fillId="0" borderId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" fillId="0" borderId="0"/>
    <xf numFmtId="0" fontId="22" fillId="0" borderId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85">
    <xf numFmtId="0" fontId="0" fillId="0" borderId="0" xfId="0"/>
    <xf numFmtId="9" fontId="2" fillId="2" borderId="0" xfId="4" applyFont="1" applyFill="1"/>
    <xf numFmtId="0" fontId="2" fillId="2" borderId="0" xfId="0" applyFont="1" applyFill="1"/>
    <xf numFmtId="0" fontId="4" fillId="4" borderId="3" xfId="0" applyFont="1" applyFill="1" applyBorder="1" applyAlignment="1">
      <alignment horizontal="center" vertical="center" wrapText="1"/>
    </xf>
    <xf numFmtId="1" fontId="4" fillId="4" borderId="26" xfId="0" applyNumberFormat="1" applyFont="1" applyFill="1" applyBorder="1" applyAlignment="1">
      <alignment horizontal="center"/>
    </xf>
    <xf numFmtId="1" fontId="4" fillId="4" borderId="26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horizontal="center"/>
    </xf>
    <xf numFmtId="1" fontId="2" fillId="0" borderId="6" xfId="0" applyNumberFormat="1" applyFont="1" applyBorder="1" applyAlignment="1">
      <alignment horizontal="center" wrapText="1"/>
    </xf>
    <xf numFmtId="1" fontId="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7" fillId="0" borderId="6" xfId="0" applyNumberFormat="1" applyFont="1" applyBorder="1" applyAlignment="1">
      <alignment horizontal="center" wrapText="1"/>
    </xf>
    <xf numFmtId="1" fontId="2" fillId="0" borderId="14" xfId="0" applyNumberFormat="1" applyFont="1" applyBorder="1" applyAlignment="1">
      <alignment horizontal="center"/>
    </xf>
    <xf numFmtId="49" fontId="7" fillId="0" borderId="28" xfId="0" applyNumberFormat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9" fontId="8" fillId="2" borderId="8" xfId="0" applyNumberFormat="1" applyFont="1" applyFill="1" applyBorder="1" applyAlignment="1">
      <alignment horizontal="center" vertical="center"/>
    </xf>
    <xf numFmtId="1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 wrapText="1"/>
    </xf>
    <xf numFmtId="0" fontId="2" fillId="2" borderId="31" xfId="0" applyFont="1" applyFill="1" applyBorder="1" applyAlignment="1">
      <alignment horizontal="center"/>
    </xf>
    <xf numFmtId="0" fontId="2" fillId="2" borderId="0" xfId="0" applyFont="1" applyFill="1" applyAlignment="1">
      <alignment horizontal="left" indent="1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/>
    <xf numFmtId="0" fontId="4" fillId="4" borderId="33" xfId="0" applyFont="1" applyFill="1" applyBorder="1" applyAlignment="1">
      <alignment horizontal="center"/>
    </xf>
    <xf numFmtId="1" fontId="4" fillId="4" borderId="33" xfId="0" applyNumberFormat="1" applyFont="1" applyFill="1" applyBorder="1" applyAlignment="1">
      <alignment horizontal="center"/>
    </xf>
    <xf numFmtId="164" fontId="2" fillId="4" borderId="33" xfId="0" applyNumberFormat="1" applyFont="1" applyFill="1" applyBorder="1" applyAlignment="1">
      <alignment horizontal="center" wrapText="1"/>
    </xf>
    <xf numFmtId="0" fontId="2" fillId="4" borderId="34" xfId="0" applyFont="1" applyFill="1" applyBorder="1" applyAlignment="1">
      <alignment horizontal="center"/>
    </xf>
    <xf numFmtId="0" fontId="2" fillId="0" borderId="37" xfId="0" applyFont="1" applyBorder="1" applyAlignment="1">
      <alignment horizontal="center"/>
    </xf>
    <xf numFmtId="1" fontId="2" fillId="0" borderId="26" xfId="0" applyNumberFormat="1" applyFont="1" applyBorder="1" applyAlignment="1">
      <alignment horizontal="center"/>
    </xf>
    <xf numFmtId="0" fontId="8" fillId="2" borderId="0" xfId="0" applyFont="1" applyFill="1" applyAlignment="1">
      <alignment vertical="center"/>
    </xf>
    <xf numFmtId="0" fontId="4" fillId="4" borderId="27" xfId="0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1" fontId="7" fillId="0" borderId="6" xfId="0" applyNumberFormat="1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0" fillId="0" borderId="45" xfId="0" applyBorder="1" applyAlignment="1">
      <alignment horizontal="left" vertical="center"/>
    </xf>
    <xf numFmtId="0" fontId="0" fillId="0" borderId="4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4" fillId="2" borderId="2" xfId="12" applyFont="1" applyFill="1" applyBorder="1" applyAlignment="1">
      <alignment horizontal="right"/>
    </xf>
    <xf numFmtId="0" fontId="2" fillId="2" borderId="3" xfId="12" applyFont="1" applyFill="1" applyBorder="1" applyAlignment="1">
      <alignment horizontal="center"/>
    </xf>
    <xf numFmtId="0" fontId="4" fillId="2" borderId="6" xfId="12" applyFont="1" applyFill="1" applyBorder="1" applyAlignment="1">
      <alignment horizontal="right"/>
    </xf>
    <xf numFmtId="49" fontId="2" fillId="2" borderId="7" xfId="12" applyNumberFormat="1" applyFont="1" applyFill="1" applyBorder="1" applyAlignment="1">
      <alignment horizontal="center"/>
    </xf>
    <xf numFmtId="0" fontId="2" fillId="2" borderId="14" xfId="12" applyFont="1" applyFill="1" applyBorder="1" applyAlignment="1">
      <alignment horizontal="right"/>
    </xf>
    <xf numFmtId="0" fontId="2" fillId="2" borderId="6" xfId="12" applyFont="1" applyFill="1" applyBorder="1" applyAlignment="1">
      <alignment horizontal="right"/>
    </xf>
    <xf numFmtId="0" fontId="6" fillId="0" borderId="0" xfId="0" applyFont="1"/>
    <xf numFmtId="1" fontId="7" fillId="2" borderId="6" xfId="0" applyNumberFormat="1" applyFont="1" applyFill="1" applyBorder="1" applyAlignment="1">
      <alignment horizontal="center"/>
    </xf>
    <xf numFmtId="49" fontId="11" fillId="0" borderId="5" xfId="0" applyNumberFormat="1" applyFont="1" applyBorder="1"/>
    <xf numFmtId="49" fontId="7" fillId="0" borderId="30" xfId="0" applyNumberFormat="1" applyFont="1" applyBorder="1" applyAlignment="1">
      <alignment horizontal="center"/>
    </xf>
    <xf numFmtId="49" fontId="10" fillId="0" borderId="6" xfId="0" applyNumberFormat="1" applyFont="1" applyBorder="1"/>
    <xf numFmtId="0" fontId="7" fillId="0" borderId="22" xfId="0" applyFont="1" applyBorder="1" applyAlignment="1">
      <alignment horizontal="center"/>
    </xf>
    <xf numFmtId="0" fontId="6" fillId="0" borderId="6" xfId="0" applyFont="1" applyBorder="1"/>
    <xf numFmtId="0" fontId="14" fillId="2" borderId="2" xfId="12" applyFont="1" applyFill="1" applyBorder="1" applyAlignment="1">
      <alignment horizontal="right"/>
    </xf>
    <xf numFmtId="0" fontId="6" fillId="2" borderId="3" xfId="12" applyFont="1" applyFill="1" applyBorder="1" applyAlignment="1">
      <alignment horizontal="center"/>
    </xf>
    <xf numFmtId="0" fontId="6" fillId="2" borderId="0" xfId="0" applyFont="1" applyFill="1"/>
    <xf numFmtId="0" fontId="14" fillId="2" borderId="6" xfId="12" applyFont="1" applyFill="1" applyBorder="1" applyAlignment="1">
      <alignment horizontal="right"/>
    </xf>
    <xf numFmtId="49" fontId="6" fillId="2" borderId="7" xfId="12" applyNumberFormat="1" applyFont="1" applyFill="1" applyBorder="1" applyAlignment="1">
      <alignment horizontal="center"/>
    </xf>
    <xf numFmtId="0" fontId="6" fillId="2" borderId="6" xfId="12" applyFont="1" applyFill="1" applyBorder="1" applyAlignment="1">
      <alignment horizontal="right"/>
    </xf>
    <xf numFmtId="0" fontId="6" fillId="2" borderId="26" xfId="12" applyFont="1" applyFill="1" applyBorder="1" applyAlignment="1">
      <alignment horizontal="right"/>
    </xf>
    <xf numFmtId="0" fontId="6" fillId="2" borderId="0" xfId="12" applyFont="1" applyFill="1" applyAlignment="1">
      <alignment horizontal="center"/>
    </xf>
    <xf numFmtId="0" fontId="6" fillId="2" borderId="0" xfId="12" applyFont="1" applyFill="1" applyAlignment="1">
      <alignment horizontal="right"/>
    </xf>
    <xf numFmtId="0" fontId="6" fillId="2" borderId="0" xfId="12" applyFont="1" applyFill="1" applyAlignment="1">
      <alignment horizontal="left"/>
    </xf>
    <xf numFmtId="0" fontId="14" fillId="2" borderId="0" xfId="12" applyFont="1" applyFill="1" applyAlignment="1">
      <alignment horizontal="right" vertical="top" wrapText="1"/>
    </xf>
    <xf numFmtId="14" fontId="6" fillId="2" borderId="0" xfId="12" applyNumberFormat="1" applyFont="1" applyFill="1" applyAlignment="1">
      <alignment horizontal="center" vertical="center" wrapText="1"/>
    </xf>
    <xf numFmtId="14" fontId="16" fillId="2" borderId="0" xfId="12" applyNumberFormat="1" applyFont="1" applyFill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1" fontId="14" fillId="4" borderId="26" xfId="0" applyNumberFormat="1" applyFont="1" applyFill="1" applyBorder="1" applyAlignment="1">
      <alignment horizontal="center"/>
    </xf>
    <xf numFmtId="1" fontId="14" fillId="4" borderId="26" xfId="0" applyNumberFormat="1" applyFont="1" applyFill="1" applyBorder="1" applyAlignment="1">
      <alignment horizontal="center" wrapText="1"/>
    </xf>
    <xf numFmtId="0" fontId="14" fillId="4" borderId="27" xfId="0" applyFont="1" applyFill="1" applyBorder="1" applyAlignment="1">
      <alignment horizontal="center"/>
    </xf>
    <xf numFmtId="0" fontId="1" fillId="0" borderId="6" xfId="2" applyFont="1" applyBorder="1" applyAlignment="1">
      <alignment horizontal="center"/>
    </xf>
    <xf numFmtId="1" fontId="6" fillId="0" borderId="14" xfId="0" applyNumberFormat="1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14" fillId="5" borderId="42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48" xfId="0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17" fillId="0" borderId="41" xfId="0" applyFont="1" applyBorder="1" applyAlignment="1">
      <alignment horizontal="center" vertical="center"/>
    </xf>
    <xf numFmtId="0" fontId="18" fillId="0" borderId="14" xfId="0" applyFont="1" applyBorder="1"/>
    <xf numFmtId="16" fontId="19" fillId="0" borderId="6" xfId="2" applyNumberFormat="1" applyFont="1" applyBorder="1" applyAlignment="1">
      <alignment horizontal="center"/>
    </xf>
    <xf numFmtId="1" fontId="19" fillId="0" borderId="6" xfId="2" applyNumberFormat="1" applyFont="1" applyBorder="1" applyAlignment="1">
      <alignment horizontal="center"/>
    </xf>
    <xf numFmtId="1" fontId="19" fillId="0" borderId="6" xfId="2" applyNumberFormat="1" applyFont="1" applyBorder="1" applyAlignment="1">
      <alignment horizontal="center" wrapText="1"/>
    </xf>
    <xf numFmtId="1" fontId="6" fillId="0" borderId="6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14" fillId="5" borderId="7" xfId="0" applyFont="1" applyFill="1" applyBorder="1" applyAlignment="1">
      <alignment horizontal="center"/>
    </xf>
    <xf numFmtId="49" fontId="19" fillId="0" borderId="28" xfId="2" applyNumberFormat="1" applyFont="1" applyBorder="1" applyAlignment="1">
      <alignment horizontal="center"/>
    </xf>
    <xf numFmtId="49" fontId="6" fillId="0" borderId="6" xfId="2" applyNumberFormat="1" applyBorder="1"/>
    <xf numFmtId="49" fontId="14" fillId="0" borderId="6" xfId="2" applyNumberFormat="1" applyFont="1" applyBorder="1"/>
    <xf numFmtId="49" fontId="19" fillId="5" borderId="28" xfId="0" applyNumberFormat="1" applyFont="1" applyFill="1" applyBorder="1" applyAlignment="1">
      <alignment horizontal="right"/>
    </xf>
    <xf numFmtId="49" fontId="6" fillId="5" borderId="6" xfId="0" applyNumberFormat="1" applyFont="1" applyFill="1" applyBorder="1"/>
    <xf numFmtId="0" fontId="1" fillId="0" borderId="6" xfId="0" applyFont="1" applyBorder="1"/>
    <xf numFmtId="0" fontId="6" fillId="0" borderId="7" xfId="0" applyFont="1" applyBorder="1" applyAlignment="1">
      <alignment horizontal="center"/>
    </xf>
    <xf numFmtId="0" fontId="6" fillId="0" borderId="28" xfId="0" quotePrefix="1" applyFont="1" applyBorder="1" applyAlignment="1">
      <alignment horizontal="right"/>
    </xf>
    <xf numFmtId="0" fontId="6" fillId="0" borderId="6" xfId="0" quotePrefix="1" applyFont="1" applyBorder="1"/>
    <xf numFmtId="0" fontId="19" fillId="0" borderId="6" xfId="0" applyFont="1" applyBorder="1"/>
    <xf numFmtId="1" fontId="6" fillId="0" borderId="6" xfId="0" applyNumberFormat="1" applyFont="1" applyBorder="1" applyAlignment="1">
      <alignment horizontal="center" wrapText="1"/>
    </xf>
    <xf numFmtId="49" fontId="20" fillId="2" borderId="8" xfId="0" applyNumberFormat="1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/>
    </xf>
    <xf numFmtId="164" fontId="6" fillId="2" borderId="0" xfId="0" applyNumberFormat="1" applyFont="1" applyFill="1" applyAlignment="1">
      <alignment horizontal="center" wrapText="1"/>
    </xf>
    <xf numFmtId="0" fontId="6" fillId="2" borderId="31" xfId="0" applyFont="1" applyFill="1" applyBorder="1" applyAlignment="1">
      <alignment horizontal="center"/>
    </xf>
    <xf numFmtId="0" fontId="6" fillId="2" borderId="0" xfId="0" applyFont="1" applyFill="1" applyAlignment="1">
      <alignment horizontal="left" indent="1"/>
    </xf>
    <xf numFmtId="0" fontId="6" fillId="4" borderId="32" xfId="0" applyFont="1" applyFill="1" applyBorder="1" applyAlignment="1">
      <alignment horizontal="center"/>
    </xf>
    <xf numFmtId="0" fontId="6" fillId="4" borderId="33" xfId="0" applyFont="1" applyFill="1" applyBorder="1"/>
    <xf numFmtId="0" fontId="14" fillId="4" borderId="33" xfId="0" applyFont="1" applyFill="1" applyBorder="1" applyAlignment="1">
      <alignment horizontal="center"/>
    </xf>
    <xf numFmtId="1" fontId="14" fillId="4" borderId="33" xfId="0" applyNumberFormat="1" applyFont="1" applyFill="1" applyBorder="1" applyAlignment="1">
      <alignment horizontal="center"/>
    </xf>
    <xf numFmtId="164" fontId="6" fillId="4" borderId="33" xfId="0" applyNumberFormat="1" applyFont="1" applyFill="1" applyBorder="1" applyAlignment="1">
      <alignment horizontal="center" wrapText="1"/>
    </xf>
    <xf numFmtId="0" fontId="6" fillId="4" borderId="34" xfId="0" applyFont="1" applyFill="1" applyBorder="1" applyAlignment="1">
      <alignment horizontal="center"/>
    </xf>
    <xf numFmtId="0" fontId="6" fillId="0" borderId="37" xfId="0" applyFont="1" applyBorder="1" applyAlignment="1">
      <alignment horizontal="center"/>
    </xf>
    <xf numFmtId="0" fontId="14" fillId="0" borderId="6" xfId="0" applyFont="1" applyBorder="1" applyAlignment="1">
      <alignment horizontal="center"/>
    </xf>
    <xf numFmtId="9" fontId="6" fillId="2" borderId="0" xfId="4" applyFont="1" applyFill="1"/>
    <xf numFmtId="1" fontId="6" fillId="0" borderId="26" xfId="0" applyNumberFormat="1" applyFont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0" fillId="2" borderId="0" xfId="0" applyFill="1"/>
    <xf numFmtId="0" fontId="20" fillId="2" borderId="0" xfId="0" applyFont="1" applyFill="1" applyAlignment="1">
      <alignment vertical="center"/>
    </xf>
    <xf numFmtId="49" fontId="0" fillId="2" borderId="7" xfId="12" applyNumberFormat="1" applyFont="1" applyFill="1" applyBorder="1" applyAlignment="1">
      <alignment horizontal="center"/>
    </xf>
    <xf numFmtId="0" fontId="17" fillId="0" borderId="6" xfId="0" applyFont="1" applyBorder="1" applyAlignment="1">
      <alignment horizontal="center" vertical="center"/>
    </xf>
    <xf numFmtId="0" fontId="17" fillId="0" borderId="36" xfId="0" applyFont="1" applyBorder="1" applyAlignment="1">
      <alignment horizontal="center" vertical="center"/>
    </xf>
    <xf numFmtId="0" fontId="6" fillId="2" borderId="6" xfId="0" applyFont="1" applyFill="1" applyBorder="1"/>
    <xf numFmtId="1" fontId="6" fillId="2" borderId="6" xfId="0" applyNumberFormat="1" applyFont="1" applyFill="1" applyBorder="1" applyAlignment="1">
      <alignment horizontal="center"/>
    </xf>
    <xf numFmtId="164" fontId="0" fillId="2" borderId="6" xfId="0" applyNumberFormat="1" applyFill="1" applyBorder="1" applyAlignment="1">
      <alignment horizontal="center" wrapText="1"/>
    </xf>
    <xf numFmtId="0" fontId="19" fillId="0" borderId="50" xfId="2" applyFont="1" applyBorder="1" applyAlignment="1">
      <alignment horizontal="left"/>
    </xf>
    <xf numFmtId="0" fontId="19" fillId="0" borderId="46" xfId="2" applyFont="1" applyBorder="1" applyAlignment="1">
      <alignment horizontal="left"/>
    </xf>
    <xf numFmtId="0" fontId="19" fillId="0" borderId="47" xfId="2" applyFont="1" applyBorder="1" applyAlignment="1">
      <alignment horizontal="left"/>
    </xf>
    <xf numFmtId="0" fontId="14" fillId="4" borderId="32" xfId="0" applyFont="1" applyFill="1" applyBorder="1" applyAlignment="1">
      <alignment horizontal="left"/>
    </xf>
    <xf numFmtId="0" fontId="14" fillId="4" borderId="33" xfId="0" applyFont="1" applyFill="1" applyBorder="1" applyAlignment="1">
      <alignment horizontal="left"/>
    </xf>
    <xf numFmtId="0" fontId="14" fillId="4" borderId="34" xfId="0" applyFont="1" applyFill="1" applyBorder="1" applyAlignment="1">
      <alignment horizontal="left"/>
    </xf>
    <xf numFmtId="0" fontId="21" fillId="0" borderId="35" xfId="2" applyFont="1" applyBorder="1" applyAlignment="1">
      <alignment horizontal="left" wrapText="1"/>
    </xf>
    <xf numFmtId="0" fontId="21" fillId="0" borderId="43" xfId="2" applyFont="1" applyBorder="1" applyAlignment="1">
      <alignment horizontal="left" wrapText="1"/>
    </xf>
    <xf numFmtId="0" fontId="21" fillId="0" borderId="38" xfId="2" applyFont="1" applyBorder="1" applyAlignment="1">
      <alignment horizontal="left" wrapText="1"/>
    </xf>
    <xf numFmtId="0" fontId="19" fillId="0" borderId="35" xfId="2" applyFont="1" applyBorder="1" applyAlignment="1">
      <alignment horizontal="left"/>
    </xf>
    <xf numFmtId="0" fontId="19" fillId="0" borderId="43" xfId="2" applyFont="1" applyBorder="1" applyAlignment="1">
      <alignment horizontal="left"/>
    </xf>
    <xf numFmtId="0" fontId="19" fillId="0" borderId="38" xfId="2" applyFont="1" applyBorder="1" applyAlignment="1">
      <alignment horizontal="left"/>
    </xf>
    <xf numFmtId="0" fontId="14" fillId="0" borderId="30" xfId="0" applyFont="1" applyBorder="1" applyAlignment="1">
      <alignment horizontal="right"/>
    </xf>
    <xf numFmtId="0" fontId="14" fillId="0" borderId="22" xfId="0" applyFont="1" applyBorder="1" applyAlignment="1">
      <alignment horizontal="right"/>
    </xf>
    <xf numFmtId="0" fontId="6" fillId="0" borderId="6" xfId="0" applyFont="1" applyBorder="1" applyAlignment="1">
      <alignment horizontal="right"/>
    </xf>
    <xf numFmtId="164" fontId="6" fillId="0" borderId="20" xfId="0" applyNumberFormat="1" applyFont="1" applyBorder="1" applyAlignment="1">
      <alignment horizontal="center"/>
    </xf>
    <xf numFmtId="164" fontId="6" fillId="0" borderId="29" xfId="0" applyNumberFormat="1" applyFont="1" applyBorder="1" applyAlignment="1">
      <alignment horizontal="center"/>
    </xf>
    <xf numFmtId="164" fontId="6" fillId="0" borderId="20" xfId="0" applyNumberFormat="1" applyFont="1" applyBorder="1" applyAlignment="1">
      <alignment horizontal="right" wrapText="1"/>
    </xf>
    <xf numFmtId="164" fontId="6" fillId="0" borderId="22" xfId="0" applyNumberFormat="1" applyFont="1" applyBorder="1" applyAlignment="1">
      <alignment horizontal="right" wrapText="1"/>
    </xf>
    <xf numFmtId="0" fontId="14" fillId="0" borderId="25" xfId="0" applyFont="1" applyBorder="1" applyAlignment="1">
      <alignment horizontal="right"/>
    </xf>
    <xf numFmtId="0" fontId="14" fillId="0" borderId="26" xfId="0" applyFont="1" applyBorder="1" applyAlignment="1">
      <alignment horizontal="right"/>
    </xf>
    <xf numFmtId="0" fontId="6" fillId="0" borderId="26" xfId="0" applyFont="1" applyBorder="1" applyAlignment="1">
      <alignment horizontal="right"/>
    </xf>
    <xf numFmtId="164" fontId="6" fillId="0" borderId="39" xfId="0" applyNumberFormat="1" applyFont="1" applyBorder="1" applyAlignment="1">
      <alignment horizontal="center"/>
    </xf>
    <xf numFmtId="164" fontId="6" fillId="0" borderId="40" xfId="0" applyNumberFormat="1" applyFont="1" applyBorder="1" applyAlignment="1">
      <alignment horizontal="center"/>
    </xf>
    <xf numFmtId="0" fontId="14" fillId="0" borderId="35" xfId="0" applyFont="1" applyBorder="1" applyAlignment="1">
      <alignment horizontal="right"/>
    </xf>
    <xf numFmtId="0" fontId="14" fillId="0" borderId="36" xfId="0" applyFont="1" applyBorder="1" applyAlignment="1">
      <alignment horizontal="right"/>
    </xf>
    <xf numFmtId="164" fontId="6" fillId="0" borderId="14" xfId="0" applyNumberFormat="1" applyFont="1" applyBorder="1" applyAlignment="1">
      <alignment horizontal="right"/>
    </xf>
    <xf numFmtId="0" fontId="6" fillId="2" borderId="37" xfId="0" applyFont="1" applyFill="1" applyBorder="1" applyAlignment="1">
      <alignment horizontal="center"/>
    </xf>
    <xf numFmtId="0" fontId="6" fillId="2" borderId="38" xfId="0" applyFont="1" applyFill="1" applyBorder="1" applyAlignment="1">
      <alignment horizontal="center"/>
    </xf>
    <xf numFmtId="0" fontId="13" fillId="2" borderId="0" xfId="12" applyFont="1" applyFill="1" applyAlignment="1">
      <alignment horizontal="right"/>
    </xf>
    <xf numFmtId="0" fontId="16" fillId="2" borderId="46" xfId="12" applyFont="1" applyFill="1" applyBorder="1" applyAlignment="1">
      <alignment horizontal="center"/>
    </xf>
    <xf numFmtId="0" fontId="13" fillId="2" borderId="0" xfId="12" applyFont="1" applyFill="1"/>
    <xf numFmtId="0" fontId="14" fillId="4" borderId="24" xfId="0" applyFont="1" applyFill="1" applyBorder="1" applyAlignment="1">
      <alignment horizontal="center" vertical="center"/>
    </xf>
    <xf numFmtId="0" fontId="14" fillId="4" borderId="49" xfId="0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14" fontId="0" fillId="2" borderId="7" xfId="12" applyNumberFormat="1" applyFont="1" applyFill="1" applyBorder="1" applyAlignment="1">
      <alignment horizontal="center" vertical="center" wrapText="1"/>
    </xf>
    <xf numFmtId="14" fontId="6" fillId="2" borderId="7" xfId="12" applyNumberFormat="1" applyFont="1" applyFill="1" applyBorder="1" applyAlignment="1">
      <alignment horizontal="center" vertical="center" wrapText="1"/>
    </xf>
    <xf numFmtId="14" fontId="6" fillId="2" borderId="27" xfId="12" applyNumberFormat="1" applyFont="1" applyFill="1" applyBorder="1" applyAlignment="1">
      <alignment horizontal="center" vertical="center" wrapText="1"/>
    </xf>
    <xf numFmtId="0" fontId="6" fillId="2" borderId="6" xfId="12" applyFont="1" applyFill="1" applyBorder="1" applyAlignment="1">
      <alignment horizontal="left"/>
    </xf>
    <xf numFmtId="0" fontId="6" fillId="2" borderId="26" xfId="12" applyFont="1" applyFill="1" applyBorder="1" applyAlignment="1">
      <alignment horizontal="left"/>
    </xf>
    <xf numFmtId="0" fontId="6" fillId="2" borderId="24" xfId="12" applyFont="1" applyFill="1" applyBorder="1" applyAlignment="1">
      <alignment horizontal="center"/>
    </xf>
    <xf numFmtId="0" fontId="6" fillId="2" borderId="28" xfId="12" applyFont="1" applyFill="1" applyBorder="1" applyAlignment="1">
      <alignment horizontal="center"/>
    </xf>
    <xf numFmtId="0" fontId="6" fillId="2" borderId="25" xfId="12" applyFont="1" applyFill="1" applyBorder="1" applyAlignment="1">
      <alignment horizontal="center"/>
    </xf>
    <xf numFmtId="0" fontId="13" fillId="2" borderId="2" xfId="12" applyFont="1" applyFill="1" applyBorder="1" applyAlignment="1">
      <alignment horizontal="center"/>
    </xf>
    <xf numFmtId="0" fontId="13" fillId="2" borderId="6" xfId="12" applyFont="1" applyFill="1" applyBorder="1" applyAlignment="1">
      <alignment horizontal="center"/>
    </xf>
    <xf numFmtId="0" fontId="15" fillId="3" borderId="6" xfId="12" applyFont="1" applyFill="1" applyBorder="1" applyAlignment="1">
      <alignment horizontal="center" vertical="center" wrapText="1"/>
    </xf>
    <xf numFmtId="0" fontId="14" fillId="2" borderId="6" xfId="12" applyFont="1" applyFill="1" applyBorder="1" applyAlignment="1">
      <alignment horizontal="right" vertical="top" wrapText="1"/>
    </xf>
    <xf numFmtId="0" fontId="14" fillId="2" borderId="26" xfId="12" applyFont="1" applyFill="1" applyBorder="1" applyAlignment="1">
      <alignment horizontal="right" vertical="top" wrapText="1"/>
    </xf>
    <xf numFmtId="0" fontId="14" fillId="4" borderId="25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left"/>
    </xf>
    <xf numFmtId="0" fontId="4" fillId="4" borderId="33" xfId="0" applyFont="1" applyFill="1" applyBorder="1" applyAlignment="1">
      <alignment horizontal="left"/>
    </xf>
    <xf numFmtId="0" fontId="4" fillId="4" borderId="34" xfId="0" applyFont="1" applyFill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25" xfId="0" applyFont="1" applyBorder="1" applyAlignment="1">
      <alignment horizontal="left"/>
    </xf>
    <xf numFmtId="0" fontId="2" fillId="0" borderId="26" xfId="0" applyFont="1" applyBorder="1" applyAlignment="1">
      <alignment horizontal="left"/>
    </xf>
    <xf numFmtId="0" fontId="2" fillId="0" borderId="27" xfId="0" applyFont="1" applyBorder="1" applyAlignment="1">
      <alignment horizontal="left"/>
    </xf>
    <xf numFmtId="0" fontId="4" fillId="0" borderId="30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164" fontId="2" fillId="0" borderId="20" xfId="0" applyNumberFormat="1" applyFont="1" applyBorder="1" applyAlignment="1">
      <alignment horizontal="right" wrapText="1"/>
    </xf>
    <xf numFmtId="164" fontId="2" fillId="0" borderId="22" xfId="0" applyNumberFormat="1" applyFont="1" applyBorder="1" applyAlignment="1">
      <alignment horizontal="right" wrapText="1"/>
    </xf>
    <xf numFmtId="164" fontId="2" fillId="0" borderId="20" xfId="0" applyNumberFormat="1" applyFont="1" applyBorder="1" applyAlignment="1">
      <alignment horizontal="center"/>
    </xf>
    <xf numFmtId="164" fontId="2" fillId="0" borderId="29" xfId="0" applyNumberFormat="1" applyFont="1" applyBorder="1" applyAlignment="1">
      <alignment horizontal="center"/>
    </xf>
    <xf numFmtId="0" fontId="4" fillId="0" borderId="25" xfId="0" applyFont="1" applyBorder="1" applyAlignment="1">
      <alignment horizontal="right"/>
    </xf>
    <xf numFmtId="0" fontId="4" fillId="0" borderId="26" xfId="0" applyFont="1" applyBorder="1" applyAlignment="1">
      <alignment horizontal="right"/>
    </xf>
    <xf numFmtId="0" fontId="2" fillId="0" borderId="26" xfId="0" applyFont="1" applyBorder="1" applyAlignment="1">
      <alignment horizontal="right"/>
    </xf>
    <xf numFmtId="164" fontId="2" fillId="0" borderId="39" xfId="0" applyNumberFormat="1" applyFont="1" applyBorder="1" applyAlignment="1">
      <alignment horizontal="center"/>
    </xf>
    <xf numFmtId="164" fontId="2" fillId="0" borderId="40" xfId="0" applyNumberFormat="1" applyFont="1" applyBorder="1" applyAlignment="1">
      <alignment horizontal="center"/>
    </xf>
    <xf numFmtId="0" fontId="2" fillId="0" borderId="6" xfId="0" applyFont="1" applyBorder="1" applyAlignment="1">
      <alignment horizontal="right"/>
    </xf>
    <xf numFmtId="0" fontId="4" fillId="0" borderId="35" xfId="0" applyFont="1" applyBorder="1" applyAlignment="1">
      <alignment horizontal="right"/>
    </xf>
    <xf numFmtId="0" fontId="4" fillId="0" borderId="36" xfId="0" applyFont="1" applyBorder="1" applyAlignment="1">
      <alignment horizontal="right"/>
    </xf>
    <xf numFmtId="164" fontId="2" fillId="0" borderId="14" xfId="0" applyNumberFormat="1" applyFont="1" applyBorder="1" applyAlignment="1">
      <alignment horizontal="right"/>
    </xf>
    <xf numFmtId="0" fontId="2" fillId="2" borderId="37" xfId="0" applyFont="1" applyFill="1" applyBorder="1" applyAlignment="1">
      <alignment horizontal="center"/>
    </xf>
    <xf numFmtId="0" fontId="2" fillId="2" borderId="38" xfId="0" applyFont="1" applyFill="1" applyBorder="1" applyAlignment="1">
      <alignment horizontal="center"/>
    </xf>
    <xf numFmtId="0" fontId="2" fillId="2" borderId="1" xfId="12" applyFont="1" applyFill="1" applyBorder="1" applyAlignment="1">
      <alignment horizontal="center"/>
    </xf>
    <xf numFmtId="0" fontId="2" fillId="2" borderId="4" xfId="12" applyFont="1" applyFill="1" applyBorder="1" applyAlignment="1">
      <alignment horizontal="center"/>
    </xf>
    <xf numFmtId="0" fontId="2" fillId="2" borderId="8" xfId="12" applyFont="1" applyFill="1" applyBorder="1" applyAlignment="1">
      <alignment horizontal="center"/>
    </xf>
    <xf numFmtId="0" fontId="3" fillId="2" borderId="2" xfId="12" applyFont="1" applyFill="1" applyBorder="1" applyAlignment="1">
      <alignment horizontal="center"/>
    </xf>
    <xf numFmtId="0" fontId="3" fillId="2" borderId="5" xfId="12" applyFont="1" applyFill="1" applyBorder="1" applyAlignment="1">
      <alignment horizontal="center"/>
    </xf>
    <xf numFmtId="0" fontId="5" fillId="3" borderId="9" xfId="12" applyFont="1" applyFill="1" applyBorder="1" applyAlignment="1">
      <alignment horizontal="center"/>
    </xf>
    <xf numFmtId="0" fontId="5" fillId="3" borderId="10" xfId="12" applyFont="1" applyFill="1" applyBorder="1" applyAlignment="1">
      <alignment horizontal="center"/>
    </xf>
    <xf numFmtId="0" fontId="5" fillId="3" borderId="11" xfId="12" applyFont="1" applyFill="1" applyBorder="1" applyAlignment="1">
      <alignment horizontal="center"/>
    </xf>
    <xf numFmtId="0" fontId="4" fillId="2" borderId="12" xfId="12" applyFont="1" applyFill="1" applyBorder="1" applyAlignment="1">
      <alignment horizontal="right" vertical="top" wrapText="1"/>
    </xf>
    <xf numFmtId="0" fontId="4" fillId="2" borderId="18" xfId="12" applyFont="1" applyFill="1" applyBorder="1" applyAlignment="1">
      <alignment horizontal="right" vertical="top" wrapText="1"/>
    </xf>
    <xf numFmtId="0" fontId="4" fillId="2" borderId="23" xfId="12" applyFont="1" applyFill="1" applyBorder="1" applyAlignment="1">
      <alignment horizontal="right" vertical="top" wrapText="1"/>
    </xf>
    <xf numFmtId="14" fontId="2" fillId="2" borderId="13" xfId="12" applyNumberFormat="1" applyFont="1" applyFill="1" applyBorder="1" applyAlignment="1">
      <alignment horizontal="center" vertical="center" wrapText="1"/>
    </xf>
    <xf numFmtId="14" fontId="2" fillId="2" borderId="19" xfId="12" applyNumberFormat="1" applyFont="1" applyFill="1" applyBorder="1" applyAlignment="1">
      <alignment horizontal="center" vertical="center" wrapText="1"/>
    </xf>
    <xf numFmtId="0" fontId="2" fillId="2" borderId="15" xfId="12" applyFont="1" applyFill="1" applyBorder="1" applyAlignment="1">
      <alignment horizontal="left"/>
    </xf>
    <xf numFmtId="0" fontId="2" fillId="2" borderId="16" xfId="12" applyFont="1" applyFill="1" applyBorder="1" applyAlignment="1">
      <alignment horizontal="left"/>
    </xf>
    <xf numFmtId="0" fontId="2" fillId="2" borderId="17" xfId="12" applyFont="1" applyFill="1" applyBorder="1" applyAlignment="1">
      <alignment horizontal="left"/>
    </xf>
    <xf numFmtId="0" fontId="2" fillId="2" borderId="20" xfId="12" applyFont="1" applyFill="1" applyBorder="1" applyAlignment="1">
      <alignment horizontal="left"/>
    </xf>
    <xf numFmtId="0" fontId="2" fillId="2" borderId="21" xfId="12" applyFont="1" applyFill="1" applyBorder="1" applyAlignment="1">
      <alignment horizontal="left"/>
    </xf>
    <xf numFmtId="0" fontId="2" fillId="2" borderId="22" xfId="12" applyFont="1" applyFill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23" fillId="2" borderId="52" xfId="1" applyFont="1" applyFill="1" applyBorder="1" applyAlignment="1">
      <alignment horizontal="center"/>
    </xf>
    <xf numFmtId="0" fontId="23" fillId="2" borderId="53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right"/>
    </xf>
    <xf numFmtId="0" fontId="23" fillId="2" borderId="3" xfId="1" applyFont="1" applyFill="1" applyBorder="1" applyAlignment="1">
      <alignment horizontal="center"/>
    </xf>
    <xf numFmtId="0" fontId="23" fillId="2" borderId="8" xfId="1" applyFont="1" applyFill="1" applyBorder="1" applyAlignment="1">
      <alignment horizontal="center"/>
    </xf>
    <xf numFmtId="0" fontId="23" fillId="2" borderId="0" xfId="1" applyFont="1" applyFill="1" applyAlignment="1">
      <alignment horizontal="center"/>
    </xf>
    <xf numFmtId="0" fontId="5" fillId="2" borderId="39" xfId="1" applyFont="1" applyFill="1" applyBorder="1" applyAlignment="1">
      <alignment horizontal="center"/>
    </xf>
    <xf numFmtId="0" fontId="5" fillId="2" borderId="54" xfId="1" applyFont="1" applyFill="1" applyBorder="1" applyAlignment="1">
      <alignment horizontal="center"/>
    </xf>
    <xf numFmtId="0" fontId="5" fillId="2" borderId="51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right"/>
    </xf>
    <xf numFmtId="49" fontId="23" fillId="2" borderId="7" xfId="1" applyNumberFormat="1" applyFont="1" applyFill="1" applyBorder="1" applyAlignment="1">
      <alignment horizontal="center"/>
    </xf>
    <xf numFmtId="0" fontId="5" fillId="3" borderId="9" xfId="1" applyFont="1" applyFill="1" applyBorder="1" applyAlignment="1">
      <alignment horizontal="center"/>
    </xf>
    <xf numFmtId="0" fontId="5" fillId="3" borderId="10" xfId="1" applyFont="1" applyFill="1" applyBorder="1" applyAlignment="1">
      <alignment horizontal="center"/>
    </xf>
    <xf numFmtId="0" fontId="5" fillId="3" borderId="11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right" vertical="top" wrapText="1"/>
    </xf>
    <xf numFmtId="14" fontId="23" fillId="2" borderId="13" xfId="1" applyNumberFormat="1" applyFont="1" applyFill="1" applyBorder="1" applyAlignment="1">
      <alignment horizontal="center" vertical="center" wrapText="1"/>
    </xf>
    <xf numFmtId="0" fontId="23" fillId="2" borderId="14" xfId="1" applyFont="1" applyFill="1" applyBorder="1" applyAlignment="1">
      <alignment horizontal="right"/>
    </xf>
    <xf numFmtId="0" fontId="23" fillId="2" borderId="15" xfId="1" applyFont="1" applyFill="1" applyBorder="1" applyAlignment="1">
      <alignment horizontal="left"/>
    </xf>
    <xf numFmtId="0" fontId="23" fillId="2" borderId="16" xfId="1" applyFont="1" applyFill="1" applyBorder="1" applyAlignment="1">
      <alignment horizontal="left"/>
    </xf>
    <xf numFmtId="0" fontId="23" fillId="2" borderId="17" xfId="1" applyFont="1" applyFill="1" applyBorder="1" applyAlignment="1">
      <alignment horizontal="left"/>
    </xf>
    <xf numFmtId="0" fontId="5" fillId="2" borderId="18" xfId="1" applyFont="1" applyFill="1" applyBorder="1" applyAlignment="1">
      <alignment horizontal="right" vertical="top" wrapText="1"/>
    </xf>
    <xf numFmtId="14" fontId="23" fillId="2" borderId="19" xfId="1" applyNumberFormat="1" applyFont="1" applyFill="1" applyBorder="1" applyAlignment="1">
      <alignment horizontal="center" vertical="center" wrapText="1"/>
    </xf>
    <xf numFmtId="0" fontId="23" fillId="2" borderId="35" xfId="1" applyFont="1" applyFill="1" applyBorder="1" applyAlignment="1">
      <alignment horizontal="center"/>
    </xf>
    <xf numFmtId="0" fontId="23" fillId="2" borderId="43" xfId="1" applyFont="1" applyFill="1" applyBorder="1" applyAlignment="1">
      <alignment horizontal="center"/>
    </xf>
    <xf numFmtId="0" fontId="23" fillId="2" borderId="6" xfId="1" applyFont="1" applyFill="1" applyBorder="1" applyAlignment="1">
      <alignment horizontal="right"/>
    </xf>
    <xf numFmtId="0" fontId="23" fillId="2" borderId="20" xfId="1" applyFont="1" applyFill="1" applyBorder="1" applyAlignment="1">
      <alignment horizontal="left"/>
    </xf>
    <xf numFmtId="0" fontId="23" fillId="2" borderId="21" xfId="1" applyFont="1" applyFill="1" applyBorder="1" applyAlignment="1">
      <alignment horizontal="left"/>
    </xf>
    <xf numFmtId="0" fontId="23" fillId="2" borderId="22" xfId="1" applyFont="1" applyFill="1" applyBorder="1" applyAlignment="1">
      <alignment horizontal="left"/>
    </xf>
    <xf numFmtId="0" fontId="5" fillId="2" borderId="23" xfId="1" applyFont="1" applyFill="1" applyBorder="1" applyAlignment="1">
      <alignment horizontal="right" vertical="top" wrapText="1"/>
    </xf>
    <xf numFmtId="14" fontId="23" fillId="2" borderId="42" xfId="1" applyNumberFormat="1" applyFont="1" applyFill="1" applyBorder="1" applyAlignment="1">
      <alignment horizontal="center" vertical="center" wrapText="1"/>
    </xf>
    <xf numFmtId="0" fontId="24" fillId="2" borderId="46" xfId="12" applyFont="1" applyFill="1" applyBorder="1" applyAlignment="1">
      <alignment horizontal="center"/>
    </xf>
    <xf numFmtId="14" fontId="24" fillId="2" borderId="0" xfId="12" applyNumberFormat="1" applyFont="1" applyFill="1" applyAlignment="1">
      <alignment horizontal="center" vertical="center" wrapText="1"/>
    </xf>
    <xf numFmtId="0" fontId="5" fillId="4" borderId="24" xfId="2" applyFont="1" applyFill="1" applyBorder="1" applyAlignment="1">
      <alignment horizontal="center" vertical="center"/>
    </xf>
    <xf numFmtId="0" fontId="5" fillId="4" borderId="24" xfId="2" applyFont="1" applyFill="1" applyBorder="1" applyAlignment="1">
      <alignment horizontal="center" vertical="center" wrapText="1"/>
    </xf>
    <xf numFmtId="0" fontId="5" fillId="4" borderId="2" xfId="2" applyFont="1" applyFill="1" applyBorder="1" applyAlignment="1">
      <alignment horizontal="center" vertical="center"/>
    </xf>
    <xf numFmtId="0" fontId="5" fillId="4" borderId="3" xfId="2" applyFont="1" applyFill="1" applyBorder="1" applyAlignment="1">
      <alignment horizontal="center" vertical="center" wrapText="1"/>
    </xf>
    <xf numFmtId="0" fontId="5" fillId="4" borderId="25" xfId="2" applyFont="1" applyFill="1" applyBorder="1" applyAlignment="1">
      <alignment horizontal="center" vertical="center"/>
    </xf>
    <xf numFmtId="0" fontId="5" fillId="4" borderId="25" xfId="2" applyFont="1" applyFill="1" applyBorder="1" applyAlignment="1">
      <alignment horizontal="center" vertical="center" wrapText="1"/>
    </xf>
    <xf numFmtId="0" fontId="5" fillId="4" borderId="26" xfId="2" applyFont="1" applyFill="1" applyBorder="1" applyAlignment="1">
      <alignment horizontal="center" vertical="center"/>
    </xf>
    <xf numFmtId="1" fontId="5" fillId="4" borderId="26" xfId="2" applyNumberFormat="1" applyFont="1" applyFill="1" applyBorder="1" applyAlignment="1">
      <alignment horizontal="center"/>
    </xf>
    <xf numFmtId="1" fontId="5" fillId="4" borderId="26" xfId="2" applyNumberFormat="1" applyFont="1" applyFill="1" applyBorder="1" applyAlignment="1">
      <alignment horizontal="center" wrapText="1"/>
    </xf>
    <xf numFmtId="0" fontId="5" fillId="4" borderId="27" xfId="2" applyFont="1" applyFill="1" applyBorder="1" applyAlignment="1">
      <alignment horizontal="center"/>
    </xf>
    <xf numFmtId="0" fontId="25" fillId="0" borderId="28" xfId="2" applyFont="1" applyBorder="1" applyAlignment="1">
      <alignment horizontal="center" vertical="center"/>
    </xf>
    <xf numFmtId="0" fontId="25" fillId="0" borderId="22" xfId="2" applyFont="1" applyBorder="1" applyAlignment="1">
      <alignment horizontal="center" vertical="center"/>
    </xf>
    <xf numFmtId="0" fontId="26" fillId="0" borderId="6" xfId="2" applyFont="1" applyBorder="1" applyAlignment="1">
      <alignment vertical="center"/>
    </xf>
    <xf numFmtId="0" fontId="25" fillId="0" borderId="6" xfId="2" applyFont="1" applyBorder="1" applyAlignment="1">
      <alignment horizontal="center" vertical="center"/>
    </xf>
    <xf numFmtId="1" fontId="25" fillId="0" borderId="6" xfId="2" applyNumberFormat="1" applyFont="1" applyBorder="1" applyAlignment="1">
      <alignment horizontal="center"/>
    </xf>
    <xf numFmtId="1" fontId="25" fillId="0" borderId="6" xfId="2" applyNumberFormat="1" applyFont="1" applyBorder="1" applyAlignment="1">
      <alignment horizontal="center" wrapText="1"/>
    </xf>
    <xf numFmtId="0" fontId="27" fillId="0" borderId="7" xfId="2" applyFont="1" applyBorder="1" applyAlignment="1">
      <alignment horizontal="center"/>
    </xf>
    <xf numFmtId="0" fontId="23" fillId="5" borderId="28" xfId="2" applyFont="1" applyFill="1" applyBorder="1" applyAlignment="1">
      <alignment horizontal="right"/>
    </xf>
    <xf numFmtId="0" fontId="28" fillId="0" borderId="6" xfId="0" applyFont="1" applyBorder="1" applyAlignment="1">
      <alignment horizontal="center"/>
    </xf>
    <xf numFmtId="0" fontId="23" fillId="5" borderId="6" xfId="2" applyFont="1" applyFill="1" applyBorder="1"/>
    <xf numFmtId="0" fontId="23" fillId="5" borderId="6" xfId="2" applyFont="1" applyFill="1" applyBorder="1" applyAlignment="1">
      <alignment horizontal="center"/>
    </xf>
    <xf numFmtId="1" fontId="23" fillId="5" borderId="6" xfId="2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center" wrapText="1"/>
    </xf>
    <xf numFmtId="12" fontId="23" fillId="0" borderId="14" xfId="0" applyNumberFormat="1" applyFont="1" applyBorder="1" applyAlignment="1">
      <alignment horizontal="center"/>
    </xf>
    <xf numFmtId="0" fontId="28" fillId="0" borderId="0" xfId="0" applyFont="1"/>
    <xf numFmtId="0" fontId="5" fillId="5" borderId="49" xfId="2" applyFont="1" applyFill="1" applyBorder="1" applyAlignment="1">
      <alignment horizontal="right" vertical="center"/>
    </xf>
    <xf numFmtId="0" fontId="5" fillId="5" borderId="5" xfId="2" applyFont="1" applyFill="1" applyBorder="1" applyAlignment="1">
      <alignment horizontal="center" vertical="center"/>
    </xf>
    <xf numFmtId="0" fontId="5" fillId="5" borderId="5" xfId="2" applyFont="1" applyFill="1" applyBorder="1" applyAlignment="1">
      <alignment horizontal="left"/>
    </xf>
    <xf numFmtId="1" fontId="5" fillId="5" borderId="5" xfId="2" applyNumberFormat="1" applyFont="1" applyFill="1" applyBorder="1" applyAlignment="1">
      <alignment horizontal="center"/>
    </xf>
    <xf numFmtId="1" fontId="5" fillId="5" borderId="5" xfId="2" applyNumberFormat="1" applyFont="1" applyFill="1" applyBorder="1" applyAlignment="1">
      <alignment horizontal="center" wrapText="1"/>
    </xf>
    <xf numFmtId="0" fontId="23" fillId="0" borderId="6" xfId="0" applyFont="1" applyBorder="1" applyAlignment="1">
      <alignment horizontal="center"/>
    </xf>
    <xf numFmtId="1" fontId="28" fillId="0" borderId="6" xfId="0" applyNumberFormat="1" applyFont="1" applyBorder="1"/>
    <xf numFmtId="0" fontId="28" fillId="0" borderId="6" xfId="0" applyFont="1" applyBorder="1"/>
    <xf numFmtId="49" fontId="27" fillId="0" borderId="28" xfId="2" applyNumberFormat="1" applyFont="1" applyBorder="1" applyAlignment="1">
      <alignment horizontal="center"/>
    </xf>
    <xf numFmtId="49" fontId="27" fillId="0" borderId="22" xfId="2" applyNumberFormat="1" applyFont="1" applyBorder="1" applyAlignment="1">
      <alignment horizontal="center"/>
    </xf>
    <xf numFmtId="0" fontId="25" fillId="5" borderId="6" xfId="2" applyFont="1" applyFill="1" applyBorder="1" applyAlignment="1">
      <alignment horizontal="left"/>
    </xf>
    <xf numFmtId="0" fontId="27" fillId="0" borderId="6" xfId="2" applyFont="1" applyBorder="1" applyAlignment="1">
      <alignment horizontal="center"/>
    </xf>
    <xf numFmtId="165" fontId="27" fillId="0" borderId="6" xfId="2" applyNumberFormat="1" applyFont="1" applyBorder="1" applyAlignment="1">
      <alignment horizontal="center"/>
    </xf>
    <xf numFmtId="1" fontId="27" fillId="0" borderId="6" xfId="2" applyNumberFormat="1" applyFont="1" applyBorder="1" applyAlignment="1">
      <alignment horizontal="center" wrapText="1"/>
    </xf>
    <xf numFmtId="0" fontId="29" fillId="5" borderId="28" xfId="0" applyFont="1" applyFill="1" applyBorder="1" applyAlignment="1">
      <alignment horizontal="center"/>
    </xf>
    <xf numFmtId="0" fontId="29" fillId="5" borderId="36" xfId="0" applyFont="1" applyFill="1" applyBorder="1" applyAlignment="1">
      <alignment horizontal="center"/>
    </xf>
    <xf numFmtId="0" fontId="29" fillId="5" borderId="14" xfId="0" applyFont="1" applyFill="1" applyBorder="1"/>
    <xf numFmtId="0" fontId="23" fillId="5" borderId="22" xfId="0" applyFont="1" applyFill="1" applyBorder="1" applyAlignment="1">
      <alignment horizontal="center"/>
    </xf>
    <xf numFmtId="1" fontId="23" fillId="5" borderId="14" xfId="0" applyNumberFormat="1" applyFont="1" applyFill="1" applyBorder="1" applyAlignment="1">
      <alignment horizontal="center"/>
    </xf>
    <xf numFmtId="1" fontId="23" fillId="5" borderId="14" xfId="0" applyNumberFormat="1" applyFont="1" applyFill="1" applyBorder="1" applyAlignment="1">
      <alignment horizontal="center" wrapText="1"/>
    </xf>
    <xf numFmtId="16" fontId="23" fillId="0" borderId="6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/>
    </xf>
    <xf numFmtId="1" fontId="23" fillId="0" borderId="14" xfId="0" applyNumberFormat="1" applyFont="1" applyBorder="1" applyAlignment="1">
      <alignment horizontal="center" wrapText="1"/>
    </xf>
    <xf numFmtId="1" fontId="23" fillId="0" borderId="6" xfId="0" applyNumberFormat="1" applyFont="1" applyBorder="1" applyAlignment="1">
      <alignment horizontal="center"/>
    </xf>
    <xf numFmtId="1" fontId="23" fillId="0" borderId="6" xfId="0" applyNumberFormat="1" applyFont="1" applyBorder="1" applyAlignment="1">
      <alignment horizontal="center" wrapText="1"/>
    </xf>
    <xf numFmtId="49" fontId="25" fillId="0" borderId="30" xfId="2" applyNumberFormat="1" applyFont="1" applyBorder="1" applyAlignment="1">
      <alignment horizontal="center"/>
    </xf>
    <xf numFmtId="49" fontId="25" fillId="0" borderId="21" xfId="2" applyNumberFormat="1" applyFont="1" applyBorder="1" applyAlignment="1">
      <alignment horizontal="center"/>
    </xf>
    <xf numFmtId="0" fontId="26" fillId="5" borderId="6" xfId="2" applyFont="1" applyFill="1" applyBorder="1" applyAlignment="1">
      <alignment vertical="center"/>
    </xf>
    <xf numFmtId="0" fontId="25" fillId="0" borderId="22" xfId="2" applyFont="1" applyBorder="1" applyAlignment="1">
      <alignment horizontal="center"/>
    </xf>
    <xf numFmtId="165" fontId="25" fillId="0" borderId="6" xfId="2" applyNumberFormat="1" applyFont="1" applyBorder="1" applyAlignment="1">
      <alignment horizontal="center"/>
    </xf>
    <xf numFmtId="49" fontId="27" fillId="0" borderId="6" xfId="0" applyNumberFormat="1" applyFont="1" applyBorder="1" applyAlignment="1">
      <alignment horizontal="center"/>
    </xf>
    <xf numFmtId="49" fontId="27" fillId="0" borderId="6" xfId="0" applyNumberFormat="1" applyFont="1" applyBorder="1"/>
    <xf numFmtId="0" fontId="27" fillId="0" borderId="6" xfId="0" applyFont="1" applyBorder="1" applyAlignment="1">
      <alignment horizontal="center"/>
    </xf>
    <xf numFmtId="1" fontId="27" fillId="0" borderId="6" xfId="0" applyNumberFormat="1" applyFont="1" applyBorder="1" applyAlignment="1">
      <alignment horizontal="center"/>
    </xf>
    <xf numFmtId="1" fontId="27" fillId="0" borderId="6" xfId="0" applyNumberFormat="1" applyFont="1" applyBorder="1" applyAlignment="1">
      <alignment horizontal="center" wrapText="1"/>
    </xf>
    <xf numFmtId="166" fontId="5" fillId="5" borderId="6" xfId="11" applyNumberFormat="1" applyFont="1" applyFill="1" applyBorder="1" applyAlignment="1">
      <alignment horizontal="center"/>
    </xf>
    <xf numFmtId="0" fontId="30" fillId="0" borderId="6" xfId="3" applyFont="1" applyBorder="1" applyAlignment="1">
      <alignment horizontal="center"/>
    </xf>
    <xf numFmtId="0" fontId="30" fillId="0" borderId="6" xfId="3" applyFont="1" applyBorder="1" applyAlignment="1">
      <alignment horizontal="left"/>
    </xf>
    <xf numFmtId="16" fontId="27" fillId="0" borderId="6" xfId="0" applyNumberFormat="1" applyFont="1" applyBorder="1" applyAlignment="1">
      <alignment horizontal="center"/>
    </xf>
    <xf numFmtId="49" fontId="27" fillId="0" borderId="6" xfId="2" applyNumberFormat="1" applyFont="1" applyBorder="1" applyAlignment="1">
      <alignment horizontal="center"/>
    </xf>
    <xf numFmtId="49" fontId="27" fillId="0" borderId="6" xfId="2" applyNumberFormat="1" applyFont="1" applyBorder="1"/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left" vertical="center"/>
    </xf>
    <xf numFmtId="12" fontId="27" fillId="0" borderId="6" xfId="2" applyNumberFormat="1" applyFont="1" applyBorder="1" applyAlignment="1">
      <alignment horizontal="center"/>
    </xf>
    <xf numFmtId="1" fontId="27" fillId="0" borderId="6" xfId="2" applyNumberFormat="1" applyFont="1" applyBorder="1" applyAlignment="1">
      <alignment horizontal="center"/>
    </xf>
    <xf numFmtId="0" fontId="23" fillId="0" borderId="6" xfId="0" quotePrefix="1" applyFont="1" applyBorder="1" applyAlignment="1">
      <alignment horizontal="center"/>
    </xf>
    <xf numFmtId="0" fontId="23" fillId="0" borderId="6" xfId="0" quotePrefix="1" applyFont="1" applyBorder="1"/>
    <xf numFmtId="49" fontId="31" fillId="2" borderId="8" xfId="2" applyNumberFormat="1" applyFont="1" applyFill="1" applyBorder="1" applyAlignment="1">
      <alignment horizontal="center" vertical="center"/>
    </xf>
    <xf numFmtId="49" fontId="31" fillId="2" borderId="0" xfId="2" applyNumberFormat="1" applyFont="1" applyFill="1" applyAlignment="1">
      <alignment horizontal="center" vertical="center"/>
    </xf>
    <xf numFmtId="0" fontId="23" fillId="2" borderId="0" xfId="2" applyFont="1" applyFill="1"/>
    <xf numFmtId="1" fontId="23" fillId="2" borderId="0" xfId="2" applyNumberFormat="1" applyFont="1" applyFill="1" applyAlignment="1">
      <alignment horizontal="center"/>
    </xf>
    <xf numFmtId="164" fontId="23" fillId="2" borderId="0" xfId="2" applyNumberFormat="1" applyFont="1" applyFill="1" applyAlignment="1">
      <alignment horizontal="center" wrapText="1"/>
    </xf>
    <xf numFmtId="0" fontId="23" fillId="2" borderId="31" xfId="2" applyFont="1" applyFill="1" applyBorder="1" applyAlignment="1">
      <alignment horizontal="center"/>
    </xf>
    <xf numFmtId="0" fontId="23" fillId="4" borderId="32" xfId="2" applyFont="1" applyFill="1" applyBorder="1" applyAlignment="1">
      <alignment horizontal="center"/>
    </xf>
    <xf numFmtId="0" fontId="23" fillId="4" borderId="33" xfId="2" applyFont="1" applyFill="1" applyBorder="1" applyAlignment="1">
      <alignment horizontal="center"/>
    </xf>
    <xf numFmtId="0" fontId="23" fillId="4" borderId="33" xfId="2" applyFont="1" applyFill="1" applyBorder="1"/>
    <xf numFmtId="0" fontId="5" fillId="4" borderId="33" xfId="2" applyFont="1" applyFill="1" applyBorder="1" applyAlignment="1">
      <alignment horizontal="center"/>
    </xf>
    <xf numFmtId="1" fontId="5" fillId="4" borderId="33" xfId="2" applyNumberFormat="1" applyFont="1" applyFill="1" applyBorder="1" applyAlignment="1">
      <alignment horizontal="center"/>
    </xf>
    <xf numFmtId="164" fontId="23" fillId="4" borderId="33" xfId="2" applyNumberFormat="1" applyFont="1" applyFill="1" applyBorder="1" applyAlignment="1">
      <alignment horizontal="center" wrapText="1"/>
    </xf>
    <xf numFmtId="0" fontId="23" fillId="4" borderId="34" xfId="2" applyFont="1" applyFill="1" applyBorder="1" applyAlignment="1">
      <alignment horizontal="center"/>
    </xf>
    <xf numFmtId="0" fontId="5" fillId="0" borderId="35" xfId="2" applyFont="1" applyBorder="1" applyAlignment="1">
      <alignment horizontal="right"/>
    </xf>
    <xf numFmtId="0" fontId="5" fillId="0" borderId="43" xfId="2" applyFont="1" applyBorder="1" applyAlignment="1">
      <alignment horizontal="right"/>
    </xf>
    <xf numFmtId="0" fontId="5" fillId="0" borderId="36" xfId="2" applyFont="1" applyBorder="1" applyAlignment="1">
      <alignment horizontal="right"/>
    </xf>
    <xf numFmtId="0" fontId="23" fillId="0" borderId="37" xfId="0" applyFont="1" applyBorder="1" applyAlignment="1">
      <alignment horizontal="center"/>
    </xf>
    <xf numFmtId="164" fontId="23" fillId="0" borderId="14" xfId="2" applyNumberFormat="1" applyFont="1" applyBorder="1" applyAlignment="1">
      <alignment horizontal="right"/>
    </xf>
    <xf numFmtId="0" fontId="23" fillId="2" borderId="37" xfId="2" applyFont="1" applyFill="1" applyBorder="1" applyAlignment="1">
      <alignment horizontal="center"/>
    </xf>
    <xf numFmtId="0" fontId="23" fillId="2" borderId="38" xfId="2" applyFont="1" applyFill="1" applyBorder="1" applyAlignment="1">
      <alignment horizontal="center"/>
    </xf>
    <xf numFmtId="0" fontId="5" fillId="0" borderId="30" xfId="2" applyFont="1" applyBorder="1" applyAlignment="1">
      <alignment horizontal="right"/>
    </xf>
    <xf numFmtId="0" fontId="5" fillId="0" borderId="21" xfId="2" applyFont="1" applyBorder="1" applyAlignment="1">
      <alignment horizontal="right"/>
    </xf>
    <xf numFmtId="0" fontId="5" fillId="0" borderId="22" xfId="2" applyFont="1" applyBorder="1" applyAlignment="1">
      <alignment horizontal="right"/>
    </xf>
    <xf numFmtId="0" fontId="23" fillId="0" borderId="6" xfId="2" applyFont="1" applyBorder="1" applyAlignment="1">
      <alignment horizontal="right"/>
    </xf>
    <xf numFmtId="164" fontId="23" fillId="0" borderId="20" xfId="2" applyNumberFormat="1" applyFont="1" applyBorder="1" applyAlignment="1">
      <alignment horizontal="center"/>
    </xf>
    <xf numFmtId="164" fontId="23" fillId="0" borderId="29" xfId="2" applyNumberFormat="1" applyFont="1" applyBorder="1" applyAlignment="1">
      <alignment horizontal="center"/>
    </xf>
    <xf numFmtId="164" fontId="23" fillId="0" borderId="20" xfId="2" applyNumberFormat="1" applyFont="1" applyBorder="1" applyAlignment="1">
      <alignment horizontal="right" wrapText="1"/>
    </xf>
    <xf numFmtId="164" fontId="23" fillId="0" borderId="22" xfId="2" applyNumberFormat="1" applyFont="1" applyBorder="1" applyAlignment="1">
      <alignment horizontal="right" wrapText="1"/>
    </xf>
    <xf numFmtId="164" fontId="23" fillId="0" borderId="20" xfId="0" applyNumberFormat="1" applyFont="1" applyBorder="1" applyAlignment="1">
      <alignment horizontal="center" wrapText="1"/>
    </xf>
    <xf numFmtId="164" fontId="23" fillId="0" borderId="29" xfId="0" applyNumberFormat="1" applyFont="1" applyBorder="1" applyAlignment="1">
      <alignment horizontal="center" wrapText="1"/>
    </xf>
    <xf numFmtId="0" fontId="5" fillId="0" borderId="25" xfId="2" applyFont="1" applyBorder="1" applyAlignment="1">
      <alignment horizontal="right"/>
    </xf>
    <xf numFmtId="0" fontId="5" fillId="0" borderId="51" xfId="2" applyFont="1" applyBorder="1" applyAlignment="1">
      <alignment horizontal="right"/>
    </xf>
    <xf numFmtId="0" fontId="5" fillId="0" borderId="26" xfId="2" applyFont="1" applyBorder="1" applyAlignment="1">
      <alignment horizontal="right"/>
    </xf>
    <xf numFmtId="1" fontId="23" fillId="0" borderId="26" xfId="0" applyNumberFormat="1" applyFont="1" applyBorder="1" applyAlignment="1">
      <alignment horizontal="center"/>
    </xf>
    <xf numFmtId="0" fontId="23" fillId="0" borderId="26" xfId="0" applyFont="1" applyBorder="1" applyAlignment="1">
      <alignment horizontal="center"/>
    </xf>
    <xf numFmtId="0" fontId="23" fillId="0" borderId="26" xfId="2" applyFont="1" applyBorder="1" applyAlignment="1">
      <alignment horizontal="right"/>
    </xf>
    <xf numFmtId="0" fontId="5" fillId="4" borderId="32" xfId="2" applyFont="1" applyFill="1" applyBorder="1" applyAlignment="1">
      <alignment horizontal="left"/>
    </xf>
    <xf numFmtId="0" fontId="5" fillId="4" borderId="33" xfId="2" applyFont="1" applyFill="1" applyBorder="1" applyAlignment="1">
      <alignment horizontal="left"/>
    </xf>
    <xf numFmtId="0" fontId="5" fillId="4" borderId="34" xfId="2" applyFont="1" applyFill="1" applyBorder="1" applyAlignment="1">
      <alignment horizontal="left"/>
    </xf>
    <xf numFmtId="0" fontId="27" fillId="0" borderId="35" xfId="0" applyFont="1" applyBorder="1" applyAlignment="1">
      <alignment horizontal="left"/>
    </xf>
    <xf numFmtId="0" fontId="27" fillId="0" borderId="43" xfId="0" applyFont="1" applyBorder="1" applyAlignment="1">
      <alignment horizontal="left"/>
    </xf>
    <xf numFmtId="0" fontId="27" fillId="0" borderId="38" xfId="0" applyFont="1" applyBorder="1" applyAlignment="1">
      <alignment horizontal="left"/>
    </xf>
    <xf numFmtId="0" fontId="23" fillId="0" borderId="41" xfId="2" applyFont="1" applyBorder="1" applyAlignment="1">
      <alignment horizontal="left" wrapText="1"/>
    </xf>
    <xf numFmtId="0" fontId="23" fillId="0" borderId="36" xfId="2" applyFont="1" applyBorder="1" applyAlignment="1">
      <alignment horizontal="left" wrapText="1"/>
    </xf>
    <xf numFmtId="0" fontId="23" fillId="0" borderId="14" xfId="2" applyFont="1" applyBorder="1" applyAlignment="1">
      <alignment horizontal="left" wrapText="1"/>
    </xf>
    <xf numFmtId="0" fontId="23" fillId="0" borderId="42" xfId="2" applyFont="1" applyBorder="1" applyAlignment="1">
      <alignment horizontal="left" wrapText="1"/>
    </xf>
    <xf numFmtId="0" fontId="23" fillId="0" borderId="28" xfId="2" applyFont="1" applyBorder="1" applyAlignment="1">
      <alignment horizontal="left" wrapText="1"/>
    </xf>
    <xf numFmtId="0" fontId="23" fillId="0" borderId="22" xfId="2" applyFont="1" applyBorder="1" applyAlignment="1">
      <alignment horizontal="left" wrapText="1"/>
    </xf>
    <xf numFmtId="0" fontId="23" fillId="0" borderId="6" xfId="2" applyFont="1" applyBorder="1" applyAlignment="1">
      <alignment horizontal="left" wrapText="1"/>
    </xf>
    <xf numFmtId="0" fontId="23" fillId="0" borderId="7" xfId="2" applyFont="1" applyBorder="1" applyAlignment="1">
      <alignment horizontal="left" wrapText="1"/>
    </xf>
    <xf numFmtId="0" fontId="5" fillId="0" borderId="35" xfId="2" applyFont="1" applyBorder="1" applyAlignment="1">
      <alignment horizontal="left" wrapText="1"/>
    </xf>
    <xf numFmtId="0" fontId="5" fillId="0" borderId="43" xfId="2" applyFont="1" applyBorder="1" applyAlignment="1">
      <alignment horizontal="left" wrapText="1"/>
    </xf>
    <xf numFmtId="0" fontId="5" fillId="0" borderId="38" xfId="2" applyFont="1" applyBorder="1" applyAlignment="1">
      <alignment horizontal="left" wrapText="1"/>
    </xf>
    <xf numFmtId="0" fontId="25" fillId="0" borderId="30" xfId="0" applyFont="1" applyBorder="1" applyAlignment="1">
      <alignment horizontal="left"/>
    </xf>
    <xf numFmtId="0" fontId="25" fillId="0" borderId="21" xfId="0" applyFont="1" applyBorder="1" applyAlignment="1">
      <alignment horizontal="left"/>
    </xf>
    <xf numFmtId="0" fontId="25" fillId="0" borderId="29" xfId="0" applyFont="1" applyBorder="1" applyAlignment="1">
      <alignment horizontal="left"/>
    </xf>
    <xf numFmtId="0" fontId="5" fillId="6" borderId="55" xfId="1" applyFont="1" applyFill="1" applyBorder="1" applyAlignment="1">
      <alignment horizontal="center"/>
    </xf>
    <xf numFmtId="0" fontId="5" fillId="6" borderId="53" xfId="1" applyFont="1" applyFill="1" applyBorder="1" applyAlignment="1">
      <alignment horizontal="center"/>
    </xf>
  </cellXfs>
  <cellStyles count="16">
    <cellStyle name="Millares" xfId="11" builtinId="3"/>
    <cellStyle name="Millares [0] 2" xfId="8" xr:uid="{E4936245-601C-4BF5-9980-D3ADB2EB251C}"/>
    <cellStyle name="Millares [0] 3" xfId="15" xr:uid="{801AB6A9-012A-4077-BF11-E59F79F37ADD}"/>
    <cellStyle name="Millares 2" xfId="7" xr:uid="{0DCC0B05-E129-4186-8F1A-8E946945F8B6}"/>
    <cellStyle name="Millares 3" xfId="10" xr:uid="{136888D7-0D7D-446C-8CAA-A64A4F928A23}"/>
    <cellStyle name="Millares 4" xfId="14" xr:uid="{B06EE556-B2E0-44D0-AF10-DEE937F1349F}"/>
    <cellStyle name="Normal" xfId="0" builtinId="0"/>
    <cellStyle name="Normal 2" xfId="2" xr:uid="{00000000-0005-0000-0000-000001000000}"/>
    <cellStyle name="Normal 3" xfId="3" xr:uid="{00000000-0005-0000-0000-000002000000}"/>
    <cellStyle name="Normal 3 2" xfId="5" xr:uid="{83D2D953-F877-4813-90D7-284E72F2DF58}"/>
    <cellStyle name="Normal 4" xfId="6" xr:uid="{387FEA7E-29BA-4B1C-B303-B54408B774CD}"/>
    <cellStyle name="Normal 5" xfId="13" xr:uid="{F29A6FCC-1538-4F02-AB0C-6F8266189DC4}"/>
    <cellStyle name="Normal_CRITERIOS DE EVALUACION PT DE GB" xfId="1" xr:uid="{00000000-0005-0000-0000-000003000000}"/>
    <cellStyle name="Normal_CRITERIOS DE EVALUACION PT DE GB 2" xfId="12" xr:uid="{4FB6DEA9-9D32-4158-B114-8B1FDFEFDD73}"/>
    <cellStyle name="Porcentaje 2" xfId="9" xr:uid="{8CBAB31A-6626-4B1C-81D1-ACD73D92D5BF}"/>
    <cellStyle name="Porcentaje 2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133350</xdr:colOff>
      <xdr:row>0</xdr:row>
      <xdr:rowOff>95250</xdr:rowOff>
    </xdr:from>
    <xdr:ext cx="781050" cy="752475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2CA3A57D-937D-41FA-8EC5-884933F17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133350" y="95250"/>
          <a:ext cx="781050" cy="752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38100</xdr:rowOff>
    </xdr:from>
    <xdr:ext cx="704850" cy="64770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27E4066E-F3C2-4CAA-AA36-4B1EFAFEB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209550" y="38100"/>
          <a:ext cx="70485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95250</xdr:rowOff>
    </xdr:from>
    <xdr:ext cx="876300" cy="800100"/>
    <xdr:pic>
      <xdr:nvPicPr>
        <xdr:cNvPr id="2" name="Picture 1" descr="LOGO FINAL">
          <a:extLst>
            <a:ext uri="{FF2B5EF4-FFF2-40B4-BE49-F238E27FC236}">
              <a16:creationId xmlns:a16="http://schemas.microsoft.com/office/drawing/2014/main" id="{F2410806-F71B-49A2-837B-60ABAA96F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79" t="-2632" r="11829"/>
        <a:stretch>
          <a:fillRect/>
        </a:stretch>
      </xdr:blipFill>
      <xdr:spPr bwMode="auto">
        <a:xfrm>
          <a:off x="66675" y="95250"/>
          <a:ext cx="87630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B9D79-E65F-418D-9B1F-F7EB7761D545}">
  <dimension ref="A1:K49"/>
  <sheetViews>
    <sheetView tabSelected="1" view="pageBreakPreview" zoomScale="60" zoomScaleNormal="85" workbookViewId="0">
      <selection activeCell="I10" sqref="I10"/>
    </sheetView>
  </sheetViews>
  <sheetFormatPr baseColWidth="10" defaultRowHeight="15" x14ac:dyDescent="0.25"/>
  <cols>
    <col min="1" max="1" width="14.140625" bestFit="1" customWidth="1"/>
    <col min="2" max="2" width="13.5703125" bestFit="1" customWidth="1"/>
    <col min="3" max="3" width="62" bestFit="1" customWidth="1"/>
    <col min="4" max="4" width="34.28515625" bestFit="1" customWidth="1"/>
    <col min="8" max="8" width="47.5703125" bestFit="1" customWidth="1"/>
    <col min="9" max="9" width="22.28515625" bestFit="1" customWidth="1"/>
  </cols>
  <sheetData>
    <row r="1" spans="1:9" ht="18" x14ac:dyDescent="0.25">
      <c r="A1" s="222"/>
      <c r="B1" s="223"/>
      <c r="C1" s="224" t="s">
        <v>0</v>
      </c>
      <c r="D1" s="224"/>
      <c r="E1" s="224"/>
      <c r="F1" s="224"/>
      <c r="G1" s="224"/>
      <c r="H1" s="225" t="s">
        <v>1</v>
      </c>
      <c r="I1" s="226" t="s">
        <v>113</v>
      </c>
    </row>
    <row r="2" spans="1:9" ht="18" customHeight="1" thickBot="1" x14ac:dyDescent="0.3">
      <c r="A2" s="227"/>
      <c r="B2" s="228"/>
      <c r="C2" s="229" t="s">
        <v>2</v>
      </c>
      <c r="D2" s="230"/>
      <c r="E2" s="230"/>
      <c r="F2" s="230"/>
      <c r="G2" s="231"/>
      <c r="H2" s="232" t="s">
        <v>3</v>
      </c>
      <c r="I2" s="233" t="s">
        <v>121</v>
      </c>
    </row>
    <row r="3" spans="1:9" ht="31.5" customHeight="1" thickBot="1" x14ac:dyDescent="0.3">
      <c r="A3" s="227"/>
      <c r="B3" s="228"/>
      <c r="C3" s="234" t="s">
        <v>119</v>
      </c>
      <c r="D3" s="235"/>
      <c r="E3" s="235"/>
      <c r="F3" s="235"/>
      <c r="G3" s="236"/>
      <c r="H3" s="237" t="s">
        <v>4</v>
      </c>
      <c r="I3" s="238">
        <v>45613</v>
      </c>
    </row>
    <row r="4" spans="1:9" ht="18" customHeight="1" x14ac:dyDescent="0.25">
      <c r="A4" s="227"/>
      <c r="B4" s="228"/>
      <c r="C4" s="239" t="s">
        <v>5</v>
      </c>
      <c r="D4" s="240" t="s">
        <v>6</v>
      </c>
      <c r="E4" s="241"/>
      <c r="F4" s="241"/>
      <c r="G4" s="242"/>
      <c r="H4" s="243"/>
      <c r="I4" s="244"/>
    </row>
    <row r="5" spans="1:9" ht="18.75" thickBot="1" x14ac:dyDescent="0.3">
      <c r="A5" s="245"/>
      <c r="B5" s="246"/>
      <c r="C5" s="247" t="s">
        <v>7</v>
      </c>
      <c r="D5" s="248" t="s">
        <v>8</v>
      </c>
      <c r="E5" s="249"/>
      <c r="F5" s="249"/>
      <c r="G5" s="250"/>
      <c r="H5" s="251"/>
      <c r="I5" s="252"/>
    </row>
    <row r="6" spans="1:9" ht="18.75" thickBot="1" x14ac:dyDescent="0.3">
      <c r="A6" s="151" t="s">
        <v>64</v>
      </c>
      <c r="B6" s="151"/>
      <c r="C6" s="151"/>
      <c r="D6" s="253" t="s">
        <v>110</v>
      </c>
      <c r="E6" s="253"/>
      <c r="F6" s="253"/>
      <c r="G6" s="153" t="s">
        <v>66</v>
      </c>
      <c r="H6" s="153"/>
      <c r="I6" s="254" t="s">
        <v>103</v>
      </c>
    </row>
    <row r="7" spans="1:9" ht="36" x14ac:dyDescent="0.25">
      <c r="A7" s="255" t="s">
        <v>9</v>
      </c>
      <c r="B7" s="256" t="s">
        <v>106</v>
      </c>
      <c r="C7" s="257" t="s">
        <v>10</v>
      </c>
      <c r="D7" s="257" t="s">
        <v>11</v>
      </c>
      <c r="E7" s="257" t="s">
        <v>12</v>
      </c>
      <c r="F7" s="257"/>
      <c r="G7" s="257" t="s">
        <v>13</v>
      </c>
      <c r="H7" s="257"/>
      <c r="I7" s="258" t="s">
        <v>14</v>
      </c>
    </row>
    <row r="8" spans="1:9" ht="54.75" thickBot="1" x14ac:dyDescent="0.3">
      <c r="A8" s="259"/>
      <c r="B8" s="260"/>
      <c r="C8" s="261"/>
      <c r="D8" s="261"/>
      <c r="E8" s="262" t="s">
        <v>15</v>
      </c>
      <c r="F8" s="263" t="s">
        <v>16</v>
      </c>
      <c r="G8" s="262" t="s">
        <v>15</v>
      </c>
      <c r="H8" s="263" t="s">
        <v>16</v>
      </c>
      <c r="I8" s="264" t="s">
        <v>17</v>
      </c>
    </row>
    <row r="9" spans="1:9" ht="18.75" x14ac:dyDescent="0.3">
      <c r="A9" s="265"/>
      <c r="B9" s="266"/>
      <c r="C9" s="267" t="s">
        <v>111</v>
      </c>
      <c r="D9" s="268"/>
      <c r="E9" s="269"/>
      <c r="F9" s="270"/>
      <c r="G9" s="269"/>
      <c r="H9" s="270"/>
      <c r="I9" s="271"/>
    </row>
    <row r="10" spans="1:9" ht="18" customHeight="1" x14ac:dyDescent="0.3">
      <c r="A10" s="272">
        <v>95717</v>
      </c>
      <c r="B10" s="273" t="s">
        <v>108</v>
      </c>
      <c r="C10" s="274" t="s">
        <v>104</v>
      </c>
      <c r="D10" s="275" t="s">
        <v>18</v>
      </c>
      <c r="E10" s="276">
        <f>16580/18.74</f>
        <v>884.73852721451453</v>
      </c>
      <c r="F10" s="275" t="s">
        <v>19</v>
      </c>
      <c r="G10" s="277"/>
      <c r="H10" s="278"/>
      <c r="I10" s="271"/>
    </row>
    <row r="11" spans="1:9" ht="18.75" x14ac:dyDescent="0.3">
      <c r="A11" s="272"/>
      <c r="B11" s="273" t="s">
        <v>116</v>
      </c>
      <c r="C11" s="279" t="s">
        <v>117</v>
      </c>
      <c r="D11" s="275"/>
      <c r="E11" s="276">
        <f>2160/18.74</f>
        <v>115.26147278548561</v>
      </c>
      <c r="F11" s="275" t="s">
        <v>19</v>
      </c>
      <c r="G11" s="277"/>
      <c r="H11" s="278"/>
      <c r="I11" s="271"/>
    </row>
    <row r="12" spans="1:9" ht="18.75" x14ac:dyDescent="0.3">
      <c r="A12" s="280"/>
      <c r="B12" s="281"/>
      <c r="C12" s="282"/>
      <c r="D12" s="281"/>
      <c r="E12" s="283"/>
      <c r="F12" s="284"/>
      <c r="G12" s="285"/>
      <c r="H12" s="278"/>
      <c r="I12" s="271"/>
    </row>
    <row r="13" spans="1:9" ht="13.9" customHeight="1" x14ac:dyDescent="0.3">
      <c r="A13" s="286"/>
      <c r="B13" s="273"/>
      <c r="C13" s="287"/>
      <c r="D13" s="275"/>
      <c r="E13" s="275"/>
      <c r="F13" s="275"/>
      <c r="G13" s="269"/>
      <c r="H13" s="278"/>
      <c r="I13" s="271"/>
    </row>
    <row r="14" spans="1:9" ht="13.9" customHeight="1" x14ac:dyDescent="0.3">
      <c r="A14" s="288"/>
      <c r="B14" s="289"/>
      <c r="C14" s="290" t="s">
        <v>110</v>
      </c>
      <c r="D14" s="291"/>
      <c r="E14" s="292"/>
      <c r="F14" s="293"/>
      <c r="G14" s="269"/>
      <c r="H14" s="270"/>
      <c r="I14" s="271"/>
    </row>
    <row r="15" spans="1:9" ht="13.9" customHeight="1" x14ac:dyDescent="0.3">
      <c r="A15" s="294"/>
      <c r="B15" s="295"/>
      <c r="C15" s="296"/>
      <c r="D15" s="297"/>
      <c r="E15" s="298"/>
      <c r="F15" s="299"/>
      <c r="G15" s="269"/>
      <c r="H15" s="270"/>
      <c r="I15" s="271"/>
    </row>
    <row r="16" spans="1:9" ht="18.75" x14ac:dyDescent="0.3">
      <c r="A16" s="273"/>
      <c r="B16" s="273"/>
      <c r="C16" s="287"/>
      <c r="D16" s="300"/>
      <c r="E16" s="301"/>
      <c r="F16" s="302"/>
      <c r="G16" s="269"/>
      <c r="H16" s="270"/>
      <c r="I16" s="271"/>
    </row>
    <row r="17" spans="1:11" ht="18.75" x14ac:dyDescent="0.3">
      <c r="A17" s="273"/>
      <c r="B17" s="273"/>
      <c r="C17" s="287"/>
      <c r="D17" s="300"/>
      <c r="E17" s="303"/>
      <c r="F17" s="304"/>
      <c r="G17" s="269"/>
      <c r="H17" s="270"/>
      <c r="I17" s="271"/>
    </row>
    <row r="18" spans="1:11" ht="18.75" x14ac:dyDescent="0.3">
      <c r="A18" s="305"/>
      <c r="B18" s="306"/>
      <c r="C18" s="307" t="s">
        <v>112</v>
      </c>
      <c r="D18" s="308"/>
      <c r="E18" s="309"/>
      <c r="F18" s="270"/>
      <c r="G18" s="269"/>
      <c r="H18" s="279"/>
      <c r="I18" s="271"/>
      <c r="K18">
        <f>D32/1000</f>
        <v>1</v>
      </c>
    </row>
    <row r="19" spans="1:11" ht="18.75" x14ac:dyDescent="0.3">
      <c r="A19" s="310" t="s">
        <v>23</v>
      </c>
      <c r="B19" s="310" t="s">
        <v>107</v>
      </c>
      <c r="C19" s="311" t="s">
        <v>39</v>
      </c>
      <c r="D19" s="312" t="s">
        <v>40</v>
      </c>
      <c r="E19" s="313">
        <v>1</v>
      </c>
      <c r="F19" s="314" t="s">
        <v>20</v>
      </c>
      <c r="G19" s="315"/>
      <c r="H19" s="270"/>
      <c r="I19" s="271"/>
    </row>
    <row r="20" spans="1:11" ht="18.75" x14ac:dyDescent="0.3">
      <c r="A20" s="316"/>
      <c r="B20" s="316"/>
      <c r="C20" s="317"/>
      <c r="D20" s="312"/>
      <c r="E20" s="313"/>
      <c r="F20" s="314"/>
      <c r="G20" s="315"/>
      <c r="H20" s="270"/>
      <c r="I20" s="271"/>
    </row>
    <row r="21" spans="1:11" ht="18.75" x14ac:dyDescent="0.3">
      <c r="A21" s="273"/>
      <c r="B21" s="273"/>
      <c r="C21" s="287"/>
      <c r="D21" s="318"/>
      <c r="E21" s="303"/>
      <c r="F21" s="285"/>
      <c r="G21" s="315"/>
      <c r="H21" s="270"/>
      <c r="I21" s="271"/>
    </row>
    <row r="22" spans="1:11" ht="18.75" x14ac:dyDescent="0.3">
      <c r="A22" s="319"/>
      <c r="B22" s="319"/>
      <c r="C22" s="320"/>
      <c r="D22" s="312"/>
      <c r="E22" s="313"/>
      <c r="F22" s="314"/>
      <c r="G22" s="269"/>
      <c r="H22" s="270"/>
      <c r="I22" s="271"/>
    </row>
    <row r="23" spans="1:11" ht="18.75" x14ac:dyDescent="0.3">
      <c r="A23" s="321"/>
      <c r="B23" s="321"/>
      <c r="C23" s="322"/>
      <c r="D23" s="312"/>
      <c r="E23" s="313"/>
      <c r="F23" s="314"/>
      <c r="G23" s="269"/>
      <c r="H23" s="270"/>
      <c r="I23" s="271"/>
    </row>
    <row r="24" spans="1:11" ht="18.75" x14ac:dyDescent="0.3">
      <c r="A24" s="321"/>
      <c r="B24" s="321"/>
      <c r="C24" s="322"/>
      <c r="D24" s="312"/>
      <c r="E24" s="313"/>
      <c r="F24" s="314"/>
      <c r="G24" s="323"/>
      <c r="H24" s="270"/>
      <c r="I24" s="271"/>
    </row>
    <row r="25" spans="1:11" ht="18.75" x14ac:dyDescent="0.3">
      <c r="A25" s="321"/>
      <c r="B25" s="321"/>
      <c r="C25" s="322"/>
      <c r="D25" s="312"/>
      <c r="E25" s="313"/>
      <c r="F25" s="314"/>
      <c r="G25" s="324"/>
      <c r="H25" s="270"/>
      <c r="I25" s="271"/>
    </row>
    <row r="26" spans="1:11" ht="18.75" x14ac:dyDescent="0.3">
      <c r="A26" s="325"/>
      <c r="B26" s="325"/>
      <c r="C26" s="326"/>
      <c r="D26" s="312"/>
      <c r="E26" s="304"/>
      <c r="F26" s="304"/>
      <c r="G26" s="324"/>
      <c r="H26" s="270"/>
      <c r="I26" s="271"/>
    </row>
    <row r="27" spans="1:11" ht="18.75" x14ac:dyDescent="0.3">
      <c r="A27" s="310"/>
      <c r="B27" s="273"/>
      <c r="C27" s="311"/>
      <c r="D27" s="318"/>
      <c r="E27" s="303"/>
      <c r="F27" s="285"/>
      <c r="G27" s="324"/>
      <c r="H27" s="270"/>
      <c r="I27" s="271"/>
    </row>
    <row r="28" spans="1:11" ht="18.75" x14ac:dyDescent="0.3">
      <c r="A28" s="321"/>
      <c r="B28" s="321"/>
      <c r="C28" s="322"/>
      <c r="D28" s="312"/>
      <c r="E28" s="303"/>
      <c r="F28" s="285"/>
      <c r="G28" s="324"/>
      <c r="H28" s="270"/>
      <c r="I28" s="271"/>
    </row>
    <row r="29" spans="1:11" ht="18.75" x14ac:dyDescent="0.3">
      <c r="A29" s="288"/>
      <c r="B29" s="289"/>
      <c r="C29" s="320"/>
      <c r="D29" s="291"/>
      <c r="E29" s="291"/>
      <c r="F29" s="293"/>
      <c r="G29" s="291"/>
      <c r="H29" s="291"/>
      <c r="I29" s="271"/>
    </row>
    <row r="30" spans="1:11" ht="18.75" thickBot="1" x14ac:dyDescent="0.3">
      <c r="A30" s="327"/>
      <c r="B30" s="328"/>
      <c r="C30" s="329"/>
      <c r="D30" s="329"/>
      <c r="E30" s="330"/>
      <c r="F30" s="331"/>
      <c r="G30" s="329"/>
      <c r="H30" s="329"/>
      <c r="I30" s="332"/>
    </row>
    <row r="31" spans="1:11" ht="18.75" thickBot="1" x14ac:dyDescent="0.3">
      <c r="A31" s="333"/>
      <c r="B31" s="334"/>
      <c r="C31" s="335"/>
      <c r="D31" s="336" t="s">
        <v>15</v>
      </c>
      <c r="E31" s="337" t="s">
        <v>24</v>
      </c>
      <c r="F31" s="338"/>
      <c r="G31" s="335"/>
      <c r="H31" s="335"/>
      <c r="I31" s="339"/>
    </row>
    <row r="32" spans="1:11" ht="18" x14ac:dyDescent="0.25">
      <c r="A32" s="340" t="s">
        <v>25</v>
      </c>
      <c r="B32" s="341"/>
      <c r="C32" s="342"/>
      <c r="D32" s="301">
        <v>1000</v>
      </c>
      <c r="E32" s="343" t="s">
        <v>19</v>
      </c>
      <c r="F32" s="344" t="s">
        <v>26</v>
      </c>
      <c r="G32" s="344"/>
      <c r="H32" s="345"/>
      <c r="I32" s="346"/>
    </row>
    <row r="33" spans="1:9" ht="18" x14ac:dyDescent="0.25">
      <c r="A33" s="347" t="s">
        <v>27</v>
      </c>
      <c r="B33" s="348"/>
      <c r="C33" s="349"/>
      <c r="D33" s="285">
        <v>2</v>
      </c>
      <c r="E33" s="285" t="s">
        <v>41</v>
      </c>
      <c r="F33" s="350" t="s">
        <v>28</v>
      </c>
      <c r="G33" s="350"/>
      <c r="H33" s="351"/>
      <c r="I33" s="352"/>
    </row>
    <row r="34" spans="1:9" ht="18" x14ac:dyDescent="0.25">
      <c r="A34" s="347" t="s">
        <v>29</v>
      </c>
      <c r="B34" s="348"/>
      <c r="C34" s="349"/>
      <c r="D34" s="285">
        <v>1</v>
      </c>
      <c r="E34" s="285" t="s">
        <v>42</v>
      </c>
      <c r="F34" s="350" t="s">
        <v>30</v>
      </c>
      <c r="G34" s="350"/>
      <c r="H34" s="351"/>
      <c r="I34" s="352"/>
    </row>
    <row r="35" spans="1:9" ht="18" x14ac:dyDescent="0.25">
      <c r="A35" s="347" t="s">
        <v>31</v>
      </c>
      <c r="B35" s="348"/>
      <c r="C35" s="349"/>
      <c r="D35" s="303">
        <v>1000</v>
      </c>
      <c r="E35" s="285" t="s">
        <v>19</v>
      </c>
      <c r="F35" s="353" t="s">
        <v>32</v>
      </c>
      <c r="G35" s="354"/>
      <c r="H35" s="355"/>
      <c r="I35" s="356"/>
    </row>
    <row r="36" spans="1:9" ht="18.75" thickBot="1" x14ac:dyDescent="0.3">
      <c r="A36" s="357" t="s">
        <v>33</v>
      </c>
      <c r="B36" s="358"/>
      <c r="C36" s="359"/>
      <c r="D36" s="360">
        <f>SUM(E10:E11)-D32</f>
        <v>0</v>
      </c>
      <c r="E36" s="361" t="s">
        <v>19</v>
      </c>
      <c r="F36" s="362"/>
      <c r="G36" s="362"/>
      <c r="H36" s="351"/>
      <c r="I36" s="352"/>
    </row>
    <row r="37" spans="1:9" ht="18.75" thickBot="1" x14ac:dyDescent="0.3">
      <c r="A37" s="363" t="s">
        <v>34</v>
      </c>
      <c r="B37" s="364"/>
      <c r="C37" s="364"/>
      <c r="D37" s="364"/>
      <c r="E37" s="364"/>
      <c r="F37" s="364"/>
      <c r="G37" s="364"/>
      <c r="H37" s="364"/>
      <c r="I37" s="365"/>
    </row>
    <row r="38" spans="1:9" ht="18.399999999999999" customHeight="1" x14ac:dyDescent="0.3">
      <c r="A38" s="366" t="s">
        <v>114</v>
      </c>
      <c r="B38" s="367"/>
      <c r="C38" s="367"/>
      <c r="D38" s="367"/>
      <c r="E38" s="367"/>
      <c r="F38" s="367"/>
      <c r="G38" s="367"/>
      <c r="H38" s="367"/>
      <c r="I38" s="368"/>
    </row>
    <row r="39" spans="1:9" ht="21.75" customHeight="1" x14ac:dyDescent="0.3">
      <c r="A39" s="366" t="s">
        <v>105</v>
      </c>
      <c r="B39" s="367"/>
      <c r="C39" s="367"/>
      <c r="D39" s="367"/>
      <c r="E39" s="367"/>
      <c r="F39" s="367"/>
      <c r="G39" s="367"/>
      <c r="H39" s="367"/>
      <c r="I39" s="368"/>
    </row>
    <row r="40" spans="1:9" ht="19.5" customHeight="1" x14ac:dyDescent="0.3">
      <c r="A40" s="366" t="s">
        <v>115</v>
      </c>
      <c r="B40" s="367"/>
      <c r="C40" s="367"/>
      <c r="D40" s="367"/>
      <c r="E40" s="367"/>
      <c r="F40" s="367"/>
      <c r="G40" s="367"/>
      <c r="H40" s="367"/>
      <c r="I40" s="368"/>
    </row>
    <row r="41" spans="1:9" ht="14.65" customHeight="1" x14ac:dyDescent="0.25">
      <c r="A41" s="369"/>
      <c r="B41" s="370"/>
      <c r="C41" s="371"/>
      <c r="D41" s="371"/>
      <c r="E41" s="371"/>
      <c r="F41" s="371"/>
      <c r="G41" s="371"/>
      <c r="H41" s="371"/>
      <c r="I41" s="372"/>
    </row>
    <row r="42" spans="1:9" ht="14.65" customHeight="1" x14ac:dyDescent="0.25">
      <c r="A42" s="373"/>
      <c r="B42" s="374"/>
      <c r="C42" s="375"/>
      <c r="D42" s="375"/>
      <c r="E42" s="375"/>
      <c r="F42" s="375"/>
      <c r="G42" s="375"/>
      <c r="H42" s="375"/>
      <c r="I42" s="376"/>
    </row>
    <row r="43" spans="1:9" ht="14.65" customHeight="1" x14ac:dyDescent="0.25">
      <c r="A43" s="377"/>
      <c r="B43" s="378"/>
      <c r="C43" s="378"/>
      <c r="D43" s="378"/>
      <c r="E43" s="378"/>
      <c r="F43" s="378"/>
      <c r="G43" s="378"/>
      <c r="H43" s="378"/>
      <c r="I43" s="379"/>
    </row>
    <row r="44" spans="1:9" ht="18" customHeight="1" x14ac:dyDescent="0.25">
      <c r="A44" s="377"/>
      <c r="B44" s="378"/>
      <c r="C44" s="378"/>
      <c r="D44" s="378"/>
      <c r="E44" s="378"/>
      <c r="F44" s="378"/>
      <c r="G44" s="378"/>
      <c r="H44" s="378"/>
      <c r="I44" s="379"/>
    </row>
    <row r="45" spans="1:9" ht="18" x14ac:dyDescent="0.25">
      <c r="A45" s="377"/>
      <c r="B45" s="378"/>
      <c r="C45" s="378"/>
      <c r="D45" s="378"/>
      <c r="E45" s="378"/>
      <c r="F45" s="378"/>
      <c r="G45" s="378"/>
      <c r="H45" s="378"/>
      <c r="I45" s="379"/>
    </row>
    <row r="46" spans="1:9" ht="19.5" thickBot="1" x14ac:dyDescent="0.35">
      <c r="A46" s="380"/>
      <c r="B46" s="381"/>
      <c r="C46" s="381"/>
      <c r="D46" s="381"/>
      <c r="E46" s="381"/>
      <c r="F46" s="381"/>
      <c r="G46" s="381"/>
      <c r="H46" s="381"/>
      <c r="I46" s="382"/>
    </row>
    <row r="47" spans="1:9" ht="18" x14ac:dyDescent="0.25">
      <c r="A47" s="383" t="s">
        <v>109</v>
      </c>
      <c r="B47" s="384"/>
      <c r="C47" s="384"/>
      <c r="D47" s="384"/>
      <c r="E47" s="384"/>
      <c r="F47" s="384"/>
      <c r="G47" s="384"/>
      <c r="H47" s="384"/>
      <c r="I47" s="384"/>
    </row>
    <row r="48" spans="1:9" ht="18" x14ac:dyDescent="0.25">
      <c r="A48" s="248" t="s">
        <v>118</v>
      </c>
      <c r="B48" s="249"/>
      <c r="C48" s="249"/>
      <c r="D48" s="249"/>
      <c r="E48" s="249"/>
      <c r="F48" s="249"/>
      <c r="G48" s="249"/>
      <c r="H48" s="249"/>
      <c r="I48" s="250"/>
    </row>
    <row r="49" spans="1:9" ht="18" x14ac:dyDescent="0.25">
      <c r="A49" s="248" t="s">
        <v>120</v>
      </c>
      <c r="B49" s="249"/>
      <c r="C49" s="249"/>
      <c r="D49" s="249"/>
      <c r="E49" s="249"/>
      <c r="F49" s="249"/>
      <c r="G49" s="249"/>
      <c r="H49" s="249"/>
      <c r="I49" s="250"/>
    </row>
  </sheetData>
  <mergeCells count="45">
    <mergeCell ref="A46:I46"/>
    <mergeCell ref="A47:I47"/>
    <mergeCell ref="A48:I48"/>
    <mergeCell ref="A49:I49"/>
    <mergeCell ref="A40:I40"/>
    <mergeCell ref="A41:I41"/>
    <mergeCell ref="A42:I42"/>
    <mergeCell ref="A43:I43"/>
    <mergeCell ref="A44:I44"/>
    <mergeCell ref="A45:I45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32:C32"/>
    <mergeCell ref="F32:G32"/>
    <mergeCell ref="H32:I32"/>
    <mergeCell ref="A33:C33"/>
    <mergeCell ref="F33:G33"/>
    <mergeCell ref="H33:I3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3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70FF2-86E8-4072-BF30-CFE423105DC1}">
  <dimension ref="A1:L46"/>
  <sheetViews>
    <sheetView workbookViewId="0">
      <selection activeCell="E16" sqref="E16"/>
    </sheetView>
  </sheetViews>
  <sheetFormatPr baseColWidth="10" defaultColWidth="11.42578125" defaultRowHeight="12.75" x14ac:dyDescent="0.2"/>
  <cols>
    <col min="1" max="1" width="16.28515625" style="55" customWidth="1"/>
    <col min="2" max="2" width="40.5703125" style="55" customWidth="1"/>
    <col min="3" max="3" width="21" style="55" customWidth="1"/>
    <col min="4" max="4" width="11.42578125" style="55"/>
    <col min="5" max="5" width="13.28515625" style="55" customWidth="1"/>
    <col min="6" max="6" width="12.5703125" style="55" customWidth="1"/>
    <col min="7" max="7" width="15.5703125" style="55" customWidth="1"/>
    <col min="8" max="8" width="18" style="55" customWidth="1"/>
    <col min="9" max="16384" width="11.42578125" style="55"/>
  </cols>
  <sheetData>
    <row r="1" spans="1:8" ht="18" x14ac:dyDescent="0.25">
      <c r="A1" s="164"/>
      <c r="B1" s="167" t="s">
        <v>0</v>
      </c>
      <c r="C1" s="167"/>
      <c r="D1" s="167"/>
      <c r="E1" s="167"/>
      <c r="F1" s="167"/>
      <c r="G1" s="53" t="s">
        <v>1</v>
      </c>
      <c r="H1" s="54" t="s">
        <v>77</v>
      </c>
    </row>
    <row r="2" spans="1:8" ht="18" x14ac:dyDescent="0.25">
      <c r="A2" s="165"/>
      <c r="B2" s="168" t="s">
        <v>2</v>
      </c>
      <c r="C2" s="168"/>
      <c r="D2" s="168"/>
      <c r="E2" s="168"/>
      <c r="F2" s="168"/>
      <c r="G2" s="56" t="s">
        <v>3</v>
      </c>
      <c r="H2" s="116" t="s">
        <v>78</v>
      </c>
    </row>
    <row r="3" spans="1:8" ht="19.5" customHeight="1" x14ac:dyDescent="0.2">
      <c r="A3" s="165"/>
      <c r="B3" s="169" t="s">
        <v>79</v>
      </c>
      <c r="C3" s="169"/>
      <c r="D3" s="169"/>
      <c r="E3" s="169"/>
      <c r="F3" s="169"/>
      <c r="G3" s="170" t="s">
        <v>4</v>
      </c>
      <c r="H3" s="159" t="s">
        <v>80</v>
      </c>
    </row>
    <row r="4" spans="1:8" x14ac:dyDescent="0.2">
      <c r="A4" s="165"/>
      <c r="B4" s="58" t="s">
        <v>5</v>
      </c>
      <c r="C4" s="162" t="s">
        <v>63</v>
      </c>
      <c r="D4" s="162"/>
      <c r="E4" s="162"/>
      <c r="F4" s="162"/>
      <c r="G4" s="170"/>
      <c r="H4" s="160"/>
    </row>
    <row r="5" spans="1:8" ht="15" customHeight="1" thickBot="1" x14ac:dyDescent="0.25">
      <c r="A5" s="166"/>
      <c r="B5" s="59" t="s">
        <v>7</v>
      </c>
      <c r="C5" s="163" t="s">
        <v>8</v>
      </c>
      <c r="D5" s="163"/>
      <c r="E5" s="163"/>
      <c r="F5" s="163"/>
      <c r="G5" s="171"/>
      <c r="H5" s="161"/>
    </row>
    <row r="6" spans="1:8" ht="15" customHeight="1" x14ac:dyDescent="0.2">
      <c r="A6" s="60"/>
      <c r="B6" s="61"/>
      <c r="C6" s="62"/>
      <c r="D6" s="62"/>
      <c r="E6" s="62"/>
      <c r="F6" s="62"/>
      <c r="G6" s="63"/>
      <c r="H6" s="64"/>
    </row>
    <row r="7" spans="1:8" ht="21" customHeight="1" thickBot="1" x14ac:dyDescent="0.3">
      <c r="A7" s="151" t="s">
        <v>64</v>
      </c>
      <c r="B7" s="151"/>
      <c r="C7" s="152" t="s">
        <v>65</v>
      </c>
      <c r="D7" s="152"/>
      <c r="E7" s="152"/>
      <c r="F7" s="153" t="s">
        <v>66</v>
      </c>
      <c r="G7" s="153"/>
      <c r="H7" s="65" t="s">
        <v>65</v>
      </c>
    </row>
    <row r="8" spans="1:8" x14ac:dyDescent="0.2">
      <c r="A8" s="154" t="s">
        <v>9</v>
      </c>
      <c r="B8" s="156" t="s">
        <v>10</v>
      </c>
      <c r="C8" s="156" t="s">
        <v>11</v>
      </c>
      <c r="D8" s="156" t="s">
        <v>12</v>
      </c>
      <c r="E8" s="156"/>
      <c r="F8" s="156" t="s">
        <v>13</v>
      </c>
      <c r="G8" s="156"/>
      <c r="H8" s="66" t="s">
        <v>14</v>
      </c>
    </row>
    <row r="9" spans="1:8" ht="26.25" thickBot="1" x14ac:dyDescent="0.25">
      <c r="A9" s="155"/>
      <c r="B9" s="157"/>
      <c r="C9" s="158"/>
      <c r="D9" s="67" t="s">
        <v>15</v>
      </c>
      <c r="E9" s="68" t="s">
        <v>16</v>
      </c>
      <c r="F9" s="67" t="s">
        <v>15</v>
      </c>
      <c r="G9" s="68" t="s">
        <v>16</v>
      </c>
      <c r="H9" s="69" t="s">
        <v>17</v>
      </c>
    </row>
    <row r="10" spans="1:8" ht="15" x14ac:dyDescent="0.2">
      <c r="A10" s="38">
        <v>510301</v>
      </c>
      <c r="B10" s="39" t="s">
        <v>81</v>
      </c>
      <c r="C10" s="70" t="s">
        <v>82</v>
      </c>
      <c r="D10" s="70">
        <v>10028</v>
      </c>
      <c r="E10" s="70" t="s">
        <v>19</v>
      </c>
      <c r="F10" s="71"/>
      <c r="G10" s="72"/>
      <c r="H10" s="73"/>
    </row>
    <row r="11" spans="1:8" ht="15" x14ac:dyDescent="0.2">
      <c r="A11" s="117">
        <v>11200072</v>
      </c>
      <c r="B11" s="78" t="s">
        <v>83</v>
      </c>
      <c r="C11" s="74" t="s">
        <v>84</v>
      </c>
      <c r="D11" s="74">
        <v>3800</v>
      </c>
      <c r="E11" s="74" t="s">
        <v>19</v>
      </c>
      <c r="F11" s="71"/>
      <c r="G11" s="72"/>
      <c r="H11" s="73"/>
    </row>
    <row r="12" spans="1:8" ht="15" x14ac:dyDescent="0.2">
      <c r="A12" s="117">
        <v>11200071</v>
      </c>
      <c r="B12" s="78" t="s">
        <v>85</v>
      </c>
      <c r="C12" s="74" t="s">
        <v>84</v>
      </c>
      <c r="D12" s="74">
        <v>2012</v>
      </c>
      <c r="E12" s="74" t="s">
        <v>19</v>
      </c>
      <c r="F12" s="71"/>
      <c r="G12" s="72"/>
      <c r="H12" s="73"/>
    </row>
    <row r="13" spans="1:8" ht="15" x14ac:dyDescent="0.2">
      <c r="A13" s="38">
        <v>10100046</v>
      </c>
      <c r="B13" s="78" t="s">
        <v>86</v>
      </c>
      <c r="C13" s="75" t="s">
        <v>87</v>
      </c>
      <c r="D13" s="74">
        <v>134</v>
      </c>
      <c r="E13" s="74" t="s">
        <v>19</v>
      </c>
      <c r="F13" s="71"/>
      <c r="G13" s="72"/>
      <c r="H13" s="73"/>
    </row>
    <row r="14" spans="1:8" ht="15" x14ac:dyDescent="0.2">
      <c r="A14" s="38">
        <v>1212410</v>
      </c>
      <c r="B14" s="78" t="s">
        <v>37</v>
      </c>
      <c r="C14" s="75" t="s">
        <v>38</v>
      </c>
      <c r="D14" s="74">
        <v>80</v>
      </c>
      <c r="E14" s="74" t="s">
        <v>19</v>
      </c>
      <c r="F14" s="71"/>
      <c r="G14" s="72"/>
      <c r="H14" s="73"/>
    </row>
    <row r="15" spans="1:8" ht="15" x14ac:dyDescent="0.2">
      <c r="A15" s="38">
        <v>512255</v>
      </c>
      <c r="B15" s="39" t="s">
        <v>88</v>
      </c>
      <c r="C15" s="75" t="s">
        <v>89</v>
      </c>
      <c r="D15" s="74">
        <v>573</v>
      </c>
      <c r="E15" s="74" t="s">
        <v>19</v>
      </c>
      <c r="F15" s="71"/>
      <c r="G15" s="72"/>
      <c r="H15" s="73"/>
    </row>
    <row r="16" spans="1:8" ht="15" x14ac:dyDescent="0.2">
      <c r="A16" s="79">
        <v>120000042</v>
      </c>
      <c r="B16" s="78" t="s">
        <v>90</v>
      </c>
      <c r="C16" s="74" t="s">
        <v>91</v>
      </c>
      <c r="D16" s="74">
        <v>66</v>
      </c>
      <c r="E16" s="74" t="s">
        <v>19</v>
      </c>
      <c r="F16" s="71"/>
      <c r="G16" s="72"/>
      <c r="H16" s="73"/>
    </row>
    <row r="17" spans="1:12" ht="15" x14ac:dyDescent="0.2">
      <c r="A17" s="79">
        <v>11200073</v>
      </c>
      <c r="B17" s="78" t="s">
        <v>92</v>
      </c>
      <c r="C17" s="74" t="s">
        <v>93</v>
      </c>
      <c r="D17" s="74">
        <v>5278</v>
      </c>
      <c r="E17" s="74" t="s">
        <v>19</v>
      </c>
      <c r="F17" s="71"/>
      <c r="G17" s="72"/>
      <c r="H17" s="73"/>
    </row>
    <row r="18" spans="1:12" ht="15.75" x14ac:dyDescent="0.25">
      <c r="A18" s="118"/>
      <c r="B18" s="80"/>
      <c r="C18" s="74"/>
      <c r="D18" s="74"/>
      <c r="E18" s="74"/>
      <c r="F18" s="71"/>
      <c r="G18" s="72"/>
      <c r="H18" s="73"/>
    </row>
    <row r="19" spans="1:12" ht="15" x14ac:dyDescent="0.2">
      <c r="A19" s="38">
        <v>1950708</v>
      </c>
      <c r="B19" s="39" t="s">
        <v>94</v>
      </c>
      <c r="C19" s="74"/>
      <c r="D19" s="74">
        <v>2</v>
      </c>
      <c r="E19" s="74" t="s">
        <v>20</v>
      </c>
      <c r="F19" s="71"/>
      <c r="G19" s="72"/>
      <c r="H19" s="73"/>
    </row>
    <row r="20" spans="1:12" ht="15" x14ac:dyDescent="0.2">
      <c r="A20" s="38">
        <v>60100010</v>
      </c>
      <c r="B20" s="39" t="s">
        <v>95</v>
      </c>
      <c r="C20" s="74"/>
      <c r="D20" s="74">
        <v>1</v>
      </c>
      <c r="E20" s="74" t="s">
        <v>20</v>
      </c>
      <c r="F20" s="71"/>
      <c r="G20" s="72"/>
      <c r="H20" s="73"/>
    </row>
    <row r="21" spans="1:12" ht="13.5" customHeight="1" x14ac:dyDescent="0.2">
      <c r="A21" s="38">
        <v>702123</v>
      </c>
      <c r="B21" s="39" t="s">
        <v>39</v>
      </c>
      <c r="C21" s="81"/>
      <c r="D21" s="82">
        <v>2</v>
      </c>
      <c r="E21" s="83" t="s">
        <v>20</v>
      </c>
      <c r="F21" s="84"/>
      <c r="G21" s="85"/>
      <c r="H21" s="86"/>
    </row>
    <row r="22" spans="1:12" ht="15" x14ac:dyDescent="0.2">
      <c r="A22" s="37">
        <v>1950705</v>
      </c>
      <c r="B22" s="36" t="s">
        <v>96</v>
      </c>
      <c r="C22" s="81"/>
      <c r="D22" s="82">
        <v>1</v>
      </c>
      <c r="E22" s="83" t="s">
        <v>20</v>
      </c>
      <c r="F22" s="84"/>
      <c r="G22" s="85"/>
      <c r="H22" s="86"/>
    </row>
    <row r="23" spans="1:12" ht="15" x14ac:dyDescent="0.25">
      <c r="A23" s="10"/>
      <c r="B23" s="11"/>
      <c r="C23" s="119"/>
      <c r="D23" s="120"/>
      <c r="E23" s="121"/>
      <c r="F23" s="84"/>
      <c r="G23" s="85"/>
      <c r="H23" s="86"/>
    </row>
    <row r="24" spans="1:12" ht="15" x14ac:dyDescent="0.2">
      <c r="A24" s="90"/>
      <c r="B24" s="91"/>
      <c r="C24" s="92"/>
      <c r="D24" s="75"/>
      <c r="E24" s="75"/>
      <c r="F24" s="84"/>
      <c r="G24" s="85"/>
      <c r="H24" s="93"/>
    </row>
    <row r="25" spans="1:12" ht="14.25" x14ac:dyDescent="0.2">
      <c r="A25" s="94"/>
      <c r="B25" s="95"/>
      <c r="C25" s="96"/>
      <c r="D25" s="97"/>
      <c r="E25" s="97"/>
      <c r="F25" s="97"/>
      <c r="G25" s="97"/>
      <c r="H25" s="93"/>
    </row>
    <row r="26" spans="1:12" ht="13.5" thickBot="1" x14ac:dyDescent="0.25">
      <c r="A26" s="98"/>
      <c r="D26" s="99"/>
      <c r="E26" s="100"/>
      <c r="H26" s="101"/>
      <c r="K26" s="102"/>
    </row>
    <row r="27" spans="1:12" ht="13.5" thickBot="1" x14ac:dyDescent="0.25">
      <c r="A27" s="103"/>
      <c r="B27" s="104"/>
      <c r="C27" s="105" t="s">
        <v>15</v>
      </c>
      <c r="D27" s="106" t="s">
        <v>24</v>
      </c>
      <c r="E27" s="107"/>
      <c r="F27" s="104"/>
      <c r="G27" s="104"/>
      <c r="H27" s="108"/>
      <c r="K27" s="102"/>
    </row>
    <row r="28" spans="1:12" x14ac:dyDescent="0.2">
      <c r="A28" s="146" t="s">
        <v>25</v>
      </c>
      <c r="B28" s="147"/>
      <c r="C28" s="71">
        <f>SUM(D10:D17)</f>
        <v>21971</v>
      </c>
      <c r="D28" s="109" t="s">
        <v>19</v>
      </c>
      <c r="E28" s="148"/>
      <c r="F28" s="148"/>
      <c r="G28" s="149"/>
      <c r="H28" s="150"/>
      <c r="K28" s="102"/>
    </row>
    <row r="29" spans="1:12" x14ac:dyDescent="0.2">
      <c r="A29" s="134" t="s">
        <v>27</v>
      </c>
      <c r="B29" s="135"/>
      <c r="C29" s="110">
        <v>3</v>
      </c>
      <c r="D29" s="85" t="s">
        <v>41</v>
      </c>
      <c r="E29" s="136"/>
      <c r="F29" s="136"/>
      <c r="G29" s="137"/>
      <c r="H29" s="138"/>
      <c r="K29" s="102"/>
    </row>
    <row r="30" spans="1:12" x14ac:dyDescent="0.2">
      <c r="A30" s="134" t="s">
        <v>29</v>
      </c>
      <c r="B30" s="135"/>
      <c r="C30" s="85">
        <v>1</v>
      </c>
      <c r="D30" s="85" t="s">
        <v>20</v>
      </c>
      <c r="E30" s="136"/>
      <c r="F30" s="136"/>
      <c r="G30" s="137"/>
      <c r="H30" s="138"/>
      <c r="K30" s="102"/>
    </row>
    <row r="31" spans="1:12" x14ac:dyDescent="0.2">
      <c r="A31" s="134" t="s">
        <v>31</v>
      </c>
      <c r="B31" s="135"/>
      <c r="C31" s="84">
        <f>+C28</f>
        <v>21971</v>
      </c>
      <c r="D31" s="85" t="s">
        <v>19</v>
      </c>
      <c r="E31" s="139"/>
      <c r="F31" s="140"/>
      <c r="G31" s="137"/>
      <c r="H31" s="138"/>
      <c r="K31" s="102"/>
      <c r="L31" s="111"/>
    </row>
    <row r="32" spans="1:12" ht="13.5" thickBot="1" x14ac:dyDescent="0.25">
      <c r="A32" s="141" t="s">
        <v>33</v>
      </c>
      <c r="B32" s="142"/>
      <c r="C32" s="112">
        <v>0</v>
      </c>
      <c r="D32" s="113" t="s">
        <v>19</v>
      </c>
      <c r="E32" s="143"/>
      <c r="F32" s="143"/>
      <c r="G32" s="144"/>
      <c r="H32" s="145"/>
      <c r="K32" s="102"/>
    </row>
    <row r="33" spans="1:8" ht="13.5" thickBot="1" x14ac:dyDescent="0.25">
      <c r="A33" s="125" t="s">
        <v>34</v>
      </c>
      <c r="B33" s="126"/>
      <c r="C33" s="126"/>
      <c r="D33" s="126"/>
      <c r="E33" s="126"/>
      <c r="F33" s="126"/>
      <c r="G33" s="126"/>
      <c r="H33" s="127"/>
    </row>
    <row r="34" spans="1:8" ht="15" x14ac:dyDescent="0.25">
      <c r="A34" s="128" t="s">
        <v>97</v>
      </c>
      <c r="B34" s="129"/>
      <c r="C34" s="129"/>
      <c r="D34" s="129"/>
      <c r="E34" s="129"/>
      <c r="F34" s="129"/>
      <c r="G34" s="129"/>
      <c r="H34" s="130"/>
    </row>
    <row r="35" spans="1:8" ht="15" x14ac:dyDescent="0.25">
      <c r="A35" s="128" t="s">
        <v>98</v>
      </c>
      <c r="B35" s="129"/>
      <c r="C35" s="129"/>
      <c r="D35" s="129"/>
      <c r="E35" s="129"/>
      <c r="F35" s="129"/>
      <c r="G35" s="129"/>
      <c r="H35" s="130"/>
    </row>
    <row r="36" spans="1:8" ht="15" x14ac:dyDescent="0.25">
      <c r="A36" s="128" t="s">
        <v>99</v>
      </c>
      <c r="B36" s="129"/>
      <c r="C36" s="129"/>
      <c r="D36" s="129"/>
      <c r="E36" s="129"/>
      <c r="F36" s="129"/>
      <c r="G36" s="129"/>
      <c r="H36" s="130"/>
    </row>
    <row r="37" spans="1:8" ht="15" x14ac:dyDescent="0.25">
      <c r="A37" s="128"/>
      <c r="B37" s="129"/>
      <c r="C37" s="129"/>
      <c r="D37" s="129"/>
      <c r="E37" s="129"/>
      <c r="F37" s="129"/>
      <c r="G37" s="129"/>
      <c r="H37" s="130"/>
    </row>
    <row r="38" spans="1:8" ht="15" x14ac:dyDescent="0.25">
      <c r="A38" s="128"/>
      <c r="B38" s="129"/>
      <c r="C38" s="129"/>
      <c r="D38" s="129"/>
      <c r="E38" s="129"/>
      <c r="F38" s="129"/>
      <c r="G38" s="129"/>
      <c r="H38" s="130"/>
    </row>
    <row r="39" spans="1:8" ht="15" x14ac:dyDescent="0.25">
      <c r="A39" s="128"/>
      <c r="B39" s="129"/>
      <c r="C39" s="129"/>
      <c r="D39" s="129"/>
      <c r="E39" s="129"/>
      <c r="F39" s="129"/>
      <c r="G39" s="129"/>
      <c r="H39" s="130"/>
    </row>
    <row r="40" spans="1:8" ht="16.5" customHeight="1" x14ac:dyDescent="0.2">
      <c r="A40" s="131"/>
      <c r="B40" s="132"/>
      <c r="C40" s="132"/>
      <c r="D40" s="132"/>
      <c r="E40" s="132"/>
      <c r="F40" s="132"/>
      <c r="G40" s="132"/>
      <c r="H40" s="133"/>
    </row>
    <row r="41" spans="1:8" ht="16.5" customHeight="1" x14ac:dyDescent="0.2">
      <c r="A41" s="131"/>
      <c r="B41" s="132"/>
      <c r="C41" s="132"/>
      <c r="D41" s="132"/>
      <c r="E41" s="132"/>
      <c r="F41" s="132"/>
      <c r="G41" s="132"/>
      <c r="H41" s="133"/>
    </row>
    <row r="42" spans="1:8" ht="16.5" customHeight="1" thickBot="1" x14ac:dyDescent="0.25">
      <c r="A42" s="122"/>
      <c r="B42" s="123"/>
      <c r="C42" s="123"/>
      <c r="D42" s="123"/>
      <c r="E42" s="123"/>
      <c r="F42" s="123"/>
      <c r="G42" s="123"/>
      <c r="H42" s="124"/>
    </row>
    <row r="43" spans="1:8" ht="13.5" thickBot="1" x14ac:dyDescent="0.25">
      <c r="A43" s="125" t="s">
        <v>43</v>
      </c>
      <c r="B43" s="126"/>
      <c r="C43" s="126"/>
      <c r="D43" s="126"/>
      <c r="E43" s="126"/>
      <c r="F43" s="126"/>
      <c r="G43" s="126"/>
      <c r="H43" s="127"/>
    </row>
    <row r="44" spans="1:8" x14ac:dyDescent="0.2">
      <c r="A44" s="115" t="s">
        <v>100</v>
      </c>
      <c r="B44" s="115"/>
    </row>
    <row r="45" spans="1:8" ht="15" x14ac:dyDescent="0.25">
      <c r="A45" s="114" t="s">
        <v>101</v>
      </c>
    </row>
    <row r="46" spans="1:8" ht="15" x14ac:dyDescent="0.25">
      <c r="A46" s="114" t="s">
        <v>102</v>
      </c>
    </row>
  </sheetData>
  <mergeCells count="42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8:B28"/>
    <mergeCell ref="E28:F28"/>
    <mergeCell ref="G28:H28"/>
    <mergeCell ref="A29:B29"/>
    <mergeCell ref="E29:F29"/>
    <mergeCell ref="G29:H29"/>
    <mergeCell ref="A35:H35"/>
    <mergeCell ref="A30:B30"/>
    <mergeCell ref="E30:F30"/>
    <mergeCell ref="G30:H30"/>
    <mergeCell ref="A31:B31"/>
    <mergeCell ref="E31:F31"/>
    <mergeCell ref="G31:H31"/>
    <mergeCell ref="A32:B32"/>
    <mergeCell ref="E32:F32"/>
    <mergeCell ref="G32:H32"/>
    <mergeCell ref="A33:H33"/>
    <mergeCell ref="A34:H34"/>
    <mergeCell ref="A42:H42"/>
    <mergeCell ref="A43:H43"/>
    <mergeCell ref="A36:H36"/>
    <mergeCell ref="A37:H37"/>
    <mergeCell ref="A38:H38"/>
    <mergeCell ref="A39:H39"/>
    <mergeCell ref="A40:H40"/>
    <mergeCell ref="A41:H4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8A8-E4C2-41EA-875C-BFE4DC0EEF5F}">
  <dimension ref="A1:L44"/>
  <sheetViews>
    <sheetView workbookViewId="0">
      <selection activeCell="A10" sqref="A10"/>
    </sheetView>
  </sheetViews>
  <sheetFormatPr baseColWidth="10" defaultColWidth="11.42578125" defaultRowHeight="12.75" x14ac:dyDescent="0.2"/>
  <cols>
    <col min="1" max="1" width="16.28515625" style="55" customWidth="1"/>
    <col min="2" max="2" width="46.7109375" style="55" customWidth="1"/>
    <col min="3" max="3" width="18.5703125" style="55" customWidth="1"/>
    <col min="4" max="4" width="11.42578125" style="55"/>
    <col min="5" max="5" width="13.28515625" style="55" customWidth="1"/>
    <col min="6" max="6" width="12.5703125" style="55" customWidth="1"/>
    <col min="7" max="7" width="15.5703125" style="55" customWidth="1"/>
    <col min="8" max="8" width="16" style="55" customWidth="1"/>
    <col min="9" max="16384" width="11.42578125" style="55"/>
  </cols>
  <sheetData>
    <row r="1" spans="1:8" ht="18" x14ac:dyDescent="0.25">
      <c r="A1" s="164"/>
      <c r="B1" s="167" t="s">
        <v>0</v>
      </c>
      <c r="C1" s="167"/>
      <c r="D1" s="167"/>
      <c r="E1" s="167"/>
      <c r="F1" s="167"/>
      <c r="G1" s="53" t="s">
        <v>1</v>
      </c>
      <c r="H1" s="54" t="s">
        <v>61</v>
      </c>
    </row>
    <row r="2" spans="1:8" ht="18" x14ac:dyDescent="0.25">
      <c r="A2" s="165"/>
      <c r="B2" s="168" t="s">
        <v>2</v>
      </c>
      <c r="C2" s="168"/>
      <c r="D2" s="168"/>
      <c r="E2" s="168"/>
      <c r="F2" s="168"/>
      <c r="G2" s="56" t="s">
        <v>3</v>
      </c>
      <c r="H2" s="57" t="s">
        <v>47</v>
      </c>
    </row>
    <row r="3" spans="1:8" ht="19.5" customHeight="1" x14ac:dyDescent="0.2">
      <c r="A3" s="165"/>
      <c r="B3" s="169" t="s">
        <v>62</v>
      </c>
      <c r="C3" s="169"/>
      <c r="D3" s="169"/>
      <c r="E3" s="169"/>
      <c r="F3" s="169"/>
      <c r="G3" s="170" t="s">
        <v>4</v>
      </c>
      <c r="H3" s="160">
        <v>44671</v>
      </c>
    </row>
    <row r="4" spans="1:8" x14ac:dyDescent="0.2">
      <c r="A4" s="165"/>
      <c r="B4" s="58" t="s">
        <v>5</v>
      </c>
      <c r="C4" s="162" t="s">
        <v>63</v>
      </c>
      <c r="D4" s="162"/>
      <c r="E4" s="162"/>
      <c r="F4" s="162"/>
      <c r="G4" s="170"/>
      <c r="H4" s="160"/>
    </row>
    <row r="5" spans="1:8" ht="15" customHeight="1" thickBot="1" x14ac:dyDescent="0.25">
      <c r="A5" s="166"/>
      <c r="B5" s="59" t="s">
        <v>7</v>
      </c>
      <c r="C5" s="163" t="s">
        <v>8</v>
      </c>
      <c r="D5" s="163"/>
      <c r="E5" s="163"/>
      <c r="F5" s="163"/>
      <c r="G5" s="171"/>
      <c r="H5" s="161"/>
    </row>
    <row r="6" spans="1:8" ht="15" customHeight="1" x14ac:dyDescent="0.2">
      <c r="A6" s="60"/>
      <c r="B6" s="61"/>
      <c r="C6" s="62"/>
      <c r="D6" s="62"/>
      <c r="E6" s="62"/>
      <c r="F6" s="62"/>
      <c r="G6" s="63"/>
      <c r="H6" s="64"/>
    </row>
    <row r="7" spans="1:8" ht="21" customHeight="1" thickBot="1" x14ac:dyDescent="0.3">
      <c r="A7" s="151" t="s">
        <v>64</v>
      </c>
      <c r="B7" s="151"/>
      <c r="C7" s="152" t="s">
        <v>65</v>
      </c>
      <c r="D7" s="152"/>
      <c r="E7" s="152"/>
      <c r="F7" s="153" t="s">
        <v>66</v>
      </c>
      <c r="G7" s="153"/>
      <c r="H7" s="65" t="s">
        <v>65</v>
      </c>
    </row>
    <row r="8" spans="1:8" ht="25.5" x14ac:dyDescent="0.2">
      <c r="A8" s="154" t="s">
        <v>9</v>
      </c>
      <c r="B8" s="156" t="s">
        <v>10</v>
      </c>
      <c r="C8" s="156" t="s">
        <v>11</v>
      </c>
      <c r="D8" s="156" t="s">
        <v>12</v>
      </c>
      <c r="E8" s="156"/>
      <c r="F8" s="156" t="s">
        <v>13</v>
      </c>
      <c r="G8" s="156"/>
      <c r="H8" s="66" t="s">
        <v>14</v>
      </c>
    </row>
    <row r="9" spans="1:8" ht="26.25" thickBot="1" x14ac:dyDescent="0.25">
      <c r="A9" s="172"/>
      <c r="B9" s="158"/>
      <c r="C9" s="158"/>
      <c r="D9" s="67" t="s">
        <v>15</v>
      </c>
      <c r="E9" s="68" t="s">
        <v>16</v>
      </c>
      <c r="F9" s="67" t="s">
        <v>15</v>
      </c>
      <c r="G9" s="68" t="s">
        <v>16</v>
      </c>
      <c r="H9" s="69" t="s">
        <v>17</v>
      </c>
    </row>
    <row r="10" spans="1:8" ht="15" x14ac:dyDescent="0.2">
      <c r="A10" s="37">
        <v>906000130</v>
      </c>
      <c r="B10" s="36" t="s">
        <v>67</v>
      </c>
      <c r="C10" s="70" t="s">
        <v>18</v>
      </c>
      <c r="D10" s="71">
        <v>21971</v>
      </c>
      <c r="E10" s="70" t="s">
        <v>19</v>
      </c>
      <c r="F10" s="71">
        <f>D10/39</f>
        <v>563.35897435897436</v>
      </c>
      <c r="G10" s="72"/>
      <c r="H10" s="73"/>
    </row>
    <row r="11" spans="1:8" ht="15" x14ac:dyDescent="0.2">
      <c r="A11" s="38">
        <v>1210482</v>
      </c>
      <c r="B11" s="39" t="s">
        <v>68</v>
      </c>
      <c r="C11" s="74" t="s">
        <v>69</v>
      </c>
      <c r="D11" s="74">
        <v>6687</v>
      </c>
      <c r="E11" s="74" t="s">
        <v>19</v>
      </c>
      <c r="F11" s="71"/>
      <c r="G11" s="72"/>
      <c r="H11" s="73"/>
    </row>
    <row r="12" spans="1:8" ht="15" x14ac:dyDescent="0.2">
      <c r="A12" s="38">
        <v>10100050</v>
      </c>
      <c r="B12" s="39" t="s">
        <v>70</v>
      </c>
      <c r="C12" s="74" t="s">
        <v>71</v>
      </c>
      <c r="D12" s="74">
        <v>5732</v>
      </c>
      <c r="E12" s="74" t="s">
        <v>19</v>
      </c>
      <c r="F12" s="71"/>
      <c r="G12" s="72"/>
      <c r="H12" s="73"/>
    </row>
    <row r="13" spans="1:8" ht="15.75" x14ac:dyDescent="0.25">
      <c r="A13" s="10" t="s">
        <v>35</v>
      </c>
      <c r="B13" s="11" t="s">
        <v>36</v>
      </c>
      <c r="C13" s="75" t="s">
        <v>18</v>
      </c>
      <c r="D13" s="74">
        <v>5350</v>
      </c>
      <c r="E13" s="74" t="s">
        <v>19</v>
      </c>
      <c r="F13" s="71"/>
      <c r="G13" s="72"/>
      <c r="H13" s="73"/>
    </row>
    <row r="14" spans="1:8" ht="15" x14ac:dyDescent="0.2">
      <c r="A14" s="76"/>
      <c r="B14" s="77"/>
      <c r="C14" s="75"/>
      <c r="D14" s="74"/>
      <c r="E14" s="74"/>
      <c r="F14" s="71"/>
      <c r="G14" s="72"/>
      <c r="H14" s="73"/>
    </row>
    <row r="15" spans="1:8" ht="15" x14ac:dyDescent="0.2">
      <c r="A15" s="38"/>
      <c r="B15" s="78"/>
      <c r="C15" s="75"/>
      <c r="D15" s="74"/>
      <c r="E15" s="74"/>
      <c r="F15" s="71"/>
      <c r="G15" s="72"/>
      <c r="H15" s="73"/>
    </row>
    <row r="16" spans="1:8" ht="15" x14ac:dyDescent="0.2">
      <c r="A16" s="79"/>
      <c r="B16" s="78"/>
      <c r="C16" s="74"/>
      <c r="D16" s="74"/>
      <c r="E16" s="74"/>
      <c r="F16" s="71"/>
      <c r="G16" s="72"/>
      <c r="H16" s="73"/>
    </row>
    <row r="17" spans="1:12" ht="15.75" x14ac:dyDescent="0.25">
      <c r="A17" s="79"/>
      <c r="B17" s="80"/>
      <c r="C17" s="74"/>
      <c r="D17" s="74"/>
      <c r="E17" s="74"/>
      <c r="F17" s="71"/>
      <c r="G17" s="72"/>
      <c r="H17" s="73"/>
    </row>
    <row r="18" spans="1:12" ht="15" x14ac:dyDescent="0.2">
      <c r="A18" s="38"/>
      <c r="B18" s="39"/>
      <c r="C18" s="74"/>
      <c r="D18" s="74"/>
      <c r="E18" s="74"/>
      <c r="F18" s="71"/>
      <c r="G18" s="72"/>
      <c r="H18" s="73"/>
    </row>
    <row r="19" spans="1:12" ht="15" x14ac:dyDescent="0.2">
      <c r="A19" s="38"/>
      <c r="B19" s="39"/>
      <c r="C19" s="74"/>
      <c r="D19" s="74"/>
      <c r="E19" s="74"/>
      <c r="F19" s="71"/>
      <c r="G19" s="72"/>
      <c r="H19" s="73"/>
    </row>
    <row r="20" spans="1:12" ht="13.5" customHeight="1" x14ac:dyDescent="0.2">
      <c r="A20" s="38"/>
      <c r="B20" s="39"/>
      <c r="C20" s="81"/>
      <c r="D20" s="82"/>
      <c r="E20" s="83"/>
      <c r="F20" s="84"/>
      <c r="G20" s="85"/>
      <c r="H20" s="86"/>
    </row>
    <row r="21" spans="1:12" ht="14.25" x14ac:dyDescent="0.2">
      <c r="A21" s="87"/>
      <c r="B21" s="88"/>
      <c r="C21" s="81"/>
      <c r="D21" s="82"/>
      <c r="E21" s="83"/>
      <c r="F21" s="84"/>
      <c r="G21" s="85"/>
      <c r="H21" s="86"/>
    </row>
    <row r="22" spans="1:12" ht="14.25" x14ac:dyDescent="0.2">
      <c r="A22" s="87"/>
      <c r="B22" s="89"/>
      <c r="C22" s="81"/>
      <c r="D22" s="82"/>
      <c r="E22" s="83"/>
      <c r="F22" s="84"/>
      <c r="G22" s="85"/>
      <c r="H22" s="86"/>
    </row>
    <row r="23" spans="1:12" ht="15" x14ac:dyDescent="0.2">
      <c r="A23" s="90"/>
      <c r="B23" s="91"/>
      <c r="C23" s="92"/>
      <c r="D23" s="75"/>
      <c r="E23" s="75"/>
      <c r="F23" s="84"/>
      <c r="G23" s="85"/>
      <c r="H23" s="93"/>
    </row>
    <row r="24" spans="1:12" ht="14.25" x14ac:dyDescent="0.2">
      <c r="A24" s="94"/>
      <c r="B24" s="95"/>
      <c r="C24" s="96"/>
      <c r="D24" s="97"/>
      <c r="E24" s="97"/>
      <c r="F24" s="97"/>
      <c r="G24" s="97"/>
      <c r="H24" s="93"/>
    </row>
    <row r="25" spans="1:12" ht="13.5" thickBot="1" x14ac:dyDescent="0.25">
      <c r="A25" s="98"/>
      <c r="D25" s="99"/>
      <c r="E25" s="100"/>
      <c r="H25" s="101"/>
      <c r="K25" s="102"/>
    </row>
    <row r="26" spans="1:12" ht="13.5" thickBot="1" x14ac:dyDescent="0.25">
      <c r="A26" s="103"/>
      <c r="B26" s="104"/>
      <c r="C26" s="105" t="s">
        <v>15</v>
      </c>
      <c r="D26" s="106" t="s">
        <v>24</v>
      </c>
      <c r="E26" s="107"/>
      <c r="F26" s="104"/>
      <c r="G26" s="104"/>
      <c r="H26" s="108"/>
      <c r="K26" s="102"/>
    </row>
    <row r="27" spans="1:12" x14ac:dyDescent="0.2">
      <c r="A27" s="146" t="s">
        <v>25</v>
      </c>
      <c r="B27" s="147"/>
      <c r="C27" s="71">
        <v>39000</v>
      </c>
      <c r="D27" s="109" t="s">
        <v>19</v>
      </c>
      <c r="E27" s="148"/>
      <c r="F27" s="148"/>
      <c r="G27" s="149"/>
      <c r="H27" s="150"/>
      <c r="K27" s="102"/>
    </row>
    <row r="28" spans="1:12" x14ac:dyDescent="0.2">
      <c r="A28" s="134" t="s">
        <v>27</v>
      </c>
      <c r="B28" s="135"/>
      <c r="C28" s="110">
        <v>10</v>
      </c>
      <c r="D28" s="85" t="s">
        <v>41</v>
      </c>
      <c r="E28" s="136"/>
      <c r="F28" s="136"/>
      <c r="G28" s="137"/>
      <c r="H28" s="138"/>
      <c r="K28" s="102"/>
    </row>
    <row r="29" spans="1:12" x14ac:dyDescent="0.2">
      <c r="A29" s="134" t="s">
        <v>29</v>
      </c>
      <c r="B29" s="135"/>
      <c r="C29" s="85">
        <v>1</v>
      </c>
      <c r="D29" s="85" t="s">
        <v>42</v>
      </c>
      <c r="E29" s="136"/>
      <c r="F29" s="136"/>
      <c r="G29" s="137"/>
      <c r="H29" s="138"/>
      <c r="K29" s="102"/>
    </row>
    <row r="30" spans="1:12" x14ac:dyDescent="0.2">
      <c r="A30" s="134" t="s">
        <v>31</v>
      </c>
      <c r="B30" s="135"/>
      <c r="C30" s="84">
        <f>+C27</f>
        <v>39000</v>
      </c>
      <c r="D30" s="85" t="s">
        <v>19</v>
      </c>
      <c r="E30" s="139"/>
      <c r="F30" s="140"/>
      <c r="G30" s="137"/>
      <c r="H30" s="138"/>
      <c r="K30" s="102"/>
      <c r="L30" s="111"/>
    </row>
    <row r="31" spans="1:12" ht="13.5" thickBot="1" x14ac:dyDescent="0.25">
      <c r="A31" s="141" t="s">
        <v>33</v>
      </c>
      <c r="B31" s="142"/>
      <c r="C31" s="112">
        <f>SUM(D10:D13)-C27</f>
        <v>740</v>
      </c>
      <c r="D31" s="113" t="s">
        <v>19</v>
      </c>
      <c r="E31" s="143"/>
      <c r="F31" s="143"/>
      <c r="G31" s="144"/>
      <c r="H31" s="145"/>
      <c r="K31" s="102"/>
    </row>
    <row r="32" spans="1:12" ht="13.5" thickBot="1" x14ac:dyDescent="0.25">
      <c r="A32" s="125" t="s">
        <v>34</v>
      </c>
      <c r="B32" s="126"/>
      <c r="C32" s="126"/>
      <c r="D32" s="126"/>
      <c r="E32" s="126"/>
      <c r="F32" s="126"/>
      <c r="G32" s="126"/>
      <c r="H32" s="127"/>
    </row>
    <row r="33" spans="1:8" ht="15" x14ac:dyDescent="0.25">
      <c r="A33" s="128" t="s">
        <v>72</v>
      </c>
      <c r="B33" s="129"/>
      <c r="C33" s="129"/>
      <c r="D33" s="129"/>
      <c r="E33" s="129"/>
      <c r="F33" s="129"/>
      <c r="G33" s="129"/>
      <c r="H33" s="130"/>
    </row>
    <row r="34" spans="1:8" ht="15" x14ac:dyDescent="0.25">
      <c r="A34" s="128" t="s">
        <v>73</v>
      </c>
      <c r="B34" s="129"/>
      <c r="C34" s="129"/>
      <c r="D34" s="129"/>
      <c r="E34" s="129"/>
      <c r="F34" s="129"/>
      <c r="G34" s="129"/>
      <c r="H34" s="130"/>
    </row>
    <row r="35" spans="1:8" ht="15" x14ac:dyDescent="0.25">
      <c r="A35" s="128" t="s">
        <v>74</v>
      </c>
      <c r="B35" s="129"/>
      <c r="C35" s="129"/>
      <c r="D35" s="129"/>
      <c r="E35" s="129"/>
      <c r="F35" s="129"/>
      <c r="G35" s="129"/>
      <c r="H35" s="130"/>
    </row>
    <row r="36" spans="1:8" ht="15" x14ac:dyDescent="0.25">
      <c r="A36" s="128" t="s">
        <v>75</v>
      </c>
      <c r="B36" s="129"/>
      <c r="C36" s="129"/>
      <c r="D36" s="129"/>
      <c r="E36" s="129"/>
      <c r="F36" s="129"/>
      <c r="G36" s="129"/>
      <c r="H36" s="130"/>
    </row>
    <row r="37" spans="1:8" ht="15" x14ac:dyDescent="0.25">
      <c r="A37" s="128"/>
      <c r="B37" s="129"/>
      <c r="C37" s="129"/>
      <c r="D37" s="129"/>
      <c r="E37" s="129"/>
      <c r="F37" s="129"/>
      <c r="G37" s="129"/>
      <c r="H37" s="130"/>
    </row>
    <row r="38" spans="1:8" ht="15" x14ac:dyDescent="0.25">
      <c r="A38" s="128"/>
      <c r="B38" s="129"/>
      <c r="C38" s="129"/>
      <c r="D38" s="129"/>
      <c r="E38" s="129"/>
      <c r="F38" s="129"/>
      <c r="G38" s="129"/>
      <c r="H38" s="130"/>
    </row>
    <row r="39" spans="1:8" ht="15" x14ac:dyDescent="0.25">
      <c r="A39" s="128"/>
      <c r="B39" s="129"/>
      <c r="C39" s="129"/>
      <c r="D39" s="129"/>
      <c r="E39" s="129"/>
      <c r="F39" s="129"/>
      <c r="G39" s="129"/>
      <c r="H39" s="130"/>
    </row>
    <row r="40" spans="1:8" ht="16.5" customHeight="1" x14ac:dyDescent="0.2">
      <c r="A40" s="131"/>
      <c r="B40" s="132"/>
      <c r="C40" s="132"/>
      <c r="D40" s="132"/>
      <c r="E40" s="132"/>
      <c r="F40" s="132"/>
      <c r="G40" s="132"/>
      <c r="H40" s="133"/>
    </row>
    <row r="41" spans="1:8" ht="16.5" customHeight="1" thickBot="1" x14ac:dyDescent="0.25">
      <c r="A41" s="131"/>
      <c r="B41" s="132"/>
      <c r="C41" s="132"/>
      <c r="D41" s="132"/>
      <c r="E41" s="132"/>
      <c r="F41" s="132"/>
      <c r="G41" s="132"/>
      <c r="H41" s="133"/>
    </row>
    <row r="42" spans="1:8" ht="16.5" customHeight="1" thickBot="1" x14ac:dyDescent="0.25">
      <c r="A42" s="125" t="s">
        <v>43</v>
      </c>
      <c r="B42" s="126"/>
      <c r="C42" s="126"/>
      <c r="D42" s="126"/>
      <c r="E42" s="126"/>
      <c r="F42" s="126"/>
      <c r="G42" s="126"/>
      <c r="H42" s="127"/>
    </row>
    <row r="43" spans="1:8" ht="15" x14ac:dyDescent="0.25">
      <c r="A43" s="114" t="s">
        <v>76</v>
      </c>
    </row>
    <row r="44" spans="1:8" x14ac:dyDescent="0.2">
      <c r="A44" s="115"/>
      <c r="B44" s="115"/>
    </row>
  </sheetData>
  <mergeCells count="42">
    <mergeCell ref="H3:H5"/>
    <mergeCell ref="C4:F4"/>
    <mergeCell ref="C5:F5"/>
    <mergeCell ref="A1:A5"/>
    <mergeCell ref="B1:F1"/>
    <mergeCell ref="B2:F2"/>
    <mergeCell ref="B3:F3"/>
    <mergeCell ref="G3:G5"/>
    <mergeCell ref="A7:B7"/>
    <mergeCell ref="C7:E7"/>
    <mergeCell ref="F7:G7"/>
    <mergeCell ref="A8:A9"/>
    <mergeCell ref="B8:B9"/>
    <mergeCell ref="C8:C9"/>
    <mergeCell ref="D8:E8"/>
    <mergeCell ref="F8:G8"/>
    <mergeCell ref="A27:B27"/>
    <mergeCell ref="E27:F27"/>
    <mergeCell ref="G27:H27"/>
    <mergeCell ref="A28:B28"/>
    <mergeCell ref="E28:F28"/>
    <mergeCell ref="G28:H28"/>
    <mergeCell ref="A34:H34"/>
    <mergeCell ref="A29:B29"/>
    <mergeCell ref="E29:F29"/>
    <mergeCell ref="G29:H29"/>
    <mergeCell ref="A30:B30"/>
    <mergeCell ref="E30:F30"/>
    <mergeCell ref="G30:H30"/>
    <mergeCell ref="A31:B31"/>
    <mergeCell ref="E31:F31"/>
    <mergeCell ref="G31:H31"/>
    <mergeCell ref="A32:H32"/>
    <mergeCell ref="A33:H33"/>
    <mergeCell ref="A41:H41"/>
    <mergeCell ref="A42:H42"/>
    <mergeCell ref="A35:H35"/>
    <mergeCell ref="A36:H36"/>
    <mergeCell ref="A37:H37"/>
    <mergeCell ref="A38:H38"/>
    <mergeCell ref="A39:H39"/>
    <mergeCell ref="A40:H40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6D6B80-E6A3-482B-B8C1-D6D090AE5A2B}">
  <dimension ref="A1:L28"/>
  <sheetViews>
    <sheetView workbookViewId="0">
      <selection activeCell="C10" sqref="C10"/>
    </sheetView>
  </sheetViews>
  <sheetFormatPr baseColWidth="10" defaultColWidth="11.42578125" defaultRowHeight="13.5" x14ac:dyDescent="0.25"/>
  <cols>
    <col min="1" max="1" width="16.28515625" style="2" customWidth="1"/>
    <col min="2" max="2" width="44.28515625" style="2" customWidth="1"/>
    <col min="3" max="3" width="14.28515625" style="2" customWidth="1"/>
    <col min="4" max="4" width="11.42578125" style="2"/>
    <col min="5" max="5" width="12.28515625" style="2" customWidth="1"/>
    <col min="6" max="6" width="12" style="2" customWidth="1"/>
    <col min="7" max="7" width="14.28515625" style="2" customWidth="1"/>
    <col min="8" max="8" width="16" style="2" customWidth="1"/>
    <col min="9" max="16384" width="11.42578125" style="2"/>
  </cols>
  <sheetData>
    <row r="1" spans="1:12" ht="15.75" x14ac:dyDescent="0.25">
      <c r="A1" s="199"/>
      <c r="B1" s="202" t="s">
        <v>0</v>
      </c>
      <c r="C1" s="202"/>
      <c r="D1" s="202"/>
      <c r="E1" s="202"/>
      <c r="F1" s="202"/>
      <c r="G1" s="40" t="s">
        <v>1</v>
      </c>
      <c r="H1" s="41" t="s">
        <v>46</v>
      </c>
    </row>
    <row r="2" spans="1:12" ht="16.5" thickBot="1" x14ac:dyDescent="0.3">
      <c r="A2" s="200"/>
      <c r="B2" s="203" t="s">
        <v>2</v>
      </c>
      <c r="C2" s="203"/>
      <c r="D2" s="203"/>
      <c r="E2" s="203"/>
      <c r="F2" s="203"/>
      <c r="G2" s="42" t="s">
        <v>3</v>
      </c>
      <c r="H2" s="43" t="s">
        <v>47</v>
      </c>
    </row>
    <row r="3" spans="1:12" ht="18.75" thickBot="1" x14ac:dyDescent="0.3">
      <c r="A3" s="201"/>
      <c r="B3" s="204" t="s">
        <v>48</v>
      </c>
      <c r="C3" s="205"/>
      <c r="D3" s="205"/>
      <c r="E3" s="205"/>
      <c r="F3" s="206"/>
      <c r="G3" s="207" t="s">
        <v>4</v>
      </c>
      <c r="H3" s="210" t="s">
        <v>49</v>
      </c>
    </row>
    <row r="4" spans="1:12" x14ac:dyDescent="0.25">
      <c r="A4" s="200"/>
      <c r="B4" s="44" t="s">
        <v>5</v>
      </c>
      <c r="C4" s="212" t="s">
        <v>6</v>
      </c>
      <c r="D4" s="213"/>
      <c r="E4" s="213"/>
      <c r="F4" s="214"/>
      <c r="G4" s="208"/>
      <c r="H4" s="211"/>
    </row>
    <row r="5" spans="1:12" ht="14.25" thickBot="1" x14ac:dyDescent="0.3">
      <c r="A5" s="200"/>
      <c r="B5" s="45" t="s">
        <v>7</v>
      </c>
      <c r="C5" s="215" t="s">
        <v>8</v>
      </c>
      <c r="D5" s="216"/>
      <c r="E5" s="216"/>
      <c r="F5" s="217"/>
      <c r="G5" s="209"/>
      <c r="H5" s="211"/>
    </row>
    <row r="6" spans="1:12" ht="25.5" x14ac:dyDescent="0.25">
      <c r="A6" s="218" t="s">
        <v>9</v>
      </c>
      <c r="B6" s="220" t="s">
        <v>10</v>
      </c>
      <c r="C6" s="220" t="s">
        <v>11</v>
      </c>
      <c r="D6" s="220" t="s">
        <v>12</v>
      </c>
      <c r="E6" s="220"/>
      <c r="F6" s="220" t="s">
        <v>13</v>
      </c>
      <c r="G6" s="220"/>
      <c r="H6" s="3" t="s">
        <v>14</v>
      </c>
    </row>
    <row r="7" spans="1:12" ht="27" thickBot="1" x14ac:dyDescent="0.3">
      <c r="A7" s="219"/>
      <c r="B7" s="221"/>
      <c r="C7" s="221"/>
      <c r="D7" s="4" t="s">
        <v>15</v>
      </c>
      <c r="E7" s="5" t="s">
        <v>16</v>
      </c>
      <c r="F7" s="4" t="s">
        <v>15</v>
      </c>
      <c r="G7" s="5" t="s">
        <v>16</v>
      </c>
      <c r="H7" s="30" t="s">
        <v>17</v>
      </c>
    </row>
    <row r="8" spans="1:12" ht="15" x14ac:dyDescent="0.25">
      <c r="A8" s="6">
        <v>907000264</v>
      </c>
      <c r="B8" s="46" t="s">
        <v>50</v>
      </c>
      <c r="C8" s="33" t="s">
        <v>18</v>
      </c>
      <c r="D8" s="34">
        <v>39000</v>
      </c>
      <c r="E8" s="12" t="s">
        <v>19</v>
      </c>
      <c r="F8" s="47">
        <f>D8/73</f>
        <v>534.2465753424658</v>
      </c>
      <c r="G8" s="33"/>
      <c r="H8" s="35"/>
      <c r="I8" s="2">
        <f>+D8/73</f>
        <v>534.2465753424658</v>
      </c>
    </row>
    <row r="9" spans="1:12" ht="15" x14ac:dyDescent="0.25">
      <c r="A9" s="14"/>
      <c r="B9" s="48"/>
      <c r="C9" s="33"/>
      <c r="D9" s="34"/>
      <c r="E9" s="12"/>
      <c r="F9" s="47">
        <f t="shared" ref="F9:F14" si="0">D9/73</f>
        <v>0</v>
      </c>
      <c r="G9" s="33"/>
      <c r="H9" s="35"/>
    </row>
    <row r="10" spans="1:12" ht="15" x14ac:dyDescent="0.25">
      <c r="A10" s="49"/>
      <c r="B10" s="50" t="s">
        <v>45</v>
      </c>
      <c r="C10" s="51"/>
      <c r="D10" s="34"/>
      <c r="E10" s="12"/>
      <c r="F10" s="47">
        <f t="shared" si="0"/>
        <v>0</v>
      </c>
      <c r="G10" s="33"/>
      <c r="H10" s="35"/>
    </row>
    <row r="11" spans="1:12" ht="15" x14ac:dyDescent="0.25">
      <c r="A11" s="10">
        <v>902000019</v>
      </c>
      <c r="B11" s="52" t="s">
        <v>51</v>
      </c>
      <c r="C11" s="51" t="s">
        <v>52</v>
      </c>
      <c r="D11" s="34">
        <f>15*73</f>
        <v>1095</v>
      </c>
      <c r="E11" s="12" t="s">
        <v>19</v>
      </c>
      <c r="F11" s="47">
        <f>D11/73</f>
        <v>15</v>
      </c>
      <c r="G11" s="31"/>
      <c r="H11" s="32"/>
      <c r="I11" s="2">
        <f>+D11/73</f>
        <v>15</v>
      </c>
    </row>
    <row r="12" spans="1:12" ht="15" x14ac:dyDescent="0.25">
      <c r="A12" s="10" t="s">
        <v>53</v>
      </c>
      <c r="B12" s="11" t="s">
        <v>54</v>
      </c>
      <c r="C12" s="51" t="s">
        <v>55</v>
      </c>
      <c r="D12" s="34">
        <v>6</v>
      </c>
      <c r="E12" s="12" t="s">
        <v>20</v>
      </c>
      <c r="F12" s="47">
        <f t="shared" si="0"/>
        <v>8.2191780821917804E-2</v>
      </c>
      <c r="G12" s="31"/>
      <c r="H12" s="32"/>
      <c r="I12" s="2">
        <f>+D12/73</f>
        <v>8.2191780821917804E-2</v>
      </c>
    </row>
    <row r="13" spans="1:12" ht="15" x14ac:dyDescent="0.25">
      <c r="A13" s="37">
        <v>702123</v>
      </c>
      <c r="B13" s="36" t="s">
        <v>39</v>
      </c>
      <c r="C13" s="51" t="s">
        <v>22</v>
      </c>
      <c r="D13" s="34">
        <v>6</v>
      </c>
      <c r="E13" s="12" t="s">
        <v>20</v>
      </c>
      <c r="F13" s="47">
        <f t="shared" si="0"/>
        <v>8.2191780821917804E-2</v>
      </c>
      <c r="G13" s="31"/>
      <c r="H13" s="32"/>
      <c r="I13" s="2">
        <f>+D13/73</f>
        <v>8.2191780821917804E-2</v>
      </c>
    </row>
    <row r="14" spans="1:12" ht="15" x14ac:dyDescent="0.25">
      <c r="A14" s="10" t="s">
        <v>21</v>
      </c>
      <c r="B14" s="11" t="s">
        <v>56</v>
      </c>
      <c r="C14" s="51" t="s">
        <v>22</v>
      </c>
      <c r="D14" s="34">
        <v>6</v>
      </c>
      <c r="E14" s="12" t="s">
        <v>20</v>
      </c>
      <c r="F14" s="47">
        <f t="shared" si="0"/>
        <v>8.2191780821917804E-2</v>
      </c>
      <c r="G14" s="8"/>
      <c r="H14" s="15"/>
    </row>
    <row r="15" spans="1:12" ht="15.75" thickBot="1" x14ac:dyDescent="0.3">
      <c r="A15" s="16"/>
      <c r="D15" s="17"/>
      <c r="E15" s="18"/>
      <c r="H15" s="19"/>
      <c r="K15" s="6"/>
      <c r="L15" s="46"/>
    </row>
    <row r="16" spans="1:12" ht="14.25" thickBot="1" x14ac:dyDescent="0.3">
      <c r="A16" s="21"/>
      <c r="B16" s="22"/>
      <c r="C16" s="23" t="s">
        <v>15</v>
      </c>
      <c r="D16" s="24" t="s">
        <v>24</v>
      </c>
      <c r="E16" s="25"/>
      <c r="F16" s="22"/>
      <c r="G16" s="22"/>
      <c r="H16" s="26"/>
      <c r="K16" s="20"/>
    </row>
    <row r="17" spans="1:12" x14ac:dyDescent="0.25">
      <c r="A17" s="194" t="s">
        <v>25</v>
      </c>
      <c r="B17" s="195"/>
      <c r="C17" s="13">
        <f>73*530</f>
        <v>38690</v>
      </c>
      <c r="D17" s="27" t="s">
        <v>19</v>
      </c>
      <c r="E17" s="196" t="s">
        <v>26</v>
      </c>
      <c r="F17" s="196"/>
      <c r="G17" s="197"/>
      <c r="H17" s="198"/>
      <c r="K17" s="20"/>
    </row>
    <row r="18" spans="1:12" x14ac:dyDescent="0.25">
      <c r="A18" s="182" t="s">
        <v>27</v>
      </c>
      <c r="B18" s="183"/>
      <c r="C18" s="7">
        <v>30</v>
      </c>
      <c r="D18" s="7" t="s">
        <v>44</v>
      </c>
      <c r="E18" s="193" t="s">
        <v>28</v>
      </c>
      <c r="F18" s="193"/>
      <c r="G18" s="186"/>
      <c r="H18" s="187"/>
      <c r="I18" s="2">
        <f>73/1.5</f>
        <v>48.666666666666664</v>
      </c>
      <c r="K18" s="20"/>
    </row>
    <row r="19" spans="1:12" x14ac:dyDescent="0.25">
      <c r="A19" s="182" t="s">
        <v>29</v>
      </c>
      <c r="B19" s="183"/>
      <c r="C19" s="9">
        <f>+C17/C20</f>
        <v>73</v>
      </c>
      <c r="D19" s="7" t="s">
        <v>20</v>
      </c>
      <c r="E19" s="193" t="s">
        <v>30</v>
      </c>
      <c r="F19" s="193"/>
      <c r="G19" s="186"/>
      <c r="H19" s="187"/>
      <c r="K19" s="20"/>
    </row>
    <row r="20" spans="1:12" x14ac:dyDescent="0.25">
      <c r="A20" s="182" t="s">
        <v>57</v>
      </c>
      <c r="B20" s="183"/>
      <c r="C20" s="9">
        <v>530</v>
      </c>
      <c r="D20" s="7" t="s">
        <v>19</v>
      </c>
      <c r="E20" s="184" t="s">
        <v>32</v>
      </c>
      <c r="F20" s="185"/>
      <c r="G20" s="186"/>
      <c r="H20" s="187"/>
      <c r="K20" s="20"/>
      <c r="L20" s="1"/>
    </row>
    <row r="21" spans="1:12" ht="14.25" thickBot="1" x14ac:dyDescent="0.3">
      <c r="A21" s="188" t="s">
        <v>33</v>
      </c>
      <c r="B21" s="189"/>
      <c r="C21" s="28">
        <f>+D8-C17</f>
        <v>310</v>
      </c>
      <c r="D21" s="7" t="s">
        <v>19</v>
      </c>
      <c r="E21" s="190"/>
      <c r="F21" s="190"/>
      <c r="G21" s="191"/>
      <c r="H21" s="192"/>
      <c r="K21" s="20"/>
    </row>
    <row r="22" spans="1:12" ht="14.25" thickBot="1" x14ac:dyDescent="0.3">
      <c r="A22" s="173" t="s">
        <v>34</v>
      </c>
      <c r="B22" s="174"/>
      <c r="C22" s="174"/>
      <c r="D22" s="174"/>
      <c r="E22" s="174"/>
      <c r="F22" s="174"/>
      <c r="G22" s="174"/>
      <c r="H22" s="175"/>
    </row>
    <row r="23" spans="1:12" x14ac:dyDescent="0.25">
      <c r="A23" s="176" t="s">
        <v>58</v>
      </c>
      <c r="B23" s="177"/>
      <c r="C23" s="177"/>
      <c r="D23" s="177"/>
      <c r="E23" s="177"/>
      <c r="F23" s="177"/>
      <c r="G23" s="177"/>
      <c r="H23" s="178"/>
    </row>
    <row r="24" spans="1:12" x14ac:dyDescent="0.25">
      <c r="A24" s="176" t="s">
        <v>59</v>
      </c>
      <c r="B24" s="177"/>
      <c r="C24" s="177"/>
      <c r="D24" s="177"/>
      <c r="E24" s="177"/>
      <c r="F24" s="177"/>
      <c r="G24" s="177"/>
      <c r="H24" s="178"/>
    </row>
    <row r="25" spans="1:12" ht="14.25" thickBot="1" x14ac:dyDescent="0.3">
      <c r="A25" s="179"/>
      <c r="B25" s="180"/>
      <c r="C25" s="180"/>
      <c r="D25" s="180"/>
      <c r="E25" s="180"/>
      <c r="F25" s="180"/>
      <c r="G25" s="180"/>
      <c r="H25" s="181"/>
    </row>
    <row r="26" spans="1:12" ht="14.25" thickBot="1" x14ac:dyDescent="0.3">
      <c r="A26" s="173" t="s">
        <v>43</v>
      </c>
      <c r="B26" s="174"/>
      <c r="C26" s="174"/>
      <c r="D26" s="174"/>
      <c r="E26" s="174"/>
      <c r="F26" s="174"/>
      <c r="G26" s="174"/>
      <c r="H26" s="175"/>
    </row>
    <row r="27" spans="1:12" x14ac:dyDescent="0.25">
      <c r="A27" s="29" t="s">
        <v>60</v>
      </c>
      <c r="B27" s="29"/>
    </row>
    <row r="28" spans="1:12" x14ac:dyDescent="0.25">
      <c r="A28" s="29"/>
    </row>
  </sheetData>
  <mergeCells count="33">
    <mergeCell ref="A17:B17"/>
    <mergeCell ref="E17:F17"/>
    <mergeCell ref="G17:H17"/>
    <mergeCell ref="A1:A5"/>
    <mergeCell ref="B1:F1"/>
    <mergeCell ref="B2:F2"/>
    <mergeCell ref="B3:F3"/>
    <mergeCell ref="G3:G5"/>
    <mergeCell ref="H3:H5"/>
    <mergeCell ref="C4:F4"/>
    <mergeCell ref="C5:F5"/>
    <mergeCell ref="A6:A7"/>
    <mergeCell ref="B6:B7"/>
    <mergeCell ref="C6:C7"/>
    <mergeCell ref="D6:E6"/>
    <mergeCell ref="F6:G6"/>
    <mergeCell ref="A18:B18"/>
    <mergeCell ref="E18:F18"/>
    <mergeCell ref="G18:H18"/>
    <mergeCell ref="A19:B19"/>
    <mergeCell ref="E19:F19"/>
    <mergeCell ref="G19:H19"/>
    <mergeCell ref="A20:B20"/>
    <mergeCell ref="E20:F20"/>
    <mergeCell ref="G20:H20"/>
    <mergeCell ref="A21:B21"/>
    <mergeCell ref="E21:F21"/>
    <mergeCell ref="G21:H21"/>
    <mergeCell ref="A22:H22"/>
    <mergeCell ref="A23:H23"/>
    <mergeCell ref="A24:H24"/>
    <mergeCell ref="A25:H25"/>
    <mergeCell ref="A26:H26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4AF9BD-BA7F-452E-BB2C-5DF80E17FCB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E976B05-F011-4FC2-83CD-0BC501DFE9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199AF1-E68B-4DCE-813C-82B999555C2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Premezcla Nucleo choco Dawn</vt:lpstr>
      <vt:lpstr>Batido nucleo Choco Dawn</vt:lpstr>
      <vt:lpstr>Rosquete Chocolate Dawn </vt:lpstr>
      <vt:lpstr>Hoja1!Área_de_impresión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Esteban Ramirez</dc:creator>
  <cp:keywords/>
  <dc:description/>
  <cp:lastModifiedBy>Miguel Coto Consultor</cp:lastModifiedBy>
  <cp:revision/>
  <cp:lastPrinted>2025-04-04T21:39:41Z</cp:lastPrinted>
  <dcterms:created xsi:type="dcterms:W3CDTF">2021-06-10T18:14:16Z</dcterms:created>
  <dcterms:modified xsi:type="dcterms:W3CDTF">2025-04-04T21:39:59Z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765400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
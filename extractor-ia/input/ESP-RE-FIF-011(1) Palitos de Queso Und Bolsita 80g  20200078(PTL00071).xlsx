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80016D76-4403-4E5A-B3F8-810CCC92952C}" xr6:coauthVersionLast="47" xr6:coauthVersionMax="47" xr10:uidLastSave="{9A8552D1-805F-46FD-A6B9-9A16744EFB54}"/>
  <bookViews>
    <workbookView xWindow="-108" yWindow="-108" windowWidth="23256" windowHeight="12456" tabRatio="876" xr2:uid="{00000000-000D-0000-FFFF-FFFF00000000}"/>
  </bookViews>
  <sheets>
    <sheet name="Hoja2" sheetId="7" r:id="rId1"/>
    <sheet name="Hoja1" sheetId="6" state="hidden" r:id="rId2"/>
  </sheets>
  <externalReferences>
    <externalReference r:id="rId3"/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6" l="1"/>
  <c r="C31" i="6"/>
  <c r="F31" i="6"/>
  <c r="E30" i="6"/>
  <c r="F30" i="6" s="1"/>
  <c r="D30" i="6"/>
  <c r="C30" i="6"/>
  <c r="B30" i="6"/>
  <c r="E29" i="6"/>
  <c r="F29" i="6" s="1"/>
  <c r="D29" i="6"/>
  <c r="C29" i="6"/>
  <c r="B29" i="6"/>
  <c r="F28" i="6"/>
  <c r="D28" i="6"/>
  <c r="C28" i="6"/>
  <c r="B28" i="6"/>
  <c r="F27" i="6"/>
  <c r="C27" i="6"/>
  <c r="D73" i="6"/>
  <c r="D74" i="6"/>
  <c r="D76" i="6"/>
  <c r="D71" i="6"/>
  <c r="D69" i="6"/>
  <c r="F65" i="6"/>
  <c r="C73" i="6"/>
  <c r="D60" i="6"/>
  <c r="D85" i="6"/>
  <c r="D86" i="6"/>
  <c r="C51" i="6"/>
  <c r="E50" i="6"/>
  <c r="F50" i="6" s="1"/>
  <c r="D50" i="6"/>
  <c r="B50" i="6"/>
  <c r="E49" i="6"/>
  <c r="F49" i="6" s="1"/>
  <c r="D49" i="6"/>
  <c r="B49" i="6"/>
  <c r="E48" i="6"/>
  <c r="F48" i="6" s="1"/>
  <c r="D48" i="6"/>
  <c r="B48" i="6"/>
  <c r="E47" i="6"/>
  <c r="F47" i="6" s="1"/>
  <c r="D47" i="6"/>
  <c r="B47" i="6"/>
  <c r="E46" i="6"/>
  <c r="F46" i="6" s="1"/>
  <c r="D46" i="6"/>
  <c r="B46" i="6"/>
  <c r="E45" i="6"/>
  <c r="F45" i="6" s="1"/>
  <c r="D45" i="6"/>
  <c r="B45" i="6"/>
  <c r="E44" i="6"/>
  <c r="F44" i="6" s="1"/>
  <c r="D44" i="6"/>
  <c r="B44" i="6"/>
  <c r="E41" i="6"/>
  <c r="F41" i="6" s="1"/>
  <c r="D41" i="6"/>
  <c r="B41" i="6"/>
  <c r="A41" i="6"/>
  <c r="C41" i="6"/>
  <c r="E40" i="6"/>
  <c r="F40" i="6" s="1"/>
  <c r="D40" i="6"/>
  <c r="B40" i="6"/>
  <c r="A40" i="6"/>
  <c r="C40" i="6"/>
  <c r="E39" i="6"/>
  <c r="F39" i="6" s="1"/>
  <c r="D39" i="6"/>
  <c r="B39" i="6"/>
  <c r="A39" i="6"/>
  <c r="A48" i="6"/>
  <c r="C48" i="6"/>
  <c r="E38" i="6"/>
  <c r="F38" i="6"/>
  <c r="D38" i="6"/>
  <c r="C38" i="6"/>
  <c r="B38" i="6"/>
  <c r="A38" i="6"/>
  <c r="A47" i="6"/>
  <c r="C47" i="6"/>
  <c r="E37" i="6"/>
  <c r="F37" i="6"/>
  <c r="D37" i="6"/>
  <c r="B37" i="6"/>
  <c r="A37" i="6"/>
  <c r="C37" i="6"/>
  <c r="E36" i="6"/>
  <c r="F36" i="6" s="1"/>
  <c r="D36" i="6"/>
  <c r="B36" i="6"/>
  <c r="A36" i="6"/>
  <c r="C36" i="6"/>
  <c r="D35" i="6"/>
  <c r="B35" i="6"/>
  <c r="A35" i="6"/>
  <c r="A44" i="6"/>
  <c r="C44" i="6"/>
  <c r="E32" i="6"/>
  <c r="F32" i="6" s="1"/>
  <c r="D32" i="6"/>
  <c r="C32" i="6"/>
  <c r="B32" i="6"/>
  <c r="E24" i="6"/>
  <c r="F24" i="6" s="1"/>
  <c r="D24" i="6"/>
  <c r="C24" i="6"/>
  <c r="B24" i="6"/>
  <c r="E23" i="6"/>
  <c r="F23" i="6" s="1"/>
  <c r="D23" i="6"/>
  <c r="C23" i="6"/>
  <c r="B23" i="6"/>
  <c r="E22" i="6"/>
  <c r="F22" i="6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/>
  <c r="D19" i="6"/>
  <c r="C19" i="6"/>
  <c r="B19" i="6"/>
  <c r="E18" i="6"/>
  <c r="F18" i="6" s="1"/>
  <c r="D18" i="6"/>
  <c r="C18" i="6"/>
  <c r="B18" i="6"/>
  <c r="F17" i="6"/>
  <c r="D17" i="6"/>
  <c r="C17" i="6"/>
  <c r="B17" i="6"/>
  <c r="B15" i="6"/>
  <c r="E14" i="6"/>
  <c r="F14" i="6"/>
  <c r="D14" i="6"/>
  <c r="C14" i="6"/>
  <c r="B14" i="6"/>
  <c r="E13" i="6"/>
  <c r="F13" i="6"/>
  <c r="D13" i="6"/>
  <c r="C13" i="6"/>
  <c r="B13" i="6"/>
  <c r="E12" i="6"/>
  <c r="F12" i="6"/>
  <c r="D12" i="6"/>
  <c r="C12" i="6"/>
  <c r="B12" i="6"/>
  <c r="E11" i="6"/>
  <c r="F11" i="6"/>
  <c r="D11" i="6"/>
  <c r="C11" i="6"/>
  <c r="B11" i="6"/>
  <c r="E10" i="6"/>
  <c r="F10" i="6"/>
  <c r="D10" i="6"/>
  <c r="C10" i="6"/>
  <c r="B10" i="6"/>
  <c r="E9" i="6"/>
  <c r="F9" i="6"/>
  <c r="D9" i="6"/>
  <c r="C9" i="6"/>
  <c r="B9" i="6"/>
  <c r="E8" i="6"/>
  <c r="F8" i="6"/>
  <c r="D8" i="6"/>
  <c r="C8" i="6"/>
  <c r="B8" i="6"/>
  <c r="H6" i="6"/>
  <c r="D81" i="6"/>
  <c r="D83" i="6"/>
  <c r="C39" i="6"/>
  <c r="C35" i="6"/>
  <c r="F35" i="6"/>
  <c r="C85" i="6"/>
  <c r="E85" i="6"/>
  <c r="E73" i="6"/>
  <c r="A46" i="6"/>
  <c r="C46" i="6"/>
  <c r="A50" i="6"/>
  <c r="C50" i="6"/>
  <c r="E51" i="6"/>
  <c r="F51" i="6"/>
  <c r="A45" i="6"/>
  <c r="C45" i="6"/>
  <c r="A49" i="6"/>
  <c r="C49" i="6"/>
  <c r="C69" i="6"/>
  <c r="F64" i="6"/>
  <c r="F2" i="6"/>
  <c r="E69" i="6"/>
  <c r="C81" i="6"/>
  <c r="E81" i="6"/>
  <c r="F56" i="6" l="1"/>
  <c r="F54" i="6"/>
  <c r="H56" i="6" l="1"/>
  <c r="H2" i="6" s="1"/>
  <c r="C74" i="6"/>
  <c r="H54" i="6"/>
  <c r="G2" i="6" s="1"/>
  <c r="F55" i="6"/>
  <c r="C76" i="6"/>
  <c r="E76" i="6" s="1"/>
  <c r="F63" i="6" l="1"/>
  <c r="H55" i="6"/>
  <c r="O54" i="6"/>
  <c r="C86" i="6"/>
  <c r="E86" i="6" s="1"/>
  <c r="E74" i="6"/>
  <c r="E78" i="6" s="1"/>
  <c r="C71" i="6" l="1"/>
  <c r="F66" i="6"/>
  <c r="G63" i="6"/>
  <c r="E63" i="6"/>
  <c r="O56" i="6"/>
  <c r="O57" i="6" s="1"/>
  <c r="O59" i="6" s="1"/>
  <c r="O60" i="6" l="1"/>
  <c r="O61" i="6"/>
  <c r="O62" i="6" s="1"/>
  <c r="G27" i="6"/>
  <c r="G28" i="6"/>
  <c r="G64" i="6"/>
  <c r="G35" i="6"/>
  <c r="G10" i="6"/>
  <c r="G51" i="6"/>
  <c r="G65" i="6"/>
  <c r="G17" i="6"/>
  <c r="G66" i="6"/>
  <c r="G12" i="6"/>
  <c r="G53" i="6"/>
  <c r="G11" i="6"/>
  <c r="G31" i="6"/>
  <c r="G8" i="6"/>
  <c r="G13" i="6"/>
  <c r="G49" i="6"/>
  <c r="G30" i="6"/>
  <c r="G18" i="6"/>
  <c r="G29" i="6"/>
  <c r="G36" i="6"/>
  <c r="G39" i="6"/>
  <c r="G50" i="6"/>
  <c r="G9" i="6"/>
  <c r="G38" i="6"/>
  <c r="G37" i="6"/>
  <c r="G21" i="6"/>
  <c r="G32" i="6"/>
  <c r="G23" i="6"/>
  <c r="G44" i="6"/>
  <c r="G41" i="6"/>
  <c r="G47" i="6"/>
  <c r="G48" i="6"/>
  <c r="G19" i="6"/>
  <c r="G40" i="6"/>
  <c r="G20" i="6"/>
  <c r="G24" i="6"/>
  <c r="G45" i="6"/>
  <c r="G22" i="6"/>
  <c r="G46" i="6"/>
  <c r="G14" i="6"/>
  <c r="G56" i="6"/>
  <c r="G54" i="6"/>
  <c r="G55" i="6"/>
  <c r="C83" i="6"/>
  <c r="E83" i="6" s="1"/>
  <c r="E71" i="6"/>
  <c r="E2" i="6" l="1"/>
  <c r="P62" i="6"/>
</calcChain>
</file>

<file path=xl/sharedStrings.xml><?xml version="1.0" encoding="utf-8"?>
<sst xmlns="http://schemas.openxmlformats.org/spreadsheetml/2006/main" count="190" uniqueCount="127">
  <si>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</si>
  <si>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</si>
  <si>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</si>
  <si>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</si>
  <si>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</si>
  <si>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</si>
  <si>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</si>
  <si>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</si>
  <si>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</si>
  <si>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</si>
  <si>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</si>
  <si>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</si>
  <si>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</si>
  <si>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</si>
  <si>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</si>
  <si>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</si>
  <si>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</si>
  <si>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</si>
  <si>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</si>
  <si>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</si>
  <si>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</si>
  <si>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</si>
  <si>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</si>
  <si>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</si>
  <si>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</si>
  <si>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</si>
  <si>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</si>
  <si>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</si>
  <si>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</si>
  <si>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</si>
  <si>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Pastas</t>
  </si>
  <si>
    <t>Figuras</t>
  </si>
  <si>
    <t>FAS</t>
  </si>
  <si>
    <t>ETIQ.FECHA VENCIMIENTO VERDE (ROLLO)</t>
  </si>
  <si>
    <t>ETIPLAST</t>
  </si>
  <si>
    <t>906000033</t>
  </si>
  <si>
    <t>PASTA P/PALITOS DE QUESO (KILO)</t>
  </si>
  <si>
    <t>MERMA MANIPULACIÓN PALITOS QUEBRADOS</t>
  </si>
  <si>
    <t>0702123</t>
  </si>
  <si>
    <t>ETIQUETA BLANCA 2 5/8X1 15/16 (UND)</t>
  </si>
  <si>
    <t>4, Mantener en temp ambiente</t>
  </si>
  <si>
    <t>NUEVA</t>
  </si>
  <si>
    <t>CARTULINA KRAFT 2.5 X 31 -8 (UND) DISEÑO NAVIDAD</t>
  </si>
  <si>
    <t>BOLSA TRANSPARENTE 76X24X210 (KILO)</t>
  </si>
  <si>
    <t>ETIQUETA CINTA SPOON PALITOS DE QUESO</t>
  </si>
  <si>
    <r>
      <t xml:space="preserve">1, Introducir 80g de palitos de queso dentro de la bolsa DE FORMA VETICAL, </t>
    </r>
    <r>
      <rPr>
        <sz val="11"/>
        <rFont val="Arial"/>
        <family val="2"/>
      </rPr>
      <t>doblar y sellar en la máquina selladora</t>
    </r>
    <r>
      <rPr>
        <b/>
        <sz val="11"/>
        <rFont val="Arial"/>
        <family val="2"/>
      </rPr>
      <t xml:space="preserve"> por la naturaleza del producto pueden ir quebraduras</t>
    </r>
  </si>
  <si>
    <t>2, Sellar con etiqueta de LOGO Y NOMBRE en el frente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</si>
  <si>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</si>
  <si>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</si>
  <si>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</si>
  <si>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</si>
  <si>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</si>
  <si>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</si>
  <si>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</si>
  <si>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</si>
  <si>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</si>
  <si>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</si>
  <si>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</si>
  <si>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</si>
  <si>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</si>
  <si>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</si>
  <si>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</si>
  <si>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</si>
  <si>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</si>
  <si>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</si>
  <si>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</si>
  <si>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</si>
  <si>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</si>
  <si>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</si>
  <si>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</si>
  <si>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</si>
  <si>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</si>
  <si>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</si>
  <si>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</si>
  <si>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</si>
  <si>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</si>
  <si>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</si>
  <si>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</si>
  <si>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</si>
  <si>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</si>
  <si>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</si>
  <si>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</si>
  <si>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</si>
  <si>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</si>
  <si>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</si>
  <si>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</si>
  <si>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</si>
  <si>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</si>
  <si>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</si>
  <si>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</si>
  <si>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</si>
  <si>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</si>
  <si>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</si>
  <si>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</si>
  <si>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</si>
  <si>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</si>
  <si>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1952856</t>
  </si>
  <si>
    <t xml:space="preserve">NUEVA </t>
  </si>
  <si>
    <t xml:space="preserve">0,27 dolares por cartulina </t>
  </si>
  <si>
    <t>CARTULINA KRAFT 2.5 X 31 -8 (UND)</t>
  </si>
  <si>
    <t>ETIQU PALITOS DE QUESO RECT</t>
  </si>
  <si>
    <t>20200078(PTL00071) Palitos de Queso Und Bolsita 80g</t>
  </si>
  <si>
    <t>SE00270</t>
  </si>
  <si>
    <t>EM10190</t>
  </si>
  <si>
    <t>EM10244</t>
  </si>
  <si>
    <t>EM10071</t>
  </si>
  <si>
    <t>EM10005</t>
  </si>
  <si>
    <t>EM10011</t>
  </si>
  <si>
    <t>EM10335</t>
  </si>
  <si>
    <t>ETIQUETA PICANTE</t>
  </si>
  <si>
    <t>60100124</t>
  </si>
  <si>
    <t>3, Etiquetar con fecha de vencimiento en un costado; y etiqueta con nombre y descripción de ingredientes en la parte trasera, Etiqueta picante al frente.</t>
  </si>
  <si>
    <t>01</t>
  </si>
  <si>
    <t>Javier Tong, Chef</t>
  </si>
  <si>
    <t>Esteban Cartin, Gte Manufactura</t>
  </si>
  <si>
    <t># Código Netsuite</t>
  </si>
  <si>
    <t>Ensamble</t>
  </si>
  <si>
    <t>Decoración</t>
  </si>
  <si>
    <t/>
  </si>
  <si>
    <t>Empaque</t>
  </si>
  <si>
    <t>CENTINELA</t>
  </si>
  <si>
    <t>Tiempo de Horneo:</t>
  </si>
  <si>
    <t>Horno:</t>
  </si>
  <si>
    <t>Temperatura de Horneo:</t>
  </si>
  <si>
    <t>Otros</t>
  </si>
  <si>
    <t>CONTROL DE CAMBIOS</t>
  </si>
  <si>
    <t>ESP-RE-FIF-011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</si>
</sst>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000"/>
    <numFmt numFmtId="171" formatCode="0.0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9"/>
      <color rgb="FFFF000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Calibri"/>
      <family val="2"/>
    </font>
    <font>
      <sz val="10"/>
      <color indexed="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322">
    <xf numFmtId="0" fontId="0" fillId="0" borderId="0" xfId="0"/>
    <xf numFmtId="0" fontId="2" fillId="2" borderId="2" xfId="4" applyFont="1" applyFill="1" applyBorder="1" applyAlignment="1">
      <alignment horizontal="center"/>
    </xf>
    <xf numFmtId="49" fontId="6" fillId="0" borderId="5" xfId="3" applyNumberFormat="1" applyFont="1" applyBorder="1" applyAlignment="1">
      <alignment horizontal="center"/>
    </xf>
    <xf numFmtId="16" fontId="6" fillId="0" borderId="3" xfId="3" applyNumberFormat="1" applyFont="1" applyBorder="1" applyAlignment="1">
      <alignment horizontal="center"/>
    </xf>
    <xf numFmtId="1" fontId="6" fillId="0" borderId="3" xfId="3" applyNumberFormat="1" applyFont="1" applyBorder="1" applyAlignment="1">
      <alignment horizontal="center"/>
    </xf>
    <xf numFmtId="1" fontId="6" fillId="0" borderId="3" xfId="3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10" fillId="0" borderId="3" xfId="3" applyNumberFormat="1" applyFont="1" applyBorder="1" applyAlignment="1">
      <alignment horizontal="center"/>
    </xf>
    <xf numFmtId="49" fontId="11" fillId="0" borderId="3" xfId="3" applyNumberFormat="1" applyFont="1" applyBorder="1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1" fontId="12" fillId="0" borderId="11" xfId="3" applyNumberFormat="1" applyFont="1" applyBorder="1" applyAlignment="1">
      <alignment horizontal="center"/>
    </xf>
    <xf numFmtId="16" fontId="12" fillId="0" borderId="11" xfId="3" applyNumberFormat="1" applyFont="1" applyBorder="1" applyAlignment="1">
      <alignment horizontal="center"/>
    </xf>
    <xf numFmtId="14" fontId="41" fillId="2" borderId="0" xfId="4" applyNumberFormat="1" applyFont="1" applyFill="1" applyAlignment="1">
      <alignment horizontal="center" vertical="center" wrapText="1"/>
    </xf>
    <xf numFmtId="49" fontId="14" fillId="0" borderId="3" xfId="3" applyNumberFormat="1" applyFont="1" applyBorder="1"/>
    <xf numFmtId="49" fontId="10" fillId="0" borderId="5" xfId="3" applyNumberFormat="1" applyFont="1" applyBorder="1" applyAlignment="1">
      <alignment horizontal="center"/>
    </xf>
    <xf numFmtId="1" fontId="12" fillId="0" borderId="3" xfId="3" applyNumberFormat="1" applyFont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11" fillId="9" borderId="0" xfId="0" applyFont="1" applyFill="1" applyAlignment="1">
      <alignment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4" fillId="0" borderId="3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165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5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5" applyNumberFormat="1" applyFont="1" applyFill="1" applyAlignment="1">
      <alignment vertical="center"/>
    </xf>
    <xf numFmtId="0" fontId="11" fillId="0" borderId="0" xfId="0" applyFont="1"/>
    <xf numFmtId="49" fontId="14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65" fontId="11" fillId="0" borderId="0" xfId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165" fontId="22" fillId="0" borderId="0" xfId="1" applyFont="1" applyFill="1" applyAlignment="1">
      <alignment horizontal="center" vertical="center"/>
    </xf>
    <xf numFmtId="10" fontId="15" fillId="4" borderId="19" xfId="5" applyNumberFormat="1" applyFont="1" applyFill="1" applyBorder="1" applyAlignment="1">
      <alignment vertical="center"/>
    </xf>
    <xf numFmtId="0" fontId="11" fillId="4" borderId="9" xfId="0" applyFont="1" applyFill="1" applyBorder="1" applyAlignment="1">
      <alignment vertical="center"/>
    </xf>
    <xf numFmtId="0" fontId="11" fillId="4" borderId="19" xfId="0" applyFont="1" applyFill="1" applyBorder="1" applyAlignment="1">
      <alignment vertical="center"/>
    </xf>
    <xf numFmtId="165" fontId="22" fillId="4" borderId="20" xfId="1" applyFont="1" applyFill="1" applyBorder="1" applyAlignment="1">
      <alignment horizontal="center" vertical="center"/>
    </xf>
    <xf numFmtId="165" fontId="24" fillId="0" borderId="0" xfId="1" applyFont="1" applyFill="1" applyBorder="1" applyAlignment="1">
      <alignment horizontal="right"/>
    </xf>
    <xf numFmtId="0" fontId="11" fillId="4" borderId="20" xfId="0" applyFont="1" applyFill="1" applyBorder="1" applyAlignment="1">
      <alignment vertical="center"/>
    </xf>
    <xf numFmtId="10" fontId="15" fillId="4" borderId="20" xfId="5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0" fontId="23" fillId="0" borderId="0" xfId="0" applyFont="1"/>
    <xf numFmtId="9" fontId="23" fillId="0" borderId="0" xfId="0" applyNumberFormat="1" applyFont="1"/>
    <xf numFmtId="9" fontId="43" fillId="0" borderId="0" xfId="5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7" xfId="0" applyFont="1" applyBorder="1" applyAlignment="1">
      <alignment horizontal="right"/>
    </xf>
    <xf numFmtId="165" fontId="27" fillId="5" borderId="21" xfId="1" applyFont="1" applyFill="1" applyBorder="1" applyAlignment="1">
      <alignment horizontal="right"/>
    </xf>
    <xf numFmtId="165" fontId="27" fillId="0" borderId="0" xfId="1" applyFont="1" applyFill="1" applyBorder="1" applyAlignment="1">
      <alignment horizontal="right"/>
    </xf>
    <xf numFmtId="165" fontId="14" fillId="0" borderId="3" xfId="1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29" fillId="0" borderId="0" xfId="5" applyNumberFormat="1" applyFont="1" applyFill="1" applyAlignment="1">
      <alignment horizontal="right"/>
    </xf>
    <xf numFmtId="169" fontId="14" fillId="4" borderId="3" xfId="1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165" fontId="14" fillId="6" borderId="3" xfId="1" applyFont="1" applyFill="1" applyBorder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2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11" fillId="4" borderId="22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65" fontId="27" fillId="4" borderId="9" xfId="1" applyFont="1" applyFill="1" applyBorder="1" applyAlignment="1">
      <alignment horizontal="right"/>
    </xf>
    <xf numFmtId="0" fontId="14" fillId="4" borderId="10" xfId="0" applyFont="1" applyFill="1" applyBorder="1" applyAlignment="1">
      <alignment horizontal="right" vertical="center"/>
    </xf>
    <xf numFmtId="10" fontId="33" fillId="0" borderId="0" xfId="1" applyNumberFormat="1" applyFont="1" applyFill="1" applyAlignment="1">
      <alignment vertical="center"/>
    </xf>
    <xf numFmtId="10" fontId="15" fillId="0" borderId="0" xfId="5" applyNumberFormat="1" applyFont="1" applyFill="1" applyBorder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165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9" fontId="11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7" borderId="21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65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0" fillId="0" borderId="0" xfId="5" applyNumberFormat="1" applyFont="1" applyFill="1" applyAlignment="1">
      <alignment vertical="center"/>
    </xf>
    <xf numFmtId="165" fontId="30" fillId="0" borderId="0" xfId="1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165" fontId="11" fillId="0" borderId="0" xfId="1" applyFont="1" applyFill="1" applyBorder="1"/>
    <xf numFmtId="10" fontId="30" fillId="0" borderId="0" xfId="5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165" fontId="11" fillId="0" borderId="0" xfId="1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49" fontId="10" fillId="0" borderId="30" xfId="3" applyNumberFormat="1" applyFont="1" applyBorder="1" applyAlignment="1">
      <alignment horizontal="center"/>
    </xf>
    <xf numFmtId="49" fontId="6" fillId="0" borderId="30" xfId="3" applyNumberFormat="1" applyFont="1" applyBorder="1" applyAlignment="1">
      <alignment horizontal="center"/>
    </xf>
    <xf numFmtId="0" fontId="0" fillId="11" borderId="44" xfId="0" applyFill="1" applyBorder="1" applyAlignment="1">
      <alignment horizontal="center"/>
    </xf>
    <xf numFmtId="0" fontId="45" fillId="2" borderId="1" xfId="4" applyFont="1" applyFill="1" applyBorder="1" applyAlignment="1">
      <alignment horizontal="right"/>
    </xf>
    <xf numFmtId="0" fontId="45" fillId="2" borderId="3" xfId="4" applyFont="1" applyFill="1" applyBorder="1" applyAlignment="1">
      <alignment horizontal="right"/>
    </xf>
    <xf numFmtId="49" fontId="12" fillId="2" borderId="4" xfId="4" applyNumberFormat="1" applyFont="1" applyFill="1" applyBorder="1" applyAlignment="1">
      <alignment horizontal="center"/>
    </xf>
    <xf numFmtId="0" fontId="12" fillId="2" borderId="11" xfId="4" applyFont="1" applyFill="1" applyBorder="1" applyAlignment="1">
      <alignment horizontal="right"/>
    </xf>
    <xf numFmtId="0" fontId="12" fillId="2" borderId="3" xfId="4" applyFont="1" applyFill="1" applyBorder="1" applyAlignment="1">
      <alignment horizontal="right"/>
    </xf>
    <xf numFmtId="0" fontId="45" fillId="3" borderId="2" xfId="3" applyFont="1" applyFill="1" applyBorder="1" applyAlignment="1">
      <alignment horizontal="center" vertical="center" wrapText="1"/>
    </xf>
    <xf numFmtId="1" fontId="45" fillId="3" borderId="13" xfId="3" applyNumberFormat="1" applyFont="1" applyFill="1" applyBorder="1" applyAlignment="1">
      <alignment horizontal="center"/>
    </xf>
    <xf numFmtId="1" fontId="45" fillId="3" borderId="13" xfId="3" applyNumberFormat="1" applyFont="1" applyFill="1" applyBorder="1" applyAlignment="1">
      <alignment horizontal="center" wrapText="1"/>
    </xf>
    <xf numFmtId="0" fontId="45" fillId="3" borderId="15" xfId="3" applyFont="1" applyFill="1" applyBorder="1" applyAlignment="1">
      <alignment horizontal="center"/>
    </xf>
    <xf numFmtId="0" fontId="46" fillId="0" borderId="5" xfId="3" applyFont="1" applyBorder="1" applyAlignment="1">
      <alignment horizontal="center" vertical="center"/>
    </xf>
    <xf numFmtId="0" fontId="46" fillId="0" borderId="30" xfId="3" applyFont="1" applyBorder="1" applyAlignment="1">
      <alignment horizontal="center" vertical="center"/>
    </xf>
    <xf numFmtId="0" fontId="47" fillId="0" borderId="3" xfId="3" applyFont="1" applyBorder="1" applyAlignment="1">
      <alignment vertical="center"/>
    </xf>
    <xf numFmtId="0" fontId="46" fillId="0" borderId="3" xfId="3" applyFont="1" applyBorder="1" applyAlignment="1">
      <alignment horizontal="center" vertical="center"/>
    </xf>
    <xf numFmtId="1" fontId="46" fillId="0" borderId="3" xfId="3" applyNumberFormat="1" applyFont="1" applyBorder="1" applyAlignment="1">
      <alignment horizontal="center"/>
    </xf>
    <xf numFmtId="1" fontId="46" fillId="0" borderId="3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1" fontId="45" fillId="0" borderId="3" xfId="0" applyNumberFormat="1" applyFont="1" applyBorder="1" applyAlignment="1">
      <alignment horizontal="center"/>
    </xf>
    <xf numFmtId="0" fontId="0" fillId="0" borderId="3" xfId="6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49" fontId="10" fillId="0" borderId="30" xfId="0" applyNumberFormat="1" applyFont="1" applyBorder="1" applyAlignment="1">
      <alignment horizontal="center"/>
    </xf>
    <xf numFmtId="49" fontId="28" fillId="0" borderId="3" xfId="0" applyNumberFormat="1" applyFont="1" applyBorder="1"/>
    <xf numFmtId="0" fontId="10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170" fontId="2" fillId="0" borderId="11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46" fillId="0" borderId="3" xfId="0" applyFont="1" applyBorder="1" applyAlignment="1">
      <alignment horizontal="center"/>
    </xf>
    <xf numFmtId="1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6" fontId="2" fillId="0" borderId="3" xfId="3" applyNumberFormat="1" applyBorder="1" applyAlignment="1">
      <alignment horizontal="center"/>
    </xf>
    <xf numFmtId="1" fontId="2" fillId="0" borderId="0" xfId="3" applyNumberFormat="1" applyAlignment="1">
      <alignment horizontal="center"/>
    </xf>
    <xf numFmtId="1" fontId="2" fillId="0" borderId="0" xfId="3" applyNumberFormat="1" applyAlignment="1">
      <alignment horizontal="center" wrapText="1"/>
    </xf>
    <xf numFmtId="2" fontId="12" fillId="0" borderId="11" xfId="3" applyNumberFormat="1" applyFont="1" applyBorder="1" applyAlignment="1">
      <alignment horizontal="center"/>
    </xf>
    <xf numFmtId="0" fontId="0" fillId="9" borderId="3" xfId="0" applyFill="1" applyBorder="1"/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0" fontId="2" fillId="0" borderId="11" xfId="3" applyBorder="1" applyAlignment="1">
      <alignment horizontal="center"/>
    </xf>
    <xf numFmtId="0" fontId="48" fillId="9" borderId="3" xfId="3" applyFont="1" applyFill="1" applyBorder="1" applyAlignment="1">
      <alignment horizontal="left"/>
    </xf>
    <xf numFmtId="0" fontId="10" fillId="0" borderId="3" xfId="3" applyFont="1" applyBorder="1" applyAlignment="1">
      <alignment horizontal="center"/>
    </xf>
    <xf numFmtId="171" fontId="10" fillId="0" borderId="3" xfId="3" applyNumberFormat="1" applyFont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0" xfId="0" applyFill="1"/>
    <xf numFmtId="0" fontId="10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" fillId="9" borderId="3" xfId="7" applyFill="1" applyBorder="1" applyAlignment="1">
      <alignment horizontal="center"/>
    </xf>
    <xf numFmtId="0" fontId="1" fillId="9" borderId="3" xfId="7" applyFill="1" applyBorder="1"/>
    <xf numFmtId="49" fontId="10" fillId="9" borderId="5" xfId="0" applyNumberFormat="1" applyFont="1" applyFill="1" applyBorder="1" applyAlignment="1">
      <alignment horizontal="center" vertical="center"/>
    </xf>
    <xf numFmtId="49" fontId="11" fillId="9" borderId="3" xfId="0" applyNumberFormat="1" applyFont="1" applyFill="1" applyBorder="1" applyAlignment="1">
      <alignment vertical="center"/>
    </xf>
    <xf numFmtId="16" fontId="10" fillId="0" borderId="3" xfId="0" applyNumberFormat="1" applyFont="1" applyBorder="1" applyAlignment="1">
      <alignment horizontal="center"/>
    </xf>
    <xf numFmtId="1" fontId="10" fillId="0" borderId="3" xfId="8" applyNumberFormat="1" applyFont="1" applyBorder="1" applyAlignment="1">
      <alignment horizontal="center"/>
    </xf>
    <xf numFmtId="1" fontId="10" fillId="0" borderId="3" xfId="8" applyNumberFormat="1" applyFont="1" applyBorder="1" applyAlignment="1">
      <alignment horizontal="center" wrapText="1"/>
    </xf>
    <xf numFmtId="49" fontId="46" fillId="0" borderId="26" xfId="3" applyNumberFormat="1" applyFont="1" applyBorder="1" applyAlignment="1">
      <alignment horizontal="center"/>
    </xf>
    <xf numFmtId="49" fontId="46" fillId="0" borderId="24" xfId="3" applyNumberFormat="1" applyFont="1" applyBorder="1" applyAlignment="1">
      <alignment horizontal="center"/>
    </xf>
    <xf numFmtId="0" fontId="49" fillId="9" borderId="3" xfId="3" applyFont="1" applyFill="1" applyBorder="1" applyAlignment="1">
      <alignment vertical="center"/>
    </xf>
    <xf numFmtId="0" fontId="46" fillId="0" borderId="30" xfId="3" applyFont="1" applyBorder="1" applyAlignment="1">
      <alignment horizontal="center"/>
    </xf>
    <xf numFmtId="2" fontId="10" fillId="0" borderId="3" xfId="3" applyNumberFormat="1" applyFont="1" applyBorder="1" applyAlignment="1">
      <alignment horizontal="center"/>
    </xf>
    <xf numFmtId="12" fontId="10" fillId="0" borderId="3" xfId="3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wrapText="1"/>
    </xf>
    <xf numFmtId="0" fontId="50" fillId="0" borderId="3" xfId="0" applyFont="1" applyBorder="1"/>
    <xf numFmtId="0" fontId="50" fillId="0" borderId="3" xfId="0" applyFont="1" applyBorder="1" applyAlignment="1">
      <alignment horizontal="center"/>
    </xf>
    <xf numFmtId="0" fontId="12" fillId="0" borderId="3" xfId="0" quotePrefix="1" applyFont="1" applyBorder="1"/>
    <xf numFmtId="0" fontId="10" fillId="0" borderId="3" xfId="0" applyFont="1" applyBorder="1"/>
    <xf numFmtId="0" fontId="0" fillId="0" borderId="0" xfId="0" applyAlignment="1">
      <alignment horizontal="center"/>
    </xf>
    <xf numFmtId="0" fontId="13" fillId="0" borderId="3" xfId="0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13" fillId="0" borderId="3" xfId="3" applyFont="1" applyBorder="1" applyAlignment="1">
      <alignment horizontal="center"/>
    </xf>
    <xf numFmtId="49" fontId="51" fillId="2" borderId="6" xfId="3" applyNumberFormat="1" applyFont="1" applyFill="1" applyBorder="1" applyAlignment="1">
      <alignment horizontal="center" vertical="center"/>
    </xf>
    <xf numFmtId="49" fontId="51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7" fontId="12" fillId="2" borderId="0" xfId="3" applyNumberFormat="1" applyFont="1" applyFill="1" applyAlignment="1">
      <alignment horizontal="center" wrapText="1"/>
    </xf>
    <xf numFmtId="0" fontId="12" fillId="2" borderId="7" xfId="3" applyFont="1" applyFill="1" applyBorder="1" applyAlignment="1">
      <alignment horizontal="center"/>
    </xf>
    <xf numFmtId="0" fontId="12" fillId="3" borderId="8" xfId="3" applyFont="1" applyFill="1" applyBorder="1" applyAlignment="1">
      <alignment horizontal="center"/>
    </xf>
    <xf numFmtId="0" fontId="12" fillId="3" borderId="9" xfId="3" applyFont="1" applyFill="1" applyBorder="1" applyAlignment="1">
      <alignment horizontal="center"/>
    </xf>
    <xf numFmtId="0" fontId="12" fillId="3" borderId="9" xfId="3" applyFont="1" applyFill="1" applyBorder="1"/>
    <xf numFmtId="0" fontId="45" fillId="3" borderId="9" xfId="3" applyFont="1" applyFill="1" applyBorder="1" applyAlignment="1">
      <alignment horizontal="center"/>
    </xf>
    <xf numFmtId="1" fontId="45" fillId="3" borderId="9" xfId="3" applyNumberFormat="1" applyFont="1" applyFill="1" applyBorder="1" applyAlignment="1">
      <alignment horizontal="center"/>
    </xf>
    <xf numFmtId="167" fontId="12" fillId="3" borderId="9" xfId="3" applyNumberFormat="1" applyFont="1" applyFill="1" applyBorder="1" applyAlignment="1">
      <alignment horizontal="center" wrapText="1"/>
    </xf>
    <xf numFmtId="0" fontId="12" fillId="3" borderId="10" xfId="3" applyFont="1" applyFill="1" applyBorder="1" applyAlignment="1">
      <alignment horizontal="center"/>
    </xf>
    <xf numFmtId="14" fontId="12" fillId="2" borderId="49" xfId="4" applyNumberFormat="1" applyFont="1" applyFill="1" applyBorder="1" applyAlignment="1">
      <alignment horizontal="center" vertical="center" wrapText="1"/>
    </xf>
    <xf numFmtId="14" fontId="12" fillId="2" borderId="50" xfId="4" applyNumberFormat="1" applyFont="1" applyFill="1" applyBorder="1" applyAlignment="1">
      <alignment horizontal="center" vertical="center" wrapText="1"/>
    </xf>
    <xf numFmtId="14" fontId="12" fillId="2" borderId="14" xfId="4" applyNumberFormat="1" applyFont="1" applyFill="1" applyBorder="1" applyAlignment="1">
      <alignment horizontal="center" vertical="center" wrapText="1"/>
    </xf>
    <xf numFmtId="0" fontId="12" fillId="2" borderId="31" xfId="4" applyFont="1" applyFill="1" applyBorder="1" applyAlignment="1">
      <alignment horizontal="left"/>
    </xf>
    <xf numFmtId="0" fontId="12" fillId="2" borderId="39" xfId="4" applyFont="1" applyFill="1" applyBorder="1" applyAlignment="1">
      <alignment horizontal="left"/>
    </xf>
    <xf numFmtId="0" fontId="12" fillId="2" borderId="32" xfId="4" applyFont="1" applyFill="1" applyBorder="1" applyAlignment="1">
      <alignment horizontal="left"/>
    </xf>
    <xf numFmtId="0" fontId="12" fillId="2" borderId="23" xfId="4" applyFont="1" applyFill="1" applyBorder="1" applyAlignment="1">
      <alignment horizontal="left"/>
    </xf>
    <xf numFmtId="0" fontId="12" fillId="2" borderId="24" xfId="4" applyFont="1" applyFill="1" applyBorder="1" applyAlignment="1">
      <alignment horizontal="left"/>
    </xf>
    <xf numFmtId="0" fontId="12" fillId="2" borderId="30" xfId="4" applyFont="1" applyFill="1" applyBorder="1" applyAlignment="1">
      <alignment horizontal="left"/>
    </xf>
    <xf numFmtId="0" fontId="12" fillId="2" borderId="41" xfId="4" applyFont="1" applyFill="1" applyBorder="1" applyAlignment="1">
      <alignment horizontal="center"/>
    </xf>
    <xf numFmtId="0" fontId="12" fillId="2" borderId="42" xfId="4" applyFont="1" applyFill="1" applyBorder="1" applyAlignment="1">
      <alignment horizontal="center"/>
    </xf>
    <xf numFmtId="0" fontId="12" fillId="2" borderId="6" xfId="4" applyFont="1" applyFill="1" applyBorder="1" applyAlignment="1">
      <alignment horizontal="center"/>
    </xf>
    <xf numFmtId="0" fontId="12" fillId="2" borderId="0" xfId="4" applyFont="1" applyFill="1" applyAlignment="1">
      <alignment horizontal="center"/>
    </xf>
    <xf numFmtId="0" fontId="12" fillId="2" borderId="27" xfId="4" applyFont="1" applyFill="1" applyBorder="1" applyAlignment="1">
      <alignment horizontal="center"/>
    </xf>
    <xf numFmtId="0" fontId="12" fillId="2" borderId="28" xfId="4" applyFont="1" applyFill="1" applyBorder="1" applyAlignment="1">
      <alignment horizontal="center"/>
    </xf>
    <xf numFmtId="0" fontId="44" fillId="2" borderId="1" xfId="4" applyFont="1" applyFill="1" applyBorder="1" applyAlignment="1">
      <alignment horizontal="center"/>
    </xf>
    <xf numFmtId="0" fontId="44" fillId="2" borderId="47" xfId="4" applyFont="1" applyFill="1" applyBorder="1" applyAlignment="1">
      <alignment horizontal="center"/>
    </xf>
    <xf numFmtId="0" fontId="8" fillId="5" borderId="23" xfId="4" applyFont="1" applyFill="1" applyBorder="1" applyAlignment="1">
      <alignment horizontal="center" vertical="center" wrapText="1"/>
    </xf>
    <xf numFmtId="0" fontId="8" fillId="5" borderId="24" xfId="4" applyFont="1" applyFill="1" applyBorder="1" applyAlignment="1">
      <alignment horizontal="center" vertical="center" wrapText="1"/>
    </xf>
    <xf numFmtId="0" fontId="8" fillId="5" borderId="30" xfId="4" applyFont="1" applyFill="1" applyBorder="1" applyAlignment="1">
      <alignment horizontal="center" vertical="center" wrapText="1"/>
    </xf>
    <xf numFmtId="0" fontId="45" fillId="2" borderId="48" xfId="4" applyFont="1" applyFill="1" applyBorder="1" applyAlignment="1">
      <alignment horizontal="right" vertical="top" wrapText="1"/>
    </xf>
    <xf numFmtId="0" fontId="45" fillId="2" borderId="45" xfId="4" applyFont="1" applyFill="1" applyBorder="1" applyAlignment="1">
      <alignment horizontal="right" vertical="top" wrapText="1"/>
    </xf>
    <xf numFmtId="0" fontId="45" fillId="2" borderId="46" xfId="4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/>
    </xf>
    <xf numFmtId="0" fontId="41" fillId="2" borderId="34" xfId="4" applyFont="1" applyFill="1" applyBorder="1" applyAlignment="1">
      <alignment horizontal="center"/>
    </xf>
    <xf numFmtId="0" fontId="5" fillId="2" borderId="0" xfId="4" applyFont="1" applyFill="1"/>
    <xf numFmtId="0" fontId="45" fillId="3" borderId="35" xfId="3" applyFont="1" applyFill="1" applyBorder="1" applyAlignment="1">
      <alignment horizontal="center" vertical="center"/>
    </xf>
    <xf numFmtId="0" fontId="45" fillId="3" borderId="36" xfId="3" applyFont="1" applyFill="1" applyBorder="1" applyAlignment="1">
      <alignment horizontal="center" vertical="center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0" fontId="45" fillId="3" borderId="1" xfId="3" applyFont="1" applyFill="1" applyBorder="1" applyAlignment="1">
      <alignment horizontal="center" vertical="center"/>
    </xf>
    <xf numFmtId="0" fontId="45" fillId="3" borderId="13" xfId="3" applyFont="1" applyFill="1" applyBorder="1" applyAlignment="1">
      <alignment horizontal="center" vertical="center"/>
    </xf>
    <xf numFmtId="0" fontId="45" fillId="0" borderId="27" xfId="3" applyFont="1" applyBorder="1" applyAlignment="1">
      <alignment horizontal="right"/>
    </xf>
    <xf numFmtId="0" fontId="45" fillId="0" borderId="28" xfId="3" applyFont="1" applyBorder="1" applyAlignment="1">
      <alignment horizontal="right"/>
    </xf>
    <xf numFmtId="0" fontId="45" fillId="0" borderId="33" xfId="3" applyFont="1" applyBorder="1" applyAlignment="1">
      <alignment horizontal="right"/>
    </xf>
    <xf numFmtId="167" fontId="12" fillId="0" borderId="11" xfId="3" applyNumberFormat="1" applyFont="1" applyBorder="1" applyAlignment="1">
      <alignment horizontal="right"/>
    </xf>
    <xf numFmtId="0" fontId="12" fillId="2" borderId="12" xfId="3" applyFont="1" applyFill="1" applyBorder="1" applyAlignment="1">
      <alignment horizontal="center"/>
    </xf>
    <xf numFmtId="0" fontId="12" fillId="2" borderId="29" xfId="3" applyFont="1" applyFill="1" applyBorder="1" applyAlignment="1">
      <alignment horizontal="center"/>
    </xf>
    <xf numFmtId="0" fontId="45" fillId="0" borderId="26" xfId="3" applyFont="1" applyBorder="1" applyAlignment="1">
      <alignment horizontal="right"/>
    </xf>
    <xf numFmtId="0" fontId="45" fillId="0" borderId="24" xfId="3" applyFont="1" applyBorder="1" applyAlignment="1">
      <alignment horizontal="right"/>
    </xf>
    <xf numFmtId="0" fontId="45" fillId="0" borderId="30" xfId="3" applyFont="1" applyBorder="1" applyAlignment="1">
      <alignment horizontal="right"/>
    </xf>
    <xf numFmtId="0" fontId="12" fillId="0" borderId="3" xfId="3" applyFont="1" applyBorder="1" applyAlignment="1">
      <alignment horizontal="right"/>
    </xf>
    <xf numFmtId="167" fontId="12" fillId="0" borderId="23" xfId="3" applyNumberFormat="1" applyFont="1" applyBorder="1" applyAlignment="1">
      <alignment horizontal="center"/>
    </xf>
    <xf numFmtId="167" fontId="12" fillId="0" borderId="25" xfId="3" applyNumberFormat="1" applyFont="1" applyBorder="1" applyAlignment="1">
      <alignment horizontal="center"/>
    </xf>
    <xf numFmtId="0" fontId="7" fillId="0" borderId="27" xfId="3" applyFont="1" applyBorder="1" applyAlignment="1">
      <alignment horizontal="left" wrapText="1"/>
    </xf>
    <xf numFmtId="0" fontId="7" fillId="0" borderId="28" xfId="3" applyFont="1" applyBorder="1" applyAlignment="1">
      <alignment horizontal="left" wrapText="1"/>
    </xf>
    <xf numFmtId="0" fontId="7" fillId="0" borderId="29" xfId="3" applyFont="1" applyBorder="1" applyAlignment="1">
      <alignment horizontal="left" wrapText="1"/>
    </xf>
    <xf numFmtId="167" fontId="12" fillId="0" borderId="23" xfId="3" applyNumberFormat="1" applyFont="1" applyBorder="1" applyAlignment="1">
      <alignment horizontal="right" wrapText="1"/>
    </xf>
    <xf numFmtId="167" fontId="12" fillId="0" borderId="30" xfId="3" applyNumberFormat="1" applyFont="1" applyBorder="1" applyAlignment="1">
      <alignment horizontal="right" wrapText="1"/>
    </xf>
    <xf numFmtId="0" fontId="45" fillId="0" borderId="36" xfId="3" applyFont="1" applyBorder="1" applyAlignment="1">
      <alignment horizontal="right"/>
    </xf>
    <xf numFmtId="0" fontId="45" fillId="0" borderId="43" xfId="3" applyFont="1" applyBorder="1" applyAlignment="1">
      <alignment horizontal="right"/>
    </xf>
    <xf numFmtId="0" fontId="45" fillId="0" borderId="13" xfId="3" applyFont="1" applyBorder="1" applyAlignment="1">
      <alignment horizontal="right"/>
    </xf>
    <xf numFmtId="0" fontId="12" fillId="0" borderId="13" xfId="3" applyFont="1" applyBorder="1" applyAlignment="1">
      <alignment horizontal="right"/>
    </xf>
    <xf numFmtId="167" fontId="12" fillId="0" borderId="37" xfId="3" applyNumberFormat="1" applyFont="1" applyBorder="1" applyAlignment="1">
      <alignment horizontal="center"/>
    </xf>
    <xf numFmtId="167" fontId="12" fillId="0" borderId="38" xfId="3" applyNumberFormat="1" applyFont="1" applyBorder="1" applyAlignment="1">
      <alignment horizontal="center"/>
    </xf>
    <xf numFmtId="0" fontId="45" fillId="3" borderId="8" xfId="3" applyFont="1" applyFill="1" applyBorder="1" applyAlignment="1">
      <alignment horizontal="left"/>
    </xf>
    <xf numFmtId="0" fontId="45" fillId="3" borderId="9" xfId="3" applyFont="1" applyFill="1" applyBorder="1" applyAlignment="1">
      <alignment horizontal="left"/>
    </xf>
    <xf numFmtId="0" fontId="45" fillId="3" borderId="10" xfId="3" applyFont="1" applyFill="1" applyBorder="1" applyAlignment="1">
      <alignment horizontal="left"/>
    </xf>
    <xf numFmtId="0" fontId="12" fillId="2" borderId="56" xfId="4" applyFont="1" applyFill="1" applyBorder="1" applyAlignment="1">
      <alignment horizontal="left"/>
    </xf>
    <xf numFmtId="0" fontId="12" fillId="2" borderId="0" xfId="4" applyFont="1" applyFill="1" applyAlignment="1">
      <alignment horizontal="left"/>
    </xf>
    <xf numFmtId="0" fontId="7" fillId="0" borderId="26" xfId="3" applyFont="1" applyBorder="1" applyAlignment="1">
      <alignment horizontal="left" wrapText="1"/>
    </xf>
    <xf numFmtId="0" fontId="7" fillId="0" borderId="24" xfId="3" applyFont="1" applyBorder="1" applyAlignment="1">
      <alignment horizontal="left" wrapText="1"/>
    </xf>
    <xf numFmtId="0" fontId="7" fillId="0" borderId="25" xfId="3" applyFont="1" applyBorder="1" applyAlignment="1">
      <alignment horizontal="left" wrapText="1"/>
    </xf>
    <xf numFmtId="0" fontId="12" fillId="0" borderId="26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2" fillId="0" borderId="53" xfId="3" applyFont="1" applyBorder="1" applyAlignment="1">
      <alignment horizontal="left"/>
    </xf>
    <xf numFmtId="0" fontId="12" fillId="0" borderId="54" xfId="3" applyFont="1" applyBorder="1" applyAlignment="1">
      <alignment horizontal="left"/>
    </xf>
    <xf numFmtId="0" fontId="12" fillId="0" borderId="38" xfId="3" applyFont="1" applyBorder="1" applyAlignment="1">
      <alignment horizontal="left"/>
    </xf>
    <xf numFmtId="0" fontId="45" fillId="12" borderId="55" xfId="4" applyFont="1" applyFill="1" applyBorder="1" applyAlignment="1">
      <alignment horizontal="center"/>
    </xf>
    <xf numFmtId="0" fontId="45" fillId="12" borderId="42" xfId="4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38" fillId="0" borderId="8" xfId="0" applyFont="1" applyBorder="1" applyAlignment="1">
      <alignment horizontal="right" vertical="center"/>
    </xf>
    <xf numFmtId="0" fontId="38" fillId="0" borderId="9" xfId="0" applyFont="1" applyBorder="1" applyAlignment="1">
      <alignment horizontal="right" vertical="center"/>
    </xf>
    <xf numFmtId="0" fontId="38" fillId="0" borderId="10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34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8" xfId="0" applyFont="1" applyFill="1" applyBorder="1" applyAlignment="1">
      <alignment horizontal="right"/>
    </xf>
    <xf numFmtId="0" fontId="27" fillId="4" borderId="9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14" fillId="0" borderId="34" xfId="0" applyFont="1" applyBorder="1" applyAlignment="1">
      <alignment horizontal="right" vertical="center"/>
    </xf>
    <xf numFmtId="0" fontId="14" fillId="0" borderId="40" xfId="0" applyFont="1" applyBorder="1" applyAlignment="1">
      <alignment horizontal="right" vertical="center"/>
    </xf>
    <xf numFmtId="0" fontId="14" fillId="8" borderId="8" xfId="0" applyFont="1" applyFill="1" applyBorder="1" applyAlignment="1">
      <alignment horizontal="right" vertical="center"/>
    </xf>
    <xf numFmtId="0" fontId="14" fillId="8" borderId="9" xfId="0" applyFont="1" applyFill="1" applyBorder="1" applyAlignment="1">
      <alignment horizontal="right" vertical="center"/>
    </xf>
    <xf numFmtId="0" fontId="14" fillId="8" borderId="10" xfId="0" applyFont="1" applyFill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30" fillId="0" borderId="3" xfId="0" applyFont="1" applyBorder="1" applyAlignment="1">
      <alignment horizontal="right" vertical="center"/>
    </xf>
    <xf numFmtId="0" fontId="31" fillId="0" borderId="6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7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11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23" fillId="0" borderId="41" xfId="0" applyFont="1" applyBorder="1" applyAlignment="1">
      <alignment horizontal="right"/>
    </xf>
    <xf numFmtId="0" fontId="23" fillId="0" borderId="42" xfId="0" applyFont="1" applyBorder="1" applyAlignment="1">
      <alignment horizontal="right"/>
    </xf>
    <xf numFmtId="0" fontId="17" fillId="0" borderId="34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right" vertical="center" wrapText="1"/>
    </xf>
  </cellXfs>
  <cellStyles count="9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 3" xfId="7" xr:uid="{A103D064-1DA1-4A9F-AED4-38C7A40A2621}"/>
    <cellStyle name="Normal 3 2" xfId="8" xr:uid="{5ADC37D5-660A-4C6D-8759-659A68BFDBFE}"/>
    <cellStyle name="Normal 5" xfId="6" xr:uid="{7476775F-59BE-4C03-ADC0-EACD70292B49}"/>
    <cellStyle name="Normal_CRITERIOS DE EVALUACION PT DE GB 2" xfId="4" xr:uid="{00000000-0005-0000-0000-000004000000}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77A1-734D-471B-B005-03AC66383D1D}">
  <dimension ref="A1:I58"/>
  <sheetViews>
    <sheetView tabSelected="1" zoomScale="70" zoomScaleNormal="70" workbookViewId="0">
      <selection activeCell="C12" sqref="C12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23.44140625" bestFit="1" customWidth="1"/>
  </cols>
  <sheetData>
    <row r="1" spans="1:9" ht="15" x14ac:dyDescent="0.25">
      <c r="A1" s="226"/>
      <c r="B1" s="227"/>
      <c r="C1" s="232" t="s">
        <v>22</v>
      </c>
      <c r="D1" s="232"/>
      <c r="E1" s="232"/>
      <c r="F1" s="232"/>
      <c r="G1" s="232"/>
      <c r="H1" s="123" t="s">
        <v>21</v>
      </c>
      <c r="I1" s="1" t="s">
        <v>126</v>
      </c>
    </row>
    <row r="2" spans="1:9" ht="15" x14ac:dyDescent="0.25">
      <c r="A2" s="228"/>
      <c r="B2" s="229"/>
      <c r="C2" s="233" t="s">
        <v>0</v>
      </c>
      <c r="D2" s="233"/>
      <c r="E2" s="233"/>
      <c r="F2" s="233"/>
      <c r="G2" s="233"/>
      <c r="H2" s="124" t="s">
        <v>20</v>
      </c>
      <c r="I2" s="125" t="s">
        <v>112</v>
      </c>
    </row>
    <row r="3" spans="1:9" ht="16.05" customHeight="1" thickBot="1" x14ac:dyDescent="0.3">
      <c r="A3" s="228"/>
      <c r="B3" s="229"/>
      <c r="C3" s="234" t="s">
        <v>101</v>
      </c>
      <c r="D3" s="235"/>
      <c r="E3" s="235"/>
      <c r="F3" s="235"/>
      <c r="G3" s="236"/>
      <c r="H3" s="237" t="s">
        <v>19</v>
      </c>
      <c r="I3" s="217">
        <v>45609</v>
      </c>
    </row>
    <row r="4" spans="1:9" x14ac:dyDescent="0.25">
      <c r="A4" s="228"/>
      <c r="B4" s="229"/>
      <c r="C4" s="126" t="s">
        <v>18</v>
      </c>
      <c r="D4" s="220" t="s">
        <v>113</v>
      </c>
      <c r="E4" s="221"/>
      <c r="F4" s="221"/>
      <c r="G4" s="222"/>
      <c r="H4" s="238"/>
      <c r="I4" s="218"/>
    </row>
    <row r="5" spans="1:9" ht="13.8" thickBot="1" x14ac:dyDescent="0.3">
      <c r="A5" s="230"/>
      <c r="B5" s="231"/>
      <c r="C5" s="127" t="s">
        <v>17</v>
      </c>
      <c r="D5" s="223" t="s">
        <v>114</v>
      </c>
      <c r="E5" s="224"/>
      <c r="F5" s="224"/>
      <c r="G5" s="225"/>
      <c r="H5" s="239"/>
      <c r="I5" s="219"/>
    </row>
    <row r="6" spans="1:9" ht="18" thickBot="1" x14ac:dyDescent="0.35">
      <c r="A6" s="240" t="s">
        <v>23</v>
      </c>
      <c r="B6" s="240"/>
      <c r="C6" s="240"/>
      <c r="D6" s="241" t="s">
        <v>30</v>
      </c>
      <c r="E6" s="241"/>
      <c r="F6" s="241"/>
      <c r="G6" s="242" t="s">
        <v>24</v>
      </c>
      <c r="H6" s="242"/>
      <c r="I6" s="18" t="s">
        <v>31</v>
      </c>
    </row>
    <row r="7" spans="1:9" x14ac:dyDescent="0.25">
      <c r="A7" s="243" t="s">
        <v>1</v>
      </c>
      <c r="B7" s="245" t="s">
        <v>115</v>
      </c>
      <c r="C7" s="247" t="s">
        <v>2</v>
      </c>
      <c r="D7" s="247" t="s">
        <v>3</v>
      </c>
      <c r="E7" s="247" t="s">
        <v>4</v>
      </c>
      <c r="F7" s="247"/>
      <c r="G7" s="247" t="s">
        <v>16</v>
      </c>
      <c r="H7" s="247"/>
      <c r="I7" s="128" t="s">
        <v>5</v>
      </c>
    </row>
    <row r="8" spans="1:9" ht="26.4" thickBot="1" x14ac:dyDescent="0.3">
      <c r="A8" s="244"/>
      <c r="B8" s="246"/>
      <c r="C8" s="248"/>
      <c r="D8" s="248"/>
      <c r="E8" s="129" t="s">
        <v>6</v>
      </c>
      <c r="F8" s="130" t="s">
        <v>7</v>
      </c>
      <c r="G8" s="129" t="s">
        <v>6</v>
      </c>
      <c r="H8" s="130" t="s">
        <v>7</v>
      </c>
      <c r="I8" s="131" t="s">
        <v>8</v>
      </c>
    </row>
    <row r="9" spans="1:9" ht="13.8" x14ac:dyDescent="0.25">
      <c r="A9" s="132"/>
      <c r="B9" s="133"/>
      <c r="C9" s="134" t="s">
        <v>116</v>
      </c>
      <c r="D9" s="135"/>
      <c r="E9" s="136"/>
      <c r="F9" s="137"/>
      <c r="G9" s="136"/>
      <c r="H9" s="137"/>
      <c r="I9" s="138"/>
    </row>
    <row r="10" spans="1:9" ht="16.05" customHeight="1" x14ac:dyDescent="0.25">
      <c r="A10" s="11" t="s">
        <v>35</v>
      </c>
      <c r="B10" s="11" t="s">
        <v>102</v>
      </c>
      <c r="C10" s="12" t="s">
        <v>36</v>
      </c>
      <c r="D10" s="17" t="s">
        <v>32</v>
      </c>
      <c r="E10" s="16">
        <v>80</v>
      </c>
      <c r="F10" s="15" t="s">
        <v>26</v>
      </c>
      <c r="G10" s="139"/>
      <c r="H10" s="140"/>
      <c r="I10" s="138"/>
    </row>
    <row r="11" spans="1:9" ht="15" x14ac:dyDescent="0.25">
      <c r="A11" s="11"/>
      <c r="B11" s="11"/>
      <c r="C11" s="12"/>
      <c r="D11" s="17"/>
      <c r="E11" s="16"/>
      <c r="F11" s="10"/>
      <c r="G11" s="139"/>
      <c r="H11" s="140"/>
      <c r="I11" s="138"/>
    </row>
    <row r="12" spans="1:9" ht="13.8" x14ac:dyDescent="0.25">
      <c r="A12" s="11"/>
      <c r="B12" s="11"/>
      <c r="C12" s="19" t="s">
        <v>37</v>
      </c>
      <c r="D12" s="17"/>
      <c r="E12" s="16"/>
      <c r="F12" s="5"/>
      <c r="G12" s="141"/>
      <c r="H12" s="140"/>
      <c r="I12" s="138"/>
    </row>
    <row r="13" spans="1:9" ht="13.8" x14ac:dyDescent="0.25">
      <c r="A13" s="11" t="s">
        <v>35</v>
      </c>
      <c r="B13" s="11" t="s">
        <v>102</v>
      </c>
      <c r="C13" s="12" t="s">
        <v>36</v>
      </c>
      <c r="D13" s="17" t="s">
        <v>32</v>
      </c>
      <c r="E13" s="16">
        <v>10</v>
      </c>
      <c r="F13" s="15" t="s">
        <v>26</v>
      </c>
      <c r="G13" s="141"/>
      <c r="H13" s="140"/>
      <c r="I13" s="138"/>
    </row>
    <row r="14" spans="1:9" ht="13.8" x14ac:dyDescent="0.25">
      <c r="A14" s="142"/>
      <c r="B14" s="143"/>
      <c r="C14" s="144"/>
      <c r="D14" s="145"/>
      <c r="E14" s="141"/>
      <c r="F14" s="146"/>
      <c r="G14" s="141"/>
      <c r="H14" s="140"/>
      <c r="I14" s="138"/>
    </row>
    <row r="15" spans="1:9" ht="13.8" x14ac:dyDescent="0.25">
      <c r="A15" s="147"/>
      <c r="B15" s="148"/>
      <c r="C15" s="149"/>
      <c r="D15" s="145"/>
      <c r="E15" s="150"/>
      <c r="F15" s="151"/>
      <c r="G15" s="152"/>
      <c r="H15" s="140"/>
      <c r="I15" s="138"/>
    </row>
    <row r="16" spans="1:9" ht="13.8" x14ac:dyDescent="0.25">
      <c r="A16" s="147"/>
      <c r="B16" s="148"/>
      <c r="C16" s="149"/>
      <c r="D16" s="145"/>
      <c r="E16" s="150"/>
      <c r="F16" s="151"/>
      <c r="G16" s="152"/>
      <c r="H16" s="140"/>
      <c r="I16" s="138"/>
    </row>
    <row r="17" spans="1:9" ht="13.8" x14ac:dyDescent="0.25">
      <c r="A17" s="153"/>
      <c r="B17" s="153"/>
      <c r="C17" s="154"/>
      <c r="D17" s="155"/>
      <c r="E17" s="156"/>
      <c r="F17" s="157"/>
      <c r="G17" s="152"/>
      <c r="H17" s="140"/>
      <c r="I17" s="138"/>
    </row>
    <row r="18" spans="1:9" ht="13.8" x14ac:dyDescent="0.25">
      <c r="A18" s="158"/>
      <c r="B18" s="158"/>
      <c r="C18" s="159"/>
      <c r="D18" s="160"/>
      <c r="E18" s="161"/>
      <c r="F18" s="162"/>
      <c r="G18" s="163"/>
      <c r="H18" s="140"/>
      <c r="I18" s="138"/>
    </row>
    <row r="19" spans="1:9" ht="13.8" x14ac:dyDescent="0.25">
      <c r="A19" s="158"/>
      <c r="B19" s="158"/>
      <c r="C19" s="164"/>
      <c r="D19" s="165"/>
      <c r="E19" s="165"/>
      <c r="F19" s="166"/>
      <c r="G19" s="136"/>
      <c r="H19" s="167"/>
      <c r="I19" s="138"/>
    </row>
    <row r="20" spans="1:9" ht="15.6" x14ac:dyDescent="0.3">
      <c r="A20" s="20"/>
      <c r="B20" s="120"/>
      <c r="C20" s="168" t="s">
        <v>117</v>
      </c>
      <c r="D20" s="169" t="s">
        <v>118</v>
      </c>
      <c r="E20" s="170"/>
      <c r="F20" s="166"/>
      <c r="G20" s="136"/>
      <c r="H20" s="167"/>
      <c r="I20" s="138"/>
    </row>
    <row r="21" spans="1:9" ht="13.8" x14ac:dyDescent="0.25">
      <c r="A21" s="171"/>
      <c r="B21" s="172"/>
      <c r="C21" s="173"/>
      <c r="D21" s="174"/>
      <c r="E21" s="175"/>
      <c r="F21" s="176"/>
      <c r="G21" s="136"/>
      <c r="H21" s="167"/>
      <c r="I21" s="138"/>
    </row>
    <row r="22" spans="1:9" ht="14.4" x14ac:dyDescent="0.3">
      <c r="A22" s="177"/>
      <c r="B22" s="177"/>
      <c r="C22" s="178"/>
      <c r="D22" s="174"/>
      <c r="E22" s="175"/>
      <c r="F22" s="176"/>
      <c r="G22" s="136"/>
      <c r="H22" s="167"/>
      <c r="I22" s="138"/>
    </row>
    <row r="23" spans="1:9" ht="13.8" x14ac:dyDescent="0.25">
      <c r="A23" s="179"/>
      <c r="B23" s="172"/>
      <c r="C23" s="180"/>
      <c r="D23" s="174"/>
      <c r="E23" s="175"/>
      <c r="F23" s="176"/>
      <c r="G23" s="136"/>
      <c r="H23" s="167"/>
      <c r="I23" s="138"/>
    </row>
    <row r="24" spans="1:9" ht="13.8" x14ac:dyDescent="0.25">
      <c r="A24" s="158"/>
      <c r="B24" s="158"/>
      <c r="C24" s="164"/>
      <c r="D24" s="165"/>
      <c r="E24" s="169"/>
      <c r="F24" s="166"/>
      <c r="G24" s="136"/>
      <c r="H24" s="167"/>
      <c r="I24" s="138"/>
    </row>
    <row r="25" spans="1:9" ht="13.8" x14ac:dyDescent="0.25">
      <c r="A25" s="158"/>
      <c r="B25" s="158"/>
      <c r="C25" s="164"/>
      <c r="D25" s="181" t="s">
        <v>118</v>
      </c>
      <c r="E25" s="182"/>
      <c r="F25" s="183"/>
      <c r="G25" s="136"/>
      <c r="H25" s="167"/>
      <c r="I25" s="138"/>
    </row>
    <row r="26" spans="1:9" ht="15.6" x14ac:dyDescent="0.25">
      <c r="A26" s="184"/>
      <c r="B26" s="185"/>
      <c r="C26" s="186" t="s">
        <v>119</v>
      </c>
      <c r="D26" s="187" t="s">
        <v>118</v>
      </c>
      <c r="E26" s="136"/>
      <c r="F26" s="137"/>
      <c r="G26" s="136"/>
      <c r="H26" s="167"/>
      <c r="I26" s="138"/>
    </row>
    <row r="27" spans="1:9" ht="13.8" x14ac:dyDescent="0.25">
      <c r="A27" s="20">
        <v>702169</v>
      </c>
      <c r="B27" s="120" t="s">
        <v>105</v>
      </c>
      <c r="C27" s="12" t="s">
        <v>99</v>
      </c>
      <c r="D27" s="17" t="s">
        <v>120</v>
      </c>
      <c r="E27" s="16">
        <v>1</v>
      </c>
      <c r="F27" s="15" t="s">
        <v>27</v>
      </c>
      <c r="G27" s="152"/>
      <c r="H27" s="167"/>
      <c r="I27" s="138"/>
    </row>
    <row r="28" spans="1:9" ht="13.8" x14ac:dyDescent="0.25">
      <c r="A28" s="20">
        <v>1952856</v>
      </c>
      <c r="B28" s="120" t="s">
        <v>103</v>
      </c>
      <c r="C28" s="12" t="s">
        <v>43</v>
      </c>
      <c r="D28" s="17" t="s">
        <v>120</v>
      </c>
      <c r="E28" s="16">
        <v>1</v>
      </c>
      <c r="F28" s="15" t="s">
        <v>27</v>
      </c>
      <c r="G28" s="188"/>
      <c r="H28" s="167"/>
      <c r="I28" s="138"/>
    </row>
    <row r="29" spans="1:9" ht="13.8" x14ac:dyDescent="0.25">
      <c r="A29" s="20" t="s">
        <v>28</v>
      </c>
      <c r="B29" s="122" t="s">
        <v>106</v>
      </c>
      <c r="C29" s="12" t="s">
        <v>33</v>
      </c>
      <c r="D29" s="17" t="s">
        <v>34</v>
      </c>
      <c r="E29" s="16">
        <v>1</v>
      </c>
      <c r="F29" s="15" t="s">
        <v>27</v>
      </c>
      <c r="G29" s="136"/>
      <c r="H29" s="167"/>
      <c r="I29" s="138"/>
    </row>
    <row r="30" spans="1:9" ht="13.8" x14ac:dyDescent="0.25">
      <c r="A30" s="20" t="s">
        <v>38</v>
      </c>
      <c r="B30" s="120" t="s">
        <v>107</v>
      </c>
      <c r="C30" s="12" t="s">
        <v>39</v>
      </c>
      <c r="D30" s="17" t="s">
        <v>34</v>
      </c>
      <c r="E30" s="16">
        <v>1</v>
      </c>
      <c r="F30" s="15" t="s">
        <v>27</v>
      </c>
      <c r="G30" s="136"/>
      <c r="H30" s="167"/>
      <c r="I30" s="138"/>
    </row>
    <row r="31" spans="1:9" ht="14.4" x14ac:dyDescent="0.3">
      <c r="A31" s="22">
        <v>60100107</v>
      </c>
      <c r="B31" s="22" t="s">
        <v>104</v>
      </c>
      <c r="C31" s="12" t="s">
        <v>100</v>
      </c>
      <c r="D31" s="17" t="s">
        <v>34</v>
      </c>
      <c r="E31" s="21">
        <v>1</v>
      </c>
      <c r="F31" s="21" t="s">
        <v>27</v>
      </c>
      <c r="G31" s="136"/>
      <c r="H31" s="167"/>
      <c r="I31" s="138"/>
    </row>
    <row r="32" spans="1:9" ht="13.8" x14ac:dyDescent="0.25">
      <c r="A32" s="2" t="s">
        <v>110</v>
      </c>
      <c r="B32" s="121" t="s">
        <v>108</v>
      </c>
      <c r="C32" s="12" t="s">
        <v>109</v>
      </c>
      <c r="D32" s="3"/>
      <c r="E32" s="4">
        <v>1</v>
      </c>
      <c r="F32" s="5" t="s">
        <v>27</v>
      </c>
      <c r="G32" s="189"/>
      <c r="H32" s="167"/>
      <c r="I32" s="138"/>
    </row>
    <row r="33" spans="1:9" ht="13.8" x14ac:dyDescent="0.25">
      <c r="A33" s="190"/>
      <c r="B33" s="191"/>
      <c r="C33" s="192"/>
      <c r="D33" s="193"/>
      <c r="E33" s="194"/>
      <c r="F33" s="195"/>
      <c r="G33" s="165"/>
      <c r="H33" s="167"/>
      <c r="I33" s="138"/>
    </row>
    <row r="34" spans="1:9" ht="14.4" x14ac:dyDescent="0.3">
      <c r="A34" s="196"/>
      <c r="B34" s="197"/>
      <c r="C34" s="198"/>
      <c r="D34" s="199"/>
      <c r="E34" s="146"/>
      <c r="F34" s="146"/>
      <c r="G34" s="165"/>
      <c r="H34" s="167"/>
      <c r="I34" s="138"/>
    </row>
    <row r="35" spans="1:9" ht="15.6" x14ac:dyDescent="0.3">
      <c r="A35" s="158"/>
      <c r="B35" s="200"/>
      <c r="C35" s="159"/>
      <c r="D35" s="201"/>
      <c r="E35" s="202"/>
      <c r="F35" s="151"/>
      <c r="G35" s="165"/>
      <c r="H35" s="169"/>
      <c r="I35" s="138"/>
    </row>
    <row r="36" spans="1:9" ht="15.6" x14ac:dyDescent="0.3">
      <c r="A36" s="20"/>
      <c r="B36" s="120"/>
      <c r="C36" s="12"/>
      <c r="D36" s="169"/>
      <c r="E36" s="169"/>
      <c r="F36" s="166"/>
      <c r="G36" s="203"/>
      <c r="H36" s="203"/>
      <c r="I36" s="138"/>
    </row>
    <row r="37" spans="1:9" ht="13.8" thickBot="1" x14ac:dyDescent="0.3">
      <c r="A37" s="204"/>
      <c r="B37" s="205"/>
      <c r="C37" s="206"/>
      <c r="D37" s="206"/>
      <c r="E37" s="207"/>
      <c r="F37" s="208"/>
      <c r="G37" s="206"/>
      <c r="H37" s="206"/>
      <c r="I37" s="209"/>
    </row>
    <row r="38" spans="1:9" ht="13.8" thickBot="1" x14ac:dyDescent="0.3">
      <c r="A38" s="210"/>
      <c r="B38" s="211"/>
      <c r="C38" s="212"/>
      <c r="D38" s="213" t="s">
        <v>6</v>
      </c>
      <c r="E38" s="214" t="s">
        <v>15</v>
      </c>
      <c r="F38" s="215"/>
      <c r="G38" s="212"/>
      <c r="H38" s="212"/>
      <c r="I38" s="216"/>
    </row>
    <row r="39" spans="1:9" x14ac:dyDescent="0.25">
      <c r="A39" s="249" t="s">
        <v>10</v>
      </c>
      <c r="B39" s="250"/>
      <c r="C39" s="251"/>
      <c r="D39" s="7">
        <v>80</v>
      </c>
      <c r="E39" s="8" t="s">
        <v>26</v>
      </c>
      <c r="F39" s="252" t="s">
        <v>121</v>
      </c>
      <c r="G39" s="252"/>
      <c r="H39" s="253"/>
      <c r="I39" s="254"/>
    </row>
    <row r="40" spans="1:9" x14ac:dyDescent="0.25">
      <c r="A40" s="255" t="s">
        <v>9</v>
      </c>
      <c r="B40" s="256"/>
      <c r="C40" s="257"/>
      <c r="D40" s="9">
        <v>1</v>
      </c>
      <c r="E40" s="6" t="s">
        <v>29</v>
      </c>
      <c r="F40" s="258" t="s">
        <v>122</v>
      </c>
      <c r="G40" s="258"/>
      <c r="H40" s="259"/>
      <c r="I40" s="260"/>
    </row>
    <row r="41" spans="1:9" x14ac:dyDescent="0.25">
      <c r="A41" s="255" t="s">
        <v>14</v>
      </c>
      <c r="B41" s="256"/>
      <c r="C41" s="257"/>
      <c r="D41" s="6">
        <v>1</v>
      </c>
      <c r="E41" s="6" t="s">
        <v>27</v>
      </c>
      <c r="F41" s="258" t="s">
        <v>123</v>
      </c>
      <c r="G41" s="258"/>
      <c r="H41" s="259"/>
      <c r="I41" s="260"/>
    </row>
    <row r="42" spans="1:9" x14ac:dyDescent="0.25">
      <c r="A42" s="255" t="s">
        <v>13</v>
      </c>
      <c r="B42" s="256"/>
      <c r="C42" s="257"/>
      <c r="D42" s="6">
        <v>80</v>
      </c>
      <c r="E42" s="6" t="s">
        <v>26</v>
      </c>
      <c r="F42" s="264" t="s">
        <v>124</v>
      </c>
      <c r="G42" s="265"/>
      <c r="H42" s="259"/>
      <c r="I42" s="260"/>
    </row>
    <row r="43" spans="1:9" ht="13.8" thickBot="1" x14ac:dyDescent="0.3">
      <c r="A43" s="266" t="s">
        <v>12</v>
      </c>
      <c r="B43" s="267"/>
      <c r="C43" s="268"/>
      <c r="D43" s="14">
        <v>10</v>
      </c>
      <c r="E43" s="13" t="s">
        <v>26</v>
      </c>
      <c r="F43" s="269"/>
      <c r="G43" s="269"/>
      <c r="H43" s="270"/>
      <c r="I43" s="271"/>
    </row>
    <row r="44" spans="1:9" ht="13.8" thickBot="1" x14ac:dyDescent="0.3">
      <c r="A44" s="272" t="s">
        <v>11</v>
      </c>
      <c r="B44" s="273"/>
      <c r="C44" s="273"/>
      <c r="D44" s="273"/>
      <c r="E44" s="273"/>
      <c r="F44" s="273"/>
      <c r="G44" s="273"/>
      <c r="H44" s="273"/>
      <c r="I44" s="274"/>
    </row>
    <row r="45" spans="1:9" ht="13.8" x14ac:dyDescent="0.25">
      <c r="A45" s="261" t="s">
        <v>45</v>
      </c>
      <c r="B45" s="262"/>
      <c r="C45" s="262"/>
      <c r="D45" s="262"/>
      <c r="E45" s="262"/>
      <c r="F45" s="262"/>
      <c r="G45" s="262"/>
      <c r="H45" s="262"/>
      <c r="I45" s="263"/>
    </row>
    <row r="46" spans="1:9" ht="14.55" customHeight="1" x14ac:dyDescent="0.25">
      <c r="A46" s="261" t="s">
        <v>46</v>
      </c>
      <c r="B46" s="262"/>
      <c r="C46" s="262"/>
      <c r="D46" s="262"/>
      <c r="E46" s="262"/>
      <c r="F46" s="262"/>
      <c r="G46" s="262"/>
      <c r="H46" s="262"/>
      <c r="I46" s="263"/>
    </row>
    <row r="47" spans="1:9" ht="14.55" customHeight="1" x14ac:dyDescent="0.25">
      <c r="A47" s="277" t="s">
        <v>111</v>
      </c>
      <c r="B47" s="278"/>
      <c r="C47" s="278"/>
      <c r="D47" s="278"/>
      <c r="E47" s="278"/>
      <c r="F47" s="278"/>
      <c r="G47" s="278"/>
      <c r="H47" s="278"/>
      <c r="I47" s="279"/>
    </row>
    <row r="48" spans="1:9" ht="14.55" customHeight="1" x14ac:dyDescent="0.25">
      <c r="A48" s="261" t="s">
        <v>40</v>
      </c>
      <c r="B48" s="262"/>
      <c r="C48" s="262"/>
      <c r="D48" s="262"/>
      <c r="E48" s="262"/>
      <c r="F48" s="262"/>
      <c r="G48" s="262"/>
      <c r="H48" s="262"/>
      <c r="I48" s="263"/>
    </row>
    <row r="49" spans="1:9" x14ac:dyDescent="0.25">
      <c r="A49" s="280"/>
      <c r="B49" s="281"/>
      <c r="C49" s="281"/>
      <c r="D49" s="281"/>
      <c r="E49" s="281"/>
      <c r="F49" s="281"/>
      <c r="G49" s="281"/>
      <c r="H49" s="281"/>
      <c r="I49" s="282"/>
    </row>
    <row r="50" spans="1:9" x14ac:dyDescent="0.25">
      <c r="A50" s="283"/>
      <c r="B50" s="284"/>
      <c r="C50" s="284"/>
      <c r="D50" s="284"/>
      <c r="E50" s="284"/>
      <c r="F50" s="284"/>
      <c r="G50" s="284"/>
      <c r="H50" s="284"/>
      <c r="I50" s="285"/>
    </row>
    <row r="51" spans="1:9" x14ac:dyDescent="0.25">
      <c r="A51" s="280"/>
      <c r="B51" s="281"/>
      <c r="C51" s="281"/>
      <c r="D51" s="281"/>
      <c r="E51" s="281"/>
      <c r="F51" s="281"/>
      <c r="G51" s="281"/>
      <c r="H51" s="281"/>
      <c r="I51" s="282"/>
    </row>
    <row r="52" spans="1:9" x14ac:dyDescent="0.25">
      <c r="A52" s="280"/>
      <c r="B52" s="281"/>
      <c r="C52" s="281"/>
      <c r="D52" s="281"/>
      <c r="E52" s="281"/>
      <c r="F52" s="281"/>
      <c r="G52" s="281"/>
      <c r="H52" s="281"/>
      <c r="I52" s="282"/>
    </row>
    <row r="53" spans="1:9" ht="18" customHeight="1" x14ac:dyDescent="0.25">
      <c r="A53" s="280"/>
      <c r="B53" s="281"/>
      <c r="C53" s="281"/>
      <c r="D53" s="281"/>
      <c r="E53" s="281"/>
      <c r="F53" s="281"/>
      <c r="G53" s="281"/>
      <c r="H53" s="281"/>
      <c r="I53" s="282"/>
    </row>
    <row r="54" spans="1:9" x14ac:dyDescent="0.25">
      <c r="A54" s="280"/>
      <c r="B54" s="281"/>
      <c r="C54" s="281"/>
      <c r="D54" s="281"/>
      <c r="E54" s="281"/>
      <c r="F54" s="281"/>
      <c r="G54" s="281"/>
      <c r="H54" s="281"/>
      <c r="I54" s="282"/>
    </row>
    <row r="55" spans="1:9" ht="13.8" thickBot="1" x14ac:dyDescent="0.3">
      <c r="A55" s="286"/>
      <c r="B55" s="287"/>
      <c r="C55" s="287"/>
      <c r="D55" s="287"/>
      <c r="E55" s="287"/>
      <c r="F55" s="287"/>
      <c r="G55" s="287"/>
      <c r="H55" s="287"/>
      <c r="I55" s="288"/>
    </row>
    <row r="56" spans="1:9" x14ac:dyDescent="0.25">
      <c r="A56" s="289" t="s">
        <v>125</v>
      </c>
      <c r="B56" s="290"/>
      <c r="C56" s="290"/>
      <c r="D56" s="290"/>
      <c r="E56" s="290"/>
      <c r="F56" s="290"/>
      <c r="G56" s="290"/>
      <c r="H56" s="290"/>
      <c r="I56" s="290"/>
    </row>
    <row r="57" spans="1:9" x14ac:dyDescent="0.25">
      <c r="A57" s="275"/>
      <c r="B57" s="276"/>
      <c r="C57" s="276"/>
      <c r="D57" s="276"/>
      <c r="E57" s="276"/>
      <c r="F57" s="276"/>
      <c r="G57" s="276"/>
      <c r="H57" s="276"/>
      <c r="I57" s="276"/>
    </row>
    <row r="58" spans="1:9" x14ac:dyDescent="0.25">
      <c r="A58" s="275"/>
      <c r="B58" s="276"/>
      <c r="C58" s="276"/>
      <c r="D58" s="276"/>
      <c r="E58" s="276"/>
      <c r="F58" s="276"/>
      <c r="G58" s="276"/>
      <c r="H58" s="276"/>
      <c r="I58" s="276"/>
    </row>
  </sheetData>
  <mergeCells count="47"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4" workbookViewId="0">
      <selection activeCell="F54" sqref="F54"/>
    </sheetView>
  </sheetViews>
  <sheetFormatPr baseColWidth="10" defaultColWidth="8.44140625" defaultRowHeight="13.2" x14ac:dyDescent="0.25"/>
  <cols>
    <col min="1" max="1" width="10" style="28" bestFit="1" customWidth="1"/>
    <col min="2" max="2" width="47.77734375" style="28" customWidth="1"/>
    <col min="3" max="3" width="10.44140625" style="28" bestFit="1" customWidth="1"/>
    <col min="4" max="4" width="10.44140625" style="28" customWidth="1"/>
    <col min="5" max="5" width="9.77734375" style="28" bestFit="1" customWidth="1"/>
    <col min="6" max="6" width="9.5546875" style="28" bestFit="1" customWidth="1"/>
    <col min="7" max="7" width="9.5546875" style="110" bestFit="1" customWidth="1"/>
    <col min="8" max="8" width="10.44140625" style="101" bestFit="1" customWidth="1"/>
    <col min="9" max="9" width="4.5546875" style="101" customWidth="1"/>
    <col min="10" max="10" width="1.77734375" style="27" customWidth="1"/>
    <col min="11" max="11" width="7" style="28" bestFit="1" customWidth="1"/>
    <col min="12" max="12" width="6.21875" style="28" customWidth="1"/>
    <col min="13" max="13" width="20.44140625" style="28" customWidth="1"/>
    <col min="14" max="14" width="6.44140625" style="28" bestFit="1" customWidth="1"/>
    <col min="15" max="16" width="8.44140625" style="28"/>
    <col min="17" max="17" width="3.21875" style="28" customWidth="1"/>
    <col min="18" max="16384" width="8.44140625" style="28"/>
  </cols>
  <sheetData>
    <row r="1" spans="1:10" ht="27.75" customHeight="1" x14ac:dyDescent="0.25">
      <c r="A1" s="23"/>
      <c r="B1" s="23"/>
      <c r="C1" s="23"/>
      <c r="D1" s="23"/>
      <c r="E1" s="24" t="s">
        <v>47</v>
      </c>
      <c r="F1" s="25" t="s">
        <v>48</v>
      </c>
      <c r="G1" s="25" t="s">
        <v>49</v>
      </c>
      <c r="H1" s="25" t="s">
        <v>50</v>
      </c>
      <c r="I1" s="26"/>
    </row>
    <row r="2" spans="1:10" ht="30.75" customHeight="1" x14ac:dyDescent="0.25">
      <c r="A2" s="23"/>
      <c r="B2" s="23"/>
      <c r="C2" s="23"/>
      <c r="D2" s="23"/>
      <c r="E2" s="29">
        <f>IFERROR(O62,"")</f>
        <v>732.45133333333342</v>
      </c>
      <c r="F2" s="29">
        <f>IFERROR(H53,"")</f>
        <v>350</v>
      </c>
      <c r="G2" s="29">
        <f>IFERROR(H54,"")</f>
        <v>207.45133333333337</v>
      </c>
      <c r="H2" s="29">
        <f>IFERROR(H56,"")</f>
        <v>137.83268644368144</v>
      </c>
      <c r="I2" s="30"/>
    </row>
    <row r="3" spans="1:10" ht="15" customHeight="1" x14ac:dyDescent="0.25">
      <c r="A3" s="23"/>
      <c r="B3" s="23"/>
      <c r="C3" s="23"/>
      <c r="D3" s="23"/>
      <c r="E3" s="23"/>
      <c r="F3" s="31"/>
      <c r="G3" s="31"/>
      <c r="H3" s="31"/>
      <c r="I3" s="31"/>
    </row>
    <row r="4" spans="1:10" ht="24.75" customHeight="1" thickBot="1" x14ac:dyDescent="0.3">
      <c r="A4" s="317"/>
      <c r="B4" s="317"/>
      <c r="C4" s="317"/>
      <c r="D4" s="317"/>
      <c r="E4" s="317"/>
      <c r="F4" s="317"/>
      <c r="G4" s="317"/>
      <c r="H4" s="317"/>
      <c r="I4" s="32"/>
    </row>
    <row r="5" spans="1:10" ht="19.5" customHeight="1" thickBot="1" x14ac:dyDescent="0.3">
      <c r="A5" s="318" t="s">
        <v>51</v>
      </c>
      <c r="B5" s="319"/>
      <c r="C5" s="319"/>
      <c r="D5" s="319"/>
      <c r="E5" s="319"/>
      <c r="F5" s="319"/>
      <c r="G5" s="319"/>
      <c r="H5" s="320"/>
      <c r="I5" s="33"/>
    </row>
    <row r="6" spans="1:10" ht="18" thickBot="1" x14ac:dyDescent="0.3">
      <c r="A6" s="33"/>
      <c r="B6" s="33"/>
      <c r="C6" s="33"/>
      <c r="D6" s="33"/>
      <c r="E6" s="33"/>
      <c r="F6" s="321" t="s">
        <v>52</v>
      </c>
      <c r="G6" s="321"/>
      <c r="H6" s="34">
        <f ca="1">TODAY()</f>
        <v>45742</v>
      </c>
      <c r="I6" s="34"/>
    </row>
    <row r="7" spans="1:10" ht="40.200000000000003" hidden="1" thickBot="1" x14ac:dyDescent="0.3">
      <c r="A7" s="35" t="s">
        <v>53</v>
      </c>
      <c r="B7" s="36" t="s">
        <v>54</v>
      </c>
      <c r="C7" s="36" t="s">
        <v>53</v>
      </c>
      <c r="D7" s="37" t="s">
        <v>55</v>
      </c>
      <c r="E7" s="37" t="s">
        <v>56</v>
      </c>
      <c r="F7" s="37" t="s">
        <v>57</v>
      </c>
      <c r="G7" s="37" t="s">
        <v>58</v>
      </c>
      <c r="H7" s="38" t="s">
        <v>59</v>
      </c>
      <c r="I7" s="39"/>
    </row>
    <row r="8" spans="1:10" ht="13.8" hidden="1" x14ac:dyDescent="0.3">
      <c r="A8" s="40"/>
      <c r="B8" s="28" t="str">
        <f>IFERROR(VLOOKUP(H8,'[1]Consolidado MP Planta'!$A$2:$M$823,3,0),"")</f>
        <v/>
      </c>
      <c r="C8" s="41">
        <f>+A8</f>
        <v>0</v>
      </c>
      <c r="D8" s="42" t="str">
        <f>IFERROR(VLOOKUP(H8,'[1]Consolidado MP Planta'!$A$2:$M$823,13,0),"")</f>
        <v/>
      </c>
      <c r="E8" s="42" t="str">
        <f>IFERROR(VLOOKUP(H8,'[1]Consolidado MP Planta'!$A$2:$M$823,12,0),"")</f>
        <v/>
      </c>
      <c r="F8" s="42" t="str">
        <f>IFERROR(C8*E8,"")</f>
        <v/>
      </c>
      <c r="G8" s="43" t="str">
        <f t="shared" ref="G8:G14" si="0">IFERROR(F8/$F$66,"")</f>
        <v/>
      </c>
      <c r="H8" s="44"/>
      <c r="I8" s="44"/>
      <c r="J8" s="45"/>
    </row>
    <row r="9" spans="1:10" ht="13.8" hidden="1" x14ac:dyDescent="0.3">
      <c r="A9" s="40"/>
      <c r="B9" s="28" t="str">
        <f>IFERROR(VLOOKUP(H9,'[1]Consolidado MP Planta'!$A$2:$M$823,3,0),"")</f>
        <v/>
      </c>
      <c r="C9" s="41">
        <f t="shared" ref="C9:C14" si="1">+A9</f>
        <v>0</v>
      </c>
      <c r="D9" s="42" t="str">
        <f>IFERROR(VLOOKUP(H9,'[1]Consolidado MP Planta'!$A$2:$M$823,13,0),"")</f>
        <v/>
      </c>
      <c r="E9" s="42" t="str">
        <f>IFERROR(VLOOKUP(H9,'[1]Consolidado MP Planta'!$A$2:$M$823,12,0),"")</f>
        <v/>
      </c>
      <c r="F9" s="42" t="str">
        <f t="shared" ref="F9:F14" si="2">IFERROR(C9*E9,"")</f>
        <v/>
      </c>
      <c r="G9" s="43" t="str">
        <f t="shared" si="0"/>
        <v/>
      </c>
      <c r="H9" s="44"/>
      <c r="I9" s="44"/>
      <c r="J9" s="45"/>
    </row>
    <row r="10" spans="1:10" ht="13.8" hidden="1" x14ac:dyDescent="0.3">
      <c r="A10" s="40"/>
      <c r="B10" s="28" t="str">
        <f>IFERROR(VLOOKUP(H10,'[1]Consolidado MP Planta'!$A$2:$M$823,3,0),"")</f>
        <v/>
      </c>
      <c r="C10" s="41">
        <f t="shared" si="1"/>
        <v>0</v>
      </c>
      <c r="D10" s="42" t="str">
        <f>IFERROR(VLOOKUP(H10,'[1]Consolidado MP Planta'!$A$2:$M$823,13,0),"")</f>
        <v/>
      </c>
      <c r="E10" s="42" t="str">
        <f>IFERROR(VLOOKUP(H10,'[1]Consolidado MP Planta'!$A$2:$M$823,12,0),"")</f>
        <v/>
      </c>
      <c r="F10" s="42" t="str">
        <f t="shared" si="2"/>
        <v/>
      </c>
      <c r="G10" s="43" t="str">
        <f t="shared" si="0"/>
        <v/>
      </c>
      <c r="H10" s="44"/>
      <c r="I10" s="44"/>
      <c r="J10" s="45"/>
    </row>
    <row r="11" spans="1:10" ht="13.8" hidden="1" x14ac:dyDescent="0.3">
      <c r="A11" s="40"/>
      <c r="B11" s="28" t="str">
        <f>IFERROR(VLOOKUP(H11,'[1]Consolidado MP Planta'!$A$2:$M$823,3,0),"")</f>
        <v/>
      </c>
      <c r="C11" s="41">
        <f t="shared" si="1"/>
        <v>0</v>
      </c>
      <c r="D11" s="42" t="str">
        <f>IFERROR(VLOOKUP(H11,'[1]Consolidado MP Planta'!$A$2:$M$823,13,0),"")</f>
        <v/>
      </c>
      <c r="E11" s="42" t="str">
        <f>IFERROR(VLOOKUP(H11,'[1]Consolidado MP Planta'!$A$2:$M$823,12,0),"")</f>
        <v/>
      </c>
      <c r="F11" s="42" t="str">
        <f t="shared" si="2"/>
        <v/>
      </c>
      <c r="G11" s="43" t="str">
        <f t="shared" si="0"/>
        <v/>
      </c>
      <c r="H11" s="44"/>
      <c r="I11" s="44"/>
      <c r="J11" s="45"/>
    </row>
    <row r="12" spans="1:10" ht="13.8" hidden="1" x14ac:dyDescent="0.3">
      <c r="A12" s="40"/>
      <c r="B12" s="28" t="str">
        <f>IFERROR(VLOOKUP(H12,'[1]Consolidado MP Planta'!$A$2:$M$823,3,0),"")</f>
        <v/>
      </c>
      <c r="C12" s="41">
        <f t="shared" si="1"/>
        <v>0</v>
      </c>
      <c r="D12" s="42" t="str">
        <f>IFERROR(VLOOKUP(H12,'[1]Consolidado MP Planta'!$A$2:$M$823,13,0),"")</f>
        <v/>
      </c>
      <c r="E12" s="42" t="str">
        <f>IFERROR(VLOOKUP(H12,'[1]Consolidado MP Planta'!$A$2:$M$823,12,0),"")</f>
        <v/>
      </c>
      <c r="F12" s="42" t="str">
        <f t="shared" si="2"/>
        <v/>
      </c>
      <c r="G12" s="43" t="str">
        <f t="shared" si="0"/>
        <v/>
      </c>
      <c r="H12" s="44"/>
      <c r="I12" s="44"/>
      <c r="J12" s="45"/>
    </row>
    <row r="13" spans="1:10" ht="13.8" hidden="1" x14ac:dyDescent="0.3">
      <c r="A13" s="40"/>
      <c r="B13" s="28" t="str">
        <f>IFERROR(VLOOKUP(H13,'[1]Consolidado MP Planta'!$A$2:$M$823,3,0),"")</f>
        <v/>
      </c>
      <c r="C13" s="41">
        <f t="shared" si="1"/>
        <v>0</v>
      </c>
      <c r="D13" s="42" t="str">
        <f>IFERROR(VLOOKUP(H13,'[1]Consolidado MP Planta'!$A$2:$M$823,13,0),"")</f>
        <v/>
      </c>
      <c r="E13" s="42" t="str">
        <f>IFERROR(VLOOKUP(H13,'[1]Consolidado MP Planta'!$A$2:$M$823,12,0),"")</f>
        <v/>
      </c>
      <c r="F13" s="42" t="str">
        <f t="shared" si="2"/>
        <v/>
      </c>
      <c r="G13" s="43" t="str">
        <f t="shared" si="0"/>
        <v/>
      </c>
      <c r="H13" s="44"/>
      <c r="I13" s="44"/>
      <c r="J13" s="45"/>
    </row>
    <row r="14" spans="1:10" ht="13.8" hidden="1" x14ac:dyDescent="0.3">
      <c r="A14" s="40"/>
      <c r="B14" s="28" t="str">
        <f>IFERROR(VLOOKUP(H14,'[1]Consolidado MP Planta'!$A$2:$M$823,3,0),"")</f>
        <v/>
      </c>
      <c r="C14" s="41">
        <f t="shared" si="1"/>
        <v>0</v>
      </c>
      <c r="D14" s="42" t="str">
        <f>IFERROR(VLOOKUP(H14,'[1]Consolidado MP Planta'!$A$2:$M$823,13,0),"")</f>
        <v/>
      </c>
      <c r="E14" s="42" t="str">
        <f>IFERROR(VLOOKUP(H14,'[1]Consolidado MP Planta'!$A$2:$M$823,12,0),"")</f>
        <v/>
      </c>
      <c r="F14" s="42" t="str">
        <f t="shared" si="2"/>
        <v/>
      </c>
      <c r="G14" s="43" t="str">
        <f t="shared" si="0"/>
        <v/>
      </c>
      <c r="H14" s="44"/>
      <c r="I14" s="44"/>
      <c r="J14" s="45"/>
    </row>
    <row r="15" spans="1:10" ht="14.4" hidden="1" thickBot="1" x14ac:dyDescent="0.35">
      <c r="A15" s="40"/>
      <c r="B15" s="28" t="str">
        <f>IFERROR(VLOOKUP(H15,'[2]ARTICULOS MP PLANTA'!$A$2:$G$589,2,0),"")</f>
        <v/>
      </c>
      <c r="C15" s="41"/>
      <c r="D15" s="42"/>
      <c r="E15" s="42"/>
      <c r="F15" s="42"/>
      <c r="G15" s="43"/>
      <c r="H15" s="44"/>
      <c r="I15" s="44"/>
      <c r="J15" s="45"/>
    </row>
    <row r="16" spans="1:10" ht="40.200000000000003" thickBot="1" x14ac:dyDescent="0.3">
      <c r="A16" s="35" t="s">
        <v>53</v>
      </c>
      <c r="B16" s="36" t="s">
        <v>60</v>
      </c>
      <c r="C16" s="36" t="s">
        <v>53</v>
      </c>
      <c r="D16" s="37" t="s">
        <v>55</v>
      </c>
      <c r="E16" s="37" t="s">
        <v>56</v>
      </c>
      <c r="F16" s="37" t="s">
        <v>57</v>
      </c>
      <c r="G16" s="37" t="s">
        <v>58</v>
      </c>
      <c r="H16" s="38" t="s">
        <v>59</v>
      </c>
      <c r="I16" s="39"/>
      <c r="J16" s="45"/>
    </row>
    <row r="17" spans="1:14" ht="13.8" x14ac:dyDescent="0.3">
      <c r="A17" s="40">
        <v>90</v>
      </c>
      <c r="B17" s="28" t="str">
        <f>IFERROR(VLOOKUP(H17,[1]SEMIELABORADOS!$A$2:$M$6000,2,0),"")</f>
        <v>PASTA P/PALITOS DE QUESO (KILO)</v>
      </c>
      <c r="C17" s="41">
        <f>+A17</f>
        <v>90</v>
      </c>
      <c r="D17" s="41" t="str">
        <f>IFERROR(VLOOKUP(H17,[1]SEMIELABORADOS!$A$2:$M$6000,6,0),"")</f>
        <v>Gramo</v>
      </c>
      <c r="E17" s="42">
        <v>3.7</v>
      </c>
      <c r="F17" s="42">
        <f>IFERROR(E17*C17,"")</f>
        <v>333</v>
      </c>
      <c r="G17" s="43">
        <f t="shared" ref="G17:G24" si="3">IFERROR(F17/$F$66,"")</f>
        <v>0.53757249695160336</v>
      </c>
      <c r="H17" s="44" t="s">
        <v>35</v>
      </c>
      <c r="I17" s="44"/>
      <c r="J17" s="45"/>
    </row>
    <row r="18" spans="1:14" ht="13.8" hidden="1" x14ac:dyDescent="0.3">
      <c r="A18" s="40"/>
      <c r="B18" s="28" t="str">
        <f>IFERROR(VLOOKUP(H18,[1]SEMIELABORADOS!$A$2:$M$6000,2,0),"")</f>
        <v/>
      </c>
      <c r="C18" s="41">
        <f t="shared" ref="C18:C24" si="4">+A18</f>
        <v>0</v>
      </c>
      <c r="D18" s="41" t="str">
        <f>IFERROR(VLOOKUP(H18,[1]SEMIELABORADOS!$A$2:$M$6000,6,0),"")</f>
        <v/>
      </c>
      <c r="E18" s="42" t="str">
        <f>IFERROR(VLOOKUP(H18,[1]SEMIELABORADOS!$A$2:$H$65536,8,0),"")</f>
        <v/>
      </c>
      <c r="F18" s="42" t="str">
        <f t="shared" ref="F18:F24" si="5">IFERROR(E18*C18,"")</f>
        <v/>
      </c>
      <c r="G18" s="43" t="str">
        <f t="shared" si="3"/>
        <v/>
      </c>
      <c r="H18" s="44"/>
      <c r="I18" s="44"/>
      <c r="J18" s="45"/>
    </row>
    <row r="19" spans="1:14" ht="13.8" hidden="1" x14ac:dyDescent="0.3">
      <c r="A19" s="40"/>
      <c r="B19" s="28" t="str">
        <f>IFERROR(VLOOKUP(H19,[1]SEMIELABORADOS!$A$2:$M$6000,2,0),"")</f>
        <v/>
      </c>
      <c r="C19" s="41">
        <f>+A19</f>
        <v>0</v>
      </c>
      <c r="D19" s="41" t="str">
        <f>IFERROR(VLOOKUP(H19,[1]SEMIELABORADOS!$A$2:$M$6000,6,0),"")</f>
        <v/>
      </c>
      <c r="E19" s="42" t="str">
        <f>IFERROR(VLOOKUP(H19,[1]SEMIELABORADOS!$A$2:$H$65536,8,0),"")</f>
        <v/>
      </c>
      <c r="F19" s="42" t="str">
        <f>IFERROR(E19*C19,"")</f>
        <v/>
      </c>
      <c r="G19" s="43" t="str">
        <f t="shared" si="3"/>
        <v/>
      </c>
      <c r="H19" s="44"/>
      <c r="I19" s="44"/>
      <c r="J19" s="45"/>
    </row>
    <row r="20" spans="1:14" ht="13.8" hidden="1" x14ac:dyDescent="0.3">
      <c r="A20" s="40"/>
      <c r="B20" s="28" t="str">
        <f>IFERROR(VLOOKUP(H20,[1]SEMIELABORADOS!$A$2:$M$6000,2,0),"")</f>
        <v/>
      </c>
      <c r="C20" s="41">
        <f>+A20</f>
        <v>0</v>
      </c>
      <c r="D20" s="41" t="str">
        <f>IFERROR(VLOOKUP(H20,[1]SEMIELABORADOS!$A$2:$M$6000,6,0),"")</f>
        <v/>
      </c>
      <c r="E20" s="42" t="str">
        <f>IFERROR(VLOOKUP(H20,[1]SEMIELABORADOS!$A$2:$H$65536,8,0),"")</f>
        <v/>
      </c>
      <c r="F20" s="42" t="str">
        <f>IFERROR(E20*C20,"")</f>
        <v/>
      </c>
      <c r="G20" s="43" t="str">
        <f t="shared" si="3"/>
        <v/>
      </c>
      <c r="H20" s="44"/>
      <c r="I20" s="44"/>
      <c r="J20" s="45"/>
    </row>
    <row r="21" spans="1:14" ht="13.8" hidden="1" x14ac:dyDescent="0.3">
      <c r="A21" s="40"/>
      <c r="B21" s="28" t="str">
        <f>IFERROR(VLOOKUP(H21,[1]SEMIELABORADOS!$A$2:$M$6000,2,0),"")</f>
        <v/>
      </c>
      <c r="C21" s="41">
        <f>+A21</f>
        <v>0</v>
      </c>
      <c r="D21" s="41" t="str">
        <f>IFERROR(VLOOKUP(H21,[1]SEMIELABORADOS!$A$2:$M$6000,6,0),"")</f>
        <v/>
      </c>
      <c r="E21" s="42" t="str">
        <f>IFERROR(VLOOKUP(H21,[1]SEMIELABORADOS!$A$2:$H$65536,8,0),"")</f>
        <v/>
      </c>
      <c r="F21" s="42" t="str">
        <f>IFERROR(E21*C21,"")</f>
        <v/>
      </c>
      <c r="G21" s="43" t="str">
        <f t="shared" si="3"/>
        <v/>
      </c>
      <c r="H21" s="44"/>
      <c r="I21" s="44"/>
      <c r="J21" s="45"/>
    </row>
    <row r="22" spans="1:14" ht="13.8" hidden="1" x14ac:dyDescent="0.3">
      <c r="A22" s="40"/>
      <c r="B22" s="28" t="str">
        <f>IFERROR(VLOOKUP(H22,[1]SEMIELABORADOS!$A$2:$M$6000,2,0),"")</f>
        <v/>
      </c>
      <c r="C22" s="41">
        <f t="shared" si="4"/>
        <v>0</v>
      </c>
      <c r="D22" s="41" t="str">
        <f>IFERROR(VLOOKUP(H22,[1]SEMIELABORADOS!$A$2:$M$6000,6,0),"")</f>
        <v/>
      </c>
      <c r="E22" s="42" t="str">
        <f>IFERROR(VLOOKUP(H22,[1]SEMIELABORADOS!$A$2:$H$65536,8,0),"")</f>
        <v/>
      </c>
      <c r="F22" s="42" t="str">
        <f t="shared" si="5"/>
        <v/>
      </c>
      <c r="G22" s="43" t="str">
        <f t="shared" si="3"/>
        <v/>
      </c>
      <c r="H22" s="44"/>
      <c r="I22" s="44"/>
      <c r="J22" s="45"/>
    </row>
    <row r="23" spans="1:14" ht="13.8" hidden="1" x14ac:dyDescent="0.3">
      <c r="A23" s="40"/>
      <c r="B23" s="28" t="str">
        <f>IFERROR(VLOOKUP(H23,[1]SEMIELABORADOS!$A$2:$M$6000,2,0),"")</f>
        <v/>
      </c>
      <c r="C23" s="41">
        <f t="shared" si="4"/>
        <v>0</v>
      </c>
      <c r="D23" s="41" t="str">
        <f>IFERROR(VLOOKUP(H23,[1]SEMIELABORADOS!$A$2:$M$6000,6,0),"")</f>
        <v/>
      </c>
      <c r="E23" s="42" t="str">
        <f>IFERROR(VLOOKUP(H23,[1]SEMIELABORADOS!$A$2:$H$65536,8,0),"")</f>
        <v/>
      </c>
      <c r="F23" s="42" t="str">
        <f t="shared" si="5"/>
        <v/>
      </c>
      <c r="G23" s="43" t="str">
        <f t="shared" si="3"/>
        <v/>
      </c>
      <c r="H23" s="44"/>
      <c r="I23" s="44"/>
      <c r="J23" s="45"/>
    </row>
    <row r="24" spans="1:14" ht="13.8" hidden="1" x14ac:dyDescent="0.3">
      <c r="A24" s="40"/>
      <c r="B24" s="28" t="str">
        <f>IFERROR(VLOOKUP(H24,[1]SEMIELABORADOS!$A$2:$M$6000,2,0),"")</f>
        <v/>
      </c>
      <c r="C24" s="41">
        <f t="shared" si="4"/>
        <v>0</v>
      </c>
      <c r="D24" s="41" t="str">
        <f>IFERROR(VLOOKUP(H24,[1]SEMIELABORADOS!$A$2:$M$6000,6,0),"")</f>
        <v/>
      </c>
      <c r="E24" s="42" t="str">
        <f>IFERROR(VLOOKUP(H24,[1]SEMIELABORADOS!$A$2:$H$65536,8,0),"")</f>
        <v/>
      </c>
      <c r="F24" s="42" t="str">
        <f t="shared" si="5"/>
        <v/>
      </c>
      <c r="G24" s="43" t="str">
        <f t="shared" si="3"/>
        <v/>
      </c>
      <c r="H24" s="44"/>
      <c r="I24" s="44"/>
      <c r="J24" s="45"/>
    </row>
    <row r="25" spans="1:14" ht="14.4" thickBot="1" x14ac:dyDescent="0.35">
      <c r="A25" s="40"/>
      <c r="C25" s="41"/>
      <c r="D25" s="41"/>
      <c r="E25" s="42"/>
      <c r="F25" s="42"/>
      <c r="G25" s="43"/>
      <c r="H25" s="44"/>
      <c r="I25" s="44"/>
      <c r="J25" s="45"/>
    </row>
    <row r="26" spans="1:14" ht="40.200000000000003" thickBot="1" x14ac:dyDescent="0.3">
      <c r="A26" s="35" t="s">
        <v>53</v>
      </c>
      <c r="B26" s="36" t="s">
        <v>25</v>
      </c>
      <c r="C26" s="36" t="s">
        <v>53</v>
      </c>
      <c r="D26" s="37" t="s">
        <v>55</v>
      </c>
      <c r="E26" s="37" t="s">
        <v>56</v>
      </c>
      <c r="F26" s="37" t="s">
        <v>57</v>
      </c>
      <c r="G26" s="37" t="s">
        <v>58</v>
      </c>
      <c r="H26" s="38" t="s">
        <v>59</v>
      </c>
      <c r="I26" s="39"/>
    </row>
    <row r="27" spans="1:14" ht="13.8" x14ac:dyDescent="0.3">
      <c r="A27" s="40">
        <v>1</v>
      </c>
      <c r="B27" s="46" t="s">
        <v>42</v>
      </c>
      <c r="C27" s="41">
        <f t="shared" ref="C27:C32" si="6">+A27</f>
        <v>1</v>
      </c>
      <c r="D27" s="42" t="s">
        <v>95</v>
      </c>
      <c r="E27" s="42">
        <v>170.83</v>
      </c>
      <c r="F27" s="42">
        <f t="shared" ref="F27:F32" si="7">IFERROR(C27*E27,"")</f>
        <v>170.83</v>
      </c>
      <c r="G27" s="43">
        <f t="shared" ref="G27:G32" si="8">IFERROR(F27/$F$66,"")</f>
        <v>0.27577630526799518</v>
      </c>
      <c r="H27" s="47" t="s">
        <v>41</v>
      </c>
      <c r="I27" s="47"/>
      <c r="J27" s="45"/>
      <c r="K27" s="314"/>
      <c r="L27" s="314"/>
      <c r="M27" s="28" t="s">
        <v>98</v>
      </c>
      <c r="N27" s="28">
        <f>0.27*632.72</f>
        <v>170.83440000000002</v>
      </c>
    </row>
    <row r="28" spans="1:14" ht="13.8" x14ac:dyDescent="0.3">
      <c r="A28" s="40">
        <v>1</v>
      </c>
      <c r="B28" s="46" t="str">
        <f>IFERROR(VLOOKUP(H28,'[1]Consolidado MP Planta'!$A$2:$M$823,3,0),"")</f>
        <v>BOLSA TRANSPARENTE 76X24X210 (KILO)</v>
      </c>
      <c r="C28" s="41">
        <f t="shared" si="6"/>
        <v>1</v>
      </c>
      <c r="D28" s="42" t="str">
        <f>IFERROR(VLOOKUP(H28,'[1]Consolidado MP Planta'!$A$2:$M$823,13,0),"")</f>
        <v>Und</v>
      </c>
      <c r="E28" s="42">
        <v>12.46</v>
      </c>
      <c r="F28" s="42">
        <f t="shared" si="7"/>
        <v>12.46</v>
      </c>
      <c r="G28" s="43">
        <f t="shared" si="8"/>
        <v>2.0114574510561496E-2</v>
      </c>
      <c r="H28" s="47" t="s">
        <v>96</v>
      </c>
      <c r="I28" s="47"/>
      <c r="J28" s="45"/>
      <c r="K28" s="314"/>
      <c r="L28" s="314"/>
    </row>
    <row r="29" spans="1:14" ht="13.8" x14ac:dyDescent="0.3">
      <c r="A29" s="40">
        <v>1</v>
      </c>
      <c r="B29" s="46" t="str">
        <f>IFERROR(VLOOKUP(H29,'[1]Consolidado MP Planta'!$A$2:$M$823,3,0),"")</f>
        <v>ETIQ.FECHA VENCIMIENTO VERDE (ROLLO)</v>
      </c>
      <c r="C29" s="41">
        <f t="shared" si="6"/>
        <v>1</v>
      </c>
      <c r="D29" s="42" t="str">
        <f>IFERROR(VLOOKUP(H29,'[1]Consolidado MP Planta'!$A$2:$M$823,13,0),"")</f>
        <v>Und</v>
      </c>
      <c r="E29" s="42">
        <f>IFERROR(VLOOKUP(H29,'[1]Consolidado MP Planta'!$A$2:$M$823,12,0),"")</f>
        <v>0.33333333333333331</v>
      </c>
      <c r="F29" s="42">
        <f t="shared" si="7"/>
        <v>0.33333333333333331</v>
      </c>
      <c r="G29" s="43">
        <f t="shared" si="8"/>
        <v>5.3811060755916244E-4</v>
      </c>
      <c r="H29" s="47" t="s">
        <v>28</v>
      </c>
      <c r="I29" s="47"/>
      <c r="J29" s="45"/>
      <c r="K29" s="314"/>
      <c r="L29" s="314"/>
    </row>
    <row r="30" spans="1:14" ht="13.8" x14ac:dyDescent="0.3">
      <c r="A30" s="40">
        <v>1</v>
      </c>
      <c r="B30" s="46" t="str">
        <f>IFERROR(VLOOKUP(H30,'[1]Consolidado MP Planta'!$A$2:$M$823,3,0),"")</f>
        <v>ETIQUETA BLANCA 2 5/8X1 15/16 (UND)</v>
      </c>
      <c r="C30" s="41">
        <f t="shared" si="6"/>
        <v>1</v>
      </c>
      <c r="D30" s="42" t="str">
        <f>IFERROR(VLOOKUP(H30,'[1]Consolidado MP Planta'!$A$2:$M$823,13,0),"")</f>
        <v>Und</v>
      </c>
      <c r="E30" s="42">
        <f>IFERROR(VLOOKUP(H30,'[1]Consolidado MP Planta'!$A$2:$M$823,12,0),"")</f>
        <v>2.1280000000000001</v>
      </c>
      <c r="F30" s="42">
        <f t="shared" si="7"/>
        <v>2.1280000000000001</v>
      </c>
      <c r="G30" s="43">
        <f t="shared" si="8"/>
        <v>3.4352981186576937E-3</v>
      </c>
      <c r="H30" s="47" t="s">
        <v>38</v>
      </c>
      <c r="I30" s="47"/>
      <c r="J30" s="45"/>
      <c r="K30" s="314"/>
      <c r="L30" s="314"/>
    </row>
    <row r="31" spans="1:14" ht="13.8" x14ac:dyDescent="0.3">
      <c r="A31" s="40">
        <v>1</v>
      </c>
      <c r="B31" s="46" t="s">
        <v>44</v>
      </c>
      <c r="C31" s="41">
        <f t="shared" si="6"/>
        <v>1</v>
      </c>
      <c r="D31" s="42" t="s">
        <v>95</v>
      </c>
      <c r="E31" s="42">
        <v>19</v>
      </c>
      <c r="F31" s="42">
        <f t="shared" si="7"/>
        <v>19</v>
      </c>
      <c r="G31" s="43">
        <f t="shared" si="8"/>
        <v>3.0672304630872262E-2</v>
      </c>
      <c r="H31" s="47" t="s">
        <v>97</v>
      </c>
      <c r="I31" s="47"/>
      <c r="J31" s="45"/>
      <c r="K31" s="48"/>
      <c r="L31" s="49"/>
    </row>
    <row r="32" spans="1:14" ht="13.8" x14ac:dyDescent="0.3">
      <c r="A32" s="40"/>
      <c r="B32" s="46" t="str">
        <f>IFERROR(VLOOKUP(H32,'[1]Consolidado MP Planta'!$A$2:$M$823,3,0),"")</f>
        <v/>
      </c>
      <c r="C32" s="41">
        <f t="shared" si="6"/>
        <v>0</v>
      </c>
      <c r="D32" s="42" t="str">
        <f>IFERROR(VLOOKUP(H32,'[1]Consolidado MP Planta'!$A$2:$M$823,13,0),"")</f>
        <v/>
      </c>
      <c r="E32" s="42" t="str">
        <f>IFERROR(VLOOKUP(H32,'[1]Consolidado MP Planta'!$A$2:$M$823,12,0),"")</f>
        <v/>
      </c>
      <c r="F32" s="42" t="str">
        <f t="shared" si="7"/>
        <v/>
      </c>
      <c r="G32" s="43" t="str">
        <f t="shared" si="8"/>
        <v/>
      </c>
      <c r="H32" s="47"/>
      <c r="I32" s="47"/>
      <c r="J32" s="45"/>
    </row>
    <row r="33" spans="1:13" ht="14.4" thickBot="1" x14ac:dyDescent="0.35">
      <c r="A33" s="40"/>
      <c r="B33" s="46"/>
      <c r="C33" s="41"/>
      <c r="D33" s="42"/>
      <c r="E33" s="42"/>
      <c r="F33" s="42"/>
      <c r="G33" s="43"/>
      <c r="H33" s="47"/>
      <c r="I33" s="47"/>
      <c r="J33" s="45"/>
    </row>
    <row r="34" spans="1:13" ht="40.200000000000003" thickBot="1" x14ac:dyDescent="0.3">
      <c r="A34" s="35" t="s">
        <v>53</v>
      </c>
      <c r="B34" s="36" t="s">
        <v>61</v>
      </c>
      <c r="C34" s="36" t="s">
        <v>53</v>
      </c>
      <c r="D34" s="37" t="s">
        <v>55</v>
      </c>
      <c r="E34" s="37" t="s">
        <v>56</v>
      </c>
      <c r="F34" s="37" t="s">
        <v>57</v>
      </c>
      <c r="G34" s="37" t="s">
        <v>58</v>
      </c>
      <c r="H34" s="38" t="s">
        <v>59</v>
      </c>
      <c r="I34" s="47"/>
      <c r="J34" s="45"/>
    </row>
    <row r="35" spans="1:13" ht="13.8" x14ac:dyDescent="0.3">
      <c r="A35" s="40">
        <f>+A17</f>
        <v>90</v>
      </c>
      <c r="B35" s="46" t="str">
        <f>IFERROR(VLOOKUP(H35,[1]SEMIELABORADOS!$A$2:$M$6000,2,0),"")</f>
        <v>PASTA P/PALITOS DE QUESO (KILO)</v>
      </c>
      <c r="C35" s="41">
        <f>+A35</f>
        <v>90</v>
      </c>
      <c r="D35" s="42" t="str">
        <f>IFERROR(VLOOKUP(H35,[1]SEMIELABORADOS!$A$2:$M$6000,6,0),"")</f>
        <v>Gramo</v>
      </c>
      <c r="E35" s="42">
        <v>0.03</v>
      </c>
      <c r="F35" s="42">
        <f>IFERROR(E35*C35,"")</f>
        <v>2.6999999999999997</v>
      </c>
      <c r="G35" s="43">
        <f t="shared" ref="G35:G41" si="9">IFERROR(F35/$F$66,"")</f>
        <v>4.3586959212292154E-3</v>
      </c>
      <c r="H35" s="47" t="s">
        <v>35</v>
      </c>
      <c r="I35" s="47"/>
      <c r="J35" s="45"/>
    </row>
    <row r="36" spans="1:13" ht="13.8" hidden="1" x14ac:dyDescent="0.3">
      <c r="A36" s="40">
        <f t="shared" ref="A36:A41" si="10">+A18</f>
        <v>0</v>
      </c>
      <c r="B36" s="46" t="str">
        <f>IFERROR(VLOOKUP(H36,[1]SEMIELABORADOS!$A$2:$M$6000,2,0),"")</f>
        <v/>
      </c>
      <c r="C36" s="41">
        <f t="shared" ref="C36:C41" si="11">+A36</f>
        <v>0</v>
      </c>
      <c r="D36" s="42" t="str">
        <f>IFERROR(VLOOKUP(H36,[1]SEMIELABORADOS!$A$2:$M$6000,6,0),"")</f>
        <v/>
      </c>
      <c r="E36" s="42" t="str">
        <f>IFERROR(VLOOKUP(H36,[1]SEMIELABORADOS!$A$2:$M$65536,10,0),"")</f>
        <v/>
      </c>
      <c r="F36" s="42" t="str">
        <f t="shared" ref="F36:F41" si="12">IFERROR(E36*C36,"")</f>
        <v/>
      </c>
      <c r="G36" s="43" t="str">
        <f t="shared" si="9"/>
        <v/>
      </c>
      <c r="H36" s="47"/>
      <c r="I36" s="47"/>
      <c r="J36" s="45"/>
    </row>
    <row r="37" spans="1:13" ht="13.8" hidden="1" x14ac:dyDescent="0.3">
      <c r="A37" s="40">
        <f t="shared" si="10"/>
        <v>0</v>
      </c>
      <c r="B37" s="46" t="str">
        <f>IFERROR(VLOOKUP(H37,[1]SEMIELABORADOS!$A$2:$M$6000,2,0),"")</f>
        <v/>
      </c>
      <c r="C37" s="41">
        <f t="shared" si="11"/>
        <v>0</v>
      </c>
      <c r="D37" s="42" t="str">
        <f>IFERROR(VLOOKUP(H37,[1]SEMIELABORADOS!$A$2:$M$6000,6,0),"")</f>
        <v/>
      </c>
      <c r="E37" s="42" t="str">
        <f>IFERROR(VLOOKUP(H37,[1]SEMIELABORADOS!$A$2:$M$65536,10,0),"")</f>
        <v/>
      </c>
      <c r="F37" s="42" t="str">
        <f t="shared" si="12"/>
        <v/>
      </c>
      <c r="G37" s="43" t="str">
        <f t="shared" si="9"/>
        <v/>
      </c>
      <c r="H37" s="47"/>
      <c r="I37" s="47"/>
      <c r="J37" s="45"/>
    </row>
    <row r="38" spans="1:13" ht="13.8" hidden="1" x14ac:dyDescent="0.3">
      <c r="A38" s="40">
        <f t="shared" si="10"/>
        <v>0</v>
      </c>
      <c r="B38" s="46" t="str">
        <f>IFERROR(VLOOKUP(H38,[1]SEMIELABORADOS!$A$2:$M$6000,2,0),"")</f>
        <v/>
      </c>
      <c r="C38" s="41">
        <f>+A38</f>
        <v>0</v>
      </c>
      <c r="D38" s="42" t="str">
        <f>IFERROR(VLOOKUP(H38,[1]SEMIELABORADOS!$A$2:$M$6000,6,0),"")</f>
        <v/>
      </c>
      <c r="E38" s="42" t="str">
        <f>IFERROR(VLOOKUP(H38,[1]SEMIELABORADOS!$A$2:$M$65536,10,0),"")</f>
        <v/>
      </c>
      <c r="F38" s="42" t="str">
        <f>IFERROR(E38*C38,"")</f>
        <v/>
      </c>
      <c r="G38" s="43" t="str">
        <f t="shared" si="9"/>
        <v/>
      </c>
      <c r="H38" s="47"/>
      <c r="I38" s="47"/>
      <c r="J38" s="45"/>
    </row>
    <row r="39" spans="1:13" ht="13.8" hidden="1" x14ac:dyDescent="0.3">
      <c r="A39" s="40">
        <f t="shared" si="10"/>
        <v>0</v>
      </c>
      <c r="B39" s="46" t="str">
        <f>IFERROR(VLOOKUP(H39,[1]SEMIELABORADOS!$A$2:$M$6000,2,0),"")</f>
        <v/>
      </c>
      <c r="C39" s="41">
        <f>+A39</f>
        <v>0</v>
      </c>
      <c r="D39" s="42" t="str">
        <f>IFERROR(VLOOKUP(H39,[1]SEMIELABORADOS!$A$2:$M$6000,6,0),"")</f>
        <v/>
      </c>
      <c r="E39" s="42" t="str">
        <f>IFERROR(VLOOKUP(H39,[1]SEMIELABORADOS!$A$2:$M$65536,10,0),"")</f>
        <v/>
      </c>
      <c r="F39" s="42" t="str">
        <f>IFERROR(E39*C39,"")</f>
        <v/>
      </c>
      <c r="G39" s="43" t="str">
        <f t="shared" si="9"/>
        <v/>
      </c>
      <c r="H39" s="47"/>
      <c r="I39" s="47"/>
      <c r="J39" s="45"/>
    </row>
    <row r="40" spans="1:13" ht="13.8" hidden="1" x14ac:dyDescent="0.3">
      <c r="A40" s="40">
        <f t="shared" si="10"/>
        <v>0</v>
      </c>
      <c r="B40" s="46" t="str">
        <f>IFERROR(VLOOKUP(H40,[1]SEMIELABORADOS!$A$2:$M$6000,2,0),"")</f>
        <v/>
      </c>
      <c r="C40" s="41">
        <f t="shared" si="11"/>
        <v>0</v>
      </c>
      <c r="D40" s="42" t="str">
        <f>IFERROR(VLOOKUP(H40,[1]SEMIELABORADOS!$A$2:$M$6000,6,0),"")</f>
        <v/>
      </c>
      <c r="E40" s="42" t="str">
        <f>IFERROR(VLOOKUP(H40,[1]SEMIELABORADOS!$A$2:$M$65536,10,0),"")</f>
        <v/>
      </c>
      <c r="F40" s="42" t="str">
        <f t="shared" si="12"/>
        <v/>
      </c>
      <c r="G40" s="43" t="str">
        <f t="shared" si="9"/>
        <v/>
      </c>
      <c r="H40" s="47"/>
      <c r="I40" s="47"/>
      <c r="J40" s="45"/>
    </row>
    <row r="41" spans="1:13" ht="13.8" hidden="1" x14ac:dyDescent="0.3">
      <c r="A41" s="40">
        <f t="shared" si="10"/>
        <v>0</v>
      </c>
      <c r="B41" s="46" t="str">
        <f>IFERROR(VLOOKUP(H41,[1]SEMIELABORADOS!$A$2:$M$6000,2,0),"")</f>
        <v/>
      </c>
      <c r="C41" s="41">
        <f t="shared" si="11"/>
        <v>0</v>
      </c>
      <c r="D41" s="42" t="str">
        <f>IFERROR(VLOOKUP(H41,[1]SEMIELABORADOS!$A$2:$M$6000,6,0),"")</f>
        <v/>
      </c>
      <c r="E41" s="42" t="str">
        <f>IFERROR(VLOOKUP(H41,[1]SEMIELABORADOS!$A$2:$M$65536,10,0),"")</f>
        <v/>
      </c>
      <c r="F41" s="42" t="str">
        <f t="shared" si="12"/>
        <v/>
      </c>
      <c r="G41" s="43" t="str">
        <f t="shared" si="9"/>
        <v/>
      </c>
      <c r="H41" s="47"/>
      <c r="I41" s="47"/>
      <c r="J41" s="45"/>
    </row>
    <row r="42" spans="1:13" ht="14.4" thickBot="1" x14ac:dyDescent="0.35">
      <c r="A42" s="40"/>
      <c r="B42" s="46"/>
      <c r="C42" s="41"/>
      <c r="D42" s="42"/>
      <c r="E42" s="42"/>
      <c r="F42" s="42"/>
      <c r="G42" s="43"/>
      <c r="H42" s="47"/>
      <c r="I42" s="47"/>
      <c r="J42" s="45"/>
    </row>
    <row r="43" spans="1:13" ht="40.200000000000003" thickBot="1" x14ac:dyDescent="0.3">
      <c r="A43" s="35" t="s">
        <v>53</v>
      </c>
      <c r="B43" s="36" t="s">
        <v>62</v>
      </c>
      <c r="C43" s="36" t="s">
        <v>53</v>
      </c>
      <c r="D43" s="37" t="s">
        <v>55</v>
      </c>
      <c r="E43" s="37" t="s">
        <v>56</v>
      </c>
      <c r="F43" s="37" t="s">
        <v>57</v>
      </c>
      <c r="G43" s="37" t="s">
        <v>58</v>
      </c>
      <c r="H43" s="38" t="s">
        <v>59</v>
      </c>
      <c r="I43" s="39"/>
      <c r="J43" s="45"/>
    </row>
    <row r="44" spans="1:13" ht="13.8" x14ac:dyDescent="0.3">
      <c r="A44" s="40">
        <f>+A35</f>
        <v>90</v>
      </c>
      <c r="B44" s="46" t="str">
        <f>IFERROR(VLOOKUP(H44,[1]SEMIELABORADOS!$A$2:$M$6000,2,0),"")</f>
        <v>PASTA P/PALITOS DE QUESO (KILO)</v>
      </c>
      <c r="C44" s="41">
        <f>+A44</f>
        <v>90</v>
      </c>
      <c r="D44" s="42" t="str">
        <f>IFERROR(VLOOKUP(H44,[1]SEMIELABORADOS!$A$2:$M$6000,6,0),"")</f>
        <v>Gramo</v>
      </c>
      <c r="E44" s="42">
        <f>IFERROR(VLOOKUP(H44,[1]SEMIELABORADOS!$A$2:$M$65536,12,0),"")</f>
        <v>0.92036318270757156</v>
      </c>
      <c r="F44" s="42">
        <f>IFERROR(E44*C44,"")</f>
        <v>82.832686443681439</v>
      </c>
      <c r="G44" s="43">
        <f>IFERROR(F44/$F$66,"")</f>
        <v>0.13371944168390107</v>
      </c>
      <c r="H44" s="47" t="s">
        <v>35</v>
      </c>
      <c r="I44" s="39"/>
      <c r="J44" s="45"/>
    </row>
    <row r="45" spans="1:13" ht="13.8" hidden="1" x14ac:dyDescent="0.3">
      <c r="A45" s="40">
        <f t="shared" ref="A45:A50" si="13">+A36</f>
        <v>0</v>
      </c>
      <c r="B45" s="46" t="str">
        <f>IFERROR(VLOOKUP(H45,[1]SEMIELABORADOS!$A$2:$M$6000,2,0),"")</f>
        <v/>
      </c>
      <c r="C45" s="41">
        <f t="shared" ref="C45:C50" si="14">+A45</f>
        <v>0</v>
      </c>
      <c r="D45" s="42" t="str">
        <f>IFERROR(VLOOKUP(H45,[1]SEMIELABORADOS!$A$2:$M$6000,6,0),"")</f>
        <v/>
      </c>
      <c r="E45" s="42" t="str">
        <f>IFERROR(VLOOKUP(H45,[1]SEMIELABORADOS!$A$2:$M$65536,12,0),"")</f>
        <v/>
      </c>
      <c r="F45" s="42" t="str">
        <f t="shared" ref="F45:F50" si="15">IFERROR(E45*C45,"")</f>
        <v/>
      </c>
      <c r="G45" s="43" t="str">
        <f t="shared" ref="G45:G50" si="16">IFERROR(F45/$F$66,"")</f>
        <v/>
      </c>
      <c r="H45" s="47"/>
      <c r="I45" s="39"/>
      <c r="J45" s="45"/>
      <c r="M45" s="50"/>
    </row>
    <row r="46" spans="1:13" ht="13.8" hidden="1" x14ac:dyDescent="0.3">
      <c r="A46" s="40">
        <f t="shared" si="13"/>
        <v>0</v>
      </c>
      <c r="B46" s="46" t="str">
        <f>IFERROR(VLOOKUP(H46,[1]SEMIELABORADOS!$A$2:$M$6000,2,0),"")</f>
        <v/>
      </c>
      <c r="C46" s="41">
        <f t="shared" si="14"/>
        <v>0</v>
      </c>
      <c r="D46" s="42" t="str">
        <f>IFERROR(VLOOKUP(H46,[1]SEMIELABORADOS!$A$2:$M$6000,6,0),"")</f>
        <v/>
      </c>
      <c r="E46" s="42" t="str">
        <f>IFERROR(VLOOKUP(H46,[1]SEMIELABORADOS!$A$2:$M$65536,12,0),"")</f>
        <v/>
      </c>
      <c r="F46" s="42" t="str">
        <f t="shared" si="15"/>
        <v/>
      </c>
      <c r="G46" s="43" t="str">
        <f t="shared" si="16"/>
        <v/>
      </c>
      <c r="H46" s="47"/>
      <c r="I46" s="39"/>
      <c r="J46" s="45"/>
    </row>
    <row r="47" spans="1:13" ht="13.8" hidden="1" x14ac:dyDescent="0.3">
      <c r="A47" s="40">
        <f t="shared" si="13"/>
        <v>0</v>
      </c>
      <c r="B47" s="46" t="str">
        <f>IFERROR(VLOOKUP(H47,[1]SEMIELABORADOS!$A$2:$M$6000,2,0),"")</f>
        <v/>
      </c>
      <c r="C47" s="41">
        <f t="shared" si="14"/>
        <v>0</v>
      </c>
      <c r="D47" s="42" t="str">
        <f>IFERROR(VLOOKUP(H47,[1]SEMIELABORADOS!$A$2:$M$6000,6,0),"")</f>
        <v/>
      </c>
      <c r="E47" s="42" t="str">
        <f>IFERROR(VLOOKUP(H47,[1]SEMIELABORADOS!$A$2:$M$65536,12,0),"")</f>
        <v/>
      </c>
      <c r="F47" s="42" t="str">
        <f t="shared" si="15"/>
        <v/>
      </c>
      <c r="G47" s="43" t="str">
        <f t="shared" si="16"/>
        <v/>
      </c>
      <c r="H47" s="47"/>
      <c r="I47" s="39"/>
      <c r="J47" s="45"/>
    </row>
    <row r="48" spans="1:13" ht="13.8" hidden="1" x14ac:dyDescent="0.3">
      <c r="A48" s="40">
        <f t="shared" si="13"/>
        <v>0</v>
      </c>
      <c r="B48" s="46" t="str">
        <f>IFERROR(VLOOKUP(H48,[1]SEMIELABORADOS!$A$2:$M$6000,2,0),"")</f>
        <v/>
      </c>
      <c r="C48" s="41">
        <f t="shared" si="14"/>
        <v>0</v>
      </c>
      <c r="D48" s="42" t="str">
        <f>IFERROR(VLOOKUP(H48,[1]SEMIELABORADOS!$A$2:$M$6000,6,0),"")</f>
        <v/>
      </c>
      <c r="E48" s="42" t="str">
        <f>IFERROR(VLOOKUP(H48,[1]SEMIELABORADOS!$A$2:$M$65536,12,0),"")</f>
        <v/>
      </c>
      <c r="F48" s="42" t="str">
        <f t="shared" si="15"/>
        <v/>
      </c>
      <c r="G48" s="43" t="str">
        <f t="shared" si="16"/>
        <v/>
      </c>
      <c r="H48" s="47"/>
      <c r="I48" s="39"/>
      <c r="J48" s="45"/>
    </row>
    <row r="49" spans="1:17" ht="13.8" hidden="1" x14ac:dyDescent="0.3">
      <c r="A49" s="40">
        <f t="shared" si="13"/>
        <v>0</v>
      </c>
      <c r="B49" s="46" t="str">
        <f>IFERROR(VLOOKUP(H49,[1]SEMIELABORADOS!$A$2:$M$6000,2,0),"")</f>
        <v/>
      </c>
      <c r="C49" s="41">
        <f t="shared" si="14"/>
        <v>0</v>
      </c>
      <c r="D49" s="42" t="str">
        <f>IFERROR(VLOOKUP(H49,[1]SEMIELABORADOS!$A$2:$M$6000,6,0),"")</f>
        <v/>
      </c>
      <c r="E49" s="42" t="str">
        <f>IFERROR(VLOOKUP(H49,[1]SEMIELABORADOS!$A$2:$M$65536,12,0),"")</f>
        <v/>
      </c>
      <c r="F49" s="42" t="str">
        <f t="shared" si="15"/>
        <v/>
      </c>
      <c r="G49" s="43" t="str">
        <f t="shared" si="16"/>
        <v/>
      </c>
      <c r="H49" s="47"/>
      <c r="I49" s="39"/>
      <c r="J49" s="45"/>
    </row>
    <row r="50" spans="1:17" ht="13.8" hidden="1" x14ac:dyDescent="0.3">
      <c r="A50" s="40">
        <f t="shared" si="13"/>
        <v>0</v>
      </c>
      <c r="B50" s="46" t="str">
        <f>IFERROR(VLOOKUP(H50,[1]SEMIELABORADOS!$A$2:$M$6000,2,0),"")</f>
        <v/>
      </c>
      <c r="C50" s="41">
        <f t="shared" si="14"/>
        <v>0</v>
      </c>
      <c r="D50" s="42" t="str">
        <f>IFERROR(VLOOKUP(H50,[1]SEMIELABORADOS!$A$2:$M$6000,6,0),"")</f>
        <v/>
      </c>
      <c r="E50" s="42" t="str">
        <f>IFERROR(VLOOKUP(H50,[1]SEMIELABORADOS!$A$2:$M$65536,12,0),"")</f>
        <v/>
      </c>
      <c r="F50" s="42" t="str">
        <f t="shared" si="15"/>
        <v/>
      </c>
      <c r="G50" s="43" t="str">
        <f t="shared" si="16"/>
        <v/>
      </c>
      <c r="H50" s="46"/>
      <c r="I50" s="39"/>
      <c r="J50" s="45"/>
    </row>
    <row r="51" spans="1:17" ht="13.8" x14ac:dyDescent="0.3">
      <c r="A51" s="40">
        <v>1</v>
      </c>
      <c r="B51" s="46" t="s">
        <v>63</v>
      </c>
      <c r="C51" s="41">
        <f>+A51</f>
        <v>1</v>
      </c>
      <c r="D51" s="41" t="s">
        <v>64</v>
      </c>
      <c r="E51" s="42">
        <f>+F65</f>
        <v>55</v>
      </c>
      <c r="F51" s="42">
        <f>IFERROR(C51*E51,"")</f>
        <v>55</v>
      </c>
      <c r="G51" s="43">
        <f>IFERROR(F51/$F$66,"")</f>
        <v>8.8788250247261807E-2</v>
      </c>
      <c r="H51" s="51"/>
      <c r="I51" s="51"/>
      <c r="J51" s="45"/>
    </row>
    <row r="52" spans="1:17" ht="14.4" thickBot="1" x14ac:dyDescent="0.35">
      <c r="A52" s="40"/>
      <c r="B52" s="46"/>
      <c r="C52" s="41"/>
      <c r="D52" s="41"/>
      <c r="E52" s="42"/>
      <c r="F52" s="42"/>
      <c r="G52" s="43"/>
      <c r="H52" s="51"/>
      <c r="I52" s="51"/>
      <c r="J52" s="45"/>
    </row>
    <row r="53" spans="1:17" ht="13.8" thickBot="1" x14ac:dyDescent="0.3">
      <c r="A53" s="52"/>
      <c r="B53" s="311" t="s">
        <v>65</v>
      </c>
      <c r="C53" s="311"/>
      <c r="D53" s="311"/>
      <c r="E53" s="311"/>
      <c r="F53" s="54">
        <v>350</v>
      </c>
      <c r="G53" s="43">
        <f>+F53/$F$66</f>
        <v>0.56501613793712058</v>
      </c>
      <c r="H53" s="55">
        <v>350</v>
      </c>
      <c r="I53" s="55"/>
      <c r="J53" s="56"/>
      <c r="K53" s="57"/>
      <c r="L53" s="57"/>
      <c r="M53" s="57"/>
      <c r="N53" s="57"/>
      <c r="O53" s="57"/>
      <c r="P53" s="57"/>
      <c r="Q53" s="58"/>
    </row>
    <row r="54" spans="1:17" x14ac:dyDescent="0.25">
      <c r="A54" s="52"/>
      <c r="B54" s="311" t="s">
        <v>66</v>
      </c>
      <c r="C54" s="311"/>
      <c r="D54" s="311"/>
      <c r="E54" s="311"/>
      <c r="F54" s="54">
        <f>SUM(F27:F32,F35:F41)</f>
        <v>207.45133333333337</v>
      </c>
      <c r="G54" s="43">
        <f>+F54/$F$66</f>
        <v>0.33489528905687505</v>
      </c>
      <c r="H54" s="55">
        <f>+F54/$D$60</f>
        <v>207.45133333333337</v>
      </c>
      <c r="I54" s="55"/>
      <c r="J54" s="59"/>
      <c r="K54" s="315" t="s">
        <v>67</v>
      </c>
      <c r="L54" s="316"/>
      <c r="M54" s="316"/>
      <c r="N54" s="316"/>
      <c r="O54" s="60">
        <f>+F55</f>
        <v>557.45133333333342</v>
      </c>
      <c r="P54" s="60"/>
      <c r="Q54" s="61"/>
    </row>
    <row r="55" spans="1:17" x14ac:dyDescent="0.25">
      <c r="A55" s="52"/>
      <c r="B55" s="311" t="s">
        <v>68</v>
      </c>
      <c r="C55" s="311"/>
      <c r="D55" s="311"/>
      <c r="E55" s="311"/>
      <c r="F55" s="54">
        <f>+F53+F54</f>
        <v>557.45133333333342</v>
      </c>
      <c r="G55" s="43">
        <f>+F55/$F$66</f>
        <v>0.89991142699399573</v>
      </c>
      <c r="H55" s="55">
        <f>+F55/$D$60</f>
        <v>557.45133333333342</v>
      </c>
      <c r="I55" s="55"/>
      <c r="J55" s="62"/>
      <c r="K55" s="63"/>
      <c r="M55" s="64" t="s">
        <v>69</v>
      </c>
      <c r="N55" s="65"/>
      <c r="O55" s="60">
        <v>80</v>
      </c>
      <c r="P55" s="60"/>
      <c r="Q55" s="61"/>
    </row>
    <row r="56" spans="1:17" ht="13.8" thickBot="1" x14ac:dyDescent="0.3">
      <c r="A56" s="52"/>
      <c r="B56" s="53"/>
      <c r="C56" s="311" t="s">
        <v>70</v>
      </c>
      <c r="D56" s="311"/>
      <c r="E56" s="311"/>
      <c r="F56" s="54">
        <f>SUM(F44:F51)</f>
        <v>137.83268644368144</v>
      </c>
      <c r="G56" s="43">
        <f>+F56/$F$66</f>
        <v>0.22250769193116288</v>
      </c>
      <c r="H56" s="55">
        <f>+F56/$D$60</f>
        <v>137.83268644368144</v>
      </c>
      <c r="I56" s="55"/>
      <c r="J56" s="62"/>
      <c r="K56" s="63"/>
      <c r="L56" s="63"/>
      <c r="M56" s="63" t="s">
        <v>71</v>
      </c>
      <c r="N56" s="66"/>
      <c r="O56" s="60">
        <f>O54*N56</f>
        <v>0</v>
      </c>
      <c r="P56" s="60"/>
      <c r="Q56" s="61"/>
    </row>
    <row r="57" spans="1:17" ht="13.8" thickBot="1" x14ac:dyDescent="0.25">
      <c r="A57" s="52"/>
      <c r="B57" s="67"/>
      <c r="C57" s="67"/>
      <c r="D57" s="67"/>
      <c r="E57" s="67"/>
      <c r="F57" s="68"/>
      <c r="G57" s="43"/>
      <c r="H57" s="69"/>
      <c r="I57" s="55"/>
      <c r="J57" s="62"/>
      <c r="K57" s="70"/>
      <c r="M57" s="71" t="s">
        <v>72</v>
      </c>
      <c r="N57" s="72"/>
      <c r="O57" s="73">
        <f>SUM(O54:O56)</f>
        <v>637.45133333333342</v>
      </c>
      <c r="P57" s="74"/>
      <c r="Q57" s="61"/>
    </row>
    <row r="58" spans="1:17" x14ac:dyDescent="0.25">
      <c r="B58" s="313" t="s">
        <v>73</v>
      </c>
      <c r="C58" s="313"/>
      <c r="D58" s="75">
        <v>80</v>
      </c>
      <c r="E58" s="76"/>
      <c r="G58" s="43"/>
      <c r="H58" s="69"/>
      <c r="I58" s="77"/>
      <c r="J58" s="62"/>
      <c r="K58" s="70"/>
      <c r="L58" s="63"/>
      <c r="M58" s="63" t="s">
        <v>74</v>
      </c>
      <c r="N58" s="78">
        <v>0.16</v>
      </c>
      <c r="O58" s="60">
        <v>95</v>
      </c>
      <c r="P58" s="60"/>
      <c r="Q58" s="61"/>
    </row>
    <row r="59" spans="1:17" x14ac:dyDescent="0.25">
      <c r="B59" s="313" t="s">
        <v>75</v>
      </c>
      <c r="C59" s="313"/>
      <c r="D59" s="79">
        <v>80</v>
      </c>
      <c r="E59" s="76"/>
      <c r="G59" s="43"/>
      <c r="H59" s="69"/>
      <c r="I59" s="77"/>
      <c r="J59" s="62"/>
      <c r="K59" s="70"/>
      <c r="L59" s="63"/>
      <c r="M59" s="306" t="s">
        <v>72</v>
      </c>
      <c r="N59" s="306"/>
      <c r="O59" s="60">
        <f>SUM(O57:O58)</f>
        <v>732.45133333333342</v>
      </c>
      <c r="P59" s="60"/>
      <c r="Q59" s="61"/>
    </row>
    <row r="60" spans="1:17" ht="13.8" thickBot="1" x14ac:dyDescent="0.3">
      <c r="B60" s="307" t="s">
        <v>76</v>
      </c>
      <c r="C60" s="307"/>
      <c r="D60" s="75">
        <f>+D58/D59</f>
        <v>1</v>
      </c>
      <c r="E60" s="76"/>
      <c r="F60" s="80"/>
      <c r="G60" s="43"/>
      <c r="H60" s="69"/>
      <c r="I60" s="77"/>
      <c r="J60" s="62"/>
      <c r="K60" s="70"/>
      <c r="L60" s="306"/>
      <c r="M60" s="306"/>
      <c r="N60" s="78"/>
      <c r="O60" s="60">
        <f>+O59*N60</f>
        <v>0</v>
      </c>
      <c r="P60" s="60"/>
      <c r="Q60" s="61"/>
    </row>
    <row r="61" spans="1:17" ht="13.8" thickBot="1" x14ac:dyDescent="0.25">
      <c r="B61" s="307" t="s">
        <v>77</v>
      </c>
      <c r="C61" s="307"/>
      <c r="D61" s="81"/>
      <c r="E61" s="76"/>
      <c r="F61" s="80"/>
      <c r="G61" s="43"/>
      <c r="H61" s="69"/>
      <c r="I61" s="77"/>
      <c r="J61" s="62"/>
      <c r="K61" s="308" t="s">
        <v>78</v>
      </c>
      <c r="L61" s="309"/>
      <c r="M61" s="309"/>
      <c r="N61" s="310"/>
      <c r="O61" s="73">
        <f>SUM(O59:O60)</f>
        <v>732.45133333333342</v>
      </c>
      <c r="P61" s="82" t="s">
        <v>79</v>
      </c>
      <c r="Q61" s="61"/>
    </row>
    <row r="62" spans="1:17" ht="13.8" thickBot="1" x14ac:dyDescent="0.25">
      <c r="C62" s="52" t="s">
        <v>80</v>
      </c>
      <c r="D62" s="83"/>
      <c r="E62" s="26" t="s">
        <v>81</v>
      </c>
      <c r="F62" s="84" t="s">
        <v>82</v>
      </c>
      <c r="G62" s="43"/>
      <c r="H62" s="69"/>
      <c r="I62" s="77"/>
      <c r="J62" s="85"/>
      <c r="K62" s="86"/>
      <c r="L62" s="296" t="s">
        <v>83</v>
      </c>
      <c r="M62" s="296"/>
      <c r="N62" s="296"/>
      <c r="O62" s="87">
        <f>+O61/D60</f>
        <v>732.45133333333342</v>
      </c>
      <c r="P62" s="88">
        <f>+O62/D59</f>
        <v>9.1556416666666678</v>
      </c>
      <c r="Q62" s="89"/>
    </row>
    <row r="63" spans="1:17" ht="13.8" thickBot="1" x14ac:dyDescent="0.25">
      <c r="B63" s="297" t="s">
        <v>68</v>
      </c>
      <c r="C63" s="297"/>
      <c r="D63" s="297"/>
      <c r="E63" s="90">
        <f>+F63/F63</f>
        <v>1</v>
      </c>
      <c r="F63" s="91">
        <f>SUM(F55)</f>
        <v>557.45133333333342</v>
      </c>
      <c r="G63" s="43">
        <f>+F63/$F$66</f>
        <v>0.89991142699399573</v>
      </c>
      <c r="H63" s="69"/>
      <c r="I63" s="77"/>
      <c r="K63" s="298"/>
      <c r="L63" s="299"/>
      <c r="M63" s="299"/>
      <c r="N63" s="299"/>
      <c r="O63" s="92"/>
      <c r="P63" s="93"/>
    </row>
    <row r="64" spans="1:17" ht="13.8" thickBot="1" x14ac:dyDescent="0.3">
      <c r="B64" s="300" t="s">
        <v>84</v>
      </c>
      <c r="C64" s="300"/>
      <c r="D64" s="300"/>
      <c r="E64" s="94">
        <v>0.02</v>
      </c>
      <c r="F64" s="91">
        <f>+F53*E64</f>
        <v>7</v>
      </c>
      <c r="G64" s="43">
        <f>+F64/$F$66</f>
        <v>1.1300322758742412E-2</v>
      </c>
      <c r="H64" s="55"/>
      <c r="I64" s="77"/>
      <c r="J64" s="95"/>
      <c r="O64" s="96"/>
      <c r="P64" s="53"/>
    </row>
    <row r="65" spans="2:10" ht="13.8" thickBot="1" x14ac:dyDescent="0.3">
      <c r="B65" s="301" t="s">
        <v>85</v>
      </c>
      <c r="C65" s="302"/>
      <c r="D65" s="97">
        <v>1</v>
      </c>
      <c r="E65" s="98">
        <v>55</v>
      </c>
      <c r="F65" s="91">
        <f>+E65*D65</f>
        <v>55</v>
      </c>
      <c r="G65" s="43">
        <f>+F65/$F$66</f>
        <v>8.8788250247261807E-2</v>
      </c>
      <c r="H65" s="55"/>
      <c r="I65" s="55"/>
      <c r="J65" s="45"/>
    </row>
    <row r="66" spans="2:10" ht="13.8" thickBot="1" x14ac:dyDescent="0.3">
      <c r="B66" s="303" t="s">
        <v>86</v>
      </c>
      <c r="C66" s="304"/>
      <c r="D66" s="304"/>
      <c r="E66" s="305"/>
      <c r="F66" s="68">
        <f>SUM(F63:F65)</f>
        <v>619.45133333333342</v>
      </c>
      <c r="G66" s="43">
        <f>+F66/$F$66</f>
        <v>1</v>
      </c>
      <c r="H66" s="312"/>
      <c r="I66" s="55"/>
      <c r="J66" s="45"/>
    </row>
    <row r="67" spans="2:10" x14ac:dyDescent="0.25">
      <c r="C67" s="50"/>
      <c r="D67" s="50"/>
      <c r="E67" s="100"/>
      <c r="F67" s="91"/>
      <c r="G67" s="43"/>
      <c r="H67" s="312"/>
      <c r="I67" s="99"/>
      <c r="J67" s="28"/>
    </row>
    <row r="68" spans="2:10" ht="13.8" thickBot="1" x14ac:dyDescent="0.3">
      <c r="B68" s="291" t="s">
        <v>87</v>
      </c>
      <c r="C68" s="291"/>
      <c r="D68" s="291"/>
      <c r="E68" s="291"/>
      <c r="F68" s="291"/>
      <c r="G68" s="43"/>
      <c r="H68" s="102"/>
      <c r="I68" s="99"/>
      <c r="J68" s="28"/>
    </row>
    <row r="69" spans="2:10" ht="13.8" thickBot="1" x14ac:dyDescent="0.3">
      <c r="B69" s="103" t="s">
        <v>88</v>
      </c>
      <c r="C69" s="104">
        <f>+F53</f>
        <v>350</v>
      </c>
      <c r="D69" s="104">
        <f>+D58</f>
        <v>80</v>
      </c>
      <c r="E69" s="105">
        <f>+C69/D69</f>
        <v>4.375</v>
      </c>
      <c r="F69" s="43"/>
      <c r="G69" s="102"/>
      <c r="H69" s="45"/>
      <c r="I69" s="102"/>
      <c r="J69" s="28"/>
    </row>
    <row r="70" spans="2:10" x14ac:dyDescent="0.25">
      <c r="B70" s="106"/>
      <c r="C70" s="107"/>
      <c r="D70" s="108"/>
      <c r="E70" s="91"/>
      <c r="F70" s="43"/>
      <c r="G70" s="102"/>
      <c r="H70" s="45"/>
      <c r="I70" s="45"/>
      <c r="J70" s="28"/>
    </row>
    <row r="71" spans="2:10" x14ac:dyDescent="0.25">
      <c r="B71" s="103" t="s">
        <v>89</v>
      </c>
      <c r="C71" s="104">
        <f>SUM(F63:F64)</f>
        <v>564.45133333333342</v>
      </c>
      <c r="D71" s="104">
        <f>+D58</f>
        <v>80</v>
      </c>
      <c r="E71" s="109">
        <f>+C71/D71</f>
        <v>7.0556416666666681</v>
      </c>
      <c r="F71" s="43"/>
      <c r="G71" s="102"/>
      <c r="H71" s="45"/>
      <c r="I71" s="45"/>
      <c r="J71" s="28"/>
    </row>
    <row r="72" spans="2:10" x14ac:dyDescent="0.25">
      <c r="B72" s="103"/>
      <c r="C72" s="104"/>
      <c r="D72" s="104"/>
      <c r="E72" s="109"/>
      <c r="F72" s="43"/>
      <c r="G72" s="102"/>
      <c r="H72" s="45"/>
      <c r="I72" s="45"/>
      <c r="J72" s="28"/>
    </row>
    <row r="73" spans="2:10" ht="13.8" thickBot="1" x14ac:dyDescent="0.3">
      <c r="B73" s="103" t="s">
        <v>90</v>
      </c>
      <c r="C73" s="104">
        <f>+F65</f>
        <v>55</v>
      </c>
      <c r="D73" s="104">
        <f>+D58</f>
        <v>80</v>
      </c>
      <c r="E73" s="109">
        <f>+C73/D73</f>
        <v>0.6875</v>
      </c>
      <c r="F73" s="43"/>
      <c r="G73" s="102"/>
      <c r="H73" s="45"/>
      <c r="I73" s="45"/>
      <c r="J73" s="28"/>
    </row>
    <row r="74" spans="2:10" ht="13.8" thickBot="1" x14ac:dyDescent="0.3">
      <c r="B74" s="103" t="s">
        <v>91</v>
      </c>
      <c r="C74" s="104">
        <f>+F56</f>
        <v>137.83268644368144</v>
      </c>
      <c r="D74" s="104">
        <f>+D73</f>
        <v>80</v>
      </c>
      <c r="E74" s="105">
        <f>+C74/D74</f>
        <v>1.722908580546018</v>
      </c>
      <c r="F74" s="43"/>
      <c r="G74" s="102"/>
      <c r="H74" s="45"/>
      <c r="I74" s="45"/>
      <c r="J74" s="28"/>
    </row>
    <row r="75" spans="2:10" ht="13.8" thickBot="1" x14ac:dyDescent="0.3">
      <c r="B75" s="67"/>
      <c r="C75" s="68"/>
      <c r="D75" s="68"/>
      <c r="E75" s="109"/>
      <c r="F75" s="43"/>
      <c r="G75" s="102"/>
      <c r="H75" s="45"/>
      <c r="I75" s="45"/>
      <c r="J75" s="28"/>
    </row>
    <row r="76" spans="2:10" ht="13.8" thickBot="1" x14ac:dyDescent="0.3">
      <c r="B76" s="103" t="s">
        <v>92</v>
      </c>
      <c r="C76" s="104">
        <f>+F54</f>
        <v>207.45133333333337</v>
      </c>
      <c r="D76" s="104">
        <f>+D74</f>
        <v>80</v>
      </c>
      <c r="E76" s="105">
        <f>+C76/D76</f>
        <v>2.5931416666666669</v>
      </c>
      <c r="F76" s="43"/>
      <c r="G76" s="102"/>
      <c r="H76" s="45"/>
      <c r="I76" s="45"/>
      <c r="J76" s="45"/>
    </row>
    <row r="77" spans="2:10" ht="13.8" thickBot="1" x14ac:dyDescent="0.3">
      <c r="B77" s="67"/>
      <c r="C77" s="68"/>
      <c r="D77" s="68"/>
      <c r="E77" s="109"/>
      <c r="F77" s="43"/>
      <c r="G77" s="102"/>
      <c r="H77" s="45"/>
      <c r="I77" s="45"/>
    </row>
    <row r="78" spans="2:10" ht="13.8" thickBot="1" x14ac:dyDescent="0.3">
      <c r="B78" s="292" t="s">
        <v>93</v>
      </c>
      <c r="C78" s="293"/>
      <c r="D78" s="294"/>
      <c r="E78" s="105">
        <f>+E69+E74</f>
        <v>6.0979085805460178</v>
      </c>
      <c r="G78" s="43"/>
      <c r="H78" s="102"/>
      <c r="I78" s="45"/>
      <c r="J78" s="109"/>
    </row>
    <row r="79" spans="2:10" x14ac:dyDescent="0.25">
      <c r="I79" s="102"/>
      <c r="J79" s="28"/>
    </row>
    <row r="80" spans="2:10" ht="13.8" thickBot="1" x14ac:dyDescent="0.3">
      <c r="B80" s="291" t="s">
        <v>94</v>
      </c>
      <c r="C80" s="291"/>
      <c r="D80" s="291"/>
      <c r="E80" s="291"/>
      <c r="F80" s="291"/>
      <c r="G80" s="43"/>
      <c r="H80" s="102"/>
      <c r="J80" s="28"/>
    </row>
    <row r="81" spans="1:10" ht="13.8" thickBot="1" x14ac:dyDescent="0.3">
      <c r="B81" s="103" t="s">
        <v>88</v>
      </c>
      <c r="C81" s="104">
        <f>+C69</f>
        <v>350</v>
      </c>
      <c r="D81" s="104">
        <f>+D60</f>
        <v>1</v>
      </c>
      <c r="E81" s="105">
        <f>+C81/D81</f>
        <v>350</v>
      </c>
      <c r="F81" s="43"/>
      <c r="G81" s="102"/>
      <c r="H81" s="45"/>
      <c r="I81" s="102"/>
      <c r="J81" s="28"/>
    </row>
    <row r="82" spans="1:10" x14ac:dyDescent="0.25">
      <c r="B82" s="106"/>
      <c r="C82" s="107"/>
      <c r="D82" s="108"/>
      <c r="E82" s="91"/>
      <c r="F82" s="43"/>
      <c r="G82" s="102"/>
      <c r="H82" s="45"/>
      <c r="I82" s="45"/>
      <c r="J82" s="28"/>
    </row>
    <row r="83" spans="1:10" x14ac:dyDescent="0.25">
      <c r="B83" s="103" t="s">
        <v>89</v>
      </c>
      <c r="C83" s="104">
        <f>+C71</f>
        <v>564.45133333333342</v>
      </c>
      <c r="D83" s="104">
        <f>+D60</f>
        <v>1</v>
      </c>
      <c r="E83" s="109">
        <f>+C83/D83</f>
        <v>564.45133333333342</v>
      </c>
      <c r="F83" s="43"/>
      <c r="G83" s="102"/>
      <c r="H83" s="45"/>
      <c r="I83" s="45"/>
      <c r="J83" s="28"/>
    </row>
    <row r="84" spans="1:10" x14ac:dyDescent="0.25">
      <c r="B84" s="103"/>
      <c r="C84" s="104"/>
      <c r="D84" s="104"/>
      <c r="E84" s="109"/>
      <c r="F84" s="43"/>
      <c r="G84" s="102"/>
      <c r="H84" s="45"/>
      <c r="I84" s="45"/>
      <c r="J84" s="28"/>
    </row>
    <row r="85" spans="1:10" ht="13.8" thickBot="1" x14ac:dyDescent="0.3">
      <c r="B85" s="103" t="s">
        <v>91</v>
      </c>
      <c r="C85" s="104">
        <f>+C73</f>
        <v>55</v>
      </c>
      <c r="D85" s="104">
        <f>+D60</f>
        <v>1</v>
      </c>
      <c r="E85" s="109">
        <f>+C85/D85</f>
        <v>55</v>
      </c>
      <c r="F85" s="111"/>
      <c r="G85" s="101"/>
      <c r="H85" s="27"/>
      <c r="I85" s="45"/>
    </row>
    <row r="86" spans="1:10" ht="13.8" thickBot="1" x14ac:dyDescent="0.3">
      <c r="B86" s="103" t="s">
        <v>91</v>
      </c>
      <c r="C86" s="104">
        <f>+C74</f>
        <v>137.83268644368144</v>
      </c>
      <c r="D86" s="104">
        <f>+D85</f>
        <v>1</v>
      </c>
      <c r="E86" s="105">
        <f>+C86/D86</f>
        <v>137.83268644368144</v>
      </c>
      <c r="F86" s="110"/>
      <c r="G86" s="101"/>
      <c r="H86" s="27"/>
      <c r="I86" s="27"/>
    </row>
    <row r="87" spans="1:10" x14ac:dyDescent="0.25">
      <c r="I87" s="27"/>
    </row>
    <row r="88" spans="1:10" x14ac:dyDescent="0.25">
      <c r="A88" s="295"/>
      <c r="B88" s="295"/>
      <c r="C88" s="112"/>
      <c r="D88" s="112"/>
      <c r="E88" s="113"/>
      <c r="G88" s="114"/>
    </row>
    <row r="89" spans="1:10" x14ac:dyDescent="0.25">
      <c r="A89" s="46"/>
      <c r="B89" s="115"/>
      <c r="C89" s="116"/>
      <c r="D89" s="116"/>
      <c r="E89" s="117"/>
      <c r="G89" s="114"/>
    </row>
    <row r="90" spans="1:10" x14ac:dyDescent="0.25">
      <c r="A90" s="46"/>
      <c r="B90" s="115"/>
      <c r="C90" s="118"/>
      <c r="D90" s="118"/>
      <c r="E90" s="46"/>
      <c r="G90" s="114"/>
    </row>
    <row r="91" spans="1:10" x14ac:dyDescent="0.25">
      <c r="A91" s="46"/>
      <c r="B91" s="115"/>
      <c r="C91" s="119"/>
      <c r="D91" s="119"/>
      <c r="E91" s="46"/>
      <c r="G91" s="114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C77DE70-B6F9-4599-A53B-0C8DE35553F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BDACD42-8BD7-42B0-A098-17A93F415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9CE298-AD80-4BA4-B735-D6CBD1DB633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2D0EF99-40BC-4380-86CD-11C24CE3CC9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2023-09-21T16:17:52Z</cp:lastPrinted>
  <dcterms:created xsi:type="dcterms:W3CDTF">2009-03-11T22:07:15Z</dcterms:created>
  <dcterms:modified xsi:type="dcterms:W3CDTF">2025-03-26T18:55:16Z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326400.000000000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
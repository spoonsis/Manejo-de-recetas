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4E48DFDE-DA2F-429A-B2CA-E518D46A8FA5}" xr6:coauthVersionLast="47" xr6:coauthVersionMax="47" xr10:uidLastSave="{442592D7-763F-455E-B0C1-D628DBAAB7F2}"/>
  <bookViews>
    <workbookView xWindow="-120" yWindow="-120" windowWidth="29040" windowHeight="15840" xr2:uid="{4D1A6D4A-555A-4FB3-87FE-F05DAB789D6F}"/>
  </bookViews>
  <sheets>
    <sheet name="Hoja1" sheetId="23" r:id="rId1"/>
    <sheet name="Costo Rosquete " sheetId="20" state="hidden" r:id="rId2"/>
    <sheet name="COSTO " sheetId="19" state="hidden" r:id="rId3"/>
    <sheet name="COSTEO" sheetId="17" state="hidden" r:id="rId4"/>
    <sheet name="PRECIO" sheetId="18" state="hidden" r:id="rId5"/>
  </sheets>
  <externalReferences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3" l="1"/>
  <c r="D32" i="19"/>
  <c r="C32" i="19"/>
  <c r="B32" i="19"/>
  <c r="E31" i="19"/>
  <c r="F31" i="19" s="1"/>
  <c r="D31" i="19"/>
  <c r="C31" i="19"/>
  <c r="B31" i="19"/>
  <c r="E30" i="19"/>
  <c r="F30" i="19" s="1"/>
  <c r="D30" i="19"/>
  <c r="C30" i="19"/>
  <c r="B30" i="19"/>
  <c r="C29" i="19"/>
  <c r="D73" i="20"/>
  <c r="D74" i="20"/>
  <c r="D76" i="20"/>
  <c r="D71" i="20"/>
  <c r="D69" i="20"/>
  <c r="F65" i="20"/>
  <c r="C73" i="20"/>
  <c r="D60" i="20"/>
  <c r="D85" i="20"/>
  <c r="D86" i="20"/>
  <c r="C51" i="20"/>
  <c r="E50" i="20"/>
  <c r="F50" i="20" s="1"/>
  <c r="D50" i="20"/>
  <c r="B50" i="20"/>
  <c r="E49" i="20"/>
  <c r="D49" i="20"/>
  <c r="B49" i="20"/>
  <c r="E48" i="20"/>
  <c r="D48" i="20"/>
  <c r="B48" i="20"/>
  <c r="E47" i="20"/>
  <c r="D47" i="20"/>
  <c r="B47" i="20"/>
  <c r="E46" i="20"/>
  <c r="F46" i="20" s="1"/>
  <c r="D46" i="20"/>
  <c r="B46" i="20"/>
  <c r="E45" i="20"/>
  <c r="D45" i="20"/>
  <c r="B45" i="20"/>
  <c r="E41" i="20"/>
  <c r="F41" i="20" s="1"/>
  <c r="D41" i="20"/>
  <c r="B41" i="20"/>
  <c r="A41" i="20"/>
  <c r="A50" i="20"/>
  <c r="C50" i="20"/>
  <c r="E40" i="20"/>
  <c r="F40" i="20" s="1"/>
  <c r="D40" i="20"/>
  <c r="B40" i="20"/>
  <c r="A40" i="20"/>
  <c r="A49" i="20"/>
  <c r="C49" i="20"/>
  <c r="E39" i="20"/>
  <c r="F39" i="20" s="1"/>
  <c r="D39" i="20"/>
  <c r="C39" i="20"/>
  <c r="B39" i="20"/>
  <c r="A39" i="20"/>
  <c r="A48" i="20"/>
  <c r="C48" i="20"/>
  <c r="E38" i="20"/>
  <c r="D38" i="20"/>
  <c r="B38" i="20"/>
  <c r="A38" i="20"/>
  <c r="C38" i="20"/>
  <c r="E37" i="20"/>
  <c r="F37" i="20" s="1"/>
  <c r="D37" i="20"/>
  <c r="B37" i="20"/>
  <c r="A37" i="20"/>
  <c r="A46" i="20"/>
  <c r="C46" i="20"/>
  <c r="E36" i="20"/>
  <c r="F36" i="20" s="1"/>
  <c r="D36" i="20"/>
  <c r="B36" i="20"/>
  <c r="A36" i="20"/>
  <c r="A45" i="20"/>
  <c r="C45" i="20"/>
  <c r="F45" i="20"/>
  <c r="A35" i="20"/>
  <c r="C35" i="20"/>
  <c r="E32" i="20"/>
  <c r="D32" i="20"/>
  <c r="C32" i="20"/>
  <c r="F32" i="20"/>
  <c r="B32" i="20"/>
  <c r="E31" i="20"/>
  <c r="F31" i="20" s="1"/>
  <c r="D31" i="20"/>
  <c r="C31" i="20"/>
  <c r="B31" i="20"/>
  <c r="E30" i="20"/>
  <c r="F30" i="20" s="1"/>
  <c r="D30" i="20"/>
  <c r="C30" i="20"/>
  <c r="B30" i="20"/>
  <c r="E29" i="20"/>
  <c r="F29" i="20" s="1"/>
  <c r="D29" i="20"/>
  <c r="C29" i="20"/>
  <c r="B29" i="20"/>
  <c r="C28" i="20"/>
  <c r="F28" i="20"/>
  <c r="E27" i="20"/>
  <c r="F27" i="20" s="1"/>
  <c r="D27" i="20"/>
  <c r="C27" i="20"/>
  <c r="B27" i="20"/>
  <c r="E24" i="20"/>
  <c r="F24" i="20" s="1"/>
  <c r="D24" i="20"/>
  <c r="C24" i="20"/>
  <c r="B24" i="20"/>
  <c r="E23" i="20"/>
  <c r="F23" i="20" s="1"/>
  <c r="D23" i="20"/>
  <c r="C23" i="20"/>
  <c r="B23" i="20"/>
  <c r="E22" i="20"/>
  <c r="F22" i="20" s="1"/>
  <c r="D22" i="20"/>
  <c r="C22" i="20"/>
  <c r="B22" i="20"/>
  <c r="E21" i="20"/>
  <c r="F21" i="20" s="1"/>
  <c r="D21" i="20"/>
  <c r="C21" i="20"/>
  <c r="B21" i="20"/>
  <c r="E20" i="20"/>
  <c r="F20" i="20" s="1"/>
  <c r="D20" i="20"/>
  <c r="C20" i="20"/>
  <c r="B20" i="20"/>
  <c r="E19" i="20"/>
  <c r="F19" i="20" s="1"/>
  <c r="D19" i="20"/>
  <c r="C19" i="20"/>
  <c r="B19" i="20"/>
  <c r="D18" i="20"/>
  <c r="C18" i="20"/>
  <c r="B18" i="20"/>
  <c r="C17" i="20"/>
  <c r="B15" i="20"/>
  <c r="E14" i="20"/>
  <c r="D14" i="20"/>
  <c r="C14" i="20"/>
  <c r="B14" i="20"/>
  <c r="E13" i="20"/>
  <c r="F13" i="20" s="1"/>
  <c r="D13" i="20"/>
  <c r="C13" i="20"/>
  <c r="B13" i="20"/>
  <c r="E12" i="20"/>
  <c r="D12" i="20"/>
  <c r="C12" i="20"/>
  <c r="B12" i="20"/>
  <c r="E11" i="20"/>
  <c r="D11" i="20"/>
  <c r="C11" i="20"/>
  <c r="F11" i="20"/>
  <c r="B11" i="20"/>
  <c r="E10" i="20"/>
  <c r="F10" i="20" s="1"/>
  <c r="D10" i="20"/>
  <c r="C10" i="20"/>
  <c r="B10" i="20"/>
  <c r="E9" i="20"/>
  <c r="F9" i="20" s="1"/>
  <c r="D9" i="20"/>
  <c r="C9" i="20"/>
  <c r="B9" i="20"/>
  <c r="E8" i="20"/>
  <c r="F8" i="20"/>
  <c r="D8" i="20"/>
  <c r="C8" i="20"/>
  <c r="B8" i="20"/>
  <c r="H6" i="20"/>
  <c r="D77" i="19"/>
  <c r="D78" i="19"/>
  <c r="D80" i="19"/>
  <c r="D75" i="19"/>
  <c r="D73" i="19"/>
  <c r="F69" i="19"/>
  <c r="E55" i="19"/>
  <c r="D64" i="19"/>
  <c r="D89" i="19"/>
  <c r="D90" i="19"/>
  <c r="C55" i="19"/>
  <c r="E54" i="19"/>
  <c r="D54" i="19"/>
  <c r="B54" i="19"/>
  <c r="E53" i="19"/>
  <c r="F53" i="19" s="1"/>
  <c r="D53" i="19"/>
  <c r="B53" i="19"/>
  <c r="E52" i="19"/>
  <c r="D52" i="19"/>
  <c r="B52" i="19"/>
  <c r="E50" i="19"/>
  <c r="F50" i="19" s="1"/>
  <c r="D50" i="19"/>
  <c r="B50" i="19"/>
  <c r="E49" i="19"/>
  <c r="F49" i="19" s="1"/>
  <c r="D49" i="19"/>
  <c r="B49" i="19"/>
  <c r="E45" i="19"/>
  <c r="F45" i="19" s="1"/>
  <c r="D45" i="19"/>
  <c r="B45" i="19"/>
  <c r="A45" i="19"/>
  <c r="A54" i="19"/>
  <c r="C54" i="19"/>
  <c r="E44" i="19"/>
  <c r="F44" i="19" s="1"/>
  <c r="D44" i="19"/>
  <c r="B44" i="19"/>
  <c r="A44" i="19"/>
  <c r="A53" i="19"/>
  <c r="C53" i="19"/>
  <c r="E43" i="19"/>
  <c r="F43" i="19" s="1"/>
  <c r="D43" i="19"/>
  <c r="B43" i="19"/>
  <c r="A43" i="19"/>
  <c r="C43" i="19"/>
  <c r="A42" i="19"/>
  <c r="C42" i="19"/>
  <c r="E41" i="19"/>
  <c r="F41" i="19" s="1"/>
  <c r="D41" i="19"/>
  <c r="B41" i="19"/>
  <c r="A41" i="19"/>
  <c r="A50" i="19"/>
  <c r="C50" i="19"/>
  <c r="E40" i="19"/>
  <c r="F40" i="19" s="1"/>
  <c r="D40" i="19"/>
  <c r="B40" i="19"/>
  <c r="A40" i="19"/>
  <c r="A49" i="19"/>
  <c r="C49" i="19"/>
  <c r="A39" i="19"/>
  <c r="C39" i="19"/>
  <c r="E36" i="19"/>
  <c r="F36" i="19" s="1"/>
  <c r="D36" i="19"/>
  <c r="C36" i="19"/>
  <c r="B36" i="19"/>
  <c r="E35" i="19"/>
  <c r="F35" i="19" s="1"/>
  <c r="D35" i="19"/>
  <c r="C35" i="19"/>
  <c r="B35" i="19"/>
  <c r="E34" i="19"/>
  <c r="F34" i="19" s="1"/>
  <c r="D34" i="19"/>
  <c r="C34" i="19"/>
  <c r="B34" i="19"/>
  <c r="E33" i="19"/>
  <c r="D33" i="19"/>
  <c r="C33" i="19"/>
  <c r="B33" i="19"/>
  <c r="D28" i="19"/>
  <c r="C28" i="19"/>
  <c r="B28" i="19"/>
  <c r="C27" i="19"/>
  <c r="E24" i="19"/>
  <c r="F24" i="19" s="1"/>
  <c r="D24" i="19"/>
  <c r="C24" i="19"/>
  <c r="B24" i="19"/>
  <c r="E23" i="19"/>
  <c r="F23" i="19" s="1"/>
  <c r="D23" i="19"/>
  <c r="C23" i="19"/>
  <c r="B23" i="19"/>
  <c r="E22" i="19"/>
  <c r="F22" i="19" s="1"/>
  <c r="D22" i="19"/>
  <c r="C22" i="19"/>
  <c r="B22" i="19"/>
  <c r="D21" i="19"/>
  <c r="C21" i="19"/>
  <c r="B21" i="19"/>
  <c r="F20" i="19"/>
  <c r="C20" i="19"/>
  <c r="D19" i="19"/>
  <c r="C19" i="19"/>
  <c r="B19" i="19"/>
  <c r="E18" i="19"/>
  <c r="F18" i="19" s="1"/>
  <c r="D18" i="19"/>
  <c r="C18" i="19"/>
  <c r="B18" i="19"/>
  <c r="C17" i="19"/>
  <c r="B15" i="19"/>
  <c r="E14" i="19"/>
  <c r="F14" i="19" s="1"/>
  <c r="D14" i="19"/>
  <c r="C14" i="19"/>
  <c r="B14" i="19"/>
  <c r="E13" i="19"/>
  <c r="F13" i="19" s="1"/>
  <c r="D13" i="19"/>
  <c r="C13" i="19"/>
  <c r="B13" i="19"/>
  <c r="E12" i="19"/>
  <c r="D12" i="19"/>
  <c r="C12" i="19"/>
  <c r="B12" i="19"/>
  <c r="E11" i="19"/>
  <c r="F11" i="19" s="1"/>
  <c r="D11" i="19"/>
  <c r="C11" i="19"/>
  <c r="B11" i="19"/>
  <c r="E10" i="19"/>
  <c r="D10" i="19"/>
  <c r="C10" i="19"/>
  <c r="B10" i="19"/>
  <c r="E9" i="19"/>
  <c r="D9" i="19"/>
  <c r="C9" i="19"/>
  <c r="B9" i="19"/>
  <c r="C8" i="19"/>
  <c r="F8" i="19"/>
  <c r="H6" i="19"/>
  <c r="D6" i="18"/>
  <c r="F6" i="18"/>
  <c r="G6" i="18"/>
  <c r="D9" i="18"/>
  <c r="F9" i="18"/>
  <c r="G9" i="18"/>
  <c r="F11" i="18"/>
  <c r="G11" i="18"/>
  <c r="F12" i="18"/>
  <c r="G12" i="18"/>
  <c r="F13" i="18"/>
  <c r="G13" i="18"/>
  <c r="F15" i="18"/>
  <c r="G15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7" i="18"/>
  <c r="F28" i="18"/>
  <c r="F29" i="18"/>
  <c r="G29" i="18"/>
  <c r="H29" i="18"/>
  <c r="F30" i="18"/>
  <c r="F31" i="18"/>
  <c r="F32" i="18"/>
  <c r="F34" i="18"/>
  <c r="F35" i="18"/>
  <c r="H6" i="17"/>
  <c r="B8" i="17"/>
  <c r="C8" i="17"/>
  <c r="D8" i="17"/>
  <c r="E8" i="17"/>
  <c r="F8" i="17"/>
  <c r="B9" i="17"/>
  <c r="C9" i="17"/>
  <c r="D9" i="17"/>
  <c r="E9" i="17"/>
  <c r="F9" i="17" s="1"/>
  <c r="B10" i="17"/>
  <c r="C10" i="17"/>
  <c r="D10" i="17"/>
  <c r="E10" i="17"/>
  <c r="F10" i="17" s="1"/>
  <c r="B11" i="17"/>
  <c r="C11" i="17"/>
  <c r="D11" i="17"/>
  <c r="E11" i="17"/>
  <c r="F11" i="17"/>
  <c r="B12" i="17"/>
  <c r="C12" i="17"/>
  <c r="D12" i="17"/>
  <c r="E12" i="17"/>
  <c r="F12" i="17" s="1"/>
  <c r="B13" i="17"/>
  <c r="C13" i="17"/>
  <c r="D13" i="17"/>
  <c r="E13" i="17"/>
  <c r="F13" i="17"/>
  <c r="B14" i="17"/>
  <c r="C14" i="17"/>
  <c r="D14" i="17"/>
  <c r="E14" i="17"/>
  <c r="F14" i="17" s="1"/>
  <c r="B15" i="17"/>
  <c r="C17" i="17"/>
  <c r="F17" i="17"/>
  <c r="C18" i="17"/>
  <c r="D18" i="17"/>
  <c r="E18" i="17"/>
  <c r="F18" i="17" s="1"/>
  <c r="B19" i="17"/>
  <c r="C19" i="17"/>
  <c r="D19" i="17"/>
  <c r="E19" i="17"/>
  <c r="F19" i="17"/>
  <c r="B20" i="17"/>
  <c r="C20" i="17"/>
  <c r="D20" i="17"/>
  <c r="E20" i="17"/>
  <c r="F20" i="17" s="1"/>
  <c r="B21" i="17"/>
  <c r="C21" i="17"/>
  <c r="D21" i="17"/>
  <c r="E21" i="17"/>
  <c r="F21" i="17"/>
  <c r="B22" i="17"/>
  <c r="C22" i="17"/>
  <c r="D22" i="17"/>
  <c r="E22" i="17"/>
  <c r="F22" i="17"/>
  <c r="B23" i="17"/>
  <c r="C23" i="17"/>
  <c r="D23" i="17"/>
  <c r="E23" i="17"/>
  <c r="F23" i="17" s="1"/>
  <c r="B24" i="17"/>
  <c r="C24" i="17"/>
  <c r="D24" i="17"/>
  <c r="E24" i="17"/>
  <c r="F24" i="17"/>
  <c r="B27" i="17"/>
  <c r="C27" i="17"/>
  <c r="E27" i="17"/>
  <c r="F27" i="17" s="1"/>
  <c r="B28" i="17"/>
  <c r="C28" i="17"/>
  <c r="E28" i="17"/>
  <c r="F28" i="17" s="1"/>
  <c r="B29" i="17"/>
  <c r="C29" i="17"/>
  <c r="D29" i="17"/>
  <c r="E29" i="17"/>
  <c r="F29" i="17"/>
  <c r="C30" i="17"/>
  <c r="F30" i="17"/>
  <c r="B31" i="17"/>
  <c r="C31" i="17"/>
  <c r="D31" i="17"/>
  <c r="E31" i="17"/>
  <c r="F31" i="17"/>
  <c r="B32" i="17"/>
  <c r="C32" i="17"/>
  <c r="D32" i="17"/>
  <c r="E32" i="17"/>
  <c r="F32" i="17" s="1"/>
  <c r="B33" i="17"/>
  <c r="C33" i="17"/>
  <c r="D33" i="17"/>
  <c r="E33" i="17"/>
  <c r="F33" i="17" s="1"/>
  <c r="B34" i="17"/>
  <c r="C34" i="17"/>
  <c r="D34" i="17"/>
  <c r="E34" i="17"/>
  <c r="F34" i="17" s="1"/>
  <c r="B35" i="17"/>
  <c r="C35" i="17"/>
  <c r="D35" i="17"/>
  <c r="E35" i="17"/>
  <c r="F35" i="17"/>
  <c r="B36" i="17"/>
  <c r="C36" i="17"/>
  <c r="D36" i="17"/>
  <c r="E36" i="17"/>
  <c r="F36" i="17" s="1"/>
  <c r="B37" i="17"/>
  <c r="C37" i="17"/>
  <c r="D37" i="17"/>
  <c r="E37" i="17"/>
  <c r="F37" i="17" s="1"/>
  <c r="A40" i="17"/>
  <c r="C40" i="17"/>
  <c r="F40" i="17"/>
  <c r="A41" i="17"/>
  <c r="B41" i="17"/>
  <c r="C41" i="17"/>
  <c r="D41" i="17"/>
  <c r="E41" i="17"/>
  <c r="F41" i="17"/>
  <c r="A42" i="17"/>
  <c r="B42" i="17"/>
  <c r="C42" i="17"/>
  <c r="D42" i="17"/>
  <c r="E42" i="17"/>
  <c r="F42" i="17" s="1"/>
  <c r="A43" i="17"/>
  <c r="B43" i="17"/>
  <c r="C43" i="17"/>
  <c r="D43" i="17"/>
  <c r="E43" i="17"/>
  <c r="F43" i="17" s="1"/>
  <c r="A44" i="17"/>
  <c r="B44" i="17"/>
  <c r="C44" i="17"/>
  <c r="D44" i="17"/>
  <c r="E44" i="17"/>
  <c r="F44" i="17" s="1"/>
  <c r="A45" i="17"/>
  <c r="B45" i="17"/>
  <c r="C45" i="17"/>
  <c r="D45" i="17"/>
  <c r="E45" i="17"/>
  <c r="F45" i="17"/>
  <c r="A46" i="17"/>
  <c r="B46" i="17"/>
  <c r="C46" i="17"/>
  <c r="D46" i="17"/>
  <c r="E46" i="17"/>
  <c r="F46" i="17" s="1"/>
  <c r="A49" i="17"/>
  <c r="C49" i="17"/>
  <c r="F49" i="17"/>
  <c r="A50" i="17"/>
  <c r="B50" i="17"/>
  <c r="C50" i="17"/>
  <c r="D50" i="17"/>
  <c r="E50" i="17"/>
  <c r="F50" i="17" s="1"/>
  <c r="A51" i="17"/>
  <c r="B51" i="17"/>
  <c r="C51" i="17"/>
  <c r="D51" i="17"/>
  <c r="E51" i="17"/>
  <c r="F51" i="17" s="1"/>
  <c r="A52" i="17"/>
  <c r="B52" i="17"/>
  <c r="C52" i="17"/>
  <c r="D52" i="17"/>
  <c r="E52" i="17"/>
  <c r="F52" i="17"/>
  <c r="A53" i="17"/>
  <c r="B53" i="17"/>
  <c r="C53" i="17"/>
  <c r="D53" i="17"/>
  <c r="E53" i="17"/>
  <c r="F53" i="17" s="1"/>
  <c r="A54" i="17"/>
  <c r="B54" i="17"/>
  <c r="C54" i="17"/>
  <c r="D54" i="17"/>
  <c r="E54" i="17"/>
  <c r="F54" i="17" s="1"/>
  <c r="A55" i="17"/>
  <c r="B55" i="17"/>
  <c r="C55" i="17"/>
  <c r="D55" i="17"/>
  <c r="E55" i="17"/>
  <c r="F55" i="17" s="1"/>
  <c r="C56" i="17"/>
  <c r="E56" i="17"/>
  <c r="F56" i="17"/>
  <c r="D65" i="17"/>
  <c r="F70" i="17"/>
  <c r="D74" i="17"/>
  <c r="D76" i="17"/>
  <c r="C78" i="17"/>
  <c r="D78" i="17"/>
  <c r="E78" i="17"/>
  <c r="D79" i="17"/>
  <c r="D81" i="17"/>
  <c r="D86" i="17"/>
  <c r="D88" i="17"/>
  <c r="C90" i="17"/>
  <c r="D90" i="17"/>
  <c r="E90" i="17"/>
  <c r="D91" i="17"/>
  <c r="F29" i="19"/>
  <c r="F32" i="19"/>
  <c r="F27" i="19"/>
  <c r="F28" i="19"/>
  <c r="F33" i="19"/>
  <c r="F10" i="19"/>
  <c r="F12" i="19"/>
  <c r="F54" i="19"/>
  <c r="D85" i="19"/>
  <c r="D87" i="19"/>
  <c r="F55" i="19"/>
  <c r="C45" i="19"/>
  <c r="F9" i="19"/>
  <c r="C44" i="19"/>
  <c r="A52" i="19"/>
  <c r="C52" i="19"/>
  <c r="F52" i="19"/>
  <c r="F21" i="19"/>
  <c r="F19" i="19"/>
  <c r="C40" i="19"/>
  <c r="C41" i="19"/>
  <c r="A48" i="19"/>
  <c r="C48" i="19"/>
  <c r="E51" i="20"/>
  <c r="F51" i="20"/>
  <c r="F38" i="20"/>
  <c r="C40" i="20"/>
  <c r="F12" i="20"/>
  <c r="F14" i="20"/>
  <c r="C36" i="20"/>
  <c r="F18" i="20"/>
  <c r="F35" i="20"/>
  <c r="F17" i="20"/>
  <c r="A44" i="20"/>
  <c r="C44" i="20"/>
  <c r="F44" i="20"/>
  <c r="C85" i="20"/>
  <c r="E85" i="20"/>
  <c r="E73" i="20"/>
  <c r="F49" i="20"/>
  <c r="F48" i="20"/>
  <c r="C37" i="20"/>
  <c r="C41" i="20"/>
  <c r="D83" i="20"/>
  <c r="D81" i="20"/>
  <c r="A47" i="20"/>
  <c r="C47" i="20"/>
  <c r="F47" i="20"/>
  <c r="F42" i="19"/>
  <c r="A51" i="19"/>
  <c r="C51" i="19"/>
  <c r="F51" i="19"/>
  <c r="C77" i="19"/>
  <c r="C89" i="19"/>
  <c r="E89" i="19"/>
  <c r="E77" i="19"/>
  <c r="F56" i="20" l="1"/>
  <c r="H56" i="20" s="1"/>
  <c r="F54" i="20"/>
  <c r="F61" i="17"/>
  <c r="F59" i="17"/>
  <c r="F58" i="17"/>
  <c r="F53" i="20"/>
  <c r="C74" i="20" l="1"/>
  <c r="H59" i="17"/>
  <c r="G2" i="17" s="1"/>
  <c r="C81" i="17"/>
  <c r="E81" i="17" s="1"/>
  <c r="F55" i="20"/>
  <c r="H53" i="20"/>
  <c r="C69" i="20"/>
  <c r="F64" i="20"/>
  <c r="H58" i="17"/>
  <c r="F2" i="17" s="1"/>
  <c r="F69" i="17"/>
  <c r="F60" i="17"/>
  <c r="C74" i="17"/>
  <c r="E74" i="20"/>
  <c r="C86" i="20"/>
  <c r="E86" i="20" s="1"/>
  <c r="H2" i="20"/>
  <c r="E48" i="19"/>
  <c r="F48" i="19" s="1"/>
  <c r="H58" i="20"/>
  <c r="H59" i="20" s="1"/>
  <c r="O58" i="20" s="1"/>
  <c r="O55" i="20"/>
  <c r="C76" i="20"/>
  <c r="E76" i="20" s="1"/>
  <c r="H54" i="20"/>
  <c r="H61" i="17"/>
  <c r="H2" i="17" s="1"/>
  <c r="C79" i="17"/>
  <c r="O60" i="17"/>
  <c r="F60" i="19" l="1"/>
  <c r="E17" i="19"/>
  <c r="F17" i="19" s="1"/>
  <c r="F2" i="20"/>
  <c r="F63" i="20"/>
  <c r="O54" i="20"/>
  <c r="H55" i="20"/>
  <c r="E39" i="19"/>
  <c r="F39" i="19" s="1"/>
  <c r="G2" i="20"/>
  <c r="H60" i="17"/>
  <c r="F68" i="17"/>
  <c r="O59" i="17"/>
  <c r="C81" i="20"/>
  <c r="E81" i="20" s="1"/>
  <c r="E69" i="20"/>
  <c r="E78" i="20" s="1"/>
  <c r="C91" i="17"/>
  <c r="E91" i="17" s="1"/>
  <c r="E79" i="17"/>
  <c r="C86" i="17"/>
  <c r="E86" i="17" s="1"/>
  <c r="E74" i="17"/>
  <c r="E83" i="17" s="1"/>
  <c r="O56" i="20" l="1"/>
  <c r="O57" i="20" s="1"/>
  <c r="O59" i="20" s="1"/>
  <c r="F57" i="19"/>
  <c r="C71" i="20"/>
  <c r="E63" i="20"/>
  <c r="F66" i="20"/>
  <c r="G63" i="20" s="1"/>
  <c r="H60" i="19"/>
  <c r="C78" i="19"/>
  <c r="F58" i="19"/>
  <c r="O61" i="17"/>
  <c r="O62" i="17" s="1"/>
  <c r="E68" i="17"/>
  <c r="C76" i="17"/>
  <c r="F71" i="17"/>
  <c r="G68" i="17" s="1"/>
  <c r="O60" i="20" l="1"/>
  <c r="O61" i="20" s="1"/>
  <c r="O62" i="20" s="1"/>
  <c r="E78" i="19"/>
  <c r="C90" i="19"/>
  <c r="E90" i="19" s="1"/>
  <c r="C83" i="20"/>
  <c r="E83" i="20" s="1"/>
  <c r="E71" i="20"/>
  <c r="H62" i="19"/>
  <c r="H63" i="19" s="1"/>
  <c r="O62" i="19" s="1"/>
  <c r="H2" i="19"/>
  <c r="O59" i="19"/>
  <c r="E76" i="17"/>
  <c r="C88" i="17"/>
  <c r="E88" i="17" s="1"/>
  <c r="O63" i="17"/>
  <c r="O64" i="17" s="1"/>
  <c r="C73" i="19"/>
  <c r="H57" i="19"/>
  <c r="F2" i="19" s="1"/>
  <c r="F59" i="19"/>
  <c r="F68" i="19"/>
  <c r="G56" i="17"/>
  <c r="G40" i="17"/>
  <c r="G8" i="17"/>
  <c r="G49" i="17"/>
  <c r="G70" i="17"/>
  <c r="G71" i="17"/>
  <c r="G17" i="17"/>
  <c r="G30" i="17"/>
  <c r="G18" i="17"/>
  <c r="G20" i="17"/>
  <c r="G22" i="17"/>
  <c r="G24" i="17"/>
  <c r="G41" i="17"/>
  <c r="G52" i="17"/>
  <c r="G50" i="17"/>
  <c r="G55" i="17"/>
  <c r="G27" i="17"/>
  <c r="G28" i="17"/>
  <c r="G45" i="17"/>
  <c r="G10" i="17"/>
  <c r="G21" i="17"/>
  <c r="G42" i="17"/>
  <c r="G51" i="17"/>
  <c r="G19" i="17"/>
  <c r="G32" i="17"/>
  <c r="G33" i="17"/>
  <c r="G9" i="17"/>
  <c r="G43" i="17"/>
  <c r="G44" i="17"/>
  <c r="G36" i="17"/>
  <c r="G46" i="17"/>
  <c r="G13" i="17"/>
  <c r="G34" i="17"/>
  <c r="G53" i="17"/>
  <c r="G37" i="17"/>
  <c r="G54" i="17"/>
  <c r="G11" i="17"/>
  <c r="G12" i="17"/>
  <c r="G23" i="17"/>
  <c r="G35" i="17"/>
  <c r="G29" i="17"/>
  <c r="G31" i="17"/>
  <c r="G14" i="17"/>
  <c r="G59" i="17"/>
  <c r="G58" i="17"/>
  <c r="G61" i="17"/>
  <c r="G69" i="17"/>
  <c r="G60" i="17"/>
  <c r="G51" i="20"/>
  <c r="G50" i="20"/>
  <c r="G35" i="20"/>
  <c r="G14" i="20"/>
  <c r="G17" i="20"/>
  <c r="G32" i="20"/>
  <c r="G8" i="20"/>
  <c r="G41" i="20"/>
  <c r="G36" i="20"/>
  <c r="G46" i="20"/>
  <c r="G18" i="20"/>
  <c r="G39" i="20"/>
  <c r="G47" i="20"/>
  <c r="G28" i="20"/>
  <c r="G37" i="20"/>
  <c r="G44" i="20"/>
  <c r="G11" i="20"/>
  <c r="G48" i="20"/>
  <c r="G30" i="20"/>
  <c r="G65" i="20"/>
  <c r="G66" i="20"/>
  <c r="G20" i="20"/>
  <c r="G24" i="20"/>
  <c r="G31" i="20"/>
  <c r="G22" i="20"/>
  <c r="G29" i="20"/>
  <c r="G12" i="20"/>
  <c r="G45" i="20"/>
  <c r="G56" i="20"/>
  <c r="G23" i="20"/>
  <c r="G19" i="20"/>
  <c r="G21" i="20"/>
  <c r="G10" i="20"/>
  <c r="G49" i="20"/>
  <c r="G27" i="20"/>
  <c r="G38" i="20"/>
  <c r="G9" i="20"/>
  <c r="G13" i="20"/>
  <c r="G40" i="20"/>
  <c r="G54" i="20"/>
  <c r="G53" i="20"/>
  <c r="G64" i="20"/>
  <c r="G55" i="20"/>
  <c r="C80" i="19"/>
  <c r="E80" i="19" s="1"/>
  <c r="H58" i="19"/>
  <c r="G2" i="19" s="1"/>
  <c r="O65" i="17" l="1"/>
  <c r="O66" i="17"/>
  <c r="O67" i="17" s="1"/>
  <c r="E2" i="20"/>
  <c r="P62" i="20"/>
  <c r="F67" i="19"/>
  <c r="H59" i="19"/>
  <c r="O58" i="19"/>
  <c r="E73" i="19"/>
  <c r="E82" i="19" s="1"/>
  <c r="C85" i="19"/>
  <c r="E85" i="19" s="1"/>
  <c r="O60" i="19" l="1"/>
  <c r="O61" i="19" s="1"/>
  <c r="O63" i="19" s="1"/>
  <c r="E2" i="17"/>
  <c r="P67" i="17"/>
  <c r="C75" i="19"/>
  <c r="E67" i="19"/>
  <c r="F70" i="19"/>
  <c r="G67" i="19" s="1"/>
  <c r="O64" i="19" l="1"/>
  <c r="O65" i="19"/>
  <c r="O66" i="19" s="1"/>
  <c r="C87" i="19"/>
  <c r="E87" i="19" s="1"/>
  <c r="E75" i="19"/>
  <c r="G41" i="19"/>
  <c r="G40" i="19"/>
  <c r="G55" i="19"/>
  <c r="G19" i="19"/>
  <c r="G10" i="19"/>
  <c r="G69" i="19"/>
  <c r="G30" i="19"/>
  <c r="G70" i="19"/>
  <c r="G33" i="19"/>
  <c r="G8" i="19"/>
  <c r="G42" i="19"/>
  <c r="G21" i="19"/>
  <c r="G27" i="19"/>
  <c r="G51" i="19"/>
  <c r="G29" i="19"/>
  <c r="G49" i="19"/>
  <c r="G28" i="19"/>
  <c r="G32" i="19"/>
  <c r="G20" i="19"/>
  <c r="G50" i="19"/>
  <c r="G52" i="19"/>
  <c r="G13" i="19"/>
  <c r="G22" i="19"/>
  <c r="G43" i="19"/>
  <c r="G45" i="19"/>
  <c r="G44" i="19"/>
  <c r="G23" i="19"/>
  <c r="G9" i="19"/>
  <c r="G53" i="19"/>
  <c r="G54" i="19"/>
  <c r="G36" i="19"/>
  <c r="G14" i="19"/>
  <c r="G11" i="19"/>
  <c r="G24" i="19"/>
  <c r="G12" i="19"/>
  <c r="G34" i="19"/>
  <c r="G35" i="19"/>
  <c r="G31" i="19"/>
  <c r="G18" i="19"/>
  <c r="G48" i="19"/>
  <c r="G39" i="19"/>
  <c r="G17" i="19"/>
  <c r="G60" i="19"/>
  <c r="G58" i="19"/>
  <c r="G57" i="19"/>
  <c r="G68" i="19"/>
  <c r="G59" i="19"/>
  <c r="E2" i="19" l="1"/>
  <c r="P66" i="19"/>
</calcChain>
</file>

<file path=xl/sharedStrings.xml><?xml version="1.0" encoding="utf-8"?>
<sst xmlns="http://schemas.openxmlformats.org/spreadsheetml/2006/main" count="483" uniqueCount="179">
  <si>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</si>
  <si>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</si>
  <si>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</si>
  <si>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</si>
  <si>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</si>
  <si>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</si>
  <si>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</si>
  <si>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</si>
  <si>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</si>
  <si>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</si>
  <si>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</si>
  <si>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</si>
  <si>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</si>
  <si>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</si>
  <si>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</si>
  <si>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</si>
  <si>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</si>
  <si>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Aprobado</t>
  </si>
  <si>
    <t>Descripción del ingrediente</t>
  </si>
  <si>
    <t>Medida alternativa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</si>
  <si>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</si>
  <si>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</si>
  <si>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</si>
  <si>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</si>
  <si>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</si>
  <si>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</si>
  <si>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</si>
  <si>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</si>
  <si>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min</t>
  </si>
  <si>
    <t>FAS</t>
  </si>
  <si>
    <t>AREA QUE PRODUCE:</t>
  </si>
  <si>
    <t xml:space="preserve">AREA QUE EMPACA: </t>
  </si>
  <si>
    <t>1112431</t>
  </si>
  <si>
    <t>EMPAQUE</t>
  </si>
  <si>
    <t>ud</t>
  </si>
  <si>
    <t>ETIQ.FECHA VENCIMIENTO BLANCO (ROLLO)</t>
  </si>
  <si>
    <t>1</t>
  </si>
  <si>
    <t>710295</t>
  </si>
  <si>
    <t>907000215</t>
  </si>
  <si>
    <t>ROSQUETE MINI CAKE MELOCOTON 35g</t>
  </si>
  <si>
    <t>ALMIBAR (KILO)</t>
  </si>
  <si>
    <t>902000085</t>
  </si>
  <si>
    <t>20500039</t>
  </si>
  <si>
    <t>95717</t>
  </si>
  <si>
    <t>20100117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</si>
  <si>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</si>
  <si>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</si>
  <si>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</si>
  <si>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</si>
  <si>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</si>
  <si>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</si>
  <si>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</si>
  <si>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</si>
  <si>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</si>
  <si>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</si>
  <si>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</si>
  <si>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</si>
  <si>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</si>
  <si>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</si>
  <si>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</si>
  <si>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</si>
  <si>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</si>
  <si>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</si>
  <si>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</si>
  <si>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</si>
  <si>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</si>
  <si>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</si>
  <si>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</si>
  <si>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</si>
  <si>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</si>
  <si>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</si>
  <si>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</si>
  <si>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</si>
  <si>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</si>
  <si>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</si>
  <si>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</si>
  <si>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</si>
  <si>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</si>
  <si>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</si>
  <si>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</si>
  <si>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</si>
  <si>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</si>
  <si>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</si>
  <si>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</si>
  <si>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</si>
  <si>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</si>
  <si>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</si>
  <si>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</si>
  <si>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</si>
  <si>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</si>
  <si>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</si>
  <si>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</si>
  <si>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</si>
  <si>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</si>
  <si>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</si>
  <si>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</si>
  <si>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</si>
  <si>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</si>
  <si>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</si>
  <si>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</si>
  <si>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</si>
  <si>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</si>
  <si>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</si>
  <si>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</si>
  <si>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</si>
  <si>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</si>
  <si>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</si>
  <si>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</si>
  <si>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</si>
  <si>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</si>
  <si>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</si>
  <si>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</si>
  <si>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</si>
  <si>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</si>
  <si>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</si>
  <si>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</si>
  <si>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</si>
  <si>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</si>
  <si>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</si>
  <si>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908000021</t>
  </si>
  <si>
    <t xml:space="preserve">UND </t>
  </si>
  <si>
    <t>UND</t>
  </si>
  <si>
    <t>1950942</t>
  </si>
  <si>
    <t>121208</t>
  </si>
  <si>
    <t>702174</t>
  </si>
  <si>
    <t>701096</t>
  </si>
  <si>
    <t>0702077</t>
  </si>
  <si>
    <t>0702007</t>
  </si>
  <si>
    <t>0702123</t>
  </si>
  <si>
    <t>1950699</t>
  </si>
  <si>
    <t>Und</t>
  </si>
  <si>
    <t>MINI CAKE MELOCOTON</t>
  </si>
  <si>
    <t>1070002</t>
  </si>
  <si>
    <t>EMPAQUE RELLENO MELOCOTON CUBOS PARA TORTA</t>
  </si>
  <si>
    <t>902000151</t>
  </si>
  <si>
    <t>11400066</t>
  </si>
  <si>
    <t>MANJAR LECHE CONDENSADA (PAQ: 6 K)</t>
  </si>
  <si>
    <t>QUEQUERA MINI CAKE (CAJA:100UND)</t>
  </si>
  <si>
    <t>51400047</t>
  </si>
  <si>
    <t>EM10004</t>
  </si>
  <si>
    <t>ROSQUETE NUCLEO VAINILLA DAWN REDONDO 70g</t>
  </si>
  <si>
    <t>910000018</t>
  </si>
  <si>
    <t>MODI 61 COLONES X MIN</t>
  </si>
  <si>
    <t xml:space="preserve">Gf 58 colones min </t>
  </si>
  <si>
    <t>,</t>
  </si>
  <si>
    <t>SE00444</t>
  </si>
  <si>
    <t>BATIDO NUCLEO VAINILLA DAWN</t>
  </si>
  <si>
    <t>902000019</t>
  </si>
  <si>
    <t>MEZCLA P/ENGRASE MOLDES KILO</t>
  </si>
  <si>
    <t>AS00028</t>
  </si>
  <si>
    <t>BOLSA TRANSPARENTE 56X96X1.80 KILO</t>
  </si>
  <si>
    <t>EM10002</t>
  </si>
  <si>
    <t>ETIQ.BLANCA 1 1/4 * 3/4 (UND)</t>
  </si>
  <si>
    <t>1.- Pesar 70g de mezcla en los moldes previamente engrasados.</t>
  </si>
  <si>
    <t>2.- Hornear en cualquiera de los Dicte a 175°C por 30 a 32 minutos.</t>
  </si>
  <si>
    <t xml:space="preserve">3.- Enfriar y empacar 40 unidades por lata, cubrir con bolsa y etiquetar con fecha de produccion. </t>
  </si>
  <si>
    <t>907000306</t>
  </si>
  <si>
    <t xml:space="preserve">Gramos </t>
  </si>
  <si>
    <t>1950928</t>
  </si>
  <si>
    <t>0702069</t>
  </si>
  <si>
    <t>Gramos</t>
  </si>
  <si>
    <t>NUEVO</t>
  </si>
  <si>
    <t>Gramo</t>
  </si>
  <si>
    <t>Javier Tong, Chef</t>
  </si>
  <si>
    <t>Esteban Cartin, Gte Manufactura</t>
  </si>
  <si>
    <t>Batidos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</si>
  <si>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</si>
  <si>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</si>
  <si>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</si>
  <si>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</si>
  <si>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</si>
  <si>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</si>
  <si>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</si>
  <si>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</si>
  <si>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</si>
  <si>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ESP-RE-BAS-040</t>
  </si>
  <si>
    <t xml:space="preserve">2, Se actualiza gramaje </t>
  </si>
  <si>
    <t>02</t>
  </si>
  <si>
    <t xml:space="preserve"> 907000337 ( SE00393) Rosquete nucleo vainilla Dawn Redondo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</si>
</sst>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"/>
    <numFmt numFmtId="171" formatCode="_(* #,##0.000_);_(* \(#,##0.000\);_(* &quot;-&quot;??_);_(@_)"/>
  </numFmts>
  <fonts count="6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b/>
      <sz val="8"/>
      <name val="Times New Roman"/>
      <family val="1"/>
    </font>
    <font>
      <b/>
      <sz val="8"/>
      <color indexed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9"/>
      <name val="Times New Roman"/>
      <family val="1"/>
    </font>
    <font>
      <sz val="9"/>
      <color indexed="1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sz val="9"/>
      <color indexed="12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b/>
      <sz val="8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9"/>
      <color indexed="60"/>
      <name val="Times New Roman"/>
      <family val="1"/>
    </font>
    <font>
      <b/>
      <sz val="10"/>
      <color indexed="18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79">
    <xf numFmtId="0" fontId="0" fillId="0" borderId="0" xfId="0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10" fontId="5" fillId="0" borderId="0" xfId="40" applyNumberFormat="1" applyFont="1" applyFill="1" applyAlignment="1">
      <alignment vertical="center"/>
    </xf>
    <xf numFmtId="10" fontId="15" fillId="0" borderId="0" xfId="40" applyNumberFormat="1" applyFont="1" applyFill="1" applyAlignment="1">
      <alignment vertical="center"/>
    </xf>
    <xf numFmtId="10" fontId="4" fillId="0" borderId="0" xfId="40" applyNumberFormat="1" applyFont="1" applyFill="1" applyAlignment="1">
      <alignment vertical="center"/>
    </xf>
    <xf numFmtId="0" fontId="4" fillId="0" borderId="0" xfId="0" applyFont="1" applyAlignment="1">
      <alignment horizontal="center" vertical="center" wrapText="1"/>
    </xf>
    <xf numFmtId="10" fontId="24" fillId="0" borderId="0" xfId="40" applyNumberFormat="1" applyFont="1" applyFill="1" applyAlignment="1">
      <alignment vertical="center"/>
    </xf>
    <xf numFmtId="10" fontId="24" fillId="0" borderId="0" xfId="40" applyNumberFormat="1" applyFont="1" applyFill="1" applyBorder="1" applyAlignment="1">
      <alignment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10" fontId="32" fillId="0" borderId="0" xfId="40" applyNumberFormat="1" applyFont="1" applyFill="1" applyAlignment="1">
      <alignment vertical="center"/>
    </xf>
    <xf numFmtId="10" fontId="38" fillId="0" borderId="0" xfId="40" applyNumberFormat="1" applyFont="1" applyFill="1" applyBorder="1"/>
    <xf numFmtId="10" fontId="32" fillId="0" borderId="0" xfId="40" applyNumberFormat="1" applyFont="1" applyFill="1"/>
    <xf numFmtId="10" fontId="36" fillId="0" borderId="0" xfId="40" applyNumberFormat="1" applyFont="1" applyFill="1" applyAlignment="1">
      <alignment horizontal="right"/>
    </xf>
    <xf numFmtId="10" fontId="34" fillId="0" borderId="0" xfId="40" applyNumberFormat="1" applyFont="1" applyFill="1" applyAlignment="1">
      <alignment horizontal="right"/>
    </xf>
    <xf numFmtId="10" fontId="38" fillId="0" borderId="0" xfId="40" applyNumberFormat="1" applyFont="1" applyFill="1"/>
    <xf numFmtId="10" fontId="42" fillId="0" borderId="0" xfId="40" applyNumberFormat="1" applyFont="1" applyFill="1"/>
    <xf numFmtId="0" fontId="29" fillId="5" borderId="1" xfId="0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 wrapText="1"/>
    </xf>
    <xf numFmtId="0" fontId="32" fillId="0" borderId="0" xfId="0" applyFont="1"/>
    <xf numFmtId="10" fontId="31" fillId="0" borderId="0" xfId="40" applyNumberFormat="1" applyFont="1" applyFill="1" applyAlignment="1">
      <alignment horizontal="right"/>
    </xf>
    <xf numFmtId="0" fontId="31" fillId="4" borderId="6" xfId="0" applyFont="1" applyFill="1" applyBorder="1"/>
    <xf numFmtId="10" fontId="15" fillId="4" borderId="14" xfId="40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10" fontId="15" fillId="4" borderId="15" xfId="40" applyNumberFormat="1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10" fontId="15" fillId="0" borderId="0" xfId="40" applyNumberFormat="1" applyFont="1" applyFill="1" applyBorder="1" applyAlignment="1">
      <alignment vertical="center"/>
    </xf>
    <xf numFmtId="0" fontId="15" fillId="4" borderId="16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right" vertical="center"/>
    </xf>
    <xf numFmtId="0" fontId="37" fillId="0" borderId="0" xfId="0" applyFont="1" applyAlignment="1">
      <alignment horizontal="center"/>
    </xf>
    <xf numFmtId="3" fontId="32" fillId="2" borderId="17" xfId="0" applyNumberFormat="1" applyFont="1" applyFill="1" applyBorder="1" applyAlignment="1">
      <alignment horizontal="center"/>
    </xf>
    <xf numFmtId="10" fontId="38" fillId="0" borderId="0" xfId="40" applyNumberFormat="1" applyFont="1" applyFill="1" applyAlignment="1">
      <alignment horizontal="right"/>
    </xf>
    <xf numFmtId="9" fontId="32" fillId="0" borderId="0" xfId="40" applyFont="1" applyFill="1" applyAlignment="1">
      <alignment vertical="center"/>
    </xf>
    <xf numFmtId="9" fontId="32" fillId="0" borderId="0" xfId="40" applyFont="1" applyAlignment="1">
      <alignment horizontal="right"/>
    </xf>
    <xf numFmtId="9" fontId="37" fillId="0" borderId="0" xfId="40" applyFont="1" applyFill="1"/>
    <xf numFmtId="10" fontId="32" fillId="0" borderId="0" xfId="40" applyNumberFormat="1" applyFont="1" applyFill="1" applyBorder="1" applyAlignment="1">
      <alignment horizontal="right"/>
    </xf>
    <xf numFmtId="0" fontId="4" fillId="9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/>
    </xf>
    <xf numFmtId="9" fontId="37" fillId="0" borderId="0" xfId="40" applyFont="1" applyFill="1" applyAlignment="1">
      <alignment horizontal="center"/>
    </xf>
    <xf numFmtId="9" fontId="54" fillId="0" borderId="0" xfId="40" applyFont="1" applyFill="1" applyAlignment="1">
      <alignment horizontal="center"/>
    </xf>
    <xf numFmtId="0" fontId="32" fillId="0" borderId="0" xfId="40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5" fillId="0" borderId="1" xfId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43" fontId="50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7" fontId="4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5" fillId="0" borderId="0" xfId="2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" fontId="5" fillId="0" borderId="0" xfId="1" applyNumberFormat="1" applyFont="1" applyFill="1" applyAlignment="1">
      <alignment vertical="center"/>
    </xf>
    <xf numFmtId="43" fontId="21" fillId="0" borderId="0" xfId="1" applyFont="1" applyFill="1" applyAlignment="1">
      <alignment horizontal="center" vertical="center"/>
    </xf>
    <xf numFmtId="43" fontId="21" fillId="4" borderId="15" xfId="1" applyFont="1" applyFill="1" applyBorder="1" applyAlignment="1">
      <alignment horizontal="center" vertical="center"/>
    </xf>
    <xf numFmtId="43" fontId="31" fillId="0" borderId="0" xfId="1" applyFont="1" applyFill="1" applyBorder="1" applyAlignment="1">
      <alignment horizontal="right"/>
    </xf>
    <xf numFmtId="0" fontId="33" fillId="0" borderId="0" xfId="0" applyFont="1" applyAlignment="1">
      <alignment horizontal="right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18" xfId="0" applyFont="1" applyBorder="1" applyAlignment="1">
      <alignment horizontal="right"/>
    </xf>
    <xf numFmtId="43" fontId="32" fillId="5" borderId="17" xfId="1" applyFont="1" applyFill="1" applyBorder="1" applyAlignment="1">
      <alignment horizontal="right"/>
    </xf>
    <xf numFmtId="43" fontId="32" fillId="0" borderId="0" xfId="1" applyFont="1" applyFill="1" applyBorder="1" applyAlignment="1">
      <alignment horizontal="right"/>
    </xf>
    <xf numFmtId="43" fontId="5" fillId="0" borderId="1" xfId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68" fontId="5" fillId="4" borderId="1" xfId="1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5" fillId="6" borderId="1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2" fontId="36" fillId="0" borderId="0" xfId="1" applyNumberFormat="1" applyFont="1" applyFill="1" applyBorder="1" applyAlignment="1">
      <alignment horizontal="center"/>
    </xf>
    <xf numFmtId="2" fontId="38" fillId="0" borderId="0" xfId="1" applyNumberFormat="1" applyFont="1" applyFill="1" applyBorder="1" applyAlignment="1">
      <alignment horizontal="center"/>
    </xf>
    <xf numFmtId="4" fontId="4" fillId="0" borderId="0" xfId="1" applyNumberFormat="1" applyFont="1" applyFill="1" applyAlignment="1">
      <alignment vertical="center"/>
    </xf>
    <xf numFmtId="43" fontId="32" fillId="4" borderId="6" xfId="1" applyFont="1" applyFill="1" applyBorder="1" applyAlignment="1">
      <alignment horizontal="right"/>
    </xf>
    <xf numFmtId="10" fontId="23" fillId="0" borderId="0" xfId="1" applyNumberFormat="1" applyFont="1" applyFill="1" applyAlignment="1">
      <alignment vertical="center"/>
    </xf>
    <xf numFmtId="165" fontId="45" fillId="0" borderId="0" xfId="0" applyNumberFormat="1" applyFont="1" applyAlignment="1">
      <alignment horizontal="center" vertical="center"/>
    </xf>
    <xf numFmtId="43" fontId="25" fillId="0" borderId="0" xfId="1" applyFont="1" applyFill="1" applyAlignment="1">
      <alignment vertical="center"/>
    </xf>
    <xf numFmtId="4" fontId="17" fillId="0" borderId="0" xfId="2" applyNumberFormat="1" applyFont="1" applyFill="1" applyAlignment="1">
      <alignment horizontal="center" vertical="center" wrapText="1"/>
    </xf>
    <xf numFmtId="9" fontId="4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5" fillId="7" borderId="17" xfId="1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43" fontId="49" fillId="0" borderId="0" xfId="1" applyFont="1" applyFill="1" applyAlignment="1">
      <alignment vertical="center"/>
    </xf>
    <xf numFmtId="9" fontId="49" fillId="0" borderId="0" xfId="1" applyNumberFormat="1" applyFont="1" applyFill="1" applyAlignment="1">
      <alignment vertical="center"/>
    </xf>
    <xf numFmtId="4" fontId="5" fillId="0" borderId="0" xfId="1" applyNumberFormat="1" applyFont="1" applyFill="1" applyAlignment="1">
      <alignment horizontal="center" vertical="center"/>
    </xf>
    <xf numFmtId="43" fontId="24" fillId="0" borderId="0" xfId="1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1" applyFont="1" applyFill="1" applyBorder="1"/>
    <xf numFmtId="0" fontId="24" fillId="0" borderId="0" xfId="0" applyFont="1" applyAlignment="1">
      <alignment horizontal="right"/>
    </xf>
    <xf numFmtId="43" fontId="4" fillId="0" borderId="0" xfId="1" applyFont="1" applyFill="1" applyBorder="1" applyAlignment="1">
      <alignment horizontal="center"/>
    </xf>
    <xf numFmtId="9" fontId="27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22" fillId="0" borderId="0" xfId="0" applyFont="1"/>
    <xf numFmtId="0" fontId="47" fillId="0" borderId="19" xfId="0" applyFont="1" applyBorder="1" applyAlignment="1">
      <alignment horizontal="center" vertical="center" wrapText="1"/>
    </xf>
    <xf numFmtId="43" fontId="32" fillId="0" borderId="0" xfId="1" applyFont="1"/>
    <xf numFmtId="4" fontId="32" fillId="0" borderId="0" xfId="1" applyNumberFormat="1" applyFont="1" applyAlignment="1">
      <alignment horizontal="right"/>
    </xf>
    <xf numFmtId="49" fontId="32" fillId="0" borderId="0" xfId="2" applyNumberFormat="1" applyFont="1" applyAlignment="1">
      <alignment horizontal="center"/>
    </xf>
    <xf numFmtId="0" fontId="31" fillId="0" borderId="0" xfId="0" applyFont="1"/>
    <xf numFmtId="43" fontId="39" fillId="0" borderId="0" xfId="1" applyFont="1" applyFill="1" applyBorder="1" applyAlignment="1">
      <alignment horizontal="center"/>
    </xf>
    <xf numFmtId="0" fontId="39" fillId="0" borderId="0" xfId="0" applyFont="1"/>
    <xf numFmtId="4" fontId="39" fillId="0" borderId="0" xfId="2" applyNumberFormat="1" applyFont="1" applyFill="1" applyBorder="1"/>
    <xf numFmtId="4" fontId="39" fillId="0" borderId="0" xfId="2" applyNumberFormat="1" applyFont="1" applyFill="1" applyBorder="1" applyAlignment="1">
      <alignment horizontal="right"/>
    </xf>
    <xf numFmtId="49" fontId="39" fillId="0" borderId="0" xfId="2" applyNumberFormat="1" applyFont="1" applyFill="1" applyBorder="1" applyAlignment="1">
      <alignment horizontal="center"/>
    </xf>
    <xf numFmtId="43" fontId="31" fillId="0" borderId="20" xfId="1" applyFont="1" applyFill="1" applyBorder="1" applyAlignment="1">
      <alignment horizontal="right"/>
    </xf>
    <xf numFmtId="9" fontId="37" fillId="0" borderId="0" xfId="1" applyNumberFormat="1" applyFont="1" applyFill="1" applyBorder="1"/>
    <xf numFmtId="4" fontId="37" fillId="0" borderId="0" xfId="1" applyNumberFormat="1" applyFont="1" applyFill="1" applyBorder="1" applyAlignment="1">
      <alignment horizontal="right"/>
    </xf>
    <xf numFmtId="169" fontId="36" fillId="0" borderId="0" xfId="1" applyNumberFormat="1" applyFont="1" applyFill="1"/>
    <xf numFmtId="2" fontId="37" fillId="0" borderId="0" xfId="0" applyNumberFormat="1" applyFont="1" applyAlignment="1">
      <alignment horizontal="center"/>
    </xf>
    <xf numFmtId="0" fontId="44" fillId="0" borderId="0" xfId="0" applyFont="1" applyAlignment="1">
      <alignment horizontal="right"/>
    </xf>
    <xf numFmtId="0" fontId="31" fillId="0" borderId="21" xfId="0" applyFont="1" applyBorder="1" applyAlignment="1">
      <alignment horizontal="right"/>
    </xf>
    <xf numFmtId="43" fontId="32" fillId="9" borderId="0" xfId="1" applyFont="1" applyFill="1" applyBorder="1" applyAlignment="1">
      <alignment horizontal="right"/>
    </xf>
    <xf numFmtId="2" fontId="41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165" fontId="36" fillId="0" borderId="0" xfId="0" applyNumberFormat="1" applyFont="1" applyAlignment="1">
      <alignment horizontal="right"/>
    </xf>
    <xf numFmtId="0" fontId="3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30" fillId="0" borderId="0" xfId="0" applyFont="1" applyAlignment="1">
      <alignment horizontal="center"/>
    </xf>
    <xf numFmtId="10" fontId="35" fillId="11" borderId="0" xfId="40" applyNumberFormat="1" applyFont="1" applyFill="1" applyAlignment="1">
      <alignment horizontal="right"/>
    </xf>
    <xf numFmtId="43" fontId="31" fillId="11" borderId="0" xfId="1" applyFont="1" applyFill="1" applyBorder="1" applyAlignment="1">
      <alignment horizontal="right"/>
    </xf>
    <xf numFmtId="10" fontId="5" fillId="0" borderId="0" xfId="33" applyNumberFormat="1" applyFont="1" applyFill="1" applyAlignment="1">
      <alignment vertical="center"/>
    </xf>
    <xf numFmtId="10" fontId="15" fillId="0" borderId="0" xfId="33" applyNumberFormat="1" applyFont="1" applyFill="1" applyAlignment="1">
      <alignment vertical="center"/>
    </xf>
    <xf numFmtId="10" fontId="15" fillId="4" borderId="14" xfId="33" applyNumberFormat="1" applyFont="1" applyFill="1" applyBorder="1" applyAlignment="1">
      <alignment vertical="center"/>
    </xf>
    <xf numFmtId="10" fontId="15" fillId="4" borderId="15" xfId="33" applyNumberFormat="1" applyFont="1" applyFill="1" applyBorder="1" applyAlignment="1">
      <alignment vertical="center"/>
    </xf>
    <xf numFmtId="0" fontId="33" fillId="0" borderId="0" xfId="0" applyFont="1"/>
    <xf numFmtId="9" fontId="33" fillId="0" borderId="0" xfId="0" applyNumberFormat="1" applyFont="1"/>
    <xf numFmtId="9" fontId="54" fillId="0" borderId="0" xfId="33" applyFont="1" applyFill="1" applyAlignment="1">
      <alignment horizontal="center"/>
    </xf>
    <xf numFmtId="10" fontId="36" fillId="0" borderId="0" xfId="33" applyNumberFormat="1" applyFont="1" applyFill="1" applyAlignment="1">
      <alignment horizontal="right"/>
    </xf>
    <xf numFmtId="10" fontId="4" fillId="0" borderId="0" xfId="33" applyNumberFormat="1" applyFont="1" applyFill="1" applyAlignment="1">
      <alignment vertical="center"/>
    </xf>
    <xf numFmtId="10" fontId="15" fillId="0" borderId="0" xfId="33" applyNumberFormat="1" applyFont="1" applyFill="1" applyBorder="1" applyAlignment="1">
      <alignment vertical="center"/>
    </xf>
    <xf numFmtId="10" fontId="24" fillId="0" borderId="0" xfId="33" applyNumberFormat="1" applyFont="1" applyFill="1" applyAlignment="1">
      <alignment vertical="center"/>
    </xf>
    <xf numFmtId="10" fontId="24" fillId="0" borderId="0" xfId="33" applyNumberFormat="1" applyFont="1" applyFill="1" applyBorder="1" applyAlignment="1">
      <alignment vertical="center"/>
    </xf>
    <xf numFmtId="0" fontId="9" fillId="3" borderId="22" xfId="32" applyFont="1" applyFill="1" applyBorder="1" applyAlignment="1">
      <alignment horizontal="right"/>
    </xf>
    <xf numFmtId="0" fontId="7" fillId="3" borderId="2" xfId="32" applyFont="1" applyFill="1" applyBorder="1" applyAlignment="1">
      <alignment horizontal="center"/>
    </xf>
    <xf numFmtId="0" fontId="9" fillId="3" borderId="1" xfId="32" applyFont="1" applyFill="1" applyBorder="1" applyAlignment="1">
      <alignment horizontal="right"/>
    </xf>
    <xf numFmtId="49" fontId="7" fillId="3" borderId="4" xfId="32" applyNumberFormat="1" applyFont="1" applyFill="1" applyBorder="1" applyAlignment="1">
      <alignment horizontal="center"/>
    </xf>
    <xf numFmtId="0" fontId="7" fillId="3" borderId="3" xfId="32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3" borderId="1" xfId="32" applyFont="1" applyFill="1" applyBorder="1" applyAlignment="1">
      <alignment horizontal="right"/>
    </xf>
    <xf numFmtId="14" fontId="53" fillId="3" borderId="0" xfId="32" applyNumberFormat="1" applyFont="1" applyFill="1" applyAlignment="1">
      <alignment horizontal="center" vertical="center" wrapText="1"/>
    </xf>
    <xf numFmtId="0" fontId="9" fillId="2" borderId="2" xfId="26" applyFont="1" applyFill="1" applyBorder="1" applyAlignment="1">
      <alignment horizontal="center" vertical="center" wrapText="1"/>
    </xf>
    <xf numFmtId="1" fontId="9" fillId="2" borderId="23" xfId="26" applyNumberFormat="1" applyFont="1" applyFill="1" applyBorder="1" applyAlignment="1">
      <alignment horizontal="center"/>
    </xf>
    <xf numFmtId="1" fontId="9" fillId="2" borderId="23" xfId="26" applyNumberFormat="1" applyFont="1" applyFill="1" applyBorder="1" applyAlignment="1">
      <alignment horizontal="center" wrapText="1"/>
    </xf>
    <xf numFmtId="0" fontId="9" fillId="2" borderId="24" xfId="26" applyFont="1" applyFill="1" applyBorder="1" applyAlignment="1">
      <alignment horizontal="center"/>
    </xf>
    <xf numFmtId="0" fontId="51" fillId="0" borderId="52" xfId="26" applyFont="1" applyBorder="1" applyAlignment="1">
      <alignment horizontal="center" vertical="center"/>
    </xf>
    <xf numFmtId="0" fontId="51" fillId="0" borderId="25" xfId="26" applyFont="1" applyBorder="1" applyAlignment="1">
      <alignment horizontal="center" vertical="center"/>
    </xf>
    <xf numFmtId="0" fontId="57" fillId="0" borderId="1" xfId="26" applyFont="1" applyBorder="1" applyAlignment="1">
      <alignment vertical="center"/>
    </xf>
    <xf numFmtId="0" fontId="51" fillId="0" borderId="1" xfId="26" applyFont="1" applyBorder="1" applyAlignment="1">
      <alignment horizontal="center" vertical="center"/>
    </xf>
    <xf numFmtId="1" fontId="51" fillId="0" borderId="1" xfId="26" applyNumberFormat="1" applyFont="1" applyBorder="1" applyAlignment="1">
      <alignment horizontal="center"/>
    </xf>
    <xf numFmtId="1" fontId="51" fillId="0" borderId="1" xfId="26" applyNumberFormat="1" applyFont="1" applyBorder="1" applyAlignment="1">
      <alignment horizontal="center" wrapText="1"/>
    </xf>
    <xf numFmtId="0" fontId="6" fillId="0" borderId="4" xfId="26" applyFont="1" applyBorder="1" applyAlignment="1">
      <alignment horizontal="center"/>
    </xf>
    <xf numFmtId="1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12" fontId="7" fillId="0" borderId="3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58" fillId="0" borderId="1" xfId="0" applyFont="1" applyBorder="1" applyAlignment="1">
      <alignment horizontal="center"/>
    </xf>
    <xf numFmtId="49" fontId="6" fillId="0" borderId="52" xfId="26" applyNumberFormat="1" applyFont="1" applyBorder="1" applyAlignment="1">
      <alignment horizontal="center"/>
    </xf>
    <xf numFmtId="49" fontId="6" fillId="0" borderId="25" xfId="26" applyNumberFormat="1" applyFont="1" applyBorder="1" applyAlignment="1">
      <alignment horizontal="center"/>
    </xf>
    <xf numFmtId="0" fontId="47" fillId="9" borderId="1" xfId="26" applyFont="1" applyFill="1" applyBorder="1" applyAlignment="1">
      <alignment horizontal="left"/>
    </xf>
    <xf numFmtId="0" fontId="7" fillId="9" borderId="1" xfId="26" applyFont="1" applyFill="1" applyBorder="1" applyAlignment="1">
      <alignment horizontal="center"/>
    </xf>
    <xf numFmtId="1" fontId="0" fillId="0" borderId="25" xfId="0" applyNumberFormat="1" applyBorder="1"/>
    <xf numFmtId="0" fontId="6" fillId="0" borderId="1" xfId="26" applyFont="1" applyBorder="1" applyAlignment="1">
      <alignment horizontal="center"/>
    </xf>
    <xf numFmtId="170" fontId="6" fillId="0" borderId="1" xfId="26" applyNumberFormat="1" applyFont="1" applyBorder="1" applyAlignment="1">
      <alignment horizontal="center"/>
    </xf>
    <xf numFmtId="1" fontId="6" fillId="0" borderId="1" xfId="26" applyNumberFormat="1" applyFont="1" applyBorder="1" applyAlignment="1">
      <alignment horizontal="center" wrapText="1"/>
    </xf>
    <xf numFmtId="0" fontId="59" fillId="9" borderId="52" xfId="0" applyFont="1" applyFill="1" applyBorder="1" applyAlignment="1">
      <alignment horizontal="center"/>
    </xf>
    <xf numFmtId="0" fontId="59" fillId="9" borderId="43" xfId="0" applyFont="1" applyFill="1" applyBorder="1" applyAlignment="1">
      <alignment horizontal="center"/>
    </xf>
    <xf numFmtId="0" fontId="59" fillId="9" borderId="3" xfId="0" applyFont="1" applyFill="1" applyBorder="1"/>
    <xf numFmtId="0" fontId="7" fillId="9" borderId="25" xfId="0" applyFont="1" applyFill="1" applyBorder="1" applyAlignment="1">
      <alignment horizontal="center"/>
    </xf>
    <xf numFmtId="1" fontId="7" fillId="9" borderId="3" xfId="0" applyNumberFormat="1" applyFont="1" applyFill="1" applyBorder="1" applyAlignment="1">
      <alignment horizontal="center"/>
    </xf>
    <xf numFmtId="1" fontId="7" fillId="9" borderId="3" xfId="0" applyNumberFormat="1" applyFont="1" applyFill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49" fontId="51" fillId="0" borderId="45" xfId="26" applyNumberFormat="1" applyFont="1" applyBorder="1" applyAlignment="1">
      <alignment horizontal="center"/>
    </xf>
    <xf numFmtId="49" fontId="51" fillId="0" borderId="46" xfId="26" applyNumberFormat="1" applyFont="1" applyBorder="1" applyAlignment="1">
      <alignment horizontal="center"/>
    </xf>
    <xf numFmtId="0" fontId="60" fillId="9" borderId="1" xfId="26" applyFont="1" applyFill="1" applyBorder="1" applyAlignment="1">
      <alignment vertical="center"/>
    </xf>
    <xf numFmtId="0" fontId="51" fillId="0" borderId="25" xfId="26" applyFont="1" applyBorder="1" applyAlignment="1">
      <alignment horizontal="center"/>
    </xf>
    <xf numFmtId="170" fontId="51" fillId="0" borderId="1" xfId="26" applyNumberFormat="1" applyFont="1" applyBorder="1" applyAlignment="1">
      <alignment horizontal="center"/>
    </xf>
    <xf numFmtId="49" fontId="6" fillId="0" borderId="52" xfId="0" applyNumberFormat="1" applyFont="1" applyBorder="1" applyAlignment="1">
      <alignment horizontal="center"/>
    </xf>
    <xf numFmtId="49" fontId="6" fillId="0" borderId="25" xfId="0" applyNumberFormat="1" applyFont="1" applyBorder="1" applyAlignment="1">
      <alignment horizontal="center"/>
    </xf>
    <xf numFmtId="49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171" fontId="9" fillId="9" borderId="1" xfId="1" applyNumberFormat="1" applyFont="1" applyFill="1" applyBorder="1" applyAlignment="1">
      <alignment horizontal="center"/>
    </xf>
    <xf numFmtId="0" fontId="61" fillId="0" borderId="52" xfId="0" applyFont="1" applyBorder="1" applyAlignment="1">
      <alignment horizontal="center"/>
    </xf>
    <xf numFmtId="0" fontId="61" fillId="0" borderId="25" xfId="0" applyFont="1" applyBorder="1" applyAlignment="1">
      <alignment horizontal="center"/>
    </xf>
    <xf numFmtId="0" fontId="49" fillId="0" borderId="1" xfId="0" applyFont="1" applyBorder="1"/>
    <xf numFmtId="0" fontId="0" fillId="0" borderId="1" xfId="0" applyBorder="1" applyAlignment="1">
      <alignment horizontal="left" vertical="center"/>
    </xf>
    <xf numFmtId="12" fontId="6" fillId="0" borderId="1" xfId="26" applyNumberFormat="1" applyFont="1" applyBorder="1" applyAlignment="1">
      <alignment horizontal="center"/>
    </xf>
    <xf numFmtId="1" fontId="6" fillId="0" borderId="1" xfId="26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49" fontId="11" fillId="3" borderId="27" xfId="26" applyNumberFormat="1" applyFont="1" applyFill="1" applyBorder="1" applyAlignment="1">
      <alignment horizontal="center" vertical="center"/>
    </xf>
    <xf numFmtId="49" fontId="11" fillId="3" borderId="0" xfId="26" applyNumberFormat="1" applyFont="1" applyFill="1" applyAlignment="1">
      <alignment horizontal="center" vertical="center"/>
    </xf>
    <xf numFmtId="0" fontId="7" fillId="3" borderId="0" xfId="26" applyFont="1" applyFill="1"/>
    <xf numFmtId="1" fontId="7" fillId="3" borderId="0" xfId="26" applyNumberFormat="1" applyFont="1" applyFill="1" applyAlignment="1">
      <alignment horizontal="center"/>
    </xf>
    <xf numFmtId="166" fontId="7" fillId="3" borderId="0" xfId="26" applyNumberFormat="1" applyFont="1" applyFill="1" applyAlignment="1">
      <alignment horizontal="center" wrapText="1"/>
    </xf>
    <xf numFmtId="0" fontId="7" fillId="3" borderId="18" xfId="26" applyFont="1" applyFill="1" applyBorder="1" applyAlignment="1">
      <alignment horizontal="center"/>
    </xf>
    <xf numFmtId="0" fontId="7" fillId="2" borderId="5" xfId="26" applyFont="1" applyFill="1" applyBorder="1" applyAlignment="1">
      <alignment horizontal="center"/>
    </xf>
    <xf numFmtId="0" fontId="7" fillId="2" borderId="6" xfId="26" applyFont="1" applyFill="1" applyBorder="1" applyAlignment="1">
      <alignment horizontal="center"/>
    </xf>
    <xf numFmtId="0" fontId="7" fillId="2" borderId="6" xfId="26" applyFont="1" applyFill="1" applyBorder="1"/>
    <xf numFmtId="0" fontId="9" fillId="2" borderId="6" xfId="26" applyFont="1" applyFill="1" applyBorder="1" applyAlignment="1">
      <alignment horizontal="center"/>
    </xf>
    <xf numFmtId="1" fontId="9" fillId="2" borderId="6" xfId="26" applyNumberFormat="1" applyFont="1" applyFill="1" applyBorder="1" applyAlignment="1">
      <alignment horizontal="center"/>
    </xf>
    <xf numFmtId="166" fontId="7" fillId="2" borderId="6" xfId="26" applyNumberFormat="1" applyFont="1" applyFill="1" applyBorder="1" applyAlignment="1">
      <alignment horizontal="center" wrapText="1"/>
    </xf>
    <xf numFmtId="0" fontId="7" fillId="2" borderId="7" xfId="26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7" fillId="3" borderId="26" xfId="32" applyNumberFormat="1" applyFont="1" applyFill="1" applyBorder="1" applyAlignment="1">
      <alignment horizontal="center" vertical="center" wrapText="1"/>
    </xf>
    <xf numFmtId="14" fontId="7" fillId="3" borderId="33" xfId="32" applyNumberFormat="1" applyFont="1" applyFill="1" applyBorder="1" applyAlignment="1">
      <alignment horizontal="center" vertical="center" wrapText="1"/>
    </xf>
    <xf numFmtId="14" fontId="7" fillId="3" borderId="10" xfId="32" applyNumberFormat="1" applyFont="1" applyFill="1" applyBorder="1" applyAlignment="1">
      <alignment horizontal="center" vertical="center" wrapText="1"/>
    </xf>
    <xf numFmtId="0" fontId="7" fillId="3" borderId="34" xfId="32" applyFont="1" applyFill="1" applyBorder="1" applyAlignment="1">
      <alignment horizontal="left"/>
    </xf>
    <xf numFmtId="0" fontId="7" fillId="3" borderId="35" xfId="32" applyFont="1" applyFill="1" applyBorder="1" applyAlignment="1">
      <alignment horizontal="left"/>
    </xf>
    <xf numFmtId="0" fontId="7" fillId="3" borderId="36" xfId="32" applyFont="1" applyFill="1" applyBorder="1" applyAlignment="1">
      <alignment horizontal="left"/>
    </xf>
    <xf numFmtId="0" fontId="7" fillId="3" borderId="47" xfId="32" applyFont="1" applyFill="1" applyBorder="1" applyAlignment="1">
      <alignment horizontal="left"/>
    </xf>
    <xf numFmtId="0" fontId="7" fillId="3" borderId="46" xfId="32" applyFont="1" applyFill="1" applyBorder="1" applyAlignment="1">
      <alignment horizontal="left"/>
    </xf>
    <xf numFmtId="0" fontId="7" fillId="3" borderId="25" xfId="32" applyFont="1" applyFill="1" applyBorder="1" applyAlignment="1">
      <alignment horizontal="left"/>
    </xf>
    <xf numFmtId="0" fontId="7" fillId="3" borderId="28" xfId="32" applyFont="1" applyFill="1" applyBorder="1" applyAlignment="1">
      <alignment horizontal="center"/>
    </xf>
    <xf numFmtId="0" fontId="7" fillId="3" borderId="29" xfId="32" applyFont="1" applyFill="1" applyBorder="1" applyAlignment="1">
      <alignment horizontal="center"/>
    </xf>
    <xf numFmtId="0" fontId="7" fillId="3" borderId="27" xfId="32" applyFont="1" applyFill="1" applyBorder="1" applyAlignment="1">
      <alignment horizontal="center"/>
    </xf>
    <xf numFmtId="0" fontId="7" fillId="3" borderId="0" xfId="32" applyFont="1" applyFill="1" applyAlignment="1">
      <alignment horizontal="center"/>
    </xf>
    <xf numFmtId="0" fontId="7" fillId="3" borderId="42" xfId="32" applyFont="1" applyFill="1" applyBorder="1" applyAlignment="1">
      <alignment horizontal="center"/>
    </xf>
    <xf numFmtId="0" fontId="7" fillId="3" borderId="19" xfId="32" applyFont="1" applyFill="1" applyBorder="1" applyAlignment="1">
      <alignment horizontal="center"/>
    </xf>
    <xf numFmtId="0" fontId="8" fillId="3" borderId="22" xfId="32" applyFont="1" applyFill="1" applyBorder="1" applyAlignment="1">
      <alignment horizontal="center"/>
    </xf>
    <xf numFmtId="0" fontId="8" fillId="3" borderId="37" xfId="32" applyFont="1" applyFill="1" applyBorder="1" applyAlignment="1">
      <alignment horizontal="center"/>
    </xf>
    <xf numFmtId="0" fontId="8" fillId="3" borderId="38" xfId="32" applyFont="1" applyFill="1" applyBorder="1" applyAlignment="1">
      <alignment horizontal="center"/>
    </xf>
    <xf numFmtId="0" fontId="8" fillId="3" borderId="39" xfId="32" applyFont="1" applyFill="1" applyBorder="1" applyAlignment="1">
      <alignment horizontal="center"/>
    </xf>
    <xf numFmtId="0" fontId="10" fillId="5" borderId="5" xfId="32" applyFont="1" applyFill="1" applyBorder="1" applyAlignment="1">
      <alignment horizontal="center" vertical="center" wrapText="1"/>
    </xf>
    <xf numFmtId="0" fontId="10" fillId="5" borderId="6" xfId="32" applyFont="1" applyFill="1" applyBorder="1" applyAlignment="1">
      <alignment horizontal="center" vertical="center" wrapText="1"/>
    </xf>
    <xf numFmtId="0" fontId="10" fillId="5" borderId="7" xfId="32" applyFont="1" applyFill="1" applyBorder="1" applyAlignment="1">
      <alignment horizontal="center" vertical="center" wrapText="1"/>
    </xf>
    <xf numFmtId="0" fontId="9" fillId="3" borderId="30" xfId="32" applyFont="1" applyFill="1" applyBorder="1" applyAlignment="1">
      <alignment horizontal="right" vertical="top" wrapText="1"/>
    </xf>
    <xf numFmtId="0" fontId="9" fillId="3" borderId="31" xfId="32" applyFont="1" applyFill="1" applyBorder="1" applyAlignment="1">
      <alignment horizontal="right" vertical="top" wrapText="1"/>
    </xf>
    <xf numFmtId="0" fontId="9" fillId="3" borderId="32" xfId="32" applyFont="1" applyFill="1" applyBorder="1" applyAlignment="1">
      <alignment horizontal="right" vertical="top" wrapText="1"/>
    </xf>
    <xf numFmtId="0" fontId="56" fillId="3" borderId="0" xfId="32" applyFont="1" applyFill="1" applyAlignment="1">
      <alignment horizontal="right"/>
    </xf>
    <xf numFmtId="0" fontId="53" fillId="3" borderId="21" xfId="32" applyFont="1" applyFill="1" applyBorder="1" applyAlignment="1">
      <alignment horizontal="center"/>
    </xf>
    <xf numFmtId="0" fontId="56" fillId="3" borderId="0" xfId="32" applyFont="1" applyFill="1"/>
    <xf numFmtId="0" fontId="9" fillId="2" borderId="40" xfId="26" applyFont="1" applyFill="1" applyBorder="1" applyAlignment="1">
      <alignment horizontal="center" vertical="center"/>
    </xf>
    <xf numFmtId="0" fontId="9" fillId="2" borderId="41" xfId="26" applyFont="1" applyFill="1" applyBorder="1" applyAlignment="1">
      <alignment horizontal="center" vertical="center"/>
    </xf>
    <xf numFmtId="0" fontId="9" fillId="2" borderId="40" xfId="26" applyFont="1" applyFill="1" applyBorder="1" applyAlignment="1">
      <alignment horizontal="center" vertical="center" wrapText="1"/>
    </xf>
    <xf numFmtId="0" fontId="9" fillId="2" borderId="41" xfId="26" applyFont="1" applyFill="1" applyBorder="1" applyAlignment="1">
      <alignment horizontal="center" vertical="center" wrapText="1"/>
    </xf>
    <xf numFmtId="0" fontId="9" fillId="2" borderId="22" xfId="26" applyFont="1" applyFill="1" applyBorder="1" applyAlignment="1">
      <alignment horizontal="center" vertical="center"/>
    </xf>
    <xf numFmtId="0" fontId="9" fillId="2" borderId="23" xfId="26" applyFont="1" applyFill="1" applyBorder="1" applyAlignment="1">
      <alignment horizontal="center" vertical="center"/>
    </xf>
    <xf numFmtId="0" fontId="9" fillId="0" borderId="42" xfId="26" applyFont="1" applyBorder="1" applyAlignment="1">
      <alignment horizontal="right"/>
    </xf>
    <xf numFmtId="0" fontId="9" fillId="0" borderId="19" xfId="26" applyFont="1" applyBorder="1" applyAlignment="1">
      <alignment horizontal="right"/>
    </xf>
    <xf numFmtId="0" fontId="9" fillId="0" borderId="43" xfId="26" applyFont="1" applyBorder="1" applyAlignment="1">
      <alignment horizontal="right"/>
    </xf>
    <xf numFmtId="166" fontId="7" fillId="0" borderId="3" xfId="26" applyNumberFormat="1" applyFont="1" applyBorder="1" applyAlignment="1">
      <alignment horizontal="right"/>
    </xf>
    <xf numFmtId="0" fontId="7" fillId="3" borderId="8" xfId="26" applyFont="1" applyFill="1" applyBorder="1" applyAlignment="1">
      <alignment horizontal="center"/>
    </xf>
    <xf numFmtId="0" fontId="7" fillId="3" borderId="44" xfId="26" applyFont="1" applyFill="1" applyBorder="1" applyAlignment="1">
      <alignment horizontal="center"/>
    </xf>
    <xf numFmtId="0" fontId="9" fillId="0" borderId="45" xfId="26" applyFont="1" applyBorder="1" applyAlignment="1">
      <alignment horizontal="right"/>
    </xf>
    <xf numFmtId="0" fontId="9" fillId="0" borderId="46" xfId="26" applyFont="1" applyBorder="1" applyAlignment="1">
      <alignment horizontal="right"/>
    </xf>
    <xf numFmtId="0" fontId="9" fillId="0" borderId="25" xfId="26" applyFont="1" applyBorder="1" applyAlignment="1">
      <alignment horizontal="right"/>
    </xf>
    <xf numFmtId="0" fontId="7" fillId="0" borderId="1" xfId="26" applyFont="1" applyBorder="1" applyAlignment="1">
      <alignment horizontal="right"/>
    </xf>
    <xf numFmtId="166" fontId="7" fillId="0" borderId="47" xfId="26" applyNumberFormat="1" applyFont="1" applyBorder="1" applyAlignment="1">
      <alignment horizontal="center"/>
    </xf>
    <xf numFmtId="166" fontId="7" fillId="0" borderId="48" xfId="26" applyNumberFormat="1" applyFont="1" applyBorder="1" applyAlignment="1">
      <alignment horizontal="center"/>
    </xf>
    <xf numFmtId="166" fontId="7" fillId="0" borderId="47" xfId="26" applyNumberFormat="1" applyFont="1" applyBorder="1" applyAlignment="1">
      <alignment horizontal="right" wrapText="1"/>
    </xf>
    <xf numFmtId="166" fontId="7" fillId="0" borderId="25" xfId="26" applyNumberFormat="1" applyFont="1" applyBorder="1" applyAlignment="1">
      <alignment horizontal="right" wrapText="1"/>
    </xf>
    <xf numFmtId="166" fontId="7" fillId="0" borderId="47" xfId="0" applyNumberFormat="1" applyFont="1" applyBorder="1" applyAlignment="1">
      <alignment horizontal="center" wrapText="1"/>
    </xf>
    <xf numFmtId="166" fontId="7" fillId="0" borderId="48" xfId="0" applyNumberFormat="1" applyFont="1" applyBorder="1" applyAlignment="1">
      <alignment horizontal="center" wrapText="1"/>
    </xf>
    <xf numFmtId="0" fontId="7" fillId="0" borderId="49" xfId="26" applyFont="1" applyBorder="1" applyAlignment="1">
      <alignment horizontal="left"/>
    </xf>
    <xf numFmtId="0" fontId="7" fillId="0" borderId="43" xfId="26" applyFont="1" applyBorder="1" applyAlignment="1">
      <alignment horizontal="left"/>
    </xf>
    <xf numFmtId="0" fontId="7" fillId="0" borderId="3" xfId="26" applyFont="1" applyBorder="1" applyAlignment="1">
      <alignment horizontal="left"/>
    </xf>
    <xf numFmtId="0" fontId="7" fillId="0" borderId="10" xfId="26" applyFont="1" applyBorder="1" applyAlignment="1">
      <alignment horizontal="left"/>
    </xf>
    <xf numFmtId="0" fontId="9" fillId="0" borderId="41" xfId="26" applyFont="1" applyBorder="1" applyAlignment="1">
      <alignment horizontal="right"/>
    </xf>
    <xf numFmtId="0" fontId="9" fillId="0" borderId="39" xfId="26" applyFont="1" applyBorder="1" applyAlignment="1">
      <alignment horizontal="right"/>
    </xf>
    <xf numFmtId="0" fontId="9" fillId="0" borderId="23" xfId="26" applyFont="1" applyBorder="1" applyAlignment="1">
      <alignment horizontal="right"/>
    </xf>
    <xf numFmtId="0" fontId="7" fillId="0" borderId="23" xfId="26" applyFont="1" applyBorder="1" applyAlignment="1">
      <alignment horizontal="right"/>
    </xf>
    <xf numFmtId="0" fontId="9" fillId="2" borderId="5" xfId="26" applyFont="1" applyFill="1" applyBorder="1" applyAlignment="1">
      <alignment horizontal="left"/>
    </xf>
    <xf numFmtId="0" fontId="9" fillId="2" borderId="6" xfId="26" applyFont="1" applyFill="1" applyBorder="1" applyAlignment="1">
      <alignment horizontal="left"/>
    </xf>
    <xf numFmtId="0" fontId="9" fillId="2" borderId="7" xfId="26" applyFont="1" applyFill="1" applyBorder="1" applyAlignment="1">
      <alignment horizontal="left"/>
    </xf>
    <xf numFmtId="0" fontId="7" fillId="0" borderId="49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7" fillId="0" borderId="45" xfId="26" applyFont="1" applyBorder="1" applyAlignment="1">
      <alignment horizontal="left"/>
    </xf>
    <xf numFmtId="0" fontId="7" fillId="0" borderId="46" xfId="26" applyFont="1" applyBorder="1" applyAlignment="1">
      <alignment horizontal="left"/>
    </xf>
    <xf numFmtId="0" fontId="7" fillId="0" borderId="48" xfId="26" applyFont="1" applyBorder="1" applyAlignment="1">
      <alignment horizontal="left"/>
    </xf>
    <xf numFmtId="0" fontId="62" fillId="0" borderId="42" xfId="26" applyFont="1" applyBorder="1" applyAlignment="1">
      <alignment horizontal="left" wrapText="1"/>
    </xf>
    <xf numFmtId="0" fontId="62" fillId="0" borderId="19" xfId="26" applyFont="1" applyBorder="1" applyAlignment="1">
      <alignment horizontal="left" wrapText="1"/>
    </xf>
    <xf numFmtId="0" fontId="62" fillId="0" borderId="44" xfId="26" applyFont="1" applyBorder="1" applyAlignment="1">
      <alignment horizontal="left" wrapText="1"/>
    </xf>
    <xf numFmtId="0" fontId="7" fillId="0" borderId="49" xfId="26" applyFont="1" applyBorder="1" applyAlignment="1">
      <alignment horizontal="left" wrapText="1"/>
    </xf>
    <xf numFmtId="0" fontId="7" fillId="0" borderId="43" xfId="26" applyFont="1" applyBorder="1" applyAlignment="1">
      <alignment horizontal="left" wrapText="1"/>
    </xf>
    <xf numFmtId="0" fontId="7" fillId="0" borderId="3" xfId="26" applyFont="1" applyBorder="1" applyAlignment="1">
      <alignment horizontal="left" wrapText="1"/>
    </xf>
    <xf numFmtId="0" fontId="7" fillId="0" borderId="10" xfId="26" applyFont="1" applyBorder="1" applyAlignment="1">
      <alignment horizontal="left" wrapText="1"/>
    </xf>
    <xf numFmtId="0" fontId="7" fillId="0" borderId="41" xfId="26" applyFont="1" applyBorder="1" applyAlignment="1">
      <alignment horizontal="left"/>
    </xf>
    <xf numFmtId="0" fontId="7" fillId="0" borderId="39" xfId="26" applyFont="1" applyBorder="1" applyAlignment="1">
      <alignment horizontal="left"/>
    </xf>
    <xf numFmtId="0" fontId="7" fillId="0" borderId="23" xfId="26" applyFont="1" applyBorder="1" applyAlignment="1">
      <alignment horizontal="left"/>
    </xf>
    <xf numFmtId="0" fontId="7" fillId="0" borderId="24" xfId="26" applyFont="1" applyBorder="1" applyAlignment="1">
      <alignment horizontal="left"/>
    </xf>
    <xf numFmtId="0" fontId="7" fillId="0" borderId="47" xfId="0" applyFont="1" applyBorder="1" applyAlignment="1">
      <alignment horizontal="left" wrapText="1"/>
    </xf>
    <xf numFmtId="0" fontId="7" fillId="0" borderId="46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9" fillId="12" borderId="53" xfId="32" applyFont="1" applyFill="1" applyBorder="1" applyAlignment="1">
      <alignment horizontal="center"/>
    </xf>
    <xf numFmtId="0" fontId="9" fillId="12" borderId="29" xfId="32" applyFont="1" applyFill="1" applyBorder="1" applyAlignment="1">
      <alignment horizontal="center"/>
    </xf>
    <xf numFmtId="0" fontId="7" fillId="3" borderId="54" xfId="32" applyFont="1" applyFill="1" applyBorder="1" applyAlignment="1">
      <alignment horizontal="left"/>
    </xf>
    <xf numFmtId="0" fontId="7" fillId="3" borderId="0" xfId="32" applyFont="1" applyFill="1" applyAlignment="1">
      <alignment horizontal="left"/>
    </xf>
    <xf numFmtId="0" fontId="21" fillId="0" borderId="0" xfId="0" applyFont="1" applyAlignment="1">
      <alignment horizontal="center" vertical="center"/>
    </xf>
    <xf numFmtId="0" fontId="28" fillId="0" borderId="5" xfId="0" applyFont="1" applyBorder="1" applyAlignment="1">
      <alignment horizontal="right" vertical="center"/>
    </xf>
    <xf numFmtId="0" fontId="28" fillId="0" borderId="6" xfId="0" applyFont="1" applyBorder="1" applyAlignment="1">
      <alignment horizontal="right" vertical="center"/>
    </xf>
    <xf numFmtId="0" fontId="28" fillId="0" borderId="7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36" fillId="0" borderId="21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32" fillId="4" borderId="5" xfId="0" applyFont="1" applyFill="1" applyBorder="1" applyAlignment="1">
      <alignment horizontal="right"/>
    </xf>
    <xf numFmtId="0" fontId="32" fillId="4" borderId="6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8" borderId="5" xfId="0" applyFont="1" applyFill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8" borderId="7" xfId="0" applyFont="1" applyFill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4" fillId="0" borderId="1" xfId="0" applyFont="1" applyBorder="1" applyAlignment="1">
      <alignment horizontal="right" vertical="center"/>
    </xf>
    <xf numFmtId="0" fontId="43" fillId="0" borderId="27" xfId="0" applyFont="1" applyBorder="1" applyAlignment="1">
      <alignment horizontal="right"/>
    </xf>
    <xf numFmtId="0" fontId="43" fillId="0" borderId="0" xfId="0" applyFont="1" applyAlignment="1">
      <alignment horizontal="right"/>
    </xf>
    <xf numFmtId="0" fontId="43" fillId="0" borderId="18" xfId="0" applyFont="1" applyBorder="1" applyAlignment="1">
      <alignment horizontal="right"/>
    </xf>
    <xf numFmtId="0" fontId="5" fillId="0" borderId="0" xfId="0" applyFont="1" applyAlignment="1">
      <alignment horizontal="right" vertical="center"/>
    </xf>
    <xf numFmtId="4" fontId="17" fillId="0" borderId="0" xfId="2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3" fillId="0" borderId="28" xfId="0" applyFont="1" applyBorder="1" applyAlignment="1">
      <alignment horizontal="right"/>
    </xf>
    <xf numFmtId="0" fontId="33" fillId="0" borderId="29" xfId="0" applyFont="1" applyBorder="1" applyAlignment="1">
      <alignment horizontal="right"/>
    </xf>
    <xf numFmtId="0" fontId="14" fillId="0" borderId="2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48" fillId="0" borderId="6" xfId="0" applyFont="1" applyBorder="1" applyAlignment="1">
      <alignment horizontal="right" vertical="center" wrapText="1"/>
    </xf>
    <xf numFmtId="0" fontId="46" fillId="0" borderId="5" xfId="0" applyFont="1" applyBorder="1" applyAlignment="1">
      <alignment horizontal="center"/>
    </xf>
    <xf numFmtId="0" fontId="46" fillId="0" borderId="6" xfId="0" applyFont="1" applyBorder="1" applyAlignment="1">
      <alignment horizontal="center"/>
    </xf>
    <xf numFmtId="0" fontId="46" fillId="0" borderId="7" xfId="0" applyFont="1" applyBorder="1" applyAlignment="1">
      <alignment horizontal="center"/>
    </xf>
    <xf numFmtId="0" fontId="46" fillId="0" borderId="50" xfId="0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right" vertical="center" wrapText="1"/>
    </xf>
    <xf numFmtId="0" fontId="38" fillId="0" borderId="0" xfId="0" applyFont="1" applyAlignment="1">
      <alignment horizontal="right"/>
    </xf>
    <xf numFmtId="0" fontId="38" fillId="0" borderId="18" xfId="0" applyFont="1" applyBorder="1" applyAlignment="1">
      <alignment horizontal="right"/>
    </xf>
    <xf numFmtId="0" fontId="31" fillId="4" borderId="5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40" fillId="0" borderId="29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47" fillId="4" borderId="5" xfId="0" applyFont="1" applyFill="1" applyBorder="1" applyAlignment="1">
      <alignment horizontal="right"/>
    </xf>
    <xf numFmtId="0" fontId="47" fillId="4" borderId="6" xfId="0" applyFont="1" applyFill="1" applyBorder="1" applyAlignment="1">
      <alignment horizontal="right"/>
    </xf>
    <xf numFmtId="0" fontId="55" fillId="0" borderId="0" xfId="0" applyFont="1" applyAlignment="1">
      <alignment horizontal="right"/>
    </xf>
    <xf numFmtId="0" fontId="40" fillId="11" borderId="0" xfId="0" applyFont="1" applyFill="1" applyAlignment="1">
      <alignment horizontal="right"/>
    </xf>
    <xf numFmtId="0" fontId="40" fillId="0" borderId="21" xfId="0" applyFont="1" applyBorder="1" applyAlignment="1">
      <alignment horizontal="right"/>
    </xf>
  </cellXfs>
  <cellStyles count="41">
    <cellStyle name="Millares" xfId="1" builtinId="3"/>
    <cellStyle name="Millares [0]" xfId="2" builtinId="6"/>
    <cellStyle name="Millares [0] 2" xfId="3" xr:uid="{D273E7CD-E3C2-4A4E-9B0D-BA360E6053F9}"/>
    <cellStyle name="Millares [0] 2 2" xfId="4" xr:uid="{BD9A84A6-9D05-4D69-A189-85B5D84B11E9}"/>
    <cellStyle name="Millares [0] 2 2 2" xfId="5" xr:uid="{6EA6C922-02E9-4999-B266-4B1F14DB145D}"/>
    <cellStyle name="Millares [0] 2 2 2 2" xfId="6" xr:uid="{C4CA48DE-DE76-4972-877E-1D3D9E5798BF}"/>
    <cellStyle name="Millares [0] 2 2 3" xfId="7" xr:uid="{41C8648D-74EE-4F4C-B0F5-D248ECED865E}"/>
    <cellStyle name="Millares [0] 2 3" xfId="8" xr:uid="{7BFD1A9A-4FDA-4081-A87A-051F38BCB120}"/>
    <cellStyle name="Millares [0] 3" xfId="9" xr:uid="{7286974D-1574-443B-8489-E688DA5240AC}"/>
    <cellStyle name="Millares [0] 3 2" xfId="10" xr:uid="{B2465B3F-E9EC-4986-89E6-E6F17E1E99BC}"/>
    <cellStyle name="Millares [0] 3 2 3 2" xfId="11" xr:uid="{3305A2FE-2D4F-40B5-A5F9-59F439F38681}"/>
    <cellStyle name="Millares [0] 3 2 3 2 2" xfId="12" xr:uid="{18B0DA7D-9F01-4F8D-ADC8-BE53E814B236}"/>
    <cellStyle name="Millares [0] 4" xfId="13" xr:uid="{8253A6DA-1C57-40B8-A7A6-D564A8D0994A}"/>
    <cellStyle name="Millares [0] 5" xfId="14" xr:uid="{CE33779A-03FE-44D1-B45F-946485C82BEE}"/>
    <cellStyle name="Millares 2" xfId="15" xr:uid="{34BBA4AF-BAE3-4D30-A900-4AD45FD46DD5}"/>
    <cellStyle name="Millares 2 2" xfId="16" xr:uid="{154FFEDC-2B67-44D1-BB67-9E3072135454}"/>
    <cellStyle name="Millares 2 2 2" xfId="17" xr:uid="{873BFA60-4504-4652-966B-BB9B19695C89}"/>
    <cellStyle name="Millares 2 3" xfId="18" xr:uid="{5A896074-552A-4535-8072-A5423A0887B4}"/>
    <cellStyle name="Millares 3" xfId="19" xr:uid="{98022A6D-4DD5-4EDA-9A19-0FB6C89BA4B3}"/>
    <cellStyle name="Millares 3 2" xfId="20" xr:uid="{5B5EF617-1102-4F8C-AAAB-DD70CEEDFAB3}"/>
    <cellStyle name="Millares 3 2 2" xfId="21" xr:uid="{F90248A7-8D5A-4D23-9132-F6C25BA7A2D2}"/>
    <cellStyle name="Millares 4" xfId="22" xr:uid="{909CE107-FF78-41B7-9D79-32380A300AA0}"/>
    <cellStyle name="Millares 5" xfId="23" xr:uid="{4384EB85-9917-4514-9DD7-5330977F12AD}"/>
    <cellStyle name="Millares 6" xfId="24" xr:uid="{D3879AC3-BA16-44C3-A646-DF37FCEC55DA}"/>
    <cellStyle name="Millares 7" xfId="25" xr:uid="{5B6590DD-9E89-42CB-B489-2B615A69E4D3}"/>
    <cellStyle name="Normal" xfId="0" builtinId="0"/>
    <cellStyle name="Normal 2" xfId="26" xr:uid="{9612C92F-F4E6-4CF0-BD5B-3951325CEE2C}"/>
    <cellStyle name="Normal 3" xfId="27" xr:uid="{592D3027-464E-41FE-B884-0BCA0A00139F}"/>
    <cellStyle name="Normal 3 2" xfId="28" xr:uid="{645AE268-99DB-4AC6-A14D-E47E5D054656}"/>
    <cellStyle name="Normal 4" xfId="29" xr:uid="{A5BED7A4-CA02-48DA-BD95-5029BCEC526E}"/>
    <cellStyle name="Normal 4 2" xfId="30" xr:uid="{FC7B82D7-0B34-42E2-BAD5-D55FD581431C}"/>
    <cellStyle name="Normal 5" xfId="31" xr:uid="{CBE3C0EE-7AE7-40F7-B31C-918DD619DA4D}"/>
    <cellStyle name="Normal_CRITERIOS DE EVALUACION PT DE GB 2" xfId="32" xr:uid="{16BDB449-3D7D-4F06-A855-26E86C3F22DE}"/>
    <cellStyle name="Porcentaje 2" xfId="33" xr:uid="{BF93BB7A-98DE-4F48-8780-2773C683445C}"/>
    <cellStyle name="Porcentaje 2 2" xfId="34" xr:uid="{792D2982-40A7-4906-A4FD-D91F914BFCAD}"/>
    <cellStyle name="Porcentaje 3" xfId="35" xr:uid="{29835913-C15F-43F0-94B6-8D1096F6A19C}"/>
    <cellStyle name="Porcentaje 3 2" xfId="36" xr:uid="{5FABB907-01F5-432F-83D8-72789602C69E}"/>
    <cellStyle name="Porcentaje 3 3" xfId="37" xr:uid="{8756A237-0E14-448C-B0CD-A90B24D63FAF}"/>
    <cellStyle name="Porcentaje 4" xfId="38" xr:uid="{A61A9933-BD7F-4E66-9A87-4831391260FC}"/>
    <cellStyle name="Porcentaje 4 2" xfId="39" xr:uid="{279C6DA6-813D-439E-BF7C-B0F49C770CF5}"/>
    <cellStyle name="Porcentaje 5" xfId="40" xr:uid="{5FF31FE8-4748-49BE-AE8A-D7AE31B30E7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EMP LOCALES"/>
      <sheetName val="ARTICULOS MP PLANTA"/>
      <sheetName val="EMPAQUE PLAN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0A25-7BB3-40FD-AD28-FC619F4FFE3A}">
  <dimension ref="A1:I57"/>
  <sheetViews>
    <sheetView tabSelected="1" view="pageBreakPreview" zoomScale="60" zoomScaleNormal="70" workbookViewId="0">
      <selection activeCell="H18" sqref="H18"/>
    </sheetView>
  </sheetViews>
  <sheetFormatPr baseColWidth="10" defaultRowHeight="12.75" x14ac:dyDescent="0.2"/>
  <cols>
    <col min="1" max="1" width="13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251"/>
      <c r="B1" s="252"/>
      <c r="C1" s="257" t="s">
        <v>13</v>
      </c>
      <c r="D1" s="257"/>
      <c r="E1" s="257"/>
      <c r="F1" s="257"/>
      <c r="G1" s="257"/>
      <c r="H1" s="161" t="s">
        <v>14</v>
      </c>
      <c r="I1" s="162" t="s">
        <v>175</v>
      </c>
    </row>
    <row r="2" spans="1:9" ht="18" customHeight="1" thickBot="1" x14ac:dyDescent="0.3">
      <c r="A2" s="253"/>
      <c r="B2" s="254"/>
      <c r="C2" s="258" t="s">
        <v>0</v>
      </c>
      <c r="D2" s="259"/>
      <c r="E2" s="259"/>
      <c r="F2" s="259"/>
      <c r="G2" s="260"/>
      <c r="H2" s="163" t="s">
        <v>15</v>
      </c>
      <c r="I2" s="164" t="s">
        <v>177</v>
      </c>
    </row>
    <row r="3" spans="1:9" ht="31.5" customHeight="1" thickBot="1" x14ac:dyDescent="0.25">
      <c r="A3" s="253"/>
      <c r="B3" s="254"/>
      <c r="C3" s="261" t="s">
        <v>178</v>
      </c>
      <c r="D3" s="262"/>
      <c r="E3" s="262"/>
      <c r="F3" s="262"/>
      <c r="G3" s="263"/>
      <c r="H3" s="264" t="s">
        <v>16</v>
      </c>
      <c r="I3" s="242">
        <v>45619</v>
      </c>
    </row>
    <row r="4" spans="1:9" ht="18" customHeight="1" x14ac:dyDescent="0.25">
      <c r="A4" s="253"/>
      <c r="B4" s="254"/>
      <c r="C4" s="165" t="s">
        <v>1</v>
      </c>
      <c r="D4" s="245" t="s">
        <v>163</v>
      </c>
      <c r="E4" s="246"/>
      <c r="F4" s="246"/>
      <c r="G4" s="247"/>
      <c r="H4" s="265"/>
      <c r="I4" s="243"/>
    </row>
    <row r="5" spans="1:9" ht="14.25" thickBot="1" x14ac:dyDescent="0.3">
      <c r="A5" s="255"/>
      <c r="B5" s="256"/>
      <c r="C5" s="172" t="s">
        <v>17</v>
      </c>
      <c r="D5" s="248" t="s">
        <v>164</v>
      </c>
      <c r="E5" s="249"/>
      <c r="F5" s="249"/>
      <c r="G5" s="250"/>
      <c r="H5" s="266"/>
      <c r="I5" s="244"/>
    </row>
    <row r="6" spans="1:9" ht="18.75" thickBot="1" x14ac:dyDescent="0.3">
      <c r="A6" s="267" t="s">
        <v>30</v>
      </c>
      <c r="B6" s="267"/>
      <c r="C6" s="267"/>
      <c r="D6" s="268" t="s">
        <v>165</v>
      </c>
      <c r="E6" s="268"/>
      <c r="F6" s="268"/>
      <c r="G6" s="269" t="s">
        <v>31</v>
      </c>
      <c r="H6" s="269"/>
      <c r="I6" s="173" t="s">
        <v>165</v>
      </c>
    </row>
    <row r="7" spans="1:9" ht="25.5" x14ac:dyDescent="0.2">
      <c r="A7" s="270" t="s">
        <v>2</v>
      </c>
      <c r="B7" s="272" t="s">
        <v>166</v>
      </c>
      <c r="C7" s="274" t="s">
        <v>18</v>
      </c>
      <c r="D7" s="274" t="s">
        <v>3</v>
      </c>
      <c r="E7" s="274" t="s">
        <v>4</v>
      </c>
      <c r="F7" s="274"/>
      <c r="G7" s="274" t="s">
        <v>19</v>
      </c>
      <c r="H7" s="274"/>
      <c r="I7" s="174" t="s">
        <v>5</v>
      </c>
    </row>
    <row r="8" spans="1:9" ht="26.25" thickBot="1" x14ac:dyDescent="0.25">
      <c r="A8" s="271"/>
      <c r="B8" s="273"/>
      <c r="C8" s="275"/>
      <c r="D8" s="275"/>
      <c r="E8" s="175" t="s">
        <v>6</v>
      </c>
      <c r="F8" s="176" t="s">
        <v>7</v>
      </c>
      <c r="G8" s="175" t="s">
        <v>6</v>
      </c>
      <c r="H8" s="176" t="s">
        <v>7</v>
      </c>
      <c r="I8" s="177" t="s">
        <v>8</v>
      </c>
    </row>
    <row r="9" spans="1:9" ht="18.399999999999999" customHeight="1" x14ac:dyDescent="0.25">
      <c r="A9" s="178"/>
      <c r="B9" s="179"/>
      <c r="C9" s="180" t="s">
        <v>167</v>
      </c>
      <c r="D9" s="181"/>
      <c r="E9" s="182"/>
      <c r="F9" s="183"/>
      <c r="G9" s="182"/>
      <c r="H9" s="183"/>
      <c r="I9" s="184"/>
    </row>
    <row r="10" spans="1:9" ht="18" customHeight="1" x14ac:dyDescent="0.25">
      <c r="A10" s="185">
        <v>907000306</v>
      </c>
      <c r="B10" s="241" t="s">
        <v>145</v>
      </c>
      <c r="C10" s="167" t="s">
        <v>146</v>
      </c>
      <c r="D10" s="186" t="s">
        <v>29</v>
      </c>
      <c r="E10" s="187">
        <v>24000</v>
      </c>
      <c r="F10" s="188" t="s">
        <v>12</v>
      </c>
      <c r="G10" s="189"/>
      <c r="H10" s="190"/>
      <c r="I10" s="184"/>
    </row>
    <row r="11" spans="1:9" ht="15" x14ac:dyDescent="0.25">
      <c r="A11" s="186"/>
      <c r="B11" s="186"/>
      <c r="C11" s="191"/>
      <c r="D11" s="186"/>
      <c r="E11" s="187"/>
      <c r="F11" s="188"/>
      <c r="G11" s="189"/>
      <c r="H11" s="190"/>
      <c r="I11" s="184"/>
    </row>
    <row r="12" spans="1:9" ht="15" x14ac:dyDescent="0.25">
      <c r="A12" s="186"/>
      <c r="B12" s="186"/>
      <c r="C12" s="191"/>
      <c r="D12" s="186"/>
      <c r="E12" s="187"/>
      <c r="F12" s="188"/>
      <c r="G12" s="189"/>
      <c r="H12" s="190"/>
      <c r="I12" s="184"/>
    </row>
    <row r="13" spans="1:9" ht="15" x14ac:dyDescent="0.25">
      <c r="A13" s="186"/>
      <c r="B13" s="186"/>
      <c r="C13" s="191"/>
      <c r="D13" s="186"/>
      <c r="E13" s="187"/>
      <c r="F13" s="188"/>
      <c r="G13" s="189"/>
      <c r="H13" s="190"/>
      <c r="I13" s="184"/>
    </row>
    <row r="14" spans="1:9" ht="15" x14ac:dyDescent="0.25">
      <c r="A14" s="186"/>
      <c r="B14" s="186"/>
      <c r="C14" s="191"/>
      <c r="D14" s="186"/>
      <c r="E14" s="187"/>
      <c r="F14" s="188"/>
      <c r="G14" s="189"/>
      <c r="H14" s="190"/>
      <c r="I14" s="184"/>
    </row>
    <row r="15" spans="1:9" ht="15" x14ac:dyDescent="0.25">
      <c r="A15" s="186"/>
      <c r="B15" s="186"/>
      <c r="C15" s="191"/>
      <c r="D15" s="186"/>
      <c r="E15" s="187"/>
      <c r="F15" s="188"/>
      <c r="G15" s="189"/>
      <c r="H15" s="190"/>
      <c r="I15" s="184"/>
    </row>
    <row r="16" spans="1:9" ht="15" x14ac:dyDescent="0.25">
      <c r="A16" s="186"/>
      <c r="B16" s="186"/>
      <c r="C16" s="191"/>
      <c r="D16" s="186"/>
      <c r="E16" s="187"/>
      <c r="F16" s="188"/>
      <c r="G16" s="189"/>
      <c r="H16" s="190"/>
      <c r="I16" s="184"/>
    </row>
    <row r="17" spans="1:9" ht="15" x14ac:dyDescent="0.25">
      <c r="A17" s="186"/>
      <c r="B17" s="186"/>
      <c r="C17" s="191"/>
      <c r="D17" s="186"/>
      <c r="E17" s="187"/>
      <c r="F17" s="188"/>
      <c r="G17" s="189"/>
      <c r="H17" s="190"/>
      <c r="I17" s="184"/>
    </row>
    <row r="18" spans="1:9" ht="15" x14ac:dyDescent="0.25">
      <c r="A18" s="186"/>
      <c r="B18" s="186"/>
      <c r="C18" s="191"/>
      <c r="D18" s="186"/>
      <c r="E18" s="187"/>
      <c r="F18" s="188"/>
      <c r="G18" s="189"/>
      <c r="H18" s="190"/>
      <c r="I18" s="184"/>
    </row>
    <row r="19" spans="1:9" ht="15" x14ac:dyDescent="0.25">
      <c r="A19" s="186"/>
      <c r="B19" s="186"/>
      <c r="C19" s="191"/>
      <c r="D19" s="186"/>
      <c r="E19" s="187"/>
      <c r="F19" s="188"/>
      <c r="G19" s="189"/>
      <c r="H19" s="190"/>
      <c r="I19" s="184"/>
    </row>
    <row r="20" spans="1:9" ht="15.75" x14ac:dyDescent="0.25">
      <c r="A20" s="192"/>
      <c r="B20" s="192"/>
      <c r="C20" s="167"/>
      <c r="D20" s="193"/>
      <c r="E20" s="193"/>
      <c r="F20" s="193"/>
      <c r="G20" s="1"/>
      <c r="H20" s="190"/>
      <c r="I20" s="184"/>
    </row>
    <row r="21" spans="1:9" ht="15.75" x14ac:dyDescent="0.25">
      <c r="A21" s="194"/>
      <c r="B21" s="195"/>
      <c r="C21" s="196" t="s">
        <v>168</v>
      </c>
      <c r="D21" s="193"/>
      <c r="E21" s="193"/>
      <c r="F21" s="193"/>
      <c r="G21" s="1"/>
      <c r="H21" s="190"/>
      <c r="I21" s="184"/>
    </row>
    <row r="22" spans="1:9" ht="15" x14ac:dyDescent="0.25">
      <c r="A22" s="185"/>
      <c r="B22" s="166"/>
      <c r="C22" s="167"/>
      <c r="D22" s="197"/>
      <c r="E22" s="197"/>
      <c r="F22" s="197"/>
      <c r="G22" s="182"/>
      <c r="H22" s="190"/>
      <c r="I22" s="184"/>
    </row>
    <row r="23" spans="1:9" ht="15" x14ac:dyDescent="0.25">
      <c r="A23" s="198"/>
      <c r="B23" s="192"/>
      <c r="C23" s="167"/>
      <c r="D23" s="197"/>
      <c r="E23" s="197"/>
      <c r="F23" s="197"/>
      <c r="G23" s="182"/>
      <c r="H23" s="190"/>
      <c r="I23" s="184"/>
    </row>
    <row r="24" spans="1:9" ht="15" x14ac:dyDescent="0.25">
      <c r="A24" s="198"/>
      <c r="B24" s="192"/>
      <c r="C24" s="167"/>
      <c r="D24" s="197"/>
      <c r="E24" s="197"/>
      <c r="F24" s="197"/>
      <c r="G24" s="182"/>
      <c r="H24" s="190"/>
      <c r="I24" s="184"/>
    </row>
    <row r="25" spans="1:9" ht="15.75" x14ac:dyDescent="0.25">
      <c r="A25" s="194"/>
      <c r="B25" s="195"/>
      <c r="C25" s="196"/>
      <c r="D25" s="199"/>
      <c r="E25" s="200"/>
      <c r="F25" s="201"/>
      <c r="G25" s="182"/>
      <c r="H25" s="190"/>
      <c r="I25" s="184"/>
    </row>
    <row r="26" spans="1:9" ht="15" x14ac:dyDescent="0.25">
      <c r="A26" s="202"/>
      <c r="B26" s="203"/>
      <c r="C26" s="204"/>
      <c r="D26" s="205"/>
      <c r="E26" s="206"/>
      <c r="F26" s="207"/>
      <c r="G26" s="182"/>
      <c r="H26" s="190"/>
      <c r="I26" s="184"/>
    </row>
    <row r="27" spans="1:9" ht="15" x14ac:dyDescent="0.25">
      <c r="A27" s="166"/>
      <c r="B27" s="166"/>
      <c r="C27" s="167"/>
      <c r="D27" s="208"/>
      <c r="E27" s="169"/>
      <c r="F27" s="2"/>
      <c r="G27" s="182"/>
      <c r="H27" s="190"/>
      <c r="I27" s="184"/>
    </row>
    <row r="28" spans="1:9" ht="15.75" x14ac:dyDescent="0.25">
      <c r="A28" s="209"/>
      <c r="B28" s="210"/>
      <c r="C28" s="211" t="s">
        <v>169</v>
      </c>
      <c r="D28" s="212"/>
      <c r="E28" s="213"/>
      <c r="F28" s="183"/>
      <c r="G28" s="182"/>
      <c r="H28" s="190"/>
      <c r="I28" s="184"/>
    </row>
    <row r="29" spans="1:9" ht="15" x14ac:dyDescent="0.25">
      <c r="A29" s="214" t="s">
        <v>147</v>
      </c>
      <c r="B29" s="215"/>
      <c r="C29" s="216" t="s">
        <v>148</v>
      </c>
      <c r="D29" s="217" t="s">
        <v>29</v>
      </c>
      <c r="E29" s="4">
        <v>1675</v>
      </c>
      <c r="F29" s="5" t="s">
        <v>12</v>
      </c>
      <c r="G29" s="218"/>
      <c r="H29" s="190"/>
      <c r="I29" s="184"/>
    </row>
    <row r="30" spans="1:9" ht="15" x14ac:dyDescent="0.25">
      <c r="A30" s="214">
        <v>1950928</v>
      </c>
      <c r="B30" s="215" t="s">
        <v>149</v>
      </c>
      <c r="C30" s="216" t="s">
        <v>150</v>
      </c>
      <c r="D30" s="217" t="s">
        <v>170</v>
      </c>
      <c r="E30" s="4">
        <v>16</v>
      </c>
      <c r="F30" s="5" t="s">
        <v>34</v>
      </c>
      <c r="G30" s="218"/>
      <c r="H30" s="190"/>
      <c r="I30" s="184"/>
    </row>
    <row r="31" spans="1:9" ht="15" x14ac:dyDescent="0.25">
      <c r="A31" s="219" t="s">
        <v>127</v>
      </c>
      <c r="B31" s="220" t="s">
        <v>139</v>
      </c>
      <c r="C31" s="221" t="s">
        <v>35</v>
      </c>
      <c r="D31" s="217" t="s">
        <v>171</v>
      </c>
      <c r="E31" s="4">
        <v>16</v>
      </c>
      <c r="F31" s="5" t="s">
        <v>34</v>
      </c>
      <c r="G31" s="218"/>
      <c r="H31" s="190"/>
      <c r="I31" s="184"/>
    </row>
    <row r="32" spans="1:9" ht="15" x14ac:dyDescent="0.25">
      <c r="A32" s="168">
        <v>702069</v>
      </c>
      <c r="B32" s="168" t="s">
        <v>151</v>
      </c>
      <c r="C32" s="222" t="s">
        <v>152</v>
      </c>
      <c r="D32" s="217" t="s">
        <v>172</v>
      </c>
      <c r="E32" s="4">
        <v>16</v>
      </c>
      <c r="F32" s="5" t="s">
        <v>34</v>
      </c>
      <c r="G32" s="182"/>
      <c r="H32" s="190"/>
      <c r="I32" s="184"/>
    </row>
    <row r="33" spans="1:9" ht="15" x14ac:dyDescent="0.25">
      <c r="A33" s="168"/>
      <c r="B33" s="168"/>
      <c r="C33" s="222"/>
      <c r="D33" s="217"/>
      <c r="E33" s="4"/>
      <c r="F33" s="5"/>
      <c r="G33" s="182"/>
      <c r="H33" s="190"/>
      <c r="I33" s="184"/>
    </row>
    <row r="34" spans="1:9" ht="15" x14ac:dyDescent="0.25">
      <c r="A34" s="168"/>
      <c r="B34" s="168"/>
      <c r="C34" s="222"/>
      <c r="D34" s="217"/>
      <c r="E34" s="4"/>
      <c r="F34" s="5"/>
      <c r="G34" s="223"/>
      <c r="H34" s="190"/>
      <c r="I34" s="184"/>
    </row>
    <row r="35" spans="1:9" ht="15.75" x14ac:dyDescent="0.25">
      <c r="A35" s="168"/>
      <c r="B35" s="168"/>
      <c r="C35" s="222"/>
      <c r="D35" s="193"/>
      <c r="E35" s="4"/>
      <c r="F35" s="5"/>
      <c r="G35" s="224"/>
      <c r="H35" s="190"/>
      <c r="I35" s="184"/>
    </row>
    <row r="36" spans="1:9" ht="15" x14ac:dyDescent="0.25">
      <c r="A36" s="225"/>
      <c r="B36" s="225"/>
      <c r="C36" s="226"/>
      <c r="D36" s="217"/>
      <c r="E36" s="2"/>
      <c r="F36" s="2"/>
      <c r="G36" s="224"/>
      <c r="H36" s="183"/>
      <c r="I36" s="184"/>
    </row>
    <row r="37" spans="1:9" ht="14.25" thickBot="1" x14ac:dyDescent="0.3">
      <c r="A37" s="227"/>
      <c r="B37" s="228"/>
      <c r="C37" s="229" t="s">
        <v>173</v>
      </c>
      <c r="D37" s="229"/>
      <c r="E37" s="230"/>
      <c r="F37" s="231"/>
      <c r="G37" s="229"/>
      <c r="H37" s="229"/>
      <c r="I37" s="232"/>
    </row>
    <row r="38" spans="1:9" ht="14.25" thickBot="1" x14ac:dyDescent="0.3">
      <c r="A38" s="233"/>
      <c r="B38" s="234"/>
      <c r="C38" s="235" t="s">
        <v>173</v>
      </c>
      <c r="D38" s="236" t="s">
        <v>6</v>
      </c>
      <c r="E38" s="237" t="s">
        <v>20</v>
      </c>
      <c r="F38" s="238"/>
      <c r="G38" s="235"/>
      <c r="H38" s="235"/>
      <c r="I38" s="239"/>
    </row>
    <row r="39" spans="1:9" ht="13.5" x14ac:dyDescent="0.25">
      <c r="A39" s="276" t="s">
        <v>10</v>
      </c>
      <c r="B39" s="277"/>
      <c r="C39" s="278"/>
      <c r="D39" s="240">
        <v>23450</v>
      </c>
      <c r="E39" s="3" t="s">
        <v>12</v>
      </c>
      <c r="F39" s="279" t="s">
        <v>21</v>
      </c>
      <c r="G39" s="279"/>
      <c r="H39" s="280"/>
      <c r="I39" s="281"/>
    </row>
    <row r="40" spans="1:9" ht="13.5" x14ac:dyDescent="0.25">
      <c r="A40" s="282" t="s">
        <v>9</v>
      </c>
      <c r="B40" s="283"/>
      <c r="C40" s="284"/>
      <c r="D40" s="1">
        <v>50</v>
      </c>
      <c r="E40" s="1" t="s">
        <v>28</v>
      </c>
      <c r="F40" s="285" t="s">
        <v>22</v>
      </c>
      <c r="G40" s="285"/>
      <c r="H40" s="286"/>
      <c r="I40" s="287"/>
    </row>
    <row r="41" spans="1:9" ht="13.5" x14ac:dyDescent="0.25">
      <c r="A41" s="282" t="s">
        <v>23</v>
      </c>
      <c r="B41" s="283"/>
      <c r="C41" s="284"/>
      <c r="D41" s="169">
        <f>D39/D42</f>
        <v>293.125</v>
      </c>
      <c r="E41" s="1" t="s">
        <v>34</v>
      </c>
      <c r="F41" s="285" t="s">
        <v>24</v>
      </c>
      <c r="G41" s="285"/>
      <c r="H41" s="286"/>
      <c r="I41" s="287"/>
    </row>
    <row r="42" spans="1:9" ht="13.5" x14ac:dyDescent="0.25">
      <c r="A42" s="282" t="s">
        <v>25</v>
      </c>
      <c r="B42" s="283"/>
      <c r="C42" s="284"/>
      <c r="D42" s="169">
        <v>80</v>
      </c>
      <c r="E42" s="1" t="s">
        <v>12</v>
      </c>
      <c r="F42" s="288" t="s">
        <v>26</v>
      </c>
      <c r="G42" s="289"/>
      <c r="H42" s="290"/>
      <c r="I42" s="291"/>
    </row>
    <row r="43" spans="1:9" ht="14.25" thickBot="1" x14ac:dyDescent="0.3">
      <c r="A43" s="296" t="s">
        <v>11</v>
      </c>
      <c r="B43" s="297"/>
      <c r="C43" s="298"/>
      <c r="D43" s="170">
        <v>100</v>
      </c>
      <c r="E43" s="171" t="s">
        <v>12</v>
      </c>
      <c r="F43" s="299"/>
      <c r="G43" s="299"/>
      <c r="H43" s="286"/>
      <c r="I43" s="287"/>
    </row>
    <row r="44" spans="1:9" ht="13.5" thickBot="1" x14ac:dyDescent="0.25">
      <c r="A44" s="300" t="s">
        <v>27</v>
      </c>
      <c r="B44" s="301"/>
      <c r="C44" s="301"/>
      <c r="D44" s="301"/>
      <c r="E44" s="301"/>
      <c r="F44" s="301"/>
      <c r="G44" s="301"/>
      <c r="H44" s="301"/>
      <c r="I44" s="302"/>
    </row>
    <row r="45" spans="1:9" ht="14.65" customHeight="1" x14ac:dyDescent="0.2">
      <c r="A45" s="303" t="s">
        <v>153</v>
      </c>
      <c r="B45" s="304"/>
      <c r="C45" s="305"/>
      <c r="D45" s="305"/>
      <c r="E45" s="305"/>
      <c r="F45" s="305"/>
      <c r="G45" s="305"/>
      <c r="H45" s="305"/>
      <c r="I45" s="306"/>
    </row>
    <row r="46" spans="1:9" ht="15.4" customHeight="1" x14ac:dyDescent="0.2">
      <c r="A46" s="303" t="s">
        <v>154</v>
      </c>
      <c r="B46" s="304"/>
      <c r="C46" s="305"/>
      <c r="D46" s="305"/>
      <c r="E46" s="305"/>
      <c r="F46" s="305"/>
      <c r="G46" s="305"/>
      <c r="H46" s="305"/>
      <c r="I46" s="306"/>
    </row>
    <row r="47" spans="1:9" ht="14.65" customHeight="1" x14ac:dyDescent="0.2">
      <c r="A47" s="307" t="s">
        <v>155</v>
      </c>
      <c r="B47" s="308"/>
      <c r="C47" s="308"/>
      <c r="D47" s="308"/>
      <c r="E47" s="308"/>
      <c r="F47" s="308"/>
      <c r="G47" s="308"/>
      <c r="H47" s="308"/>
      <c r="I47" s="309"/>
    </row>
    <row r="48" spans="1:9" ht="13.5" x14ac:dyDescent="0.25">
      <c r="A48" s="310"/>
      <c r="B48" s="311"/>
      <c r="C48" s="311"/>
      <c r="D48" s="311"/>
      <c r="E48" s="311"/>
      <c r="F48" s="311"/>
      <c r="G48" s="311"/>
      <c r="H48" s="311"/>
      <c r="I48" s="312"/>
    </row>
    <row r="49" spans="1:9" ht="15" x14ac:dyDescent="0.25">
      <c r="A49" s="313"/>
      <c r="B49" s="314"/>
      <c r="C49" s="314"/>
      <c r="D49" s="314"/>
      <c r="E49" s="314"/>
      <c r="F49" s="314"/>
      <c r="G49" s="314"/>
      <c r="H49" s="314"/>
      <c r="I49" s="315"/>
    </row>
    <row r="50" spans="1:9" ht="14.65" customHeight="1" x14ac:dyDescent="0.25">
      <c r="A50" s="292"/>
      <c r="B50" s="293"/>
      <c r="C50" s="294"/>
      <c r="D50" s="294"/>
      <c r="E50" s="294"/>
      <c r="F50" s="294"/>
      <c r="G50" s="294"/>
      <c r="H50" s="294"/>
      <c r="I50" s="295"/>
    </row>
    <row r="51" spans="1:9" ht="14.65" customHeight="1" x14ac:dyDescent="0.25">
      <c r="A51" s="316"/>
      <c r="B51" s="317"/>
      <c r="C51" s="318"/>
      <c r="D51" s="318"/>
      <c r="E51" s="318"/>
      <c r="F51" s="318"/>
      <c r="G51" s="318"/>
      <c r="H51" s="318"/>
      <c r="I51" s="319"/>
    </row>
    <row r="52" spans="1:9" ht="18" customHeight="1" x14ac:dyDescent="0.25">
      <c r="A52" s="292"/>
      <c r="B52" s="293"/>
      <c r="C52" s="294"/>
      <c r="D52" s="294"/>
      <c r="E52" s="294"/>
      <c r="F52" s="294"/>
      <c r="G52" s="294"/>
      <c r="H52" s="294"/>
      <c r="I52" s="295"/>
    </row>
    <row r="53" spans="1:9" ht="14.65" customHeight="1" thickBot="1" x14ac:dyDescent="0.3">
      <c r="A53" s="320"/>
      <c r="B53" s="321"/>
      <c r="C53" s="322"/>
      <c r="D53" s="322"/>
      <c r="E53" s="322"/>
      <c r="F53" s="322"/>
      <c r="G53" s="322"/>
      <c r="H53" s="322"/>
      <c r="I53" s="323"/>
    </row>
    <row r="54" spans="1:9" ht="14.65" customHeight="1" thickBot="1" x14ac:dyDescent="0.3">
      <c r="A54" s="324"/>
      <c r="B54" s="325"/>
      <c r="C54" s="325"/>
      <c r="D54" s="325"/>
      <c r="E54" s="325"/>
      <c r="F54" s="325"/>
      <c r="G54" s="325"/>
      <c r="H54" s="325"/>
      <c r="I54" s="326"/>
    </row>
    <row r="55" spans="1:9" ht="14.65" customHeight="1" x14ac:dyDescent="0.2">
      <c r="A55" s="327" t="s">
        <v>174</v>
      </c>
      <c r="B55" s="328"/>
      <c r="C55" s="328"/>
      <c r="D55" s="328"/>
      <c r="E55" s="328"/>
      <c r="F55" s="328"/>
      <c r="G55" s="328"/>
      <c r="H55" s="328"/>
      <c r="I55" s="328"/>
    </row>
    <row r="56" spans="1:9" ht="13.5" x14ac:dyDescent="0.25">
      <c r="A56" s="248" t="s">
        <v>176</v>
      </c>
      <c r="B56" s="249"/>
      <c r="C56" s="249"/>
      <c r="D56" s="249"/>
      <c r="E56" s="249"/>
      <c r="F56" s="249"/>
      <c r="G56" s="249"/>
      <c r="H56" s="249"/>
      <c r="I56" s="250"/>
    </row>
    <row r="57" spans="1:9" ht="13.5" x14ac:dyDescent="0.25">
      <c r="A57" s="329"/>
      <c r="B57" s="330"/>
      <c r="C57" s="330"/>
      <c r="D57" s="330"/>
      <c r="E57" s="330"/>
      <c r="F57" s="330"/>
      <c r="G57" s="330"/>
      <c r="H57" s="330"/>
      <c r="I57" s="330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439C-2682-479E-807F-66085FAA0F4A}">
  <dimension ref="A1:Q91"/>
  <sheetViews>
    <sheetView workbookViewId="0">
      <selection activeCell="M6" sqref="M6"/>
    </sheetView>
  </sheetViews>
  <sheetFormatPr baseColWidth="10" defaultColWidth="8.42578125" defaultRowHeight="12.75" x14ac:dyDescent="0.2"/>
  <cols>
    <col min="1" max="1" width="10" style="55" bestFit="1" customWidth="1"/>
    <col min="2" max="2" width="44.28515625" style="55" bestFit="1" customWidth="1"/>
    <col min="3" max="3" width="10.42578125" style="55" bestFit="1" customWidth="1"/>
    <col min="4" max="4" width="10.42578125" style="55" customWidth="1"/>
    <col min="5" max="5" width="9.7109375" style="55" bestFit="1" customWidth="1"/>
    <col min="6" max="6" width="9.5703125" style="55" bestFit="1" customWidth="1"/>
    <col min="7" max="7" width="9.5703125" style="159" bestFit="1" customWidth="1"/>
    <col min="8" max="8" width="10.42578125" style="106" bestFit="1" customWidth="1"/>
    <col min="9" max="9" width="4.5703125" style="106" customWidth="1"/>
    <col min="10" max="10" width="1.7109375" style="54" customWidth="1"/>
    <col min="11" max="11" width="7" style="55" bestFit="1" customWidth="1"/>
    <col min="12" max="12" width="6.28515625" style="55" customWidth="1"/>
    <col min="13" max="13" width="20.42578125" style="55" customWidth="1"/>
    <col min="14" max="14" width="6.42578125" style="55" bestFit="1" customWidth="1"/>
    <col min="15" max="16" width="8.42578125" style="55"/>
    <col min="17" max="17" width="3.28515625" style="55" customWidth="1"/>
    <col min="18" max="16384" width="8.42578125" style="55"/>
  </cols>
  <sheetData>
    <row r="1" spans="1:10" ht="27.75" customHeight="1" x14ac:dyDescent="0.2">
      <c r="A1" s="47"/>
      <c r="B1" s="47"/>
      <c r="C1" s="47"/>
      <c r="D1" s="47"/>
      <c r="E1" s="48" t="s">
        <v>45</v>
      </c>
      <c r="F1" s="46" t="s">
        <v>46</v>
      </c>
      <c r="G1" s="46" t="s">
        <v>47</v>
      </c>
      <c r="H1" s="46" t="s">
        <v>48</v>
      </c>
      <c r="I1" s="53"/>
    </row>
    <row r="2" spans="1:10" ht="30.75" customHeight="1" x14ac:dyDescent="0.2">
      <c r="A2" s="47"/>
      <c r="B2" s="47"/>
      <c r="C2" s="47"/>
      <c r="D2" s="47"/>
      <c r="E2" s="56">
        <f>IFERROR(O62,"")</f>
        <v>137.47020422157871</v>
      </c>
      <c r="F2" s="56">
        <f>IFERROR(H53,"")</f>
        <v>134.14029850746269</v>
      </c>
      <c r="G2" s="56">
        <f>IFERROR(H54,"")</f>
        <v>3.257055059328358</v>
      </c>
      <c r="H2" s="56">
        <f>IFERROR(H56,"")</f>
        <v>12.51011034105875</v>
      </c>
      <c r="I2" s="57"/>
    </row>
    <row r="3" spans="1:10" ht="15" customHeight="1" x14ac:dyDescent="0.2">
      <c r="A3" s="47"/>
      <c r="B3" s="47"/>
      <c r="C3" s="47"/>
      <c r="D3" s="47"/>
      <c r="E3" s="47"/>
      <c r="F3" s="58"/>
      <c r="G3" s="58"/>
      <c r="H3" s="58"/>
      <c r="I3" s="58"/>
    </row>
    <row r="4" spans="1:10" ht="24.75" customHeight="1" thickBot="1" x14ac:dyDescent="0.25">
      <c r="A4" s="357"/>
      <c r="B4" s="357"/>
      <c r="C4" s="357"/>
      <c r="D4" s="357"/>
      <c r="E4" s="357"/>
      <c r="F4" s="357"/>
      <c r="G4" s="357"/>
      <c r="H4" s="357"/>
      <c r="I4" s="59"/>
    </row>
    <row r="5" spans="1:10" ht="19.5" customHeight="1" thickBot="1" x14ac:dyDescent="0.25">
      <c r="A5" s="358" t="s">
        <v>49</v>
      </c>
      <c r="B5" s="359"/>
      <c r="C5" s="359"/>
      <c r="D5" s="359"/>
      <c r="E5" s="359"/>
      <c r="F5" s="359"/>
      <c r="G5" s="359"/>
      <c r="H5" s="360"/>
      <c r="I5" s="60"/>
    </row>
    <row r="6" spans="1:10" ht="19.5" thickBot="1" x14ac:dyDescent="0.25">
      <c r="A6" s="60"/>
      <c r="B6" s="60"/>
      <c r="C6" s="60"/>
      <c r="D6" s="60"/>
      <c r="E6" s="60"/>
      <c r="F6" s="361" t="s">
        <v>50</v>
      </c>
      <c r="G6" s="361"/>
      <c r="H6" s="61">
        <f ca="1">TODAY()</f>
        <v>45751</v>
      </c>
      <c r="I6" s="61"/>
    </row>
    <row r="7" spans="1:10" ht="26.25" hidden="1" thickBot="1" x14ac:dyDescent="0.25">
      <c r="A7" s="12" t="s">
        <v>51</v>
      </c>
      <c r="B7" s="13" t="s">
        <v>52</v>
      </c>
      <c r="C7" s="13" t="s">
        <v>51</v>
      </c>
      <c r="D7" s="14" t="s">
        <v>53</v>
      </c>
      <c r="E7" s="14" t="s">
        <v>54</v>
      </c>
      <c r="F7" s="14" t="s">
        <v>55</v>
      </c>
      <c r="G7" s="14" t="s">
        <v>56</v>
      </c>
      <c r="H7" s="15" t="s">
        <v>57</v>
      </c>
      <c r="I7" s="62"/>
    </row>
    <row r="8" spans="1:10" ht="13.5" hidden="1" x14ac:dyDescent="0.25">
      <c r="A8" s="63"/>
      <c r="B8" s="55" t="str">
        <f>IFERROR(VLOOKUP(H8,'[1]Consolidado MP Planta'!$A$2:$M$823,3,0),"")</f>
        <v/>
      </c>
      <c r="C8" s="64">
        <f>+A8</f>
        <v>0</v>
      </c>
      <c r="D8" s="65" t="str">
        <f>IFERROR(VLOOKUP(H8,'[1]Consolidado MP Planta'!$A$2:$M$823,13,0),"")</f>
        <v/>
      </c>
      <c r="E8" s="65" t="str">
        <f>IFERROR(VLOOKUP(H8,'[1]Consolidado MP Planta'!$A$2:$M$823,12,0),"")</f>
        <v/>
      </c>
      <c r="F8" s="65" t="str">
        <f>IFERROR(C8*E8,"")</f>
        <v/>
      </c>
      <c r="G8" s="149" t="str">
        <f t="shared" ref="G8:G14" si="0">IFERROR(F8/$F$66,"")</f>
        <v/>
      </c>
      <c r="H8" s="66"/>
      <c r="I8" s="66"/>
      <c r="J8" s="150"/>
    </row>
    <row r="9" spans="1:10" ht="13.5" hidden="1" x14ac:dyDescent="0.25">
      <c r="A9" s="63"/>
      <c r="B9" s="55" t="str">
        <f>IFERROR(VLOOKUP(H9,'[1]Consolidado MP Planta'!$A$2:$M$823,3,0),"")</f>
        <v/>
      </c>
      <c r="C9" s="64">
        <f t="shared" ref="C9:C14" si="1">+A9</f>
        <v>0</v>
      </c>
      <c r="D9" s="65" t="str">
        <f>IFERROR(VLOOKUP(H9,'[1]Consolidado MP Planta'!$A$2:$M$823,13,0),"")</f>
        <v/>
      </c>
      <c r="E9" s="65" t="str">
        <f>IFERROR(VLOOKUP(H9,'[1]Consolidado MP Planta'!$A$2:$M$823,12,0),"")</f>
        <v/>
      </c>
      <c r="F9" s="65" t="str">
        <f t="shared" ref="F9:F14" si="2">IFERROR(C9*E9,"")</f>
        <v/>
      </c>
      <c r="G9" s="149" t="str">
        <f t="shared" si="0"/>
        <v/>
      </c>
      <c r="H9" s="66"/>
      <c r="I9" s="66"/>
      <c r="J9" s="150"/>
    </row>
    <row r="10" spans="1:10" ht="13.5" hidden="1" x14ac:dyDescent="0.25">
      <c r="A10" s="63"/>
      <c r="B10" s="55" t="str">
        <f>IFERROR(VLOOKUP(H10,'[1]Consolidado MP Planta'!$A$2:$M$823,3,0),"")</f>
        <v/>
      </c>
      <c r="C10" s="64">
        <f t="shared" si="1"/>
        <v>0</v>
      </c>
      <c r="D10" s="65" t="str">
        <f>IFERROR(VLOOKUP(H10,'[1]Consolidado MP Planta'!$A$2:$M$823,13,0),"")</f>
        <v/>
      </c>
      <c r="E10" s="65" t="str">
        <f>IFERROR(VLOOKUP(H10,'[1]Consolidado MP Planta'!$A$2:$M$823,12,0),"")</f>
        <v/>
      </c>
      <c r="F10" s="65" t="str">
        <f t="shared" si="2"/>
        <v/>
      </c>
      <c r="G10" s="149" t="str">
        <f t="shared" si="0"/>
        <v/>
      </c>
      <c r="H10" s="66"/>
      <c r="I10" s="66"/>
      <c r="J10" s="150"/>
    </row>
    <row r="11" spans="1:10" ht="13.5" hidden="1" x14ac:dyDescent="0.25">
      <c r="A11" s="63"/>
      <c r="B11" s="55" t="str">
        <f>IFERROR(VLOOKUP(H11,'[1]Consolidado MP Planta'!$A$2:$M$823,3,0),"")</f>
        <v/>
      </c>
      <c r="C11" s="64">
        <f t="shared" si="1"/>
        <v>0</v>
      </c>
      <c r="D11" s="65" t="str">
        <f>IFERROR(VLOOKUP(H11,'[1]Consolidado MP Planta'!$A$2:$M$823,13,0),"")</f>
        <v/>
      </c>
      <c r="E11" s="65" t="str">
        <f>IFERROR(VLOOKUP(H11,'[1]Consolidado MP Planta'!$A$2:$M$823,12,0),"")</f>
        <v/>
      </c>
      <c r="F11" s="65" t="str">
        <f t="shared" si="2"/>
        <v/>
      </c>
      <c r="G11" s="149" t="str">
        <f t="shared" si="0"/>
        <v/>
      </c>
      <c r="H11" s="66"/>
      <c r="I11" s="66"/>
      <c r="J11" s="150"/>
    </row>
    <row r="12" spans="1:10" ht="13.5" hidden="1" x14ac:dyDescent="0.25">
      <c r="A12" s="63"/>
      <c r="B12" s="55" t="str">
        <f>IFERROR(VLOOKUP(H12,'[1]Consolidado MP Planta'!$A$2:$M$823,3,0),"")</f>
        <v/>
      </c>
      <c r="C12" s="64">
        <f t="shared" si="1"/>
        <v>0</v>
      </c>
      <c r="D12" s="65" t="str">
        <f>IFERROR(VLOOKUP(H12,'[1]Consolidado MP Planta'!$A$2:$M$823,13,0),"")</f>
        <v/>
      </c>
      <c r="E12" s="65" t="str">
        <f>IFERROR(VLOOKUP(H12,'[1]Consolidado MP Planta'!$A$2:$M$823,12,0),"")</f>
        <v/>
      </c>
      <c r="F12" s="65" t="str">
        <f t="shared" si="2"/>
        <v/>
      </c>
      <c r="G12" s="149" t="str">
        <f t="shared" si="0"/>
        <v/>
      </c>
      <c r="H12" s="66"/>
      <c r="I12" s="66"/>
      <c r="J12" s="150"/>
    </row>
    <row r="13" spans="1:10" ht="13.5" hidden="1" x14ac:dyDescent="0.25">
      <c r="A13" s="63"/>
      <c r="B13" s="55" t="str">
        <f>IFERROR(VLOOKUP(H13,'[1]Consolidado MP Planta'!$A$2:$M$823,3,0),"")</f>
        <v/>
      </c>
      <c r="C13" s="64">
        <f t="shared" si="1"/>
        <v>0</v>
      </c>
      <c r="D13" s="65" t="str">
        <f>IFERROR(VLOOKUP(H13,'[1]Consolidado MP Planta'!$A$2:$M$823,13,0),"")</f>
        <v/>
      </c>
      <c r="E13" s="65" t="str">
        <f>IFERROR(VLOOKUP(H13,'[1]Consolidado MP Planta'!$A$2:$M$823,12,0),"")</f>
        <v/>
      </c>
      <c r="F13" s="65" t="str">
        <f t="shared" si="2"/>
        <v/>
      </c>
      <c r="G13" s="149" t="str">
        <f t="shared" si="0"/>
        <v/>
      </c>
      <c r="H13" s="66"/>
      <c r="I13" s="66"/>
      <c r="J13" s="150"/>
    </row>
    <row r="14" spans="1:10" ht="13.5" hidden="1" x14ac:dyDescent="0.25">
      <c r="A14" s="63"/>
      <c r="B14" s="55" t="str">
        <f>IFERROR(VLOOKUP(H14,'[1]Consolidado MP Planta'!$A$2:$M$823,3,0),"")</f>
        <v/>
      </c>
      <c r="C14" s="64">
        <f t="shared" si="1"/>
        <v>0</v>
      </c>
      <c r="D14" s="65" t="str">
        <f>IFERROR(VLOOKUP(H14,'[1]Consolidado MP Planta'!$A$2:$M$823,13,0),"")</f>
        <v/>
      </c>
      <c r="E14" s="65" t="str">
        <f>IFERROR(VLOOKUP(H14,'[1]Consolidado MP Planta'!$A$2:$M$823,12,0),"")</f>
        <v/>
      </c>
      <c r="F14" s="65" t="str">
        <f t="shared" si="2"/>
        <v/>
      </c>
      <c r="G14" s="149" t="str">
        <f t="shared" si="0"/>
        <v/>
      </c>
      <c r="H14" s="66"/>
      <c r="I14" s="66"/>
      <c r="J14" s="150"/>
    </row>
    <row r="15" spans="1:10" ht="14.25" hidden="1" thickBot="1" x14ac:dyDescent="0.3">
      <c r="A15" s="63"/>
      <c r="B15" s="55" t="str">
        <f>IFERROR(VLOOKUP(H15,'[2]ARTICULOS MP PLANTA'!$A$2:$G$589,2,0),"")</f>
        <v/>
      </c>
      <c r="C15" s="64"/>
      <c r="D15" s="65"/>
      <c r="E15" s="65"/>
      <c r="F15" s="65"/>
      <c r="G15" s="149"/>
      <c r="H15" s="66"/>
      <c r="I15" s="66"/>
      <c r="J15" s="150"/>
    </row>
    <row r="16" spans="1:10" ht="26.25" thickBot="1" x14ac:dyDescent="0.25">
      <c r="A16" s="12" t="s">
        <v>51</v>
      </c>
      <c r="B16" s="13" t="s">
        <v>58</v>
      </c>
      <c r="C16" s="13" t="s">
        <v>51</v>
      </c>
      <c r="D16" s="14" t="s">
        <v>53</v>
      </c>
      <c r="E16" s="14" t="s">
        <v>54</v>
      </c>
      <c r="F16" s="14" t="s">
        <v>55</v>
      </c>
      <c r="G16" s="14" t="s">
        <v>56</v>
      </c>
      <c r="H16" s="15" t="s">
        <v>57</v>
      </c>
      <c r="I16" s="62"/>
      <c r="J16" s="150"/>
    </row>
    <row r="17" spans="1:12" ht="13.5" x14ac:dyDescent="0.25">
      <c r="A17" s="63">
        <v>24000</v>
      </c>
      <c r="B17" s="55" t="s">
        <v>146</v>
      </c>
      <c r="C17" s="64">
        <f>+A17</f>
        <v>24000</v>
      </c>
      <c r="D17" s="64" t="s">
        <v>157</v>
      </c>
      <c r="E17" s="65">
        <v>1.73</v>
      </c>
      <c r="F17" s="65">
        <f>IFERROR(E17*C17,"")</f>
        <v>41520</v>
      </c>
      <c r="G17" s="149">
        <f t="shared" ref="G17:G24" si="3">IFERROR(F17/$F$66,"")</f>
        <v>0.83078459602897969</v>
      </c>
      <c r="H17" s="66" t="s">
        <v>156</v>
      </c>
      <c r="I17" s="66"/>
      <c r="J17" s="150"/>
    </row>
    <row r="18" spans="1:12" ht="13.5" x14ac:dyDescent="0.25">
      <c r="A18" s="63">
        <v>1675</v>
      </c>
      <c r="B18" s="55" t="str">
        <f>IFERROR(VLOOKUP(H18,[1]SEMIELABORADOS!$A$2:$M$6000,2,0),"")</f>
        <v>MEZCLA P/ENGRASE MOLDES KILO</v>
      </c>
      <c r="C18" s="64">
        <f t="shared" ref="C18:C24" si="4">+A18</f>
        <v>1675</v>
      </c>
      <c r="D18" s="64" t="str">
        <f>IFERROR(VLOOKUP(H18,[1]SEMIELABORADOS!$A$2:$M$6000,6,0),"")</f>
        <v>Gramo</v>
      </c>
      <c r="E18" s="65">
        <v>2.04</v>
      </c>
      <c r="F18" s="65">
        <f t="shared" ref="F18:F24" si="5">IFERROR(E18*C18,"")</f>
        <v>3417</v>
      </c>
      <c r="G18" s="149">
        <f t="shared" si="3"/>
        <v>6.8371651363945657E-2</v>
      </c>
      <c r="H18" s="66" t="s">
        <v>147</v>
      </c>
      <c r="I18" s="66"/>
      <c r="J18" s="150"/>
    </row>
    <row r="19" spans="1:12" ht="13.5" hidden="1" x14ac:dyDescent="0.25">
      <c r="A19" s="63"/>
      <c r="B19" s="55" t="str">
        <f>IFERROR(VLOOKUP(H19,[1]SEMIELABORADOS!$A$2:$M$6000,2,0),"")</f>
        <v/>
      </c>
      <c r="C19" s="64">
        <f>+A19</f>
        <v>0</v>
      </c>
      <c r="D19" s="64" t="str">
        <f>IFERROR(VLOOKUP(H19,[1]SEMIELABORADOS!$A$2:$M$6000,6,0),"")</f>
        <v/>
      </c>
      <c r="E19" s="65" t="str">
        <f>IFERROR(VLOOKUP(H19,[1]SEMIELABORADOS!$A$2:$H$65536,8,0),"")</f>
        <v/>
      </c>
      <c r="F19" s="65" t="str">
        <f>IFERROR(E19*C19,"")</f>
        <v/>
      </c>
      <c r="G19" s="149" t="str">
        <f t="shared" si="3"/>
        <v/>
      </c>
      <c r="H19" s="66"/>
      <c r="I19" s="66"/>
      <c r="J19" s="150"/>
    </row>
    <row r="20" spans="1:12" ht="13.5" hidden="1" x14ac:dyDescent="0.25">
      <c r="A20" s="63"/>
      <c r="B20" s="55" t="str">
        <f>IFERROR(VLOOKUP(H20,[1]SEMIELABORADOS!$A$2:$M$6000,2,0),"")</f>
        <v/>
      </c>
      <c r="C20" s="64">
        <f>+A20</f>
        <v>0</v>
      </c>
      <c r="D20" s="64" t="str">
        <f>IFERROR(VLOOKUP(H20,[1]SEMIELABORADOS!$A$2:$M$6000,6,0),"")</f>
        <v/>
      </c>
      <c r="E20" s="65" t="str">
        <f>IFERROR(VLOOKUP(H20,[1]SEMIELABORADOS!$A$2:$H$65536,8,0),"")</f>
        <v/>
      </c>
      <c r="F20" s="65" t="str">
        <f>IFERROR(E20*C20,"")</f>
        <v/>
      </c>
      <c r="G20" s="149" t="str">
        <f t="shared" si="3"/>
        <v/>
      </c>
      <c r="H20" s="66"/>
      <c r="I20" s="66"/>
      <c r="J20" s="150"/>
    </row>
    <row r="21" spans="1:12" ht="13.5" hidden="1" x14ac:dyDescent="0.25">
      <c r="A21" s="63"/>
      <c r="B21" s="55" t="str">
        <f>IFERROR(VLOOKUP(H21,[1]SEMIELABORADOS!$A$2:$M$6000,2,0),"")</f>
        <v/>
      </c>
      <c r="C21" s="64">
        <f>+A21</f>
        <v>0</v>
      </c>
      <c r="D21" s="64" t="str">
        <f>IFERROR(VLOOKUP(H21,[1]SEMIELABORADOS!$A$2:$M$6000,6,0),"")</f>
        <v/>
      </c>
      <c r="E21" s="65" t="str">
        <f>IFERROR(VLOOKUP(H21,[1]SEMIELABORADOS!$A$2:$H$65536,8,0),"")</f>
        <v/>
      </c>
      <c r="F21" s="65" t="str">
        <f>IFERROR(E21*C21,"")</f>
        <v/>
      </c>
      <c r="G21" s="149" t="str">
        <f t="shared" si="3"/>
        <v/>
      </c>
      <c r="H21" s="66"/>
      <c r="I21" s="66"/>
      <c r="J21" s="150"/>
    </row>
    <row r="22" spans="1:12" ht="13.5" hidden="1" x14ac:dyDescent="0.25">
      <c r="A22" s="63"/>
      <c r="B22" s="55" t="str">
        <f>IFERROR(VLOOKUP(H22,[1]SEMIELABORADOS!$A$2:$M$6000,2,0),"")</f>
        <v/>
      </c>
      <c r="C22" s="64">
        <f t="shared" si="4"/>
        <v>0</v>
      </c>
      <c r="D22" s="64" t="str">
        <f>IFERROR(VLOOKUP(H22,[1]SEMIELABORADOS!$A$2:$M$6000,6,0),"")</f>
        <v/>
      </c>
      <c r="E22" s="65" t="str">
        <f>IFERROR(VLOOKUP(H22,[1]SEMIELABORADOS!$A$2:$H$65536,8,0),"")</f>
        <v/>
      </c>
      <c r="F22" s="65" t="str">
        <f t="shared" si="5"/>
        <v/>
      </c>
      <c r="G22" s="149" t="str">
        <f t="shared" si="3"/>
        <v/>
      </c>
      <c r="H22" s="66"/>
      <c r="I22" s="66"/>
      <c r="J22" s="150"/>
    </row>
    <row r="23" spans="1:12" ht="13.5" hidden="1" x14ac:dyDescent="0.25">
      <c r="A23" s="63"/>
      <c r="B23" s="55" t="str">
        <f>IFERROR(VLOOKUP(H23,[1]SEMIELABORADOS!$A$2:$M$6000,2,0),"")</f>
        <v/>
      </c>
      <c r="C23" s="64">
        <f t="shared" si="4"/>
        <v>0</v>
      </c>
      <c r="D23" s="64" t="str">
        <f>IFERROR(VLOOKUP(H23,[1]SEMIELABORADOS!$A$2:$M$6000,6,0),"")</f>
        <v/>
      </c>
      <c r="E23" s="65" t="str">
        <f>IFERROR(VLOOKUP(H23,[1]SEMIELABORADOS!$A$2:$H$65536,8,0),"")</f>
        <v/>
      </c>
      <c r="F23" s="65" t="str">
        <f t="shared" si="5"/>
        <v/>
      </c>
      <c r="G23" s="149" t="str">
        <f t="shared" si="3"/>
        <v/>
      </c>
      <c r="H23" s="66"/>
      <c r="I23" s="66"/>
      <c r="J23" s="150"/>
    </row>
    <row r="24" spans="1:12" ht="13.5" hidden="1" x14ac:dyDescent="0.25">
      <c r="A24" s="63"/>
      <c r="B24" s="55" t="str">
        <f>IFERROR(VLOOKUP(H24,[1]SEMIELABORADOS!$A$2:$M$6000,2,0),"")</f>
        <v/>
      </c>
      <c r="C24" s="64">
        <f t="shared" si="4"/>
        <v>0</v>
      </c>
      <c r="D24" s="64" t="str">
        <f>IFERROR(VLOOKUP(H24,[1]SEMIELABORADOS!$A$2:$M$6000,6,0),"")</f>
        <v/>
      </c>
      <c r="E24" s="65" t="str">
        <f>IFERROR(VLOOKUP(H24,[1]SEMIELABORADOS!$A$2:$H$65536,8,0),"")</f>
        <v/>
      </c>
      <c r="F24" s="65" t="str">
        <f t="shared" si="5"/>
        <v/>
      </c>
      <c r="G24" s="149" t="str">
        <f t="shared" si="3"/>
        <v/>
      </c>
      <c r="H24" s="66"/>
      <c r="I24" s="66"/>
      <c r="J24" s="150"/>
    </row>
    <row r="25" spans="1:12" ht="14.25" thickBot="1" x14ac:dyDescent="0.3">
      <c r="A25" s="63"/>
      <c r="C25" s="64"/>
      <c r="D25" s="64"/>
      <c r="E25" s="65"/>
      <c r="F25" s="65"/>
      <c r="G25" s="149"/>
      <c r="H25" s="66"/>
      <c r="I25" s="66"/>
      <c r="J25" s="150"/>
    </row>
    <row r="26" spans="1:12" ht="26.25" thickBot="1" x14ac:dyDescent="0.25">
      <c r="A26" s="12" t="s">
        <v>51</v>
      </c>
      <c r="B26" s="13" t="s">
        <v>33</v>
      </c>
      <c r="C26" s="13" t="s">
        <v>51</v>
      </c>
      <c r="D26" s="14" t="s">
        <v>53</v>
      </c>
      <c r="E26" s="14" t="s">
        <v>54</v>
      </c>
      <c r="F26" s="14" t="s">
        <v>55</v>
      </c>
      <c r="G26" s="14" t="s">
        <v>56</v>
      </c>
      <c r="H26" s="15" t="s">
        <v>57</v>
      </c>
      <c r="I26" s="62"/>
    </row>
    <row r="27" spans="1:12" ht="13.5" x14ac:dyDescent="0.25">
      <c r="A27" s="63">
        <v>16</v>
      </c>
      <c r="B27" s="67" t="str">
        <f>IFERROR(VLOOKUP(H27,'[1]Consolidado MP Planta'!$A$2:$M$823,3,0),"")</f>
        <v>BOLSA TRANSPARENTE 56X96X1.80 KILO</v>
      </c>
      <c r="C27" s="64">
        <f t="shared" ref="C27:C32" si="6">+A27</f>
        <v>16</v>
      </c>
      <c r="D27" s="65" t="str">
        <f>IFERROR(VLOOKUP(H27,'[1]Consolidado MP Planta'!$A$2:$M$823,13,0),"")</f>
        <v>Und</v>
      </c>
      <c r="E27" s="65">
        <f>IFERROR(VLOOKUP(H27,'[1]Consolidado MP Planta'!$A$2:$M$823,12,0),"")</f>
        <v>50</v>
      </c>
      <c r="F27" s="65">
        <f t="shared" ref="F27:F32" si="7">IFERROR(C27*E27,"")</f>
        <v>800</v>
      </c>
      <c r="G27" s="149">
        <f t="shared" ref="G27:G32" si="8">IFERROR(F27/$F$66,"")</f>
        <v>1.6007410328111364E-2</v>
      </c>
      <c r="H27" s="68" t="s">
        <v>158</v>
      </c>
      <c r="I27" s="68"/>
      <c r="J27" s="150"/>
      <c r="K27" s="354"/>
      <c r="L27" s="354"/>
    </row>
    <row r="28" spans="1:12" ht="13.5" x14ac:dyDescent="0.25">
      <c r="A28" s="63">
        <v>16</v>
      </c>
      <c r="B28" s="67" t="s">
        <v>35</v>
      </c>
      <c r="C28" s="64">
        <f t="shared" si="6"/>
        <v>16</v>
      </c>
      <c r="D28" s="65" t="s">
        <v>130</v>
      </c>
      <c r="E28" s="65">
        <v>0.36</v>
      </c>
      <c r="F28" s="65">
        <f t="shared" si="7"/>
        <v>5.76</v>
      </c>
      <c r="G28" s="149">
        <f t="shared" si="8"/>
        <v>1.1525335436240181E-4</v>
      </c>
      <c r="H28" s="68" t="s">
        <v>127</v>
      </c>
      <c r="I28" s="68"/>
      <c r="J28" s="150"/>
      <c r="K28" s="354"/>
      <c r="L28" s="354"/>
    </row>
    <row r="29" spans="1:12" ht="13.5" x14ac:dyDescent="0.25">
      <c r="A29" s="63">
        <v>16</v>
      </c>
      <c r="B29" s="67" t="str">
        <f>IFERROR(VLOOKUP(H29,'[1]Consolidado MP Planta'!$A$2:$M$823,3,0),"")</f>
        <v>ETIQ.BLANCA 1 1/4 * 3/4 (UND)</v>
      </c>
      <c r="C29" s="64">
        <f t="shared" si="6"/>
        <v>16</v>
      </c>
      <c r="D29" s="65" t="str">
        <f>IFERROR(VLOOKUP(H29,'[1]Consolidado MP Planta'!$A$2:$M$823,13,0),"")</f>
        <v>Und</v>
      </c>
      <c r="E29" s="65">
        <f>IFERROR(VLOOKUP(H29,'[1]Consolidado MP Planta'!$A$2:$M$823,12,0),"")</f>
        <v>0.57999999999999996</v>
      </c>
      <c r="F29" s="65">
        <f t="shared" si="7"/>
        <v>9.2799999999999994</v>
      </c>
      <c r="G29" s="149">
        <f t="shared" si="8"/>
        <v>1.856859598060918E-4</v>
      </c>
      <c r="H29" s="68" t="s">
        <v>159</v>
      </c>
      <c r="I29" s="68"/>
      <c r="J29" s="150"/>
      <c r="K29" s="354"/>
      <c r="L29" s="354"/>
    </row>
    <row r="30" spans="1:12" ht="13.5" hidden="1" x14ac:dyDescent="0.25">
      <c r="A30" s="63"/>
      <c r="B30" s="67" t="str">
        <f>IFERROR(VLOOKUP(H30,'[1]Consolidado MP Planta'!$A$2:$M$823,3,0),"")</f>
        <v/>
      </c>
      <c r="C30" s="64">
        <f t="shared" si="6"/>
        <v>0</v>
      </c>
      <c r="D30" s="65" t="str">
        <f>IFERROR(VLOOKUP(H30,'[1]Consolidado MP Planta'!$A$2:$M$823,13,0),"")</f>
        <v/>
      </c>
      <c r="E30" s="65" t="str">
        <f>IFERROR(VLOOKUP(H30,'[1]Consolidado MP Planta'!$A$2:$M$823,12,0),"")</f>
        <v/>
      </c>
      <c r="F30" s="65" t="str">
        <f t="shared" si="7"/>
        <v/>
      </c>
      <c r="G30" s="149" t="str">
        <f t="shared" si="8"/>
        <v/>
      </c>
      <c r="H30" s="68"/>
      <c r="I30" s="68"/>
      <c r="J30" s="150"/>
      <c r="K30" s="354"/>
      <c r="L30" s="354"/>
    </row>
    <row r="31" spans="1:12" ht="13.5" hidden="1" x14ac:dyDescent="0.25">
      <c r="A31" s="63"/>
      <c r="B31" s="67" t="str">
        <f>IFERROR(VLOOKUP(H31,'[1]Consolidado MP Planta'!$A$2:$M$823,3,0),"")</f>
        <v/>
      </c>
      <c r="C31" s="64">
        <f t="shared" si="6"/>
        <v>0</v>
      </c>
      <c r="D31" s="65" t="str">
        <f>IFERROR(VLOOKUP(H31,'[1]Consolidado MP Planta'!$A$2:$M$823,13,0),"")</f>
        <v/>
      </c>
      <c r="E31" s="65" t="str">
        <f>IFERROR(VLOOKUP(H31,'[1]Consolidado MP Planta'!$A$2:$M$823,12,0),"")</f>
        <v/>
      </c>
      <c r="F31" s="65" t="str">
        <f t="shared" si="7"/>
        <v/>
      </c>
      <c r="G31" s="149" t="str">
        <f t="shared" si="8"/>
        <v/>
      </c>
      <c r="H31" s="68"/>
      <c r="I31" s="68"/>
      <c r="J31" s="150"/>
      <c r="K31" s="69"/>
      <c r="L31" s="70"/>
    </row>
    <row r="32" spans="1:12" ht="13.5" hidden="1" x14ac:dyDescent="0.25">
      <c r="A32" s="63"/>
      <c r="B32" s="67" t="str">
        <f>IFERROR(VLOOKUP(H32,'[1]Consolidado MP Planta'!$A$2:$M$823,3,0),"")</f>
        <v/>
      </c>
      <c r="C32" s="64">
        <f t="shared" si="6"/>
        <v>0</v>
      </c>
      <c r="D32" s="65" t="str">
        <f>IFERROR(VLOOKUP(H32,'[1]Consolidado MP Planta'!$A$2:$M$823,13,0),"")</f>
        <v/>
      </c>
      <c r="E32" s="65" t="str">
        <f>IFERROR(VLOOKUP(H32,'[1]Consolidado MP Planta'!$A$2:$M$823,12,0),"")</f>
        <v/>
      </c>
      <c r="F32" s="65" t="str">
        <f t="shared" si="7"/>
        <v/>
      </c>
      <c r="G32" s="149" t="str">
        <f t="shared" si="8"/>
        <v/>
      </c>
      <c r="H32" s="68"/>
      <c r="I32" s="68"/>
      <c r="J32" s="150"/>
    </row>
    <row r="33" spans="1:13" ht="14.25" thickBot="1" x14ac:dyDescent="0.3">
      <c r="A33" s="63"/>
      <c r="B33" s="67"/>
      <c r="C33" s="64"/>
      <c r="D33" s="65"/>
      <c r="E33" s="65"/>
      <c r="F33" s="65"/>
      <c r="G33" s="149"/>
      <c r="H33" s="68"/>
      <c r="I33" s="68"/>
      <c r="J33" s="150"/>
    </row>
    <row r="34" spans="1:13" ht="26.25" thickBot="1" x14ac:dyDescent="0.25">
      <c r="A34" s="12" t="s">
        <v>51</v>
      </c>
      <c r="B34" s="13" t="s">
        <v>59</v>
      </c>
      <c r="C34" s="13" t="s">
        <v>51</v>
      </c>
      <c r="D34" s="14" t="s">
        <v>53</v>
      </c>
      <c r="E34" s="14" t="s">
        <v>54</v>
      </c>
      <c r="F34" s="14" t="s">
        <v>55</v>
      </c>
      <c r="G34" s="14" t="s">
        <v>56</v>
      </c>
      <c r="H34" s="15" t="s">
        <v>57</v>
      </c>
      <c r="I34" s="68"/>
      <c r="J34" s="150"/>
    </row>
    <row r="35" spans="1:13" ht="13.5" x14ac:dyDescent="0.25">
      <c r="A35" s="63">
        <f>+A17</f>
        <v>24000</v>
      </c>
      <c r="B35" s="67" t="s">
        <v>146</v>
      </c>
      <c r="C35" s="64">
        <f>+A35</f>
        <v>24000</v>
      </c>
      <c r="D35" s="65" t="s">
        <v>157</v>
      </c>
      <c r="E35" s="65">
        <v>0.01</v>
      </c>
      <c r="F35" s="65">
        <f>IFERROR(E35*C35,"")</f>
        <v>240</v>
      </c>
      <c r="G35" s="149">
        <f t="shared" ref="G35:G41" si="9">IFERROR(F35/$F$66,"")</f>
        <v>4.8022230984334086E-3</v>
      </c>
      <c r="H35" s="68" t="s">
        <v>156</v>
      </c>
      <c r="I35" s="68"/>
      <c r="J35" s="150"/>
    </row>
    <row r="36" spans="1:13" ht="13.5" x14ac:dyDescent="0.25">
      <c r="A36" s="63">
        <f t="shared" ref="A36:A41" si="10">+A18</f>
        <v>1675</v>
      </c>
      <c r="B36" s="67" t="str">
        <f>IFERROR(VLOOKUP(H36,[1]SEMIELABORADOS!$A$2:$M$6000,2,0),"")</f>
        <v>MEZCLA P/ENGRASE MOLDES KILO</v>
      </c>
      <c r="C36" s="64">
        <f t="shared" ref="C36:C41" si="11">+A36</f>
        <v>1675</v>
      </c>
      <c r="D36" s="65" t="str">
        <f>IFERROR(VLOOKUP(H36,[1]SEMIELABORADOS!$A$2:$M$6000,6,0),"")</f>
        <v>Gramo</v>
      </c>
      <c r="E36" s="65">
        <f>IFERROR(VLOOKUP(H36,[1]SEMIELABORADOS!$A$2:$M$65536,10,0),"")</f>
        <v>2.1536385000000002E-2</v>
      </c>
      <c r="F36" s="65">
        <f t="shared" ref="F36:F41" si="12">IFERROR(E36*C36,"")</f>
        <v>36.073444875</v>
      </c>
      <c r="G36" s="149">
        <f t="shared" si="9"/>
        <v>7.2180304257828858E-4</v>
      </c>
      <c r="H36" s="68" t="s">
        <v>147</v>
      </c>
      <c r="I36" s="68"/>
      <c r="J36" s="150"/>
    </row>
    <row r="37" spans="1:13" ht="13.5" hidden="1" x14ac:dyDescent="0.25">
      <c r="A37" s="63">
        <f t="shared" si="10"/>
        <v>0</v>
      </c>
      <c r="B37" s="67" t="str">
        <f>IFERROR(VLOOKUP(H37,[1]SEMIELABORADOS!$A$2:$M$6000,2,0),"")</f>
        <v/>
      </c>
      <c r="C37" s="64">
        <f t="shared" si="11"/>
        <v>0</v>
      </c>
      <c r="D37" s="65" t="str">
        <f>IFERROR(VLOOKUP(H37,[1]SEMIELABORADOS!$A$2:$M$6000,6,0),"")</f>
        <v/>
      </c>
      <c r="E37" s="65" t="str">
        <f>IFERROR(VLOOKUP(H37,[1]SEMIELABORADOS!$A$2:$M$65536,10,0),"")</f>
        <v/>
      </c>
      <c r="F37" s="65" t="str">
        <f t="shared" si="12"/>
        <v/>
      </c>
      <c r="G37" s="149" t="str">
        <f t="shared" si="9"/>
        <v/>
      </c>
      <c r="H37" s="68"/>
      <c r="I37" s="68"/>
      <c r="J37" s="150"/>
    </row>
    <row r="38" spans="1:13" ht="13.5" hidden="1" x14ac:dyDescent="0.25">
      <c r="A38" s="63">
        <f t="shared" si="10"/>
        <v>0</v>
      </c>
      <c r="B38" s="67" t="str">
        <f>IFERROR(VLOOKUP(H38,[1]SEMIELABORADOS!$A$2:$M$6000,2,0),"")</f>
        <v/>
      </c>
      <c r="C38" s="64">
        <f>+A38</f>
        <v>0</v>
      </c>
      <c r="D38" s="65" t="str">
        <f>IFERROR(VLOOKUP(H38,[1]SEMIELABORADOS!$A$2:$M$6000,6,0),"")</f>
        <v/>
      </c>
      <c r="E38" s="65" t="str">
        <f>IFERROR(VLOOKUP(H38,[1]SEMIELABORADOS!$A$2:$M$65536,10,0),"")</f>
        <v/>
      </c>
      <c r="F38" s="65" t="str">
        <f>IFERROR(E38*C38,"")</f>
        <v/>
      </c>
      <c r="G38" s="149" t="str">
        <f t="shared" si="9"/>
        <v/>
      </c>
      <c r="H38" s="68"/>
      <c r="I38" s="68"/>
      <c r="J38" s="150"/>
    </row>
    <row r="39" spans="1:13" ht="13.5" hidden="1" x14ac:dyDescent="0.25">
      <c r="A39" s="63">
        <f t="shared" si="10"/>
        <v>0</v>
      </c>
      <c r="B39" s="67" t="str">
        <f>IFERROR(VLOOKUP(H39,[1]SEMIELABORADOS!$A$2:$M$6000,2,0),"")</f>
        <v/>
      </c>
      <c r="C39" s="64">
        <f>+A39</f>
        <v>0</v>
      </c>
      <c r="D39" s="65" t="str">
        <f>IFERROR(VLOOKUP(H39,[1]SEMIELABORADOS!$A$2:$M$6000,6,0),"")</f>
        <v/>
      </c>
      <c r="E39" s="65" t="str">
        <f>IFERROR(VLOOKUP(H39,[1]SEMIELABORADOS!$A$2:$M$65536,10,0),"")</f>
        <v/>
      </c>
      <c r="F39" s="65" t="str">
        <f>IFERROR(E39*C39,"")</f>
        <v/>
      </c>
      <c r="G39" s="149" t="str">
        <f t="shared" si="9"/>
        <v/>
      </c>
      <c r="H39" s="68"/>
      <c r="I39" s="68"/>
      <c r="J39" s="150"/>
    </row>
    <row r="40" spans="1:13" ht="13.5" hidden="1" x14ac:dyDescent="0.25">
      <c r="A40" s="63">
        <f t="shared" si="10"/>
        <v>0</v>
      </c>
      <c r="B40" s="67" t="str">
        <f>IFERROR(VLOOKUP(H40,[1]SEMIELABORADOS!$A$2:$M$6000,2,0),"")</f>
        <v/>
      </c>
      <c r="C40" s="64">
        <f t="shared" si="11"/>
        <v>0</v>
      </c>
      <c r="D40" s="65" t="str">
        <f>IFERROR(VLOOKUP(H40,[1]SEMIELABORADOS!$A$2:$M$6000,6,0),"")</f>
        <v/>
      </c>
      <c r="E40" s="65" t="str">
        <f>IFERROR(VLOOKUP(H40,[1]SEMIELABORADOS!$A$2:$M$65536,10,0),"")</f>
        <v/>
      </c>
      <c r="F40" s="65" t="str">
        <f t="shared" si="12"/>
        <v/>
      </c>
      <c r="G40" s="149" t="str">
        <f t="shared" si="9"/>
        <v/>
      </c>
      <c r="H40" s="68"/>
      <c r="I40" s="68"/>
      <c r="J40" s="150"/>
    </row>
    <row r="41" spans="1:13" ht="13.5" hidden="1" x14ac:dyDescent="0.25">
      <c r="A41" s="63">
        <f t="shared" si="10"/>
        <v>0</v>
      </c>
      <c r="B41" s="67" t="str">
        <f>IFERROR(VLOOKUP(H41,[1]SEMIELABORADOS!$A$2:$M$6000,2,0),"")</f>
        <v/>
      </c>
      <c r="C41" s="64">
        <f t="shared" si="11"/>
        <v>0</v>
      </c>
      <c r="D41" s="65" t="str">
        <f>IFERROR(VLOOKUP(H41,[1]SEMIELABORADOS!$A$2:$M$6000,6,0),"")</f>
        <v/>
      </c>
      <c r="E41" s="65" t="str">
        <f>IFERROR(VLOOKUP(H41,[1]SEMIELABORADOS!$A$2:$M$65536,10,0),"")</f>
        <v/>
      </c>
      <c r="F41" s="65" t="str">
        <f t="shared" si="12"/>
        <v/>
      </c>
      <c r="G41" s="149" t="str">
        <f t="shared" si="9"/>
        <v/>
      </c>
      <c r="H41" s="68"/>
      <c r="I41" s="68"/>
      <c r="J41" s="150"/>
    </row>
    <row r="42" spans="1:13" ht="14.25" thickBot="1" x14ac:dyDescent="0.3">
      <c r="A42" s="63"/>
      <c r="B42" s="67"/>
      <c r="C42" s="64"/>
      <c r="D42" s="65"/>
      <c r="E42" s="65"/>
      <c r="F42" s="65"/>
      <c r="G42" s="149"/>
      <c r="H42" s="68"/>
      <c r="I42" s="68"/>
      <c r="J42" s="150"/>
    </row>
    <row r="43" spans="1:13" ht="26.25" thickBot="1" x14ac:dyDescent="0.25">
      <c r="A43" s="12" t="s">
        <v>51</v>
      </c>
      <c r="B43" s="13" t="s">
        <v>60</v>
      </c>
      <c r="C43" s="13" t="s">
        <v>51</v>
      </c>
      <c r="D43" s="14" t="s">
        <v>53</v>
      </c>
      <c r="E43" s="14" t="s">
        <v>54</v>
      </c>
      <c r="F43" s="14" t="s">
        <v>55</v>
      </c>
      <c r="G43" s="14" t="s">
        <v>56</v>
      </c>
      <c r="H43" s="15" t="s">
        <v>57</v>
      </c>
      <c r="I43" s="62"/>
      <c r="J43" s="150"/>
    </row>
    <row r="44" spans="1:13" ht="13.5" x14ac:dyDescent="0.25">
      <c r="A44" s="63">
        <f>+A35</f>
        <v>24000</v>
      </c>
      <c r="B44" s="67" t="s">
        <v>146</v>
      </c>
      <c r="C44" s="64">
        <f>+A44</f>
        <v>24000</v>
      </c>
      <c r="D44" s="65" t="s">
        <v>157</v>
      </c>
      <c r="E44" s="65">
        <v>0.03</v>
      </c>
      <c r="F44" s="65">
        <f>IFERROR(E44*C44,"")</f>
        <v>720</v>
      </c>
      <c r="G44" s="149">
        <f>IFERROR(F44/$F$66,"")</f>
        <v>1.4406669295300226E-2</v>
      </c>
      <c r="H44" s="68" t="s">
        <v>156</v>
      </c>
      <c r="I44" s="62"/>
      <c r="J44" s="150"/>
    </row>
    <row r="45" spans="1:13" ht="13.5" x14ac:dyDescent="0.25">
      <c r="A45" s="63">
        <f t="shared" ref="A45:A50" si="13">+A36</f>
        <v>1675</v>
      </c>
      <c r="B45" s="67" t="str">
        <f>IFERROR(VLOOKUP(H45,[1]SEMIELABORADOS!$A$2:$M$6000,2,0),"")</f>
        <v>MEZCLA P/ENGRASE MOLDES KILO</v>
      </c>
      <c r="C45" s="64">
        <f t="shared" ref="C45:C50" si="14">+A45</f>
        <v>1675</v>
      </c>
      <c r="D45" s="65" t="str">
        <f>IFERROR(VLOOKUP(H45,[1]SEMIELABORADOS!$A$2:$M$6000,6,0),"")</f>
        <v>Gramo</v>
      </c>
      <c r="E45" s="65">
        <f>IFERROR(VLOOKUP(H45,[1]SEMIELABORADOS!$A$2:$M$65536,12,0),"")</f>
        <v>0.25127579955503354</v>
      </c>
      <c r="F45" s="65">
        <f t="shared" ref="F45:F50" si="15">IFERROR(E45*C45,"")</f>
        <v>420.88696425468117</v>
      </c>
      <c r="G45" s="149">
        <f t="shared" ref="G45:G50" si="16">IFERROR(F45/$F$66,"")</f>
        <v>8.4216379232222773E-3</v>
      </c>
      <c r="H45" s="68" t="s">
        <v>147</v>
      </c>
      <c r="I45" s="62"/>
      <c r="J45" s="150"/>
      <c r="M45" s="71"/>
    </row>
    <row r="46" spans="1:13" ht="13.5" hidden="1" x14ac:dyDescent="0.25">
      <c r="A46" s="63">
        <f t="shared" si="13"/>
        <v>0</v>
      </c>
      <c r="B46" s="67" t="str">
        <f>IFERROR(VLOOKUP(H46,[1]SEMIELABORADOS!$A$2:$M$6000,2,0),"")</f>
        <v/>
      </c>
      <c r="C46" s="64">
        <f t="shared" si="14"/>
        <v>0</v>
      </c>
      <c r="D46" s="65" t="str">
        <f>IFERROR(VLOOKUP(H46,[1]SEMIELABORADOS!$A$2:$M$6000,6,0),"")</f>
        <v/>
      </c>
      <c r="E46" s="65" t="str">
        <f>IFERROR(VLOOKUP(H46,[1]SEMIELABORADOS!$A$2:$M$65536,12,0),"")</f>
        <v/>
      </c>
      <c r="F46" s="65" t="str">
        <f t="shared" si="15"/>
        <v/>
      </c>
      <c r="G46" s="149" t="str">
        <f t="shared" si="16"/>
        <v/>
      </c>
      <c r="H46" s="68"/>
      <c r="I46" s="62"/>
      <c r="J46" s="150"/>
    </row>
    <row r="47" spans="1:13" ht="13.5" hidden="1" x14ac:dyDescent="0.25">
      <c r="A47" s="63">
        <f t="shared" si="13"/>
        <v>0</v>
      </c>
      <c r="B47" s="67" t="str">
        <f>IFERROR(VLOOKUP(H47,[1]SEMIELABORADOS!$A$2:$M$6000,2,0),"")</f>
        <v/>
      </c>
      <c r="C47" s="64">
        <f t="shared" si="14"/>
        <v>0</v>
      </c>
      <c r="D47" s="65" t="str">
        <f>IFERROR(VLOOKUP(H47,[1]SEMIELABORADOS!$A$2:$M$6000,6,0),"")</f>
        <v/>
      </c>
      <c r="E47" s="65" t="str">
        <f>IFERROR(VLOOKUP(H47,[1]SEMIELABORADOS!$A$2:$M$65536,12,0),"")</f>
        <v/>
      </c>
      <c r="F47" s="65" t="str">
        <f t="shared" si="15"/>
        <v/>
      </c>
      <c r="G47" s="149" t="str">
        <f t="shared" si="16"/>
        <v/>
      </c>
      <c r="H47" s="68"/>
      <c r="I47" s="62"/>
      <c r="J47" s="150"/>
    </row>
    <row r="48" spans="1:13" ht="13.5" hidden="1" x14ac:dyDescent="0.25">
      <c r="A48" s="63">
        <f t="shared" si="13"/>
        <v>0</v>
      </c>
      <c r="B48" s="67" t="str">
        <f>IFERROR(VLOOKUP(H48,[1]SEMIELABORADOS!$A$2:$M$6000,2,0),"")</f>
        <v/>
      </c>
      <c r="C48" s="64">
        <f t="shared" si="14"/>
        <v>0</v>
      </c>
      <c r="D48" s="65" t="str">
        <f>IFERROR(VLOOKUP(H48,[1]SEMIELABORADOS!$A$2:$M$6000,6,0),"")</f>
        <v/>
      </c>
      <c r="E48" s="65" t="str">
        <f>IFERROR(VLOOKUP(H48,[1]SEMIELABORADOS!$A$2:$M$65536,12,0),"")</f>
        <v/>
      </c>
      <c r="F48" s="65" t="str">
        <f t="shared" si="15"/>
        <v/>
      </c>
      <c r="G48" s="149" t="str">
        <f t="shared" si="16"/>
        <v/>
      </c>
      <c r="H48" s="68"/>
      <c r="I48" s="62"/>
      <c r="J48" s="150"/>
    </row>
    <row r="49" spans="1:17" ht="13.5" hidden="1" x14ac:dyDescent="0.25">
      <c r="A49" s="63">
        <f t="shared" si="13"/>
        <v>0</v>
      </c>
      <c r="B49" s="67" t="str">
        <f>IFERROR(VLOOKUP(H49,[1]SEMIELABORADOS!$A$2:$M$6000,2,0),"")</f>
        <v/>
      </c>
      <c r="C49" s="64">
        <f t="shared" si="14"/>
        <v>0</v>
      </c>
      <c r="D49" s="65" t="str">
        <f>IFERROR(VLOOKUP(H49,[1]SEMIELABORADOS!$A$2:$M$6000,6,0),"")</f>
        <v/>
      </c>
      <c r="E49" s="65" t="str">
        <f>IFERROR(VLOOKUP(H49,[1]SEMIELABORADOS!$A$2:$M$65536,12,0),"")</f>
        <v/>
      </c>
      <c r="F49" s="65" t="str">
        <f t="shared" si="15"/>
        <v/>
      </c>
      <c r="G49" s="149" t="str">
        <f t="shared" si="16"/>
        <v/>
      </c>
      <c r="H49" s="68"/>
      <c r="I49" s="62"/>
      <c r="J49" s="150"/>
    </row>
    <row r="50" spans="1:17" ht="13.5" hidden="1" x14ac:dyDescent="0.25">
      <c r="A50" s="63">
        <f t="shared" si="13"/>
        <v>0</v>
      </c>
      <c r="B50" s="67" t="str">
        <f>IFERROR(VLOOKUP(H50,[1]SEMIELABORADOS!$A$2:$M$6000,2,0),"")</f>
        <v/>
      </c>
      <c r="C50" s="64">
        <f t="shared" si="14"/>
        <v>0</v>
      </c>
      <c r="D50" s="65" t="str">
        <f>IFERROR(VLOOKUP(H50,[1]SEMIELABORADOS!$A$2:$M$6000,6,0),"")</f>
        <v/>
      </c>
      <c r="E50" s="65" t="str">
        <f>IFERROR(VLOOKUP(H50,[1]SEMIELABORADOS!$A$2:$M$65536,12,0),"")</f>
        <v/>
      </c>
      <c r="F50" s="65" t="str">
        <f t="shared" si="15"/>
        <v/>
      </c>
      <c r="G50" s="149" t="str">
        <f t="shared" si="16"/>
        <v/>
      </c>
      <c r="H50" s="67"/>
      <c r="I50" s="62"/>
      <c r="J50" s="150"/>
    </row>
    <row r="51" spans="1:17" ht="13.5" x14ac:dyDescent="0.25">
      <c r="A51" s="63">
        <v>1</v>
      </c>
      <c r="B51" s="67" t="s">
        <v>61</v>
      </c>
      <c r="C51" s="64">
        <f>+A51</f>
        <v>1</v>
      </c>
      <c r="D51" s="64" t="s">
        <v>62</v>
      </c>
      <c r="E51" s="65">
        <f>+F65</f>
        <v>3050</v>
      </c>
      <c r="F51" s="65">
        <f>IFERROR(C51*E51,"")</f>
        <v>3050</v>
      </c>
      <c r="G51" s="149">
        <f>IFERROR(F51/$F$66,"")</f>
        <v>6.1028251875924568E-2</v>
      </c>
      <c r="H51" s="72"/>
      <c r="I51" s="72"/>
      <c r="J51" s="150"/>
    </row>
    <row r="52" spans="1:17" ht="14.25" thickBot="1" x14ac:dyDescent="0.3">
      <c r="A52" s="63"/>
      <c r="B52" s="67"/>
      <c r="C52" s="64"/>
      <c r="D52" s="64"/>
      <c r="E52" s="65"/>
      <c r="F52" s="65"/>
      <c r="G52" s="149"/>
      <c r="H52" s="72"/>
      <c r="I52" s="72"/>
      <c r="J52" s="150"/>
    </row>
    <row r="53" spans="1:17" ht="13.5" thickBot="1" x14ac:dyDescent="0.25">
      <c r="A53" s="73"/>
      <c r="B53" s="351" t="s">
        <v>63</v>
      </c>
      <c r="C53" s="351"/>
      <c r="D53" s="351"/>
      <c r="E53" s="351"/>
      <c r="F53" s="75">
        <f>SUM(F8:F14,F17:F24)</f>
        <v>44937</v>
      </c>
      <c r="G53" s="149">
        <f>+F53/$F$66</f>
        <v>0.89915624739292532</v>
      </c>
      <c r="H53" s="76">
        <f>+F53/$D$60</f>
        <v>134.14029850746269</v>
      </c>
      <c r="I53" s="76"/>
      <c r="J53" s="151"/>
      <c r="K53" s="30"/>
      <c r="L53" s="30"/>
      <c r="M53" s="30"/>
      <c r="N53" s="30"/>
      <c r="O53" s="30"/>
      <c r="P53" s="30"/>
      <c r="Q53" s="31"/>
    </row>
    <row r="54" spans="1:17" x14ac:dyDescent="0.2">
      <c r="A54" s="73"/>
      <c r="B54" s="351" t="s">
        <v>64</v>
      </c>
      <c r="C54" s="351"/>
      <c r="D54" s="351"/>
      <c r="E54" s="351"/>
      <c r="F54" s="75">
        <f>SUM(F27:F32,F35:F41)</f>
        <v>1091.1134448749999</v>
      </c>
      <c r="G54" s="149">
        <f>+F54/$F$66</f>
        <v>2.1832375783291551E-2</v>
      </c>
      <c r="H54" s="76">
        <f>+F54/$D$60</f>
        <v>3.257055059328358</v>
      </c>
      <c r="I54" s="76"/>
      <c r="J54" s="77"/>
      <c r="K54" s="355" t="s">
        <v>65</v>
      </c>
      <c r="L54" s="356"/>
      <c r="M54" s="356"/>
      <c r="N54" s="356"/>
      <c r="O54" s="78">
        <f>+F55</f>
        <v>46028.113444875002</v>
      </c>
      <c r="P54" s="78"/>
      <c r="Q54" s="32"/>
    </row>
    <row r="55" spans="1:17" x14ac:dyDescent="0.2">
      <c r="A55" s="73"/>
      <c r="B55" s="351" t="s">
        <v>66</v>
      </c>
      <c r="C55" s="351"/>
      <c r="D55" s="351"/>
      <c r="E55" s="351"/>
      <c r="F55" s="75">
        <f>+F53+F54</f>
        <v>46028.113444875002</v>
      </c>
      <c r="G55" s="149">
        <f>+F55/$F$66</f>
        <v>0.92098862317621699</v>
      </c>
      <c r="H55" s="76">
        <f>+F55/$D$60</f>
        <v>137.39735356679105</v>
      </c>
      <c r="I55" s="76"/>
      <c r="J55" s="152"/>
      <c r="K55" s="79"/>
      <c r="M55" s="153" t="s">
        <v>67</v>
      </c>
      <c r="N55" s="154"/>
      <c r="O55" s="78">
        <f>+H56</f>
        <v>12.51011034105875</v>
      </c>
      <c r="P55" s="78"/>
      <c r="Q55" s="32"/>
    </row>
    <row r="56" spans="1:17" ht="13.5" thickBot="1" x14ac:dyDescent="0.25">
      <c r="A56" s="73"/>
      <c r="B56" s="74"/>
      <c r="C56" s="351" t="s">
        <v>68</v>
      </c>
      <c r="D56" s="351"/>
      <c r="E56" s="351"/>
      <c r="F56" s="75">
        <f>SUM(F44:F51)</f>
        <v>4190.8869642546815</v>
      </c>
      <c r="G56" s="149">
        <f>+F56/$F$66</f>
        <v>8.3856559094447086E-2</v>
      </c>
      <c r="H56" s="76">
        <f>+F56/$D$60</f>
        <v>12.51011034105875</v>
      </c>
      <c r="I56" s="76"/>
      <c r="J56" s="152"/>
      <c r="K56" s="79"/>
      <c r="L56" s="79"/>
      <c r="M56" s="79" t="s">
        <v>69</v>
      </c>
      <c r="N56" s="155"/>
      <c r="O56" s="78">
        <f>O54*N56</f>
        <v>0</v>
      </c>
      <c r="P56" s="78"/>
      <c r="Q56" s="32"/>
    </row>
    <row r="57" spans="1:17" ht="13.5" thickBot="1" x14ac:dyDescent="0.25">
      <c r="A57" s="73"/>
      <c r="B57" s="80"/>
      <c r="C57" s="80"/>
      <c r="D57" s="80"/>
      <c r="E57" s="80"/>
      <c r="F57" s="81"/>
      <c r="G57" s="149"/>
      <c r="H57" s="82"/>
      <c r="I57" s="76"/>
      <c r="J57" s="152"/>
      <c r="K57" s="83"/>
      <c r="M57" s="84" t="s">
        <v>70</v>
      </c>
      <c r="N57" s="85"/>
      <c r="O57" s="86">
        <f>SUM(O54:O56)</f>
        <v>46040.623555216058</v>
      </c>
      <c r="P57" s="87"/>
      <c r="Q57" s="32"/>
    </row>
    <row r="58" spans="1:17" x14ac:dyDescent="0.2">
      <c r="B58" s="353" t="s">
        <v>71</v>
      </c>
      <c r="C58" s="353"/>
      <c r="D58" s="88">
        <v>23450</v>
      </c>
      <c r="E58" s="89"/>
      <c r="G58" s="149"/>
      <c r="H58" s="82">
        <f>+H56/61</f>
        <v>0.20508377608293032</v>
      </c>
      <c r="I58" s="90"/>
      <c r="J58" s="152"/>
      <c r="K58" s="83"/>
      <c r="L58" s="79"/>
      <c r="M58" s="79" t="s">
        <v>72</v>
      </c>
      <c r="N58" s="156"/>
      <c r="O58" s="78">
        <f>+H59</f>
        <v>11.89485901280996</v>
      </c>
      <c r="P58" s="78"/>
      <c r="Q58" s="32"/>
    </row>
    <row r="59" spans="1:17" x14ac:dyDescent="0.2">
      <c r="B59" s="353" t="s">
        <v>73</v>
      </c>
      <c r="C59" s="353"/>
      <c r="D59" s="91">
        <v>70</v>
      </c>
      <c r="E59" s="89"/>
      <c r="G59" s="149"/>
      <c r="H59" s="82">
        <f>+H58*58</f>
        <v>11.89485901280996</v>
      </c>
      <c r="I59" s="90"/>
      <c r="J59" s="152"/>
      <c r="K59" s="83"/>
      <c r="L59" s="79"/>
      <c r="M59" s="346" t="s">
        <v>70</v>
      </c>
      <c r="N59" s="346"/>
      <c r="O59" s="78">
        <f>SUM(O57:O58)</f>
        <v>46052.518414228871</v>
      </c>
      <c r="P59" s="78"/>
      <c r="Q59" s="32"/>
    </row>
    <row r="60" spans="1:17" ht="13.5" thickBot="1" x14ac:dyDescent="0.25">
      <c r="B60" s="347" t="s">
        <v>74</v>
      </c>
      <c r="C60" s="347"/>
      <c r="D60" s="88">
        <f>+D58/D59</f>
        <v>335</v>
      </c>
      <c r="E60" s="89"/>
      <c r="F60" s="92"/>
      <c r="G60" s="149"/>
      <c r="H60" s="82"/>
      <c r="I60" s="90"/>
      <c r="J60" s="152"/>
      <c r="K60" s="83"/>
      <c r="L60" s="346"/>
      <c r="M60" s="346"/>
      <c r="N60" s="156"/>
      <c r="O60" s="78">
        <f>+O59*N60</f>
        <v>0</v>
      </c>
      <c r="P60" s="78"/>
      <c r="Q60" s="32"/>
    </row>
    <row r="61" spans="1:17" ht="13.5" thickBot="1" x14ac:dyDescent="0.25">
      <c r="B61" s="347" t="s">
        <v>76</v>
      </c>
      <c r="C61" s="347"/>
      <c r="D61" s="93"/>
      <c r="E61" s="89"/>
      <c r="F61" s="92"/>
      <c r="G61" s="149"/>
      <c r="H61" s="82"/>
      <c r="I61" s="90"/>
      <c r="J61" s="152"/>
      <c r="K61" s="348" t="s">
        <v>77</v>
      </c>
      <c r="L61" s="349"/>
      <c r="M61" s="349"/>
      <c r="N61" s="350"/>
      <c r="O61" s="86">
        <f>SUM(O59:O60)</f>
        <v>46052.518414228871</v>
      </c>
      <c r="P61" s="94" t="s">
        <v>78</v>
      </c>
      <c r="Q61" s="32"/>
    </row>
    <row r="62" spans="1:17" ht="13.5" thickBot="1" x14ac:dyDescent="0.25">
      <c r="C62" s="73" t="s">
        <v>79</v>
      </c>
      <c r="D62" s="45"/>
      <c r="E62" s="53" t="s">
        <v>80</v>
      </c>
      <c r="F62" s="95" t="s">
        <v>81</v>
      </c>
      <c r="G62" s="149"/>
      <c r="H62" s="82"/>
      <c r="I62" s="90"/>
      <c r="J62" s="36"/>
      <c r="K62" s="96"/>
      <c r="L62" s="336" t="s">
        <v>82</v>
      </c>
      <c r="M62" s="336"/>
      <c r="N62" s="336"/>
      <c r="O62" s="97">
        <f>+O61/D60</f>
        <v>137.47020422157871</v>
      </c>
      <c r="P62" s="98">
        <f>+O62/D59</f>
        <v>1.9638600603082672</v>
      </c>
      <c r="Q62" s="34"/>
    </row>
    <row r="63" spans="1:17" ht="13.5" thickBot="1" x14ac:dyDescent="0.25">
      <c r="B63" s="337" t="s">
        <v>66</v>
      </c>
      <c r="C63" s="337"/>
      <c r="D63" s="337"/>
      <c r="E63" s="157">
        <f>+F63/F63</f>
        <v>1</v>
      </c>
      <c r="F63" s="99">
        <f>SUM(F55)</f>
        <v>46028.113444875002</v>
      </c>
      <c r="G63" s="149">
        <f>+F63/$F$66</f>
        <v>0.92098862317621699</v>
      </c>
      <c r="H63" s="82"/>
      <c r="I63" s="90"/>
      <c r="K63" s="338"/>
      <c r="L63" s="339"/>
      <c r="M63" s="339"/>
      <c r="N63" s="339"/>
      <c r="O63" s="100"/>
      <c r="P63" s="37"/>
    </row>
    <row r="64" spans="1:17" ht="13.5" thickBot="1" x14ac:dyDescent="0.25">
      <c r="B64" s="340" t="s">
        <v>83</v>
      </c>
      <c r="C64" s="340"/>
      <c r="D64" s="340"/>
      <c r="E64" s="101">
        <v>0.02</v>
      </c>
      <c r="F64" s="99">
        <f>+F53*E64</f>
        <v>898.74</v>
      </c>
      <c r="G64" s="149">
        <f>+F64/$F$66</f>
        <v>1.7983124947858507E-2</v>
      </c>
      <c r="H64" s="76"/>
      <c r="I64" s="90"/>
      <c r="J64" s="158"/>
      <c r="O64" s="102"/>
      <c r="P64" s="74"/>
    </row>
    <row r="65" spans="2:13" ht="13.5" thickBot="1" x14ac:dyDescent="0.25">
      <c r="B65" s="341" t="s">
        <v>84</v>
      </c>
      <c r="C65" s="342"/>
      <c r="D65" s="49">
        <v>50</v>
      </c>
      <c r="E65" s="103">
        <v>61</v>
      </c>
      <c r="F65" s="99">
        <f>+E65*D65</f>
        <v>3050</v>
      </c>
      <c r="G65" s="149">
        <f>+F65/$F$66</f>
        <v>6.1028251875924568E-2</v>
      </c>
      <c r="H65" s="76"/>
      <c r="I65" s="76"/>
      <c r="J65" s="150"/>
    </row>
    <row r="66" spans="2:13" ht="13.5" thickBot="1" x14ac:dyDescent="0.25">
      <c r="B66" s="343" t="s">
        <v>85</v>
      </c>
      <c r="C66" s="344"/>
      <c r="D66" s="344"/>
      <c r="E66" s="345"/>
      <c r="F66" s="81">
        <f>SUM(F63:F65)</f>
        <v>49976.853444875</v>
      </c>
      <c r="G66" s="149">
        <f>+F66/$F$66</f>
        <v>1</v>
      </c>
      <c r="H66" s="352"/>
      <c r="I66" s="76"/>
      <c r="J66" s="150"/>
      <c r="M66" s="55" t="s">
        <v>142</v>
      </c>
    </row>
    <row r="67" spans="2:13" x14ac:dyDescent="0.2">
      <c r="C67" s="71"/>
      <c r="D67" s="71"/>
      <c r="E67" s="105"/>
      <c r="F67" s="99"/>
      <c r="G67" s="149"/>
      <c r="H67" s="352"/>
      <c r="I67" s="104"/>
      <c r="J67" s="55"/>
      <c r="M67" s="55" t="s">
        <v>143</v>
      </c>
    </row>
    <row r="68" spans="2:13" ht="13.5" thickBot="1" x14ac:dyDescent="0.25">
      <c r="B68" s="331" t="s">
        <v>86</v>
      </c>
      <c r="C68" s="331"/>
      <c r="D68" s="331"/>
      <c r="E68" s="331"/>
      <c r="F68" s="331"/>
      <c r="G68" s="149"/>
      <c r="H68" s="9"/>
      <c r="I68" s="104"/>
      <c r="J68" s="55"/>
      <c r="M68" s="55" t="s">
        <v>144</v>
      </c>
    </row>
    <row r="69" spans="2:13" ht="13.5" thickBot="1" x14ac:dyDescent="0.25">
      <c r="B69" s="107" t="s">
        <v>87</v>
      </c>
      <c r="C69" s="108">
        <f>+F53</f>
        <v>44937</v>
      </c>
      <c r="D69" s="108">
        <f>+D58</f>
        <v>23450</v>
      </c>
      <c r="E69" s="109">
        <f>+C69/D69</f>
        <v>1.9162899786780383</v>
      </c>
      <c r="F69" s="149"/>
      <c r="G69" s="9"/>
      <c r="H69" s="150"/>
      <c r="I69" s="9"/>
      <c r="J69" s="55"/>
    </row>
    <row r="70" spans="2:13" x14ac:dyDescent="0.2">
      <c r="B70" s="110"/>
      <c r="C70" s="111"/>
      <c r="D70" s="112"/>
      <c r="E70" s="99"/>
      <c r="F70" s="149"/>
      <c r="G70" s="9"/>
      <c r="H70" s="150"/>
      <c r="I70" s="150"/>
      <c r="J70" s="55"/>
    </row>
    <row r="71" spans="2:13" x14ac:dyDescent="0.2">
      <c r="B71" s="107" t="s">
        <v>88</v>
      </c>
      <c r="C71" s="108">
        <f>SUM(F63:F64)</f>
        <v>46926.853444875</v>
      </c>
      <c r="D71" s="108">
        <f>+D58</f>
        <v>23450</v>
      </c>
      <c r="E71" s="113">
        <f>+C71/D71</f>
        <v>2.0011451362420041</v>
      </c>
      <c r="F71" s="149"/>
      <c r="G71" s="9"/>
      <c r="H71" s="150"/>
      <c r="I71" s="150"/>
      <c r="J71" s="55"/>
    </row>
    <row r="72" spans="2:13" x14ac:dyDescent="0.2">
      <c r="B72" s="107"/>
      <c r="C72" s="108"/>
      <c r="D72" s="108"/>
      <c r="E72" s="113"/>
      <c r="F72" s="149"/>
      <c r="G72" s="9"/>
      <c r="H72" s="150"/>
      <c r="I72" s="150"/>
      <c r="J72" s="55"/>
    </row>
    <row r="73" spans="2:13" ht="13.5" thickBot="1" x14ac:dyDescent="0.25">
      <c r="B73" s="107" t="s">
        <v>89</v>
      </c>
      <c r="C73" s="108">
        <f>+F65</f>
        <v>3050</v>
      </c>
      <c r="D73" s="108">
        <f>+D58</f>
        <v>23450</v>
      </c>
      <c r="E73" s="113">
        <f>+C73/D73</f>
        <v>0.13006396588486141</v>
      </c>
      <c r="F73" s="149"/>
      <c r="G73" s="9"/>
      <c r="H73" s="150"/>
      <c r="I73" s="150"/>
      <c r="J73" s="55"/>
    </row>
    <row r="74" spans="2:13" ht="13.5" thickBot="1" x14ac:dyDescent="0.25">
      <c r="B74" s="107" t="s">
        <v>90</v>
      </c>
      <c r="C74" s="108">
        <f>+F56</f>
        <v>4190.8869642546815</v>
      </c>
      <c r="D74" s="108">
        <f>+D73</f>
        <v>23450</v>
      </c>
      <c r="E74" s="109">
        <f>+C74/D74</f>
        <v>0.17871586201512502</v>
      </c>
      <c r="F74" s="149"/>
      <c r="G74" s="9"/>
      <c r="H74" s="150"/>
      <c r="I74" s="150"/>
      <c r="J74" s="55"/>
    </row>
    <row r="75" spans="2:13" ht="13.5" thickBot="1" x14ac:dyDescent="0.25">
      <c r="B75" s="80"/>
      <c r="C75" s="81"/>
      <c r="D75" s="81"/>
      <c r="E75" s="113"/>
      <c r="F75" s="149"/>
      <c r="G75" s="9"/>
      <c r="H75" s="150"/>
      <c r="I75" s="150"/>
      <c r="J75" s="55"/>
    </row>
    <row r="76" spans="2:13" ht="13.5" thickBot="1" x14ac:dyDescent="0.25">
      <c r="B76" s="107" t="s">
        <v>91</v>
      </c>
      <c r="C76" s="108">
        <f>+F54</f>
        <v>1091.1134448749999</v>
      </c>
      <c r="D76" s="108">
        <f>+D74</f>
        <v>23450</v>
      </c>
      <c r="E76" s="109">
        <f>+C76/D76</f>
        <v>4.6529357990405112E-2</v>
      </c>
      <c r="F76" s="149"/>
      <c r="G76" s="9"/>
      <c r="H76" s="150"/>
      <c r="I76" s="150"/>
      <c r="J76" s="150"/>
    </row>
    <row r="77" spans="2:13" ht="13.5" thickBot="1" x14ac:dyDescent="0.25">
      <c r="B77" s="80"/>
      <c r="C77" s="81"/>
      <c r="D77" s="81"/>
      <c r="E77" s="113"/>
      <c r="F77" s="149"/>
      <c r="G77" s="9"/>
      <c r="H77" s="150"/>
      <c r="I77" s="150"/>
    </row>
    <row r="78" spans="2:13" ht="13.5" thickBot="1" x14ac:dyDescent="0.25">
      <c r="B78" s="332" t="s">
        <v>92</v>
      </c>
      <c r="C78" s="333"/>
      <c r="D78" s="334"/>
      <c r="E78" s="109">
        <f>+E69+E74</f>
        <v>2.0950058406931635</v>
      </c>
      <c r="G78" s="149"/>
      <c r="H78" s="9"/>
      <c r="I78" s="150"/>
      <c r="J78" s="113"/>
    </row>
    <row r="79" spans="2:13" x14ac:dyDescent="0.2">
      <c r="I79" s="9"/>
      <c r="J79" s="55"/>
    </row>
    <row r="80" spans="2:13" ht="13.5" thickBot="1" x14ac:dyDescent="0.25">
      <c r="B80" s="331" t="s">
        <v>93</v>
      </c>
      <c r="C80" s="331"/>
      <c r="D80" s="331"/>
      <c r="E80" s="331"/>
      <c r="F80" s="331"/>
      <c r="G80" s="149"/>
      <c r="H80" s="9"/>
      <c r="J80" s="55"/>
    </row>
    <row r="81" spans="1:10" ht="13.5" thickBot="1" x14ac:dyDescent="0.25">
      <c r="B81" s="107" t="s">
        <v>87</v>
      </c>
      <c r="C81" s="108">
        <f>+C69</f>
        <v>44937</v>
      </c>
      <c r="D81" s="108">
        <f>+D60</f>
        <v>335</v>
      </c>
      <c r="E81" s="109">
        <f>+C81/D81</f>
        <v>134.14029850746269</v>
      </c>
      <c r="F81" s="149"/>
      <c r="G81" s="9"/>
      <c r="H81" s="150"/>
      <c r="I81" s="9"/>
      <c r="J81" s="55"/>
    </row>
    <row r="82" spans="1:10" x14ac:dyDescent="0.2">
      <c r="B82" s="110"/>
      <c r="C82" s="111"/>
      <c r="D82" s="112"/>
      <c r="E82" s="99"/>
      <c r="F82" s="149"/>
      <c r="G82" s="9"/>
      <c r="H82" s="150"/>
      <c r="I82" s="150"/>
      <c r="J82" s="55"/>
    </row>
    <row r="83" spans="1:10" x14ac:dyDescent="0.2">
      <c r="B83" s="107" t="s">
        <v>88</v>
      </c>
      <c r="C83" s="108">
        <f>+C71</f>
        <v>46926.853444875</v>
      </c>
      <c r="D83" s="108">
        <f>+D60</f>
        <v>335</v>
      </c>
      <c r="E83" s="113">
        <f>+C83/D83</f>
        <v>140.0801595369403</v>
      </c>
      <c r="F83" s="149"/>
      <c r="G83" s="9"/>
      <c r="H83" s="150"/>
      <c r="I83" s="150"/>
      <c r="J83" s="55"/>
    </row>
    <row r="84" spans="1:10" x14ac:dyDescent="0.2">
      <c r="B84" s="107"/>
      <c r="C84" s="108"/>
      <c r="D84" s="108"/>
      <c r="E84" s="113"/>
      <c r="F84" s="149"/>
      <c r="G84" s="9"/>
      <c r="H84" s="150"/>
      <c r="I84" s="150"/>
      <c r="J84" s="55"/>
    </row>
    <row r="85" spans="1:10" ht="13.5" thickBot="1" x14ac:dyDescent="0.25">
      <c r="B85" s="107" t="s">
        <v>90</v>
      </c>
      <c r="C85" s="108">
        <f>+C73</f>
        <v>3050</v>
      </c>
      <c r="D85" s="108">
        <f>+D60</f>
        <v>335</v>
      </c>
      <c r="E85" s="113">
        <f>+C85/D85</f>
        <v>9.1044776119402986</v>
      </c>
      <c r="F85" s="114"/>
      <c r="G85" s="106"/>
      <c r="H85" s="54"/>
      <c r="I85" s="150"/>
    </row>
    <row r="86" spans="1:10" ht="13.5" thickBot="1" x14ac:dyDescent="0.25">
      <c r="B86" s="107" t="s">
        <v>90</v>
      </c>
      <c r="C86" s="108">
        <f>+C74</f>
        <v>4190.8869642546815</v>
      </c>
      <c r="D86" s="108">
        <f>+D85</f>
        <v>335</v>
      </c>
      <c r="E86" s="109">
        <f>+C86/D86</f>
        <v>12.51011034105875</v>
      </c>
      <c r="F86" s="159"/>
      <c r="G86" s="106"/>
      <c r="H86" s="54"/>
      <c r="I86" s="54"/>
    </row>
    <row r="87" spans="1:10" x14ac:dyDescent="0.2">
      <c r="I87" s="54"/>
    </row>
    <row r="88" spans="1:10" x14ac:dyDescent="0.2">
      <c r="A88" s="335"/>
      <c r="B88" s="335"/>
      <c r="C88" s="115"/>
      <c r="D88" s="115"/>
      <c r="E88" s="116"/>
      <c r="G88" s="160"/>
    </row>
    <row r="89" spans="1:10" x14ac:dyDescent="0.2">
      <c r="A89" s="67"/>
      <c r="B89" s="117"/>
      <c r="C89" s="118"/>
      <c r="D89" s="118"/>
      <c r="E89" s="119"/>
      <c r="G89" s="160"/>
    </row>
    <row r="90" spans="1:10" x14ac:dyDescent="0.2">
      <c r="A90" s="67"/>
      <c r="B90" s="117"/>
      <c r="C90" s="120"/>
      <c r="D90" s="120"/>
      <c r="E90" s="67"/>
      <c r="G90" s="160"/>
    </row>
    <row r="91" spans="1:10" x14ac:dyDescent="0.2">
      <c r="A91" s="67"/>
      <c r="B91" s="117"/>
      <c r="C91" s="121"/>
      <c r="D91" s="121"/>
      <c r="E91" s="67"/>
      <c r="G91" s="160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72B1-AB52-481C-9432-16A5A02B7045}">
  <dimension ref="A1:Q95"/>
  <sheetViews>
    <sheetView workbookViewId="0">
      <selection activeCell="E9" sqref="E9"/>
    </sheetView>
  </sheetViews>
  <sheetFormatPr baseColWidth="10" defaultColWidth="8.42578125" defaultRowHeight="12.75" x14ac:dyDescent="0.2"/>
  <cols>
    <col min="1" max="1" width="10" style="55" bestFit="1" customWidth="1"/>
    <col min="2" max="2" width="44.28515625" style="55" bestFit="1" customWidth="1"/>
    <col min="3" max="3" width="10.42578125" style="55" bestFit="1" customWidth="1"/>
    <col min="4" max="4" width="10.42578125" style="55" customWidth="1"/>
    <col min="5" max="5" width="9.7109375" style="55" bestFit="1" customWidth="1"/>
    <col min="6" max="6" width="9.5703125" style="55" bestFit="1" customWidth="1"/>
    <col min="7" max="7" width="9.5703125" style="159" bestFit="1" customWidth="1"/>
    <col min="8" max="8" width="10.42578125" style="106" bestFit="1" customWidth="1"/>
    <col min="9" max="9" width="4.5703125" style="106" customWidth="1"/>
    <col min="10" max="10" width="1.7109375" style="54" customWidth="1"/>
    <col min="11" max="11" width="7" style="55" bestFit="1" customWidth="1"/>
    <col min="12" max="12" width="6.28515625" style="55" customWidth="1"/>
    <col min="13" max="13" width="20.42578125" style="55" customWidth="1"/>
    <col min="14" max="14" width="6.42578125" style="55" bestFit="1" customWidth="1"/>
    <col min="15" max="16" width="8.42578125" style="55"/>
    <col min="17" max="17" width="3.28515625" style="55" customWidth="1"/>
    <col min="18" max="16384" width="8.42578125" style="55"/>
  </cols>
  <sheetData>
    <row r="1" spans="1:10" ht="27.75" customHeight="1" x14ac:dyDescent="0.2">
      <c r="A1" s="47"/>
      <c r="B1" s="47"/>
      <c r="C1" s="47"/>
      <c r="D1" s="47"/>
      <c r="E1" s="48" t="s">
        <v>45</v>
      </c>
      <c r="F1" s="46" t="s">
        <v>46</v>
      </c>
      <c r="G1" s="46" t="s">
        <v>47</v>
      </c>
      <c r="H1" s="46" t="s">
        <v>48</v>
      </c>
      <c r="I1" s="53"/>
    </row>
    <row r="2" spans="1:10" ht="30.75" customHeight="1" x14ac:dyDescent="0.2">
      <c r="A2" s="47"/>
      <c r="B2" s="47"/>
      <c r="C2" s="47"/>
      <c r="D2" s="47"/>
      <c r="E2" s="56">
        <f>IFERROR(O66,"")</f>
        <v>1087.7561621916059</v>
      </c>
      <c r="F2" s="56">
        <f>IFERROR(H57,"")</f>
        <v>450.24597796752983</v>
      </c>
      <c r="G2" s="56">
        <f>IFERROR(H58,"")</f>
        <v>173.9930221673506</v>
      </c>
      <c r="H2" s="56">
        <f>IFERROR(H60,"")</f>
        <v>237.60123433159885</v>
      </c>
      <c r="I2" s="57"/>
    </row>
    <row r="3" spans="1:10" ht="15" customHeight="1" x14ac:dyDescent="0.2">
      <c r="A3" s="47"/>
      <c r="B3" s="47"/>
      <c r="C3" s="47"/>
      <c r="D3" s="47"/>
      <c r="E3" s="47"/>
      <c r="F3" s="58"/>
      <c r="G3" s="58"/>
      <c r="H3" s="58"/>
      <c r="I3" s="58"/>
    </row>
    <row r="4" spans="1:10" ht="24.75" customHeight="1" thickBot="1" x14ac:dyDescent="0.25">
      <c r="A4" s="357"/>
      <c r="B4" s="357"/>
      <c r="C4" s="357"/>
      <c r="D4" s="357"/>
      <c r="E4" s="357"/>
      <c r="F4" s="357"/>
      <c r="G4" s="357"/>
      <c r="H4" s="357"/>
      <c r="I4" s="59"/>
    </row>
    <row r="5" spans="1:10" ht="19.5" customHeight="1" thickBot="1" x14ac:dyDescent="0.25">
      <c r="A5" s="358" t="s">
        <v>49</v>
      </c>
      <c r="B5" s="359"/>
      <c r="C5" s="359"/>
      <c r="D5" s="359"/>
      <c r="E5" s="359"/>
      <c r="F5" s="359"/>
      <c r="G5" s="359"/>
      <c r="H5" s="360"/>
      <c r="I5" s="60"/>
    </row>
    <row r="6" spans="1:10" ht="19.5" thickBot="1" x14ac:dyDescent="0.25">
      <c r="A6" s="60"/>
      <c r="B6" s="60"/>
      <c r="C6" s="60"/>
      <c r="D6" s="60"/>
      <c r="E6" s="60"/>
      <c r="F6" s="361" t="s">
        <v>50</v>
      </c>
      <c r="G6" s="361"/>
      <c r="H6" s="61">
        <f ca="1">TODAY()</f>
        <v>45751</v>
      </c>
      <c r="I6" s="61"/>
    </row>
    <row r="7" spans="1:10" ht="26.25" thickBot="1" x14ac:dyDescent="0.25">
      <c r="A7" s="12" t="s">
        <v>51</v>
      </c>
      <c r="B7" s="13" t="s">
        <v>52</v>
      </c>
      <c r="C7" s="13" t="s">
        <v>51</v>
      </c>
      <c r="D7" s="14" t="s">
        <v>53</v>
      </c>
      <c r="E7" s="14" t="s">
        <v>54</v>
      </c>
      <c r="F7" s="14" t="s">
        <v>55</v>
      </c>
      <c r="G7" s="14" t="s">
        <v>56</v>
      </c>
      <c r="H7" s="15" t="s">
        <v>57</v>
      </c>
      <c r="I7" s="62"/>
    </row>
    <row r="8" spans="1:10" ht="13.5" x14ac:dyDescent="0.25">
      <c r="A8" s="63">
        <v>5</v>
      </c>
      <c r="B8" s="55" t="s">
        <v>136</v>
      </c>
      <c r="C8" s="64">
        <f>+A8</f>
        <v>5</v>
      </c>
      <c r="D8" s="65" t="s">
        <v>160</v>
      </c>
      <c r="E8" s="65">
        <v>2.56</v>
      </c>
      <c r="F8" s="65">
        <f>IFERROR(C8*E8,"")</f>
        <v>12.8</v>
      </c>
      <c r="G8" s="149">
        <f t="shared" ref="G8:G14" si="0">IFERROR(F8/$F$70,"")</f>
        <v>1.5681586951110084E-2</v>
      </c>
      <c r="H8" s="66" t="s">
        <v>135</v>
      </c>
      <c r="I8" s="66"/>
      <c r="J8" s="150"/>
    </row>
    <row r="9" spans="1:10" ht="13.5" x14ac:dyDescent="0.25">
      <c r="A9" s="63">
        <v>1</v>
      </c>
      <c r="B9" s="55" t="str">
        <f>IFERROR(VLOOKUP(H9,'[1]Consolidado MP Planta'!$A$2:$M$823,3,0),"")</f>
        <v>CHOCOLATE TRIAN OLEA  PEQ (CAJA:250 UND)</v>
      </c>
      <c r="C9" s="64">
        <f t="shared" ref="C9:C14" si="1">+A9</f>
        <v>1</v>
      </c>
      <c r="D9" s="65">
        <f>IFERROR(VLOOKUP(H9,'[1]Consolidado MP Planta'!$A$2:$M$823,13,0),"")</f>
        <v>0</v>
      </c>
      <c r="E9" s="65">
        <f>IFERROR(VLOOKUP(H9,'[1]Consolidado MP Planta'!$A$2:$M$823,12,0),"")</f>
        <v>83.072000000000003</v>
      </c>
      <c r="F9" s="65">
        <f t="shared" ref="F9:F14" si="2">IFERROR(C9*E9,"")</f>
        <v>83.072000000000003</v>
      </c>
      <c r="G9" s="149">
        <f t="shared" si="0"/>
        <v>0.10177349931270445</v>
      </c>
      <c r="H9" s="66" t="s">
        <v>132</v>
      </c>
      <c r="I9" s="66"/>
      <c r="J9" s="150"/>
    </row>
    <row r="10" spans="1:10" ht="13.5" hidden="1" x14ac:dyDescent="0.25">
      <c r="A10" s="63"/>
      <c r="B10" s="55" t="str">
        <f>IFERROR(VLOOKUP(H10,'[1]Consolidado MP Planta'!$A$2:$M$823,3,0),"")</f>
        <v/>
      </c>
      <c r="C10" s="64">
        <f t="shared" si="1"/>
        <v>0</v>
      </c>
      <c r="D10" s="65" t="str">
        <f>IFERROR(VLOOKUP(H10,'[1]Consolidado MP Planta'!$A$2:$M$823,13,0),"")</f>
        <v/>
      </c>
      <c r="E10" s="65" t="str">
        <f>IFERROR(VLOOKUP(H10,'[1]Consolidado MP Planta'!$A$2:$M$823,12,0),"")</f>
        <v/>
      </c>
      <c r="F10" s="65" t="str">
        <f t="shared" si="2"/>
        <v/>
      </c>
      <c r="G10" s="149" t="str">
        <f t="shared" si="0"/>
        <v/>
      </c>
      <c r="H10" s="66"/>
      <c r="I10" s="66"/>
      <c r="J10" s="150"/>
    </row>
    <row r="11" spans="1:10" ht="13.5" hidden="1" x14ac:dyDescent="0.25">
      <c r="A11" s="63"/>
      <c r="B11" s="55" t="str">
        <f>IFERROR(VLOOKUP(H11,'[1]Consolidado MP Planta'!$A$2:$M$823,3,0),"")</f>
        <v/>
      </c>
      <c r="C11" s="64">
        <f t="shared" si="1"/>
        <v>0</v>
      </c>
      <c r="D11" s="65" t="str">
        <f>IFERROR(VLOOKUP(H11,'[1]Consolidado MP Planta'!$A$2:$M$823,13,0),"")</f>
        <v/>
      </c>
      <c r="E11" s="65" t="str">
        <f>IFERROR(VLOOKUP(H11,'[1]Consolidado MP Planta'!$A$2:$M$823,12,0),"")</f>
        <v/>
      </c>
      <c r="F11" s="65" t="str">
        <f t="shared" si="2"/>
        <v/>
      </c>
      <c r="G11" s="149" t="str">
        <f t="shared" si="0"/>
        <v/>
      </c>
      <c r="H11" s="66"/>
      <c r="I11" s="66"/>
      <c r="J11" s="150"/>
    </row>
    <row r="12" spans="1:10" ht="13.5" hidden="1" x14ac:dyDescent="0.25">
      <c r="A12" s="63"/>
      <c r="B12" s="55" t="str">
        <f>IFERROR(VLOOKUP(H12,'[1]Consolidado MP Planta'!$A$2:$M$823,3,0),"")</f>
        <v/>
      </c>
      <c r="C12" s="64">
        <f t="shared" si="1"/>
        <v>0</v>
      </c>
      <c r="D12" s="65" t="str">
        <f>IFERROR(VLOOKUP(H12,'[1]Consolidado MP Planta'!$A$2:$M$823,13,0),"")</f>
        <v/>
      </c>
      <c r="E12" s="65" t="str">
        <f>IFERROR(VLOOKUP(H12,'[1]Consolidado MP Planta'!$A$2:$M$823,12,0),"")</f>
        <v/>
      </c>
      <c r="F12" s="65" t="str">
        <f t="shared" si="2"/>
        <v/>
      </c>
      <c r="G12" s="149" t="str">
        <f t="shared" si="0"/>
        <v/>
      </c>
      <c r="H12" s="66"/>
      <c r="I12" s="66"/>
      <c r="J12" s="150"/>
    </row>
    <row r="13" spans="1:10" ht="13.5" hidden="1" x14ac:dyDescent="0.25">
      <c r="A13" s="63"/>
      <c r="B13" s="55" t="str">
        <f>IFERROR(VLOOKUP(H13,'[1]Consolidado MP Planta'!$A$2:$M$823,3,0),"")</f>
        <v/>
      </c>
      <c r="C13" s="64">
        <f t="shared" si="1"/>
        <v>0</v>
      </c>
      <c r="D13" s="65" t="str">
        <f>IFERROR(VLOOKUP(H13,'[1]Consolidado MP Planta'!$A$2:$M$823,13,0),"")</f>
        <v/>
      </c>
      <c r="E13" s="65" t="str">
        <f>IFERROR(VLOOKUP(H13,'[1]Consolidado MP Planta'!$A$2:$M$823,12,0),"")</f>
        <v/>
      </c>
      <c r="F13" s="65" t="str">
        <f t="shared" si="2"/>
        <v/>
      </c>
      <c r="G13" s="149" t="str">
        <f t="shared" si="0"/>
        <v/>
      </c>
      <c r="H13" s="66"/>
      <c r="I13" s="66"/>
      <c r="J13" s="150"/>
    </row>
    <row r="14" spans="1:10" ht="13.5" hidden="1" x14ac:dyDescent="0.25">
      <c r="A14" s="63"/>
      <c r="B14" s="55" t="str">
        <f>IFERROR(VLOOKUP(H14,'[1]Consolidado MP Planta'!$A$2:$M$823,3,0),"")</f>
        <v/>
      </c>
      <c r="C14" s="64">
        <f t="shared" si="1"/>
        <v>0</v>
      </c>
      <c r="D14" s="65" t="str">
        <f>IFERROR(VLOOKUP(H14,'[1]Consolidado MP Planta'!$A$2:$M$823,13,0),"")</f>
        <v/>
      </c>
      <c r="E14" s="65" t="str">
        <f>IFERROR(VLOOKUP(H14,'[1]Consolidado MP Planta'!$A$2:$M$823,12,0),"")</f>
        <v/>
      </c>
      <c r="F14" s="65" t="str">
        <f t="shared" si="2"/>
        <v/>
      </c>
      <c r="G14" s="149" t="str">
        <f t="shared" si="0"/>
        <v/>
      </c>
      <c r="H14" s="66"/>
      <c r="I14" s="66"/>
      <c r="J14" s="150"/>
    </row>
    <row r="15" spans="1:10" ht="14.25" thickBot="1" x14ac:dyDescent="0.3">
      <c r="A15" s="63"/>
      <c r="B15" s="55" t="str">
        <f>IFERROR(VLOOKUP(H15,'[2]ARTICULOS MP PLANTA'!$A$2:$G$589,2,0),"")</f>
        <v/>
      </c>
      <c r="C15" s="64"/>
      <c r="D15" s="65"/>
      <c r="E15" s="65"/>
      <c r="F15" s="65"/>
      <c r="G15" s="149"/>
      <c r="H15" s="66"/>
      <c r="I15" s="66"/>
      <c r="J15" s="150"/>
    </row>
    <row r="16" spans="1:10" ht="26.25" thickBot="1" x14ac:dyDescent="0.25">
      <c r="A16" s="12" t="s">
        <v>51</v>
      </c>
      <c r="B16" s="13" t="s">
        <v>58</v>
      </c>
      <c r="C16" s="13" t="s">
        <v>51</v>
      </c>
      <c r="D16" s="14" t="s">
        <v>53</v>
      </c>
      <c r="E16" s="14" t="s">
        <v>54</v>
      </c>
      <c r="F16" s="14" t="s">
        <v>55</v>
      </c>
      <c r="G16" s="14" t="s">
        <v>56</v>
      </c>
      <c r="H16" s="15" t="s">
        <v>57</v>
      </c>
      <c r="I16" s="62"/>
      <c r="J16" s="150"/>
    </row>
    <row r="17" spans="1:12" ht="13.5" x14ac:dyDescent="0.25">
      <c r="A17" s="63">
        <v>1</v>
      </c>
      <c r="B17" s="55" t="s">
        <v>140</v>
      </c>
      <c r="C17" s="64">
        <f>+A17</f>
        <v>1</v>
      </c>
      <c r="D17" s="64" t="s">
        <v>120</v>
      </c>
      <c r="E17" s="65">
        <f>+'Costo Rosquete '!H53</f>
        <v>134.14029850746269</v>
      </c>
      <c r="F17" s="65">
        <f>IFERROR(E17*C17,"")</f>
        <v>134.14029850746269</v>
      </c>
      <c r="G17" s="149">
        <f t="shared" ref="G17:G24" si="3">IFERROR(F17/$F$70,"")</f>
        <v>0.16433849646036239</v>
      </c>
      <c r="H17" s="66" t="s">
        <v>161</v>
      </c>
      <c r="I17" s="66"/>
      <c r="J17" s="150"/>
    </row>
    <row r="18" spans="1:12" ht="13.5" x14ac:dyDescent="0.25">
      <c r="A18" s="63">
        <v>25</v>
      </c>
      <c r="B18" s="55" t="str">
        <f>IFERROR(VLOOKUP(H18,[1]SEMIELABORADOS!$A$2:$M$6000,2,0),"")</f>
        <v>ALMIBAR KILO</v>
      </c>
      <c r="C18" s="64">
        <f t="shared" ref="C18:C24" si="4">+A18</f>
        <v>25</v>
      </c>
      <c r="D18" s="64" t="str">
        <f>IFERROR(VLOOKUP(H18,[1]SEMIELABORADOS!$A$2:$M$6000,6,0),"")</f>
        <v>Gramo</v>
      </c>
      <c r="E18" s="65">
        <f>IFERROR(VLOOKUP(H18,[1]SEMIELABORADOS!$A$2:$H$65536,8,0),"")</f>
        <v>0.3250494770807843</v>
      </c>
      <c r="F18" s="65">
        <f t="shared" ref="F18:F24" si="5">IFERROR(E18*C18,"")</f>
        <v>8.1262369270196082</v>
      </c>
      <c r="G18" s="149">
        <f t="shared" si="3"/>
        <v>9.9556477309671564E-3</v>
      </c>
      <c r="H18" s="66" t="s">
        <v>119</v>
      </c>
      <c r="I18" s="66"/>
      <c r="J18" s="150"/>
    </row>
    <row r="19" spans="1:12" ht="13.5" x14ac:dyDescent="0.25">
      <c r="A19" s="63">
        <v>25</v>
      </c>
      <c r="B19" s="55" t="str">
        <f>IFERROR(VLOOKUP(H19,[1]SEMIELABORADOS!$A$2:$M$6000,2,0),"")</f>
        <v>RELLENO DE LIMON SPOON KILO</v>
      </c>
      <c r="C19" s="64">
        <f>+A19</f>
        <v>25</v>
      </c>
      <c r="D19" s="64" t="str">
        <f>IFERROR(VLOOKUP(H19,[1]SEMIELABORADOS!$A$2:$M$6000,6,0),"")</f>
        <v>Gramo</v>
      </c>
      <c r="E19" s="65">
        <v>2.0699999999999998</v>
      </c>
      <c r="F19" s="65">
        <f>IFERROR(E19*C19,"")</f>
        <v>51.749999999999993</v>
      </c>
      <c r="G19" s="149">
        <f t="shared" si="3"/>
        <v>6.3400165993745844E-2</v>
      </c>
      <c r="H19" s="66" t="s">
        <v>41</v>
      </c>
      <c r="I19" s="66"/>
      <c r="J19" s="150"/>
    </row>
    <row r="20" spans="1:12" ht="13.5" x14ac:dyDescent="0.25">
      <c r="A20" s="63">
        <v>20</v>
      </c>
      <c r="B20" s="55" t="s">
        <v>133</v>
      </c>
      <c r="C20" s="64">
        <f>+A20</f>
        <v>20</v>
      </c>
      <c r="D20" s="64" t="s">
        <v>162</v>
      </c>
      <c r="E20" s="65">
        <v>2.33</v>
      </c>
      <c r="F20" s="65">
        <f>IFERROR(E20*C20,"")</f>
        <v>46.6</v>
      </c>
      <c r="G20" s="149">
        <f t="shared" si="3"/>
        <v>5.7090777493885157E-2</v>
      </c>
      <c r="H20" s="66" t="s">
        <v>134</v>
      </c>
      <c r="I20" s="66"/>
      <c r="J20" s="150"/>
    </row>
    <row r="21" spans="1:12" ht="13.5" x14ac:dyDescent="0.25">
      <c r="A21" s="63">
        <v>25</v>
      </c>
      <c r="B21" s="55" t="str">
        <f>IFERROR(VLOOKUP(H21,[1]SEMIELABORADOS!$A$2:$M$6000,2,0),"")</f>
        <v>CREMA BEIDGE (KILO)</v>
      </c>
      <c r="C21" s="64">
        <f>+A21</f>
        <v>25</v>
      </c>
      <c r="D21" s="64" t="str">
        <f>IFERROR(VLOOKUP(H21,[1]SEMIELABORADOS!$A$2:$M$6000,6,0),"")</f>
        <v>Gramo</v>
      </c>
      <c r="E21" s="65">
        <v>2.36</v>
      </c>
      <c r="F21" s="65">
        <f>IFERROR(E21*C21,"")</f>
        <v>59</v>
      </c>
      <c r="G21" s="149">
        <f t="shared" si="3"/>
        <v>7.2282314852773047E-2</v>
      </c>
      <c r="H21" s="66" t="s">
        <v>141</v>
      </c>
      <c r="I21" s="66"/>
      <c r="J21" s="150"/>
    </row>
    <row r="22" spans="1:12" ht="13.5" x14ac:dyDescent="0.25">
      <c r="A22" s="63">
        <v>15</v>
      </c>
      <c r="B22" s="55" t="str">
        <f>IFERROR(VLOOKUP(H22,[1]SEMIELABORADOS!$A$2:$M$6000,2,0),"")</f>
        <v>EMPAQUE RELLENO MELO CON TOPING KILO</v>
      </c>
      <c r="C22" s="64">
        <f t="shared" si="4"/>
        <v>15</v>
      </c>
      <c r="D22" s="64" t="str">
        <f>IFERROR(VLOOKUP(H22,[1]SEMIELABORADOS!$A$2:$M$6000,6,0),"")</f>
        <v>Gramo</v>
      </c>
      <c r="E22" s="65">
        <f>IFERROR(VLOOKUP(H22,[1]SEMIELABORADOS!$A$2:$H$65536,8,0),"")</f>
        <v>3.650496168869835</v>
      </c>
      <c r="F22" s="65">
        <f t="shared" si="5"/>
        <v>54.757442533047524</v>
      </c>
      <c r="G22" s="149">
        <f t="shared" si="3"/>
        <v>6.7084655961124881E-2</v>
      </c>
      <c r="H22" s="66" t="s">
        <v>42</v>
      </c>
      <c r="I22" s="66"/>
      <c r="J22" s="150"/>
    </row>
    <row r="23" spans="1:12" ht="13.5" hidden="1" x14ac:dyDescent="0.25">
      <c r="A23" s="63"/>
      <c r="B23" s="55" t="str">
        <f>IFERROR(VLOOKUP(H23,[1]SEMIELABORADOS!$A$2:$M$6000,2,0),"")</f>
        <v/>
      </c>
      <c r="C23" s="64">
        <f t="shared" si="4"/>
        <v>0</v>
      </c>
      <c r="D23" s="64" t="str">
        <f>IFERROR(VLOOKUP(H23,[1]SEMIELABORADOS!$A$2:$M$6000,6,0),"")</f>
        <v/>
      </c>
      <c r="E23" s="65" t="str">
        <f>IFERROR(VLOOKUP(H23,[1]SEMIELABORADOS!$A$2:$H$65536,8,0),"")</f>
        <v/>
      </c>
      <c r="F23" s="65" t="str">
        <f t="shared" si="5"/>
        <v/>
      </c>
      <c r="G23" s="149" t="str">
        <f t="shared" si="3"/>
        <v/>
      </c>
      <c r="H23" s="66"/>
      <c r="I23" s="66"/>
      <c r="J23" s="150"/>
    </row>
    <row r="24" spans="1:12" ht="13.5" hidden="1" x14ac:dyDescent="0.25">
      <c r="A24" s="63"/>
      <c r="B24" s="55" t="str">
        <f>IFERROR(VLOOKUP(H24,[1]SEMIELABORADOS!$A$2:$M$6000,2,0),"")</f>
        <v/>
      </c>
      <c r="C24" s="64">
        <f t="shared" si="4"/>
        <v>0</v>
      </c>
      <c r="D24" s="64" t="str">
        <f>IFERROR(VLOOKUP(H24,[1]SEMIELABORADOS!$A$2:$M$6000,6,0),"")</f>
        <v/>
      </c>
      <c r="E24" s="65" t="str">
        <f>IFERROR(VLOOKUP(H24,[1]SEMIELABORADOS!$A$2:$H$65536,8,0),"")</f>
        <v/>
      </c>
      <c r="F24" s="65" t="str">
        <f t="shared" si="5"/>
        <v/>
      </c>
      <c r="G24" s="149" t="str">
        <f t="shared" si="3"/>
        <v/>
      </c>
      <c r="H24" s="66"/>
      <c r="I24" s="66"/>
      <c r="J24" s="150"/>
    </row>
    <row r="25" spans="1:12" ht="14.25" thickBot="1" x14ac:dyDescent="0.3">
      <c r="A25" s="63"/>
      <c r="C25" s="64"/>
      <c r="D25" s="64"/>
      <c r="E25" s="65"/>
      <c r="F25" s="65"/>
      <c r="G25" s="149"/>
      <c r="H25" s="66"/>
      <c r="I25" s="66"/>
      <c r="J25" s="150"/>
    </row>
    <row r="26" spans="1:12" ht="26.25" thickBot="1" x14ac:dyDescent="0.25">
      <c r="A26" s="12" t="s">
        <v>51</v>
      </c>
      <c r="B26" s="13" t="s">
        <v>33</v>
      </c>
      <c r="C26" s="13" t="s">
        <v>51</v>
      </c>
      <c r="D26" s="14" t="s">
        <v>53</v>
      </c>
      <c r="E26" s="14" t="s">
        <v>54</v>
      </c>
      <c r="F26" s="14" t="s">
        <v>55</v>
      </c>
      <c r="G26" s="14" t="s">
        <v>56</v>
      </c>
      <c r="H26" s="15" t="s">
        <v>57</v>
      </c>
      <c r="I26" s="62"/>
    </row>
    <row r="27" spans="1:12" ht="13.5" x14ac:dyDescent="0.25">
      <c r="A27" s="63">
        <v>1</v>
      </c>
      <c r="B27" s="67" t="s">
        <v>137</v>
      </c>
      <c r="C27" s="64">
        <f t="shared" ref="C27:C36" si="6">+A27</f>
        <v>1</v>
      </c>
      <c r="D27" s="65" t="s">
        <v>130</v>
      </c>
      <c r="E27" s="65">
        <v>129</v>
      </c>
      <c r="F27" s="65">
        <f t="shared" ref="F27:F36" si="7">IFERROR(C27*E27,"")</f>
        <v>129</v>
      </c>
      <c r="G27" s="149">
        <f t="shared" ref="G27:G36" si="8">IFERROR(F27/$F$70,"")</f>
        <v>0.15804099349165632</v>
      </c>
      <c r="H27" s="68" t="s">
        <v>138</v>
      </c>
      <c r="I27" s="68"/>
      <c r="J27" s="150"/>
      <c r="K27" s="354"/>
      <c r="L27" s="354"/>
    </row>
    <row r="28" spans="1:12" ht="13.5" x14ac:dyDescent="0.25">
      <c r="A28" s="63">
        <v>1</v>
      </c>
      <c r="B28" s="67" t="str">
        <f>IFERROR(VLOOKUP(H28,'[1]Consolidado MP Planta'!$A$2:$M$823,3,0),"")</f>
        <v>ETIQ. GENERICA PEQUEÑA V-274 (UND)</v>
      </c>
      <c r="C28" s="64">
        <f t="shared" si="6"/>
        <v>1</v>
      </c>
      <c r="D28" s="65" t="str">
        <f>IFERROR(VLOOKUP(H28,'[1]Consolidado MP Planta'!$A$2:$M$823,13,0),"")</f>
        <v>Und</v>
      </c>
      <c r="E28" s="65">
        <v>13.45</v>
      </c>
      <c r="F28" s="65">
        <f t="shared" si="7"/>
        <v>13.45</v>
      </c>
      <c r="G28" s="149">
        <f t="shared" si="8"/>
        <v>1.6477917538471144E-2</v>
      </c>
      <c r="H28" s="68" t="s">
        <v>126</v>
      </c>
      <c r="I28" s="68"/>
      <c r="J28" s="150"/>
      <c r="K28" s="354"/>
      <c r="L28" s="354"/>
    </row>
    <row r="29" spans="1:12" ht="13.5" x14ac:dyDescent="0.25">
      <c r="A29" s="63">
        <v>1</v>
      </c>
      <c r="B29" s="67" t="s">
        <v>35</v>
      </c>
      <c r="C29" s="64">
        <f>+A29</f>
        <v>1</v>
      </c>
      <c r="D29" s="65" t="s">
        <v>130</v>
      </c>
      <c r="E29" s="65">
        <v>0.36</v>
      </c>
      <c r="F29" s="65">
        <f>IFERROR(C29*E29,"")</f>
        <v>0.36</v>
      </c>
      <c r="G29" s="149">
        <f t="shared" si="8"/>
        <v>4.410446329999711E-4</v>
      </c>
      <c r="H29" s="68" t="s">
        <v>127</v>
      </c>
      <c r="I29" s="68"/>
      <c r="J29" s="150"/>
      <c r="K29" s="53"/>
      <c r="L29" s="53"/>
    </row>
    <row r="30" spans="1:12" ht="13.5" x14ac:dyDescent="0.25">
      <c r="A30" s="63">
        <v>1</v>
      </c>
      <c r="B30" s="67" t="str">
        <f>IFERROR(VLOOKUP(H30,'[1]Consolidado MP Planta'!$A$2:$M$823,3,0),"")</f>
        <v>ETIQUETA BLANCA 2 5/8X1 15/16 (UND)</v>
      </c>
      <c r="C30" s="64">
        <f>+A30</f>
        <v>1</v>
      </c>
      <c r="D30" s="65" t="str">
        <f>IFERROR(VLOOKUP(H30,'[1]Consolidado MP Planta'!$A$2:$M$823,13,0),"")</f>
        <v>Und</v>
      </c>
      <c r="E30" s="65">
        <f>IFERROR(VLOOKUP(H30,'[1]Consolidado MP Planta'!$A$2:$M$823,12,0),"")</f>
        <v>2.1280000000000001</v>
      </c>
      <c r="F30" s="65">
        <f>IFERROR(C30*E30,"")</f>
        <v>2.1280000000000001</v>
      </c>
      <c r="G30" s="149">
        <f t="shared" si="8"/>
        <v>2.6070638306220518E-3</v>
      </c>
      <c r="H30" s="68" t="s">
        <v>128</v>
      </c>
      <c r="I30" s="68"/>
      <c r="J30" s="150"/>
      <c r="K30" s="53"/>
      <c r="L30" s="53"/>
    </row>
    <row r="31" spans="1:12" ht="13.5" x14ac:dyDescent="0.25">
      <c r="A31" s="63">
        <v>2</v>
      </c>
      <c r="B31" s="67" t="str">
        <f>IFERROR(VLOOKUP(H31,'[1]Consolidado MP Planta'!$A$2:$M$823,3,0),"")</f>
        <v>ETIQUETA SELLO SEGURIDAD (ROLLO:1000)</v>
      </c>
      <c r="C31" s="64">
        <f>+A31</f>
        <v>2</v>
      </c>
      <c r="D31" s="65" t="str">
        <f>IFERROR(VLOOKUP(H31,'[1]Consolidado MP Planta'!$A$2:$M$823,13,0),"")</f>
        <v>Und</v>
      </c>
      <c r="E31" s="65">
        <f>IFERROR(VLOOKUP(H31,'[1]Consolidado MP Planta'!$A$2:$M$823,12,0),"")</f>
        <v>6</v>
      </c>
      <c r="F31" s="65">
        <f>IFERROR(C31*E31,"")</f>
        <v>12</v>
      </c>
      <c r="G31" s="149">
        <f t="shared" si="8"/>
        <v>1.4701487766665704E-2</v>
      </c>
      <c r="H31" s="68" t="s">
        <v>124</v>
      </c>
      <c r="I31" s="68"/>
      <c r="J31" s="150"/>
      <c r="K31" s="53"/>
      <c r="L31" s="53"/>
    </row>
    <row r="32" spans="1:12" ht="13.5" x14ac:dyDescent="0.25">
      <c r="A32" s="63">
        <v>0.1</v>
      </c>
      <c r="B32" s="67" t="str">
        <f>IFERROR(VLOOKUP(H32,'[1]Consolidado MP Planta'!$A$2:$M$823,3,0),"")</f>
        <v>BASE PARA ROSQUETE (UND)</v>
      </c>
      <c r="C32" s="64">
        <f>+A32</f>
        <v>0.1</v>
      </c>
      <c r="D32" s="65" t="str">
        <f>IFERROR(VLOOKUP(H32,'[1]Consolidado MP Planta'!$A$2:$M$823,13,0),"")</f>
        <v>Und</v>
      </c>
      <c r="E32" s="65">
        <v>128</v>
      </c>
      <c r="F32" s="65">
        <f>IFERROR(C32*E32,"")</f>
        <v>12.8</v>
      </c>
      <c r="G32" s="149">
        <f t="shared" si="8"/>
        <v>1.5681586951110084E-2</v>
      </c>
      <c r="H32" s="68" t="s">
        <v>129</v>
      </c>
      <c r="I32" s="68"/>
      <c r="J32" s="150"/>
      <c r="K32" s="53"/>
      <c r="L32" s="53"/>
    </row>
    <row r="33" spans="1:12" ht="13.5" x14ac:dyDescent="0.25">
      <c r="A33" s="63">
        <v>1</v>
      </c>
      <c r="B33" s="67" t="str">
        <f>IFERROR(VLOOKUP(H33,'[1]Consolidado MP Planta'!$A$2:$M$823,3,0),"")</f>
        <v>ETIQUETA BLANCA R-153 (UND)</v>
      </c>
      <c r="C33" s="64">
        <f t="shared" si="6"/>
        <v>1</v>
      </c>
      <c r="D33" s="65" t="str">
        <f>IFERROR(VLOOKUP(H33,'[1]Consolidado MP Planta'!$A$2:$M$823,13,0),"")</f>
        <v>Und</v>
      </c>
      <c r="E33" s="65">
        <f>IFERROR(VLOOKUP(H33,'[1]Consolidado MP Planta'!$A$2:$M$823,12,0),"")</f>
        <v>0.39</v>
      </c>
      <c r="F33" s="65">
        <f t="shared" si="7"/>
        <v>0.39</v>
      </c>
      <c r="G33" s="149">
        <f t="shared" si="8"/>
        <v>4.7779835241663541E-4</v>
      </c>
      <c r="H33" s="68" t="s">
        <v>125</v>
      </c>
      <c r="I33" s="68"/>
      <c r="J33" s="150"/>
      <c r="K33" s="354"/>
      <c r="L33" s="354"/>
    </row>
    <row r="34" spans="1:12" ht="13.5" hidden="1" x14ac:dyDescent="0.25">
      <c r="A34" s="63"/>
      <c r="B34" s="67" t="str">
        <f>IFERROR(VLOOKUP(H34,'[1]Consolidado MP Planta'!$A$2:$M$823,3,0),"")</f>
        <v/>
      </c>
      <c r="C34" s="64">
        <f t="shared" si="6"/>
        <v>0</v>
      </c>
      <c r="D34" s="65" t="str">
        <f>IFERROR(VLOOKUP(H34,'[1]Consolidado MP Planta'!$A$2:$M$823,13,0),"")</f>
        <v/>
      </c>
      <c r="E34" s="65" t="str">
        <f>IFERROR(VLOOKUP(H34,'[1]Consolidado MP Planta'!$A$2:$M$823,12,0),"")</f>
        <v/>
      </c>
      <c r="F34" s="65" t="str">
        <f t="shared" si="7"/>
        <v/>
      </c>
      <c r="G34" s="149" t="str">
        <f t="shared" si="8"/>
        <v/>
      </c>
      <c r="H34" s="68"/>
      <c r="I34" s="68"/>
      <c r="J34" s="150"/>
      <c r="K34" s="354"/>
      <c r="L34" s="354"/>
    </row>
    <row r="35" spans="1:12" ht="13.5" hidden="1" x14ac:dyDescent="0.25">
      <c r="A35" s="63"/>
      <c r="B35" s="67" t="str">
        <f>IFERROR(VLOOKUP(H35,'[1]Consolidado MP Planta'!$A$2:$M$823,3,0),"")</f>
        <v/>
      </c>
      <c r="C35" s="64">
        <f t="shared" si="6"/>
        <v>0</v>
      </c>
      <c r="D35" s="65" t="str">
        <f>IFERROR(VLOOKUP(H35,'[1]Consolidado MP Planta'!$A$2:$M$823,13,0),"")</f>
        <v/>
      </c>
      <c r="E35" s="65" t="str">
        <f>IFERROR(VLOOKUP(H35,'[1]Consolidado MP Planta'!$A$2:$M$823,12,0),"")</f>
        <v/>
      </c>
      <c r="F35" s="65" t="str">
        <f t="shared" si="7"/>
        <v/>
      </c>
      <c r="G35" s="149" t="str">
        <f t="shared" si="8"/>
        <v/>
      </c>
      <c r="H35" s="68"/>
      <c r="I35" s="68"/>
      <c r="J35" s="150"/>
      <c r="K35" s="69"/>
      <c r="L35" s="70"/>
    </row>
    <row r="36" spans="1:12" ht="13.5" hidden="1" x14ac:dyDescent="0.25">
      <c r="A36" s="63"/>
      <c r="B36" s="67" t="str">
        <f>IFERROR(VLOOKUP(H36,'[1]Consolidado MP Planta'!$A$2:$M$823,3,0),"")</f>
        <v/>
      </c>
      <c r="C36" s="64">
        <f t="shared" si="6"/>
        <v>0</v>
      </c>
      <c r="D36" s="65" t="str">
        <f>IFERROR(VLOOKUP(H36,'[1]Consolidado MP Planta'!$A$2:$M$823,13,0),"")</f>
        <v/>
      </c>
      <c r="E36" s="65" t="str">
        <f>IFERROR(VLOOKUP(H36,'[1]Consolidado MP Planta'!$A$2:$M$823,12,0),"")</f>
        <v/>
      </c>
      <c r="F36" s="65" t="str">
        <f t="shared" si="7"/>
        <v/>
      </c>
      <c r="G36" s="149" t="str">
        <f t="shared" si="8"/>
        <v/>
      </c>
      <c r="H36" s="68"/>
      <c r="I36" s="68"/>
      <c r="J36" s="150"/>
    </row>
    <row r="37" spans="1:12" ht="14.25" thickBot="1" x14ac:dyDescent="0.3">
      <c r="A37" s="63"/>
      <c r="B37" s="67"/>
      <c r="C37" s="64"/>
      <c r="D37" s="65"/>
      <c r="E37" s="65"/>
      <c r="F37" s="65"/>
      <c r="G37" s="149"/>
      <c r="H37" s="68"/>
      <c r="I37" s="68"/>
      <c r="J37" s="150"/>
    </row>
    <row r="38" spans="1:12" ht="26.25" thickBot="1" x14ac:dyDescent="0.25">
      <c r="A38" s="12" t="s">
        <v>51</v>
      </c>
      <c r="B38" s="13" t="s">
        <v>59</v>
      </c>
      <c r="C38" s="13" t="s">
        <v>51</v>
      </c>
      <c r="D38" s="14" t="s">
        <v>53</v>
      </c>
      <c r="E38" s="14" t="s">
        <v>54</v>
      </c>
      <c r="F38" s="14" t="s">
        <v>55</v>
      </c>
      <c r="G38" s="14" t="s">
        <v>56</v>
      </c>
      <c r="H38" s="15" t="s">
        <v>57</v>
      </c>
      <c r="I38" s="68"/>
      <c r="J38" s="150"/>
    </row>
    <row r="39" spans="1:12" ht="13.5" x14ac:dyDescent="0.25">
      <c r="A39" s="63">
        <f t="shared" ref="A39:A45" si="9">+A17</f>
        <v>1</v>
      </c>
      <c r="B39" s="67" t="s">
        <v>140</v>
      </c>
      <c r="C39" s="64">
        <f>+A39</f>
        <v>1</v>
      </c>
      <c r="D39" s="65" t="s">
        <v>120</v>
      </c>
      <c r="E39" s="65">
        <f>+'Costo Rosquete '!H54</f>
        <v>3.257055059328358</v>
      </c>
      <c r="F39" s="65">
        <f>IFERROR(E39*C39,"")</f>
        <v>3.257055059328358</v>
      </c>
      <c r="G39" s="149">
        <f t="shared" ref="G39:G45" si="10">IFERROR(F39/$F$70,"")</f>
        <v>3.9902962591727075E-3</v>
      </c>
      <c r="H39" s="68" t="s">
        <v>161</v>
      </c>
      <c r="I39" s="68"/>
      <c r="J39" s="150"/>
    </row>
    <row r="40" spans="1:12" ht="13.5" x14ac:dyDescent="0.25">
      <c r="A40" s="63">
        <f t="shared" si="9"/>
        <v>25</v>
      </c>
      <c r="B40" s="67" t="str">
        <f>IFERROR(VLOOKUP(H40,[1]SEMIELABORADOS!$A$2:$M$6000,2,0),"")</f>
        <v>ALMIBAR KILO</v>
      </c>
      <c r="C40" s="64">
        <f t="shared" ref="C40:C45" si="11">+A40</f>
        <v>25</v>
      </c>
      <c r="D40" s="65" t="str">
        <f>IFERROR(VLOOKUP(H40,[1]SEMIELABORADOS!$A$2:$M$6000,6,0),"")</f>
        <v>Gramo</v>
      </c>
      <c r="E40" s="65">
        <f>IFERROR(VLOOKUP(H40,[1]SEMIELABORADOS!$A$2:$M$65536,10,0),"")</f>
        <v>1.0250838E-2</v>
      </c>
      <c r="F40" s="65">
        <f t="shared" ref="F40:F45" si="12">IFERROR(E40*C40,"")</f>
        <v>0.25627095</v>
      </c>
      <c r="G40" s="149">
        <f t="shared" si="10"/>
        <v>3.1396368636473317E-4</v>
      </c>
      <c r="H40" s="68" t="s">
        <v>119</v>
      </c>
      <c r="I40" s="68"/>
      <c r="J40" s="150"/>
    </row>
    <row r="41" spans="1:12" ht="13.5" x14ac:dyDescent="0.25">
      <c r="A41" s="63">
        <f t="shared" si="9"/>
        <v>25</v>
      </c>
      <c r="B41" s="67" t="str">
        <f>IFERROR(VLOOKUP(H41,[1]SEMIELABORADOS!$A$2:$M$6000,2,0),"")</f>
        <v>RELLENO DE LIMON SPOON KILO</v>
      </c>
      <c r="C41" s="64">
        <f t="shared" si="11"/>
        <v>25</v>
      </c>
      <c r="D41" s="65" t="str">
        <f>IFERROR(VLOOKUP(H41,[1]SEMIELABORADOS!$A$2:$M$6000,6,0),"")</f>
        <v>Gramo</v>
      </c>
      <c r="E41" s="65">
        <f>IFERROR(VLOOKUP(H41,[1]SEMIELABORADOS!$A$2:$M$65536,10,0),"")</f>
        <v>3.6674500000000001E-3</v>
      </c>
      <c r="F41" s="65">
        <f t="shared" si="12"/>
        <v>9.1686249999999997E-2</v>
      </c>
      <c r="G41" s="149">
        <f t="shared" si="10"/>
        <v>1.1232702356220444E-4</v>
      </c>
      <c r="H41" s="68" t="s">
        <v>41</v>
      </c>
      <c r="I41" s="68"/>
      <c r="J41" s="150"/>
    </row>
    <row r="42" spans="1:12" ht="13.5" x14ac:dyDescent="0.25">
      <c r="A42" s="63">
        <f t="shared" si="9"/>
        <v>20</v>
      </c>
      <c r="B42" s="67" t="s">
        <v>133</v>
      </c>
      <c r="C42" s="64">
        <f>+A42</f>
        <v>20</v>
      </c>
      <c r="D42" s="65" t="s">
        <v>162</v>
      </c>
      <c r="E42" s="65">
        <v>0.01</v>
      </c>
      <c r="F42" s="65">
        <f>IFERROR(E42*C42,"")</f>
        <v>0.2</v>
      </c>
      <c r="G42" s="149">
        <f t="shared" si="10"/>
        <v>2.4502479611109506E-4</v>
      </c>
      <c r="H42" s="68" t="s">
        <v>134</v>
      </c>
      <c r="I42" s="68"/>
      <c r="J42" s="150"/>
    </row>
    <row r="43" spans="1:12" ht="13.5" x14ac:dyDescent="0.25">
      <c r="A43" s="63">
        <f t="shared" si="9"/>
        <v>25</v>
      </c>
      <c r="B43" s="67" t="str">
        <f>IFERROR(VLOOKUP(H43,[1]SEMIELABORADOS!$A$2:$M$6000,2,0),"")</f>
        <v>CREMA BEIDGE (KILO)</v>
      </c>
      <c r="C43" s="64">
        <f>+A43</f>
        <v>25</v>
      </c>
      <c r="D43" s="65" t="str">
        <f>IFERROR(VLOOKUP(H43,[1]SEMIELABORADOS!$A$2:$M$6000,6,0),"")</f>
        <v>Gramo</v>
      </c>
      <c r="E43" s="65">
        <f>IFERROR(VLOOKUP(H43,[1]SEMIELABORADOS!$A$2:$M$65536,10,0),"")</f>
        <v>5.5769230769230759E-5</v>
      </c>
      <c r="F43" s="65">
        <f>IFERROR(E43*C43,"")</f>
        <v>1.3942307692307689E-3</v>
      </c>
      <c r="G43" s="149">
        <f t="shared" si="10"/>
        <v>1.708105549812922E-6</v>
      </c>
      <c r="H43" s="68" t="s">
        <v>141</v>
      </c>
      <c r="I43" s="68"/>
      <c r="J43" s="150"/>
    </row>
    <row r="44" spans="1:12" ht="13.5" x14ac:dyDescent="0.25">
      <c r="A44" s="63">
        <f t="shared" si="9"/>
        <v>15</v>
      </c>
      <c r="B44" s="67" t="str">
        <f>IFERROR(VLOOKUP(H44,[1]SEMIELABORADOS!$A$2:$M$6000,2,0),"")</f>
        <v>EMPAQUE RELLENO MELO CON TOPING KILO</v>
      </c>
      <c r="C44" s="64">
        <f t="shared" si="11"/>
        <v>15</v>
      </c>
      <c r="D44" s="65" t="str">
        <f>IFERROR(VLOOKUP(H44,[1]SEMIELABORADOS!$A$2:$M$6000,6,0),"")</f>
        <v>Gramo</v>
      </c>
      <c r="E44" s="65">
        <f>IFERROR(VLOOKUP(H44,[1]SEMIELABORADOS!$A$2:$M$65536,10,0),"")</f>
        <v>3.9077118168688715E-3</v>
      </c>
      <c r="F44" s="65">
        <f t="shared" si="12"/>
        <v>5.8615677253033072E-2</v>
      </c>
      <c r="G44" s="149">
        <f t="shared" si="10"/>
        <v>7.1811471839190909E-5</v>
      </c>
      <c r="H44" s="68" t="s">
        <v>42</v>
      </c>
      <c r="I44" s="68"/>
      <c r="J44" s="150"/>
    </row>
    <row r="45" spans="1:12" ht="13.5" x14ac:dyDescent="0.25">
      <c r="A45" s="63">
        <f t="shared" si="9"/>
        <v>0</v>
      </c>
      <c r="B45" s="67" t="str">
        <f>IFERROR(VLOOKUP(H45,[1]SEMIELABORADOS!$A$2:$M$6000,2,0),"")</f>
        <v/>
      </c>
      <c r="C45" s="64">
        <f t="shared" si="11"/>
        <v>0</v>
      </c>
      <c r="D45" s="65" t="str">
        <f>IFERROR(VLOOKUP(H45,[1]SEMIELABORADOS!$A$2:$M$6000,6,0),"")</f>
        <v/>
      </c>
      <c r="E45" s="65" t="str">
        <f>IFERROR(VLOOKUP(H45,[1]SEMIELABORADOS!$A$2:$M$65536,10,0),"")</f>
        <v/>
      </c>
      <c r="F45" s="65" t="str">
        <f t="shared" si="12"/>
        <v/>
      </c>
      <c r="G45" s="149" t="str">
        <f t="shared" si="10"/>
        <v/>
      </c>
      <c r="H45" s="68"/>
      <c r="I45" s="68"/>
      <c r="J45" s="150"/>
    </row>
    <row r="46" spans="1:12" ht="14.25" thickBot="1" x14ac:dyDescent="0.3">
      <c r="A46" s="63"/>
      <c r="B46" s="67"/>
      <c r="C46" s="64"/>
      <c r="D46" s="65"/>
      <c r="E46" s="65"/>
      <c r="F46" s="65"/>
      <c r="G46" s="149"/>
      <c r="H46" s="68"/>
      <c r="I46" s="68"/>
      <c r="J46" s="150"/>
    </row>
    <row r="47" spans="1:12" ht="26.25" thickBot="1" x14ac:dyDescent="0.25">
      <c r="A47" s="12" t="s">
        <v>51</v>
      </c>
      <c r="B47" s="13" t="s">
        <v>60</v>
      </c>
      <c r="C47" s="13" t="s">
        <v>51</v>
      </c>
      <c r="D47" s="14" t="s">
        <v>53</v>
      </c>
      <c r="E47" s="14" t="s">
        <v>54</v>
      </c>
      <c r="F47" s="14" t="s">
        <v>55</v>
      </c>
      <c r="G47" s="14" t="s">
        <v>56</v>
      </c>
      <c r="H47" s="15" t="s">
        <v>57</v>
      </c>
      <c r="I47" s="62"/>
      <c r="J47" s="150"/>
    </row>
    <row r="48" spans="1:12" ht="13.5" x14ac:dyDescent="0.25">
      <c r="A48" s="63">
        <f>+A39</f>
        <v>1</v>
      </c>
      <c r="B48" s="67" t="s">
        <v>140</v>
      </c>
      <c r="C48" s="64">
        <f>+A48</f>
        <v>1</v>
      </c>
      <c r="D48" s="65" t="s">
        <v>120</v>
      </c>
      <c r="E48" s="65">
        <f>+'Costo Rosquete '!H56</f>
        <v>12.51011034105875</v>
      </c>
      <c r="F48" s="65">
        <f>IFERROR(E48*C48,"")</f>
        <v>12.51011034105875</v>
      </c>
      <c r="G48" s="149">
        <f>IFERROR(F48/$F$70,"")</f>
        <v>1.5326436178226112E-2</v>
      </c>
      <c r="H48" s="68" t="s">
        <v>161</v>
      </c>
      <c r="I48" s="62"/>
      <c r="J48" s="150"/>
    </row>
    <row r="49" spans="1:17" ht="13.5" x14ac:dyDescent="0.25">
      <c r="A49" s="63">
        <f t="shared" ref="A49:A54" si="13">+A40</f>
        <v>25</v>
      </c>
      <c r="B49" s="67" t="str">
        <f>IFERROR(VLOOKUP(H49,[1]SEMIELABORADOS!$A$2:$M$6000,2,0),"")</f>
        <v>ALMIBAR KILO</v>
      </c>
      <c r="C49" s="64">
        <f t="shared" ref="C49:C54" si="14">+A49</f>
        <v>25</v>
      </c>
      <c r="D49" s="65" t="str">
        <f>IFERROR(VLOOKUP(H49,[1]SEMIELABORADOS!$A$2:$M$6000,6,0),"")</f>
        <v>Gramo</v>
      </c>
      <c r="E49" s="65">
        <f>IFERROR(VLOOKUP(H49,[1]SEMIELABORADOS!$A$2:$M$65536,12,0),"")</f>
        <v>6.0354056714541172E-2</v>
      </c>
      <c r="F49" s="65">
        <f t="shared" ref="F49:F54" si="15">IFERROR(E49*C49,"")</f>
        <v>1.5088514178635293</v>
      </c>
      <c r="G49" s="149">
        <f t="shared" ref="G49:G54" si="16">IFERROR(F49/$F$70,"")</f>
        <v>1.8485300551197399E-3</v>
      </c>
      <c r="H49" s="68" t="s">
        <v>119</v>
      </c>
      <c r="I49" s="62"/>
      <c r="J49" s="150"/>
      <c r="M49" s="71"/>
    </row>
    <row r="50" spans="1:17" ht="13.5" x14ac:dyDescent="0.25">
      <c r="A50" s="63">
        <f t="shared" si="13"/>
        <v>25</v>
      </c>
      <c r="B50" s="67" t="str">
        <f>IFERROR(VLOOKUP(H50,[1]SEMIELABORADOS!$A$2:$M$6000,2,0),"")</f>
        <v>RELLENO DE LIMON SPOON KILO</v>
      </c>
      <c r="C50" s="64">
        <f t="shared" si="14"/>
        <v>25</v>
      </c>
      <c r="D50" s="65" t="str">
        <f>IFERROR(VLOOKUP(H50,[1]SEMIELABORADOS!$A$2:$M$6000,6,0),"")</f>
        <v>Gramo</v>
      </c>
      <c r="E50" s="65">
        <f>IFERROR(VLOOKUP(H50,[1]SEMIELABORADOS!$A$2:$M$65536,12,0),"")</f>
        <v>0.33865554099999995</v>
      </c>
      <c r="F50" s="65">
        <f t="shared" si="15"/>
        <v>8.4663885249999993</v>
      </c>
      <c r="G50" s="149">
        <f t="shared" si="16"/>
        <v>1.0372375610677199E-2</v>
      </c>
      <c r="H50" s="68" t="s">
        <v>41</v>
      </c>
      <c r="I50" s="62"/>
      <c r="J50" s="150"/>
    </row>
    <row r="51" spans="1:17" ht="13.5" x14ac:dyDescent="0.25">
      <c r="A51" s="63">
        <f t="shared" si="13"/>
        <v>20</v>
      </c>
      <c r="B51" s="67" t="s">
        <v>133</v>
      </c>
      <c r="C51" s="64">
        <f t="shared" si="14"/>
        <v>20</v>
      </c>
      <c r="D51" s="65" t="s">
        <v>162</v>
      </c>
      <c r="E51" s="65">
        <v>0.06</v>
      </c>
      <c r="F51" s="65">
        <f t="shared" si="15"/>
        <v>1.2</v>
      </c>
      <c r="G51" s="149">
        <f t="shared" si="16"/>
        <v>1.4701487766665704E-3</v>
      </c>
      <c r="H51" s="68" t="s">
        <v>134</v>
      </c>
      <c r="I51" s="62"/>
      <c r="J51" s="150"/>
    </row>
    <row r="52" spans="1:17" ht="13.5" x14ac:dyDescent="0.25">
      <c r="A52" s="63">
        <f t="shared" si="13"/>
        <v>25</v>
      </c>
      <c r="B52" s="67" t="str">
        <f>IFERROR(VLOOKUP(H52,[1]SEMIELABORADOS!$A$2:$M$6000,2,0),"")</f>
        <v>CREMA BEIDGE (KILO)</v>
      </c>
      <c r="C52" s="64">
        <f t="shared" si="14"/>
        <v>25</v>
      </c>
      <c r="D52" s="65" t="str">
        <f>IFERROR(VLOOKUP(H52,[1]SEMIELABORADOS!$A$2:$M$6000,6,0),"")</f>
        <v>Gramo</v>
      </c>
      <c r="E52" s="65">
        <f>IFERROR(VLOOKUP(H52,[1]SEMIELABORADOS!$A$2:$M$65536,12,0),"")</f>
        <v>0.84195974279289931</v>
      </c>
      <c r="F52" s="65">
        <f t="shared" si="15"/>
        <v>21.048993569822482</v>
      </c>
      <c r="G52" s="149">
        <f t="shared" si="16"/>
        <v>2.5787626788947523E-2</v>
      </c>
      <c r="H52" s="68" t="s">
        <v>141</v>
      </c>
      <c r="I52" s="62"/>
      <c r="J52" s="150"/>
    </row>
    <row r="53" spans="1:17" ht="13.5" x14ac:dyDescent="0.25">
      <c r="A53" s="63">
        <f t="shared" si="13"/>
        <v>15</v>
      </c>
      <c r="B53" s="67" t="str">
        <f>IFERROR(VLOOKUP(H53,[1]SEMIELABORADOS!$A$2:$M$6000,2,0),"")</f>
        <v>EMPAQUE RELLENO MELO CON TOPING KILO</v>
      </c>
      <c r="C53" s="64">
        <f t="shared" si="14"/>
        <v>15</v>
      </c>
      <c r="D53" s="65" t="str">
        <f>IFERROR(VLOOKUP(H53,[1]SEMIELABORADOS!$A$2:$M$6000,6,0),"")</f>
        <v>Gramo</v>
      </c>
      <c r="E53" s="65">
        <f>IFERROR(VLOOKUP(H53,[1]SEMIELABORADOS!$A$2:$M$65536,12,0),"")</f>
        <v>0.65779269852360667</v>
      </c>
      <c r="F53" s="65">
        <f t="shared" si="15"/>
        <v>9.8668904778540991</v>
      </c>
      <c r="G53" s="149">
        <f t="shared" si="16"/>
        <v>1.2088164137933531E-2</v>
      </c>
      <c r="H53" s="68" t="s">
        <v>42</v>
      </c>
      <c r="I53" s="62"/>
      <c r="J53" s="150"/>
    </row>
    <row r="54" spans="1:17" ht="13.5" x14ac:dyDescent="0.25">
      <c r="A54" s="63">
        <f t="shared" si="13"/>
        <v>0</v>
      </c>
      <c r="B54" s="67" t="str">
        <f>IFERROR(VLOOKUP(H54,[1]SEMIELABORADOS!$A$2:$M$6000,2,0),"")</f>
        <v/>
      </c>
      <c r="C54" s="64">
        <f t="shared" si="14"/>
        <v>0</v>
      </c>
      <c r="D54" s="65" t="str">
        <f>IFERROR(VLOOKUP(H54,[1]SEMIELABORADOS!$A$2:$M$6000,6,0),"")</f>
        <v/>
      </c>
      <c r="E54" s="65" t="str">
        <f>IFERROR(VLOOKUP(H54,[1]SEMIELABORADOS!$A$2:$M$65536,12,0),"")</f>
        <v/>
      </c>
      <c r="F54" s="65" t="str">
        <f t="shared" si="15"/>
        <v/>
      </c>
      <c r="G54" s="149" t="str">
        <f t="shared" si="16"/>
        <v/>
      </c>
      <c r="H54" s="67"/>
      <c r="I54" s="62"/>
      <c r="J54" s="150"/>
    </row>
    <row r="55" spans="1:17" ht="13.5" x14ac:dyDescent="0.25">
      <c r="A55" s="63">
        <v>1</v>
      </c>
      <c r="B55" s="67" t="s">
        <v>61</v>
      </c>
      <c r="C55" s="64">
        <f>+A55</f>
        <v>1</v>
      </c>
      <c r="D55" s="64" t="s">
        <v>62</v>
      </c>
      <c r="E55" s="65">
        <f>+F69</f>
        <v>183</v>
      </c>
      <c r="F55" s="65">
        <f>IFERROR(C55*E55,"")</f>
        <v>183</v>
      </c>
      <c r="G55" s="149">
        <f>IFERROR(F55/$F$70,"")</f>
        <v>0.224197688441652</v>
      </c>
      <c r="H55" s="72"/>
      <c r="I55" s="72"/>
      <c r="J55" s="150"/>
    </row>
    <row r="56" spans="1:17" ht="14.25" thickBot="1" x14ac:dyDescent="0.3">
      <c r="A56" s="63"/>
      <c r="B56" s="67"/>
      <c r="C56" s="64"/>
      <c r="D56" s="64"/>
      <c r="E56" s="65"/>
      <c r="F56" s="65"/>
      <c r="G56" s="149"/>
      <c r="H56" s="72"/>
      <c r="I56" s="72"/>
      <c r="J56" s="150"/>
    </row>
    <row r="57" spans="1:17" ht="13.5" thickBot="1" x14ac:dyDescent="0.25">
      <c r="A57" s="73"/>
      <c r="B57" s="351" t="s">
        <v>63</v>
      </c>
      <c r="C57" s="351"/>
      <c r="D57" s="351"/>
      <c r="E57" s="351"/>
      <c r="F57" s="75">
        <f>SUM(F8:F14,F17:F24)</f>
        <v>450.24597796752983</v>
      </c>
      <c r="G57" s="149">
        <f>+F57/$F$70</f>
        <v>0.55160714475667305</v>
      </c>
      <c r="H57" s="76">
        <f>+F57/$D$64</f>
        <v>450.24597796752983</v>
      </c>
      <c r="I57" s="76"/>
      <c r="J57" s="151"/>
      <c r="K57" s="30"/>
      <c r="L57" s="30"/>
      <c r="M57" s="30"/>
      <c r="N57" s="30"/>
      <c r="O57" s="30"/>
      <c r="P57" s="30"/>
      <c r="Q57" s="31"/>
    </row>
    <row r="58" spans="1:17" x14ac:dyDescent="0.2">
      <c r="A58" s="73"/>
      <c r="B58" s="351" t="s">
        <v>64</v>
      </c>
      <c r="C58" s="351"/>
      <c r="D58" s="351"/>
      <c r="E58" s="351"/>
      <c r="F58" s="75">
        <f>SUM(F27:F36,F39:F45)</f>
        <v>173.9930221673506</v>
      </c>
      <c r="G58" s="149">
        <f>+F58/$F$70</f>
        <v>0.21316302390654163</v>
      </c>
      <c r="H58" s="76">
        <f>+F58/$D$64</f>
        <v>173.9930221673506</v>
      </c>
      <c r="I58" s="76"/>
      <c r="J58" s="77"/>
      <c r="K58" s="355" t="s">
        <v>65</v>
      </c>
      <c r="L58" s="356"/>
      <c r="M58" s="356"/>
      <c r="N58" s="356"/>
      <c r="O58" s="78">
        <f>+F59</f>
        <v>624.23900013488037</v>
      </c>
      <c r="P58" s="78"/>
      <c r="Q58" s="32"/>
    </row>
    <row r="59" spans="1:17" x14ac:dyDescent="0.2">
      <c r="A59" s="73"/>
      <c r="B59" s="351" t="s">
        <v>66</v>
      </c>
      <c r="C59" s="351"/>
      <c r="D59" s="351"/>
      <c r="E59" s="351"/>
      <c r="F59" s="75">
        <f>+F57+F58</f>
        <v>624.23900013488037</v>
      </c>
      <c r="G59" s="149">
        <f>+F59/$F$70</f>
        <v>0.76477016866321457</v>
      </c>
      <c r="H59" s="76">
        <f>+F59/$D$64</f>
        <v>624.23900013488037</v>
      </c>
      <c r="I59" s="76"/>
      <c r="J59" s="152"/>
      <c r="K59" s="79"/>
      <c r="M59" s="153" t="s">
        <v>67</v>
      </c>
      <c r="N59" s="154"/>
      <c r="O59" s="78">
        <f>+H60</f>
        <v>237.60123433159885</v>
      </c>
      <c r="P59" s="78"/>
      <c r="Q59" s="32"/>
    </row>
    <row r="60" spans="1:17" ht="13.5" thickBot="1" x14ac:dyDescent="0.25">
      <c r="A60" s="73"/>
      <c r="B60" s="74"/>
      <c r="C60" s="351" t="s">
        <v>68</v>
      </c>
      <c r="D60" s="351"/>
      <c r="E60" s="351"/>
      <c r="F60" s="75">
        <f>SUM(F48:F55)</f>
        <v>237.60123433159885</v>
      </c>
      <c r="G60" s="149">
        <f>+F60/$F$70</f>
        <v>0.29109096998922263</v>
      </c>
      <c r="H60" s="76">
        <f>+F60/$D$64</f>
        <v>237.60123433159885</v>
      </c>
      <c r="I60" s="76"/>
      <c r="J60" s="152"/>
      <c r="K60" s="79"/>
      <c r="L60" s="79"/>
      <c r="M60" s="79" t="s">
        <v>69</v>
      </c>
      <c r="N60" s="155"/>
      <c r="O60" s="78">
        <f>O58*N60</f>
        <v>0</v>
      </c>
      <c r="P60" s="78"/>
      <c r="Q60" s="32"/>
    </row>
    <row r="61" spans="1:17" ht="13.5" thickBot="1" x14ac:dyDescent="0.25">
      <c r="A61" s="73"/>
      <c r="B61" s="80"/>
      <c r="C61" s="80"/>
      <c r="D61" s="80"/>
      <c r="E61" s="80"/>
      <c r="F61" s="81"/>
      <c r="G61" s="149"/>
      <c r="H61" s="82"/>
      <c r="I61" s="76"/>
      <c r="J61" s="152"/>
      <c r="K61" s="83"/>
      <c r="M61" s="84" t="s">
        <v>70</v>
      </c>
      <c r="N61" s="85"/>
      <c r="O61" s="86">
        <f>SUM(O58:O60)</f>
        <v>861.84023446647916</v>
      </c>
      <c r="P61" s="87"/>
      <c r="Q61" s="32"/>
    </row>
    <row r="62" spans="1:17" x14ac:dyDescent="0.2">
      <c r="B62" s="353" t="s">
        <v>71</v>
      </c>
      <c r="C62" s="353"/>
      <c r="D62" s="88">
        <v>130</v>
      </c>
      <c r="E62" s="89"/>
      <c r="G62" s="149"/>
      <c r="H62" s="82">
        <f>+H60/61</f>
        <v>3.895102202157358</v>
      </c>
      <c r="I62" s="90"/>
      <c r="J62" s="152"/>
      <c r="K62" s="83"/>
      <c r="L62" s="79"/>
      <c r="M62" s="79" t="s">
        <v>72</v>
      </c>
      <c r="N62" s="156"/>
      <c r="O62" s="78">
        <f>+H63</f>
        <v>225.91592772512678</v>
      </c>
      <c r="P62" s="78"/>
      <c r="Q62" s="32"/>
    </row>
    <row r="63" spans="1:17" x14ac:dyDescent="0.2">
      <c r="B63" s="353" t="s">
        <v>73</v>
      </c>
      <c r="C63" s="353"/>
      <c r="D63" s="91">
        <v>130</v>
      </c>
      <c r="E63" s="89"/>
      <c r="G63" s="149"/>
      <c r="H63" s="82">
        <f>+H62*58</f>
        <v>225.91592772512678</v>
      </c>
      <c r="I63" s="90"/>
      <c r="J63" s="152"/>
      <c r="K63" s="83"/>
      <c r="L63" s="79"/>
      <c r="M63" s="346" t="s">
        <v>70</v>
      </c>
      <c r="N63" s="346"/>
      <c r="O63" s="78">
        <f>SUM(O61:O62)</f>
        <v>1087.7561621916059</v>
      </c>
      <c r="P63" s="78"/>
      <c r="Q63" s="32"/>
    </row>
    <row r="64" spans="1:17" ht="13.5" thickBot="1" x14ac:dyDescent="0.25">
      <c r="B64" s="347" t="s">
        <v>74</v>
      </c>
      <c r="C64" s="347"/>
      <c r="D64" s="88">
        <f>+D62/D63</f>
        <v>1</v>
      </c>
      <c r="E64" s="89"/>
      <c r="F64" s="92"/>
      <c r="G64" s="149"/>
      <c r="H64" s="82"/>
      <c r="I64" s="90"/>
      <c r="J64" s="152"/>
      <c r="K64" s="83"/>
      <c r="L64" s="346"/>
      <c r="M64" s="346"/>
      <c r="N64" s="156"/>
      <c r="O64" s="78">
        <f>+O63*N64</f>
        <v>0</v>
      </c>
      <c r="P64" s="78"/>
      <c r="Q64" s="32"/>
    </row>
    <row r="65" spans="2:17" ht="13.5" thickBot="1" x14ac:dyDescent="0.25">
      <c r="B65" s="347" t="s">
        <v>76</v>
      </c>
      <c r="C65" s="347"/>
      <c r="D65" s="93"/>
      <c r="E65" s="89"/>
      <c r="F65" s="92"/>
      <c r="G65" s="149"/>
      <c r="H65" s="82"/>
      <c r="I65" s="90"/>
      <c r="J65" s="152"/>
      <c r="K65" s="348" t="s">
        <v>77</v>
      </c>
      <c r="L65" s="349"/>
      <c r="M65" s="349"/>
      <c r="N65" s="350"/>
      <c r="O65" s="86">
        <f>SUM(O63:O64)</f>
        <v>1087.7561621916059</v>
      </c>
      <c r="P65" s="94" t="s">
        <v>78</v>
      </c>
      <c r="Q65" s="32"/>
    </row>
    <row r="66" spans="2:17" ht="13.5" thickBot="1" x14ac:dyDescent="0.25">
      <c r="C66" s="73" t="s">
        <v>79</v>
      </c>
      <c r="D66" s="45"/>
      <c r="E66" s="53" t="s">
        <v>80</v>
      </c>
      <c r="F66" s="95" t="s">
        <v>81</v>
      </c>
      <c r="G66" s="149"/>
      <c r="H66" s="82"/>
      <c r="I66" s="90"/>
      <c r="J66" s="36"/>
      <c r="K66" s="96"/>
      <c r="L66" s="336" t="s">
        <v>82</v>
      </c>
      <c r="M66" s="336"/>
      <c r="N66" s="336"/>
      <c r="O66" s="97">
        <f>+O65/D64</f>
        <v>1087.7561621916059</v>
      </c>
      <c r="P66" s="98">
        <f>+O66/D63</f>
        <v>8.3673550937815833</v>
      </c>
      <c r="Q66" s="34"/>
    </row>
    <row r="67" spans="2:17" ht="13.5" thickBot="1" x14ac:dyDescent="0.25">
      <c r="B67" s="337" t="s">
        <v>66</v>
      </c>
      <c r="C67" s="337"/>
      <c r="D67" s="337"/>
      <c r="E67" s="157">
        <f>+F67/F67</f>
        <v>1</v>
      </c>
      <c r="F67" s="99">
        <f>SUM(F59)</f>
        <v>624.23900013488037</v>
      </c>
      <c r="G67" s="149">
        <f>+F67/$F$70</f>
        <v>0.76477016866321457</v>
      </c>
      <c r="H67" s="82"/>
      <c r="I67" s="90"/>
      <c r="K67" s="338"/>
      <c r="L67" s="339"/>
      <c r="M67" s="339"/>
      <c r="N67" s="339"/>
      <c r="O67" s="100"/>
      <c r="P67" s="37"/>
    </row>
    <row r="68" spans="2:17" ht="13.5" thickBot="1" x14ac:dyDescent="0.25">
      <c r="B68" s="340" t="s">
        <v>83</v>
      </c>
      <c r="C68" s="340"/>
      <c r="D68" s="340"/>
      <c r="E68" s="101">
        <v>0.02</v>
      </c>
      <c r="F68" s="99">
        <f>+F57*E68</f>
        <v>9.0049195593505971</v>
      </c>
      <c r="G68" s="149">
        <f>+F68/$F$70</f>
        <v>1.103214289513346E-2</v>
      </c>
      <c r="H68" s="76"/>
      <c r="I68" s="90"/>
      <c r="J68" s="158"/>
      <c r="O68" s="102"/>
      <c r="P68" s="74"/>
    </row>
    <row r="69" spans="2:17" ht="13.5" thickBot="1" x14ac:dyDescent="0.25">
      <c r="B69" s="341" t="s">
        <v>84</v>
      </c>
      <c r="C69" s="342"/>
      <c r="D69" s="49">
        <v>3</v>
      </c>
      <c r="E69" s="103">
        <v>61</v>
      </c>
      <c r="F69" s="99">
        <f>+E69*D69</f>
        <v>183</v>
      </c>
      <c r="G69" s="149">
        <f>+F69/$F$70</f>
        <v>0.224197688441652</v>
      </c>
      <c r="H69" s="76"/>
      <c r="I69" s="76"/>
      <c r="J69" s="150"/>
    </row>
    <row r="70" spans="2:17" ht="13.5" thickBot="1" x14ac:dyDescent="0.25">
      <c r="B70" s="343" t="s">
        <v>85</v>
      </c>
      <c r="C70" s="344"/>
      <c r="D70" s="344"/>
      <c r="E70" s="345"/>
      <c r="F70" s="81">
        <f>SUM(F67:F69)</f>
        <v>816.24391969423095</v>
      </c>
      <c r="G70" s="149">
        <f>+F70/$F$70</f>
        <v>1</v>
      </c>
      <c r="H70" s="352"/>
      <c r="I70" s="76"/>
      <c r="J70" s="150"/>
      <c r="M70" s="55" t="s">
        <v>142</v>
      </c>
    </row>
    <row r="71" spans="2:17" x14ac:dyDescent="0.2">
      <c r="C71" s="71"/>
      <c r="D71" s="71"/>
      <c r="E71" s="105"/>
      <c r="F71" s="99"/>
      <c r="G71" s="149"/>
      <c r="H71" s="352"/>
      <c r="I71" s="104"/>
      <c r="J71" s="55"/>
      <c r="M71" s="55" t="s">
        <v>143</v>
      </c>
    </row>
    <row r="72" spans="2:17" ht="13.5" thickBot="1" x14ac:dyDescent="0.25">
      <c r="B72" s="331" t="s">
        <v>86</v>
      </c>
      <c r="C72" s="331"/>
      <c r="D72" s="331"/>
      <c r="E72" s="331"/>
      <c r="F72" s="331"/>
      <c r="G72" s="149"/>
      <c r="H72" s="9"/>
      <c r="I72" s="104"/>
      <c r="J72" s="55"/>
      <c r="M72" s="55" t="s">
        <v>144</v>
      </c>
    </row>
    <row r="73" spans="2:17" ht="13.5" thickBot="1" x14ac:dyDescent="0.25">
      <c r="B73" s="107" t="s">
        <v>87</v>
      </c>
      <c r="C73" s="108">
        <f>+F57</f>
        <v>450.24597796752983</v>
      </c>
      <c r="D73" s="108">
        <f>+D62</f>
        <v>130</v>
      </c>
      <c r="E73" s="109">
        <f>+C73/D73</f>
        <v>3.4634305997502293</v>
      </c>
      <c r="F73" s="149"/>
      <c r="G73" s="9"/>
      <c r="H73" s="150"/>
      <c r="I73" s="9"/>
      <c r="J73" s="55"/>
    </row>
    <row r="74" spans="2:17" x14ac:dyDescent="0.2">
      <c r="B74" s="110"/>
      <c r="C74" s="111"/>
      <c r="D74" s="112"/>
      <c r="E74" s="99"/>
      <c r="F74" s="149"/>
      <c r="G74" s="9"/>
      <c r="H74" s="150"/>
      <c r="I74" s="150"/>
      <c r="J74" s="55"/>
    </row>
    <row r="75" spans="2:17" x14ac:dyDescent="0.2">
      <c r="B75" s="107" t="s">
        <v>88</v>
      </c>
      <c r="C75" s="108">
        <f>SUM(F67:F68)</f>
        <v>633.24391969423095</v>
      </c>
      <c r="D75" s="108">
        <f>+D62</f>
        <v>130</v>
      </c>
      <c r="E75" s="113">
        <f>+C75/D75</f>
        <v>4.8711070745710074</v>
      </c>
      <c r="F75" s="149"/>
      <c r="G75" s="9"/>
      <c r="H75" s="150"/>
      <c r="I75" s="150"/>
      <c r="J75" s="55"/>
    </row>
    <row r="76" spans="2:17" x14ac:dyDescent="0.2">
      <c r="B76" s="107"/>
      <c r="C76" s="108"/>
      <c r="D76" s="108"/>
      <c r="E76" s="113"/>
      <c r="F76" s="149"/>
      <c r="G76" s="9"/>
      <c r="H76" s="150"/>
      <c r="I76" s="150"/>
      <c r="J76" s="55"/>
    </row>
    <row r="77" spans="2:17" ht="13.5" thickBot="1" x14ac:dyDescent="0.25">
      <c r="B77" s="107" t="s">
        <v>89</v>
      </c>
      <c r="C77" s="108">
        <f>+F69</f>
        <v>183</v>
      </c>
      <c r="D77" s="108">
        <f>+D62</f>
        <v>130</v>
      </c>
      <c r="E77" s="113">
        <f>+C77/D77</f>
        <v>1.4076923076923078</v>
      </c>
      <c r="F77" s="149"/>
      <c r="G77" s="9"/>
      <c r="H77" s="150"/>
      <c r="I77" s="150"/>
      <c r="J77" s="55"/>
    </row>
    <row r="78" spans="2:17" ht="13.5" thickBot="1" x14ac:dyDescent="0.25">
      <c r="B78" s="107" t="s">
        <v>90</v>
      </c>
      <c r="C78" s="108">
        <f>+F60</f>
        <v>237.60123433159885</v>
      </c>
      <c r="D78" s="108">
        <f>+D77</f>
        <v>130</v>
      </c>
      <c r="E78" s="109">
        <f>+C78/D78</f>
        <v>1.8277018025507603</v>
      </c>
      <c r="F78" s="149"/>
      <c r="G78" s="9"/>
      <c r="H78" s="150"/>
      <c r="I78" s="150"/>
      <c r="J78" s="55"/>
    </row>
    <row r="79" spans="2:17" ht="13.5" thickBot="1" x14ac:dyDescent="0.25">
      <c r="B79" s="80"/>
      <c r="C79" s="81"/>
      <c r="D79" s="81"/>
      <c r="E79" s="113"/>
      <c r="F79" s="149"/>
      <c r="G79" s="9"/>
      <c r="H79" s="150"/>
      <c r="I79" s="150"/>
      <c r="J79" s="55"/>
    </row>
    <row r="80" spans="2:17" ht="13.5" thickBot="1" x14ac:dyDescent="0.25">
      <c r="B80" s="107" t="s">
        <v>91</v>
      </c>
      <c r="C80" s="108">
        <f>+F58</f>
        <v>173.9930221673506</v>
      </c>
      <c r="D80" s="108">
        <f>+D78</f>
        <v>130</v>
      </c>
      <c r="E80" s="109">
        <f>+C80/D80</f>
        <v>1.3384078628257738</v>
      </c>
      <c r="F80" s="149"/>
      <c r="G80" s="9"/>
      <c r="H80" s="150"/>
      <c r="I80" s="150"/>
      <c r="J80" s="150"/>
    </row>
    <row r="81" spans="1:10" ht="13.5" thickBot="1" x14ac:dyDescent="0.25">
      <c r="B81" s="80"/>
      <c r="C81" s="81"/>
      <c r="D81" s="81"/>
      <c r="E81" s="113"/>
      <c r="F81" s="149"/>
      <c r="G81" s="9"/>
      <c r="H81" s="150"/>
      <c r="I81" s="150"/>
    </row>
    <row r="82" spans="1:10" ht="13.5" thickBot="1" x14ac:dyDescent="0.25">
      <c r="B82" s="332" t="s">
        <v>92</v>
      </c>
      <c r="C82" s="333"/>
      <c r="D82" s="334"/>
      <c r="E82" s="109">
        <f>+E73+E78</f>
        <v>5.29113240230099</v>
      </c>
      <c r="G82" s="149"/>
      <c r="H82" s="9"/>
      <c r="I82" s="150"/>
      <c r="J82" s="113"/>
    </row>
    <row r="83" spans="1:10" x14ac:dyDescent="0.2">
      <c r="I83" s="9"/>
      <c r="J83" s="55"/>
    </row>
    <row r="84" spans="1:10" ht="13.5" thickBot="1" x14ac:dyDescent="0.25">
      <c r="B84" s="331" t="s">
        <v>93</v>
      </c>
      <c r="C84" s="331"/>
      <c r="D84" s="331"/>
      <c r="E84" s="331"/>
      <c r="F84" s="331"/>
      <c r="G84" s="149"/>
      <c r="H84" s="9"/>
      <c r="J84" s="55"/>
    </row>
    <row r="85" spans="1:10" ht="13.5" thickBot="1" x14ac:dyDescent="0.25">
      <c r="B85" s="107" t="s">
        <v>87</v>
      </c>
      <c r="C85" s="108">
        <f>+C73</f>
        <v>450.24597796752983</v>
      </c>
      <c r="D85" s="108">
        <f>+D64</f>
        <v>1</v>
      </c>
      <c r="E85" s="109">
        <f>+C85/D85</f>
        <v>450.24597796752983</v>
      </c>
      <c r="F85" s="149"/>
      <c r="G85" s="9"/>
      <c r="H85" s="150"/>
      <c r="I85" s="9"/>
      <c r="J85" s="55"/>
    </row>
    <row r="86" spans="1:10" x14ac:dyDescent="0.2">
      <c r="B86" s="110"/>
      <c r="C86" s="111"/>
      <c r="D86" s="112"/>
      <c r="E86" s="99"/>
      <c r="F86" s="149"/>
      <c r="G86" s="9"/>
      <c r="H86" s="150"/>
      <c r="I86" s="150"/>
      <c r="J86" s="55"/>
    </row>
    <row r="87" spans="1:10" x14ac:dyDescent="0.2">
      <c r="B87" s="107" t="s">
        <v>88</v>
      </c>
      <c r="C87" s="108">
        <f>+C75</f>
        <v>633.24391969423095</v>
      </c>
      <c r="D87" s="108">
        <f>+D64</f>
        <v>1</v>
      </c>
      <c r="E87" s="113">
        <f>+C87/D87</f>
        <v>633.24391969423095</v>
      </c>
      <c r="F87" s="149"/>
      <c r="G87" s="9"/>
      <c r="H87" s="150"/>
      <c r="I87" s="150"/>
      <c r="J87" s="55"/>
    </row>
    <row r="88" spans="1:10" x14ac:dyDescent="0.2">
      <c r="B88" s="107"/>
      <c r="C88" s="108"/>
      <c r="D88" s="108"/>
      <c r="E88" s="113"/>
      <c r="F88" s="149"/>
      <c r="G88" s="9"/>
      <c r="H88" s="150"/>
      <c r="I88" s="150"/>
      <c r="J88" s="55"/>
    </row>
    <row r="89" spans="1:10" ht="13.5" thickBot="1" x14ac:dyDescent="0.25">
      <c r="B89" s="107" t="s">
        <v>90</v>
      </c>
      <c r="C89" s="108">
        <f>+C77</f>
        <v>183</v>
      </c>
      <c r="D89" s="108">
        <f>+D64</f>
        <v>1</v>
      </c>
      <c r="E89" s="113">
        <f>+C89/D89</f>
        <v>183</v>
      </c>
      <c r="F89" s="114"/>
      <c r="G89" s="106"/>
      <c r="H89" s="54"/>
      <c r="I89" s="150"/>
    </row>
    <row r="90" spans="1:10" ht="13.5" thickBot="1" x14ac:dyDescent="0.25">
      <c r="B90" s="107" t="s">
        <v>90</v>
      </c>
      <c r="C90" s="108">
        <f>+C78</f>
        <v>237.60123433159885</v>
      </c>
      <c r="D90" s="108">
        <f>+D89</f>
        <v>1</v>
      </c>
      <c r="E90" s="109">
        <f>+C90/D90</f>
        <v>237.60123433159885</v>
      </c>
      <c r="F90" s="159"/>
      <c r="G90" s="106"/>
      <c r="H90" s="54"/>
      <c r="I90" s="54"/>
    </row>
    <row r="91" spans="1:10" x14ac:dyDescent="0.2">
      <c r="I91" s="54"/>
    </row>
    <row r="92" spans="1:10" x14ac:dyDescent="0.2">
      <c r="A92" s="335"/>
      <c r="B92" s="335"/>
      <c r="C92" s="115"/>
      <c r="D92" s="115"/>
      <c r="E92" s="116"/>
      <c r="G92" s="160"/>
    </row>
    <row r="93" spans="1:10" x14ac:dyDescent="0.2">
      <c r="A93" s="67"/>
      <c r="B93" s="117"/>
      <c r="C93" s="118"/>
      <c r="D93" s="118"/>
      <c r="E93" s="119"/>
      <c r="G93" s="160"/>
    </row>
    <row r="94" spans="1:10" x14ac:dyDescent="0.2">
      <c r="A94" s="67"/>
      <c r="B94" s="117"/>
      <c r="C94" s="120"/>
      <c r="D94" s="120"/>
      <c r="E94" s="67"/>
      <c r="G94" s="160"/>
    </row>
    <row r="95" spans="1:10" x14ac:dyDescent="0.2">
      <c r="A95" s="67"/>
      <c r="B95" s="117"/>
      <c r="C95" s="121"/>
      <c r="D95" s="121"/>
      <c r="E95" s="67"/>
      <c r="G95" s="160"/>
    </row>
  </sheetData>
  <mergeCells count="30">
    <mergeCell ref="A4:H4"/>
    <mergeCell ref="A5:H5"/>
    <mergeCell ref="F6:G6"/>
    <mergeCell ref="K27:L27"/>
    <mergeCell ref="K28:L28"/>
    <mergeCell ref="K33:L33"/>
    <mergeCell ref="K34:L34"/>
    <mergeCell ref="B57:E57"/>
    <mergeCell ref="B58:E58"/>
    <mergeCell ref="K58:N58"/>
    <mergeCell ref="B59:E59"/>
    <mergeCell ref="C60:E60"/>
    <mergeCell ref="H70:H71"/>
    <mergeCell ref="B62:C62"/>
    <mergeCell ref="B63:C63"/>
    <mergeCell ref="M63:N63"/>
    <mergeCell ref="B64:C64"/>
    <mergeCell ref="L64:M64"/>
    <mergeCell ref="B65:C65"/>
    <mergeCell ref="K65:N65"/>
    <mergeCell ref="B72:F72"/>
    <mergeCell ref="B82:D82"/>
    <mergeCell ref="B84:F84"/>
    <mergeCell ref="A92:B92"/>
    <mergeCell ref="L66:N66"/>
    <mergeCell ref="B67:D67"/>
    <mergeCell ref="K67:N67"/>
    <mergeCell ref="B68:D68"/>
    <mergeCell ref="B69:C69"/>
    <mergeCell ref="B70:E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8C91-7586-43FD-9983-4D14BC2D28D9}">
  <dimension ref="A1:Q96"/>
  <sheetViews>
    <sheetView topLeftCell="A55" workbookViewId="0">
      <selection activeCell="F61" sqref="F61"/>
    </sheetView>
  </sheetViews>
  <sheetFormatPr baseColWidth="10" defaultColWidth="8.42578125" defaultRowHeight="12.75" x14ac:dyDescent="0.2"/>
  <cols>
    <col min="1" max="1" width="10" style="55" bestFit="1" customWidth="1"/>
    <col min="2" max="2" width="44.28515625" style="55" bestFit="1" customWidth="1"/>
    <col min="3" max="3" width="10.42578125" style="55" bestFit="1" customWidth="1"/>
    <col min="4" max="4" width="10.42578125" style="55" customWidth="1"/>
    <col min="5" max="5" width="9.7109375" style="55" bestFit="1" customWidth="1"/>
    <col min="6" max="6" width="9.5703125" style="55" bestFit="1" customWidth="1"/>
    <col min="7" max="7" width="9.5703125" style="10" bestFit="1" customWidth="1"/>
    <col min="8" max="8" width="10.42578125" style="106" bestFit="1" customWidth="1"/>
    <col min="9" max="9" width="4.5703125" style="106" customWidth="1"/>
    <col min="10" max="10" width="1.7109375" style="54" customWidth="1"/>
    <col min="11" max="11" width="7" style="55" bestFit="1" customWidth="1"/>
    <col min="12" max="12" width="6.28515625" style="55" customWidth="1"/>
    <col min="13" max="13" width="20.42578125" style="55" customWidth="1"/>
    <col min="14" max="14" width="6.42578125" style="55" bestFit="1" customWidth="1"/>
    <col min="15" max="16" width="8.42578125" style="55"/>
    <col min="17" max="17" width="3.28515625" style="55" customWidth="1"/>
    <col min="18" max="16384" width="8.42578125" style="55"/>
  </cols>
  <sheetData>
    <row r="1" spans="1:10" ht="27.75" customHeight="1" x14ac:dyDescent="0.2">
      <c r="A1" s="47"/>
      <c r="B1" s="47"/>
      <c r="C1" s="47"/>
      <c r="D1" s="47"/>
      <c r="E1" s="48" t="s">
        <v>45</v>
      </c>
      <c r="F1" s="46" t="s">
        <v>46</v>
      </c>
      <c r="G1" s="46" t="s">
        <v>47</v>
      </c>
      <c r="H1" s="46" t="s">
        <v>48</v>
      </c>
      <c r="I1" s="53"/>
    </row>
    <row r="2" spans="1:10" ht="30.75" customHeight="1" x14ac:dyDescent="0.2">
      <c r="A2" s="47"/>
      <c r="B2" s="47"/>
      <c r="C2" s="47"/>
      <c r="D2" s="47"/>
      <c r="E2" s="56">
        <f>IFERROR(O67,"")</f>
        <v>755.89512951769041</v>
      </c>
      <c r="F2" s="56">
        <f>IFERROR(H58,"")</f>
        <v>222.97369696449186</v>
      </c>
      <c r="G2" s="56">
        <f>IFERROR(H59,"")</f>
        <v>149.25846469983813</v>
      </c>
      <c r="H2" s="56">
        <f>IFERROR(H61,"")</f>
        <v>199.96561539917184</v>
      </c>
      <c r="I2" s="57"/>
    </row>
    <row r="3" spans="1:10" ht="15" customHeight="1" x14ac:dyDescent="0.2">
      <c r="A3" s="47"/>
      <c r="B3" s="47"/>
      <c r="C3" s="47"/>
      <c r="D3" s="47"/>
      <c r="E3" s="47"/>
      <c r="F3" s="58"/>
      <c r="G3" s="58"/>
      <c r="H3" s="58"/>
      <c r="I3" s="58"/>
    </row>
    <row r="4" spans="1:10" ht="24.75" customHeight="1" thickBot="1" x14ac:dyDescent="0.25">
      <c r="A4" s="357"/>
      <c r="B4" s="357"/>
      <c r="C4" s="357"/>
      <c r="D4" s="357"/>
      <c r="E4" s="357"/>
      <c r="F4" s="357"/>
      <c r="G4" s="357"/>
      <c r="H4" s="357"/>
      <c r="I4" s="59"/>
    </row>
    <row r="5" spans="1:10" ht="19.5" customHeight="1" thickBot="1" x14ac:dyDescent="0.25">
      <c r="A5" s="358" t="s">
        <v>49</v>
      </c>
      <c r="B5" s="359"/>
      <c r="C5" s="359"/>
      <c r="D5" s="359"/>
      <c r="E5" s="359"/>
      <c r="F5" s="359"/>
      <c r="G5" s="359"/>
      <c r="H5" s="360"/>
      <c r="I5" s="60"/>
    </row>
    <row r="6" spans="1:10" ht="19.5" thickBot="1" x14ac:dyDescent="0.25">
      <c r="A6" s="60"/>
      <c r="B6" s="60"/>
      <c r="C6" s="60"/>
      <c r="D6" s="60"/>
      <c r="E6" s="60"/>
      <c r="F6" s="361" t="s">
        <v>50</v>
      </c>
      <c r="G6" s="361"/>
      <c r="H6" s="61">
        <f ca="1">TODAY()</f>
        <v>45751</v>
      </c>
      <c r="I6" s="61"/>
    </row>
    <row r="7" spans="1:10" ht="26.25" thickBot="1" x14ac:dyDescent="0.25">
      <c r="A7" s="12" t="s">
        <v>51</v>
      </c>
      <c r="B7" s="13" t="s">
        <v>52</v>
      </c>
      <c r="C7" s="13" t="s">
        <v>51</v>
      </c>
      <c r="D7" s="14" t="s">
        <v>53</v>
      </c>
      <c r="E7" s="14" t="s">
        <v>54</v>
      </c>
      <c r="F7" s="14" t="s">
        <v>55</v>
      </c>
      <c r="G7" s="14" t="s">
        <v>56</v>
      </c>
      <c r="H7" s="15" t="s">
        <v>57</v>
      </c>
      <c r="I7" s="62"/>
    </row>
    <row r="8" spans="1:10" ht="13.5" x14ac:dyDescent="0.25">
      <c r="A8" s="63">
        <v>5</v>
      </c>
      <c r="B8" s="55" t="str">
        <f>IFERROR(VLOOKUP(H8,'[1]Consolidado MP Planta'!$A$2:$M$823,3,0),"")</f>
        <v>MANJAR LECHE CONDENSADA (PAQ: 4.5 K)</v>
      </c>
      <c r="C8" s="64">
        <f>+A8</f>
        <v>5</v>
      </c>
      <c r="D8" s="65" t="str">
        <f>IFERROR(VLOOKUP(H8,'[1]Consolidado MP Planta'!$A$2:$M$823,13,0),"")</f>
        <v>Gramos</v>
      </c>
      <c r="E8" s="65">
        <f>IFERROR(VLOOKUP(H8,'[1]Consolidado MP Planta'!$A$2:$M$823,12,0),"")</f>
        <v>2.0895555555555556</v>
      </c>
      <c r="F8" s="65">
        <f>IFERROR(C8*E8,"")</f>
        <v>10.447777777777778</v>
      </c>
      <c r="G8" s="6">
        <f t="shared" ref="G8:G14" si="0">IFERROR(F8/$F$71,"")</f>
        <v>1.9287316050460281E-2</v>
      </c>
      <c r="H8" s="66" t="s">
        <v>32</v>
      </c>
      <c r="I8" s="66"/>
      <c r="J8" s="7"/>
    </row>
    <row r="9" spans="1:10" ht="13.5" x14ac:dyDescent="0.25">
      <c r="A9" s="63">
        <v>1</v>
      </c>
      <c r="B9" s="55" t="str">
        <f>IFERROR(VLOOKUP(H9,'[1]Consolidado MP Planta'!$A$2:$M$823,3,0),"")</f>
        <v>BARQUILLO VETEAD CHOCOLAT (CAJA:420 UND)</v>
      </c>
      <c r="C9" s="64">
        <f t="shared" ref="C9:C14" si="1">+A9</f>
        <v>1</v>
      </c>
      <c r="D9" s="65" t="str">
        <f>IFERROR(VLOOKUP(H9,'[1]Consolidado MP Planta'!$A$2:$M$823,13,0),"")</f>
        <v>Und</v>
      </c>
      <c r="E9" s="65">
        <f>IFERROR(VLOOKUP(H9,'[1]Consolidado MP Planta'!$A$2:$M$823,12,0),"")</f>
        <v>0</v>
      </c>
      <c r="F9" s="65">
        <f t="shared" ref="F9:F14" si="2">IFERROR(C9*E9,"")</f>
        <v>0</v>
      </c>
      <c r="G9" s="6">
        <f t="shared" si="0"/>
        <v>0</v>
      </c>
      <c r="H9" s="66" t="s">
        <v>37</v>
      </c>
      <c r="I9" s="66"/>
      <c r="J9" s="7"/>
    </row>
    <row r="10" spans="1:10" ht="13.5" hidden="1" x14ac:dyDescent="0.25">
      <c r="A10" s="63"/>
      <c r="B10" s="55" t="str">
        <f>IFERROR(VLOOKUP(H10,'[1]Consolidado MP Planta'!$A$2:$M$823,3,0),"")</f>
        <v/>
      </c>
      <c r="C10" s="64">
        <f t="shared" si="1"/>
        <v>0</v>
      </c>
      <c r="D10" s="65" t="str">
        <f>IFERROR(VLOOKUP(H10,'[1]Consolidado MP Planta'!$A$2:$M$823,13,0),"")</f>
        <v/>
      </c>
      <c r="E10" s="65" t="str">
        <f>IFERROR(VLOOKUP(H10,'[1]Consolidado MP Planta'!$A$2:$M$823,12,0),"")</f>
        <v/>
      </c>
      <c r="F10" s="65" t="str">
        <f t="shared" si="2"/>
        <v/>
      </c>
      <c r="G10" s="6" t="str">
        <f t="shared" si="0"/>
        <v/>
      </c>
      <c r="H10" s="66"/>
      <c r="I10" s="66"/>
      <c r="J10" s="7"/>
    </row>
    <row r="11" spans="1:10" ht="13.5" hidden="1" x14ac:dyDescent="0.25">
      <c r="A11" s="63"/>
      <c r="B11" s="55" t="str">
        <f>IFERROR(VLOOKUP(H11,'[1]Consolidado MP Planta'!$A$2:$M$823,3,0),"")</f>
        <v/>
      </c>
      <c r="C11" s="64">
        <f t="shared" si="1"/>
        <v>0</v>
      </c>
      <c r="D11" s="65" t="str">
        <f>IFERROR(VLOOKUP(H11,'[1]Consolidado MP Planta'!$A$2:$M$823,13,0),"")</f>
        <v/>
      </c>
      <c r="E11" s="65" t="str">
        <f>IFERROR(VLOOKUP(H11,'[1]Consolidado MP Planta'!$A$2:$M$823,12,0),"")</f>
        <v/>
      </c>
      <c r="F11" s="65" t="str">
        <f t="shared" si="2"/>
        <v/>
      </c>
      <c r="G11" s="6" t="str">
        <f t="shared" si="0"/>
        <v/>
      </c>
      <c r="H11" s="66"/>
      <c r="I11" s="66"/>
      <c r="J11" s="7"/>
    </row>
    <row r="12" spans="1:10" ht="13.5" hidden="1" x14ac:dyDescent="0.25">
      <c r="A12" s="63"/>
      <c r="B12" s="55" t="str">
        <f>IFERROR(VLOOKUP(H12,'[1]Consolidado MP Planta'!$A$2:$M$823,3,0),"")</f>
        <v/>
      </c>
      <c r="C12" s="64">
        <f t="shared" si="1"/>
        <v>0</v>
      </c>
      <c r="D12" s="65" t="str">
        <f>IFERROR(VLOOKUP(H12,'[1]Consolidado MP Planta'!$A$2:$M$823,13,0),"")</f>
        <v/>
      </c>
      <c r="E12" s="65" t="str">
        <f>IFERROR(VLOOKUP(H12,'[1]Consolidado MP Planta'!$A$2:$M$823,12,0),"")</f>
        <v/>
      </c>
      <c r="F12" s="65" t="str">
        <f t="shared" si="2"/>
        <v/>
      </c>
      <c r="G12" s="6" t="str">
        <f t="shared" si="0"/>
        <v/>
      </c>
      <c r="H12" s="66"/>
      <c r="I12" s="66"/>
      <c r="J12" s="7"/>
    </row>
    <row r="13" spans="1:10" ht="13.5" hidden="1" x14ac:dyDescent="0.25">
      <c r="A13" s="63"/>
      <c r="B13" s="55" t="str">
        <f>IFERROR(VLOOKUP(H13,'[1]Consolidado MP Planta'!$A$2:$M$823,3,0),"")</f>
        <v/>
      </c>
      <c r="C13" s="64">
        <f t="shared" si="1"/>
        <v>0</v>
      </c>
      <c r="D13" s="65" t="str">
        <f>IFERROR(VLOOKUP(H13,'[1]Consolidado MP Planta'!$A$2:$M$823,13,0),"")</f>
        <v/>
      </c>
      <c r="E13" s="65" t="str">
        <f>IFERROR(VLOOKUP(H13,'[1]Consolidado MP Planta'!$A$2:$M$823,12,0),"")</f>
        <v/>
      </c>
      <c r="F13" s="65" t="str">
        <f t="shared" si="2"/>
        <v/>
      </c>
      <c r="G13" s="6" t="str">
        <f t="shared" si="0"/>
        <v/>
      </c>
      <c r="H13" s="66"/>
      <c r="I13" s="66"/>
      <c r="J13" s="7"/>
    </row>
    <row r="14" spans="1:10" ht="13.5" hidden="1" x14ac:dyDescent="0.25">
      <c r="A14" s="63"/>
      <c r="B14" s="55" t="str">
        <f>IFERROR(VLOOKUP(H14,'[1]Consolidado MP Planta'!$A$2:$M$823,3,0),"")</f>
        <v/>
      </c>
      <c r="C14" s="64">
        <f t="shared" si="1"/>
        <v>0</v>
      </c>
      <c r="D14" s="65" t="str">
        <f>IFERROR(VLOOKUP(H14,'[1]Consolidado MP Planta'!$A$2:$M$823,13,0),"")</f>
        <v/>
      </c>
      <c r="E14" s="65" t="str">
        <f>IFERROR(VLOOKUP(H14,'[1]Consolidado MP Planta'!$A$2:$M$823,12,0),"")</f>
        <v/>
      </c>
      <c r="F14" s="65" t="str">
        <f t="shared" si="2"/>
        <v/>
      </c>
      <c r="G14" s="6" t="str">
        <f t="shared" si="0"/>
        <v/>
      </c>
      <c r="H14" s="66"/>
      <c r="I14" s="66"/>
      <c r="J14" s="7"/>
    </row>
    <row r="15" spans="1:10" ht="14.25" thickBot="1" x14ac:dyDescent="0.3">
      <c r="A15" s="63"/>
      <c r="B15" s="55" t="str">
        <f>IFERROR(VLOOKUP(H15,'[3]ARTICULOS MP PLANTA'!$A$2:$G$589,2,0),"")</f>
        <v/>
      </c>
      <c r="C15" s="64"/>
      <c r="D15" s="65"/>
      <c r="E15" s="65"/>
      <c r="F15" s="65"/>
      <c r="G15" s="6"/>
      <c r="H15" s="66"/>
      <c r="I15" s="66"/>
      <c r="J15" s="7"/>
    </row>
    <row r="16" spans="1:10" ht="26.25" thickBot="1" x14ac:dyDescent="0.25">
      <c r="A16" s="12" t="s">
        <v>51</v>
      </c>
      <c r="B16" s="13" t="s">
        <v>58</v>
      </c>
      <c r="C16" s="13" t="s">
        <v>51</v>
      </c>
      <c r="D16" s="14" t="s">
        <v>53</v>
      </c>
      <c r="E16" s="14" t="s">
        <v>54</v>
      </c>
      <c r="F16" s="14" t="s">
        <v>55</v>
      </c>
      <c r="G16" s="14" t="s">
        <v>56</v>
      </c>
      <c r="H16" s="15" t="s">
        <v>57</v>
      </c>
      <c r="I16" s="62"/>
      <c r="J16" s="7"/>
    </row>
    <row r="17" spans="1:12" ht="13.5" x14ac:dyDescent="0.25">
      <c r="A17" s="63">
        <v>1</v>
      </c>
      <c r="B17" s="55" t="s">
        <v>39</v>
      </c>
      <c r="C17" s="64">
        <f>+A17</f>
        <v>1</v>
      </c>
      <c r="D17" s="64" t="s">
        <v>120</v>
      </c>
      <c r="E17" s="65">
        <v>41.450757820982467</v>
      </c>
      <c r="F17" s="65">
        <f>IFERROR(E17*C17,"")</f>
        <v>41.450757820982467</v>
      </c>
      <c r="G17" s="6">
        <f t="shared" ref="G17:G24" si="3">IFERROR(F17/$F$71,"")</f>
        <v>7.6520948629367161E-2</v>
      </c>
      <c r="H17" s="66" t="s">
        <v>38</v>
      </c>
      <c r="I17" s="66"/>
      <c r="J17" s="7"/>
    </row>
    <row r="18" spans="1:12" ht="13.5" x14ac:dyDescent="0.25">
      <c r="A18" s="63">
        <v>20</v>
      </c>
      <c r="B18" s="55" t="s">
        <v>40</v>
      </c>
      <c r="C18" s="64">
        <f t="shared" ref="C18:C24" si="4">+A18</f>
        <v>20</v>
      </c>
      <c r="D18" s="64" t="str">
        <f>IFERROR(VLOOKUP(H18,[1]SEMIELABORADOS!$A$2:$M$6000,6,0),"")</f>
        <v>Gramo</v>
      </c>
      <c r="E18" s="65">
        <f>IFERROR(VLOOKUP(H18,[1]SEMIELABORADOS!$A$2:$H$65536,8,0),"")</f>
        <v>0.3250494770807843</v>
      </c>
      <c r="F18" s="65">
        <f t="shared" ref="F18:F24" si="5">IFERROR(E18*C18,"")</f>
        <v>6.5009895416156862</v>
      </c>
      <c r="G18" s="6">
        <f t="shared" si="3"/>
        <v>1.2001273629361988E-2</v>
      </c>
      <c r="H18" s="66" t="s">
        <v>119</v>
      </c>
      <c r="I18" s="66"/>
      <c r="J18" s="7"/>
    </row>
    <row r="19" spans="1:12" ht="13.5" x14ac:dyDescent="0.25">
      <c r="A19" s="63">
        <v>10</v>
      </c>
      <c r="B19" s="55" t="str">
        <f>IFERROR(VLOOKUP(H19,[1]SEMIELABORADOS!$A$2:$M$6000,2,0),"")</f>
        <v>RELLENO DE LIMON SPOON KILO</v>
      </c>
      <c r="C19" s="64">
        <f>+A19</f>
        <v>10</v>
      </c>
      <c r="D19" s="64" t="str">
        <f>IFERROR(VLOOKUP(H19,[1]SEMIELABORADOS!$A$2:$M$6000,6,0),"")</f>
        <v>Gramo</v>
      </c>
      <c r="E19" s="65">
        <f>IFERROR(VLOOKUP(H19,[1]SEMIELABORADOS!$A$2:$H$65536,8,0),"")</f>
        <v>1.8777522222222223</v>
      </c>
      <c r="F19" s="65">
        <f>IFERROR(E19*C19,"")</f>
        <v>18.777522222222224</v>
      </c>
      <c r="G19" s="6">
        <f t="shared" si="3"/>
        <v>3.4664596955236326E-2</v>
      </c>
      <c r="H19" s="66" t="s">
        <v>41</v>
      </c>
      <c r="I19" s="66"/>
      <c r="J19" s="7"/>
    </row>
    <row r="20" spans="1:12" ht="13.5" x14ac:dyDescent="0.25">
      <c r="A20" s="63">
        <v>15</v>
      </c>
      <c r="B20" s="55" t="str">
        <f>IFERROR(VLOOKUP(H20,[1]SEMIELABORADOS!$A$2:$M$6000,2,0),"")</f>
        <v>EMPAQUE RELLENO MELO CON TOPING KILO</v>
      </c>
      <c r="C20" s="64">
        <f>+A20</f>
        <v>15</v>
      </c>
      <c r="D20" s="64" t="str">
        <f>IFERROR(VLOOKUP(H20,[1]SEMIELABORADOS!$A$2:$M$6000,6,0),"")</f>
        <v>Gramo</v>
      </c>
      <c r="E20" s="65">
        <f>IFERROR(VLOOKUP(H20,[1]SEMIELABORADOS!$A$2:$H$65536,8,0),"")</f>
        <v>3.650496168869835</v>
      </c>
      <c r="F20" s="65">
        <f>IFERROR(E20*C20,"")</f>
        <v>54.757442533047524</v>
      </c>
      <c r="G20" s="6">
        <f t="shared" si="3"/>
        <v>0.10108600342707896</v>
      </c>
      <c r="H20" s="66" t="s">
        <v>42</v>
      </c>
      <c r="I20" s="66"/>
      <c r="J20" s="7"/>
    </row>
    <row r="21" spans="1:12" ht="13.5" x14ac:dyDescent="0.25">
      <c r="A21" s="63">
        <v>30</v>
      </c>
      <c r="B21" s="55" t="str">
        <f>IFERROR(VLOOKUP(H21,[1]SEMIELABORADOS!$A$2:$M$6000,2,0),"")</f>
        <v>CREMA CHANTILLY BLANCA SPOON-IND KILO</v>
      </c>
      <c r="C21" s="64">
        <f>+A21</f>
        <v>30</v>
      </c>
      <c r="D21" s="64" t="str">
        <f>IFERROR(VLOOKUP(H21,[1]SEMIELABORADOS!$A$2:$M$6000,6,0),"")</f>
        <v>Gramo</v>
      </c>
      <c r="E21" s="65">
        <f>IFERROR(VLOOKUP(H21,[1]SEMIELABORADOS!$A$2:$H$65536,8,0),"")</f>
        <v>2.3115165807692306</v>
      </c>
      <c r="F21" s="65">
        <f>IFERROR(E21*C21,"")</f>
        <v>69.345497423076921</v>
      </c>
      <c r="G21" s="6">
        <f t="shared" si="3"/>
        <v>0.12801655566603606</v>
      </c>
      <c r="H21" s="66" t="s">
        <v>43</v>
      </c>
      <c r="I21" s="66"/>
      <c r="J21" s="7"/>
    </row>
    <row r="22" spans="1:12" ht="13.5" x14ac:dyDescent="0.25">
      <c r="A22" s="63">
        <v>10</v>
      </c>
      <c r="B22" s="55" t="str">
        <f>IFERROR(VLOOKUP(H22,[1]SEMIELABORADOS!$A$2:$M$6000,2,0),"")</f>
        <v>EMPAQUE TOPING MELO KILO</v>
      </c>
      <c r="C22" s="64">
        <f t="shared" si="4"/>
        <v>10</v>
      </c>
      <c r="D22" s="64" t="str">
        <f>IFERROR(VLOOKUP(H22,[1]SEMIELABORADOS!$A$2:$M$6000,6,0),"")</f>
        <v>Gramo</v>
      </c>
      <c r="E22" s="65">
        <f>IFERROR(VLOOKUP(H22,[1]SEMIELABORADOS!$A$2:$H$65536,8,0),"")</f>
        <v>2.169370964576923</v>
      </c>
      <c r="F22" s="65">
        <f t="shared" si="5"/>
        <v>21.693709645769232</v>
      </c>
      <c r="G22" s="6">
        <f t="shared" si="3"/>
        <v>4.0048079423628938E-2</v>
      </c>
      <c r="H22" s="66" t="s">
        <v>44</v>
      </c>
      <c r="I22" s="66"/>
      <c r="J22" s="7"/>
    </row>
    <row r="23" spans="1:12" ht="13.5" x14ac:dyDescent="0.25">
      <c r="A23" s="63"/>
      <c r="B23" s="55" t="str">
        <f>IFERROR(VLOOKUP(H23,[1]SEMIELABORADOS!$A$2:$M$6000,2,0),"")</f>
        <v/>
      </c>
      <c r="C23" s="64">
        <f t="shared" si="4"/>
        <v>0</v>
      </c>
      <c r="D23" s="64" t="str">
        <f>IFERROR(VLOOKUP(H23,[1]SEMIELABORADOS!$A$2:$M$6000,6,0),"")</f>
        <v/>
      </c>
      <c r="E23" s="65" t="str">
        <f>IFERROR(VLOOKUP(H23,[1]SEMIELABORADOS!$A$2:$H$65536,8,0),"")</f>
        <v/>
      </c>
      <c r="F23" s="65" t="str">
        <f t="shared" si="5"/>
        <v/>
      </c>
      <c r="G23" s="6" t="str">
        <f t="shared" si="3"/>
        <v/>
      </c>
      <c r="H23" s="66"/>
      <c r="I23" s="66"/>
      <c r="J23" s="7"/>
    </row>
    <row r="24" spans="1:12" ht="13.5" x14ac:dyDescent="0.25">
      <c r="A24" s="63"/>
      <c r="B24" s="55" t="str">
        <f>IFERROR(VLOOKUP(H24,[1]SEMIELABORADOS!$A$2:$M$6000,2,0),"")</f>
        <v/>
      </c>
      <c r="C24" s="64">
        <f t="shared" si="4"/>
        <v>0</v>
      </c>
      <c r="D24" s="64" t="str">
        <f>IFERROR(VLOOKUP(H24,[1]SEMIELABORADOS!$A$2:$M$6000,6,0),"")</f>
        <v/>
      </c>
      <c r="E24" s="65" t="str">
        <f>IFERROR(VLOOKUP(H24,[1]SEMIELABORADOS!$A$2:$H$65536,8,0),"")</f>
        <v/>
      </c>
      <c r="F24" s="65" t="str">
        <f t="shared" si="5"/>
        <v/>
      </c>
      <c r="G24" s="6" t="str">
        <f t="shared" si="3"/>
        <v/>
      </c>
      <c r="H24" s="66"/>
      <c r="I24" s="66"/>
      <c r="J24" s="7"/>
    </row>
    <row r="25" spans="1:12" ht="14.25" thickBot="1" x14ac:dyDescent="0.3">
      <c r="A25" s="63"/>
      <c r="C25" s="64"/>
      <c r="D25" s="64"/>
      <c r="E25" s="65"/>
      <c r="F25" s="65"/>
      <c r="G25" s="6"/>
      <c r="H25" s="66"/>
      <c r="I25" s="66"/>
      <c r="J25" s="7"/>
    </row>
    <row r="26" spans="1:12" ht="26.25" thickBot="1" x14ac:dyDescent="0.25">
      <c r="A26" s="12" t="s">
        <v>51</v>
      </c>
      <c r="B26" s="13" t="s">
        <v>33</v>
      </c>
      <c r="C26" s="13" t="s">
        <v>51</v>
      </c>
      <c r="D26" s="14" t="s">
        <v>53</v>
      </c>
      <c r="E26" s="14" t="s">
        <v>54</v>
      </c>
      <c r="F26" s="14" t="s">
        <v>55</v>
      </c>
      <c r="G26" s="14" t="s">
        <v>56</v>
      </c>
      <c r="H26" s="15" t="s">
        <v>57</v>
      </c>
      <c r="I26" s="62"/>
    </row>
    <row r="27" spans="1:12" ht="13.5" x14ac:dyDescent="0.25">
      <c r="A27" s="63">
        <v>1</v>
      </c>
      <c r="B27" s="67" t="str">
        <f>IFERROR(VLOOKUP(H27,'[1]Consolidado MP Planta'!$A$2:$M$823,3,0),"")</f>
        <v>ORLA #4 AZUL REDONDA (UND)</v>
      </c>
      <c r="C27" s="64">
        <f t="shared" ref="C27:C37" si="6">+A27</f>
        <v>1</v>
      </c>
      <c r="D27" s="65" t="s">
        <v>130</v>
      </c>
      <c r="E27" s="65">
        <f>IFERROR(VLOOKUP(H27,'[1]Consolidado MP Planta'!$A$2:$M$823,12,0),"")</f>
        <v>42</v>
      </c>
      <c r="F27" s="65">
        <f t="shared" ref="F27:F37" si="7">IFERROR(C27*E27,"")</f>
        <v>42</v>
      </c>
      <c r="G27" s="6">
        <f t="shared" ref="G27:G37" si="8">IFERROR(F27/$F$71,"")</f>
        <v>7.7534887451600407E-2</v>
      </c>
      <c r="H27" s="68" t="s">
        <v>122</v>
      </c>
      <c r="I27" s="68"/>
      <c r="J27" s="7"/>
      <c r="K27" s="354"/>
      <c r="L27" s="354"/>
    </row>
    <row r="28" spans="1:12" ht="13.5" x14ac:dyDescent="0.25">
      <c r="A28" s="63">
        <v>1</v>
      </c>
      <c r="B28" s="67" t="str">
        <f>IFERROR(VLOOKUP(H28,'[1]Consolidado MP Planta'!$A$2:$M$823,3,0),"")</f>
        <v>QUEQUERA PLAST 12 CENT (CAJA:250UND)</v>
      </c>
      <c r="C28" s="64">
        <f t="shared" si="6"/>
        <v>1</v>
      </c>
      <c r="D28" s="65" t="s">
        <v>130</v>
      </c>
      <c r="E28" s="65">
        <f>IFERROR(VLOOKUP(H28,'[1]Consolidado MP Planta'!$A$2:$M$823,12,0),"")</f>
        <v>70.492000000000004</v>
      </c>
      <c r="F28" s="65">
        <f t="shared" si="7"/>
        <v>70.492000000000004</v>
      </c>
      <c r="G28" s="6">
        <f t="shared" si="8"/>
        <v>0.13013307824376705</v>
      </c>
      <c r="H28" s="68" t="s">
        <v>123</v>
      </c>
      <c r="I28" s="68"/>
      <c r="J28" s="7"/>
      <c r="K28" s="354"/>
      <c r="L28" s="354"/>
    </row>
    <row r="29" spans="1:12" ht="13.5" x14ac:dyDescent="0.25">
      <c r="A29" s="63">
        <v>1</v>
      </c>
      <c r="B29" s="67" t="str">
        <f>IFERROR(VLOOKUP(H29,'[1]Consolidado MP Planta'!$A$2:$M$823,3,0),"")</f>
        <v>ETIQ. GENERICA PEQUEÑA V-274 (UND)</v>
      </c>
      <c r="C29" s="64">
        <f>+A29</f>
        <v>1</v>
      </c>
      <c r="D29" s="65" t="str">
        <f>IFERROR(VLOOKUP(H29,'[1]Consolidado MP Planta'!$A$2:$M$823,13,0),"")</f>
        <v>Und</v>
      </c>
      <c r="E29" s="65">
        <f>IFERROR(VLOOKUP(H29,'[1]Consolidado MP Planta'!$A$2:$M$823,12,0),"")</f>
        <v>13.45</v>
      </c>
      <c r="F29" s="65">
        <f>IFERROR(C29*E29,"")</f>
        <v>13.45</v>
      </c>
      <c r="G29" s="6">
        <f t="shared" si="8"/>
        <v>2.4829624672000603E-2</v>
      </c>
      <c r="H29" s="68" t="s">
        <v>126</v>
      </c>
      <c r="I29" s="68"/>
      <c r="J29" s="7"/>
      <c r="K29" s="53"/>
      <c r="L29" s="53"/>
    </row>
    <row r="30" spans="1:12" ht="13.5" x14ac:dyDescent="0.25">
      <c r="A30" s="63">
        <v>1</v>
      </c>
      <c r="B30" s="67" t="s">
        <v>35</v>
      </c>
      <c r="C30" s="64">
        <f>+A30</f>
        <v>1</v>
      </c>
      <c r="D30" s="65" t="s">
        <v>130</v>
      </c>
      <c r="E30" s="65">
        <v>0.18</v>
      </c>
      <c r="F30" s="65">
        <f>IFERROR(C30*E30,"")</f>
        <v>0.18</v>
      </c>
      <c r="G30" s="6">
        <f t="shared" si="8"/>
        <v>3.3229237479257315E-4</v>
      </c>
      <c r="H30" s="68" t="s">
        <v>127</v>
      </c>
      <c r="I30" s="68"/>
      <c r="J30" s="7"/>
      <c r="K30" s="53"/>
      <c r="L30" s="53"/>
    </row>
    <row r="31" spans="1:12" ht="13.5" x14ac:dyDescent="0.25">
      <c r="A31" s="63" t="s">
        <v>36</v>
      </c>
      <c r="B31" s="67" t="str">
        <f>IFERROR(VLOOKUP(H31,'[1]Consolidado MP Planta'!$A$2:$M$823,3,0),"")</f>
        <v>ETIQUETA BLANCA 2 5/8X1 15/16 (UND)</v>
      </c>
      <c r="C31" s="64" t="str">
        <f>+A31</f>
        <v>1</v>
      </c>
      <c r="D31" s="65" t="str">
        <f>IFERROR(VLOOKUP(H31,'[1]Consolidado MP Planta'!$A$2:$M$823,13,0),"")</f>
        <v>Und</v>
      </c>
      <c r="E31" s="65">
        <f>IFERROR(VLOOKUP(H31,'[1]Consolidado MP Planta'!$A$2:$M$823,12,0),"")</f>
        <v>2.1280000000000001</v>
      </c>
      <c r="F31" s="65">
        <f>IFERROR(C31*E31,"")</f>
        <v>2.1280000000000001</v>
      </c>
      <c r="G31" s="6">
        <f t="shared" si="8"/>
        <v>3.9284342975477535E-3</v>
      </c>
      <c r="H31" s="68" t="s">
        <v>128</v>
      </c>
      <c r="I31" s="68"/>
      <c r="J31" s="7"/>
      <c r="K31" s="53"/>
      <c r="L31" s="53"/>
    </row>
    <row r="32" spans="1:12" ht="13.5" x14ac:dyDescent="0.25">
      <c r="A32" s="63" t="s">
        <v>36</v>
      </c>
      <c r="B32" s="67" t="str">
        <f>IFERROR(VLOOKUP(H32,'[1]Consolidado MP Planta'!$A$2:$M$823,3,0),"")</f>
        <v>ETIQUETA SELLO SEGURIDAD (ROLLO:1000)</v>
      </c>
      <c r="C32" s="64" t="str">
        <f>+A32</f>
        <v>1</v>
      </c>
      <c r="D32" s="65" t="str">
        <f>IFERROR(VLOOKUP(H32,'[1]Consolidado MP Planta'!$A$2:$M$823,13,0),"")</f>
        <v>Und</v>
      </c>
      <c r="E32" s="65">
        <f>IFERROR(VLOOKUP(H32,'[1]Consolidado MP Planta'!$A$2:$M$823,12,0),"")</f>
        <v>6</v>
      </c>
      <c r="F32" s="65">
        <f>IFERROR(C32*E32,"")</f>
        <v>6</v>
      </c>
      <c r="G32" s="6">
        <f t="shared" si="8"/>
        <v>1.1076412493085771E-2</v>
      </c>
      <c r="H32" s="68" t="s">
        <v>124</v>
      </c>
      <c r="I32" s="68"/>
      <c r="J32" s="7"/>
      <c r="K32" s="53"/>
      <c r="L32" s="53"/>
    </row>
    <row r="33" spans="1:12" ht="13.5" x14ac:dyDescent="0.25">
      <c r="A33" s="63">
        <v>0.1</v>
      </c>
      <c r="B33" s="67" t="str">
        <f>IFERROR(VLOOKUP(H33,'[1]Consolidado MP Planta'!$A$2:$M$823,3,0),"")</f>
        <v>BASE PARA ROSQUETE (UND)</v>
      </c>
      <c r="C33" s="64">
        <f>+A33</f>
        <v>0.1</v>
      </c>
      <c r="D33" s="65" t="str">
        <f>IFERROR(VLOOKUP(H33,'[1]Consolidado MP Planta'!$A$2:$M$823,13,0),"")</f>
        <v>Und</v>
      </c>
      <c r="E33" s="65">
        <f>IFERROR(VLOOKUP(H33,'[1]Consolidado MP Planta'!$A$2:$M$823,12,0),"")</f>
        <v>128</v>
      </c>
      <c r="F33" s="65">
        <f>IFERROR(C33*E33,"")</f>
        <v>12.8</v>
      </c>
      <c r="G33" s="6">
        <f t="shared" si="8"/>
        <v>2.3629679985249646E-2</v>
      </c>
      <c r="H33" s="68" t="s">
        <v>129</v>
      </c>
      <c r="I33" s="68"/>
      <c r="J33" s="7"/>
      <c r="K33" s="53"/>
      <c r="L33" s="53"/>
    </row>
    <row r="34" spans="1:12" ht="13.5" x14ac:dyDescent="0.25">
      <c r="A34" s="63">
        <v>1</v>
      </c>
      <c r="B34" s="67" t="str">
        <f>IFERROR(VLOOKUP(H34,'[1]Consolidado MP Planta'!$A$2:$M$823,3,0),"")</f>
        <v>ETIQUETA BLANCA R-153 (UND)</v>
      </c>
      <c r="C34" s="64">
        <f t="shared" si="6"/>
        <v>1</v>
      </c>
      <c r="D34" s="65" t="str">
        <f>IFERROR(VLOOKUP(H34,'[1]Consolidado MP Planta'!$A$2:$M$823,13,0),"")</f>
        <v>Und</v>
      </c>
      <c r="E34" s="65">
        <f>IFERROR(VLOOKUP(H34,'[1]Consolidado MP Planta'!$A$2:$M$823,12,0),"")</f>
        <v>0.39</v>
      </c>
      <c r="F34" s="65">
        <f t="shared" si="7"/>
        <v>0.39</v>
      </c>
      <c r="G34" s="6">
        <f t="shared" si="8"/>
        <v>7.1996681205057516E-4</v>
      </c>
      <c r="H34" s="68" t="s">
        <v>125</v>
      </c>
      <c r="I34" s="68"/>
      <c r="J34" s="7"/>
      <c r="K34" s="354"/>
      <c r="L34" s="354"/>
    </row>
    <row r="35" spans="1:12" ht="13.5" hidden="1" x14ac:dyDescent="0.25">
      <c r="A35" s="63"/>
      <c r="B35" s="67" t="str">
        <f>IFERROR(VLOOKUP(H35,'[1]Consolidado MP Planta'!$A$2:$M$823,3,0),"")</f>
        <v/>
      </c>
      <c r="C35" s="64">
        <f t="shared" si="6"/>
        <v>0</v>
      </c>
      <c r="D35" s="65" t="str">
        <f>IFERROR(VLOOKUP(H35,'[1]Consolidado MP Planta'!$A$2:$M$823,13,0),"")</f>
        <v/>
      </c>
      <c r="E35" s="65" t="str">
        <f>IFERROR(VLOOKUP(H35,'[1]Consolidado MP Planta'!$A$2:$M$823,12,0),"")</f>
        <v/>
      </c>
      <c r="F35" s="65" t="str">
        <f t="shared" si="7"/>
        <v/>
      </c>
      <c r="G35" s="6" t="str">
        <f t="shared" si="8"/>
        <v/>
      </c>
      <c r="H35" s="68"/>
      <c r="I35" s="68"/>
      <c r="J35" s="7"/>
      <c r="K35" s="354"/>
      <c r="L35" s="354"/>
    </row>
    <row r="36" spans="1:12" ht="13.5" hidden="1" x14ac:dyDescent="0.25">
      <c r="A36" s="63"/>
      <c r="B36" s="67" t="str">
        <f>IFERROR(VLOOKUP(H36,'[1]Consolidado MP Planta'!$A$2:$M$823,3,0),"")</f>
        <v/>
      </c>
      <c r="C36" s="64">
        <f t="shared" si="6"/>
        <v>0</v>
      </c>
      <c r="D36" s="65" t="str">
        <f>IFERROR(VLOOKUP(H36,'[1]Consolidado MP Planta'!$A$2:$M$823,13,0),"")</f>
        <v/>
      </c>
      <c r="E36" s="65" t="str">
        <f>IFERROR(VLOOKUP(H36,'[1]Consolidado MP Planta'!$A$2:$M$823,12,0),"")</f>
        <v/>
      </c>
      <c r="F36" s="65" t="str">
        <f t="shared" si="7"/>
        <v/>
      </c>
      <c r="G36" s="6" t="str">
        <f t="shared" si="8"/>
        <v/>
      </c>
      <c r="H36" s="68"/>
      <c r="I36" s="68"/>
      <c r="J36" s="7"/>
      <c r="K36" s="69"/>
      <c r="L36" s="70"/>
    </row>
    <row r="37" spans="1:12" ht="13.5" hidden="1" x14ac:dyDescent="0.25">
      <c r="A37" s="63"/>
      <c r="B37" s="67" t="str">
        <f>IFERROR(VLOOKUP(H37,'[1]Consolidado MP Planta'!$A$2:$M$823,3,0),"")</f>
        <v/>
      </c>
      <c r="C37" s="64">
        <f t="shared" si="6"/>
        <v>0</v>
      </c>
      <c r="D37" s="65" t="str">
        <f>IFERROR(VLOOKUP(H37,'[1]Consolidado MP Planta'!$A$2:$M$823,13,0),"")</f>
        <v/>
      </c>
      <c r="E37" s="65" t="str">
        <f>IFERROR(VLOOKUP(H37,'[1]Consolidado MP Planta'!$A$2:$M$823,12,0),"")</f>
        <v/>
      </c>
      <c r="F37" s="65" t="str">
        <f t="shared" si="7"/>
        <v/>
      </c>
      <c r="G37" s="6" t="str">
        <f t="shared" si="8"/>
        <v/>
      </c>
      <c r="H37" s="68"/>
      <c r="I37" s="68"/>
      <c r="J37" s="7"/>
    </row>
    <row r="38" spans="1:12" ht="14.25" thickBot="1" x14ac:dyDescent="0.3">
      <c r="A38" s="63"/>
      <c r="B38" s="67"/>
      <c r="C38" s="64"/>
      <c r="D38" s="65"/>
      <c r="E38" s="65"/>
      <c r="F38" s="65"/>
      <c r="G38" s="6"/>
      <c r="H38" s="68"/>
      <c r="I38" s="68"/>
      <c r="J38" s="7"/>
    </row>
    <row r="39" spans="1:12" ht="26.25" thickBot="1" x14ac:dyDescent="0.25">
      <c r="A39" s="12" t="s">
        <v>51</v>
      </c>
      <c r="B39" s="13" t="s">
        <v>59</v>
      </c>
      <c r="C39" s="13" t="s">
        <v>51</v>
      </c>
      <c r="D39" s="14" t="s">
        <v>53</v>
      </c>
      <c r="E39" s="14" t="s">
        <v>54</v>
      </c>
      <c r="F39" s="14" t="s">
        <v>55</v>
      </c>
      <c r="G39" s="14" t="s">
        <v>56</v>
      </c>
      <c r="H39" s="15" t="s">
        <v>57</v>
      </c>
      <c r="I39" s="68"/>
      <c r="J39" s="7"/>
    </row>
    <row r="40" spans="1:12" ht="13.5" x14ac:dyDescent="0.25">
      <c r="A40" s="63">
        <f t="shared" ref="A40:A46" si="9">+A17</f>
        <v>1</v>
      </c>
      <c r="B40" s="67" t="s">
        <v>39</v>
      </c>
      <c r="C40" s="64">
        <f>+A40</f>
        <v>1</v>
      </c>
      <c r="D40" s="65" t="s">
        <v>121</v>
      </c>
      <c r="E40" s="65">
        <v>1.3353959975490197</v>
      </c>
      <c r="F40" s="65">
        <f>IFERROR(E40*C40,"")</f>
        <v>1.3353959975490197</v>
      </c>
      <c r="G40" s="6">
        <f t="shared" ref="G40:G46" si="10">IFERROR(F40/$F$71,"")</f>
        <v>2.4652328184114496E-3</v>
      </c>
      <c r="H40" s="68" t="s">
        <v>38</v>
      </c>
      <c r="I40" s="68"/>
      <c r="J40" s="7"/>
    </row>
    <row r="41" spans="1:12" ht="13.5" x14ac:dyDescent="0.25">
      <c r="A41" s="63">
        <f t="shared" si="9"/>
        <v>20</v>
      </c>
      <c r="B41" s="67" t="str">
        <f>IFERROR(VLOOKUP(H41,[1]SEMIELABORADOS!$A$2:$M$6000,2,0),"")</f>
        <v>ALMIBAR KILO</v>
      </c>
      <c r="C41" s="64">
        <f t="shared" ref="C41:C46" si="11">+A41</f>
        <v>20</v>
      </c>
      <c r="D41" s="65" t="str">
        <f>IFERROR(VLOOKUP(H41,[1]SEMIELABORADOS!$A$2:$M$6000,6,0),"")</f>
        <v>Gramo</v>
      </c>
      <c r="E41" s="65">
        <f>IFERROR(VLOOKUP(H41,[1]SEMIELABORADOS!$A$2:$M$65536,10,0),"")</f>
        <v>1.0250838E-2</v>
      </c>
      <c r="F41" s="65">
        <f t="shared" ref="F41:F46" si="12">IFERROR(E41*C41,"")</f>
        <v>0.20501675999999999</v>
      </c>
      <c r="G41" s="6">
        <f t="shared" si="10"/>
        <v>3.7847503362599454E-4</v>
      </c>
      <c r="H41" s="68" t="s">
        <v>119</v>
      </c>
      <c r="I41" s="68"/>
      <c r="J41" s="7"/>
    </row>
    <row r="42" spans="1:12" ht="13.5" x14ac:dyDescent="0.25">
      <c r="A42" s="63">
        <f t="shared" si="9"/>
        <v>10</v>
      </c>
      <c r="B42" s="67" t="str">
        <f>IFERROR(VLOOKUP(H42,[1]SEMIELABORADOS!$A$2:$M$6000,2,0),"")</f>
        <v>RELLENO DE LIMON SPOON KILO</v>
      </c>
      <c r="C42" s="64">
        <f t="shared" si="11"/>
        <v>10</v>
      </c>
      <c r="D42" s="65" t="str">
        <f>IFERROR(VLOOKUP(H42,[1]SEMIELABORADOS!$A$2:$M$6000,6,0),"")</f>
        <v>Gramo</v>
      </c>
      <c r="E42" s="65">
        <f>IFERROR(VLOOKUP(H42,[1]SEMIELABORADOS!$A$2:$M$65536,10,0),"")</f>
        <v>3.6674500000000001E-3</v>
      </c>
      <c r="F42" s="65">
        <f t="shared" si="12"/>
        <v>3.6674499999999999E-2</v>
      </c>
      <c r="G42" s="6">
        <f t="shared" si="10"/>
        <v>6.7703648329612353E-5</v>
      </c>
      <c r="H42" s="68" t="s">
        <v>41</v>
      </c>
      <c r="I42" s="68"/>
      <c r="J42" s="7"/>
    </row>
    <row r="43" spans="1:12" ht="13.5" x14ac:dyDescent="0.25">
      <c r="A43" s="63">
        <f t="shared" si="9"/>
        <v>15</v>
      </c>
      <c r="B43" s="67" t="str">
        <f>IFERROR(VLOOKUP(H43,[1]SEMIELABORADOS!$A$2:$M$6000,2,0),"")</f>
        <v>EMPAQUE RELLENO MELO CON TOPING KILO</v>
      </c>
      <c r="C43" s="64">
        <f>+A43</f>
        <v>15</v>
      </c>
      <c r="D43" s="65" t="str">
        <f>IFERROR(VLOOKUP(H43,[1]SEMIELABORADOS!$A$2:$M$6000,6,0),"")</f>
        <v>Gramo</v>
      </c>
      <c r="E43" s="65">
        <f>IFERROR(VLOOKUP(H43,[1]SEMIELABORADOS!$A$2:$M$65536,10,0),"")</f>
        <v>3.9077118168688715E-3</v>
      </c>
      <c r="F43" s="65">
        <f>IFERROR(E43*C43,"")</f>
        <v>5.8615677253033072E-2</v>
      </c>
      <c r="G43" s="6">
        <f t="shared" si="10"/>
        <v>1.0820856996936316E-4</v>
      </c>
      <c r="H43" s="68" t="s">
        <v>42</v>
      </c>
      <c r="I43" s="68"/>
      <c r="J43" s="7"/>
    </row>
    <row r="44" spans="1:12" ht="13.5" x14ac:dyDescent="0.25">
      <c r="A44" s="63">
        <f t="shared" si="9"/>
        <v>30</v>
      </c>
      <c r="B44" s="67" t="str">
        <f>IFERROR(VLOOKUP(H44,[1]SEMIELABORADOS!$A$2:$M$6000,2,0),"")</f>
        <v>CREMA CHANTILLY BLANCA SPOON-IND KILO</v>
      </c>
      <c r="C44" s="64">
        <f>+A44</f>
        <v>30</v>
      </c>
      <c r="D44" s="65" t="str">
        <f>IFERROR(VLOOKUP(H44,[1]SEMIELABORADOS!$A$2:$M$6000,6,0),"")</f>
        <v>Gramo</v>
      </c>
      <c r="E44" s="65">
        <f>IFERROR(VLOOKUP(H44,[1]SEMIELABORADOS!$A$2:$M$65536,10,0),"")</f>
        <v>2.7884615384615379E-5</v>
      </c>
      <c r="F44" s="65">
        <f>IFERROR(E44*C44,"")</f>
        <v>8.3653846153846137E-4</v>
      </c>
      <c r="G44" s="6">
        <f t="shared" si="10"/>
        <v>1.5443075110552274E-6</v>
      </c>
      <c r="H44" s="68" t="s">
        <v>43</v>
      </c>
      <c r="I44" s="68"/>
      <c r="J44" s="7"/>
    </row>
    <row r="45" spans="1:12" ht="13.5" x14ac:dyDescent="0.25">
      <c r="A45" s="63">
        <f t="shared" si="9"/>
        <v>10</v>
      </c>
      <c r="B45" s="67" t="str">
        <f>IFERROR(VLOOKUP(H45,[1]SEMIELABORADOS!$A$2:$M$6000,2,0),"")</f>
        <v>EMPAQUE TOPING MELO KILO</v>
      </c>
      <c r="C45" s="64">
        <f t="shared" si="11"/>
        <v>10</v>
      </c>
      <c r="D45" s="65" t="str">
        <f>IFERROR(VLOOKUP(H45,[1]SEMIELABORADOS!$A$2:$M$6000,6,0),"")</f>
        <v>Gramo</v>
      </c>
      <c r="E45" s="65">
        <f>IFERROR(VLOOKUP(H45,[1]SEMIELABORADOS!$A$2:$M$65536,10,0),"")</f>
        <v>1.8192522657452383E-2</v>
      </c>
      <c r="F45" s="65">
        <f t="shared" si="12"/>
        <v>0.18192522657452384</v>
      </c>
      <c r="G45" s="6">
        <f t="shared" si="10"/>
        <v>3.3584647540625256E-4</v>
      </c>
      <c r="H45" s="68" t="s">
        <v>44</v>
      </c>
      <c r="I45" s="68"/>
      <c r="J45" s="7"/>
    </row>
    <row r="46" spans="1:12" ht="13.5" x14ac:dyDescent="0.25">
      <c r="A46" s="63">
        <f t="shared" si="9"/>
        <v>0</v>
      </c>
      <c r="B46" s="67" t="str">
        <f>IFERROR(VLOOKUP(H46,[1]SEMIELABORADOS!$A$2:$M$6000,2,0),"")</f>
        <v/>
      </c>
      <c r="C46" s="64">
        <f t="shared" si="11"/>
        <v>0</v>
      </c>
      <c r="D46" s="65" t="str">
        <f>IFERROR(VLOOKUP(H46,[1]SEMIELABORADOS!$A$2:$M$6000,6,0),"")</f>
        <v/>
      </c>
      <c r="E46" s="65" t="str">
        <f>IFERROR(VLOOKUP(H46,[1]SEMIELABORADOS!$A$2:$M$65536,10,0),"")</f>
        <v/>
      </c>
      <c r="F46" s="65" t="str">
        <f t="shared" si="12"/>
        <v/>
      </c>
      <c r="G46" s="6" t="str">
        <f t="shared" si="10"/>
        <v/>
      </c>
      <c r="H46" s="68"/>
      <c r="I46" s="68"/>
      <c r="J46" s="7"/>
    </row>
    <row r="47" spans="1:12" ht="14.25" thickBot="1" x14ac:dyDescent="0.3">
      <c r="A47" s="63"/>
      <c r="B47" s="67"/>
      <c r="C47" s="64"/>
      <c r="D47" s="65"/>
      <c r="E47" s="65"/>
      <c r="F47" s="65"/>
      <c r="G47" s="6"/>
      <c r="H47" s="68"/>
      <c r="I47" s="68"/>
      <c r="J47" s="7"/>
    </row>
    <row r="48" spans="1:12" ht="26.25" thickBot="1" x14ac:dyDescent="0.25">
      <c r="A48" s="12" t="s">
        <v>51</v>
      </c>
      <c r="B48" s="13" t="s">
        <v>60</v>
      </c>
      <c r="C48" s="13" t="s">
        <v>51</v>
      </c>
      <c r="D48" s="14" t="s">
        <v>53</v>
      </c>
      <c r="E48" s="14" t="s">
        <v>54</v>
      </c>
      <c r="F48" s="14" t="s">
        <v>55</v>
      </c>
      <c r="G48" s="14" t="s">
        <v>56</v>
      </c>
      <c r="H48" s="15" t="s">
        <v>57</v>
      </c>
      <c r="I48" s="62"/>
      <c r="J48" s="7"/>
    </row>
    <row r="49" spans="1:17" ht="13.5" x14ac:dyDescent="0.25">
      <c r="A49" s="63">
        <f>+A40</f>
        <v>1</v>
      </c>
      <c r="B49" s="67" t="s">
        <v>39</v>
      </c>
      <c r="C49" s="64">
        <f>+A49</f>
        <v>1</v>
      </c>
      <c r="D49" s="65" t="s">
        <v>121</v>
      </c>
      <c r="E49" s="65">
        <v>4.0851339869281045</v>
      </c>
      <c r="F49" s="65">
        <f>IFERROR(E49*C49,"")</f>
        <v>4.0851339869281045</v>
      </c>
      <c r="G49" s="6">
        <f>IFERROR(F49/$F$71,"")</f>
        <v>7.5414381881232905E-3</v>
      </c>
      <c r="H49" s="68" t="s">
        <v>38</v>
      </c>
      <c r="I49" s="62"/>
      <c r="J49" s="7"/>
    </row>
    <row r="50" spans="1:17" ht="13.5" x14ac:dyDescent="0.25">
      <c r="A50" s="63">
        <f t="shared" ref="A50:A55" si="13">+A41</f>
        <v>20</v>
      </c>
      <c r="B50" s="67" t="str">
        <f>IFERROR(VLOOKUP(H50,[1]SEMIELABORADOS!$A$2:$M$6000,2,0),"")</f>
        <v>ALMIBAR KILO</v>
      </c>
      <c r="C50" s="64">
        <f t="shared" ref="C50:C55" si="14">+A50</f>
        <v>20</v>
      </c>
      <c r="D50" s="65" t="str">
        <f>IFERROR(VLOOKUP(H50,[1]SEMIELABORADOS!$A$2:$M$6000,6,0),"")</f>
        <v>Gramo</v>
      </c>
      <c r="E50" s="65">
        <f>IFERROR(VLOOKUP(H50,[1]SEMIELABORADOS!$A$2:$M$65536,12,0),"")</f>
        <v>6.0354056714541172E-2</v>
      </c>
      <c r="F50" s="65">
        <f t="shared" ref="F50:F55" si="15">IFERROR(E50*C50,"")</f>
        <v>1.2070811342908234</v>
      </c>
      <c r="G50" s="6">
        <f t="shared" ref="G50:G55" si="16">IFERROR(F50/$F$71,"")</f>
        <v>2.2283547593378366E-3</v>
      </c>
      <c r="H50" s="68" t="s">
        <v>119</v>
      </c>
      <c r="I50" s="62"/>
      <c r="J50" s="7"/>
      <c r="M50" s="71"/>
    </row>
    <row r="51" spans="1:17" ht="13.5" x14ac:dyDescent="0.25">
      <c r="A51" s="63">
        <f t="shared" si="13"/>
        <v>10</v>
      </c>
      <c r="B51" s="67" t="str">
        <f>IFERROR(VLOOKUP(H51,[1]SEMIELABORADOS!$A$2:$M$6000,2,0),"")</f>
        <v>RELLENO DE LIMON SPOON KILO</v>
      </c>
      <c r="C51" s="64">
        <f t="shared" si="14"/>
        <v>10</v>
      </c>
      <c r="D51" s="65" t="str">
        <f>IFERROR(VLOOKUP(H51,[1]SEMIELABORADOS!$A$2:$M$6000,6,0),"")</f>
        <v>Gramo</v>
      </c>
      <c r="E51" s="65">
        <f>IFERROR(VLOOKUP(H51,[1]SEMIELABORADOS!$A$2:$M$65536,12,0),"")</f>
        <v>0.33865554099999995</v>
      </c>
      <c r="F51" s="65">
        <f t="shared" si="15"/>
        <v>3.3865554099999997</v>
      </c>
      <c r="G51" s="6">
        <f t="shared" si="16"/>
        <v>6.2518141086418677E-3</v>
      </c>
      <c r="H51" s="68" t="s">
        <v>41</v>
      </c>
      <c r="I51" s="62"/>
      <c r="J51" s="7"/>
    </row>
    <row r="52" spans="1:17" ht="13.5" x14ac:dyDescent="0.25">
      <c r="A52" s="63">
        <f t="shared" si="13"/>
        <v>15</v>
      </c>
      <c r="B52" s="67" t="str">
        <f>IFERROR(VLOOKUP(H52,[1]SEMIELABORADOS!$A$2:$M$6000,2,0),"")</f>
        <v>EMPAQUE RELLENO MELO CON TOPING KILO</v>
      </c>
      <c r="C52" s="64">
        <f t="shared" si="14"/>
        <v>15</v>
      </c>
      <c r="D52" s="65" t="str">
        <f>IFERROR(VLOOKUP(H52,[1]SEMIELABORADOS!$A$2:$M$6000,6,0),"")</f>
        <v>Gramo</v>
      </c>
      <c r="E52" s="65">
        <f>IFERROR(VLOOKUP(H52,[1]SEMIELABORADOS!$A$2:$M$65536,12,0),"")</f>
        <v>0.65779269852360667</v>
      </c>
      <c r="F52" s="65">
        <f t="shared" si="15"/>
        <v>9.8668904778540991</v>
      </c>
      <c r="G52" s="6">
        <f t="shared" si="16"/>
        <v>1.8214958159468699E-2</v>
      </c>
      <c r="H52" s="68" t="s">
        <v>42</v>
      </c>
      <c r="I52" s="62"/>
      <c r="J52" s="7"/>
    </row>
    <row r="53" spans="1:17" ht="13.5" x14ac:dyDescent="0.25">
      <c r="A53" s="63">
        <f t="shared" si="13"/>
        <v>30</v>
      </c>
      <c r="B53" s="67" t="str">
        <f>IFERROR(VLOOKUP(H53,[1]SEMIELABORADOS!$A$2:$M$6000,2,0),"")</f>
        <v>CREMA CHANTILLY BLANCA SPOON-IND KILO</v>
      </c>
      <c r="C53" s="64">
        <f t="shared" si="14"/>
        <v>30</v>
      </c>
      <c r="D53" s="65" t="str">
        <f>IFERROR(VLOOKUP(H53,[1]SEMIELABORADOS!$A$2:$M$6000,6,0),"")</f>
        <v>Gramo</v>
      </c>
      <c r="E53" s="65">
        <f>IFERROR(VLOOKUP(H53,[1]SEMIELABORADOS!$A$2:$M$65536,12,0),"")</f>
        <v>0.41607800376923076</v>
      </c>
      <c r="F53" s="65">
        <f t="shared" si="15"/>
        <v>12.482340113076923</v>
      </c>
      <c r="G53" s="6">
        <f t="shared" si="16"/>
        <v>2.3043257995238483E-2</v>
      </c>
      <c r="H53" s="68" t="s">
        <v>43</v>
      </c>
      <c r="I53" s="62"/>
      <c r="J53" s="7"/>
    </row>
    <row r="54" spans="1:17" ht="13.5" x14ac:dyDescent="0.25">
      <c r="A54" s="63">
        <f t="shared" si="13"/>
        <v>10</v>
      </c>
      <c r="B54" s="67" t="str">
        <f>IFERROR(VLOOKUP(H54,[1]SEMIELABORADOS!$A$2:$M$6000,2,0),"")</f>
        <v>EMPAQUE TOPING MELO KILO</v>
      </c>
      <c r="C54" s="64">
        <f t="shared" si="14"/>
        <v>10</v>
      </c>
      <c r="D54" s="65" t="str">
        <f>IFERROR(VLOOKUP(H54,[1]SEMIELABORADOS!$A$2:$M$6000,6,0),"")</f>
        <v>Gramo</v>
      </c>
      <c r="E54" s="65">
        <f>IFERROR(VLOOKUP(H54,[1]SEMIELABORADOS!$A$2:$M$65536,12,0),"")</f>
        <v>0.39376142770218753</v>
      </c>
      <c r="F54" s="65">
        <f t="shared" si="15"/>
        <v>3.9376142770218752</v>
      </c>
      <c r="G54" s="6">
        <f t="shared" si="16"/>
        <v>7.2691066618263325E-3</v>
      </c>
      <c r="H54" s="68" t="s">
        <v>44</v>
      </c>
      <c r="I54" s="62"/>
      <c r="J54" s="7"/>
    </row>
    <row r="55" spans="1:17" ht="13.5" x14ac:dyDescent="0.25">
      <c r="A55" s="63">
        <f t="shared" si="13"/>
        <v>0</v>
      </c>
      <c r="B55" s="67" t="str">
        <f>IFERROR(VLOOKUP(H55,[1]SEMIELABORADOS!$A$2:$M$6000,2,0),"")</f>
        <v/>
      </c>
      <c r="C55" s="64">
        <f t="shared" si="14"/>
        <v>0</v>
      </c>
      <c r="D55" s="65" t="str">
        <f>IFERROR(VLOOKUP(H55,[1]SEMIELABORADOS!$A$2:$M$6000,6,0),"")</f>
        <v/>
      </c>
      <c r="E55" s="65" t="str">
        <f>IFERROR(VLOOKUP(H55,[1]SEMIELABORADOS!$A$2:$M$65536,12,0),"")</f>
        <v/>
      </c>
      <c r="F55" s="65" t="str">
        <f t="shared" si="15"/>
        <v/>
      </c>
      <c r="G55" s="6" t="str">
        <f t="shared" si="16"/>
        <v/>
      </c>
      <c r="H55" s="67"/>
      <c r="I55" s="62"/>
      <c r="J55" s="7"/>
    </row>
    <row r="56" spans="1:17" ht="13.5" x14ac:dyDescent="0.25">
      <c r="A56" s="63">
        <v>1</v>
      </c>
      <c r="B56" s="67" t="s">
        <v>61</v>
      </c>
      <c r="C56" s="64">
        <f>+A56</f>
        <v>1</v>
      </c>
      <c r="D56" s="64" t="s">
        <v>62</v>
      </c>
      <c r="E56" s="65">
        <f>+F70</f>
        <v>165</v>
      </c>
      <c r="F56" s="65">
        <f>IFERROR(C56*E56,"")</f>
        <v>165</v>
      </c>
      <c r="G56" s="6">
        <f>IFERROR(F56/$F$71,"")</f>
        <v>0.30460134355985874</v>
      </c>
      <c r="H56" s="72"/>
      <c r="I56" s="72"/>
      <c r="J56" s="7"/>
    </row>
    <row r="57" spans="1:17" ht="14.25" thickBot="1" x14ac:dyDescent="0.3">
      <c r="A57" s="63"/>
      <c r="B57" s="67"/>
      <c r="C57" s="64"/>
      <c r="D57" s="64"/>
      <c r="E57" s="65"/>
      <c r="F57" s="65"/>
      <c r="G57" s="6"/>
      <c r="H57" s="72"/>
      <c r="I57" s="72"/>
      <c r="J57" s="7"/>
    </row>
    <row r="58" spans="1:17" ht="13.5" thickBot="1" x14ac:dyDescent="0.25">
      <c r="A58" s="73"/>
      <c r="B58" s="351" t="s">
        <v>63</v>
      </c>
      <c r="C58" s="351"/>
      <c r="D58" s="351"/>
      <c r="E58" s="351"/>
      <c r="F58" s="75">
        <f>SUM(F8:F14,F17:F24)</f>
        <v>222.97369696449186</v>
      </c>
      <c r="G58" s="6">
        <f>+F58/$F$71</f>
        <v>0.41162477378116979</v>
      </c>
      <c r="H58" s="76">
        <f>+F58/$D$65</f>
        <v>222.97369696449186</v>
      </c>
      <c r="I58" s="76"/>
      <c r="J58" s="29"/>
      <c r="K58" s="30"/>
      <c r="L58" s="30"/>
      <c r="M58" s="30"/>
      <c r="N58" s="30"/>
      <c r="O58" s="30"/>
      <c r="P58" s="30"/>
      <c r="Q58" s="31"/>
    </row>
    <row r="59" spans="1:17" x14ac:dyDescent="0.2">
      <c r="A59" s="73"/>
      <c r="B59" s="351" t="s">
        <v>64</v>
      </c>
      <c r="C59" s="351"/>
      <c r="D59" s="351"/>
      <c r="E59" s="351"/>
      <c r="F59" s="75">
        <f>SUM(F27:F37,F40:F46)</f>
        <v>149.25846469983813</v>
      </c>
      <c r="G59" s="6">
        <f>+F59/$F$71</f>
        <v>0.27554138718334809</v>
      </c>
      <c r="H59" s="76">
        <f>+F59/$D$65</f>
        <v>149.25846469983813</v>
      </c>
      <c r="I59" s="76"/>
      <c r="J59" s="77"/>
      <c r="K59" s="355" t="s">
        <v>65</v>
      </c>
      <c r="L59" s="356"/>
      <c r="M59" s="356"/>
      <c r="N59" s="356"/>
      <c r="O59" s="78">
        <f>+F60</f>
        <v>372.23216166432996</v>
      </c>
      <c r="P59" s="78"/>
      <c r="Q59" s="32"/>
    </row>
    <row r="60" spans="1:17" x14ac:dyDescent="0.2">
      <c r="A60" s="73"/>
      <c r="B60" s="351" t="s">
        <v>66</v>
      </c>
      <c r="C60" s="351"/>
      <c r="D60" s="351"/>
      <c r="E60" s="351"/>
      <c r="F60" s="75">
        <f>+F58+F59</f>
        <v>372.23216166432996</v>
      </c>
      <c r="G60" s="6">
        <f>+F60/$F$71</f>
        <v>0.68716616096451788</v>
      </c>
      <c r="H60" s="76">
        <f>+F60/$D$65</f>
        <v>372.23216166432996</v>
      </c>
      <c r="I60" s="76"/>
      <c r="J60" s="33"/>
      <c r="K60" s="79"/>
      <c r="L60" s="346" t="s">
        <v>67</v>
      </c>
      <c r="M60" s="346"/>
      <c r="N60" s="346"/>
      <c r="O60" s="78">
        <f>+F61</f>
        <v>199.96561539917184</v>
      </c>
      <c r="P60" s="78"/>
      <c r="Q60" s="32"/>
    </row>
    <row r="61" spans="1:17" ht="13.5" thickBot="1" x14ac:dyDescent="0.25">
      <c r="A61" s="73"/>
      <c r="B61" s="74"/>
      <c r="C61" s="351" t="s">
        <v>68</v>
      </c>
      <c r="D61" s="351"/>
      <c r="E61" s="351"/>
      <c r="F61" s="75">
        <f>SUM(F49:F56)</f>
        <v>199.96561539917184</v>
      </c>
      <c r="G61" s="6">
        <f>+F61/$F$71</f>
        <v>0.36915027343249524</v>
      </c>
      <c r="H61" s="76">
        <f>+F61/$D$65</f>
        <v>199.96561539917184</v>
      </c>
      <c r="I61" s="76"/>
      <c r="J61" s="33"/>
      <c r="K61" s="79"/>
      <c r="L61" s="79"/>
      <c r="M61" s="79" t="s">
        <v>69</v>
      </c>
      <c r="N61" s="51">
        <v>0.01</v>
      </c>
      <c r="O61" s="78">
        <f>O59*N61</f>
        <v>3.7223216166432995</v>
      </c>
      <c r="P61" s="78"/>
      <c r="Q61" s="32"/>
    </row>
    <row r="62" spans="1:17" ht="13.5" thickBot="1" x14ac:dyDescent="0.25">
      <c r="A62" s="73"/>
      <c r="B62" s="80"/>
      <c r="C62" s="80"/>
      <c r="D62" s="80"/>
      <c r="E62" s="80"/>
      <c r="F62" s="81"/>
      <c r="G62" s="6"/>
      <c r="H62" s="82"/>
      <c r="I62" s="76"/>
      <c r="J62" s="33"/>
      <c r="K62" s="83"/>
      <c r="M62" s="84" t="s">
        <v>70</v>
      </c>
      <c r="N62" s="85"/>
      <c r="O62" s="86">
        <f>SUM(O59:O61)</f>
        <v>575.92009868014509</v>
      </c>
      <c r="P62" s="87"/>
      <c r="Q62" s="32"/>
    </row>
    <row r="63" spans="1:17" x14ac:dyDescent="0.2">
      <c r="B63" s="353" t="s">
        <v>71</v>
      </c>
      <c r="C63" s="353"/>
      <c r="D63" s="88">
        <v>115</v>
      </c>
      <c r="E63" s="89"/>
      <c r="G63" s="6"/>
      <c r="H63" s="82"/>
      <c r="I63" s="90"/>
      <c r="J63" s="33"/>
      <c r="K63" s="83"/>
      <c r="L63" s="79"/>
      <c r="M63" s="79" t="s">
        <v>72</v>
      </c>
      <c r="N63" s="20">
        <v>0.25</v>
      </c>
      <c r="O63" s="78">
        <f>+O62*N63</f>
        <v>143.98002467003627</v>
      </c>
      <c r="P63" s="78"/>
      <c r="Q63" s="32"/>
    </row>
    <row r="64" spans="1:17" x14ac:dyDescent="0.2">
      <c r="B64" s="353" t="s">
        <v>73</v>
      </c>
      <c r="C64" s="353"/>
      <c r="D64" s="91">
        <v>115</v>
      </c>
      <c r="E64" s="89"/>
      <c r="G64" s="6"/>
      <c r="H64" s="82"/>
      <c r="I64" s="90"/>
      <c r="J64" s="33"/>
      <c r="K64" s="83"/>
      <c r="L64" s="79"/>
      <c r="M64" s="346" t="s">
        <v>70</v>
      </c>
      <c r="N64" s="346"/>
      <c r="O64" s="78">
        <f>SUM(O62:O63)</f>
        <v>719.90012335018139</v>
      </c>
      <c r="P64" s="78"/>
      <c r="Q64" s="32"/>
    </row>
    <row r="65" spans="2:17" ht="13.5" thickBot="1" x14ac:dyDescent="0.25">
      <c r="B65" s="347" t="s">
        <v>74</v>
      </c>
      <c r="C65" s="347"/>
      <c r="D65" s="88">
        <f>+D63/D64</f>
        <v>1</v>
      </c>
      <c r="E65" s="89"/>
      <c r="F65" s="92"/>
      <c r="G65" s="6"/>
      <c r="H65" s="82"/>
      <c r="I65" s="90"/>
      <c r="J65" s="33"/>
      <c r="K65" s="83"/>
      <c r="L65" s="346" t="s">
        <v>75</v>
      </c>
      <c r="M65" s="346"/>
      <c r="N65" s="20">
        <v>0.05</v>
      </c>
      <c r="O65" s="78">
        <f>+O64*N65</f>
        <v>35.995006167509068</v>
      </c>
      <c r="P65" s="78"/>
      <c r="Q65" s="32"/>
    </row>
    <row r="66" spans="2:17" ht="13.5" thickBot="1" x14ac:dyDescent="0.25">
      <c r="B66" s="347" t="s">
        <v>76</v>
      </c>
      <c r="C66" s="347"/>
      <c r="D66" s="93"/>
      <c r="E66" s="89"/>
      <c r="F66" s="92"/>
      <c r="G66" s="6"/>
      <c r="H66" s="82"/>
      <c r="I66" s="90"/>
      <c r="J66" s="33"/>
      <c r="K66" s="348" t="s">
        <v>77</v>
      </c>
      <c r="L66" s="349"/>
      <c r="M66" s="349"/>
      <c r="N66" s="350"/>
      <c r="O66" s="86">
        <f>SUM(O64:O65)</f>
        <v>755.89512951769041</v>
      </c>
      <c r="P66" s="94" t="s">
        <v>78</v>
      </c>
      <c r="Q66" s="32"/>
    </row>
    <row r="67" spans="2:17" ht="13.5" thickBot="1" x14ac:dyDescent="0.25">
      <c r="C67" s="73" t="s">
        <v>79</v>
      </c>
      <c r="D67" s="45"/>
      <c r="E67" s="53" t="s">
        <v>80</v>
      </c>
      <c r="F67" s="95" t="s">
        <v>81</v>
      </c>
      <c r="G67" s="6"/>
      <c r="H67" s="82"/>
      <c r="I67" s="90"/>
      <c r="J67" s="36"/>
      <c r="K67" s="96"/>
      <c r="L67" s="336" t="s">
        <v>82</v>
      </c>
      <c r="M67" s="336"/>
      <c r="N67" s="336"/>
      <c r="O67" s="97">
        <f>+O66/D65</f>
        <v>755.89512951769041</v>
      </c>
      <c r="P67" s="98">
        <f>+O67/D64</f>
        <v>6.5730011262407864</v>
      </c>
      <c r="Q67" s="34"/>
    </row>
    <row r="68" spans="2:17" ht="13.5" thickBot="1" x14ac:dyDescent="0.25">
      <c r="B68" s="337" t="s">
        <v>66</v>
      </c>
      <c r="C68" s="337"/>
      <c r="D68" s="337"/>
      <c r="E68" s="8">
        <f>+F68/F68</f>
        <v>1</v>
      </c>
      <c r="F68" s="99">
        <f>SUM(F60)</f>
        <v>372.23216166432996</v>
      </c>
      <c r="G68" s="6">
        <f>+F68/$F$71</f>
        <v>0.68716616096451788</v>
      </c>
      <c r="H68" s="82"/>
      <c r="I68" s="90"/>
      <c r="K68" s="338"/>
      <c r="L68" s="339"/>
      <c r="M68" s="339"/>
      <c r="N68" s="339"/>
      <c r="O68" s="100"/>
      <c r="P68" s="37"/>
    </row>
    <row r="69" spans="2:17" ht="13.5" thickBot="1" x14ac:dyDescent="0.25">
      <c r="B69" s="340" t="s">
        <v>83</v>
      </c>
      <c r="C69" s="340"/>
      <c r="D69" s="340"/>
      <c r="E69" s="101">
        <v>0.02</v>
      </c>
      <c r="F69" s="99">
        <f>+F58*E69</f>
        <v>4.459473939289837</v>
      </c>
      <c r="G69" s="6">
        <f>+F69/$F$71</f>
        <v>8.2324954756233942E-3</v>
      </c>
      <c r="H69" s="76"/>
      <c r="I69" s="90"/>
      <c r="J69" s="35"/>
      <c r="O69" s="102"/>
      <c r="P69" s="74"/>
    </row>
    <row r="70" spans="2:17" ht="13.5" thickBot="1" x14ac:dyDescent="0.25">
      <c r="B70" s="341" t="s">
        <v>84</v>
      </c>
      <c r="C70" s="342"/>
      <c r="D70" s="49">
        <v>3</v>
      </c>
      <c r="E70" s="103">
        <v>55</v>
      </c>
      <c r="F70" s="99">
        <f>+E70*D70</f>
        <v>165</v>
      </c>
      <c r="G70" s="6">
        <f>+F70/$F$71</f>
        <v>0.30460134355985874</v>
      </c>
      <c r="H70" s="76"/>
      <c r="I70" s="76"/>
      <c r="J70" s="7"/>
    </row>
    <row r="71" spans="2:17" ht="13.5" thickBot="1" x14ac:dyDescent="0.25">
      <c r="B71" s="343" t="s">
        <v>85</v>
      </c>
      <c r="C71" s="344"/>
      <c r="D71" s="344"/>
      <c r="E71" s="345"/>
      <c r="F71" s="81">
        <f>SUM(F68:F70)</f>
        <v>541.69163560361983</v>
      </c>
      <c r="G71" s="6">
        <f>+F71/$F$71</f>
        <v>1</v>
      </c>
      <c r="H71" s="352"/>
      <c r="I71" s="76"/>
      <c r="J71" s="7"/>
    </row>
    <row r="72" spans="2:17" x14ac:dyDescent="0.2">
      <c r="C72" s="71"/>
      <c r="D72" s="71"/>
      <c r="E72" s="105"/>
      <c r="F72" s="99"/>
      <c r="G72" s="6"/>
      <c r="H72" s="352"/>
      <c r="I72" s="104"/>
      <c r="J72" s="55"/>
    </row>
    <row r="73" spans="2:17" ht="13.5" thickBot="1" x14ac:dyDescent="0.25">
      <c r="B73" s="331" t="s">
        <v>86</v>
      </c>
      <c r="C73" s="331"/>
      <c r="D73" s="331"/>
      <c r="E73" s="331"/>
      <c r="F73" s="331"/>
      <c r="G73" s="6"/>
      <c r="H73" s="9"/>
      <c r="I73" s="104"/>
      <c r="J73" s="55"/>
    </row>
    <row r="74" spans="2:17" ht="13.5" thickBot="1" x14ac:dyDescent="0.25">
      <c r="B74" s="107" t="s">
        <v>87</v>
      </c>
      <c r="C74" s="108">
        <f>+F58</f>
        <v>222.97369696449186</v>
      </c>
      <c r="D74" s="108">
        <f>+D63</f>
        <v>115</v>
      </c>
      <c r="E74" s="109">
        <f>+C74/D74</f>
        <v>1.9389017127347119</v>
      </c>
      <c r="F74" s="6"/>
      <c r="G74" s="9"/>
      <c r="H74" s="7"/>
      <c r="I74" s="9"/>
      <c r="J74" s="55"/>
    </row>
    <row r="75" spans="2:17" x14ac:dyDescent="0.2">
      <c r="B75" s="110"/>
      <c r="C75" s="111"/>
      <c r="D75" s="112"/>
      <c r="E75" s="99"/>
      <c r="F75" s="6"/>
      <c r="G75" s="9"/>
      <c r="H75" s="7"/>
      <c r="I75" s="7"/>
      <c r="J75" s="55"/>
    </row>
    <row r="76" spans="2:17" x14ac:dyDescent="0.2">
      <c r="B76" s="107" t="s">
        <v>88</v>
      </c>
      <c r="C76" s="108">
        <f>SUM(F68:F69)</f>
        <v>376.69163560361983</v>
      </c>
      <c r="D76" s="108">
        <f>+D63</f>
        <v>115</v>
      </c>
      <c r="E76" s="113">
        <f>+C76/D76</f>
        <v>3.2755794400314766</v>
      </c>
      <c r="F76" s="6"/>
      <c r="G76" s="9"/>
      <c r="H76" s="7"/>
      <c r="I76" s="7"/>
      <c r="J76" s="55"/>
    </row>
    <row r="77" spans="2:17" x14ac:dyDescent="0.2">
      <c r="B77" s="107"/>
      <c r="C77" s="108"/>
      <c r="D77" s="108"/>
      <c r="E77" s="113"/>
      <c r="F77" s="6"/>
      <c r="G77" s="9"/>
      <c r="H77" s="7"/>
      <c r="I77" s="7"/>
      <c r="J77" s="55"/>
    </row>
    <row r="78" spans="2:17" ht="13.5" thickBot="1" x14ac:dyDescent="0.25">
      <c r="B78" s="107" t="s">
        <v>89</v>
      </c>
      <c r="C78" s="108">
        <f>+F70</f>
        <v>165</v>
      </c>
      <c r="D78" s="108">
        <f>+D63</f>
        <v>115</v>
      </c>
      <c r="E78" s="113">
        <f>+C78/D78</f>
        <v>1.4347826086956521</v>
      </c>
      <c r="F78" s="6"/>
      <c r="G78" s="9"/>
      <c r="H78" s="7"/>
      <c r="I78" s="7"/>
      <c r="J78" s="55"/>
    </row>
    <row r="79" spans="2:17" ht="13.5" thickBot="1" x14ac:dyDescent="0.25">
      <c r="B79" s="107" t="s">
        <v>90</v>
      </c>
      <c r="C79" s="108">
        <f>+F61</f>
        <v>199.96561539917184</v>
      </c>
      <c r="D79" s="108">
        <f>+D78</f>
        <v>115</v>
      </c>
      <c r="E79" s="109">
        <f>+C79/D79</f>
        <v>1.7388314382536683</v>
      </c>
      <c r="F79" s="6"/>
      <c r="G79" s="9"/>
      <c r="H79" s="7"/>
      <c r="I79" s="7"/>
      <c r="J79" s="55"/>
    </row>
    <row r="80" spans="2:17" ht="13.5" thickBot="1" x14ac:dyDescent="0.25">
      <c r="B80" s="80"/>
      <c r="C80" s="81"/>
      <c r="D80" s="81"/>
      <c r="E80" s="113"/>
      <c r="F80" s="6"/>
      <c r="G80" s="9"/>
      <c r="H80" s="7"/>
      <c r="I80" s="7"/>
      <c r="J80" s="55"/>
    </row>
    <row r="81" spans="1:10" ht="13.5" thickBot="1" x14ac:dyDescent="0.25">
      <c r="B81" s="107" t="s">
        <v>91</v>
      </c>
      <c r="C81" s="108">
        <f>+F59</f>
        <v>149.25846469983813</v>
      </c>
      <c r="D81" s="108">
        <f>+D79</f>
        <v>115</v>
      </c>
      <c r="E81" s="109">
        <f>+C81/D81</f>
        <v>1.2978996930420708</v>
      </c>
      <c r="F81" s="6"/>
      <c r="G81" s="9"/>
      <c r="H81" s="7"/>
      <c r="I81" s="7"/>
      <c r="J81" s="7"/>
    </row>
    <row r="82" spans="1:10" ht="13.5" thickBot="1" x14ac:dyDescent="0.25">
      <c r="B82" s="80"/>
      <c r="C82" s="81"/>
      <c r="D82" s="81"/>
      <c r="E82" s="113"/>
      <c r="F82" s="6"/>
      <c r="G82" s="9"/>
      <c r="H82" s="7"/>
      <c r="I82" s="7"/>
    </row>
    <row r="83" spans="1:10" ht="13.5" thickBot="1" x14ac:dyDescent="0.25">
      <c r="B83" s="332" t="s">
        <v>92</v>
      </c>
      <c r="C83" s="333"/>
      <c r="D83" s="334"/>
      <c r="E83" s="109">
        <f>+E74+E79</f>
        <v>3.6777331509883799</v>
      </c>
      <c r="G83" s="6"/>
      <c r="H83" s="9"/>
      <c r="I83" s="7"/>
      <c r="J83" s="113"/>
    </row>
    <row r="84" spans="1:10" x14ac:dyDescent="0.2">
      <c r="I84" s="9"/>
      <c r="J84" s="55"/>
    </row>
    <row r="85" spans="1:10" ht="13.5" thickBot="1" x14ac:dyDescent="0.25">
      <c r="B85" s="331" t="s">
        <v>93</v>
      </c>
      <c r="C85" s="331"/>
      <c r="D85" s="331"/>
      <c r="E85" s="331"/>
      <c r="F85" s="331"/>
      <c r="G85" s="6"/>
      <c r="H85" s="9"/>
      <c r="J85" s="55"/>
    </row>
    <row r="86" spans="1:10" ht="13.5" thickBot="1" x14ac:dyDescent="0.25">
      <c r="B86" s="107" t="s">
        <v>87</v>
      </c>
      <c r="C86" s="108">
        <f>+C74</f>
        <v>222.97369696449186</v>
      </c>
      <c r="D86" s="108">
        <f>+D65</f>
        <v>1</v>
      </c>
      <c r="E86" s="109">
        <f>+C86/D86</f>
        <v>222.97369696449186</v>
      </c>
      <c r="F86" s="6"/>
      <c r="G86" s="9"/>
      <c r="H86" s="7"/>
      <c r="I86" s="9"/>
      <c r="J86" s="55"/>
    </row>
    <row r="87" spans="1:10" x14ac:dyDescent="0.2">
      <c r="B87" s="110"/>
      <c r="C87" s="111"/>
      <c r="D87" s="112"/>
      <c r="E87" s="99"/>
      <c r="F87" s="6"/>
      <c r="G87" s="9"/>
      <c r="H87" s="7"/>
      <c r="I87" s="7"/>
      <c r="J87" s="55"/>
    </row>
    <row r="88" spans="1:10" x14ac:dyDescent="0.2">
      <c r="B88" s="107" t="s">
        <v>88</v>
      </c>
      <c r="C88" s="108">
        <f>+C76</f>
        <v>376.69163560361983</v>
      </c>
      <c r="D88" s="108">
        <f>+D65</f>
        <v>1</v>
      </c>
      <c r="E88" s="113">
        <f>+C88/D88</f>
        <v>376.69163560361983</v>
      </c>
      <c r="F88" s="6"/>
      <c r="G88" s="9"/>
      <c r="H88" s="7"/>
      <c r="I88" s="7"/>
      <c r="J88" s="55"/>
    </row>
    <row r="89" spans="1:10" x14ac:dyDescent="0.2">
      <c r="B89" s="107"/>
      <c r="C89" s="108"/>
      <c r="D89" s="108"/>
      <c r="E89" s="113"/>
      <c r="F89" s="6"/>
      <c r="G89" s="9"/>
      <c r="H89" s="7"/>
      <c r="I89" s="7"/>
      <c r="J89" s="55"/>
    </row>
    <row r="90" spans="1:10" ht="13.5" thickBot="1" x14ac:dyDescent="0.25">
      <c r="B90" s="107" t="s">
        <v>90</v>
      </c>
      <c r="C90" s="108">
        <f>+C78</f>
        <v>165</v>
      </c>
      <c r="D90" s="108">
        <f>+D65</f>
        <v>1</v>
      </c>
      <c r="E90" s="113">
        <f>+C90/D90</f>
        <v>165</v>
      </c>
      <c r="F90" s="114"/>
      <c r="G90" s="106"/>
      <c r="H90" s="54"/>
      <c r="I90" s="7"/>
    </row>
    <row r="91" spans="1:10" ht="13.5" thickBot="1" x14ac:dyDescent="0.25">
      <c r="B91" s="107" t="s">
        <v>90</v>
      </c>
      <c r="C91" s="108">
        <f>+C79</f>
        <v>199.96561539917184</v>
      </c>
      <c r="D91" s="108">
        <f>+D90</f>
        <v>1</v>
      </c>
      <c r="E91" s="109">
        <f>+C91/D91</f>
        <v>199.96561539917184</v>
      </c>
      <c r="F91" s="10"/>
      <c r="G91" s="106"/>
      <c r="H91" s="54"/>
      <c r="I91" s="54"/>
    </row>
    <row r="92" spans="1:10" x14ac:dyDescent="0.2">
      <c r="I92" s="54"/>
    </row>
    <row r="93" spans="1:10" x14ac:dyDescent="0.2">
      <c r="A93" s="335"/>
      <c r="B93" s="335"/>
      <c r="C93" s="115"/>
      <c r="D93" s="115"/>
      <c r="E93" s="116"/>
      <c r="G93" s="11"/>
    </row>
    <row r="94" spans="1:10" x14ac:dyDescent="0.2">
      <c r="A94" s="67"/>
      <c r="B94" s="117"/>
      <c r="C94" s="118"/>
      <c r="D94" s="118"/>
      <c r="E94" s="119"/>
      <c r="G94" s="11"/>
    </row>
    <row r="95" spans="1:10" x14ac:dyDescent="0.2">
      <c r="A95" s="67"/>
      <c r="B95" s="117"/>
      <c r="C95" s="120"/>
      <c r="D95" s="120"/>
      <c r="E95" s="67"/>
      <c r="G95" s="11"/>
    </row>
    <row r="96" spans="1:10" x14ac:dyDescent="0.2">
      <c r="A96" s="67"/>
      <c r="B96" s="117"/>
      <c r="C96" s="121"/>
      <c r="D96" s="121"/>
      <c r="E96" s="67"/>
      <c r="G96" s="11"/>
    </row>
  </sheetData>
  <mergeCells count="31">
    <mergeCell ref="K28:L28"/>
    <mergeCell ref="B63:C63"/>
    <mergeCell ref="A4:H4"/>
    <mergeCell ref="K35:L35"/>
    <mergeCell ref="K68:N68"/>
    <mergeCell ref="B58:E58"/>
    <mergeCell ref="L67:N67"/>
    <mergeCell ref="A5:H5"/>
    <mergeCell ref="L60:N60"/>
    <mergeCell ref="M64:N64"/>
    <mergeCell ref="K34:L34"/>
    <mergeCell ref="K27:L27"/>
    <mergeCell ref="F6:G6"/>
    <mergeCell ref="B65:C65"/>
    <mergeCell ref="B60:E60"/>
    <mergeCell ref="K66:N66"/>
    <mergeCell ref="L65:M65"/>
    <mergeCell ref="K59:N59"/>
    <mergeCell ref="H71:H72"/>
    <mergeCell ref="C61:E61"/>
    <mergeCell ref="B64:C64"/>
    <mergeCell ref="B59:E59"/>
    <mergeCell ref="B69:D69"/>
    <mergeCell ref="B66:C66"/>
    <mergeCell ref="B68:D68"/>
    <mergeCell ref="A93:B93"/>
    <mergeCell ref="B73:F73"/>
    <mergeCell ref="B85:F85"/>
    <mergeCell ref="B71:E71"/>
    <mergeCell ref="B70:C70"/>
    <mergeCell ref="B83:D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117A-9B82-42F8-9AC6-AA49451AB98C}">
  <dimension ref="A1:AK43"/>
  <sheetViews>
    <sheetView topLeftCell="A4" workbookViewId="0">
      <selection activeCell="E6" sqref="E6"/>
    </sheetView>
  </sheetViews>
  <sheetFormatPr baseColWidth="10" defaultColWidth="8.42578125" defaultRowHeight="11.25" x14ac:dyDescent="0.2"/>
  <cols>
    <col min="1" max="1" width="7.5703125" style="122" customWidth="1"/>
    <col min="2" max="2" width="7.7109375" style="122" bestFit="1" customWidth="1"/>
    <col min="3" max="3" width="39.28515625" style="122" customWidth="1"/>
    <col min="4" max="4" width="10" style="122" bestFit="1" customWidth="1"/>
    <col min="5" max="5" width="9.42578125" style="122" bestFit="1" customWidth="1"/>
    <col min="6" max="6" width="11.7109375" style="145" customWidth="1"/>
    <col min="7" max="7" width="8.7109375" style="23" bestFit="1" customWidth="1"/>
    <col min="8" max="8" width="10.28515625" style="146" bestFit="1" customWidth="1"/>
    <col min="9" max="16384" width="8.42578125" style="122"/>
  </cols>
  <sheetData>
    <row r="1" spans="2:8" ht="36" customHeight="1" thickBot="1" x14ac:dyDescent="0.35">
      <c r="B1" s="362"/>
      <c r="C1" s="363"/>
      <c r="D1" s="363"/>
      <c r="E1" s="363"/>
      <c r="F1" s="363"/>
      <c r="G1" s="363"/>
      <c r="H1" s="364"/>
    </row>
    <row r="2" spans="2:8" ht="19.5" customHeight="1" thickBot="1" x14ac:dyDescent="0.25">
      <c r="B2" s="365" t="s">
        <v>94</v>
      </c>
      <c r="C2" s="365"/>
      <c r="D2" s="365"/>
      <c r="E2" s="365"/>
      <c r="F2" s="365"/>
      <c r="G2" s="365"/>
      <c r="H2" s="365"/>
    </row>
    <row r="3" spans="2:8" ht="19.5" customHeight="1" thickTop="1" x14ac:dyDescent="0.2">
      <c r="B3" s="366" t="s">
        <v>95</v>
      </c>
      <c r="C3" s="366"/>
      <c r="D3" s="366"/>
      <c r="E3" s="366"/>
      <c r="F3" s="366"/>
      <c r="G3" s="366"/>
      <c r="H3" s="366"/>
    </row>
    <row r="4" spans="2:8" ht="19.5" customHeight="1" x14ac:dyDescent="0.2">
      <c r="B4" s="123"/>
      <c r="C4" s="123"/>
      <c r="D4" s="123"/>
      <c r="E4" s="123"/>
      <c r="F4" s="367" t="s">
        <v>50</v>
      </c>
      <c r="G4" s="367"/>
      <c r="H4" s="61"/>
    </row>
    <row r="5" spans="2:8" ht="30" customHeight="1" x14ac:dyDescent="0.2">
      <c r="B5" s="24" t="s">
        <v>82</v>
      </c>
      <c r="C5" s="24" t="s">
        <v>52</v>
      </c>
      <c r="D5" s="24" t="s">
        <v>82</v>
      </c>
      <c r="E5" s="25" t="s">
        <v>96</v>
      </c>
      <c r="F5" s="25" t="s">
        <v>97</v>
      </c>
      <c r="G5" s="25" t="s">
        <v>98</v>
      </c>
      <c r="H5" s="25" t="s">
        <v>99</v>
      </c>
    </row>
    <row r="6" spans="2:8" s="26" customFormat="1" ht="20.100000000000001" customHeight="1" x14ac:dyDescent="0.2">
      <c r="B6" s="16">
        <v>1</v>
      </c>
      <c r="C6" s="26" t="s">
        <v>131</v>
      </c>
      <c r="D6" s="124">
        <f>+B6</f>
        <v>1</v>
      </c>
      <c r="E6" s="124">
        <v>212.78908097602314</v>
      </c>
      <c r="F6" s="125">
        <f>+D6*E6</f>
        <v>212.78908097602314</v>
      </c>
      <c r="G6" s="42">
        <f>+F6/$F$23</f>
        <v>0.32060352774718037</v>
      </c>
      <c r="H6" s="126" t="s">
        <v>100</v>
      </c>
    </row>
    <row r="7" spans="2:8" s="26" customFormat="1" ht="20.100000000000001" customHeight="1" x14ac:dyDescent="0.2">
      <c r="B7" s="16"/>
      <c r="D7" s="124"/>
      <c r="E7" s="124"/>
      <c r="F7" s="125"/>
      <c r="G7" s="42"/>
      <c r="H7" s="126"/>
    </row>
    <row r="8" spans="2:8" ht="30" customHeight="1" x14ac:dyDescent="0.2">
      <c r="B8" s="24" t="s">
        <v>82</v>
      </c>
      <c r="C8" s="24" t="s">
        <v>33</v>
      </c>
      <c r="D8" s="24" t="s">
        <v>82</v>
      </c>
      <c r="E8" s="25" t="s">
        <v>96</v>
      </c>
      <c r="F8" s="25" t="s">
        <v>97</v>
      </c>
      <c r="G8" s="25" t="s">
        <v>98</v>
      </c>
      <c r="H8" s="25" t="s">
        <v>99</v>
      </c>
    </row>
    <row r="9" spans="2:8" s="26" customFormat="1" ht="20.100000000000001" customHeight="1" x14ac:dyDescent="0.2">
      <c r="B9" s="16">
        <v>1</v>
      </c>
      <c r="C9" s="26" t="s">
        <v>101</v>
      </c>
      <c r="D9" s="124">
        <f>+B9</f>
        <v>1</v>
      </c>
      <c r="E9" s="124">
        <v>132.12829867394777</v>
      </c>
      <c r="F9" s="125">
        <f>+D9*E9</f>
        <v>132.12829867394777</v>
      </c>
      <c r="G9" s="42">
        <f>+F9/$F$23</f>
        <v>0.19907411825738333</v>
      </c>
      <c r="H9" s="126" t="s">
        <v>102</v>
      </c>
    </row>
    <row r="10" spans="2:8" s="127" customFormat="1" ht="17.25" customHeight="1" x14ac:dyDescent="0.2">
      <c r="B10" s="128"/>
      <c r="C10" s="129"/>
      <c r="D10" s="130"/>
      <c r="E10" s="130"/>
      <c r="F10" s="131"/>
      <c r="G10" s="43"/>
      <c r="H10" s="132"/>
    </row>
    <row r="11" spans="2:8" s="127" customFormat="1" ht="12" x14ac:dyDescent="0.2">
      <c r="B11" s="16"/>
      <c r="C11" s="346" t="s">
        <v>103</v>
      </c>
      <c r="D11" s="346"/>
      <c r="E11" s="124"/>
      <c r="F11" s="78">
        <f>SUM(F6)</f>
        <v>212.78908097602314</v>
      </c>
      <c r="G11" s="41">
        <f>+F11/$F$23</f>
        <v>0.32060352774718037</v>
      </c>
      <c r="H11" s="126"/>
    </row>
    <row r="12" spans="2:8" s="127" customFormat="1" ht="12.75" thickBot="1" x14ac:dyDescent="0.25">
      <c r="B12" s="16"/>
      <c r="C12" s="346" t="s">
        <v>104</v>
      </c>
      <c r="D12" s="346"/>
      <c r="E12" s="124"/>
      <c r="F12" s="133">
        <f>SUM(F9)</f>
        <v>132.12829867394777</v>
      </c>
      <c r="G12" s="41">
        <f>+F12/$F$23</f>
        <v>0.19907411825738333</v>
      </c>
      <c r="H12" s="126"/>
    </row>
    <row r="13" spans="2:8" s="127" customFormat="1" ht="12.75" thickTop="1" x14ac:dyDescent="0.2">
      <c r="B13" s="16"/>
      <c r="C13" s="349" t="s">
        <v>65</v>
      </c>
      <c r="D13" s="349"/>
      <c r="E13" s="349"/>
      <c r="F13" s="87">
        <f>SUM(F11:F12)</f>
        <v>344.91737964997094</v>
      </c>
      <c r="G13" s="41">
        <f>+F13/$F$23</f>
        <v>0.51967764600456379</v>
      </c>
      <c r="H13" s="126"/>
    </row>
    <row r="14" spans="2:8" s="127" customFormat="1" ht="12" x14ac:dyDescent="0.2">
      <c r="C14" s="83"/>
      <c r="D14" s="83"/>
      <c r="E14" s="134"/>
      <c r="F14" s="135"/>
      <c r="G14" s="41"/>
    </row>
    <row r="15" spans="2:8" s="127" customFormat="1" ht="12" x14ac:dyDescent="0.2">
      <c r="B15" s="346" t="s">
        <v>65</v>
      </c>
      <c r="C15" s="346"/>
      <c r="D15" s="346"/>
      <c r="E15" s="27" t="s">
        <v>105</v>
      </c>
      <c r="F15" s="78">
        <f>+F13</f>
        <v>344.91737964997094</v>
      </c>
      <c r="G15" s="41">
        <f t="shared" ref="G15:G23" si="0">+F15/$F$23</f>
        <v>0.51967764600456379</v>
      </c>
      <c r="H15" s="38"/>
    </row>
    <row r="16" spans="2:8" s="127" customFormat="1" ht="12.75" customHeight="1" thickBot="1" x14ac:dyDescent="0.25">
      <c r="B16" s="79"/>
      <c r="C16" s="346" t="s">
        <v>67</v>
      </c>
      <c r="D16" s="346"/>
      <c r="E16" s="44"/>
      <c r="F16" s="78">
        <v>173.10337913581344</v>
      </c>
      <c r="G16" s="41">
        <f t="shared" si="0"/>
        <v>0.26081015887348497</v>
      </c>
      <c r="H16" s="38"/>
    </row>
    <row r="17" spans="1:37" s="127" customFormat="1" ht="12.75" hidden="1" customHeight="1" x14ac:dyDescent="0.2">
      <c r="B17" s="79"/>
      <c r="C17" s="346" t="s">
        <v>106</v>
      </c>
      <c r="D17" s="346"/>
      <c r="E17" s="136">
        <v>0</v>
      </c>
      <c r="F17" s="78">
        <f>+(F15+F16)*E17</f>
        <v>0</v>
      </c>
      <c r="G17" s="41">
        <f t="shared" si="0"/>
        <v>0</v>
      </c>
      <c r="H17" s="38"/>
    </row>
    <row r="18" spans="1:37" s="127" customFormat="1" ht="12.75" hidden="1" thickBot="1" x14ac:dyDescent="0.25">
      <c r="B18" s="79"/>
      <c r="C18" s="346" t="s">
        <v>107</v>
      </c>
      <c r="D18" s="346"/>
      <c r="E18" s="136">
        <v>0</v>
      </c>
      <c r="F18" s="78">
        <f>+F16*E18</f>
        <v>0</v>
      </c>
      <c r="G18" s="41">
        <f t="shared" si="0"/>
        <v>0</v>
      </c>
      <c r="H18" s="38"/>
    </row>
    <row r="19" spans="1:37" s="127" customFormat="1" ht="12.75" thickBot="1" x14ac:dyDescent="0.25">
      <c r="B19" s="83"/>
      <c r="C19" s="368"/>
      <c r="D19" s="368"/>
      <c r="E19" s="369"/>
      <c r="F19" s="86">
        <f>SUM(F15:F18)</f>
        <v>518.02075878578444</v>
      </c>
      <c r="G19" s="52">
        <f>+F19/$F$21</f>
        <v>0.8</v>
      </c>
      <c r="H19" s="38"/>
    </row>
    <row r="20" spans="1:37" s="127" customFormat="1" ht="12" x14ac:dyDescent="0.2">
      <c r="B20" s="83"/>
      <c r="C20" s="346" t="s">
        <v>72</v>
      </c>
      <c r="D20" s="346"/>
      <c r="E20" s="20">
        <v>0.25</v>
      </c>
      <c r="F20" s="78">
        <f>+F19*E20</f>
        <v>129.50518969644611</v>
      </c>
      <c r="G20" s="41">
        <f t="shared" si="0"/>
        <v>0.1951219512195122</v>
      </c>
      <c r="H20" s="38"/>
    </row>
    <row r="21" spans="1:37" s="127" customFormat="1" ht="12" x14ac:dyDescent="0.2">
      <c r="B21" s="83"/>
      <c r="C21" s="346" t="s">
        <v>70</v>
      </c>
      <c r="D21" s="346"/>
      <c r="E21" s="346"/>
      <c r="F21" s="78">
        <f>SUM(F19:F20)</f>
        <v>647.52594848223055</v>
      </c>
      <c r="G21" s="41">
        <f t="shared" si="0"/>
        <v>0.97560975609756095</v>
      </c>
      <c r="H21" s="38"/>
    </row>
    <row r="22" spans="1:37" s="127" customFormat="1" ht="12.75" thickBot="1" x14ac:dyDescent="0.25">
      <c r="B22" s="83"/>
      <c r="C22" s="346" t="s">
        <v>75</v>
      </c>
      <c r="D22" s="346"/>
      <c r="E22" s="20">
        <v>2.5000000000000001E-2</v>
      </c>
      <c r="F22" s="78">
        <f>+F21*E22</f>
        <v>16.188148712055764</v>
      </c>
      <c r="G22" s="41">
        <f t="shared" si="0"/>
        <v>2.4390243902439025E-2</v>
      </c>
      <c r="H22" s="38"/>
    </row>
    <row r="23" spans="1:37" s="127" customFormat="1" ht="12.75" thickBot="1" x14ac:dyDescent="0.25">
      <c r="B23" s="83"/>
      <c r="C23" s="349" t="s">
        <v>77</v>
      </c>
      <c r="D23" s="349"/>
      <c r="E23" s="350"/>
      <c r="F23" s="86">
        <f>SUM(F21:F22)</f>
        <v>663.7140971942863</v>
      </c>
      <c r="G23" s="41">
        <f t="shared" si="0"/>
        <v>1</v>
      </c>
      <c r="H23" s="137"/>
    </row>
    <row r="24" spans="1:37" s="127" customFormat="1" ht="12.75" thickBot="1" x14ac:dyDescent="0.25">
      <c r="B24" s="83"/>
      <c r="C24" s="138"/>
      <c r="D24" s="138"/>
      <c r="E24" s="138"/>
      <c r="F24" s="87"/>
      <c r="G24" s="19"/>
      <c r="H24" s="137"/>
    </row>
    <row r="25" spans="1:37" s="28" customFormat="1" ht="19.5" customHeight="1" thickBot="1" x14ac:dyDescent="0.25">
      <c r="A25" s="370"/>
      <c r="B25" s="371"/>
      <c r="C25" s="371"/>
      <c r="D25" s="371"/>
      <c r="E25" s="371"/>
      <c r="F25" s="371"/>
      <c r="G25" s="371"/>
      <c r="H25" s="371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</row>
    <row r="26" spans="1:37" s="127" customFormat="1" ht="19.5" customHeight="1" thickBot="1" x14ac:dyDescent="0.25">
      <c r="F26" s="139"/>
      <c r="G26" s="18"/>
      <c r="H26" s="38"/>
    </row>
    <row r="27" spans="1:37" s="127" customFormat="1" ht="13.5" customHeight="1" thickBot="1" x14ac:dyDescent="0.25">
      <c r="B27" s="83"/>
      <c r="C27" s="349" t="s">
        <v>77</v>
      </c>
      <c r="D27" s="349"/>
      <c r="E27" s="350"/>
      <c r="F27" s="86">
        <f>+F23</f>
        <v>663.7140971942863</v>
      </c>
      <c r="H27" s="38"/>
    </row>
    <row r="28" spans="1:37" s="127" customFormat="1" ht="13.5" customHeight="1" x14ac:dyDescent="0.2">
      <c r="B28" s="83"/>
      <c r="C28" s="373" t="s">
        <v>108</v>
      </c>
      <c r="D28" s="373" t="s">
        <v>109</v>
      </c>
      <c r="E28" s="20">
        <v>0.1</v>
      </c>
      <c r="F28" s="140">
        <f>+F27*E28</f>
        <v>66.371409719428627</v>
      </c>
      <c r="G28" s="17" t="s">
        <v>110</v>
      </c>
      <c r="H28" s="38" t="s">
        <v>111</v>
      </c>
    </row>
    <row r="29" spans="1:37" s="127" customFormat="1" ht="13.5" customHeight="1" x14ac:dyDescent="0.2">
      <c r="B29" s="83"/>
      <c r="C29" s="376" t="s">
        <v>112</v>
      </c>
      <c r="D29" s="376"/>
      <c r="E29" s="376"/>
      <c r="F29" s="140">
        <f>SUM(F27:F28)</f>
        <v>730.08550691371488</v>
      </c>
      <c r="G29" s="17">
        <f>+F29/$F$31</f>
        <v>0.79999999999999993</v>
      </c>
      <c r="H29" s="50">
        <f>1-(F29/F31)</f>
        <v>0.20000000000000007</v>
      </c>
    </row>
    <row r="30" spans="1:37" s="127" customFormat="1" ht="12" x14ac:dyDescent="0.2">
      <c r="B30" s="129"/>
      <c r="C30" s="373" t="s">
        <v>113</v>
      </c>
      <c r="D30" s="373"/>
      <c r="E30" s="20">
        <v>0.25</v>
      </c>
      <c r="F30" s="78">
        <f>+F29*E30</f>
        <v>182.52137672842872</v>
      </c>
      <c r="G30" s="19"/>
      <c r="H30" s="141"/>
    </row>
    <row r="31" spans="1:37" s="127" customFormat="1" ht="12.75" thickBot="1" x14ac:dyDescent="0.25">
      <c r="B31" s="129"/>
      <c r="C31" s="377" t="s">
        <v>114</v>
      </c>
      <c r="D31" s="377"/>
      <c r="E31" s="147"/>
      <c r="F31" s="148">
        <f>SUM(F29:F30)</f>
        <v>912.60688364214366</v>
      </c>
      <c r="G31" s="19"/>
      <c r="H31" s="137"/>
    </row>
    <row r="32" spans="1:37" s="127" customFormat="1" ht="12.75" thickBot="1" x14ac:dyDescent="0.25">
      <c r="B32" s="129"/>
      <c r="C32" s="378" t="s">
        <v>115</v>
      </c>
      <c r="D32" s="378"/>
      <c r="E32" s="21">
        <v>0.13</v>
      </c>
      <c r="F32" s="39">
        <f>+F31*(1+E32)</f>
        <v>1031.2457785156223</v>
      </c>
      <c r="G32" s="19"/>
      <c r="H32" s="137"/>
    </row>
    <row r="33" spans="1:37" s="127" customFormat="1" ht="12.75" thickBot="1" x14ac:dyDescent="0.25">
      <c r="A33" s="370"/>
      <c r="B33" s="371"/>
      <c r="C33" s="371"/>
      <c r="D33" s="371"/>
      <c r="E33" s="371"/>
      <c r="F33" s="371"/>
      <c r="G33" s="371"/>
      <c r="H33" s="371"/>
    </row>
    <row r="34" spans="1:37" s="127" customFormat="1" ht="12" x14ac:dyDescent="0.2">
      <c r="B34" s="129"/>
      <c r="C34" s="372" t="s">
        <v>116</v>
      </c>
      <c r="D34" s="372"/>
      <c r="E34" s="40">
        <v>0.65</v>
      </c>
      <c r="F34" s="142">
        <f>+F31/0.65</f>
        <v>1404.0105902186824</v>
      </c>
      <c r="G34" s="19"/>
      <c r="H34" s="137"/>
    </row>
    <row r="35" spans="1:37" s="127" customFormat="1" ht="12" x14ac:dyDescent="0.2">
      <c r="B35" s="129"/>
      <c r="C35" s="373" t="s">
        <v>117</v>
      </c>
      <c r="D35" s="373"/>
      <c r="E35" s="40">
        <v>0.13</v>
      </c>
      <c r="F35" s="142">
        <f>+F34*1.13</f>
        <v>1586.531966947111</v>
      </c>
      <c r="G35" s="19"/>
      <c r="H35" s="137"/>
    </row>
    <row r="36" spans="1:37" s="127" customFormat="1" ht="12.75" thickBot="1" x14ac:dyDescent="0.25">
      <c r="C36" s="336"/>
      <c r="D36" s="336"/>
      <c r="F36" s="143"/>
      <c r="G36" s="22"/>
      <c r="H36" s="38"/>
    </row>
    <row r="37" spans="1:37" s="28" customFormat="1" ht="19.5" customHeight="1" thickBot="1" x14ac:dyDescent="0.3">
      <c r="A37" s="374" t="s">
        <v>118</v>
      </c>
      <c r="B37" s="375"/>
      <c r="C37" s="375"/>
      <c r="D37" s="375"/>
      <c r="E37" s="375"/>
      <c r="F37" s="375"/>
      <c r="G37" s="375"/>
      <c r="H37" s="375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</row>
    <row r="38" spans="1:37" s="127" customFormat="1" ht="12" x14ac:dyDescent="0.2">
      <c r="F38" s="144"/>
      <c r="G38" s="22"/>
      <c r="H38" s="38"/>
    </row>
    <row r="43" spans="1:37" ht="12" x14ac:dyDescent="0.2">
      <c r="H43" s="131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8A8D33-7AF9-413E-BE43-EB20EEC49C2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CD88FBB-9422-42E0-B045-55D63EF50AD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E834298-82FC-4BAA-B936-FCA3AD7C9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2C7723-ACF8-44BE-AB4F-3C3B6F5A9E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Costo Rosquete </vt:lpstr>
      <vt:lpstr>COSTO </vt:lpstr>
      <vt:lpstr>COSTEO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Mbeeche</dc:creator>
  <cp:lastModifiedBy>Miguel Coto Consultor</cp:lastModifiedBy>
  <cp:lastPrinted>2025-04-04T22:15:05Z</cp:lastPrinted>
  <dcterms:created xsi:type="dcterms:W3CDTF">2011-03-11T22:59:33Z</dcterms:created>
  <dcterms:modified xsi:type="dcterms:W3CDTF">2025-04-04T22:15:12Z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902600.000000000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
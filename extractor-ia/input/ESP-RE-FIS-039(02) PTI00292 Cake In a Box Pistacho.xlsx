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edepast.sharepoint.com/sites/Stargate/Carpetas compartidas/Recetas Movidas/RECETAS 2025 ACTUALIZADA/FIGURAS/SPOON/"/>
    </mc:Choice>
  </mc:AlternateContent>
  <xr:revisionPtr revIDLastSave="2" documentId="8_{03708643-BA81-48B2-8F08-A29C30AD5B9E}" xr6:coauthVersionLast="47" xr6:coauthVersionMax="47" xr10:uidLastSave="{158A50E1-B767-4DF1-B082-0D23807B165D}"/>
  <bookViews>
    <workbookView xWindow="-120" yWindow="-120" windowWidth="20730" windowHeight="11040" xr2:uid="{07482719-93D8-42A1-887A-C81E9C60AF41}"/>
  </bookViews>
  <sheets>
    <sheet name="Cake box Pistacho 2" sheetId="1" r:id="rId1"/>
  </sheets>
  <definedNames>
    <definedName name="_xlnm.Print_Area" localSheetId="0">'Cake box Pistacho 2'!$A$1:$I$48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 l="1"/>
  <c r="J35" i="1"/>
</calcChain>
</file>

<file path=xl/sharedStrings.xml><?xml version="1.0" encoding="utf-8"?>
<sst xmlns="http://schemas.openxmlformats.org/spreadsheetml/2006/main" count="113" uniqueCount="86">
  <si>
    <t>CONTROL DE CAMBIOS</t>
  </si>
  <si>
    <t xml:space="preserve">5, Tapar y etiquetar. </t>
  </si>
  <si>
    <t>PROCEDIMIENTO DE PREPARACION DE LA  RECETA</t>
  </si>
  <si>
    <t>g</t>
  </si>
  <si>
    <t>MERMA</t>
  </si>
  <si>
    <t>Otros</t>
  </si>
  <si>
    <t>PESO DE CADA PORCIÓN</t>
  </si>
  <si>
    <t>Temperatura de Horneo:</t>
  </si>
  <si>
    <t>Unidad</t>
  </si>
  <si>
    <t>CANTIDAD DE PORCIONES OBTENIDAS</t>
  </si>
  <si>
    <t>Horno:</t>
  </si>
  <si>
    <t>min</t>
  </si>
  <si>
    <t>TIEMPO TOTAL DE PREPARACION</t>
  </si>
  <si>
    <t>Tiempo de Horneo:</t>
  </si>
  <si>
    <t>PESO TOTAL OBTENIDO</t>
  </si>
  <si>
    <t>Cantidad</t>
  </si>
  <si>
    <t>ud</t>
  </si>
  <si>
    <t xml:space="preserve">Etiqueta Cake In a Box de Pistacho </t>
  </si>
  <si>
    <t>ETIPLAST</t>
  </si>
  <si>
    <t>ETIQ.FECHA VENCIMIENTO BLANCO</t>
  </si>
  <si>
    <t>EM10004</t>
  </si>
  <si>
    <t>ETIQUETA BLANCA R-153</t>
  </si>
  <si>
    <t>EM10124</t>
  </si>
  <si>
    <t>CEMUSA</t>
  </si>
  <si>
    <t>ETIQUETA BLANCA 2 5/8X1 15/16</t>
  </si>
  <si>
    <t>EM10011</t>
  </si>
  <si>
    <t>Empaque Cake In Box Cuadrado</t>
  </si>
  <si>
    <t>EM10500</t>
  </si>
  <si>
    <t>EMPAQUE</t>
  </si>
  <si>
    <t>FAS</t>
  </si>
  <si>
    <t>PISTACHO TOSTADO</t>
  </si>
  <si>
    <t>SE00738</t>
  </si>
  <si>
    <t xml:space="preserve">Salsa Suave de Pistacho </t>
  </si>
  <si>
    <t>SE00807</t>
  </si>
  <si>
    <t>DECORACION</t>
  </si>
  <si>
    <t xml:space="preserve">30g x capa </t>
  </si>
  <si>
    <t xml:space="preserve">Crema Pasionata Verde </t>
  </si>
  <si>
    <t>SE00808</t>
  </si>
  <si>
    <t xml:space="preserve">40g xcapa </t>
  </si>
  <si>
    <t>15g x rosquete</t>
  </si>
  <si>
    <t>Almibar</t>
  </si>
  <si>
    <t>SE00005</t>
  </si>
  <si>
    <t>ROSQUETE ARROLLADO 1000g</t>
  </si>
  <si>
    <t>SE00196</t>
  </si>
  <si>
    <t>907000042</t>
  </si>
  <si>
    <t>Ensamble</t>
  </si>
  <si>
    <t>Colones</t>
  </si>
  <si>
    <t xml:space="preserve">Unidad medida </t>
  </si>
  <si>
    <t xml:space="preserve">Costo - Referencia </t>
  </si>
  <si>
    <t>Medida alternativa</t>
  </si>
  <si>
    <t>Unidad Internacional</t>
  </si>
  <si>
    <t xml:space="preserve">Marca </t>
  </si>
  <si>
    <t>Descripción del ingrediente</t>
  </si>
  <si>
    <t># Código Netsuite</t>
  </si>
  <si>
    <t xml:space="preserve"># Código </t>
  </si>
  <si>
    <t>Figuras</t>
  </si>
  <si>
    <t xml:space="preserve">AREA QUE EMPACA: </t>
  </si>
  <si>
    <t xml:space="preserve">Figuras </t>
  </si>
  <si>
    <t>AREA QUE PRODUCE:</t>
  </si>
  <si>
    <t>Sebastian Díaz, Gte Manufactura</t>
  </si>
  <si>
    <t>Aprobado</t>
  </si>
  <si>
    <t>Mariela Barrantes Sánchez, Chef</t>
  </si>
  <si>
    <t>Elaborado</t>
  </si>
  <si>
    <t>FECHA DE APROBACIÓN:</t>
  </si>
  <si>
    <t xml:space="preserve">PTI00292 Cake In a Box Pistacho </t>
  </si>
  <si>
    <t>REVISIÓN:</t>
  </si>
  <si>
    <t>ESPECIFICACION DE RECETA</t>
  </si>
  <si>
    <t>CÓDIGO:</t>
  </si>
  <si>
    <t>SERVICIOS DE PASTELERIA S.A.</t>
  </si>
  <si>
    <t>ESP-RE-FIS-039</t>
  </si>
  <si>
    <t xml:space="preserve">1, Cortar el rosquete arrollado en 20 porciones, (4 cuadros de manera vertical y 15 cuadros de manera horizontal, 10,5cm x 10,5cm) quitandole excesos de los laterales. </t>
  </si>
  <si>
    <t>2, En cada empaque colocar un cuadrado de rosquete, humedecer con ayuda de una bolsa el almibar, colocar con ayuda de una bolsa la salsa suave de pistacho, con una manga la crema pasionata verde y el caramelo con chocolate blanco.</t>
  </si>
  <si>
    <t xml:space="preserve">3. Colocar otro rosquete, humedecer con ayuda de una bolsa el almibar, con una manga agregar la crema pasionata verde. </t>
  </si>
  <si>
    <t>4, Decorar con ayuda de una bolsa la salsa suave de pistacho en toda la superficie y colocar el pistacho tostado (de esquina a esquina)</t>
  </si>
  <si>
    <t>SE00720</t>
  </si>
  <si>
    <t>Procesado Caramelo con Chocolate Blanco</t>
  </si>
  <si>
    <t xml:space="preserve"> (1 sola capa)</t>
  </si>
  <si>
    <t xml:space="preserve">1 cucharada </t>
  </si>
  <si>
    <t>72g</t>
  </si>
  <si>
    <t xml:space="preserve">ud </t>
  </si>
  <si>
    <t>0.09</t>
  </si>
  <si>
    <t>2 Unidades  por postre de 36g cada ud</t>
  </si>
  <si>
    <t xml:space="preserve">8,4g </t>
  </si>
  <si>
    <t>2, Se convierte 1 una unidad, se actualiza dato de tiempo y datos de receta</t>
  </si>
  <si>
    <t>EM10520</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</si>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</sst>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_(* #,##0.000_);_(* \(#,##0.000\);_(* &quot;-&quot;??_);_(@_)"/>
  </numFmts>
  <fonts count="19" x14ac:knownFonts="1">
    <font>
      <sz val="11"/>
      <color theme="1"/>
      <name val="Aptos Narrow"/>
      <family val="2"/>
      <scheme val="minor"/>
    </font>
    <font>
      <sz val="11"/>
      <color theme="1"/>
      <name val="Aptos Narrow"/>
      <family val="2"/>
      <scheme val="minor"/>
    </font>
    <font>
      <sz val="12"/>
      <name val="Arial"/>
      <family val="2"/>
    </font>
    <font>
      <sz val="16"/>
      <name val="Arial"/>
      <family val="2"/>
    </font>
    <font>
      <b/>
      <sz val="16"/>
      <name val="Arial"/>
      <family val="2"/>
    </font>
    <font>
      <sz val="10"/>
      <name val="Arial"/>
      <family val="2"/>
    </font>
    <font>
      <sz val="16"/>
      <color theme="1"/>
      <name val="Arial"/>
      <family val="2"/>
    </font>
    <font>
      <sz val="16"/>
      <color indexed="8"/>
      <name val="Arial"/>
      <family val="2"/>
    </font>
    <font>
      <sz val="16"/>
      <color rgb="FF0070C0"/>
      <name val="Arial"/>
      <family val="2"/>
    </font>
    <font>
      <sz val="16"/>
      <color rgb="FF000000"/>
      <name val="Arial"/>
      <family val="2"/>
    </font>
    <font>
      <sz val="12"/>
      <color theme="1"/>
      <name val="Aptos Narrow"/>
      <family val="2"/>
      <scheme val="minor"/>
    </font>
    <font>
      <sz val="14"/>
      <name val="Times New Roman"/>
      <family val="1"/>
    </font>
    <font>
      <b/>
      <sz val="16"/>
      <color theme="1"/>
      <name val="Arial"/>
      <family val="2"/>
    </font>
    <font>
      <b/>
      <sz val="16"/>
      <color indexed="8"/>
      <name val="Arial"/>
      <family val="2"/>
    </font>
    <font>
      <b/>
      <sz val="12"/>
      <name val="Century Gothic"/>
      <family val="2"/>
    </font>
    <font>
      <b/>
      <sz val="12"/>
      <color rgb="FFFF0000"/>
      <name val="Arial"/>
      <family val="2"/>
    </font>
    <font>
      <b/>
      <sz val="12"/>
      <name val="Arial"/>
      <family val="2"/>
    </font>
    <font>
      <sz val="12"/>
      <name val="Century Gothic"/>
      <family val="2"/>
    </font>
    <font>
      <b/>
      <sz val="18"/>
      <name val="Century Gothic"/>
      <family val="2"/>
    </font>
  </fonts>
  <fills count="7">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indexed="22"/>
        <bgColor indexed="64"/>
      </patternFill>
    </fill>
    <fill>
      <patternFill patternType="solid">
        <fgColor theme="0"/>
        <bgColor indexed="64"/>
      </patternFill>
    </fill>
    <fill>
      <patternFill patternType="solid">
        <fgColor indexed="23"/>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diagonal/>
    </border>
    <border>
      <left/>
      <right style="thin">
        <color indexed="64"/>
      </right>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s>
  <cellStyleXfs count="4">
    <xf numFmtId="0" fontId="0" fillId="0" borderId="0"/>
    <xf numFmtId="0" fontId="2" fillId="0" borderId="0"/>
    <xf numFmtId="0" fontId="5" fillId="0" borderId="0"/>
    <xf numFmtId="43" fontId="1" fillId="0" borderId="0" applyFont="0" applyFill="0" applyBorder="0" applyAlignment="0" applyProtection="0"/>
  </cellStyleXfs>
  <cellXfs count="150">
    <xf numFmtId="0" fontId="0" fillId="0" borderId="0" xfId="0"/>
    <xf numFmtId="0" fontId="4" fillId="4" borderId="9" xfId="2" applyFont="1" applyFill="1" applyBorder="1" applyAlignment="1">
      <alignment horizontal="center"/>
    </xf>
    <xf numFmtId="0" fontId="3" fillId="0" borderId="13" xfId="0" applyFont="1" applyBorder="1" applyAlignment="1">
      <alignment horizontal="center"/>
    </xf>
    <xf numFmtId="1" fontId="3" fillId="0" borderId="13" xfId="0" applyNumberFormat="1" applyFont="1" applyBorder="1" applyAlignment="1">
      <alignment horizontal="center"/>
    </xf>
    <xf numFmtId="0" fontId="3" fillId="0" borderId="1" xfId="0" applyFont="1" applyBorder="1" applyAlignment="1">
      <alignment horizontal="center"/>
    </xf>
    <xf numFmtId="0" fontId="3" fillId="0" borderId="19" xfId="0" applyFont="1" applyBorder="1" applyAlignment="1">
      <alignment horizontal="center"/>
    </xf>
    <xf numFmtId="1" fontId="3" fillId="0" borderId="20" xfId="0" applyNumberFormat="1" applyFont="1" applyBorder="1" applyAlignment="1">
      <alignment horizontal="center"/>
    </xf>
    <xf numFmtId="0" fontId="3" fillId="4" borderId="8" xfId="2" applyFont="1" applyFill="1" applyBorder="1" applyAlignment="1">
      <alignment horizontal="center"/>
    </xf>
    <xf numFmtId="0" fontId="3" fillId="4" borderId="9" xfId="2" applyFont="1" applyFill="1" applyBorder="1"/>
    <xf numFmtId="164" fontId="3" fillId="4" borderId="9" xfId="2" applyNumberFormat="1" applyFont="1" applyFill="1" applyBorder="1" applyAlignment="1">
      <alignment horizontal="center" wrapText="1"/>
    </xf>
    <xf numFmtId="1" fontId="4" fillId="4" borderId="9" xfId="2" applyNumberFormat="1" applyFont="1" applyFill="1" applyBorder="1" applyAlignment="1">
      <alignment horizontal="center"/>
    </xf>
    <xf numFmtId="0" fontId="3" fillId="4" borderId="9" xfId="2" applyFont="1" applyFill="1" applyBorder="1" applyAlignment="1">
      <alignment horizontal="center"/>
    </xf>
    <xf numFmtId="0" fontId="3" fillId="4" borderId="10" xfId="2" applyFont="1" applyFill="1" applyBorder="1" applyAlignment="1">
      <alignment horizontal="center"/>
    </xf>
    <xf numFmtId="1" fontId="0" fillId="0" borderId="0" xfId="0" applyNumberFormat="1"/>
    <xf numFmtId="0" fontId="3" fillId="2" borderId="24" xfId="2" applyFont="1" applyFill="1" applyBorder="1" applyAlignment="1">
      <alignment horizontal="center"/>
    </xf>
    <xf numFmtId="0" fontId="3" fillId="2" borderId="0" xfId="2" applyFont="1" applyFill="1"/>
    <xf numFmtId="164" fontId="3" fillId="2" borderId="0" xfId="2" applyNumberFormat="1" applyFont="1" applyFill="1" applyAlignment="1">
      <alignment horizontal="center" wrapText="1"/>
    </xf>
    <xf numFmtId="1" fontId="3" fillId="2" borderId="0" xfId="2" applyNumberFormat="1" applyFont="1" applyFill="1" applyAlignment="1">
      <alignment horizontal="center"/>
    </xf>
    <xf numFmtId="49" fontId="7" fillId="2" borderId="0" xfId="2" applyNumberFormat="1" applyFont="1" applyFill="1" applyAlignment="1">
      <alignment horizontal="center" vertical="center"/>
    </xf>
    <xf numFmtId="49" fontId="7" fillId="2" borderId="25" xfId="2" applyNumberFormat="1" applyFont="1" applyFill="1" applyBorder="1" applyAlignment="1">
      <alignment horizontal="center" vertical="center"/>
    </xf>
    <xf numFmtId="0" fontId="3" fillId="0" borderId="26" xfId="2" applyFont="1" applyBorder="1" applyAlignment="1">
      <alignment horizontal="center"/>
    </xf>
    <xf numFmtId="0" fontId="3" fillId="0" borderId="1" xfId="2" applyFont="1" applyBorder="1" applyAlignment="1">
      <alignment horizontal="center"/>
    </xf>
    <xf numFmtId="1" fontId="3" fillId="0" borderId="1" xfId="2" applyNumberFormat="1" applyFont="1" applyBorder="1" applyAlignment="1">
      <alignment horizontal="center" wrapText="1"/>
    </xf>
    <xf numFmtId="49" fontId="3" fillId="0" borderId="1" xfId="2" applyNumberFormat="1" applyFont="1" applyBorder="1"/>
    <xf numFmtId="49" fontId="3" fillId="0" borderId="17" xfId="2" applyNumberFormat="1" applyFont="1" applyBorder="1" applyAlignment="1">
      <alignment horizontal="center"/>
    </xf>
    <xf numFmtId="49" fontId="3" fillId="0" borderId="27" xfId="2" applyNumberFormat="1" applyFont="1" applyBorder="1" applyAlignment="1">
      <alignment horizontal="center"/>
    </xf>
    <xf numFmtId="12" fontId="8" fillId="0" borderId="1" xfId="2" applyNumberFormat="1" applyFont="1" applyBorder="1" applyAlignment="1">
      <alignment horizontal="left"/>
    </xf>
    <xf numFmtId="1" fontId="3" fillId="0" borderId="1" xfId="2" applyNumberFormat="1" applyFont="1" applyBorder="1" applyAlignment="1">
      <alignment horizontal="center"/>
    </xf>
    <xf numFmtId="0" fontId="3" fillId="5" borderId="1" xfId="0" applyFont="1" applyFill="1" applyBorder="1" applyAlignment="1">
      <alignment horizontal="center" wrapText="1"/>
    </xf>
    <xf numFmtId="0" fontId="3" fillId="5" borderId="1" xfId="0" applyFont="1" applyFill="1" applyBorder="1" applyAlignment="1">
      <alignment horizontal="center"/>
    </xf>
    <xf numFmtId="0" fontId="3" fillId="5" borderId="1" xfId="0" applyFont="1" applyFill="1" applyBorder="1"/>
    <xf numFmtId="0" fontId="9" fillId="5" borderId="1" xfId="0" applyFont="1" applyFill="1" applyBorder="1" applyAlignment="1">
      <alignment horizontal="center"/>
    </xf>
    <xf numFmtId="1" fontId="4" fillId="0" borderId="1" xfId="2" applyNumberFormat="1" applyFont="1" applyBorder="1" applyAlignment="1">
      <alignment horizontal="center"/>
    </xf>
    <xf numFmtId="1" fontId="3" fillId="5" borderId="1" xfId="0" applyNumberFormat="1" applyFont="1" applyFill="1" applyBorder="1" applyAlignment="1">
      <alignment horizontal="center"/>
    </xf>
    <xf numFmtId="0" fontId="3" fillId="5" borderId="1" xfId="0" applyFont="1" applyFill="1" applyBorder="1" applyAlignment="1">
      <alignment horizontal="center" vertical="center"/>
    </xf>
    <xf numFmtId="0" fontId="3" fillId="0" borderId="1" xfId="0" applyFont="1" applyBorder="1"/>
    <xf numFmtId="1" fontId="3" fillId="0" borderId="1" xfId="0" applyNumberFormat="1" applyFont="1" applyBorder="1" applyAlignment="1">
      <alignment horizontal="center"/>
    </xf>
    <xf numFmtId="165" fontId="4" fillId="5" borderId="1" xfId="3" applyNumberFormat="1" applyFont="1" applyFill="1" applyBorder="1" applyAlignment="1">
      <alignment horizontal="center"/>
    </xf>
    <xf numFmtId="0" fontId="3" fillId="0" borderId="0" xfId="0" applyFont="1" applyAlignment="1">
      <alignment horizontal="center"/>
    </xf>
    <xf numFmtId="0" fontId="10" fillId="0" borderId="0" xfId="0" applyFont="1"/>
    <xf numFmtId="0" fontId="6" fillId="0" borderId="1" xfId="0" applyFont="1" applyBorder="1" applyAlignment="1">
      <alignment horizontal="center"/>
    </xf>
    <xf numFmtId="1" fontId="3" fillId="0" borderId="1" xfId="0" applyNumberFormat="1" applyFont="1" applyBorder="1" applyAlignment="1">
      <alignment horizontal="center" wrapText="1"/>
    </xf>
    <xf numFmtId="0" fontId="6" fillId="0" borderId="1" xfId="0" applyFont="1" applyBorder="1"/>
    <xf numFmtId="0" fontId="4" fillId="0" borderId="1" xfId="2" applyFont="1" applyBorder="1"/>
    <xf numFmtId="1" fontId="4" fillId="0" borderId="1" xfId="2" applyNumberFormat="1" applyFont="1" applyBorder="1" applyAlignment="1">
      <alignment horizontal="center" wrapText="1"/>
    </xf>
    <xf numFmtId="1" fontId="3" fillId="5" borderId="1" xfId="0" applyNumberFormat="1" applyFont="1" applyFill="1" applyBorder="1" applyAlignment="1">
      <alignment horizontal="center" wrapText="1"/>
    </xf>
    <xf numFmtId="16" fontId="3" fillId="5" borderId="1" xfId="0" applyNumberFormat="1" applyFont="1" applyFill="1" applyBorder="1" applyAlignment="1">
      <alignment horizontal="center"/>
    </xf>
    <xf numFmtId="0" fontId="6" fillId="5" borderId="1" xfId="0" applyFont="1" applyFill="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1" fontId="11" fillId="0" borderId="1" xfId="0" applyNumberFormat="1" applyFont="1" applyBorder="1" applyAlignment="1">
      <alignment horizontal="center"/>
    </xf>
    <xf numFmtId="0" fontId="12" fillId="0" borderId="1" xfId="0" applyFont="1" applyBorder="1" applyAlignment="1">
      <alignment horizontal="center"/>
    </xf>
    <xf numFmtId="16" fontId="3" fillId="5" borderId="1" xfId="2" applyNumberFormat="1" applyFont="1" applyFill="1" applyBorder="1" applyAlignment="1">
      <alignment horizontal="center"/>
    </xf>
    <xf numFmtId="0" fontId="4" fillId="0" borderId="1" xfId="2" applyFont="1" applyBorder="1" applyAlignment="1">
      <alignment horizontal="center" vertical="center"/>
    </xf>
    <xf numFmtId="0" fontId="13" fillId="0" borderId="1" xfId="2" applyFont="1" applyBorder="1" applyAlignment="1">
      <alignment vertical="center"/>
    </xf>
    <xf numFmtId="0" fontId="4" fillId="0" borderId="27" xfId="2" applyFont="1" applyBorder="1" applyAlignment="1">
      <alignment horizontal="center" vertical="center"/>
    </xf>
    <xf numFmtId="0" fontId="14" fillId="4" borderId="28" xfId="2" applyFont="1" applyFill="1" applyBorder="1" applyAlignment="1">
      <alignment horizontal="center"/>
    </xf>
    <xf numFmtId="1" fontId="14" fillId="4" borderId="13" xfId="2" applyNumberFormat="1" applyFont="1" applyFill="1" applyBorder="1" applyAlignment="1">
      <alignment horizontal="center" wrapText="1"/>
    </xf>
    <xf numFmtId="1" fontId="14" fillId="4" borderId="13" xfId="2" applyNumberFormat="1" applyFont="1" applyFill="1" applyBorder="1" applyAlignment="1">
      <alignment horizontal="center"/>
    </xf>
    <xf numFmtId="0" fontId="14" fillId="4" borderId="31" xfId="2" applyFont="1" applyFill="1" applyBorder="1" applyAlignment="1">
      <alignment horizontal="center" vertical="center" wrapText="1"/>
    </xf>
    <xf numFmtId="14" fontId="15" fillId="2" borderId="1" xfId="1" applyNumberFormat="1" applyFont="1" applyFill="1" applyBorder="1" applyAlignment="1">
      <alignment horizontal="center" vertical="center" wrapText="1"/>
    </xf>
    <xf numFmtId="0" fontId="17" fillId="2" borderId="1" xfId="1" applyFont="1" applyFill="1" applyBorder="1" applyAlignment="1">
      <alignment horizontal="right"/>
    </xf>
    <xf numFmtId="0" fontId="17" fillId="2" borderId="20" xfId="1" applyFont="1" applyFill="1" applyBorder="1" applyAlignment="1">
      <alignment horizontal="right"/>
    </xf>
    <xf numFmtId="49" fontId="17" fillId="2" borderId="26" xfId="1" applyNumberFormat="1" applyFont="1" applyFill="1" applyBorder="1" applyAlignment="1">
      <alignment horizontal="center"/>
    </xf>
    <xf numFmtId="0" fontId="14" fillId="2" borderId="1" xfId="1" applyFont="1" applyFill="1" applyBorder="1" applyAlignment="1">
      <alignment horizontal="right"/>
    </xf>
    <xf numFmtId="0" fontId="17" fillId="2" borderId="43" xfId="1" applyFont="1" applyFill="1" applyBorder="1" applyAlignment="1">
      <alignment horizontal="center"/>
    </xf>
    <xf numFmtId="0" fontId="14" fillId="2" borderId="32" xfId="1" applyFont="1" applyFill="1" applyBorder="1" applyAlignment="1">
      <alignment horizontal="right"/>
    </xf>
    <xf numFmtId="0" fontId="4" fillId="0" borderId="17" xfId="2" applyFont="1" applyBorder="1" applyAlignment="1">
      <alignment horizontal="center"/>
    </xf>
    <xf numFmtId="0" fontId="4" fillId="0" borderId="1" xfId="2" applyFont="1" applyBorder="1" applyAlignment="1">
      <alignment horizontal="center"/>
    </xf>
    <xf numFmtId="0" fontId="4" fillId="0" borderId="1" xfId="0" applyFont="1" applyBorder="1" applyAlignment="1">
      <alignment horizontal="center"/>
    </xf>
    <xf numFmtId="0" fontId="12" fillId="0" borderId="17" xfId="0" applyFont="1" applyBorder="1" applyAlignment="1">
      <alignment horizontal="center"/>
    </xf>
    <xf numFmtId="1" fontId="4" fillId="0" borderId="16" xfId="2" applyNumberFormat="1" applyFont="1" applyBorder="1" applyAlignment="1">
      <alignment horizontal="center"/>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4" fillId="4" borderId="10" xfId="2" applyFont="1" applyFill="1" applyBorder="1" applyAlignment="1">
      <alignment horizontal="center"/>
    </xf>
    <xf numFmtId="0" fontId="4" fillId="4" borderId="9" xfId="2" applyFont="1" applyFill="1" applyBorder="1" applyAlignment="1">
      <alignment horizontal="center"/>
    </xf>
    <xf numFmtId="0" fontId="4" fillId="4" borderId="8" xfId="2" applyFont="1" applyFill="1" applyBorder="1" applyAlignment="1">
      <alignment horizontal="center"/>
    </xf>
    <xf numFmtId="0" fontId="3" fillId="0" borderId="1" xfId="2" applyFont="1" applyBorder="1" applyAlignment="1">
      <alignment horizontal="left" wrapText="1"/>
    </xf>
    <xf numFmtId="0" fontId="6" fillId="0" borderId="1" xfId="0" applyFont="1" applyBorder="1" applyAlignment="1">
      <alignment horizontal="left"/>
    </xf>
    <xf numFmtId="0" fontId="4" fillId="0" borderId="15" xfId="2" applyFont="1" applyBorder="1" applyAlignment="1">
      <alignment horizontal="right"/>
    </xf>
    <xf numFmtId="0" fontId="4" fillId="0" borderId="14" xfId="2" applyFont="1" applyBorder="1" applyAlignment="1">
      <alignment horizontal="right"/>
    </xf>
    <xf numFmtId="0" fontId="4" fillId="0" borderId="13" xfId="2" applyFont="1" applyBorder="1" applyAlignment="1">
      <alignment horizontal="right"/>
    </xf>
    <xf numFmtId="0" fontId="3" fillId="0" borderId="13" xfId="2" applyFont="1" applyBorder="1" applyAlignment="1">
      <alignment horizontal="right"/>
    </xf>
    <xf numFmtId="164" fontId="3" fillId="0" borderId="12" xfId="2" applyNumberFormat="1" applyFont="1" applyBorder="1" applyAlignment="1">
      <alignment horizontal="center"/>
    </xf>
    <xf numFmtId="164" fontId="3" fillId="0" borderId="11" xfId="2" applyNumberFormat="1" applyFont="1" applyBorder="1" applyAlignment="1">
      <alignment horizontal="center"/>
    </xf>
    <xf numFmtId="0" fontId="4" fillId="0" borderId="7" xfId="2" applyFont="1" applyBorder="1" applyAlignment="1">
      <alignment horizontal="right"/>
    </xf>
    <xf numFmtId="0" fontId="4" fillId="0" borderId="5" xfId="2" applyFont="1" applyBorder="1" applyAlignment="1">
      <alignment horizontal="right"/>
    </xf>
    <xf numFmtId="0" fontId="4" fillId="0" borderId="17" xfId="2" applyFont="1" applyBorder="1" applyAlignment="1">
      <alignment horizontal="right"/>
    </xf>
    <xf numFmtId="0" fontId="3" fillId="0" borderId="1" xfId="2" applyFont="1" applyBorder="1" applyAlignment="1">
      <alignment horizontal="right"/>
    </xf>
    <xf numFmtId="164" fontId="3" fillId="0" borderId="16" xfId="2" applyNumberFormat="1" applyFont="1" applyBorder="1" applyAlignment="1">
      <alignment horizontal="center"/>
    </xf>
    <xf numFmtId="164" fontId="3" fillId="0" borderId="6" xfId="2" applyNumberFormat="1" applyFont="1" applyBorder="1" applyAlignment="1">
      <alignment horizontal="center"/>
    </xf>
    <xf numFmtId="0" fontId="4" fillId="0" borderId="23" xfId="2" applyFont="1" applyBorder="1" applyAlignment="1">
      <alignment horizontal="right"/>
    </xf>
    <xf numFmtId="0" fontId="4" fillId="0" borderId="22" xfId="2" applyFont="1" applyBorder="1" applyAlignment="1">
      <alignment horizontal="right"/>
    </xf>
    <xf numFmtId="0" fontId="4" fillId="0" borderId="21" xfId="2" applyFont="1" applyBorder="1" applyAlignment="1">
      <alignment horizontal="right"/>
    </xf>
    <xf numFmtId="164" fontId="3" fillId="0" borderId="20" xfId="2" applyNumberFormat="1" applyFont="1" applyBorder="1" applyAlignment="1">
      <alignment horizontal="right"/>
    </xf>
    <xf numFmtId="0" fontId="3" fillId="2" borderId="19" xfId="2" applyFont="1" applyFill="1" applyBorder="1" applyAlignment="1">
      <alignment horizontal="center"/>
    </xf>
    <xf numFmtId="0" fontId="3" fillId="2" borderId="18" xfId="2" applyFont="1" applyFill="1" applyBorder="1" applyAlignment="1">
      <alignment horizontal="center"/>
    </xf>
    <xf numFmtId="164" fontId="3" fillId="0" borderId="16" xfId="2" applyNumberFormat="1" applyFont="1" applyBorder="1" applyAlignment="1">
      <alignment horizontal="right" wrapText="1"/>
    </xf>
    <xf numFmtId="164" fontId="3" fillId="0" borderId="17" xfId="2" applyNumberFormat="1" applyFont="1" applyBorder="1" applyAlignment="1">
      <alignment horizontal="right" wrapText="1"/>
    </xf>
    <xf numFmtId="0" fontId="15" fillId="2" borderId="34" xfId="1" applyFont="1" applyFill="1" applyBorder="1" applyAlignment="1">
      <alignment horizontal="center"/>
    </xf>
    <xf numFmtId="0" fontId="16" fillId="2" borderId="0" xfId="1" applyFont="1" applyFill="1"/>
    <xf numFmtId="0" fontId="14" fillId="4" borderId="33" xfId="2" applyFont="1" applyFill="1" applyBorder="1" applyAlignment="1">
      <alignment horizontal="center" vertical="center"/>
    </xf>
    <xf numFmtId="0" fontId="14" fillId="4" borderId="15" xfId="2" applyFont="1" applyFill="1" applyBorder="1" applyAlignment="1">
      <alignment horizontal="center" vertical="center"/>
    </xf>
    <xf numFmtId="0" fontId="14" fillId="4" borderId="33" xfId="2" applyFont="1" applyFill="1" applyBorder="1" applyAlignment="1">
      <alignment horizontal="center" vertical="center" wrapText="1"/>
    </xf>
    <xf numFmtId="0" fontId="14" fillId="4" borderId="30" xfId="2" applyFont="1" applyFill="1" applyBorder="1" applyAlignment="1">
      <alignment horizontal="center" vertical="center" wrapText="1"/>
    </xf>
    <xf numFmtId="0" fontId="14" fillId="4" borderId="32" xfId="2" applyFont="1" applyFill="1" applyBorder="1" applyAlignment="1">
      <alignment horizontal="center" vertical="center"/>
    </xf>
    <xf numFmtId="0" fontId="14" fillId="4" borderId="29" xfId="2" applyFont="1" applyFill="1" applyBorder="1" applyAlignment="1">
      <alignment horizontal="center" vertical="center"/>
    </xf>
    <xf numFmtId="0" fontId="14" fillId="4" borderId="13" xfId="2" applyFont="1" applyFill="1" applyBorder="1" applyAlignment="1">
      <alignment horizontal="center" vertical="center"/>
    </xf>
    <xf numFmtId="0" fontId="4" fillId="3" borderId="1" xfId="1" applyFont="1" applyFill="1" applyBorder="1" applyAlignment="1">
      <alignment horizontal="center"/>
    </xf>
    <xf numFmtId="0" fontId="3" fillId="2" borderId="1" xfId="1" applyFont="1" applyFill="1" applyBorder="1" applyAlignment="1">
      <alignment horizontal="left"/>
    </xf>
    <xf numFmtId="14" fontId="17" fillId="2" borderId="41" xfId="1" applyNumberFormat="1" applyFont="1" applyFill="1" applyBorder="1" applyAlignment="1">
      <alignment horizontal="center" vertical="center" wrapText="1"/>
    </xf>
    <xf numFmtId="14" fontId="17" fillId="2" borderId="36" xfId="1" applyNumberFormat="1" applyFont="1" applyFill="1" applyBorder="1" applyAlignment="1">
      <alignment horizontal="center" vertical="center" wrapText="1"/>
    </xf>
    <xf numFmtId="14" fontId="17" fillId="2" borderId="31" xfId="1" applyNumberFormat="1" applyFont="1" applyFill="1" applyBorder="1" applyAlignment="1">
      <alignment horizontal="center" vertical="center" wrapText="1"/>
    </xf>
    <xf numFmtId="0" fontId="17" fillId="2" borderId="40" xfId="1" applyFont="1" applyFill="1" applyBorder="1" applyAlignment="1">
      <alignment horizontal="left"/>
    </xf>
    <xf numFmtId="0" fontId="17" fillId="2" borderId="39" xfId="1" applyFont="1" applyFill="1" applyBorder="1" applyAlignment="1">
      <alignment horizontal="left"/>
    </xf>
    <xf numFmtId="0" fontId="17" fillId="2" borderId="38" xfId="1" applyFont="1" applyFill="1" applyBorder="1" applyAlignment="1">
      <alignment horizontal="left"/>
    </xf>
    <xf numFmtId="0" fontId="17" fillId="2" borderId="16" xfId="1" applyFont="1" applyFill="1" applyBorder="1" applyAlignment="1">
      <alignment horizontal="left"/>
    </xf>
    <xf numFmtId="0" fontId="17" fillId="2" borderId="5" xfId="1" applyFont="1" applyFill="1" applyBorder="1" applyAlignment="1">
      <alignment horizontal="left"/>
    </xf>
    <xf numFmtId="0" fontId="17" fillId="2" borderId="17" xfId="1" applyFont="1" applyFill="1" applyBorder="1" applyAlignment="1">
      <alignment horizontal="left"/>
    </xf>
    <xf numFmtId="0" fontId="17" fillId="2" borderId="45" xfId="1" applyFont="1" applyFill="1" applyBorder="1" applyAlignment="1">
      <alignment horizontal="center"/>
    </xf>
    <xf numFmtId="0" fontId="17" fillId="2" borderId="44" xfId="1" applyFont="1" applyFill="1" applyBorder="1" applyAlignment="1">
      <alignment horizontal="center"/>
    </xf>
    <xf numFmtId="0" fontId="17" fillId="2" borderId="25" xfId="1" applyFont="1" applyFill="1" applyBorder="1" applyAlignment="1">
      <alignment horizontal="center"/>
    </xf>
    <xf numFmtId="0" fontId="17" fillId="2" borderId="0" xfId="1" applyFont="1" applyFill="1" applyAlignment="1">
      <alignment horizontal="center"/>
    </xf>
    <xf numFmtId="0" fontId="17" fillId="2" borderId="23" xfId="1" applyFont="1" applyFill="1" applyBorder="1" applyAlignment="1">
      <alignment horizontal="center"/>
    </xf>
    <xf numFmtId="0" fontId="17" fillId="2" borderId="22" xfId="1" applyFont="1" applyFill="1" applyBorder="1" applyAlignment="1">
      <alignment horizontal="center"/>
    </xf>
    <xf numFmtId="0" fontId="14" fillId="2" borderId="32" xfId="1" applyFont="1" applyFill="1" applyBorder="1" applyAlignment="1">
      <alignment horizontal="center"/>
    </xf>
    <xf numFmtId="0" fontId="14" fillId="2" borderId="29" xfId="1" applyFont="1" applyFill="1" applyBorder="1" applyAlignment="1">
      <alignment horizontal="center"/>
    </xf>
    <xf numFmtId="0" fontId="18" fillId="6" borderId="10" xfId="1" applyFont="1" applyFill="1" applyBorder="1" applyAlignment="1">
      <alignment horizontal="center" vertical="center" wrapText="1"/>
    </xf>
    <xf numFmtId="0" fontId="18" fillId="6" borderId="9" xfId="1" applyFont="1" applyFill="1" applyBorder="1" applyAlignment="1">
      <alignment horizontal="center" vertical="center" wrapText="1"/>
    </xf>
    <xf numFmtId="0" fontId="18" fillId="6" borderId="8" xfId="1" applyFont="1" applyFill="1" applyBorder="1" applyAlignment="1">
      <alignment horizontal="center" vertical="center" wrapText="1"/>
    </xf>
    <xf numFmtId="0" fontId="14" fillId="2" borderId="42" xfId="1" applyFont="1" applyFill="1" applyBorder="1" applyAlignment="1">
      <alignment horizontal="right" vertical="top" wrapText="1"/>
    </xf>
    <xf numFmtId="0" fontId="14" fillId="2" borderId="37" xfId="1" applyFont="1" applyFill="1" applyBorder="1" applyAlignment="1">
      <alignment horizontal="right" vertical="top" wrapText="1"/>
    </xf>
    <xf numFmtId="0" fontId="14" fillId="2" borderId="35" xfId="1" applyFont="1" applyFill="1" applyBorder="1" applyAlignment="1">
      <alignment horizontal="right" vertical="top" wrapText="1"/>
    </xf>
    <xf numFmtId="0" fontId="16" fillId="2" borderId="0" xfId="1" applyFont="1" applyFill="1" applyAlignment="1">
      <alignment horizontal="right"/>
    </xf>
    <xf numFmtId="49" fontId="7" fillId="5" borderId="1" xfId="2" applyNumberFormat="1" applyFont="1" applyFill="1" applyBorder="1" applyAlignment="1">
      <alignment horizontal="center"/>
    </xf>
    <xf numFmtId="0" fontId="7" fillId="0" borderId="1" xfId="2" applyFont="1" applyBorder="1" applyAlignment="1">
      <alignment horizontal="left" wrapText="1"/>
    </xf>
    <xf numFmtId="16" fontId="3" fillId="0" borderId="1" xfId="2" applyNumberFormat="1" applyFont="1" applyBorder="1" applyAlignment="1">
      <alignment horizontal="center"/>
    </xf>
    <xf numFmtId="1" fontId="3" fillId="0" borderId="1" xfId="0" applyNumberFormat="1" applyFont="1" applyBorder="1" applyAlignment="1">
      <alignment horizontal="center" vertical="center" wrapText="1"/>
    </xf>
    <xf numFmtId="1" fontId="3" fillId="0" borderId="19" xfId="2" applyNumberFormat="1" applyFont="1" applyBorder="1" applyAlignment="1">
      <alignment horizontal="center"/>
    </xf>
    <xf numFmtId="0" fontId="6" fillId="0" borderId="20" xfId="0" applyFont="1" applyBorder="1" applyAlignment="1">
      <alignment horizontal="center" wrapText="1"/>
    </xf>
    <xf numFmtId="0" fontId="6" fillId="0" borderId="19" xfId="0" applyFont="1" applyBorder="1" applyAlignment="1">
      <alignment horizontal="center"/>
    </xf>
    <xf numFmtId="0" fontId="3" fillId="2" borderId="1" xfId="2" applyFont="1" applyFill="1" applyBorder="1" applyAlignment="1">
      <alignment horizontal="center"/>
    </xf>
    <xf numFmtId="0" fontId="3" fillId="0" borderId="17" xfId="2" applyFont="1" applyBorder="1" applyAlignment="1">
      <alignment horizontal="center"/>
    </xf>
    <xf numFmtId="0" fontId="3" fillId="0" borderId="1" xfId="2" applyFont="1" applyBorder="1"/>
    <xf numFmtId="0" fontId="6" fillId="0" borderId="17" xfId="0" applyFont="1" applyBorder="1" applyAlignment="1">
      <alignment horizontal="center"/>
    </xf>
    <xf numFmtId="1" fontId="3" fillId="0" borderId="16" xfId="2" applyNumberFormat="1" applyFont="1" applyBorder="1" applyAlignment="1">
      <alignment horizontal="center"/>
    </xf>
    <xf numFmtId="49" fontId="13" fillId="5" borderId="1" xfId="2" applyNumberFormat="1" applyFont="1" applyFill="1" applyBorder="1" applyAlignment="1">
      <alignment horizontal="center"/>
    </xf>
    <xf numFmtId="0" fontId="13" fillId="0" borderId="1" xfId="2" applyFont="1" applyBorder="1" applyAlignment="1">
      <alignment horizontal="left" wrapText="1"/>
    </xf>
    <xf numFmtId="16" fontId="4" fillId="0" borderId="1" xfId="2" applyNumberFormat="1" applyFont="1" applyBorder="1" applyAlignment="1">
      <alignment horizontal="center"/>
    </xf>
  </cellXfs>
  <cellStyles count="4">
    <cellStyle name="Millares 2" xfId="3" xr:uid="{ABC97FD8-D48F-40E8-9AF2-43EFBE86386D}"/>
    <cellStyle name="Normal" xfId="0" builtinId="0"/>
    <cellStyle name="Normal 2" xfId="2" xr:uid="{031C3533-3A3E-4320-8B03-861A9C52DD89}"/>
    <cellStyle name="Normal_CRITERIOS DE EVALUACION PT DE GB 2" xfId="1" xr:uid="{E634575D-8691-401B-8526-5CCED7BFEB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35718</xdr:colOff>
      <xdr:row>0</xdr:row>
      <xdr:rowOff>202405</xdr:rowOff>
    </xdr:from>
    <xdr:ext cx="2000250" cy="903541"/>
    <xdr:pic>
      <xdr:nvPicPr>
        <xdr:cNvPr id="2" name="Imagen 1" descr="Icono&#10;&#10;Descripción generada automáticamente con confianza media">
          <a:extLst>
            <a:ext uri="{FF2B5EF4-FFF2-40B4-BE49-F238E27FC236}">
              <a16:creationId xmlns:a16="http://schemas.microsoft.com/office/drawing/2014/main" id="{B58A60C9-5522-46E6-B55D-968C5E8177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718" y="192880"/>
          <a:ext cx="2000250" cy="9035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6C40F-FA7E-4EAC-951E-BEFE7C378B63}">
  <sheetPr>
    <pageSetUpPr fitToPage="1"/>
  </sheetPr>
  <dimension ref="A1:K48"/>
  <sheetViews>
    <sheetView tabSelected="1" zoomScale="80" zoomScaleNormal="80" workbookViewId="0">
      <selection activeCell="C1" sqref="C1:G1"/>
    </sheetView>
  </sheetViews>
  <sheetFormatPr baseColWidth="10" defaultRowHeight="15" x14ac:dyDescent="0.25"/>
  <cols>
    <col min="1" max="1" width="16.85546875" bestFit="1" customWidth="1"/>
    <col min="2" max="2" width="15.140625" customWidth="1"/>
    <col min="3" max="3" width="53.85546875" bestFit="1" customWidth="1"/>
    <col min="4" max="4" width="15" customWidth="1"/>
    <col min="5" max="5" width="15.42578125" customWidth="1"/>
    <col min="6" max="6" width="13.5703125" customWidth="1"/>
    <col min="7" max="8" width="20.42578125" customWidth="1"/>
    <col min="9" max="9" width="16.28515625" customWidth="1"/>
  </cols>
  <sheetData>
    <row r="1" spans="1:10" ht="17.25" x14ac:dyDescent="0.3">
      <c r="A1" s="120"/>
      <c r="B1" s="121"/>
      <c r="C1" s="126" t="s">
        <v>68</v>
      </c>
      <c r="D1" s="126"/>
      <c r="E1" s="126"/>
      <c r="F1" s="126"/>
      <c r="G1" s="126"/>
      <c r="H1" s="66" t="s">
        <v>67</v>
      </c>
      <c r="I1" s="65" t="s">
        <v>69</v>
      </c>
    </row>
    <row r="2" spans="1:10" ht="18" thickBot="1" x14ac:dyDescent="0.35">
      <c r="A2" s="122"/>
      <c r="B2" s="123"/>
      <c r="C2" s="127" t="s">
        <v>66</v>
      </c>
      <c r="D2" s="127"/>
      <c r="E2" s="127"/>
      <c r="F2" s="127"/>
      <c r="G2" s="127"/>
      <c r="H2" s="64" t="s">
        <v>65</v>
      </c>
      <c r="I2" s="63" t="s">
        <v>85</v>
      </c>
    </row>
    <row r="3" spans="1:10" ht="30.75" customHeight="1" thickBot="1" x14ac:dyDescent="0.3">
      <c r="A3" s="122"/>
      <c r="B3" s="123"/>
      <c r="C3" s="128" t="s">
        <v>64</v>
      </c>
      <c r="D3" s="129"/>
      <c r="E3" s="129"/>
      <c r="F3" s="129"/>
      <c r="G3" s="130"/>
      <c r="H3" s="131" t="s">
        <v>63</v>
      </c>
      <c r="I3" s="111">
        <v>46063</v>
      </c>
    </row>
    <row r="4" spans="1:10" ht="17.25" x14ac:dyDescent="0.3">
      <c r="A4" s="122"/>
      <c r="B4" s="123"/>
      <c r="C4" s="62" t="s">
        <v>62</v>
      </c>
      <c r="D4" s="114" t="s">
        <v>61</v>
      </c>
      <c r="E4" s="115"/>
      <c r="F4" s="115"/>
      <c r="G4" s="116"/>
      <c r="H4" s="132"/>
      <c r="I4" s="112"/>
    </row>
    <row r="5" spans="1:10" ht="18" thickBot="1" x14ac:dyDescent="0.35">
      <c r="A5" s="124"/>
      <c r="B5" s="125"/>
      <c r="C5" s="61" t="s">
        <v>60</v>
      </c>
      <c r="D5" s="117" t="s">
        <v>59</v>
      </c>
      <c r="E5" s="118"/>
      <c r="F5" s="118"/>
      <c r="G5" s="119"/>
      <c r="H5" s="133"/>
      <c r="I5" s="113"/>
    </row>
    <row r="6" spans="1:10" ht="16.5" thickBot="1" x14ac:dyDescent="0.3">
      <c r="A6" s="134" t="s">
        <v>58</v>
      </c>
      <c r="B6" s="134"/>
      <c r="C6" s="134"/>
      <c r="D6" s="100" t="s">
        <v>57</v>
      </c>
      <c r="E6" s="100"/>
      <c r="F6" s="100"/>
      <c r="G6" s="101" t="s">
        <v>56</v>
      </c>
      <c r="H6" s="101"/>
      <c r="I6" s="60" t="s">
        <v>55</v>
      </c>
    </row>
    <row r="7" spans="1:10" ht="32.25" customHeight="1" x14ac:dyDescent="0.25">
      <c r="A7" s="102" t="s">
        <v>54</v>
      </c>
      <c r="B7" s="104" t="s">
        <v>53</v>
      </c>
      <c r="C7" s="106" t="s">
        <v>52</v>
      </c>
      <c r="D7" s="106" t="s">
        <v>51</v>
      </c>
      <c r="E7" s="106" t="s">
        <v>50</v>
      </c>
      <c r="F7" s="106"/>
      <c r="G7" s="106" t="s">
        <v>49</v>
      </c>
      <c r="H7" s="106"/>
      <c r="I7" s="59" t="s">
        <v>48</v>
      </c>
    </row>
    <row r="8" spans="1:10" ht="31.5" thickBot="1" x14ac:dyDescent="0.3">
      <c r="A8" s="103"/>
      <c r="B8" s="105"/>
      <c r="C8" s="107"/>
      <c r="D8" s="108"/>
      <c r="E8" s="58" t="s">
        <v>15</v>
      </c>
      <c r="F8" s="57" t="s">
        <v>47</v>
      </c>
      <c r="G8" s="58" t="s">
        <v>15</v>
      </c>
      <c r="H8" s="57" t="s">
        <v>47</v>
      </c>
      <c r="I8" s="56" t="s">
        <v>46</v>
      </c>
    </row>
    <row r="9" spans="1:10" ht="20.25" x14ac:dyDescent="0.3">
      <c r="A9" s="55"/>
      <c r="B9" s="53"/>
      <c r="C9" s="54" t="s">
        <v>45</v>
      </c>
      <c r="D9" s="53"/>
      <c r="E9" s="32"/>
      <c r="F9" s="44"/>
      <c r="G9" s="32"/>
      <c r="H9" s="44"/>
      <c r="I9" s="20"/>
    </row>
    <row r="10" spans="1:10" ht="60.75" x14ac:dyDescent="0.3">
      <c r="A10" s="135" t="s">
        <v>44</v>
      </c>
      <c r="B10" s="135" t="s">
        <v>43</v>
      </c>
      <c r="C10" s="136" t="s">
        <v>42</v>
      </c>
      <c r="D10" s="137" t="s">
        <v>29</v>
      </c>
      <c r="E10" s="36" t="s">
        <v>80</v>
      </c>
      <c r="F10" s="138" t="s">
        <v>79</v>
      </c>
      <c r="G10" s="139" t="s">
        <v>78</v>
      </c>
      <c r="H10" s="140" t="s">
        <v>81</v>
      </c>
      <c r="I10" s="21"/>
    </row>
    <row r="11" spans="1:10" ht="20.25" x14ac:dyDescent="0.3">
      <c r="A11" s="40"/>
      <c r="B11" s="40" t="s">
        <v>41</v>
      </c>
      <c r="C11" s="42" t="s">
        <v>40</v>
      </c>
      <c r="D11" s="137" t="s">
        <v>29</v>
      </c>
      <c r="E11" s="36">
        <v>30</v>
      </c>
      <c r="F11" s="138" t="s">
        <v>3</v>
      </c>
      <c r="G11" s="139" t="s">
        <v>39</v>
      </c>
      <c r="H11" s="141"/>
      <c r="I11" s="21"/>
      <c r="J11">
        <v>1920</v>
      </c>
    </row>
    <row r="12" spans="1:10" ht="20.25" x14ac:dyDescent="0.3">
      <c r="A12" s="40"/>
      <c r="B12" s="40" t="s">
        <v>74</v>
      </c>
      <c r="C12" s="42" t="s">
        <v>75</v>
      </c>
      <c r="D12" s="137" t="s">
        <v>29</v>
      </c>
      <c r="E12" s="36">
        <v>15</v>
      </c>
      <c r="F12" s="138" t="s">
        <v>3</v>
      </c>
      <c r="G12" s="139" t="s">
        <v>76</v>
      </c>
      <c r="H12" s="141" t="s">
        <v>77</v>
      </c>
      <c r="I12" s="21"/>
    </row>
    <row r="13" spans="1:10" ht="20.25" x14ac:dyDescent="0.3">
      <c r="A13" s="40"/>
      <c r="B13" s="40" t="s">
        <v>33</v>
      </c>
      <c r="C13" s="42" t="s">
        <v>32</v>
      </c>
      <c r="D13" s="137" t="s">
        <v>29</v>
      </c>
      <c r="E13" s="36">
        <v>80</v>
      </c>
      <c r="F13" s="138" t="s">
        <v>3</v>
      </c>
      <c r="G13" s="139" t="s">
        <v>38</v>
      </c>
      <c r="H13" s="141"/>
      <c r="I13" s="21"/>
      <c r="J13">
        <v>1920</v>
      </c>
    </row>
    <row r="14" spans="1:10" ht="20.25" x14ac:dyDescent="0.3">
      <c r="A14" s="40"/>
      <c r="B14" s="142" t="s">
        <v>37</v>
      </c>
      <c r="C14" s="15" t="s">
        <v>36</v>
      </c>
      <c r="D14" s="137" t="s">
        <v>29</v>
      </c>
      <c r="E14" s="36">
        <v>60</v>
      </c>
      <c r="F14" s="138" t="s">
        <v>3</v>
      </c>
      <c r="G14" s="139" t="s">
        <v>35</v>
      </c>
      <c r="H14" s="141"/>
      <c r="I14" s="21"/>
    </row>
    <row r="15" spans="1:10" ht="20.25" x14ac:dyDescent="0.3">
      <c r="A15" s="143"/>
      <c r="B15" s="21"/>
      <c r="C15" s="144"/>
      <c r="D15" s="4"/>
      <c r="E15" s="40"/>
      <c r="F15" s="145"/>
      <c r="G15" s="146"/>
      <c r="H15" s="40"/>
      <c r="I15" s="21"/>
    </row>
    <row r="16" spans="1:10" ht="20.25" x14ac:dyDescent="0.3">
      <c r="A16" s="143"/>
      <c r="B16" s="21"/>
      <c r="C16" s="144"/>
      <c r="D16" s="4"/>
      <c r="E16" s="40"/>
      <c r="F16" s="145"/>
      <c r="G16" s="146"/>
      <c r="H16" s="40"/>
      <c r="I16" s="21"/>
    </row>
    <row r="17" spans="1:11" ht="20.25" x14ac:dyDescent="0.3">
      <c r="A17" s="147" t="s">
        <v>44</v>
      </c>
      <c r="B17" s="147" t="s">
        <v>43</v>
      </c>
      <c r="C17" s="148" t="s">
        <v>42</v>
      </c>
      <c r="D17" s="149" t="s">
        <v>29</v>
      </c>
      <c r="E17" s="51">
        <f>8.4/800</f>
        <v>1.0500000000000001E-2</v>
      </c>
      <c r="F17" s="70" t="s">
        <v>16</v>
      </c>
      <c r="G17" s="71" t="s">
        <v>82</v>
      </c>
      <c r="H17" s="51" t="s">
        <v>4</v>
      </c>
      <c r="I17" s="21"/>
    </row>
    <row r="18" spans="1:11" ht="20.25" x14ac:dyDescent="0.3">
      <c r="A18" s="67"/>
      <c r="B18" s="68"/>
      <c r="C18" s="43"/>
      <c r="D18" s="69"/>
      <c r="E18" s="51"/>
      <c r="F18" s="70"/>
      <c r="G18" s="71"/>
      <c r="H18" s="51"/>
      <c r="I18" s="21"/>
    </row>
    <row r="19" spans="1:11" ht="20.25" x14ac:dyDescent="0.3">
      <c r="A19" s="21"/>
      <c r="B19" s="21"/>
      <c r="C19" s="43" t="s">
        <v>34</v>
      </c>
      <c r="D19" s="40"/>
      <c r="E19" s="42"/>
      <c r="F19" s="40"/>
      <c r="G19" s="27"/>
      <c r="H19" s="40"/>
      <c r="I19" s="21"/>
    </row>
    <row r="20" spans="1:11" ht="20.25" x14ac:dyDescent="0.3">
      <c r="A20" s="21"/>
      <c r="B20" s="29" t="s">
        <v>31</v>
      </c>
      <c r="C20" s="30" t="s">
        <v>30</v>
      </c>
      <c r="D20" s="52" t="s">
        <v>29</v>
      </c>
      <c r="E20" s="47">
        <v>3</v>
      </c>
      <c r="F20" s="47" t="s">
        <v>3</v>
      </c>
      <c r="G20" s="27"/>
      <c r="H20" s="51"/>
      <c r="I20" s="21"/>
      <c r="J20" s="50"/>
    </row>
    <row r="21" spans="1:11" ht="20.25" x14ac:dyDescent="0.3">
      <c r="A21" s="21"/>
      <c r="B21" s="40"/>
      <c r="C21" s="49"/>
      <c r="D21" s="48"/>
      <c r="E21" s="47"/>
      <c r="F21" s="47"/>
      <c r="G21" s="32"/>
      <c r="H21" s="44"/>
      <c r="I21" s="21"/>
    </row>
    <row r="22" spans="1:11" ht="20.25" x14ac:dyDescent="0.3">
      <c r="A22" s="42"/>
      <c r="B22" s="29"/>
      <c r="C22" s="30"/>
      <c r="D22" s="46"/>
      <c r="E22" s="29"/>
      <c r="F22" s="45"/>
      <c r="G22" s="32"/>
      <c r="H22" s="44"/>
      <c r="I22" s="20"/>
    </row>
    <row r="23" spans="1:11" ht="20.25" x14ac:dyDescent="0.3">
      <c r="A23" s="21"/>
      <c r="B23" s="21"/>
      <c r="C23" s="43" t="s">
        <v>28</v>
      </c>
      <c r="D23" s="42"/>
      <c r="E23" s="42"/>
      <c r="F23" s="40"/>
      <c r="G23" s="27"/>
      <c r="H23" s="40"/>
      <c r="I23" s="20"/>
    </row>
    <row r="24" spans="1:11" ht="20.25" x14ac:dyDescent="0.3">
      <c r="A24" s="36"/>
      <c r="B24" s="4"/>
      <c r="C24" s="35"/>
      <c r="D24" s="34"/>
      <c r="E24" s="33"/>
      <c r="F24" s="33"/>
      <c r="G24" s="27"/>
      <c r="H24" s="40"/>
      <c r="I24" s="20"/>
    </row>
    <row r="25" spans="1:11" ht="20.25" x14ac:dyDescent="0.3">
      <c r="A25" s="36"/>
      <c r="B25" s="4" t="s">
        <v>27</v>
      </c>
      <c r="C25" s="35" t="s">
        <v>26</v>
      </c>
      <c r="D25" s="34"/>
      <c r="E25" s="33">
        <v>1</v>
      </c>
      <c r="F25" s="33" t="s">
        <v>16</v>
      </c>
      <c r="G25" s="37"/>
      <c r="H25" s="40"/>
      <c r="I25" s="20"/>
    </row>
    <row r="26" spans="1:11" ht="20.25" x14ac:dyDescent="0.3">
      <c r="A26" s="36">
        <v>702123</v>
      </c>
      <c r="B26" s="4" t="s">
        <v>25</v>
      </c>
      <c r="C26" s="35" t="s">
        <v>24</v>
      </c>
      <c r="D26" s="34" t="s">
        <v>23</v>
      </c>
      <c r="E26" s="33">
        <v>1</v>
      </c>
      <c r="F26" s="33" t="s">
        <v>16</v>
      </c>
      <c r="G26" s="41"/>
      <c r="H26" s="40"/>
      <c r="I26" s="20"/>
      <c r="J26" s="39"/>
      <c r="K26" s="39"/>
    </row>
    <row r="27" spans="1:11" ht="20.25" x14ac:dyDescent="0.3">
      <c r="A27" s="36">
        <v>701096</v>
      </c>
      <c r="B27" s="38" t="s">
        <v>22</v>
      </c>
      <c r="C27" s="35" t="s">
        <v>21</v>
      </c>
      <c r="D27" s="34" t="s">
        <v>18</v>
      </c>
      <c r="E27" s="33">
        <v>1</v>
      </c>
      <c r="F27" s="33" t="s">
        <v>16</v>
      </c>
      <c r="G27" s="37"/>
      <c r="H27" s="21"/>
      <c r="I27" s="20"/>
    </row>
    <row r="28" spans="1:11" ht="20.25" x14ac:dyDescent="0.3">
      <c r="A28" s="36">
        <v>702007</v>
      </c>
      <c r="B28" s="4" t="s">
        <v>20</v>
      </c>
      <c r="C28" s="35" t="s">
        <v>19</v>
      </c>
      <c r="D28" s="34" t="s">
        <v>18</v>
      </c>
      <c r="E28" s="33">
        <v>1</v>
      </c>
      <c r="F28" s="33" t="s">
        <v>16</v>
      </c>
      <c r="G28" s="32"/>
      <c r="H28" s="21"/>
      <c r="I28" s="20"/>
    </row>
    <row r="29" spans="1:11" ht="20.25" x14ac:dyDescent="0.3">
      <c r="A29" s="29"/>
      <c r="B29" s="31" t="s">
        <v>84</v>
      </c>
      <c r="C29" s="30" t="s">
        <v>17</v>
      </c>
      <c r="D29" s="29"/>
      <c r="E29" s="33">
        <v>1</v>
      </c>
      <c r="F29" s="28" t="s">
        <v>16</v>
      </c>
      <c r="G29" s="27"/>
      <c r="H29" s="26"/>
      <c r="I29" s="20"/>
    </row>
    <row r="30" spans="1:11" ht="20.25" x14ac:dyDescent="0.3">
      <c r="A30" s="25"/>
      <c r="B30" s="24"/>
      <c r="C30" s="23"/>
      <c r="D30" s="21"/>
      <c r="E30" s="21"/>
      <c r="F30" s="22"/>
      <c r="G30" s="21"/>
      <c r="H30" s="21"/>
      <c r="I30" s="20"/>
      <c r="J30" s="13"/>
      <c r="K30" s="13">
        <v>320</v>
      </c>
    </row>
    <row r="31" spans="1:11" ht="21" thickBot="1" x14ac:dyDescent="0.35">
      <c r="A31" s="19"/>
      <c r="B31" s="18"/>
      <c r="C31" s="15"/>
      <c r="D31" s="15"/>
      <c r="E31" s="17"/>
      <c r="F31" s="16"/>
      <c r="G31" s="15"/>
      <c r="H31" s="15"/>
      <c r="I31" s="14"/>
      <c r="K31" s="13"/>
    </row>
    <row r="32" spans="1:11" ht="21" thickBot="1" x14ac:dyDescent="0.35">
      <c r="A32" s="12"/>
      <c r="B32" s="11"/>
      <c r="C32" s="8"/>
      <c r="D32" s="1" t="s">
        <v>15</v>
      </c>
      <c r="E32" s="10" t="s">
        <v>8</v>
      </c>
      <c r="F32" s="9"/>
      <c r="G32" s="8"/>
      <c r="H32" s="8"/>
      <c r="I32" s="7"/>
    </row>
    <row r="33" spans="1:10" ht="20.25" x14ac:dyDescent="0.3">
      <c r="A33" s="92" t="s">
        <v>14</v>
      </c>
      <c r="B33" s="93"/>
      <c r="C33" s="94"/>
      <c r="D33" s="6">
        <v>256</v>
      </c>
      <c r="E33" s="5" t="s">
        <v>3</v>
      </c>
      <c r="F33" s="95" t="s">
        <v>13</v>
      </c>
      <c r="G33" s="95"/>
      <c r="H33" s="96"/>
      <c r="I33" s="97"/>
    </row>
    <row r="34" spans="1:10" ht="20.25" x14ac:dyDescent="0.3">
      <c r="A34" s="86" t="s">
        <v>12</v>
      </c>
      <c r="B34" s="87"/>
      <c r="C34" s="88"/>
      <c r="D34" s="4">
        <v>3</v>
      </c>
      <c r="E34" s="4" t="s">
        <v>11</v>
      </c>
      <c r="F34" s="89" t="s">
        <v>10</v>
      </c>
      <c r="G34" s="89"/>
      <c r="H34" s="90"/>
      <c r="I34" s="91"/>
    </row>
    <row r="35" spans="1:10" ht="20.25" x14ac:dyDescent="0.3">
      <c r="A35" s="86" t="s">
        <v>9</v>
      </c>
      <c r="B35" s="87"/>
      <c r="C35" s="88"/>
      <c r="D35" s="4">
        <v>1</v>
      </c>
      <c r="E35" s="4" t="s">
        <v>8</v>
      </c>
      <c r="F35" s="89" t="s">
        <v>7</v>
      </c>
      <c r="G35" s="89"/>
      <c r="H35" s="90"/>
      <c r="I35" s="91"/>
      <c r="J35">
        <f>16/8</f>
        <v>2</v>
      </c>
    </row>
    <row r="36" spans="1:10" ht="20.25" x14ac:dyDescent="0.3">
      <c r="A36" s="86" t="s">
        <v>6</v>
      </c>
      <c r="B36" s="87"/>
      <c r="C36" s="88"/>
      <c r="D36" s="4">
        <v>256</v>
      </c>
      <c r="E36" s="4" t="s">
        <v>3</v>
      </c>
      <c r="F36" s="98" t="s">
        <v>5</v>
      </c>
      <c r="G36" s="99"/>
      <c r="H36" s="90"/>
      <c r="I36" s="91"/>
    </row>
    <row r="37" spans="1:10" ht="21" thickBot="1" x14ac:dyDescent="0.35">
      <c r="A37" s="80" t="s">
        <v>4</v>
      </c>
      <c r="B37" s="81"/>
      <c r="C37" s="82"/>
      <c r="D37" s="3">
        <v>2</v>
      </c>
      <c r="E37" s="2" t="s">
        <v>3</v>
      </c>
      <c r="F37" s="83"/>
      <c r="G37" s="83"/>
      <c r="H37" s="84"/>
      <c r="I37" s="85"/>
    </row>
    <row r="38" spans="1:10" ht="21" thickBot="1" x14ac:dyDescent="0.35">
      <c r="A38" s="75" t="s">
        <v>2</v>
      </c>
      <c r="B38" s="76"/>
      <c r="C38" s="76"/>
      <c r="D38" s="76"/>
      <c r="E38" s="76"/>
      <c r="F38" s="76"/>
      <c r="G38" s="76"/>
      <c r="H38" s="76"/>
      <c r="I38" s="77"/>
    </row>
    <row r="39" spans="1:10" ht="50.45" customHeight="1" x14ac:dyDescent="0.3">
      <c r="A39" s="78" t="s">
        <v>70</v>
      </c>
      <c r="B39" s="78"/>
      <c r="C39" s="78"/>
      <c r="D39" s="78"/>
      <c r="E39" s="78"/>
      <c r="F39" s="78"/>
      <c r="G39" s="78"/>
      <c r="H39" s="78"/>
      <c r="I39" s="78"/>
    </row>
    <row r="40" spans="1:10" ht="49.5" customHeight="1" x14ac:dyDescent="0.3">
      <c r="A40" s="78" t="s">
        <v>71</v>
      </c>
      <c r="B40" s="78"/>
      <c r="C40" s="78"/>
      <c r="D40" s="78"/>
      <c r="E40" s="78"/>
      <c r="F40" s="78"/>
      <c r="G40" s="78"/>
      <c r="H40" s="78"/>
      <c r="I40" s="78"/>
    </row>
    <row r="41" spans="1:10" ht="23.25" customHeight="1" x14ac:dyDescent="0.3">
      <c r="A41" s="79" t="s">
        <v>72</v>
      </c>
      <c r="B41" s="79"/>
      <c r="C41" s="79"/>
      <c r="D41" s="79"/>
      <c r="E41" s="79"/>
      <c r="F41" s="79"/>
      <c r="G41" s="79"/>
      <c r="H41" s="79"/>
      <c r="I41" s="79"/>
    </row>
    <row r="42" spans="1:10" ht="21.75" customHeight="1" x14ac:dyDescent="0.3">
      <c r="A42" s="79" t="s">
        <v>73</v>
      </c>
      <c r="B42" s="79"/>
      <c r="C42" s="79"/>
      <c r="D42" s="79"/>
      <c r="E42" s="79"/>
      <c r="F42" s="79"/>
      <c r="G42" s="79"/>
      <c r="H42" s="79"/>
      <c r="I42" s="79"/>
    </row>
    <row r="43" spans="1:10" ht="24" customHeight="1" x14ac:dyDescent="0.3">
      <c r="A43" s="79" t="s">
        <v>1</v>
      </c>
      <c r="B43" s="79"/>
      <c r="C43" s="79"/>
      <c r="D43" s="79"/>
      <c r="E43" s="79"/>
      <c r="F43" s="79"/>
      <c r="G43" s="79"/>
      <c r="H43" s="79"/>
      <c r="I43" s="79"/>
    </row>
    <row r="44" spans="1:10" ht="20.25" x14ac:dyDescent="0.3">
      <c r="A44" s="79"/>
      <c r="B44" s="79"/>
      <c r="C44" s="79"/>
      <c r="D44" s="79"/>
      <c r="E44" s="79"/>
      <c r="F44" s="79"/>
      <c r="G44" s="79"/>
      <c r="H44" s="79"/>
      <c r="I44" s="79"/>
    </row>
    <row r="45" spans="1:10" ht="20.25" x14ac:dyDescent="0.3">
      <c r="A45" s="72"/>
      <c r="B45" s="73"/>
      <c r="C45" s="73"/>
      <c r="D45" s="73"/>
      <c r="E45" s="73"/>
      <c r="F45" s="73"/>
      <c r="G45" s="73"/>
      <c r="H45" s="73"/>
      <c r="I45" s="74"/>
    </row>
    <row r="46" spans="1:10" ht="20.25" x14ac:dyDescent="0.3">
      <c r="A46" s="109" t="s">
        <v>0</v>
      </c>
      <c r="B46" s="109"/>
      <c r="C46" s="109"/>
      <c r="D46" s="109"/>
      <c r="E46" s="109"/>
      <c r="F46" s="109"/>
      <c r="G46" s="109"/>
      <c r="H46" s="109"/>
      <c r="I46" s="109"/>
    </row>
    <row r="47" spans="1:10" ht="20.25" x14ac:dyDescent="0.3">
      <c r="A47" s="110" t="s">
        <v>83</v>
      </c>
      <c r="B47" s="110"/>
      <c r="C47" s="110"/>
      <c r="D47" s="110"/>
      <c r="E47" s="110"/>
      <c r="F47" s="110"/>
      <c r="G47" s="110"/>
      <c r="H47" s="110"/>
      <c r="I47" s="110"/>
    </row>
    <row r="48" spans="1:10" ht="20.25" x14ac:dyDescent="0.3">
      <c r="A48" s="110"/>
      <c r="B48" s="110"/>
      <c r="C48" s="110"/>
      <c r="D48" s="110"/>
      <c r="E48" s="110"/>
      <c r="F48" s="110"/>
      <c r="G48" s="110"/>
      <c r="H48" s="110"/>
      <c r="I48" s="110"/>
    </row>
  </sheetData>
  <mergeCells count="43">
    <mergeCell ref="A46:I46"/>
    <mergeCell ref="A47:I47"/>
    <mergeCell ref="A48:I48"/>
    <mergeCell ref="I3:I5"/>
    <mergeCell ref="D4:G4"/>
    <mergeCell ref="D5:G5"/>
    <mergeCell ref="A35:C35"/>
    <mergeCell ref="F35:G35"/>
    <mergeCell ref="H35:I35"/>
    <mergeCell ref="A1:B5"/>
    <mergeCell ref="G7:H7"/>
    <mergeCell ref="C1:G1"/>
    <mergeCell ref="C2:G2"/>
    <mergeCell ref="C3:G3"/>
    <mergeCell ref="H3:H5"/>
    <mergeCell ref="A6:C6"/>
    <mergeCell ref="D6:F6"/>
    <mergeCell ref="G6:H6"/>
    <mergeCell ref="A7:A8"/>
    <mergeCell ref="B7:B8"/>
    <mergeCell ref="C7:C8"/>
    <mergeCell ref="D7:D8"/>
    <mergeCell ref="E7:F7"/>
    <mergeCell ref="A33:C33"/>
    <mergeCell ref="F33:G33"/>
    <mergeCell ref="H33:I33"/>
    <mergeCell ref="A36:C36"/>
    <mergeCell ref="F36:G36"/>
    <mergeCell ref="H36:I36"/>
    <mergeCell ref="A37:C37"/>
    <mergeCell ref="F37:G37"/>
    <mergeCell ref="H37:I37"/>
    <mergeCell ref="A34:C34"/>
    <mergeCell ref="F34:G34"/>
    <mergeCell ref="H34:I34"/>
    <mergeCell ref="A45:I45"/>
    <mergeCell ref="A38:I38"/>
    <mergeCell ref="A39:I39"/>
    <mergeCell ref="A40:I40"/>
    <mergeCell ref="A41:I41"/>
    <mergeCell ref="A42:I42"/>
    <mergeCell ref="A44:I44"/>
    <mergeCell ref="A43:I43"/>
  </mergeCells>
  <pageMargins left="0.25" right="0.25" top="0.75" bottom="0.75" header="0.3" footer="0.3"/>
  <pageSetup scale="54"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6A00B-7386-4020-BCF3-04D5B60590ED}">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customXml/itemProps2.xml><?xml version="1.0" encoding="utf-8"?>
<ds:datastoreItem xmlns:ds="http://schemas.openxmlformats.org/officeDocument/2006/customXml" ds:itemID="{A30525B9-855E-4B63-A0E4-4D13FC88D832}">
  <ds:schemaRefs>
    <ds:schemaRef ds:uri="http://schemas.microsoft.com/sharepoint/v3/contenttype/forms"/>
  </ds:schemaRefs>
</ds:datastoreItem>
</file>

<file path=customXml/itemProps3.xml><?xml version="1.0" encoding="utf-8"?>
<ds:datastoreItem xmlns:ds="http://schemas.openxmlformats.org/officeDocument/2006/customXml" ds:itemID="{76B8BA47-ED43-4D9D-A23C-95FC3F9106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225b5-53a6-4b69-be5f-a92fedf9fd97"/>
    <ds:schemaRef ds:uri="7b4e74ba-38a7-42d4-a9ca-1da0fc041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Cake box Pistacho 2</vt:lpstr>
      <vt:lpstr>'Cake box Pistacho 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Allan Brenes</dc:creator>
  <cp:lastModifiedBy>Allan Brenes</cp:lastModifiedBy>
  <cp:lastPrinted>2026-05-11T15:51:11Z</cp:lastPrinted>
  <dcterms:created xsi:type="dcterms:W3CDTF">2026-02-10T19:20:18Z</dcterms:created>
  <dcterms:modified xsi:type="dcterms:W3CDTF">2026-05-11T15:54:10Z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MediaServiceImageTags">
    <vt:lpwstr/>
  </property>
</Properties>
</file>
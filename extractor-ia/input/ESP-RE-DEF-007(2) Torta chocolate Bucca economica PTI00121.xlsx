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0" documentId="8_{D816CC0E-7F98-4F89-B3E3-DBF8E01DC604}" xr6:coauthVersionLast="47" xr6:coauthVersionMax="47" xr10:uidLastSave="{00000000-0000-0000-0000-000000000000}"/>
  <bookViews>
    <workbookView xWindow="-120" yWindow="-120" windowWidth="29040" windowHeight="15840" tabRatio="613" xr2:uid="{E031B702-AD8F-4578-B373-3F62FD272DF0}"/>
  </bookViews>
  <sheets>
    <sheet name="Hoja2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6" l="1"/>
</calcChain>
</file>

<file path=xl/sharedStrings.xml><?xml version="1.0" encoding="utf-8"?>
<sst xmlns="http://schemas.openxmlformats.org/spreadsheetml/2006/main" count="129" uniqueCount="95">
  <si>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</si>
  <si>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</si>
  <si>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</si>
  <si>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</si>
  <si>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</si>
  <si>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</si>
  <si>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</si>
  <si>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</si>
  <si>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</si>
  <si>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</si>
  <si>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</si>
  <si>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</si>
  <si>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Unidad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</si>
  <si>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</si>
  <si>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</si>
  <si>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</si>
  <si>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</si>
  <si>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</si>
  <si>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</si>
  <si>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</si>
  <si>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g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</si>
  <si>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</si>
  <si>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</si>
  <si>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</si>
  <si>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</si>
  <si>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</si>
  <si>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</si>
  <si>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</si>
  <si>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3.- Colocar sobre la base de la quequera.</t>
  </si>
  <si>
    <t>7.- Tapar la torta y etiquetar con etiqueta bucca, nombre del producto, codigo de barras y fecha de vencimiento.</t>
  </si>
  <si>
    <t>2.- Tapar.</t>
  </si>
  <si>
    <t xml:space="preserve">6.- Por ultimo hacer hilos de ganache de chocolate blanco en toda la superficie. </t>
  </si>
  <si>
    <t>1.- Usar 2 rosquetes, Rellenar un  rosquete 1 taza de crema de chocolate y esparcir bien.</t>
  </si>
  <si>
    <t>ud</t>
  </si>
  <si>
    <t>95718</t>
  </si>
  <si>
    <t xml:space="preserve">AREA QUE EMPACA: </t>
  </si>
  <si>
    <t>AREA QUE PRODUCE:</t>
  </si>
  <si>
    <t>Javier Tong, Chef</t>
  </si>
  <si>
    <t>FAS</t>
  </si>
  <si>
    <t>CREMA CHANTILLY CHOCO SPOON KILO</t>
  </si>
  <si>
    <t>GANACHE CHOCOLATE OSCURO (KILO)</t>
  </si>
  <si>
    <t>GANACHE CHOCOLATE BLANCO (KILO)</t>
  </si>
  <si>
    <t>121603</t>
  </si>
  <si>
    <t>QUEQUERA RED  BASE/DOMO 10 (CAJA:50)</t>
  </si>
  <si>
    <t>MAYCA</t>
  </si>
  <si>
    <t>ETIQUETA BLANCA R-153 (UND)</t>
  </si>
  <si>
    <t>ETIQUETA BLANCA 2 5/8X1 15/16 (UND)</t>
  </si>
  <si>
    <t>703020</t>
  </si>
  <si>
    <t>CINTA ADHESIVA TRANSPARENT 2*100 M (UND)</t>
  </si>
  <si>
    <t>cm</t>
  </si>
  <si>
    <t>CEMUSA</t>
  </si>
  <si>
    <t>min</t>
  </si>
  <si>
    <t>CONTROL DE CAMBIOS</t>
  </si>
  <si>
    <t>CREMA BETTERCREAM DOBLE CHOCO (UND:4 K)</t>
  </si>
  <si>
    <t>4.- Encremar con crema chantilly de chocolate, colocar crema doble chocolate en los bordes para marmolear, acorde a la fotografía.</t>
  </si>
  <si>
    <t>5.- Hacer colochos con crema de chocolate, en el centro de la superficie hacer un gato con ganache de chocolate oscuro, colocar 5 monedas de chocolate marmoleado sobre el colocho y una en el centro del gato #</t>
  </si>
  <si>
    <t>908000032</t>
  </si>
  <si>
    <t>908000045</t>
  </si>
  <si>
    <t>907000289</t>
  </si>
  <si>
    <t>ORLA 10</t>
  </si>
  <si>
    <t>ROSQUETE EASY CHOCOLATE BC 350G</t>
  </si>
  <si>
    <t>107000012</t>
  </si>
  <si>
    <t>CONFITILLO CORAZON MAVALERIO (PAQ:150G)</t>
  </si>
  <si>
    <t>SE00449</t>
  </si>
  <si>
    <t>SE00024</t>
  </si>
  <si>
    <t>MP10006</t>
  </si>
  <si>
    <t>SE00001</t>
  </si>
  <si>
    <t>SE00051</t>
  </si>
  <si>
    <t>MP10532</t>
  </si>
  <si>
    <t>EM10009</t>
  </si>
  <si>
    <t>EM10084</t>
  </si>
  <si>
    <t>EM10124</t>
  </si>
  <si>
    <t>EM10248</t>
  </si>
  <si>
    <t>EM10011</t>
  </si>
  <si>
    <t>EM10002</t>
  </si>
  <si>
    <t>Esteban Cartin, Gte Manufactura</t>
  </si>
  <si>
    <t>Decoración</t>
  </si>
  <si>
    <t># Código Netsuite</t>
  </si>
  <si>
    <t>Ensamble</t>
  </si>
  <si>
    <t>2 UND</t>
  </si>
  <si>
    <t>1 TAZA</t>
  </si>
  <si>
    <t>ENCREMAR</t>
  </si>
  <si>
    <t>BOQUILLA 22</t>
  </si>
  <si>
    <t>GATO</t>
  </si>
  <si>
    <t>HILOS</t>
  </si>
  <si>
    <t>Empaque</t>
  </si>
  <si>
    <t>LITOGRAFIA CR</t>
  </si>
  <si>
    <t>ETIQ.BLANCA 1 1/4 * 3/4</t>
  </si>
  <si>
    <t>ETIPLAST</t>
  </si>
  <si>
    <t>ESP-RE-DEF-007</t>
  </si>
  <si>
    <t>EM10398</t>
  </si>
  <si>
    <t>ETIQUETA TORTA CHOCOLATE BUCCA</t>
  </si>
  <si>
    <t xml:space="preserve">2, Se actualiza datos recetas </t>
  </si>
  <si>
    <t>02</t>
  </si>
  <si>
    <t>ESP-RE-DEF-007(2) Torta chocolate Bucca economica PTI00121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</si>
</sst>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9" fontId="11" fillId="0" borderId="0" applyFont="0" applyFill="0" applyBorder="0" applyAlignment="0" applyProtection="0"/>
  </cellStyleXfs>
  <cellXfs count="173">
    <xf numFmtId="0" fontId="0" fillId="0" borderId="0" xfId="0"/>
    <xf numFmtId="0" fontId="8" fillId="2" borderId="1" xfId="3" applyFont="1" applyFill="1" applyBorder="1" applyAlignment="1">
      <alignment horizontal="right"/>
    </xf>
    <xf numFmtId="0" fontId="8" fillId="2" borderId="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49" fontId="5" fillId="2" borderId="7" xfId="3" applyNumberFormat="1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 wrapText="1"/>
    </xf>
    <xf numFmtId="1" fontId="12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2" fillId="5" borderId="2" xfId="0" applyNumberFormat="1" applyFont="1" applyFill="1" applyBorder="1"/>
    <xf numFmtId="16" fontId="5" fillId="5" borderId="2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8" fillId="5" borderId="2" xfId="0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1" fontId="5" fillId="5" borderId="3" xfId="0" applyNumberFormat="1" applyFont="1" applyFill="1" applyBorder="1" applyAlignment="1">
      <alignment horizontal="center"/>
    </xf>
    <xf numFmtId="0" fontId="6" fillId="5" borderId="2" xfId="0" applyFont="1" applyFill="1" applyBorder="1"/>
    <xf numFmtId="0" fontId="12" fillId="5" borderId="2" xfId="0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" fontId="5" fillId="0" borderId="2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5" fillId="2" borderId="2" xfId="3" applyFont="1" applyFill="1" applyBorder="1" applyAlignment="1">
      <alignment horizontal="right"/>
    </xf>
    <xf numFmtId="14" fontId="14" fillId="2" borderId="0" xfId="4" applyNumberFormat="1" applyFont="1" applyFill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1" fontId="8" fillId="3" borderId="5" xfId="2" applyNumberFormat="1" applyFont="1" applyFill="1" applyBorder="1" applyAlignment="1">
      <alignment horizontal="center"/>
    </xf>
    <xf numFmtId="1" fontId="8" fillId="3" borderId="5" xfId="2" applyNumberFormat="1" applyFont="1" applyFill="1" applyBorder="1" applyAlignment="1">
      <alignment horizontal="center" wrapText="1"/>
    </xf>
    <xf numFmtId="0" fontId="8" fillId="3" borderId="6" xfId="2" applyFont="1" applyFill="1" applyBorder="1" applyAlignment="1">
      <alignment horizontal="center"/>
    </xf>
    <xf numFmtId="0" fontId="15" fillId="0" borderId="43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0" fontId="16" fillId="0" borderId="2" xfId="2" applyFont="1" applyBorder="1" applyAlignment="1">
      <alignment vertical="center"/>
    </xf>
    <xf numFmtId="0" fontId="15" fillId="0" borderId="2" xfId="2" applyFont="1" applyBorder="1" applyAlignment="1">
      <alignment horizontal="center" vertical="center"/>
    </xf>
    <xf numFmtId="1" fontId="15" fillId="0" borderId="2" xfId="2" applyNumberFormat="1" applyFont="1" applyBorder="1" applyAlignment="1">
      <alignment horizontal="center"/>
    </xf>
    <xf numFmtId="1" fontId="15" fillId="0" borderId="2" xfId="2" applyNumberFormat="1" applyFont="1" applyBorder="1" applyAlignment="1">
      <alignment horizontal="center" wrapText="1"/>
    </xf>
    <xf numFmtId="0" fontId="4" fillId="0" borderId="7" xfId="2" applyFont="1" applyBorder="1" applyAlignment="1">
      <alignment horizontal="center"/>
    </xf>
    <xf numFmtId="16" fontId="5" fillId="0" borderId="3" xfId="0" applyNumberFormat="1" applyFont="1" applyBorder="1" applyAlignment="1">
      <alignment horizontal="center"/>
    </xf>
    <xf numFmtId="1" fontId="4" fillId="0" borderId="3" xfId="2" applyNumberFormat="1" applyFont="1" applyBorder="1" applyAlignment="1">
      <alignment horizontal="center"/>
    </xf>
    <xf numFmtId="12" fontId="5" fillId="0" borderId="3" xfId="0" applyNumberFormat="1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66" fontId="4" fillId="0" borderId="2" xfId="2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6" fontId="12" fillId="0" borderId="17" xfId="0" applyNumberFormat="1" applyFont="1" applyBorder="1" applyAlignment="1">
      <alignment horizontal="center"/>
    </xf>
    <xf numFmtId="2" fontId="15" fillId="0" borderId="2" xfId="2" applyNumberFormat="1" applyFont="1" applyBorder="1" applyAlignment="1">
      <alignment horizontal="center"/>
    </xf>
    <xf numFmtId="49" fontId="4" fillId="0" borderId="43" xfId="2" applyNumberFormat="1" applyFont="1" applyBorder="1" applyAlignment="1">
      <alignment horizontal="center"/>
    </xf>
    <xf numFmtId="49" fontId="4" fillId="0" borderId="17" xfId="2" applyNumberFormat="1" applyFont="1" applyBorder="1" applyAlignment="1">
      <alignment horizontal="center"/>
    </xf>
    <xf numFmtId="0" fontId="17" fillId="5" borderId="2" xfId="2" applyFont="1" applyFill="1" applyBorder="1" applyAlignment="1">
      <alignment horizontal="left"/>
    </xf>
    <xf numFmtId="0" fontId="4" fillId="0" borderId="2" xfId="2" applyFont="1" applyBorder="1" applyAlignment="1">
      <alignment horizontal="center"/>
    </xf>
    <xf numFmtId="1" fontId="4" fillId="0" borderId="2" xfId="2" applyNumberFormat="1" applyFont="1" applyBorder="1" applyAlignment="1">
      <alignment horizontal="center" wrapText="1"/>
    </xf>
    <xf numFmtId="49" fontId="15" fillId="0" borderId="25" xfId="2" applyNumberFormat="1" applyFont="1" applyBorder="1" applyAlignment="1">
      <alignment horizontal="center"/>
    </xf>
    <xf numFmtId="49" fontId="15" fillId="0" borderId="26" xfId="2" applyNumberFormat="1" applyFont="1" applyBorder="1" applyAlignment="1">
      <alignment horizontal="center"/>
    </xf>
    <xf numFmtId="0" fontId="18" fillId="5" borderId="2" xfId="2" applyFont="1" applyFill="1" applyBorder="1" applyAlignment="1">
      <alignment vertical="center"/>
    </xf>
    <xf numFmtId="0" fontId="15" fillId="0" borderId="17" xfId="2" applyFont="1" applyBorder="1" applyAlignment="1">
      <alignment horizontal="center"/>
    </xf>
    <xf numFmtId="166" fontId="15" fillId="0" borderId="2" xfId="2" applyNumberFormat="1" applyFont="1" applyBorder="1" applyAlignment="1">
      <alignment horizontal="center"/>
    </xf>
    <xf numFmtId="165" fontId="8" fillId="5" borderId="2" xfId="1" applyNumberFormat="1" applyFont="1" applyFill="1" applyBorder="1" applyAlignment="1">
      <alignment horizontal="center"/>
    </xf>
    <xf numFmtId="12" fontId="4" fillId="0" borderId="2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49" fontId="2" fillId="0" borderId="2" xfId="2" applyNumberFormat="1" applyFont="1" applyBorder="1"/>
    <xf numFmtId="1" fontId="12" fillId="0" borderId="2" xfId="2" applyNumberFormat="1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49" fontId="10" fillId="2" borderId="9" xfId="2" applyNumberFormat="1" applyFont="1" applyFill="1" applyBorder="1" applyAlignment="1">
      <alignment horizontal="center" vertical="center"/>
    </xf>
    <xf numFmtId="49" fontId="10" fillId="2" borderId="0" xfId="2" applyNumberFormat="1" applyFont="1" applyFill="1" applyAlignment="1">
      <alignment horizontal="center" vertical="center"/>
    </xf>
    <xf numFmtId="0" fontId="5" fillId="2" borderId="0" xfId="2" applyFont="1" applyFill="1"/>
    <xf numFmtId="1" fontId="5" fillId="2" borderId="0" xfId="2" applyNumberFormat="1" applyFont="1" applyFill="1" applyAlignment="1">
      <alignment horizontal="center"/>
    </xf>
    <xf numFmtId="167" fontId="5" fillId="2" borderId="0" xfId="2" applyNumberFormat="1" applyFont="1" applyFill="1" applyAlignment="1">
      <alignment horizontal="center" wrapText="1"/>
    </xf>
    <xf numFmtId="0" fontId="5" fillId="2" borderId="10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5" fillId="3" borderId="12" xfId="2" applyFont="1" applyFill="1" applyBorder="1" applyAlignment="1">
      <alignment horizontal="center"/>
    </xf>
    <xf numFmtId="0" fontId="5" fillId="3" borderId="12" xfId="2" applyFont="1" applyFill="1" applyBorder="1"/>
    <xf numFmtId="0" fontId="8" fillId="3" borderId="12" xfId="2" applyFont="1" applyFill="1" applyBorder="1" applyAlignment="1">
      <alignment horizontal="center"/>
    </xf>
    <xf numFmtId="1" fontId="8" fillId="3" borderId="12" xfId="2" applyNumberFormat="1" applyFont="1" applyFill="1" applyBorder="1" applyAlignment="1">
      <alignment horizontal="center"/>
    </xf>
    <xf numFmtId="167" fontId="5" fillId="3" borderId="12" xfId="2" applyNumberFormat="1" applyFont="1" applyFill="1" applyBorder="1" applyAlignment="1">
      <alignment horizontal="center" wrapText="1"/>
    </xf>
    <xf numFmtId="0" fontId="5" fillId="3" borderId="13" xfId="2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2" borderId="27" xfId="3" applyNumberFormat="1" applyFont="1" applyFill="1" applyBorder="1" applyAlignment="1">
      <alignment horizontal="center" vertical="center" wrapText="1"/>
    </xf>
    <xf numFmtId="14" fontId="5" fillId="2" borderId="28" xfId="3" applyNumberFormat="1" applyFont="1" applyFill="1" applyBorder="1" applyAlignment="1">
      <alignment horizontal="center" vertical="center" wrapText="1"/>
    </xf>
    <xf numFmtId="14" fontId="5" fillId="2" borderId="8" xfId="3" applyNumberFormat="1" applyFont="1" applyFill="1" applyBorder="1" applyAlignment="1">
      <alignment horizontal="center" vertical="center" wrapText="1"/>
    </xf>
    <xf numFmtId="0" fontId="5" fillId="2" borderId="32" xfId="3" applyFont="1" applyFill="1" applyBorder="1" applyAlignment="1">
      <alignment horizontal="left"/>
    </xf>
    <xf numFmtId="0" fontId="5" fillId="2" borderId="33" xfId="3" applyFont="1" applyFill="1" applyBorder="1" applyAlignment="1">
      <alignment horizontal="left"/>
    </xf>
    <xf numFmtId="0" fontId="5" fillId="2" borderId="34" xfId="3" applyFont="1" applyFill="1" applyBorder="1" applyAlignment="1">
      <alignment horizontal="left"/>
    </xf>
    <xf numFmtId="0" fontId="5" fillId="2" borderId="16" xfId="3" applyFont="1" applyFill="1" applyBorder="1" applyAlignment="1">
      <alignment horizontal="left"/>
    </xf>
    <xf numFmtId="0" fontId="5" fillId="2" borderId="26" xfId="3" applyFont="1" applyFill="1" applyBorder="1" applyAlignment="1">
      <alignment horizontal="left"/>
    </xf>
    <xf numFmtId="0" fontId="5" fillId="2" borderId="17" xfId="3" applyFont="1" applyFill="1" applyBorder="1" applyAlignment="1">
      <alignment horizontal="left"/>
    </xf>
    <xf numFmtId="0" fontId="5" fillId="2" borderId="18" xfId="3" applyFont="1" applyFill="1" applyBorder="1" applyAlignment="1">
      <alignment horizontal="center"/>
    </xf>
    <xf numFmtId="0" fontId="5" fillId="2" borderId="19" xfId="3" applyFont="1" applyFill="1" applyBorder="1" applyAlignment="1">
      <alignment horizontal="center"/>
    </xf>
    <xf numFmtId="0" fontId="5" fillId="2" borderId="9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36" xfId="3" applyFont="1" applyFill="1" applyBorder="1" applyAlignment="1">
      <alignment horizontal="center"/>
    </xf>
    <xf numFmtId="0" fontId="5" fillId="2" borderId="37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7" fillId="2" borderId="38" xfId="3" applyFont="1" applyFill="1" applyBorder="1" applyAlignment="1">
      <alignment horizontal="center"/>
    </xf>
    <xf numFmtId="0" fontId="7" fillId="2" borderId="41" xfId="3" applyFont="1" applyFill="1" applyBorder="1" applyAlignment="1">
      <alignment horizontal="center"/>
    </xf>
    <xf numFmtId="0" fontId="7" fillId="2" borderId="35" xfId="3" applyFont="1" applyFill="1" applyBorder="1" applyAlignment="1">
      <alignment horizontal="center"/>
    </xf>
    <xf numFmtId="0" fontId="9" fillId="4" borderId="11" xfId="3" applyFont="1" applyFill="1" applyBorder="1" applyAlignment="1">
      <alignment horizontal="center" vertical="center" wrapText="1"/>
    </xf>
    <xf numFmtId="0" fontId="9" fillId="4" borderId="12" xfId="3" applyFont="1" applyFill="1" applyBorder="1" applyAlignment="1">
      <alignment horizontal="center" vertical="center" wrapText="1"/>
    </xf>
    <xf numFmtId="0" fontId="9" fillId="4" borderId="13" xfId="3" applyFont="1" applyFill="1" applyBorder="1" applyAlignment="1">
      <alignment horizontal="center" vertical="center" wrapText="1"/>
    </xf>
    <xf numFmtId="0" fontId="8" fillId="2" borderId="21" xfId="3" applyFont="1" applyFill="1" applyBorder="1" applyAlignment="1">
      <alignment horizontal="right" vertical="top" wrapText="1"/>
    </xf>
    <xf numFmtId="0" fontId="8" fillId="2" borderId="22" xfId="3" applyFont="1" applyFill="1" applyBorder="1" applyAlignment="1">
      <alignment horizontal="right" vertical="top" wrapText="1"/>
    </xf>
    <xf numFmtId="0" fontId="8" fillId="2" borderId="42" xfId="3" applyFont="1" applyFill="1" applyBorder="1" applyAlignment="1">
      <alignment horizontal="right" vertical="top" wrapText="1"/>
    </xf>
    <xf numFmtId="0" fontId="13" fillId="2" borderId="0" xfId="4" applyFont="1" applyFill="1" applyAlignment="1">
      <alignment horizontal="right"/>
    </xf>
    <xf numFmtId="0" fontId="14" fillId="2" borderId="20" xfId="4" applyFont="1" applyFill="1" applyBorder="1" applyAlignment="1">
      <alignment horizontal="center"/>
    </xf>
    <xf numFmtId="0" fontId="13" fillId="2" borderId="0" xfId="4" applyFont="1" applyFill="1"/>
    <xf numFmtId="0" fontId="8" fillId="3" borderId="29" xfId="2" applyFont="1" applyFill="1" applyBorder="1" applyAlignment="1">
      <alignment horizontal="center" vertical="center"/>
    </xf>
    <xf numFmtId="0" fontId="8" fillId="3" borderId="30" xfId="2" applyFont="1" applyFill="1" applyBorder="1" applyAlignment="1">
      <alignment horizontal="center" vertical="center"/>
    </xf>
    <xf numFmtId="0" fontId="8" fillId="3" borderId="29" xfId="2" applyFont="1" applyFill="1" applyBorder="1" applyAlignment="1">
      <alignment horizontal="center" vertical="center" wrapText="1"/>
    </xf>
    <xf numFmtId="0" fontId="8" fillId="3" borderId="30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0" borderId="36" xfId="2" applyFont="1" applyBorder="1" applyAlignment="1">
      <alignment horizontal="right"/>
    </xf>
    <xf numFmtId="0" fontId="8" fillId="0" borderId="37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167" fontId="5" fillId="0" borderId="3" xfId="2" applyNumberFormat="1" applyFont="1" applyBorder="1" applyAlignment="1">
      <alignment horizontal="right"/>
    </xf>
    <xf numFmtId="0" fontId="5" fillId="2" borderId="14" xfId="2" applyFont="1" applyFill="1" applyBorder="1" applyAlignment="1">
      <alignment horizontal="center"/>
    </xf>
    <xf numFmtId="0" fontId="5" fillId="2" borderId="31" xfId="2" applyFont="1" applyFill="1" applyBorder="1" applyAlignment="1">
      <alignment horizontal="center"/>
    </xf>
    <xf numFmtId="0" fontId="8" fillId="0" borderId="25" xfId="2" applyFont="1" applyBorder="1" applyAlignment="1">
      <alignment horizontal="right"/>
    </xf>
    <xf numFmtId="0" fontId="8" fillId="0" borderId="26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5" fillId="0" borderId="2" xfId="2" applyFont="1" applyBorder="1" applyAlignment="1">
      <alignment horizontal="right"/>
    </xf>
    <xf numFmtId="167" fontId="5" fillId="0" borderId="16" xfId="2" applyNumberFormat="1" applyFont="1" applyBorder="1" applyAlignment="1">
      <alignment horizontal="center"/>
    </xf>
    <xf numFmtId="167" fontId="5" fillId="0" borderId="15" xfId="2" applyNumberFormat="1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67" fontId="5" fillId="0" borderId="16" xfId="2" applyNumberFormat="1" applyFont="1" applyBorder="1" applyAlignment="1">
      <alignment horizontal="right" wrapText="1"/>
    </xf>
    <xf numFmtId="167" fontId="5" fillId="0" borderId="17" xfId="2" applyNumberFormat="1" applyFont="1" applyBorder="1" applyAlignment="1">
      <alignment horizontal="right" wrapText="1"/>
    </xf>
    <xf numFmtId="167" fontId="5" fillId="0" borderId="16" xfId="0" applyNumberFormat="1" applyFont="1" applyBorder="1" applyAlignment="1">
      <alignment horizontal="center" wrapText="1"/>
    </xf>
    <xf numFmtId="167" fontId="5" fillId="0" borderId="15" xfId="0" applyNumberFormat="1" applyFont="1" applyBorder="1" applyAlignment="1">
      <alignment horizontal="center" wrapText="1"/>
    </xf>
    <xf numFmtId="0" fontId="8" fillId="0" borderId="30" xfId="2" applyFont="1" applyBorder="1" applyAlignment="1">
      <alignment horizontal="right"/>
    </xf>
    <xf numFmtId="0" fontId="8" fillId="0" borderId="35" xfId="2" applyFont="1" applyBorder="1" applyAlignment="1">
      <alignment horizontal="right"/>
    </xf>
    <xf numFmtId="0" fontId="8" fillId="0" borderId="5" xfId="2" applyFont="1" applyBorder="1" applyAlignment="1">
      <alignment horizontal="right"/>
    </xf>
    <xf numFmtId="0" fontId="5" fillId="0" borderId="5" xfId="2" applyFont="1" applyBorder="1" applyAlignment="1">
      <alignment horizontal="right"/>
    </xf>
    <xf numFmtId="0" fontId="8" fillId="3" borderId="11" xfId="2" applyFont="1" applyFill="1" applyBorder="1" applyAlignment="1">
      <alignment horizontal="left"/>
    </xf>
    <xf numFmtId="0" fontId="8" fillId="3" borderId="12" xfId="2" applyFont="1" applyFill="1" applyBorder="1" applyAlignment="1">
      <alignment horizontal="left"/>
    </xf>
    <xf numFmtId="0" fontId="8" fillId="3" borderId="13" xfId="2" applyFont="1" applyFill="1" applyBorder="1" applyAlignment="1">
      <alignment horizontal="left"/>
    </xf>
    <xf numFmtId="0" fontId="15" fillId="0" borderId="45" xfId="0" applyFont="1" applyBorder="1" applyAlignment="1">
      <alignment horizontal="left"/>
    </xf>
    <xf numFmtId="0" fontId="15" fillId="0" borderId="46" xfId="0" applyFont="1" applyBorder="1" applyAlignment="1">
      <alignment horizontal="left"/>
    </xf>
    <xf numFmtId="0" fontId="15" fillId="0" borderId="47" xfId="0" applyFont="1" applyBorder="1" applyAlignment="1">
      <alignment horizontal="left"/>
    </xf>
    <xf numFmtId="0" fontId="8" fillId="6" borderId="48" xfId="3" applyFont="1" applyFill="1" applyBorder="1" applyAlignment="1">
      <alignment horizontal="center"/>
    </xf>
    <xf numFmtId="0" fontId="8" fillId="6" borderId="46" xfId="3" applyFont="1" applyFill="1" applyBorder="1" applyAlignment="1">
      <alignment horizontal="center"/>
    </xf>
    <xf numFmtId="0" fontId="8" fillId="6" borderId="21" xfId="3" applyFont="1" applyFill="1" applyBorder="1" applyAlignment="1">
      <alignment horizontal="center"/>
    </xf>
    <xf numFmtId="0" fontId="5" fillId="2" borderId="14" xfId="3" applyFont="1" applyFill="1" applyBorder="1" applyAlignment="1">
      <alignment horizontal="left"/>
    </xf>
    <xf numFmtId="0" fontId="5" fillId="2" borderId="37" xfId="3" applyFont="1" applyFill="1" applyBorder="1" applyAlignment="1">
      <alignment horizontal="left"/>
    </xf>
    <xf numFmtId="0" fontId="5" fillId="2" borderId="24" xfId="3" applyFont="1" applyFill="1" applyBorder="1" applyAlignment="1">
      <alignment horizontal="left"/>
    </xf>
    <xf numFmtId="0" fontId="5" fillId="2" borderId="44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25" xfId="0" applyFont="1" applyBorder="1" applyAlignment="1">
      <alignment horizontal="left" wrapText="1"/>
    </xf>
    <xf numFmtId="0" fontId="5" fillId="0" borderId="26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30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9" fillId="0" borderId="36" xfId="2" applyFont="1" applyBorder="1" applyAlignment="1">
      <alignment horizontal="left"/>
    </xf>
    <xf numFmtId="0" fontId="19" fillId="0" borderId="37" xfId="2" applyFont="1" applyBorder="1" applyAlignment="1">
      <alignment horizontal="left"/>
    </xf>
    <xf numFmtId="0" fontId="19" fillId="0" borderId="31" xfId="2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37F76A83-BC00-4647-940B-80C27ECD6E9E}"/>
    <cellStyle name="Normal_CRITERIOS DE EVALUACION PT DE GB" xfId="3" xr:uid="{1BA54B98-F6DF-4A54-9932-28D23F298E3A}"/>
    <cellStyle name="Normal_CRITERIOS DE EVALUACION PT DE GB 2" xfId="4" xr:uid="{CCEFE104-0724-4013-828D-04A3FAAEE218}"/>
    <cellStyle name="Porcentaje 2" xfId="5" xr:uid="{AE19E980-680F-4BAF-B19F-C821D8726C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0D4C-26F6-480A-9733-4D9C0D773FA2}">
  <dimension ref="A1:I55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00"/>
      <c r="B1" s="101"/>
      <c r="C1" s="106" t="s">
        <v>13</v>
      </c>
      <c r="D1" s="106"/>
      <c r="E1" s="106"/>
      <c r="F1" s="106"/>
      <c r="G1" s="106"/>
      <c r="H1" s="1" t="s">
        <v>14</v>
      </c>
      <c r="I1" s="11" t="s">
        <v>89</v>
      </c>
    </row>
    <row r="2" spans="1:9" ht="18" customHeight="1" thickBot="1" x14ac:dyDescent="0.3">
      <c r="A2" s="102"/>
      <c r="B2" s="103"/>
      <c r="C2" s="107" t="s">
        <v>0</v>
      </c>
      <c r="D2" s="108"/>
      <c r="E2" s="108"/>
      <c r="F2" s="108"/>
      <c r="G2" s="109"/>
      <c r="H2" s="2" t="s">
        <v>15</v>
      </c>
      <c r="I2" s="10" t="s">
        <v>93</v>
      </c>
    </row>
    <row r="3" spans="1:9" ht="31.5" customHeight="1" thickBot="1" x14ac:dyDescent="0.25">
      <c r="A3" s="102"/>
      <c r="B3" s="103"/>
      <c r="C3" s="110" t="s">
        <v>94</v>
      </c>
      <c r="D3" s="111"/>
      <c r="E3" s="111"/>
      <c r="F3" s="111"/>
      <c r="G3" s="112"/>
      <c r="H3" s="113" t="s">
        <v>16</v>
      </c>
      <c r="I3" s="91">
        <v>45663</v>
      </c>
    </row>
    <row r="4" spans="1:9" ht="18" customHeight="1" x14ac:dyDescent="0.25">
      <c r="A4" s="102"/>
      <c r="B4" s="103"/>
      <c r="C4" s="3" t="s">
        <v>17</v>
      </c>
      <c r="D4" s="94" t="s">
        <v>37</v>
      </c>
      <c r="E4" s="95"/>
      <c r="F4" s="95"/>
      <c r="G4" s="96"/>
      <c r="H4" s="114"/>
      <c r="I4" s="92"/>
    </row>
    <row r="5" spans="1:9" ht="14.25" thickBot="1" x14ac:dyDescent="0.3">
      <c r="A5" s="104"/>
      <c r="B5" s="105"/>
      <c r="C5" s="38" t="s">
        <v>18</v>
      </c>
      <c r="D5" s="97" t="s">
        <v>75</v>
      </c>
      <c r="E5" s="98"/>
      <c r="F5" s="98"/>
      <c r="G5" s="99"/>
      <c r="H5" s="115"/>
      <c r="I5" s="93"/>
    </row>
    <row r="6" spans="1:9" ht="18.75" thickBot="1" x14ac:dyDescent="0.3">
      <c r="A6" s="116" t="s">
        <v>36</v>
      </c>
      <c r="B6" s="116"/>
      <c r="C6" s="116"/>
      <c r="D6" s="117" t="s">
        <v>76</v>
      </c>
      <c r="E6" s="117"/>
      <c r="F6" s="117"/>
      <c r="G6" s="118" t="s">
        <v>35</v>
      </c>
      <c r="H6" s="118"/>
      <c r="I6" s="39" t="s">
        <v>76</v>
      </c>
    </row>
    <row r="7" spans="1:9" ht="25.5" x14ac:dyDescent="0.2">
      <c r="A7" s="119" t="s">
        <v>1</v>
      </c>
      <c r="B7" s="121" t="s">
        <v>77</v>
      </c>
      <c r="C7" s="123" t="s">
        <v>2</v>
      </c>
      <c r="D7" s="123" t="s">
        <v>3</v>
      </c>
      <c r="E7" s="123" t="s">
        <v>4</v>
      </c>
      <c r="F7" s="123"/>
      <c r="G7" s="123" t="s">
        <v>19</v>
      </c>
      <c r="H7" s="123"/>
      <c r="I7" s="40" t="s">
        <v>5</v>
      </c>
    </row>
    <row r="8" spans="1:9" ht="26.25" thickBot="1" x14ac:dyDescent="0.25">
      <c r="A8" s="120"/>
      <c r="B8" s="122"/>
      <c r="C8" s="124"/>
      <c r="D8" s="124"/>
      <c r="E8" s="41" t="s">
        <v>6</v>
      </c>
      <c r="F8" s="42" t="s">
        <v>7</v>
      </c>
      <c r="G8" s="41" t="s">
        <v>6</v>
      </c>
      <c r="H8" s="42" t="s">
        <v>7</v>
      </c>
      <c r="I8" s="43" t="s">
        <v>8</v>
      </c>
    </row>
    <row r="9" spans="1:9" ht="15" x14ac:dyDescent="0.25">
      <c r="A9" s="44"/>
      <c r="B9" s="45"/>
      <c r="C9" s="46" t="s">
        <v>78</v>
      </c>
      <c r="D9" s="47"/>
      <c r="E9" s="48"/>
      <c r="F9" s="49"/>
      <c r="G9" s="48"/>
      <c r="H9" s="49"/>
      <c r="I9" s="50"/>
    </row>
    <row r="10" spans="1:9" ht="18" customHeight="1" x14ac:dyDescent="0.25">
      <c r="A10" s="19" t="s">
        <v>58</v>
      </c>
      <c r="B10" s="19" t="s">
        <v>63</v>
      </c>
      <c r="C10" t="s">
        <v>60</v>
      </c>
      <c r="D10" s="51" t="s">
        <v>38</v>
      </c>
      <c r="E10" s="12">
        <v>640</v>
      </c>
      <c r="F10" s="18" t="s">
        <v>20</v>
      </c>
      <c r="G10" s="52"/>
      <c r="H10" s="53" t="s">
        <v>79</v>
      </c>
      <c r="I10" s="50"/>
    </row>
    <row r="11" spans="1:9" ht="15" x14ac:dyDescent="0.25">
      <c r="A11" s="20"/>
      <c r="B11" s="20"/>
      <c r="C11" s="21"/>
      <c r="D11" s="22"/>
      <c r="E11" s="54"/>
      <c r="F11" s="18"/>
      <c r="G11" s="55"/>
      <c r="H11" s="53"/>
      <c r="I11" s="50"/>
    </row>
    <row r="12" spans="1:9" ht="15" x14ac:dyDescent="0.25">
      <c r="A12" s="23">
        <v>95718</v>
      </c>
      <c r="B12" s="23" t="s">
        <v>64</v>
      </c>
      <c r="C12" s="24" t="s">
        <v>39</v>
      </c>
      <c r="D12" s="22" t="s">
        <v>38</v>
      </c>
      <c r="E12" s="33">
        <v>75</v>
      </c>
      <c r="F12" s="8" t="s">
        <v>20</v>
      </c>
      <c r="G12" s="56"/>
      <c r="H12" s="53" t="s">
        <v>80</v>
      </c>
      <c r="I12" s="50"/>
    </row>
    <row r="13" spans="1:9" ht="15.75" x14ac:dyDescent="0.25">
      <c r="A13" s="16"/>
      <c r="B13" s="16"/>
      <c r="C13" s="17"/>
      <c r="D13" s="57"/>
      <c r="E13" s="14"/>
      <c r="F13" s="13"/>
      <c r="G13" s="58"/>
      <c r="H13" s="53"/>
      <c r="I13" s="50"/>
    </row>
    <row r="14" spans="1:9" ht="15.75" x14ac:dyDescent="0.25">
      <c r="A14" s="16"/>
      <c r="B14" s="16"/>
      <c r="C14" s="17"/>
      <c r="D14" s="57"/>
      <c r="E14" s="14"/>
      <c r="F14" s="13"/>
      <c r="G14" s="58"/>
      <c r="H14" s="53"/>
      <c r="I14" s="50"/>
    </row>
    <row r="15" spans="1:9" ht="15.75" x14ac:dyDescent="0.25">
      <c r="A15" s="16"/>
      <c r="B15" s="16"/>
      <c r="C15" s="17"/>
      <c r="D15" s="57"/>
      <c r="E15" s="14"/>
      <c r="F15" s="13"/>
      <c r="G15" s="58"/>
      <c r="H15" s="53"/>
      <c r="I15" s="50"/>
    </row>
    <row r="16" spans="1:9" ht="15.75" x14ac:dyDescent="0.25">
      <c r="A16" s="16"/>
      <c r="B16" s="16"/>
      <c r="C16" s="17"/>
      <c r="D16" s="57"/>
      <c r="E16" s="14"/>
      <c r="F16" s="13"/>
      <c r="G16" s="48"/>
      <c r="H16" s="53"/>
      <c r="I16" s="50"/>
    </row>
    <row r="17" spans="1:9" ht="15.75" x14ac:dyDescent="0.25">
      <c r="A17" s="59"/>
      <c r="B17" s="60"/>
      <c r="C17" s="61" t="s">
        <v>76</v>
      </c>
      <c r="D17" s="62"/>
      <c r="E17" s="55"/>
      <c r="F17" s="63"/>
      <c r="G17" s="48"/>
      <c r="H17" s="49"/>
      <c r="I17" s="50"/>
    </row>
    <row r="18" spans="1:9" ht="15" x14ac:dyDescent="0.25">
      <c r="A18" s="16" t="s">
        <v>34</v>
      </c>
      <c r="B18" s="16" t="s">
        <v>64</v>
      </c>
      <c r="C18" s="17" t="s">
        <v>39</v>
      </c>
      <c r="D18" s="32" t="s">
        <v>38</v>
      </c>
      <c r="E18" s="25">
        <v>170</v>
      </c>
      <c r="F18" s="8" t="s">
        <v>20</v>
      </c>
      <c r="G18" s="48"/>
      <c r="H18" t="s">
        <v>81</v>
      </c>
      <c r="I18" s="50"/>
    </row>
    <row r="19" spans="1:9" ht="15" x14ac:dyDescent="0.25">
      <c r="A19" s="16" t="s">
        <v>34</v>
      </c>
      <c r="B19" s="16" t="s">
        <v>64</v>
      </c>
      <c r="C19" s="17" t="s">
        <v>39</v>
      </c>
      <c r="D19" s="32" t="s">
        <v>38</v>
      </c>
      <c r="E19" s="26">
        <v>30</v>
      </c>
      <c r="F19" s="8" t="s">
        <v>20</v>
      </c>
      <c r="G19" s="48"/>
      <c r="H19" s="49" t="s">
        <v>82</v>
      </c>
      <c r="I19" s="50"/>
    </row>
    <row r="20" spans="1:9" ht="15" x14ac:dyDescent="0.25">
      <c r="A20" s="34">
        <v>11400027</v>
      </c>
      <c r="B20" s="36" t="s">
        <v>65</v>
      </c>
      <c r="C20" s="35" t="s">
        <v>53</v>
      </c>
      <c r="D20" s="32" t="s">
        <v>38</v>
      </c>
      <c r="E20" s="6">
        <v>10</v>
      </c>
      <c r="F20" s="8" t="s">
        <v>20</v>
      </c>
      <c r="G20" s="48"/>
      <c r="H20" s="49"/>
      <c r="I20" s="50"/>
    </row>
    <row r="21" spans="1:9" ht="15" x14ac:dyDescent="0.25">
      <c r="A21" s="16" t="s">
        <v>56</v>
      </c>
      <c r="B21" s="16" t="s">
        <v>66</v>
      </c>
      <c r="C21" s="17" t="s">
        <v>40</v>
      </c>
      <c r="D21" s="32" t="s">
        <v>38</v>
      </c>
      <c r="E21" s="6">
        <v>5</v>
      </c>
      <c r="F21" s="8" t="s">
        <v>20</v>
      </c>
      <c r="G21" s="48"/>
      <c r="H21" s="49" t="s">
        <v>83</v>
      </c>
      <c r="I21" s="50"/>
    </row>
    <row r="22" spans="1:9" ht="15" x14ac:dyDescent="0.25">
      <c r="A22" s="16" t="s">
        <v>57</v>
      </c>
      <c r="B22" s="16" t="s">
        <v>67</v>
      </c>
      <c r="C22" s="17" t="s">
        <v>41</v>
      </c>
      <c r="D22" s="32" t="s">
        <v>38</v>
      </c>
      <c r="E22" s="4">
        <v>10</v>
      </c>
      <c r="F22" s="18" t="s">
        <v>20</v>
      </c>
      <c r="G22" s="48"/>
      <c r="H22" s="49" t="s">
        <v>84</v>
      </c>
      <c r="I22" s="50"/>
    </row>
    <row r="23" spans="1:9" ht="15" x14ac:dyDescent="0.25">
      <c r="A23" s="19" t="s">
        <v>61</v>
      </c>
      <c r="B23" s="19" t="s">
        <v>68</v>
      </c>
      <c r="C23" t="s">
        <v>62</v>
      </c>
      <c r="D23" s="22"/>
      <c r="E23" s="31">
        <v>2</v>
      </c>
      <c r="F23" s="18" t="s">
        <v>20</v>
      </c>
      <c r="G23" s="48"/>
      <c r="H23" s="49"/>
      <c r="I23" s="50"/>
    </row>
    <row r="24" spans="1:9" ht="15" x14ac:dyDescent="0.25">
      <c r="A24" s="16"/>
      <c r="B24" s="16"/>
      <c r="C24" s="17"/>
      <c r="D24" s="32"/>
      <c r="E24" s="4"/>
      <c r="F24" s="18"/>
      <c r="G24" s="48"/>
      <c r="H24" s="49"/>
      <c r="I24" s="50"/>
    </row>
    <row r="25" spans="1:9" ht="15" x14ac:dyDescent="0.25">
      <c r="A25" s="16"/>
      <c r="B25" s="16"/>
      <c r="C25" s="17"/>
      <c r="D25" s="32"/>
      <c r="E25" s="6"/>
      <c r="F25" s="8"/>
      <c r="G25" s="48"/>
      <c r="H25" s="49"/>
      <c r="I25" s="50"/>
    </row>
    <row r="26" spans="1:9" ht="15.75" x14ac:dyDescent="0.25">
      <c r="A26" s="64"/>
      <c r="B26" s="65"/>
      <c r="C26" s="66" t="s">
        <v>85</v>
      </c>
      <c r="D26" s="67"/>
      <c r="E26" s="68"/>
      <c r="F26" s="49"/>
      <c r="G26" s="48"/>
      <c r="I26" s="50"/>
    </row>
    <row r="27" spans="1:9" ht="15" x14ac:dyDescent="0.25">
      <c r="A27" s="23" t="s">
        <v>42</v>
      </c>
      <c r="B27" s="23" t="s">
        <v>69</v>
      </c>
      <c r="C27" s="24" t="s">
        <v>43</v>
      </c>
      <c r="D27" s="22" t="s">
        <v>44</v>
      </c>
      <c r="E27" s="27">
        <v>1</v>
      </c>
      <c r="F27" s="5" t="s">
        <v>33</v>
      </c>
      <c r="G27" s="69"/>
      <c r="H27" s="49"/>
      <c r="I27" s="50"/>
    </row>
    <row r="28" spans="1:9" ht="15" x14ac:dyDescent="0.25">
      <c r="A28" s="23">
        <v>1952875</v>
      </c>
      <c r="B28" s="23" t="s">
        <v>70</v>
      </c>
      <c r="C28" s="28" t="s">
        <v>59</v>
      </c>
      <c r="D28" s="22" t="s">
        <v>86</v>
      </c>
      <c r="E28" s="27">
        <v>1</v>
      </c>
      <c r="F28" s="5" t="s">
        <v>33</v>
      </c>
      <c r="G28" s="69"/>
      <c r="H28" s="49"/>
      <c r="I28" s="50"/>
    </row>
    <row r="29" spans="1:9" ht="15" x14ac:dyDescent="0.25">
      <c r="A29" s="37">
        <v>702069</v>
      </c>
      <c r="B29" s="19" t="s">
        <v>74</v>
      </c>
      <c r="C29" t="s">
        <v>87</v>
      </c>
      <c r="D29" s="22" t="s">
        <v>50</v>
      </c>
      <c r="E29" s="27">
        <v>1</v>
      </c>
      <c r="F29" s="5" t="s">
        <v>33</v>
      </c>
      <c r="G29" s="69"/>
      <c r="H29" s="49"/>
      <c r="I29" s="50"/>
    </row>
    <row r="30" spans="1:9" ht="15.75" x14ac:dyDescent="0.25">
      <c r="A30" s="23">
        <v>701096</v>
      </c>
      <c r="B30" s="23" t="s">
        <v>71</v>
      </c>
      <c r="C30" s="24" t="s">
        <v>45</v>
      </c>
      <c r="D30" s="29" t="s">
        <v>88</v>
      </c>
      <c r="E30" s="27">
        <v>1</v>
      </c>
      <c r="F30" s="5" t="s">
        <v>33</v>
      </c>
      <c r="G30" s="48"/>
      <c r="H30" s="49"/>
      <c r="I30" s="50"/>
    </row>
    <row r="31" spans="1:9" ht="15.75" x14ac:dyDescent="0.25">
      <c r="A31" s="23">
        <v>702123</v>
      </c>
      <c r="B31" s="19" t="s">
        <v>73</v>
      </c>
      <c r="C31" s="24" t="s">
        <v>46</v>
      </c>
      <c r="D31" s="29" t="s">
        <v>88</v>
      </c>
      <c r="E31" s="30">
        <v>1</v>
      </c>
      <c r="F31" s="13" t="s">
        <v>33</v>
      </c>
      <c r="G31" s="48"/>
      <c r="H31" s="49"/>
      <c r="I31" s="50"/>
    </row>
    <row r="32" spans="1:9" ht="15.75" x14ac:dyDescent="0.25">
      <c r="A32" s="16" t="s">
        <v>47</v>
      </c>
      <c r="B32" s="16" t="s">
        <v>72</v>
      </c>
      <c r="C32" s="17" t="s">
        <v>48</v>
      </c>
      <c r="D32" s="15" t="s">
        <v>44</v>
      </c>
      <c r="E32" s="14">
        <v>60</v>
      </c>
      <c r="F32" s="13" t="s">
        <v>49</v>
      </c>
      <c r="G32" s="70"/>
      <c r="H32" s="49"/>
      <c r="I32" s="50"/>
    </row>
    <row r="33" spans="1:9" ht="15" x14ac:dyDescent="0.25">
      <c r="A33" s="16"/>
      <c r="B33" s="16" t="s">
        <v>90</v>
      </c>
      <c r="C33" s="17" t="s">
        <v>91</v>
      </c>
      <c r="D33" s="7"/>
      <c r="E33" s="8">
        <v>1</v>
      </c>
      <c r="F33" s="8" t="s">
        <v>33</v>
      </c>
      <c r="G33" s="71"/>
      <c r="H33" s="49"/>
      <c r="I33" s="50"/>
    </row>
    <row r="34" spans="1:9" ht="15.75" x14ac:dyDescent="0.25">
      <c r="A34" s="59"/>
      <c r="B34" s="60"/>
      <c r="C34" s="72"/>
      <c r="D34" s="15"/>
      <c r="E34" s="71"/>
      <c r="F34" s="63"/>
      <c r="G34" s="73"/>
      <c r="H34" s="63"/>
      <c r="I34" s="50"/>
    </row>
    <row r="35" spans="1:9" ht="15.75" x14ac:dyDescent="0.25">
      <c r="A35" s="59"/>
      <c r="B35" s="60"/>
      <c r="C35" s="72"/>
      <c r="D35" s="62"/>
      <c r="E35" s="62"/>
      <c r="F35" s="63"/>
      <c r="G35" s="74"/>
      <c r="H35" s="74"/>
      <c r="I35" s="50"/>
    </row>
    <row r="36" spans="1:9" ht="14.25" thickBot="1" x14ac:dyDescent="0.3">
      <c r="A36" s="75"/>
      <c r="B36" s="76"/>
      <c r="C36" s="77"/>
      <c r="D36" s="77"/>
      <c r="E36" s="78"/>
      <c r="F36" s="79"/>
      <c r="G36" s="77"/>
      <c r="H36" s="77"/>
      <c r="I36" s="80"/>
    </row>
    <row r="37" spans="1:9" ht="14.25" thickBot="1" x14ac:dyDescent="0.3">
      <c r="A37" s="81"/>
      <c r="B37" s="82"/>
      <c r="C37" s="83"/>
      <c r="D37" s="84" t="s">
        <v>6</v>
      </c>
      <c r="E37" s="85" t="s">
        <v>12</v>
      </c>
      <c r="F37" s="86"/>
      <c r="G37" s="83"/>
      <c r="H37" s="83"/>
      <c r="I37" s="87"/>
    </row>
    <row r="38" spans="1:9" ht="13.5" x14ac:dyDescent="0.25">
      <c r="A38" s="125" t="s">
        <v>10</v>
      </c>
      <c r="B38" s="126"/>
      <c r="C38" s="127"/>
      <c r="D38" s="4">
        <v>850</v>
      </c>
      <c r="E38" s="9" t="s">
        <v>20</v>
      </c>
      <c r="F38" s="128" t="s">
        <v>21</v>
      </c>
      <c r="G38" s="128"/>
      <c r="H38" s="129"/>
      <c r="I38" s="130"/>
    </row>
    <row r="39" spans="1:9" ht="13.5" x14ac:dyDescent="0.25">
      <c r="A39" s="131" t="s">
        <v>9</v>
      </c>
      <c r="B39" s="132"/>
      <c r="C39" s="133"/>
      <c r="D39" s="88">
        <v>6</v>
      </c>
      <c r="E39" s="7" t="s">
        <v>51</v>
      </c>
      <c r="F39" s="134" t="s">
        <v>22</v>
      </c>
      <c r="G39" s="134"/>
      <c r="H39" s="135"/>
      <c r="I39" s="136"/>
    </row>
    <row r="40" spans="1:9" ht="13.5" x14ac:dyDescent="0.25">
      <c r="A40" s="131" t="s">
        <v>23</v>
      </c>
      <c r="B40" s="132"/>
      <c r="C40" s="133"/>
      <c r="D40" s="7">
        <v>1</v>
      </c>
      <c r="E40" s="7" t="s">
        <v>33</v>
      </c>
      <c r="F40" s="134" t="s">
        <v>24</v>
      </c>
      <c r="G40" s="134"/>
      <c r="H40" s="135"/>
      <c r="I40" s="136"/>
    </row>
    <row r="41" spans="1:9" ht="13.5" x14ac:dyDescent="0.25">
      <c r="A41" s="131" t="s">
        <v>25</v>
      </c>
      <c r="B41" s="132"/>
      <c r="C41" s="133"/>
      <c r="D41" s="6">
        <v>850</v>
      </c>
      <c r="E41" s="7" t="s">
        <v>20</v>
      </c>
      <c r="F41" s="141" t="s">
        <v>26</v>
      </c>
      <c r="G41" s="142"/>
      <c r="H41" s="143"/>
      <c r="I41" s="144"/>
    </row>
    <row r="42" spans="1:9" ht="14.25" thickBot="1" x14ac:dyDescent="0.3">
      <c r="A42" s="145" t="s">
        <v>11</v>
      </c>
      <c r="B42" s="146"/>
      <c r="C42" s="147"/>
      <c r="D42" s="89">
        <f>SUM(E10:E23)-D38</f>
        <v>92</v>
      </c>
      <c r="E42" s="90" t="s">
        <v>20</v>
      </c>
      <c r="F42" s="148"/>
      <c r="G42" s="148"/>
      <c r="H42" s="135"/>
      <c r="I42" s="136"/>
    </row>
    <row r="43" spans="1:9" ht="13.5" thickBot="1" x14ac:dyDescent="0.25">
      <c r="A43" s="149" t="s">
        <v>27</v>
      </c>
      <c r="B43" s="150"/>
      <c r="C43" s="150"/>
      <c r="D43" s="150"/>
      <c r="E43" s="150"/>
      <c r="F43" s="150"/>
      <c r="G43" s="150"/>
      <c r="H43" s="150"/>
      <c r="I43" s="151"/>
    </row>
    <row r="44" spans="1:9" ht="18.399999999999999" customHeight="1" x14ac:dyDescent="0.25">
      <c r="A44" s="137" t="s">
        <v>32</v>
      </c>
      <c r="B44" s="138"/>
      <c r="C44" s="139"/>
      <c r="D44" s="139"/>
      <c r="E44" s="139"/>
      <c r="F44" s="139"/>
      <c r="G44" s="139"/>
      <c r="H44" s="139"/>
      <c r="I44" s="140"/>
    </row>
    <row r="45" spans="1:9" ht="14.65" customHeight="1" x14ac:dyDescent="0.25">
      <c r="A45" s="137" t="s">
        <v>30</v>
      </c>
      <c r="B45" s="138"/>
      <c r="C45" s="139"/>
      <c r="D45" s="139"/>
      <c r="E45" s="139"/>
      <c r="F45" s="139"/>
      <c r="G45" s="139"/>
      <c r="H45" s="139"/>
      <c r="I45" s="140"/>
    </row>
    <row r="46" spans="1:9" ht="14.65" customHeight="1" x14ac:dyDescent="0.25">
      <c r="A46" s="137" t="s">
        <v>28</v>
      </c>
      <c r="B46" s="138"/>
      <c r="C46" s="139"/>
      <c r="D46" s="139"/>
      <c r="E46" s="139"/>
      <c r="F46" s="139"/>
      <c r="G46" s="139"/>
      <c r="H46" s="139"/>
      <c r="I46" s="140"/>
    </row>
    <row r="47" spans="1:9" ht="14.65" customHeight="1" x14ac:dyDescent="0.25">
      <c r="A47" s="137" t="s">
        <v>54</v>
      </c>
      <c r="B47" s="138"/>
      <c r="C47" s="139"/>
      <c r="D47" s="139"/>
      <c r="E47" s="139"/>
      <c r="F47" s="139"/>
      <c r="G47" s="139"/>
      <c r="H47" s="139"/>
      <c r="I47" s="140"/>
    </row>
    <row r="48" spans="1:9" ht="14.65" customHeight="1" x14ac:dyDescent="0.25">
      <c r="A48" s="163" t="s">
        <v>55</v>
      </c>
      <c r="B48" s="164"/>
      <c r="C48" s="164"/>
      <c r="D48" s="164"/>
      <c r="E48" s="164"/>
      <c r="F48" s="164"/>
      <c r="G48" s="164"/>
      <c r="H48" s="164"/>
      <c r="I48" s="165"/>
    </row>
    <row r="49" spans="1:9" ht="14.65" customHeight="1" x14ac:dyDescent="0.25">
      <c r="A49" s="137" t="s">
        <v>31</v>
      </c>
      <c r="B49" s="138"/>
      <c r="C49" s="139"/>
      <c r="D49" s="139"/>
      <c r="E49" s="139"/>
      <c r="F49" s="139"/>
      <c r="G49" s="139"/>
      <c r="H49" s="139"/>
      <c r="I49" s="140"/>
    </row>
    <row r="50" spans="1:9" ht="18" customHeight="1" thickBot="1" x14ac:dyDescent="0.3">
      <c r="A50" s="166" t="s">
        <v>29</v>
      </c>
      <c r="B50" s="167"/>
      <c r="C50" s="168"/>
      <c r="D50" s="168"/>
      <c r="E50" s="168"/>
      <c r="F50" s="168"/>
      <c r="G50" s="168"/>
      <c r="H50" s="168"/>
      <c r="I50" s="169"/>
    </row>
    <row r="51" spans="1:9" ht="14.25" x14ac:dyDescent="0.2">
      <c r="A51" s="170"/>
      <c r="B51" s="171"/>
      <c r="C51" s="171"/>
      <c r="D51" s="171"/>
      <c r="E51" s="171"/>
      <c r="F51" s="171"/>
      <c r="G51" s="171"/>
      <c r="H51" s="171"/>
      <c r="I51" s="172"/>
    </row>
    <row r="52" spans="1:9" ht="14.25" x14ac:dyDescent="0.2">
      <c r="A52" s="152"/>
      <c r="B52" s="153"/>
      <c r="C52" s="153"/>
      <c r="D52" s="153"/>
      <c r="E52" s="153"/>
      <c r="F52" s="153"/>
      <c r="G52" s="153"/>
      <c r="H52" s="153"/>
      <c r="I52" s="154"/>
    </row>
    <row r="53" spans="1:9" x14ac:dyDescent="0.2">
      <c r="A53" s="155" t="s">
        <v>52</v>
      </c>
      <c r="B53" s="156"/>
      <c r="C53" s="156"/>
      <c r="D53" s="156"/>
      <c r="E53" s="156"/>
      <c r="F53" s="156"/>
      <c r="G53" s="156"/>
      <c r="H53" s="156"/>
      <c r="I53" s="157"/>
    </row>
    <row r="54" spans="1:9" ht="13.5" x14ac:dyDescent="0.25">
      <c r="A54" s="158" t="s">
        <v>92</v>
      </c>
      <c r="B54" s="159"/>
      <c r="C54" s="159"/>
      <c r="D54" s="159"/>
      <c r="E54" s="159"/>
      <c r="F54" s="159"/>
      <c r="G54" s="159"/>
      <c r="H54" s="159"/>
      <c r="I54" s="160"/>
    </row>
    <row r="55" spans="1:9" ht="13.5" x14ac:dyDescent="0.25">
      <c r="A55" s="161"/>
      <c r="B55" s="162"/>
      <c r="C55" s="162"/>
      <c r="D55" s="162"/>
      <c r="E55" s="162"/>
      <c r="F55" s="162"/>
      <c r="G55" s="162"/>
      <c r="H55" s="162"/>
      <c r="I55" s="162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BD37A2B-5D7A-419F-AA42-C5B06C76FA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FB10F7-E4A2-42C8-BD8D-D840810B55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2EFE66-AAC5-4C9D-A462-79B6EC9CF17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2024-02-16T16:08:10Z</cp:lastPrinted>
  <dcterms:created xsi:type="dcterms:W3CDTF">2003-03-11T22:35:36Z</dcterms:created>
  <dcterms:modified xsi:type="dcterms:W3CDTF">2025-03-31T20:41:48Z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100560000</vt:r8>
  </property>
</Properties>
</file>
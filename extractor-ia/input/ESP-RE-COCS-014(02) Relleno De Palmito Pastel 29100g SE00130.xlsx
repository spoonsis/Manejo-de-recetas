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12" documentId="8_{FB55E7E3-FF28-46B3-B292-F43E2FAE4847}" xr6:coauthVersionLast="47" xr6:coauthVersionMax="47" xr10:uidLastSave="{A87E235D-4422-4382-971B-FEC373377471}"/>
  <bookViews>
    <workbookView xWindow="-120" yWindow="-120" windowWidth="29040" windowHeight="15720" xr2:uid="{2A2599DA-A595-4F0D-A0DE-0B4B3EFED829}"/>
  </bookViews>
  <sheets>
    <sheet name="Hoja1" sheetId="3" r:id="rId1"/>
  </sheets>
  <definedNames>
    <definedName name="_xlnm.Print_Area" localSheetId="0">Hoja1!$A$1:$I$63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J11" i="3"/>
  <c r="J12" i="3"/>
  <c r="J13" i="3"/>
  <c r="J14" i="3"/>
  <c r="J15" i="3"/>
  <c r="J16" i="3"/>
  <c r="J17" i="3"/>
  <c r="J18" i="3"/>
  <c r="J19" i="3"/>
  <c r="J20" i="3"/>
  <c r="L13" i="3"/>
</calcChain>
</file>

<file path=xl/sharedStrings.xml><?xml version="1.0" encoding="utf-8"?>
<sst xmlns="http://schemas.openxmlformats.org/spreadsheetml/2006/main" count="109" uniqueCount="92">
  <si>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</si>
  <si>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</si>
  <si>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</si>
  <si>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</si>
  <si>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</si>
  <si>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</si>
  <si>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</si>
  <si>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</si>
  <si>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</si>
  <si>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</si>
  <si>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</si>
  <si>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ESPECIFICACION DE RECETA</t>
  </si>
  <si>
    <t>1950765</t>
  </si>
  <si>
    <t>PLAST. AUTOAD 18 * 2000</t>
  </si>
  <si>
    <t>90</t>
  </si>
  <si>
    <t>cm</t>
  </si>
  <si>
    <t>g</t>
  </si>
  <si>
    <t>MERMA</t>
  </si>
  <si>
    <t>1212412</t>
  </si>
  <si>
    <t>PRESERVANTE 1017 KILO</t>
  </si>
  <si>
    <t>101035</t>
  </si>
  <si>
    <t>11400047</t>
  </si>
  <si>
    <t>90100129</t>
  </si>
  <si>
    <t>EMPAQUE ALMIDON MODIFICADO KILO</t>
  </si>
  <si>
    <t>FAS</t>
  </si>
  <si>
    <t>90100142</t>
  </si>
  <si>
    <t>EMPAQUE SAL KILO</t>
  </si>
  <si>
    <t>CONTROL DE CAMBIOS</t>
  </si>
  <si>
    <t>MP10020</t>
  </si>
  <si>
    <t>MP10030</t>
  </si>
  <si>
    <t>SE00014</t>
  </si>
  <si>
    <t>MP10025</t>
  </si>
  <si>
    <t>SE00104</t>
  </si>
  <si>
    <t>0310107</t>
  </si>
  <si>
    <t>MP10022</t>
  </si>
  <si>
    <t>MP10019</t>
  </si>
  <si>
    <t>0610254</t>
  </si>
  <si>
    <t>MP10014</t>
  </si>
  <si>
    <t>0710261</t>
  </si>
  <si>
    <t>MP10035</t>
  </si>
  <si>
    <t xml:space="preserve">LECHE 2% PASTEURIZADA </t>
  </si>
  <si>
    <t>CEBOLLA PICADA</t>
  </si>
  <si>
    <t>MP10693</t>
  </si>
  <si>
    <t>Relleno De Palmito Pastel 29100g SE00130</t>
  </si>
  <si>
    <t>SERVICIOS DE PASTELERIA S.A.</t>
  </si>
  <si>
    <t>CÓDIGO:</t>
  </si>
  <si>
    <t>ESP-RE-COCS-014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</si>
  <si>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</si>
  <si>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</si>
  <si>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</si>
  <si>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</si>
  <si>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</si>
  <si>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</si>
  <si>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</si>
  <si>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Cocina</t>
  </si>
  <si>
    <t xml:space="preserve">AREA QUE EMPACA: </t>
  </si>
  <si>
    <t># Código Netsuite</t>
  </si>
  <si>
    <t>Medida alternativa</t>
  </si>
  <si>
    <t>Ensamble</t>
  </si>
  <si>
    <t>FRESQUITA</t>
  </si>
  <si>
    <t>LACTOCREMA GRANEL</t>
  </si>
  <si>
    <t>DOS PINOS</t>
  </si>
  <si>
    <t>CREMA GOURMET PRO 1/1 LITRO</t>
  </si>
  <si>
    <t>GOURMET</t>
  </si>
  <si>
    <t xml:space="preserve">PASTA AJO </t>
  </si>
  <si>
    <t>PRESTO</t>
  </si>
  <si>
    <t>PRIMA</t>
  </si>
  <si>
    <t>PIMIENTA BLANCA  MOLIDA</t>
  </si>
  <si>
    <t>ASEAL</t>
  </si>
  <si>
    <t>PAN CUADRADO BLANCO 1/22 REB</t>
  </si>
  <si>
    <t>ESCULTURAS DE JADE</t>
  </si>
  <si>
    <t>Decoración</t>
  </si>
  <si>
    <t>Empaque</t>
  </si>
  <si>
    <t>EM10259</t>
  </si>
  <si>
    <t>MAYCA</t>
  </si>
  <si>
    <t>Unidad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</si>
  <si>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</si>
  <si>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</si>
  <si>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</si>
  <si>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</si>
  <si>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</si>
  <si>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</si>
  <si>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</si>
  <si>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PROCEDIMIENTO DE PREPARACION DE LA  RECETA</t>
  </si>
  <si>
    <t>MP10267</t>
  </si>
  <si>
    <t>PALMITO CRUDO KILO</t>
  </si>
  <si>
    <t>SPOON</t>
  </si>
  <si>
    <t xml:space="preserve">1.- Saltear en la lactocrema la cebolla, el ajo y el palmito picado. </t>
  </si>
  <si>
    <t>2.- Agregar la leche y la crema gourmet con la sal, pimienta y preservante y llevar a hervor. Cocer por 2 minutos mientras hierve.</t>
  </si>
  <si>
    <t>3.- Agregar el almidon disuelto en agua y espesar. Por ultimo agregar el pan en cuadritos y revolver hasta incorporar.</t>
  </si>
  <si>
    <t>Revision #2: Correccion en el peso de la pimienta.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</si>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</sst>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2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170">
    <xf numFmtId="0" fontId="0" fillId="0" borderId="0" xfId="0"/>
    <xf numFmtId="0" fontId="3" fillId="2" borderId="2" xfId="2" applyFont="1" applyFill="1" applyBorder="1" applyAlignment="1">
      <alignment horizontal="left"/>
    </xf>
    <xf numFmtId="0" fontId="6" fillId="2" borderId="1" xfId="2" applyFont="1" applyFill="1" applyBorder="1" applyAlignment="1">
      <alignment horizontal="right"/>
    </xf>
    <xf numFmtId="0" fontId="6" fillId="2" borderId="3" xfId="2" applyFont="1" applyFill="1" applyBorder="1" applyAlignment="1">
      <alignment horizontal="right"/>
    </xf>
    <xf numFmtId="49" fontId="4" fillId="2" borderId="4" xfId="2" applyNumberFormat="1" applyFont="1" applyFill="1" applyBorder="1" applyAlignment="1">
      <alignment horizontal="center"/>
    </xf>
    <xf numFmtId="0" fontId="4" fillId="2" borderId="27" xfId="2" applyFont="1" applyFill="1" applyBorder="1" applyAlignment="1">
      <alignment horizontal="right"/>
    </xf>
    <xf numFmtId="0" fontId="4" fillId="2" borderId="3" xfId="2" applyFont="1" applyFill="1" applyBorder="1" applyAlignment="1">
      <alignment horizontal="right"/>
    </xf>
    <xf numFmtId="14" fontId="7" fillId="2" borderId="0" xfId="3" applyNumberFormat="1" applyFont="1" applyFill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1" fontId="6" fillId="3" borderId="18" xfId="1" applyNumberFormat="1" applyFont="1" applyFill="1" applyBorder="1" applyAlignment="1">
      <alignment horizontal="center"/>
    </xf>
    <xf numFmtId="1" fontId="6" fillId="3" borderId="18" xfId="1" applyNumberFormat="1" applyFont="1" applyFill="1" applyBorder="1" applyAlignment="1">
      <alignment horizontal="center" wrapText="1"/>
    </xf>
    <xf numFmtId="0" fontId="6" fillId="3" borderId="19" xfId="1" applyFont="1" applyFill="1" applyBorder="1" applyAlignment="1">
      <alignment horizontal="center"/>
    </xf>
    <xf numFmtId="0" fontId="4" fillId="2" borderId="0" xfId="1" applyFont="1" applyFill="1"/>
    <xf numFmtId="0" fontId="3" fillId="0" borderId="0" xfId="1"/>
    <xf numFmtId="0" fontId="4" fillId="2" borderId="0" xfId="1" applyFont="1" applyFill="1" applyAlignment="1">
      <alignment horizontal="left" indent="1"/>
    </xf>
    <xf numFmtId="9" fontId="4" fillId="2" borderId="0" xfId="5" applyFont="1" applyFill="1"/>
    <xf numFmtId="0" fontId="8" fillId="0" borderId="1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9" fillId="0" borderId="3" xfId="1" applyFont="1" applyBorder="1" applyAlignment="1">
      <alignment vertical="center"/>
    </xf>
    <xf numFmtId="0" fontId="8" fillId="0" borderId="3" xfId="1" applyFont="1" applyBorder="1" applyAlignment="1">
      <alignment horizontal="center" vertical="center"/>
    </xf>
    <xf numFmtId="1" fontId="8" fillId="0" borderId="3" xfId="1" applyNumberFormat="1" applyFont="1" applyBorder="1" applyAlignment="1">
      <alignment horizontal="center"/>
    </xf>
    <xf numFmtId="1" fontId="8" fillId="0" borderId="3" xfId="1" applyNumberFormat="1" applyFont="1" applyBorder="1" applyAlignment="1">
      <alignment horizontal="center" wrapText="1"/>
    </xf>
    <xf numFmtId="0" fontId="10" fillId="0" borderId="4" xfId="1" applyFont="1" applyBorder="1" applyAlignment="1">
      <alignment horizontal="center"/>
    </xf>
    <xf numFmtId="0" fontId="10" fillId="0" borderId="27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16" fontId="10" fillId="4" borderId="27" xfId="0" applyNumberFormat="1" applyFont="1" applyFill="1" applyBorder="1" applyAlignment="1">
      <alignment horizontal="center"/>
    </xf>
    <xf numFmtId="1" fontId="10" fillId="4" borderId="27" xfId="0" applyNumberFormat="1" applyFont="1" applyFill="1" applyBorder="1" applyAlignment="1">
      <alignment horizontal="center"/>
    </xf>
    <xf numFmtId="1" fontId="10" fillId="0" borderId="27" xfId="0" applyNumberFormat="1" applyFont="1" applyBorder="1" applyAlignment="1">
      <alignment horizontal="center" wrapText="1"/>
    </xf>
    <xf numFmtId="2" fontId="8" fillId="0" borderId="3" xfId="1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16" fontId="10" fillId="4" borderId="3" xfId="0" applyNumberFormat="1" applyFont="1" applyFill="1" applyBorder="1" applyAlignment="1">
      <alignment horizontal="center"/>
    </xf>
    <xf numFmtId="1" fontId="10" fillId="4" borderId="3" xfId="0" applyNumberFormat="1" applyFont="1" applyFill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0" fontId="10" fillId="4" borderId="3" xfId="0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 wrapText="1"/>
    </xf>
    <xf numFmtId="0" fontId="10" fillId="0" borderId="3" xfId="0" quotePrefix="1" applyFont="1" applyBorder="1" applyAlignment="1">
      <alignment horizontal="center"/>
    </xf>
    <xf numFmtId="0" fontId="10" fillId="0" borderId="3" xfId="0" quotePrefix="1" applyFont="1" applyBorder="1"/>
    <xf numFmtId="16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0" fontId="10" fillId="4" borderId="3" xfId="0" applyFont="1" applyFill="1" applyBorder="1"/>
    <xf numFmtId="1" fontId="10" fillId="0" borderId="3" xfId="1" applyNumberFormat="1" applyFont="1" applyBorder="1" applyAlignment="1">
      <alignment horizontal="center"/>
    </xf>
    <xf numFmtId="1" fontId="10" fillId="0" borderId="3" xfId="1" applyNumberFormat="1" applyFont="1" applyBorder="1" applyAlignment="1">
      <alignment horizontal="center" wrapText="1"/>
    </xf>
    <xf numFmtId="49" fontId="10" fillId="0" borderId="12" xfId="1" applyNumberFormat="1" applyFont="1" applyBorder="1" applyAlignment="1">
      <alignment horizontal="center"/>
    </xf>
    <xf numFmtId="49" fontId="10" fillId="0" borderId="7" xfId="1" applyNumberFormat="1" applyFont="1" applyBorder="1" applyAlignment="1">
      <alignment horizontal="center"/>
    </xf>
    <xf numFmtId="0" fontId="8" fillId="4" borderId="3" xfId="1" applyFont="1" applyFill="1" applyBorder="1" applyAlignment="1">
      <alignment horizontal="left"/>
    </xf>
    <xf numFmtId="0" fontId="10" fillId="0" borderId="3" xfId="1" applyFont="1" applyBorder="1" applyAlignment="1">
      <alignment horizontal="center"/>
    </xf>
    <xf numFmtId="164" fontId="10" fillId="0" borderId="3" xfId="1" applyNumberFormat="1" applyFont="1" applyBorder="1" applyAlignment="1">
      <alignment horizontal="center"/>
    </xf>
    <xf numFmtId="0" fontId="10" fillId="0" borderId="12" xfId="4" applyFont="1" applyBorder="1" applyAlignment="1">
      <alignment horizontal="center"/>
    </xf>
    <xf numFmtId="0" fontId="10" fillId="4" borderId="3" xfId="4" applyFont="1" applyFill="1" applyBorder="1"/>
    <xf numFmtId="16" fontId="10" fillId="0" borderId="3" xfId="4" applyNumberFormat="1" applyFont="1" applyBorder="1" applyAlignment="1">
      <alignment horizontal="center"/>
    </xf>
    <xf numFmtId="0" fontId="10" fillId="0" borderId="3" xfId="4" applyFont="1" applyBorder="1" applyAlignment="1">
      <alignment horizontal="center"/>
    </xf>
    <xf numFmtId="1" fontId="10" fillId="0" borderId="3" xfId="4" applyNumberFormat="1" applyFont="1" applyBorder="1" applyAlignment="1">
      <alignment horizontal="center"/>
    </xf>
    <xf numFmtId="1" fontId="10" fillId="0" borderId="3" xfId="4" applyNumberFormat="1" applyFont="1" applyBorder="1" applyAlignment="1">
      <alignment horizontal="center" wrapText="1"/>
    </xf>
    <xf numFmtId="49" fontId="8" fillId="0" borderId="21" xfId="1" applyNumberFormat="1" applyFont="1" applyBorder="1" applyAlignment="1">
      <alignment horizontal="center"/>
    </xf>
    <xf numFmtId="49" fontId="8" fillId="0" borderId="6" xfId="1" applyNumberFormat="1" applyFont="1" applyBorder="1" applyAlignment="1">
      <alignment horizontal="center"/>
    </xf>
    <xf numFmtId="0" fontId="9" fillId="4" borderId="3" xfId="1" applyFont="1" applyFill="1" applyBorder="1" applyAlignment="1">
      <alignment vertical="center"/>
    </xf>
    <xf numFmtId="0" fontId="8" fillId="0" borderId="7" xfId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10" fillId="4" borderId="12" xfId="1" applyNumberFormat="1" applyFont="1" applyFill="1" applyBorder="1" applyAlignment="1">
      <alignment horizontal="center"/>
    </xf>
    <xf numFmtId="49" fontId="10" fillId="4" borderId="7" xfId="1" applyNumberFormat="1" applyFont="1" applyFill="1" applyBorder="1" applyAlignment="1">
      <alignment horizontal="center"/>
    </xf>
    <xf numFmtId="49" fontId="10" fillId="4" borderId="3" xfId="1" applyNumberFormat="1" applyFont="1" applyFill="1" applyBorder="1"/>
    <xf numFmtId="12" fontId="10" fillId="0" borderId="3" xfId="1" applyNumberFormat="1" applyFont="1" applyBorder="1" applyAlignment="1">
      <alignment horizontal="center"/>
    </xf>
    <xf numFmtId="49" fontId="10" fillId="0" borderId="3" xfId="1" applyNumberFormat="1" applyFont="1" applyBorder="1"/>
    <xf numFmtId="49" fontId="11" fillId="2" borderId="9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5" fontId="10" fillId="2" borderId="0" xfId="1" applyNumberFormat="1" applyFont="1" applyFill="1" applyAlignment="1">
      <alignment horizontal="center" wrapText="1"/>
    </xf>
    <xf numFmtId="0" fontId="10" fillId="2" borderId="8" xfId="1" applyFont="1" applyFill="1" applyBorder="1" applyAlignment="1">
      <alignment horizontal="center"/>
    </xf>
    <xf numFmtId="0" fontId="10" fillId="3" borderId="30" xfId="1" applyFont="1" applyFill="1" applyBorder="1" applyAlignment="1">
      <alignment horizontal="center"/>
    </xf>
    <xf numFmtId="0" fontId="10" fillId="3" borderId="31" xfId="1" applyFont="1" applyFill="1" applyBorder="1" applyAlignment="1">
      <alignment horizontal="center"/>
    </xf>
    <xf numFmtId="0" fontId="10" fillId="3" borderId="31" xfId="1" applyFont="1" applyFill="1" applyBorder="1"/>
    <xf numFmtId="0" fontId="8" fillId="3" borderId="31" xfId="1" applyFont="1" applyFill="1" applyBorder="1" applyAlignment="1">
      <alignment horizontal="center"/>
    </xf>
    <xf numFmtId="1" fontId="8" fillId="3" borderId="31" xfId="1" applyNumberFormat="1" applyFont="1" applyFill="1" applyBorder="1" applyAlignment="1">
      <alignment horizontal="center"/>
    </xf>
    <xf numFmtId="165" fontId="10" fillId="3" borderId="31" xfId="1" applyNumberFormat="1" applyFont="1" applyFill="1" applyBorder="1" applyAlignment="1">
      <alignment horizontal="center" wrapText="1"/>
    </xf>
    <xf numFmtId="0" fontId="10" fillId="3" borderId="32" xfId="1" applyFont="1" applyFill="1" applyBorder="1" applyAlignment="1">
      <alignment horizontal="center"/>
    </xf>
    <xf numFmtId="1" fontId="10" fillId="0" borderId="27" xfId="0" applyNumberFormat="1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22" xfId="1" applyFont="1" applyBorder="1" applyAlignment="1">
      <alignment horizontal="left"/>
    </xf>
    <xf numFmtId="0" fontId="10" fillId="0" borderId="23" xfId="1" applyFont="1" applyBorder="1" applyAlignment="1">
      <alignment horizontal="left"/>
    </xf>
    <xf numFmtId="0" fontId="10" fillId="0" borderId="24" xfId="1" applyFont="1" applyBorder="1" applyAlignment="1">
      <alignment horizontal="left"/>
    </xf>
    <xf numFmtId="0" fontId="8" fillId="5" borderId="44" xfId="2" applyFont="1" applyFill="1" applyBorder="1" applyAlignment="1">
      <alignment horizontal="center"/>
    </xf>
    <xf numFmtId="0" fontId="8" fillId="5" borderId="16" xfId="2" applyFont="1" applyFill="1" applyBorder="1" applyAlignment="1">
      <alignment horizontal="center"/>
    </xf>
    <xf numFmtId="0" fontId="10" fillId="2" borderId="3" xfId="2" applyFont="1" applyFill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21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wrapText="1"/>
    </xf>
    <xf numFmtId="0" fontId="10" fillId="0" borderId="41" xfId="0" applyFont="1" applyBorder="1" applyAlignment="1">
      <alignment horizontal="left" wrapText="1"/>
    </xf>
    <xf numFmtId="0" fontId="10" fillId="0" borderId="27" xfId="0" applyFont="1" applyBorder="1" applyAlignment="1">
      <alignment horizontal="left" wrapText="1"/>
    </xf>
    <xf numFmtId="0" fontId="10" fillId="0" borderId="38" xfId="0" applyFont="1" applyBorder="1" applyAlignment="1">
      <alignment horizontal="left" wrapText="1"/>
    </xf>
    <xf numFmtId="0" fontId="10" fillId="0" borderId="21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21" xfId="1" applyFont="1" applyBorder="1" applyAlignment="1">
      <alignment horizontal="left" wrapText="1"/>
    </xf>
    <xf numFmtId="0" fontId="10" fillId="0" borderId="6" xfId="1" applyFont="1" applyBorder="1" applyAlignment="1">
      <alignment horizontal="left" wrapText="1"/>
    </xf>
    <xf numFmtId="0" fontId="10" fillId="0" borderId="11" xfId="1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8" fillId="0" borderId="21" xfId="1" applyFont="1" applyBorder="1" applyAlignment="1">
      <alignment horizontal="right"/>
    </xf>
    <xf numFmtId="0" fontId="8" fillId="0" borderId="6" xfId="1" applyFont="1" applyBorder="1" applyAlignment="1">
      <alignment horizontal="right"/>
    </xf>
    <xf numFmtId="0" fontId="8" fillId="0" borderId="7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165" fontId="10" fillId="0" borderId="29" xfId="1" applyNumberFormat="1" applyFont="1" applyBorder="1" applyAlignment="1">
      <alignment horizontal="center"/>
    </xf>
    <xf numFmtId="165" fontId="10" fillId="0" borderId="11" xfId="1" applyNumberFormat="1" applyFont="1" applyBorder="1" applyAlignment="1">
      <alignment horizontal="center"/>
    </xf>
    <xf numFmtId="165" fontId="10" fillId="0" borderId="29" xfId="1" applyNumberFormat="1" applyFont="1" applyBorder="1" applyAlignment="1">
      <alignment horizontal="right" wrapText="1"/>
    </xf>
    <xf numFmtId="165" fontId="10" fillId="0" borderId="7" xfId="1" applyNumberFormat="1" applyFont="1" applyBorder="1" applyAlignment="1">
      <alignment horizontal="right" wrapText="1"/>
    </xf>
    <xf numFmtId="0" fontId="8" fillId="0" borderId="17" xfId="1" applyFont="1" applyBorder="1" applyAlignment="1">
      <alignment horizontal="right"/>
    </xf>
    <xf numFmtId="0" fontId="8" fillId="0" borderId="20" xfId="1" applyFont="1" applyBorder="1" applyAlignment="1">
      <alignment horizontal="right"/>
    </xf>
    <xf numFmtId="0" fontId="8" fillId="0" borderId="18" xfId="1" applyFont="1" applyBorder="1" applyAlignment="1">
      <alignment horizontal="right"/>
    </xf>
    <xf numFmtId="0" fontId="10" fillId="0" borderId="18" xfId="1" applyFont="1" applyBorder="1" applyAlignment="1">
      <alignment horizontal="right"/>
    </xf>
    <xf numFmtId="165" fontId="10" fillId="0" borderId="43" xfId="1" applyNumberFormat="1" applyFont="1" applyBorder="1" applyAlignment="1">
      <alignment horizontal="center"/>
    </xf>
    <xf numFmtId="165" fontId="10" fillId="0" borderId="24" xfId="1" applyNumberFormat="1" applyFont="1" applyBorder="1" applyAlignment="1">
      <alignment horizontal="center"/>
    </xf>
    <xf numFmtId="0" fontId="8" fillId="3" borderId="30" xfId="1" applyFont="1" applyFill="1" applyBorder="1" applyAlignment="1">
      <alignment horizontal="center"/>
    </xf>
    <xf numFmtId="0" fontId="8" fillId="3" borderId="31" xfId="1" applyFont="1" applyFill="1" applyBorder="1" applyAlignment="1">
      <alignment horizontal="center"/>
    </xf>
    <xf numFmtId="0" fontId="8" fillId="3" borderId="32" xfId="1" applyFont="1" applyFill="1" applyBorder="1" applyAlignment="1">
      <alignment horizontal="center"/>
    </xf>
    <xf numFmtId="0" fontId="10" fillId="0" borderId="40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8" fillId="0" borderId="25" xfId="1" applyFont="1" applyBorder="1" applyAlignment="1">
      <alignment horizontal="right"/>
    </xf>
    <xf numFmtId="0" fontId="8" fillId="0" borderId="5" xfId="1" applyFont="1" applyBorder="1" applyAlignment="1">
      <alignment horizontal="right"/>
    </xf>
    <xf numFmtId="0" fontId="8" fillId="0" borderId="41" xfId="1" applyFont="1" applyBorder="1" applyAlignment="1">
      <alignment horizontal="right"/>
    </xf>
    <xf numFmtId="165" fontId="10" fillId="0" borderId="27" xfId="1" applyNumberFormat="1" applyFont="1" applyBorder="1" applyAlignment="1">
      <alignment horizontal="right"/>
    </xf>
    <xf numFmtId="0" fontId="10" fillId="2" borderId="42" xfId="1" applyFont="1" applyFill="1" applyBorder="1" applyAlignment="1">
      <alignment horizontal="center"/>
    </xf>
    <xf numFmtId="0" fontId="10" fillId="2" borderId="10" xfId="1" applyFont="1" applyFill="1" applyBorder="1" applyAlignment="1">
      <alignment horizontal="center"/>
    </xf>
    <xf numFmtId="0" fontId="2" fillId="2" borderId="0" xfId="3" applyFont="1" applyFill="1" applyAlignment="1">
      <alignment horizontal="right"/>
    </xf>
    <xf numFmtId="0" fontId="7" fillId="2" borderId="39" xfId="3" applyFont="1" applyFill="1" applyBorder="1" applyAlignment="1">
      <alignment horizontal="center"/>
    </xf>
    <xf numFmtId="0" fontId="2" fillId="2" borderId="0" xfId="3" applyFont="1" applyFill="1"/>
    <xf numFmtId="0" fontId="6" fillId="3" borderId="40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40" xfId="1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18" xfId="1" applyFont="1" applyFill="1" applyBorder="1" applyAlignment="1">
      <alignment horizontal="center" vertical="center"/>
    </xf>
    <xf numFmtId="14" fontId="4" fillId="2" borderId="13" xfId="2" applyNumberFormat="1" applyFont="1" applyFill="1" applyBorder="1" applyAlignment="1">
      <alignment horizontal="center" vertical="center" wrapText="1"/>
    </xf>
    <xf numFmtId="14" fontId="4" fillId="2" borderId="28" xfId="2" applyNumberFormat="1" applyFont="1" applyFill="1" applyBorder="1" applyAlignment="1">
      <alignment horizontal="center" vertical="center" wrapText="1"/>
    </xf>
    <xf numFmtId="14" fontId="4" fillId="2" borderId="38" xfId="2" applyNumberFormat="1" applyFont="1" applyFill="1" applyBorder="1" applyAlignment="1">
      <alignment horizontal="center" vertical="center" wrapText="1"/>
    </xf>
    <xf numFmtId="0" fontId="4" fillId="2" borderId="34" xfId="2" applyFont="1" applyFill="1" applyBorder="1" applyAlignment="1">
      <alignment horizontal="left"/>
    </xf>
    <xf numFmtId="0" fontId="4" fillId="2" borderId="35" xfId="2" applyFont="1" applyFill="1" applyBorder="1" applyAlignment="1">
      <alignment horizontal="left"/>
    </xf>
    <xf numFmtId="0" fontId="4" fillId="2" borderId="26" xfId="2" applyFont="1" applyFill="1" applyBorder="1" applyAlignment="1">
      <alignment horizontal="left"/>
    </xf>
    <xf numFmtId="0" fontId="4" fillId="2" borderId="29" xfId="2" applyFont="1" applyFill="1" applyBorder="1" applyAlignment="1">
      <alignment horizontal="left"/>
    </xf>
    <xf numFmtId="0" fontId="4" fillId="2" borderId="6" xfId="2" applyFont="1" applyFill="1" applyBorder="1" applyAlignment="1">
      <alignment horizontal="left"/>
    </xf>
    <xf numFmtId="0" fontId="4" fillId="2" borderId="7" xfId="2" applyFont="1" applyFill="1" applyBorder="1" applyAlignment="1">
      <alignment horizontal="left"/>
    </xf>
    <xf numFmtId="0" fontId="4" fillId="2" borderId="15" xfId="2" applyFont="1" applyFill="1" applyBorder="1" applyAlignment="1">
      <alignment horizontal="center"/>
    </xf>
    <xf numFmtId="0" fontId="4" fillId="2" borderId="16" xfId="2" applyFont="1" applyFill="1" applyBorder="1" applyAlignment="1">
      <alignment horizontal="center"/>
    </xf>
    <xf numFmtId="0" fontId="4" fillId="2" borderId="9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25" xfId="2" applyFont="1" applyFill="1" applyBorder="1" applyAlignment="1">
      <alignment horizontal="center"/>
    </xf>
    <xf numFmtId="0" fontId="4" fillId="2" borderId="5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2" borderId="14" xfId="2" applyFont="1" applyFill="1" applyBorder="1" applyAlignment="1">
      <alignment horizontal="center"/>
    </xf>
    <xf numFmtId="0" fontId="12" fillId="3" borderId="30" xfId="2" applyFont="1" applyFill="1" applyBorder="1" applyAlignment="1">
      <alignment horizontal="center" vertical="center" wrapText="1"/>
    </xf>
    <xf numFmtId="0" fontId="12" fillId="3" borderId="31" xfId="2" applyFont="1" applyFill="1" applyBorder="1" applyAlignment="1">
      <alignment horizontal="center" vertical="center" wrapText="1"/>
    </xf>
    <xf numFmtId="0" fontId="12" fillId="3" borderId="32" xfId="2" applyFont="1" applyFill="1" applyBorder="1" applyAlignment="1">
      <alignment horizontal="center" vertical="center" wrapText="1"/>
    </xf>
    <xf numFmtId="0" fontId="6" fillId="2" borderId="33" xfId="2" applyFont="1" applyFill="1" applyBorder="1" applyAlignment="1">
      <alignment horizontal="right" vertical="top" wrapText="1"/>
    </xf>
    <xf numFmtId="0" fontId="6" fillId="2" borderId="36" xfId="2" applyFont="1" applyFill="1" applyBorder="1" applyAlignment="1">
      <alignment horizontal="right" vertical="top" wrapText="1"/>
    </xf>
    <xf numFmtId="0" fontId="6" fillId="2" borderId="37" xfId="2" applyFont="1" applyFill="1" applyBorder="1" applyAlignment="1">
      <alignment horizontal="right" vertical="top" wrapText="1"/>
    </xf>
  </cellXfs>
  <cellStyles count="6">
    <cellStyle name="Normal" xfId="0" builtinId="0"/>
    <cellStyle name="Normal 2" xfId="1" xr:uid="{617E1FF8-AAEF-4036-986B-963A14E1BF64}"/>
    <cellStyle name="Normal 3 2" xfId="4" xr:uid="{0CEF6948-A854-4C0A-BDCC-6054A5E376FC}"/>
    <cellStyle name="Normal_CRITERIOS DE EVALUACION PT DE GB" xfId="2" xr:uid="{D8968566-DBDC-4017-A57B-F80049939515}"/>
    <cellStyle name="Normal_CRITERIOS DE EVALUACION PT DE GB 2" xfId="3" xr:uid="{A1A26018-67AC-4C1B-B973-CD9BB264B1A0}"/>
    <cellStyle name="Porcentaje 2 2" xfId="5" xr:uid="{1890B54E-6C4E-4534-A374-0696C5741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83343</xdr:rowOff>
    </xdr:from>
    <xdr:to>
      <xdr:col>1</xdr:col>
      <xdr:colOff>1127232</xdr:colOff>
      <xdr:row>4</xdr:row>
      <xdr:rowOff>107155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0D39763-6E39-477E-96C8-AA528F198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83343"/>
          <a:ext cx="2055919" cy="92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7A09-2B2B-4EB1-B0C0-C41975839740}">
  <sheetPr>
    <pageSetUpPr fitToPage="1"/>
  </sheetPr>
  <dimension ref="A1:M63"/>
  <sheetViews>
    <sheetView tabSelected="1" zoomScale="90" zoomScaleNormal="90" zoomScaleSheetLayoutView="70" workbookViewId="0">
      <selection activeCell="I9" sqref="I9"/>
    </sheetView>
  </sheetViews>
  <sheetFormatPr baseColWidth="10" defaultRowHeight="12.75" x14ac:dyDescent="0.2"/>
  <cols>
    <col min="1" max="1" width="15" bestFit="1" customWidth="1"/>
    <col min="2" max="2" width="18.5703125" bestFit="1" customWidth="1"/>
    <col min="3" max="3" width="56.42578125" customWidth="1"/>
    <col min="4" max="4" width="34.28515625" bestFit="1" customWidth="1"/>
    <col min="5" max="5" width="14.140625" customWidth="1"/>
    <col min="6" max="6" width="15.42578125" customWidth="1"/>
    <col min="7" max="7" width="18" customWidth="1"/>
    <col min="8" max="8" width="14.7109375" customWidth="1"/>
    <col min="9" max="9" width="18.42578125" bestFit="1" customWidth="1"/>
  </cols>
  <sheetData>
    <row r="1" spans="1:12" ht="15" x14ac:dyDescent="0.2">
      <c r="A1" s="156"/>
      <c r="B1" s="157"/>
      <c r="C1" s="162" t="s">
        <v>44</v>
      </c>
      <c r="D1" s="162"/>
      <c r="E1" s="162"/>
      <c r="F1" s="162"/>
      <c r="G1" s="162"/>
      <c r="H1" s="2" t="s">
        <v>45</v>
      </c>
      <c r="I1" s="1" t="s">
        <v>46</v>
      </c>
    </row>
    <row r="2" spans="1:12" ht="16.5" thickBot="1" x14ac:dyDescent="0.3">
      <c r="A2" s="158"/>
      <c r="B2" s="159"/>
      <c r="C2" s="163" t="s">
        <v>11</v>
      </c>
      <c r="D2" s="163"/>
      <c r="E2" s="163"/>
      <c r="F2" s="163"/>
      <c r="G2" s="163"/>
      <c r="H2" s="3" t="s">
        <v>47</v>
      </c>
      <c r="I2" s="4" t="s">
        <v>91</v>
      </c>
    </row>
    <row r="3" spans="1:12" ht="26.25" thickBot="1" x14ac:dyDescent="0.25">
      <c r="A3" s="158"/>
      <c r="B3" s="159"/>
      <c r="C3" s="164" t="s">
        <v>43</v>
      </c>
      <c r="D3" s="165"/>
      <c r="E3" s="165"/>
      <c r="F3" s="165"/>
      <c r="G3" s="166"/>
      <c r="H3" s="167" t="s">
        <v>48</v>
      </c>
      <c r="I3" s="147">
        <v>45661</v>
      </c>
    </row>
    <row r="4" spans="1:12" ht="13.5" x14ac:dyDescent="0.25">
      <c r="A4" s="158"/>
      <c r="B4" s="159"/>
      <c r="C4" s="5" t="s">
        <v>49</v>
      </c>
      <c r="D4" s="150" t="s">
        <v>50</v>
      </c>
      <c r="E4" s="151"/>
      <c r="F4" s="151"/>
      <c r="G4" s="152"/>
      <c r="H4" s="168"/>
      <c r="I4" s="148"/>
    </row>
    <row r="5" spans="1:12" ht="14.25" thickBot="1" x14ac:dyDescent="0.3">
      <c r="A5" s="160"/>
      <c r="B5" s="161"/>
      <c r="C5" s="6" t="s">
        <v>51</v>
      </c>
      <c r="D5" s="153" t="s">
        <v>52</v>
      </c>
      <c r="E5" s="154"/>
      <c r="F5" s="154"/>
      <c r="G5" s="155"/>
      <c r="H5" s="169"/>
      <c r="I5" s="149"/>
    </row>
    <row r="6" spans="1:12" ht="18.75" thickBot="1" x14ac:dyDescent="0.3">
      <c r="A6" s="138" t="s">
        <v>53</v>
      </c>
      <c r="B6" s="138"/>
      <c r="C6" s="138"/>
      <c r="D6" s="139" t="s">
        <v>54</v>
      </c>
      <c r="E6" s="139"/>
      <c r="F6" s="139"/>
      <c r="G6" s="140" t="s">
        <v>55</v>
      </c>
      <c r="H6" s="140"/>
      <c r="I6" s="7" t="s">
        <v>54</v>
      </c>
    </row>
    <row r="7" spans="1:12" x14ac:dyDescent="0.2">
      <c r="A7" s="141" t="s">
        <v>0</v>
      </c>
      <c r="B7" s="143" t="s">
        <v>56</v>
      </c>
      <c r="C7" s="145" t="s">
        <v>1</v>
      </c>
      <c r="D7" s="145" t="s">
        <v>2</v>
      </c>
      <c r="E7" s="145" t="s">
        <v>3</v>
      </c>
      <c r="F7" s="145"/>
      <c r="G7" s="145" t="s">
        <v>57</v>
      </c>
      <c r="H7" s="145"/>
      <c r="I7" s="8" t="s">
        <v>4</v>
      </c>
    </row>
    <row r="8" spans="1:12" ht="26.25" thickBot="1" x14ac:dyDescent="0.25">
      <c r="A8" s="142"/>
      <c r="B8" s="144"/>
      <c r="C8" s="146"/>
      <c r="D8" s="146"/>
      <c r="E8" s="9" t="s">
        <v>5</v>
      </c>
      <c r="F8" s="10" t="s">
        <v>6</v>
      </c>
      <c r="G8" s="9" t="s">
        <v>5</v>
      </c>
      <c r="H8" s="10" t="s">
        <v>6</v>
      </c>
      <c r="I8" s="11" t="s">
        <v>7</v>
      </c>
    </row>
    <row r="9" spans="1:12" ht="20.25" x14ac:dyDescent="0.3">
      <c r="A9" s="16"/>
      <c r="B9" s="17"/>
      <c r="C9" s="18" t="s">
        <v>58</v>
      </c>
      <c r="D9" s="19"/>
      <c r="E9" s="20"/>
      <c r="F9" s="21"/>
      <c r="G9" s="20"/>
      <c r="H9" s="21"/>
      <c r="I9" s="22"/>
    </row>
    <row r="10" spans="1:12" ht="20.25" x14ac:dyDescent="0.3">
      <c r="A10" s="23" t="s">
        <v>20</v>
      </c>
      <c r="B10" s="23" t="s">
        <v>28</v>
      </c>
      <c r="C10" s="24" t="s">
        <v>41</v>
      </c>
      <c r="D10" s="25" t="s">
        <v>59</v>
      </c>
      <c r="E10" s="26">
        <v>1600</v>
      </c>
      <c r="F10" s="27" t="s">
        <v>16</v>
      </c>
      <c r="G10" s="28"/>
      <c r="H10" s="21"/>
      <c r="I10" s="22"/>
      <c r="J10">
        <f>E10/$L$13</f>
        <v>65.454545454545453</v>
      </c>
    </row>
    <row r="11" spans="1:12" ht="20.25" x14ac:dyDescent="0.3">
      <c r="A11" s="29" t="s">
        <v>33</v>
      </c>
      <c r="B11" s="29" t="s">
        <v>34</v>
      </c>
      <c r="C11" s="30" t="s">
        <v>60</v>
      </c>
      <c r="D11" s="31" t="s">
        <v>61</v>
      </c>
      <c r="E11" s="32">
        <v>300</v>
      </c>
      <c r="F11" s="33" t="s">
        <v>16</v>
      </c>
      <c r="G11" s="28"/>
      <c r="H11" s="21"/>
      <c r="I11" s="22"/>
      <c r="J11">
        <f t="shared" ref="J11:J20" si="0">E11/$L$13</f>
        <v>12.272727272727273</v>
      </c>
    </row>
    <row r="12" spans="1:12" ht="20.25" x14ac:dyDescent="0.3">
      <c r="A12" s="29"/>
      <c r="B12" s="29" t="s">
        <v>42</v>
      </c>
      <c r="C12" s="30" t="s">
        <v>62</v>
      </c>
      <c r="D12" s="31" t="s">
        <v>63</v>
      </c>
      <c r="E12" s="32">
        <v>1800</v>
      </c>
      <c r="F12" s="33" t="s">
        <v>16</v>
      </c>
      <c r="G12" s="28"/>
      <c r="H12" s="21"/>
      <c r="I12" s="22"/>
      <c r="J12">
        <f t="shared" si="0"/>
        <v>73.63636363636364</v>
      </c>
    </row>
    <row r="13" spans="1:12" ht="20.25" x14ac:dyDescent="0.3">
      <c r="A13" s="29" t="s">
        <v>21</v>
      </c>
      <c r="B13" s="29" t="s">
        <v>29</v>
      </c>
      <c r="C13" s="30" t="s">
        <v>40</v>
      </c>
      <c r="D13" s="31" t="s">
        <v>61</v>
      </c>
      <c r="E13" s="32">
        <v>1500</v>
      </c>
      <c r="F13" s="33" t="s">
        <v>16</v>
      </c>
      <c r="G13" s="28"/>
      <c r="H13" s="21"/>
      <c r="I13" s="22"/>
      <c r="J13">
        <f t="shared" si="0"/>
        <v>61.363636363636367</v>
      </c>
      <c r="L13">
        <f>11000/450</f>
        <v>24.444444444444443</v>
      </c>
    </row>
    <row r="14" spans="1:12" ht="20.25" x14ac:dyDescent="0.3">
      <c r="A14" s="29" t="s">
        <v>22</v>
      </c>
      <c r="B14" s="29" t="s">
        <v>30</v>
      </c>
      <c r="C14" s="30" t="s">
        <v>23</v>
      </c>
      <c r="D14" s="31" t="s">
        <v>24</v>
      </c>
      <c r="E14" s="32">
        <v>120</v>
      </c>
      <c r="F14" s="33" t="s">
        <v>16</v>
      </c>
      <c r="G14" s="28"/>
      <c r="H14" s="21"/>
      <c r="I14" s="22"/>
      <c r="J14">
        <f t="shared" si="0"/>
        <v>4.9090909090909092</v>
      </c>
    </row>
    <row r="15" spans="1:12" ht="20.25" x14ac:dyDescent="0.3">
      <c r="A15" s="29">
        <v>512319</v>
      </c>
      <c r="B15" s="29" t="s">
        <v>35</v>
      </c>
      <c r="C15" s="30" t="s">
        <v>64</v>
      </c>
      <c r="D15" s="31" t="s">
        <v>65</v>
      </c>
      <c r="E15" s="32">
        <v>150</v>
      </c>
      <c r="F15" s="33" t="s">
        <v>16</v>
      </c>
      <c r="G15" s="28"/>
      <c r="H15" s="21"/>
      <c r="I15" s="22"/>
      <c r="J15">
        <f t="shared" si="0"/>
        <v>6.1363636363636367</v>
      </c>
    </row>
    <row r="16" spans="1:12" ht="20.25" x14ac:dyDescent="0.3">
      <c r="A16" s="34" t="s">
        <v>36</v>
      </c>
      <c r="B16" s="34" t="s">
        <v>37</v>
      </c>
      <c r="C16" s="35" t="s">
        <v>67</v>
      </c>
      <c r="D16" s="31" t="s">
        <v>66</v>
      </c>
      <c r="E16" s="32">
        <v>10</v>
      </c>
      <c r="F16" s="33" t="s">
        <v>16</v>
      </c>
      <c r="G16" s="28"/>
      <c r="H16" s="21"/>
      <c r="I16" s="22"/>
      <c r="J16">
        <f t="shared" si="0"/>
        <v>0.40909090909090912</v>
      </c>
    </row>
    <row r="17" spans="1:10" ht="20.25" x14ac:dyDescent="0.3">
      <c r="A17" s="34">
        <v>101155</v>
      </c>
      <c r="B17" s="34" t="s">
        <v>84</v>
      </c>
      <c r="C17" s="35" t="s">
        <v>85</v>
      </c>
      <c r="D17" s="31" t="s">
        <v>86</v>
      </c>
      <c r="E17" s="32">
        <v>5000</v>
      </c>
      <c r="F17" s="33" t="s">
        <v>16</v>
      </c>
      <c r="G17" s="28"/>
      <c r="H17" s="21"/>
      <c r="I17" s="22"/>
      <c r="J17">
        <f t="shared" si="0"/>
        <v>204.54545454545456</v>
      </c>
    </row>
    <row r="18" spans="1:10" ht="20.25" x14ac:dyDescent="0.3">
      <c r="A18" s="34" t="s">
        <v>18</v>
      </c>
      <c r="B18" s="34" t="s">
        <v>31</v>
      </c>
      <c r="C18" s="35" t="s">
        <v>19</v>
      </c>
      <c r="D18" s="31" t="s">
        <v>68</v>
      </c>
      <c r="E18" s="32">
        <v>10</v>
      </c>
      <c r="F18" s="33" t="s">
        <v>16</v>
      </c>
      <c r="G18" s="28"/>
      <c r="H18" s="21"/>
      <c r="I18" s="22"/>
      <c r="J18">
        <f t="shared" si="0"/>
        <v>0.40909090909090912</v>
      </c>
    </row>
    <row r="19" spans="1:10" ht="20.25" x14ac:dyDescent="0.3">
      <c r="A19" s="34" t="s">
        <v>25</v>
      </c>
      <c r="B19" s="34" t="s">
        <v>32</v>
      </c>
      <c r="C19" s="35" t="s">
        <v>26</v>
      </c>
      <c r="D19" s="31" t="s">
        <v>24</v>
      </c>
      <c r="E19" s="32">
        <v>100</v>
      </c>
      <c r="F19" s="33" t="s">
        <v>16</v>
      </c>
      <c r="G19" s="28"/>
      <c r="H19" s="21"/>
      <c r="I19" s="22"/>
      <c r="J19">
        <f t="shared" si="0"/>
        <v>4.0909090909090908</v>
      </c>
    </row>
    <row r="20" spans="1:10" ht="20.25" x14ac:dyDescent="0.3">
      <c r="A20" s="34" t="s">
        <v>38</v>
      </c>
      <c r="B20" s="34" t="s">
        <v>39</v>
      </c>
      <c r="C20" s="35" t="s">
        <v>69</v>
      </c>
      <c r="D20" s="31" t="s">
        <v>70</v>
      </c>
      <c r="E20" s="32">
        <v>1000</v>
      </c>
      <c r="F20" s="33" t="s">
        <v>16</v>
      </c>
      <c r="G20" s="28"/>
      <c r="H20" s="21"/>
      <c r="I20" s="22"/>
      <c r="J20">
        <f t="shared" si="0"/>
        <v>40.909090909090914</v>
      </c>
    </row>
    <row r="21" spans="1:10" ht="20.25" x14ac:dyDescent="0.3">
      <c r="A21" s="34"/>
      <c r="B21" s="34"/>
      <c r="C21" s="35"/>
      <c r="D21" s="31"/>
      <c r="E21" s="32"/>
      <c r="F21" s="33"/>
      <c r="G21" s="28"/>
      <c r="H21" s="21"/>
      <c r="I21" s="22"/>
    </row>
    <row r="22" spans="1:10" ht="20.25" x14ac:dyDescent="0.3">
      <c r="A22" s="29"/>
      <c r="B22" s="29"/>
      <c r="C22" s="30"/>
      <c r="D22" s="36"/>
      <c r="E22" s="32"/>
      <c r="F22" s="37"/>
      <c r="G22" s="28"/>
      <c r="H22" s="21"/>
      <c r="I22" s="22"/>
    </row>
    <row r="23" spans="1:10" ht="20.25" x14ac:dyDescent="0.3">
      <c r="A23" s="29"/>
      <c r="B23" s="29"/>
      <c r="C23" s="30"/>
      <c r="D23" s="31"/>
      <c r="E23" s="32"/>
      <c r="F23" s="33"/>
      <c r="G23" s="20"/>
      <c r="H23" s="21"/>
      <c r="I23" s="22"/>
    </row>
    <row r="24" spans="1:10" ht="20.25" x14ac:dyDescent="0.3">
      <c r="A24" s="38"/>
      <c r="B24" s="34"/>
      <c r="C24" s="39"/>
      <c r="D24" s="40"/>
      <c r="E24" s="41"/>
      <c r="F24" s="33"/>
      <c r="G24" s="20"/>
      <c r="H24" s="21"/>
      <c r="I24" s="22"/>
    </row>
    <row r="25" spans="1:10" ht="20.25" x14ac:dyDescent="0.3">
      <c r="A25" s="38"/>
      <c r="B25" s="34"/>
      <c r="C25" s="39"/>
      <c r="D25" s="40"/>
      <c r="E25" s="41"/>
      <c r="F25" s="33"/>
      <c r="G25" s="20"/>
      <c r="H25" s="21"/>
      <c r="I25" s="22"/>
    </row>
    <row r="26" spans="1:10" ht="20.25" x14ac:dyDescent="0.3">
      <c r="A26" s="38"/>
      <c r="B26" s="34"/>
      <c r="C26" s="39"/>
      <c r="D26" s="40"/>
      <c r="E26" s="41"/>
      <c r="F26" s="33"/>
      <c r="G26" s="20"/>
      <c r="H26" s="21"/>
      <c r="I26" s="22"/>
    </row>
    <row r="27" spans="1:10" ht="20.25" x14ac:dyDescent="0.3">
      <c r="A27" s="34"/>
      <c r="B27" s="34"/>
      <c r="C27" s="42"/>
      <c r="D27" s="43"/>
      <c r="E27" s="43"/>
      <c r="F27" s="44"/>
      <c r="G27" s="20"/>
      <c r="H27" s="21"/>
      <c r="I27" s="22"/>
    </row>
    <row r="28" spans="1:10" ht="20.25" x14ac:dyDescent="0.3">
      <c r="A28" s="45"/>
      <c r="B28" s="46"/>
      <c r="C28" s="47" t="s">
        <v>71</v>
      </c>
      <c r="D28" s="48"/>
      <c r="E28" s="49"/>
      <c r="F28" s="44"/>
      <c r="G28" s="20"/>
      <c r="H28" s="21"/>
      <c r="I28" s="22"/>
    </row>
    <row r="29" spans="1:10" ht="20.25" x14ac:dyDescent="0.3">
      <c r="A29" s="50"/>
      <c r="B29" s="48"/>
      <c r="C29" s="51"/>
      <c r="D29" s="52"/>
      <c r="E29" s="43"/>
      <c r="F29" s="44"/>
      <c r="G29" s="20"/>
      <c r="H29" s="21"/>
      <c r="I29" s="22"/>
    </row>
    <row r="30" spans="1:10" ht="20.25" x14ac:dyDescent="0.3">
      <c r="A30" s="34"/>
      <c r="B30" s="34"/>
      <c r="C30" s="42"/>
      <c r="D30" s="52"/>
      <c r="E30" s="43"/>
      <c r="F30" s="44"/>
      <c r="G30" s="20"/>
      <c r="H30" s="21"/>
      <c r="I30" s="22"/>
    </row>
    <row r="31" spans="1:10" ht="20.25" x14ac:dyDescent="0.3">
      <c r="A31" s="53"/>
      <c r="B31" s="53"/>
      <c r="C31" s="51"/>
      <c r="D31" s="52"/>
      <c r="E31" s="43"/>
      <c r="F31" s="44"/>
      <c r="G31" s="20"/>
      <c r="H31" s="21"/>
      <c r="I31" s="22"/>
    </row>
    <row r="32" spans="1:10" ht="20.25" x14ac:dyDescent="0.3">
      <c r="A32" s="34"/>
      <c r="B32" s="34"/>
      <c r="C32" s="42"/>
      <c r="D32" s="43"/>
      <c r="E32" s="48"/>
      <c r="F32" s="44"/>
      <c r="G32" s="20"/>
      <c r="H32" s="21"/>
      <c r="I32" s="22"/>
    </row>
    <row r="33" spans="1:13" ht="20.25" x14ac:dyDescent="0.3">
      <c r="A33" s="34"/>
      <c r="B33" s="34"/>
      <c r="C33" s="42"/>
      <c r="D33" s="40"/>
      <c r="E33" s="54"/>
      <c r="F33" s="55"/>
      <c r="G33" s="20"/>
      <c r="H33" s="21"/>
      <c r="I33" s="22"/>
    </row>
    <row r="34" spans="1:13" ht="20.25" x14ac:dyDescent="0.3">
      <c r="A34" s="56"/>
      <c r="B34" s="57"/>
      <c r="C34" s="58" t="s">
        <v>72</v>
      </c>
      <c r="D34" s="59"/>
      <c r="E34" s="20"/>
      <c r="F34" s="21"/>
      <c r="G34" s="20"/>
      <c r="H34" s="21"/>
      <c r="I34" s="22"/>
    </row>
    <row r="35" spans="1:13" ht="20.25" x14ac:dyDescent="0.3">
      <c r="A35" s="41"/>
      <c r="B35" s="34"/>
      <c r="C35" s="35"/>
      <c r="D35" s="40"/>
      <c r="E35" s="60"/>
      <c r="F35" s="33"/>
      <c r="G35" s="28"/>
      <c r="H35" s="21"/>
      <c r="I35" s="22"/>
    </row>
    <row r="36" spans="1:13" ht="20.25" x14ac:dyDescent="0.3">
      <c r="A36" s="34" t="s">
        <v>12</v>
      </c>
      <c r="B36" s="34" t="s">
        <v>73</v>
      </c>
      <c r="C36" s="35" t="s">
        <v>13</v>
      </c>
      <c r="D36" s="40" t="s">
        <v>74</v>
      </c>
      <c r="E36" s="41" t="s">
        <v>14</v>
      </c>
      <c r="F36" s="33" t="s">
        <v>15</v>
      </c>
      <c r="G36" s="20"/>
      <c r="H36" s="21"/>
      <c r="I36" s="22"/>
    </row>
    <row r="37" spans="1:13" ht="20.25" x14ac:dyDescent="0.3">
      <c r="A37" s="61"/>
      <c r="B37" s="62"/>
      <c r="C37" s="63"/>
      <c r="D37" s="48"/>
      <c r="E37" s="43"/>
      <c r="F37" s="44"/>
      <c r="G37" s="20"/>
      <c r="H37" s="21"/>
      <c r="I37" s="22"/>
    </row>
    <row r="38" spans="1:13" ht="20.25" x14ac:dyDescent="0.3">
      <c r="A38" s="36"/>
      <c r="B38" s="36"/>
      <c r="C38" s="42"/>
      <c r="D38" s="48"/>
      <c r="E38" s="43"/>
      <c r="F38" s="44"/>
      <c r="G38" s="20"/>
      <c r="H38" s="21"/>
      <c r="I38" s="22"/>
    </row>
    <row r="39" spans="1:13" ht="20.25" x14ac:dyDescent="0.3">
      <c r="A39" s="61"/>
      <c r="B39" s="62"/>
      <c r="C39" s="63"/>
      <c r="D39" s="48"/>
      <c r="E39" s="43"/>
      <c r="F39" s="44"/>
      <c r="G39" s="20"/>
      <c r="H39" s="21"/>
      <c r="I39" s="22"/>
    </row>
    <row r="40" spans="1:13" ht="20.25" x14ac:dyDescent="0.3">
      <c r="A40" s="61"/>
      <c r="B40" s="62"/>
      <c r="C40" s="63"/>
      <c r="D40" s="48"/>
      <c r="E40" s="43"/>
      <c r="F40" s="44"/>
      <c r="G40" s="64"/>
      <c r="H40" s="48"/>
      <c r="I40" s="22"/>
    </row>
    <row r="41" spans="1:13" ht="20.25" x14ac:dyDescent="0.3">
      <c r="A41" s="45"/>
      <c r="B41" s="46"/>
      <c r="C41" s="65"/>
      <c r="D41" s="48"/>
      <c r="E41" s="43"/>
      <c r="F41" s="44"/>
      <c r="G41" s="43"/>
      <c r="H41" s="48"/>
      <c r="I41" s="22"/>
    </row>
    <row r="42" spans="1:13" ht="20.25" x14ac:dyDescent="0.3">
      <c r="A42" s="45"/>
      <c r="B42" s="46"/>
      <c r="C42" s="65"/>
      <c r="D42" s="48"/>
      <c r="E42" s="43"/>
      <c r="F42" s="44"/>
      <c r="G42" s="43"/>
      <c r="H42" s="44"/>
      <c r="I42" s="22"/>
    </row>
    <row r="43" spans="1:13" ht="20.25" x14ac:dyDescent="0.3">
      <c r="A43" s="45"/>
      <c r="B43" s="46"/>
      <c r="C43" s="65"/>
      <c r="D43" s="48"/>
      <c r="E43" s="48"/>
      <c r="F43" s="44"/>
      <c r="G43" s="48"/>
      <c r="H43" s="48"/>
      <c r="I43" s="22"/>
    </row>
    <row r="44" spans="1:13" ht="21" thickBot="1" x14ac:dyDescent="0.35">
      <c r="A44" s="66"/>
      <c r="B44" s="67"/>
      <c r="C44" s="68"/>
      <c r="D44" s="68"/>
      <c r="E44" s="69"/>
      <c r="F44" s="70"/>
      <c r="G44" s="68"/>
      <c r="H44" s="68"/>
      <c r="I44" s="71"/>
      <c r="J44" s="13"/>
      <c r="K44" s="13"/>
      <c r="L44" s="14"/>
      <c r="M44" s="13"/>
    </row>
    <row r="45" spans="1:13" ht="21" thickBot="1" x14ac:dyDescent="0.35">
      <c r="A45" s="72"/>
      <c r="B45" s="73"/>
      <c r="C45" s="74"/>
      <c r="D45" s="75" t="s">
        <v>5</v>
      </c>
      <c r="E45" s="76" t="s">
        <v>75</v>
      </c>
      <c r="F45" s="77"/>
      <c r="G45" s="74"/>
      <c r="H45" s="74"/>
      <c r="I45" s="78"/>
      <c r="J45" s="13"/>
      <c r="K45" s="13"/>
      <c r="L45" s="14"/>
      <c r="M45" s="13"/>
    </row>
    <row r="46" spans="1:13" ht="20.25" x14ac:dyDescent="0.3">
      <c r="A46" s="132" t="s">
        <v>9</v>
      </c>
      <c r="B46" s="133"/>
      <c r="C46" s="134"/>
      <c r="D46" s="79">
        <v>11000</v>
      </c>
      <c r="E46" s="80" t="s">
        <v>16</v>
      </c>
      <c r="F46" s="135" t="s">
        <v>76</v>
      </c>
      <c r="G46" s="135"/>
      <c r="H46" s="136"/>
      <c r="I46" s="137"/>
      <c r="J46" s="13"/>
      <c r="K46" s="13"/>
      <c r="L46" s="14"/>
      <c r="M46" s="13"/>
    </row>
    <row r="47" spans="1:13" ht="20.25" x14ac:dyDescent="0.3">
      <c r="A47" s="111" t="s">
        <v>8</v>
      </c>
      <c r="B47" s="112"/>
      <c r="C47" s="113"/>
      <c r="D47" s="81">
        <v>15</v>
      </c>
      <c r="E47" s="34" t="s">
        <v>77</v>
      </c>
      <c r="F47" s="114" t="s">
        <v>78</v>
      </c>
      <c r="G47" s="114"/>
      <c r="H47" s="115"/>
      <c r="I47" s="116"/>
      <c r="J47" s="13"/>
      <c r="K47" s="13"/>
      <c r="L47" s="14"/>
      <c r="M47" s="13"/>
    </row>
    <row r="48" spans="1:13" ht="20.25" x14ac:dyDescent="0.3">
      <c r="A48" s="111" t="s">
        <v>79</v>
      </c>
      <c r="B48" s="112"/>
      <c r="C48" s="113"/>
      <c r="D48" s="34">
        <v>1</v>
      </c>
      <c r="E48" s="34" t="s">
        <v>80</v>
      </c>
      <c r="F48" s="114" t="s">
        <v>81</v>
      </c>
      <c r="G48" s="114"/>
      <c r="H48" s="115"/>
      <c r="I48" s="116"/>
      <c r="J48" s="13"/>
      <c r="K48" s="13"/>
      <c r="L48" s="14"/>
      <c r="M48" s="13"/>
    </row>
    <row r="49" spans="1:13" ht="20.25" x14ac:dyDescent="0.3">
      <c r="A49" s="111" t="s">
        <v>82</v>
      </c>
      <c r="B49" s="112"/>
      <c r="C49" s="113"/>
      <c r="D49" s="79">
        <v>11000</v>
      </c>
      <c r="E49" s="34"/>
      <c r="F49" s="117" t="s">
        <v>10</v>
      </c>
      <c r="G49" s="118"/>
      <c r="H49" s="115"/>
      <c r="I49" s="116"/>
      <c r="J49" s="13"/>
      <c r="K49" s="13"/>
      <c r="L49" s="14"/>
      <c r="M49" s="15"/>
    </row>
    <row r="50" spans="1:13" ht="21" thickBot="1" x14ac:dyDescent="0.35">
      <c r="A50" s="119" t="s">
        <v>17</v>
      </c>
      <c r="B50" s="120"/>
      <c r="C50" s="121"/>
      <c r="D50" s="82">
        <v>680</v>
      </c>
      <c r="E50" s="83"/>
      <c r="F50" s="122"/>
      <c r="G50" s="122"/>
      <c r="H50" s="123"/>
      <c r="I50" s="124"/>
      <c r="J50" s="12"/>
      <c r="K50" s="12"/>
      <c r="L50" s="14"/>
      <c r="M50" s="12"/>
    </row>
    <row r="51" spans="1:13" ht="21" thickBot="1" x14ac:dyDescent="0.35">
      <c r="A51" s="125" t="s">
        <v>83</v>
      </c>
      <c r="B51" s="126"/>
      <c r="C51" s="126"/>
      <c r="D51" s="126"/>
      <c r="E51" s="126"/>
      <c r="F51" s="126"/>
      <c r="G51" s="126"/>
      <c r="H51" s="126"/>
      <c r="I51" s="127"/>
      <c r="J51" s="13"/>
      <c r="K51" s="13"/>
      <c r="L51" s="13"/>
      <c r="M51" s="13"/>
    </row>
    <row r="52" spans="1:13" ht="20.25" x14ac:dyDescent="0.3">
      <c r="A52" s="128" t="s">
        <v>87</v>
      </c>
      <c r="B52" s="129"/>
      <c r="C52" s="130"/>
      <c r="D52" s="130"/>
      <c r="E52" s="130"/>
      <c r="F52" s="130"/>
      <c r="G52" s="130"/>
      <c r="H52" s="130"/>
      <c r="I52" s="131"/>
      <c r="J52" s="13"/>
      <c r="K52" s="13"/>
      <c r="L52" s="13"/>
      <c r="M52" s="13"/>
    </row>
    <row r="53" spans="1:13" ht="20.25" x14ac:dyDescent="0.3">
      <c r="A53" s="107" t="s">
        <v>88</v>
      </c>
      <c r="B53" s="108"/>
      <c r="C53" s="109"/>
      <c r="D53" s="109"/>
      <c r="E53" s="109"/>
      <c r="F53" s="109"/>
      <c r="G53" s="109"/>
      <c r="H53" s="109"/>
      <c r="I53" s="110"/>
      <c r="J53" s="13"/>
      <c r="K53" s="13"/>
      <c r="L53" s="13"/>
      <c r="M53" s="13"/>
    </row>
    <row r="54" spans="1:13" ht="20.25" x14ac:dyDescent="0.3">
      <c r="A54" s="90" t="s">
        <v>89</v>
      </c>
      <c r="B54" s="91"/>
      <c r="C54" s="92"/>
      <c r="D54" s="92"/>
      <c r="E54" s="92"/>
      <c r="F54" s="92"/>
      <c r="G54" s="92"/>
      <c r="H54" s="92"/>
      <c r="I54" s="93"/>
      <c r="J54" s="13"/>
      <c r="K54" s="13"/>
      <c r="L54" s="13"/>
      <c r="M54" s="13"/>
    </row>
    <row r="55" spans="1:13" ht="20.25" x14ac:dyDescent="0.2">
      <c r="A55" s="94"/>
      <c r="B55" s="95"/>
      <c r="C55" s="95"/>
      <c r="D55" s="95"/>
      <c r="E55" s="95"/>
      <c r="F55" s="95"/>
      <c r="G55" s="95"/>
      <c r="H55" s="95"/>
      <c r="I55" s="96"/>
      <c r="J55" s="13"/>
      <c r="K55" s="13"/>
      <c r="L55" s="13"/>
      <c r="M55" s="13"/>
    </row>
    <row r="56" spans="1:13" ht="20.25" x14ac:dyDescent="0.3">
      <c r="A56" s="97"/>
      <c r="B56" s="98"/>
      <c r="C56" s="99"/>
      <c r="D56" s="99"/>
      <c r="E56" s="99"/>
      <c r="F56" s="99"/>
      <c r="G56" s="99"/>
      <c r="H56" s="99"/>
      <c r="I56" s="100"/>
      <c r="J56" s="13"/>
      <c r="K56" s="13"/>
      <c r="L56" s="13"/>
      <c r="M56" s="13"/>
    </row>
    <row r="57" spans="1:13" ht="20.25" x14ac:dyDescent="0.3">
      <c r="A57" s="101"/>
      <c r="B57" s="102"/>
      <c r="C57" s="102"/>
      <c r="D57" s="102"/>
      <c r="E57" s="102"/>
      <c r="F57" s="102"/>
      <c r="G57" s="102"/>
      <c r="H57" s="102"/>
      <c r="I57" s="103"/>
      <c r="J57" s="13"/>
      <c r="K57" s="13"/>
      <c r="L57" s="13"/>
      <c r="M57" s="13"/>
    </row>
    <row r="58" spans="1:13" ht="18" customHeight="1" x14ac:dyDescent="0.3">
      <c r="A58" s="101"/>
      <c r="B58" s="102"/>
      <c r="C58" s="102"/>
      <c r="D58" s="102"/>
      <c r="E58" s="102"/>
      <c r="F58" s="102"/>
      <c r="G58" s="102"/>
      <c r="H58" s="102"/>
      <c r="I58" s="103"/>
      <c r="J58" s="13"/>
      <c r="K58" s="13"/>
      <c r="L58" s="13"/>
      <c r="M58" s="13"/>
    </row>
    <row r="59" spans="1:13" ht="20.25" x14ac:dyDescent="0.3">
      <c r="A59" s="104"/>
      <c r="B59" s="105"/>
      <c r="C59" s="105"/>
      <c r="D59" s="105"/>
      <c r="E59" s="105"/>
      <c r="F59" s="105"/>
      <c r="G59" s="105"/>
      <c r="H59" s="105"/>
      <c r="I59" s="106"/>
      <c r="J59" s="13"/>
      <c r="K59" s="13"/>
      <c r="L59" s="13"/>
      <c r="M59" s="13"/>
    </row>
    <row r="60" spans="1:13" ht="21" thickBot="1" x14ac:dyDescent="0.35">
      <c r="A60" s="84"/>
      <c r="B60" s="85"/>
      <c r="C60" s="85"/>
      <c r="D60" s="85"/>
      <c r="E60" s="85"/>
      <c r="F60" s="85"/>
      <c r="G60" s="85"/>
      <c r="H60" s="85"/>
      <c r="I60" s="86"/>
      <c r="J60" s="13"/>
      <c r="K60" s="13"/>
      <c r="L60" s="13"/>
      <c r="M60" s="13"/>
    </row>
    <row r="61" spans="1:13" ht="20.25" x14ac:dyDescent="0.3">
      <c r="A61" s="87" t="s">
        <v>27</v>
      </c>
      <c r="B61" s="88"/>
      <c r="C61" s="88"/>
      <c r="D61" s="88"/>
      <c r="E61" s="88"/>
      <c r="F61" s="88"/>
      <c r="G61" s="88"/>
      <c r="H61" s="88"/>
      <c r="I61" s="88"/>
      <c r="J61" s="13"/>
      <c r="K61" s="13"/>
      <c r="L61" s="13"/>
      <c r="M61" s="13"/>
    </row>
    <row r="62" spans="1:13" ht="20.25" x14ac:dyDescent="0.3">
      <c r="A62" s="89" t="s">
        <v>90</v>
      </c>
      <c r="B62" s="89"/>
      <c r="C62" s="89"/>
      <c r="D62" s="89"/>
      <c r="E62" s="89"/>
      <c r="F62" s="89"/>
      <c r="G62" s="89"/>
      <c r="H62" s="89"/>
      <c r="I62" s="89"/>
      <c r="J62" s="13"/>
      <c r="K62" s="13"/>
      <c r="L62" s="13"/>
      <c r="M62" s="13"/>
    </row>
    <row r="63" spans="1:13" ht="20.25" x14ac:dyDescent="0.3">
      <c r="A63" s="89"/>
      <c r="B63" s="89"/>
      <c r="C63" s="89"/>
      <c r="D63" s="89"/>
      <c r="E63" s="89"/>
      <c r="F63" s="89"/>
      <c r="G63" s="89"/>
      <c r="H63" s="89"/>
      <c r="I63" s="89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6:C46"/>
    <mergeCell ref="F46:G46"/>
    <mergeCell ref="H46:I46"/>
    <mergeCell ref="A47:C47"/>
    <mergeCell ref="F47:G47"/>
    <mergeCell ref="H47:I47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60:I60"/>
    <mergeCell ref="A61:I61"/>
    <mergeCell ref="A62:I62"/>
    <mergeCell ref="A63:I63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AED741D0-A0F5-4FF6-A272-0336E616C5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FDA02C-9B9D-4262-BA8D-1C9A4890BC7F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6A5EEA58-1900-4F2D-97EB-6B743B37B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E3160E3-666A-4BA4-9591-E53EFEBB1E4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Servicios de Pasteleria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</cp:lastModifiedBy>
  <cp:lastPrinted>2025-09-26T17:22:18Z</cp:lastPrinted>
  <dcterms:created xsi:type="dcterms:W3CDTF">2007-08-31T13:59:55Z</dcterms:created>
  <dcterms:modified xsi:type="dcterms:W3CDTF">2026-02-11T17:37:44Z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101000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
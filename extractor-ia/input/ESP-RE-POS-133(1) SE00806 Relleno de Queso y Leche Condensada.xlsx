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0CEB2FCB-007B-433A-BD15-B6D6998352F4}" xr6:coauthVersionLast="47" xr6:coauthVersionMax="47" xr10:uidLastSave="{5B6D4E93-5714-47A1-8650-603E23F7F69F}"/>
  <bookViews>
    <workbookView xWindow="-120" yWindow="-120" windowWidth="20730" windowHeight="11040" tabRatio="816" firstSheet="10" activeTab="10" xr2:uid="{86A95AF8-34C1-4DB7-AE30-E3F9DEB6557E}"/>
  </bookViews>
  <sheets>
    <sheet name="Torta Zanahoria Local" sheetId="2" state="hidden" r:id="rId1"/>
    <sheet name="Costo Torta Zanahoria " sheetId="11" state="hidden" r:id="rId2"/>
    <sheet name="Rosquete Zanahora 280g" sheetId="3" state="hidden" r:id="rId3"/>
    <sheet name="Batido QQ Zanahoria " sheetId="16" state="hidden" r:id="rId4"/>
    <sheet name="Costo Rosquete Zanahoria " sheetId="10" state="hidden" r:id="rId5"/>
    <sheet name="Procesado Borona de Zanahoria" sheetId="4" state="hidden" r:id="rId6"/>
    <sheet name="Costo procesado Borona" sheetId="9" state="hidden" r:id="rId7"/>
    <sheet name="Premezcla QQ Zanahoria " sheetId="17" state="hidden" r:id="rId8"/>
    <sheet name="Pecana Tostada" sheetId="18" state="hidden" r:id="rId9"/>
    <sheet name="costo procesado Pecana" sheetId="8" state="hidden" r:id="rId10"/>
    <sheet name="Relleno de Queso y Condensada" sheetId="5" r:id="rId11"/>
    <sheet name="costo relleno Queso " sheetId="7" state="hidden" r:id="rId12"/>
    <sheet name="Leche condensada Cocinada " sheetId="15" state="hidden" r:id="rId13"/>
    <sheet name="almibar " sheetId="14" state="hidden" r:id="rId14"/>
  </sheets>
  <externalReferences>
    <externalReference r:id="rId15"/>
    <externalReference r:id="rId16"/>
  </externalReferences>
  <definedNames>
    <definedName name="_xlnm.Print_Area" localSheetId="10">'Relleno de Queso y Condensada'!$A$1:$I$36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1" l="1"/>
  <c r="M32" i="11"/>
  <c r="D21" i="18" l="1"/>
  <c r="D20" i="18"/>
  <c r="J45" i="15" l="1"/>
  <c r="D29" i="14"/>
  <c r="B8" i="8"/>
  <c r="D73" i="11"/>
  <c r="D74" i="11" s="1"/>
  <c r="D76" i="11" s="1"/>
  <c r="D71" i="11"/>
  <c r="D69" i="11"/>
  <c r="F65" i="11"/>
  <c r="C73" i="11" s="1"/>
  <c r="C85" i="11" s="1"/>
  <c r="D60" i="11"/>
  <c r="D85" i="11" s="1"/>
  <c r="D86" i="11" s="1"/>
  <c r="E51" i="11"/>
  <c r="F51" i="11" s="1"/>
  <c r="C51" i="11"/>
  <c r="A41" i="11"/>
  <c r="A50" i="11" s="1"/>
  <c r="C50" i="11" s="1"/>
  <c r="A40" i="11"/>
  <c r="C40" i="11" s="1"/>
  <c r="F40" i="11" s="1"/>
  <c r="A39" i="11"/>
  <c r="C39" i="11" s="1"/>
  <c r="A38" i="11"/>
  <c r="C38" i="11" s="1"/>
  <c r="A37" i="11"/>
  <c r="A46" i="11" s="1"/>
  <c r="C46" i="11" s="1"/>
  <c r="F46" i="11" s="1"/>
  <c r="A36" i="11"/>
  <c r="C36" i="11" s="1"/>
  <c r="A35" i="11"/>
  <c r="C35" i="11" s="1"/>
  <c r="C32" i="11"/>
  <c r="F31" i="11"/>
  <c r="C31" i="11"/>
  <c r="C30" i="11"/>
  <c r="C29" i="11"/>
  <c r="C28" i="11"/>
  <c r="F27" i="11"/>
  <c r="C27" i="11"/>
  <c r="E24" i="11"/>
  <c r="F24" i="11" s="1"/>
  <c r="D24" i="11"/>
  <c r="C24" i="11"/>
  <c r="B24" i="11"/>
  <c r="C23" i="11"/>
  <c r="C22" i="11"/>
  <c r="F22" i="11" s="1"/>
  <c r="C21" i="11"/>
  <c r="C20" i="11"/>
  <c r="C19" i="11"/>
  <c r="C18" i="11"/>
  <c r="C17" i="11"/>
  <c r="B15" i="11"/>
  <c r="E14" i="11"/>
  <c r="F14" i="11" s="1"/>
  <c r="D14" i="11"/>
  <c r="C14" i="11"/>
  <c r="B14" i="11"/>
  <c r="E13" i="11"/>
  <c r="D13" i="11"/>
  <c r="C13" i="11"/>
  <c r="B13" i="11"/>
  <c r="E12" i="11"/>
  <c r="D12" i="11"/>
  <c r="C12" i="11"/>
  <c r="B12" i="11"/>
  <c r="E11" i="11"/>
  <c r="F11" i="11" s="1"/>
  <c r="D11" i="11"/>
  <c r="C11" i="11"/>
  <c r="B11" i="11"/>
  <c r="E10" i="11"/>
  <c r="F10" i="11" s="1"/>
  <c r="D10" i="11"/>
  <c r="C10" i="11"/>
  <c r="B10" i="11"/>
  <c r="E9" i="11"/>
  <c r="F9" i="11" s="1"/>
  <c r="D9" i="11"/>
  <c r="C9" i="11"/>
  <c r="B9" i="11"/>
  <c r="E8" i="11"/>
  <c r="F8" i="11" s="1"/>
  <c r="D8" i="11"/>
  <c r="C8" i="11"/>
  <c r="B8" i="11"/>
  <c r="H6" i="11"/>
  <c r="D73" i="10"/>
  <c r="D74" i="10" s="1"/>
  <c r="D76" i="10" s="1"/>
  <c r="D71" i="10"/>
  <c r="D69" i="10"/>
  <c r="F65" i="10"/>
  <c r="E51" i="10" s="1"/>
  <c r="D60" i="10"/>
  <c r="D85" i="10" s="1"/>
  <c r="D86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F44" i="10"/>
  <c r="E41" i="10"/>
  <c r="D41" i="10"/>
  <c r="B41" i="10"/>
  <c r="A41" i="10"/>
  <c r="A50" i="10" s="1"/>
  <c r="C50" i="10" s="1"/>
  <c r="E40" i="10"/>
  <c r="D40" i="10"/>
  <c r="B40" i="10"/>
  <c r="A40" i="10"/>
  <c r="C40" i="10" s="1"/>
  <c r="E39" i="10"/>
  <c r="D39" i="10"/>
  <c r="B39" i="10"/>
  <c r="A39" i="10"/>
  <c r="C39" i="10" s="1"/>
  <c r="E38" i="10"/>
  <c r="D38" i="10"/>
  <c r="B38" i="10"/>
  <c r="A38" i="10"/>
  <c r="C38" i="10" s="1"/>
  <c r="E37" i="10"/>
  <c r="D37" i="10"/>
  <c r="C37" i="10"/>
  <c r="B37" i="10"/>
  <c r="A37" i="10"/>
  <c r="A46" i="10" s="1"/>
  <c r="C46" i="10" s="1"/>
  <c r="A36" i="10"/>
  <c r="C36" i="10" s="1"/>
  <c r="A35" i="10"/>
  <c r="A44" i="10" s="1"/>
  <c r="C44" i="10" s="1"/>
  <c r="E32" i="10"/>
  <c r="D32" i="10"/>
  <c r="C32" i="10"/>
  <c r="B32" i="10"/>
  <c r="E31" i="10"/>
  <c r="D31" i="10"/>
  <c r="C31" i="10"/>
  <c r="B31" i="10"/>
  <c r="E30" i="10"/>
  <c r="D30" i="10"/>
  <c r="C30" i="10"/>
  <c r="B30" i="10"/>
  <c r="F29" i="10"/>
  <c r="D29" i="10"/>
  <c r="C29" i="10"/>
  <c r="B29" i="10"/>
  <c r="D28" i="10"/>
  <c r="C28" i="10"/>
  <c r="B28" i="10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F18" i="10"/>
  <c r="C18" i="10"/>
  <c r="C17" i="10"/>
  <c r="B15" i="10"/>
  <c r="E14" i="10"/>
  <c r="F14" i="10" s="1"/>
  <c r="D14" i="10"/>
  <c r="C14" i="10"/>
  <c r="B14" i="10"/>
  <c r="E13" i="10"/>
  <c r="F13" i="10" s="1"/>
  <c r="D13" i="10"/>
  <c r="C13" i="10"/>
  <c r="B13" i="10"/>
  <c r="E12" i="10"/>
  <c r="F12" i="10" s="1"/>
  <c r="D12" i="10"/>
  <c r="C12" i="10"/>
  <c r="B12" i="10"/>
  <c r="E11" i="10"/>
  <c r="F11" i="10" s="1"/>
  <c r="D11" i="10"/>
  <c r="C11" i="10"/>
  <c r="B11" i="10"/>
  <c r="E10" i="10"/>
  <c r="F10" i="10" s="1"/>
  <c r="D10" i="10"/>
  <c r="C10" i="10"/>
  <c r="B10" i="10"/>
  <c r="E9" i="10"/>
  <c r="F9" i="10" s="1"/>
  <c r="D9" i="10"/>
  <c r="C9" i="10"/>
  <c r="B9" i="10"/>
  <c r="E8" i="10"/>
  <c r="F8" i="10" s="1"/>
  <c r="D8" i="10"/>
  <c r="C8" i="10"/>
  <c r="B8" i="10"/>
  <c r="H6" i="10"/>
  <c r="D74" i="9"/>
  <c r="D76" i="9" s="1"/>
  <c r="D73" i="9"/>
  <c r="D71" i="9"/>
  <c r="D69" i="9"/>
  <c r="F65" i="9"/>
  <c r="E51" i="9" s="1"/>
  <c r="D60" i="9"/>
  <c r="D85" i="9" s="1"/>
  <c r="D86" i="9" s="1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1" i="9"/>
  <c r="D41" i="9"/>
  <c r="C41" i="9"/>
  <c r="B41" i="9"/>
  <c r="A41" i="9"/>
  <c r="A50" i="9" s="1"/>
  <c r="C50" i="9" s="1"/>
  <c r="E40" i="9"/>
  <c r="D40" i="9"/>
  <c r="B40" i="9"/>
  <c r="A40" i="9"/>
  <c r="C40" i="9" s="1"/>
  <c r="E39" i="9"/>
  <c r="D39" i="9"/>
  <c r="B39" i="9"/>
  <c r="A39" i="9"/>
  <c r="C39" i="9" s="1"/>
  <c r="E38" i="9"/>
  <c r="F38" i="9" s="1"/>
  <c r="D38" i="9"/>
  <c r="B38" i="9"/>
  <c r="A38" i="9"/>
  <c r="C38" i="9" s="1"/>
  <c r="E37" i="9"/>
  <c r="D37" i="9"/>
  <c r="B37" i="9"/>
  <c r="A37" i="9"/>
  <c r="C37" i="9" s="1"/>
  <c r="E36" i="9"/>
  <c r="D36" i="9"/>
  <c r="B36" i="9"/>
  <c r="A36" i="9"/>
  <c r="A45" i="9" s="1"/>
  <c r="C45" i="9" s="1"/>
  <c r="A35" i="9"/>
  <c r="C35" i="9" s="1"/>
  <c r="E32" i="9"/>
  <c r="F32" i="9" s="1"/>
  <c r="D32" i="9"/>
  <c r="C32" i="9"/>
  <c r="B32" i="9"/>
  <c r="E31" i="9"/>
  <c r="F31" i="9" s="1"/>
  <c r="D31" i="9"/>
  <c r="C31" i="9"/>
  <c r="B31" i="9"/>
  <c r="E30" i="9"/>
  <c r="F30" i="9" s="1"/>
  <c r="D30" i="9"/>
  <c r="C30" i="9"/>
  <c r="B30" i="9"/>
  <c r="E29" i="9"/>
  <c r="D29" i="9"/>
  <c r="C29" i="9"/>
  <c r="B29" i="9"/>
  <c r="E28" i="9"/>
  <c r="F28" i="9" s="1"/>
  <c r="D28" i="9"/>
  <c r="C28" i="9"/>
  <c r="B28" i="9"/>
  <c r="E27" i="9"/>
  <c r="F27" i="9" s="1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C17" i="9"/>
  <c r="B15" i="9"/>
  <c r="E14" i="9"/>
  <c r="F14" i="9" s="1"/>
  <c r="D14" i="9"/>
  <c r="C14" i="9"/>
  <c r="B14" i="9"/>
  <c r="E13" i="9"/>
  <c r="D13" i="9"/>
  <c r="C13" i="9"/>
  <c r="B13" i="9"/>
  <c r="E12" i="9"/>
  <c r="F12" i="9" s="1"/>
  <c r="D12" i="9"/>
  <c r="C12" i="9"/>
  <c r="B12" i="9"/>
  <c r="E11" i="9"/>
  <c r="F11" i="9" s="1"/>
  <c r="D11" i="9"/>
  <c r="C11" i="9"/>
  <c r="B11" i="9"/>
  <c r="E10" i="9"/>
  <c r="F10" i="9" s="1"/>
  <c r="D10" i="9"/>
  <c r="C10" i="9"/>
  <c r="B10" i="9"/>
  <c r="E9" i="9"/>
  <c r="F9" i="9" s="1"/>
  <c r="D9" i="9"/>
  <c r="C9" i="9"/>
  <c r="B9" i="9"/>
  <c r="E8" i="9"/>
  <c r="F8" i="9" s="1"/>
  <c r="D8" i="9"/>
  <c r="C8" i="9"/>
  <c r="B8" i="9"/>
  <c r="H6" i="9"/>
  <c r="D73" i="8"/>
  <c r="D74" i="8" s="1"/>
  <c r="D76" i="8" s="1"/>
  <c r="D71" i="8"/>
  <c r="D69" i="8"/>
  <c r="F65" i="8"/>
  <c r="E51" i="8" s="1"/>
  <c r="D60" i="8"/>
  <c r="D85" i="8" s="1"/>
  <c r="D86" i="8" s="1"/>
  <c r="C51" i="8"/>
  <c r="F51" i="8" s="1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1" i="8"/>
  <c r="D41" i="8"/>
  <c r="B41" i="8"/>
  <c r="A41" i="8"/>
  <c r="A50" i="8" s="1"/>
  <c r="C50" i="8" s="1"/>
  <c r="E40" i="8"/>
  <c r="F40" i="8" s="1"/>
  <c r="D40" i="8"/>
  <c r="B40" i="8"/>
  <c r="A40" i="8"/>
  <c r="C40" i="8" s="1"/>
  <c r="E39" i="8"/>
  <c r="D39" i="8"/>
  <c r="B39" i="8"/>
  <c r="A39" i="8"/>
  <c r="C39" i="8" s="1"/>
  <c r="E38" i="8"/>
  <c r="D38" i="8"/>
  <c r="B38" i="8"/>
  <c r="A38" i="8"/>
  <c r="C38" i="8" s="1"/>
  <c r="E37" i="8"/>
  <c r="F37" i="8" s="1"/>
  <c r="D37" i="8"/>
  <c r="B37" i="8"/>
  <c r="A37" i="8"/>
  <c r="C37" i="8" s="1"/>
  <c r="E36" i="8"/>
  <c r="D36" i="8"/>
  <c r="C36" i="8"/>
  <c r="B36" i="8"/>
  <c r="A36" i="8"/>
  <c r="A45" i="8" s="1"/>
  <c r="C45" i="8" s="1"/>
  <c r="A35" i="8"/>
  <c r="C35" i="8" s="1"/>
  <c r="E32" i="8"/>
  <c r="D32" i="8"/>
  <c r="C32" i="8"/>
  <c r="B32" i="8"/>
  <c r="E31" i="8"/>
  <c r="F31" i="8" s="1"/>
  <c r="D31" i="8"/>
  <c r="C31" i="8"/>
  <c r="B31" i="8"/>
  <c r="E30" i="8"/>
  <c r="D30" i="8"/>
  <c r="C30" i="8"/>
  <c r="B30" i="8"/>
  <c r="E29" i="8"/>
  <c r="F29" i="8" s="1"/>
  <c r="D29" i="8"/>
  <c r="C29" i="8"/>
  <c r="B29" i="8"/>
  <c r="E28" i="8"/>
  <c r="D28" i="8"/>
  <c r="C28" i="8"/>
  <c r="B28" i="8"/>
  <c r="E27" i="8"/>
  <c r="D27" i="8"/>
  <c r="C27" i="8"/>
  <c r="B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B15" i="8"/>
  <c r="E14" i="8"/>
  <c r="F14" i="8" s="1"/>
  <c r="D14" i="8"/>
  <c r="C14" i="8"/>
  <c r="B14" i="8"/>
  <c r="E13" i="8"/>
  <c r="D13" i="8"/>
  <c r="C13" i="8"/>
  <c r="B13" i="8"/>
  <c r="E12" i="8"/>
  <c r="F12" i="8" s="1"/>
  <c r="D12" i="8"/>
  <c r="C12" i="8"/>
  <c r="B12" i="8"/>
  <c r="E11" i="8"/>
  <c r="D11" i="8"/>
  <c r="C11" i="8"/>
  <c r="B11" i="8"/>
  <c r="E10" i="8"/>
  <c r="F10" i="8" s="1"/>
  <c r="D10" i="8"/>
  <c r="C10" i="8"/>
  <c r="B10" i="8"/>
  <c r="E9" i="8"/>
  <c r="D9" i="8"/>
  <c r="C9" i="8"/>
  <c r="B9" i="8"/>
  <c r="E8" i="8"/>
  <c r="F8" i="8" s="1"/>
  <c r="D8" i="8"/>
  <c r="C8" i="8"/>
  <c r="H6" i="8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4" i="7"/>
  <c r="D44" i="7"/>
  <c r="B44" i="7"/>
  <c r="E41" i="7"/>
  <c r="D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D38" i="7"/>
  <c r="B38" i="7"/>
  <c r="A38" i="7"/>
  <c r="A47" i="7" s="1"/>
  <c r="C47" i="7" s="1"/>
  <c r="E37" i="7"/>
  <c r="D37" i="7"/>
  <c r="C37" i="7"/>
  <c r="B37" i="7"/>
  <c r="A37" i="7"/>
  <c r="A46" i="7" s="1"/>
  <c r="C46" i="7" s="1"/>
  <c r="E36" i="7"/>
  <c r="D36" i="7"/>
  <c r="B36" i="7"/>
  <c r="A36" i="7"/>
  <c r="C36" i="7" s="1"/>
  <c r="E35" i="7"/>
  <c r="D35" i="7"/>
  <c r="B35" i="7"/>
  <c r="A35" i="7"/>
  <c r="C35" i="7" s="1"/>
  <c r="E32" i="7"/>
  <c r="F32" i="7" s="1"/>
  <c r="D32" i="7"/>
  <c r="C32" i="7"/>
  <c r="B32" i="7"/>
  <c r="E31" i="7"/>
  <c r="D31" i="7"/>
  <c r="C31" i="7"/>
  <c r="B31" i="7"/>
  <c r="E30" i="7"/>
  <c r="F30" i="7" s="1"/>
  <c r="D30" i="7"/>
  <c r="C30" i="7"/>
  <c r="B30" i="7"/>
  <c r="E29" i="7"/>
  <c r="F29" i="7" s="1"/>
  <c r="D29" i="7"/>
  <c r="C29" i="7"/>
  <c r="B29" i="7"/>
  <c r="E28" i="7"/>
  <c r="F28" i="7" s="1"/>
  <c r="D28" i="7"/>
  <c r="C28" i="7"/>
  <c r="B28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E18" i="7"/>
  <c r="F18" i="7" s="1"/>
  <c r="D18" i="7"/>
  <c r="C18" i="7"/>
  <c r="B18" i="7"/>
  <c r="E17" i="7"/>
  <c r="F17" i="7" s="1"/>
  <c r="D17" i="7"/>
  <c r="C17" i="7"/>
  <c r="B17" i="7"/>
  <c r="B15" i="7"/>
  <c r="E14" i="7"/>
  <c r="F14" i="7" s="1"/>
  <c r="D14" i="7"/>
  <c r="C14" i="7"/>
  <c r="B14" i="7"/>
  <c r="E13" i="7"/>
  <c r="F13" i="7" s="1"/>
  <c r="D13" i="7"/>
  <c r="C13" i="7"/>
  <c r="B13" i="7"/>
  <c r="E12" i="7"/>
  <c r="F12" i="7" s="1"/>
  <c r="D12" i="7"/>
  <c r="C12" i="7"/>
  <c r="B12" i="7"/>
  <c r="F11" i="7"/>
  <c r="C11" i="7"/>
  <c r="C10" i="7"/>
  <c r="C9" i="7"/>
  <c r="C8" i="7"/>
  <c r="H6" i="7"/>
  <c r="E10" i="4"/>
  <c r="K15" i="4"/>
  <c r="D40" i="2"/>
  <c r="F27" i="8" l="1"/>
  <c r="F12" i="11"/>
  <c r="F31" i="10"/>
  <c r="F13" i="11"/>
  <c r="F32" i="11"/>
  <c r="M34" i="11" s="1"/>
  <c r="F31" i="7"/>
  <c r="F13" i="9"/>
  <c r="F29" i="11"/>
  <c r="F30" i="11"/>
  <c r="F28" i="11"/>
  <c r="C41" i="11"/>
  <c r="F41" i="11" s="1"/>
  <c r="D81" i="11"/>
  <c r="E85" i="11"/>
  <c r="F19" i="11"/>
  <c r="C37" i="11"/>
  <c r="F37" i="11" s="1"/>
  <c r="F36" i="11"/>
  <c r="A45" i="11"/>
  <c r="C45" i="11" s="1"/>
  <c r="F45" i="11" s="1"/>
  <c r="F18" i="11"/>
  <c r="F50" i="9"/>
  <c r="C73" i="9"/>
  <c r="C85" i="9" s="1"/>
  <c r="F51" i="9"/>
  <c r="E85" i="9"/>
  <c r="D81" i="9"/>
  <c r="F41" i="9"/>
  <c r="C36" i="9"/>
  <c r="F36" i="9" s="1"/>
  <c r="F39" i="9"/>
  <c r="F29" i="9"/>
  <c r="F51" i="10"/>
  <c r="F40" i="10"/>
  <c r="F37" i="10"/>
  <c r="F38" i="10"/>
  <c r="F30" i="10"/>
  <c r="F32" i="10"/>
  <c r="F46" i="10"/>
  <c r="C41" i="10"/>
  <c r="F41" i="10" s="1"/>
  <c r="F27" i="10"/>
  <c r="F28" i="10"/>
  <c r="C35" i="10"/>
  <c r="F17" i="10"/>
  <c r="F53" i="10" s="1"/>
  <c r="F35" i="10"/>
  <c r="F28" i="8"/>
  <c r="F32" i="8"/>
  <c r="F30" i="8"/>
  <c r="D81" i="8"/>
  <c r="D83" i="8"/>
  <c r="F36" i="8"/>
  <c r="F45" i="8"/>
  <c r="C41" i="8"/>
  <c r="F41" i="8" s="1"/>
  <c r="F13" i="8"/>
  <c r="F11" i="8"/>
  <c r="F9" i="8"/>
  <c r="F17" i="8"/>
  <c r="F40" i="7"/>
  <c r="F39" i="7"/>
  <c r="F37" i="7"/>
  <c r="F46" i="7"/>
  <c r="C38" i="7"/>
  <c r="F38" i="7" s="1"/>
  <c r="F27" i="7"/>
  <c r="F8" i="7"/>
  <c r="F53" i="7" s="1"/>
  <c r="F9" i="7"/>
  <c r="F10" i="7"/>
  <c r="A47" i="11"/>
  <c r="C47" i="11" s="1"/>
  <c r="A49" i="11"/>
  <c r="C49" i="11" s="1"/>
  <c r="F49" i="11" s="1"/>
  <c r="E73" i="11"/>
  <c r="D83" i="11"/>
  <c r="A44" i="11"/>
  <c r="C44" i="11" s="1"/>
  <c r="A48" i="11"/>
  <c r="C48" i="11" s="1"/>
  <c r="F50" i="10"/>
  <c r="F36" i="10"/>
  <c r="F39" i="10"/>
  <c r="A45" i="10"/>
  <c r="C45" i="10" s="1"/>
  <c r="F45" i="10" s="1"/>
  <c r="D81" i="10"/>
  <c r="A47" i="10"/>
  <c r="C47" i="10" s="1"/>
  <c r="F47" i="10" s="1"/>
  <c r="C73" i="10"/>
  <c r="A49" i="10"/>
  <c r="C49" i="10" s="1"/>
  <c r="F49" i="10" s="1"/>
  <c r="D83" i="10"/>
  <c r="A48" i="10"/>
  <c r="C48" i="10" s="1"/>
  <c r="F48" i="10" s="1"/>
  <c r="F37" i="9"/>
  <c r="F40" i="9"/>
  <c r="F45" i="9"/>
  <c r="A47" i="9"/>
  <c r="C47" i="9" s="1"/>
  <c r="F47" i="9" s="1"/>
  <c r="A49" i="9"/>
  <c r="C49" i="9" s="1"/>
  <c r="F49" i="9" s="1"/>
  <c r="E73" i="9"/>
  <c r="D83" i="9"/>
  <c r="A44" i="9"/>
  <c r="C44" i="9" s="1"/>
  <c r="A46" i="9"/>
  <c r="C46" i="9" s="1"/>
  <c r="F46" i="9" s="1"/>
  <c r="A48" i="9"/>
  <c r="C48" i="9" s="1"/>
  <c r="F48" i="9" s="1"/>
  <c r="F50" i="8"/>
  <c r="F38" i="8"/>
  <c r="F35" i="8"/>
  <c r="F39" i="8"/>
  <c r="A47" i="8"/>
  <c r="C47" i="8" s="1"/>
  <c r="F47" i="8" s="1"/>
  <c r="C73" i="8"/>
  <c r="A49" i="8"/>
  <c r="C49" i="8" s="1"/>
  <c r="F49" i="8" s="1"/>
  <c r="A44" i="8"/>
  <c r="C44" i="8" s="1"/>
  <c r="F44" i="8" s="1"/>
  <c r="A46" i="8"/>
  <c r="C46" i="8" s="1"/>
  <c r="F46" i="8" s="1"/>
  <c r="A48" i="8"/>
  <c r="C48" i="8" s="1"/>
  <c r="F48" i="8" s="1"/>
  <c r="F50" i="7"/>
  <c r="F35" i="7"/>
  <c r="F47" i="7"/>
  <c r="F36" i="7"/>
  <c r="C41" i="7"/>
  <c r="F41" i="7" s="1"/>
  <c r="A45" i="7"/>
  <c r="C45" i="7" s="1"/>
  <c r="F45" i="7" s="1"/>
  <c r="D81" i="7"/>
  <c r="C73" i="7"/>
  <c r="A49" i="7"/>
  <c r="C49" i="7" s="1"/>
  <c r="F49" i="7" s="1"/>
  <c r="D83" i="7"/>
  <c r="A44" i="7"/>
  <c r="C44" i="7" s="1"/>
  <c r="F44" i="7" s="1"/>
  <c r="A48" i="7"/>
  <c r="C48" i="7" s="1"/>
  <c r="F48" i="7" s="1"/>
  <c r="E13" i="5"/>
  <c r="E12" i="5"/>
  <c r="E11" i="5"/>
  <c r="E10" i="5"/>
  <c r="K19" i="5"/>
  <c r="F53" i="8" l="1"/>
  <c r="H53" i="8" s="1"/>
  <c r="F2" i="8" s="1"/>
  <c r="F54" i="8"/>
  <c r="C76" i="8" s="1"/>
  <c r="E76" i="8" s="1"/>
  <c r="E39" i="11" s="1"/>
  <c r="F39" i="11" s="1"/>
  <c r="C85" i="10"/>
  <c r="E85" i="10" s="1"/>
  <c r="E73" i="10"/>
  <c r="C69" i="10"/>
  <c r="F64" i="10"/>
  <c r="H53" i="10"/>
  <c r="F54" i="10"/>
  <c r="F56" i="10"/>
  <c r="F56" i="8"/>
  <c r="C85" i="8"/>
  <c r="E85" i="8" s="1"/>
  <c r="E73" i="8"/>
  <c r="F56" i="7"/>
  <c r="C69" i="7"/>
  <c r="F64" i="7"/>
  <c r="H53" i="7"/>
  <c r="F2" i="7" s="1"/>
  <c r="C85" i="7"/>
  <c r="E85" i="7" s="1"/>
  <c r="E73" i="7"/>
  <c r="F54" i="7"/>
  <c r="F55" i="7" s="1"/>
  <c r="D28" i="5"/>
  <c r="F64" i="8" l="1"/>
  <c r="C69" i="8"/>
  <c r="C81" i="8" s="1"/>
  <c r="E81" i="8" s="1"/>
  <c r="F2" i="10"/>
  <c r="E17" i="9"/>
  <c r="F17" i="9" s="1"/>
  <c r="F53" i="9" s="1"/>
  <c r="E17" i="11"/>
  <c r="F17" i="11" s="1"/>
  <c r="F55" i="8"/>
  <c r="H55" i="8" s="1"/>
  <c r="H54" i="8"/>
  <c r="G2" i="8" s="1"/>
  <c r="C76" i="10"/>
  <c r="E76" i="10" s="1"/>
  <c r="H54" i="10"/>
  <c r="E69" i="10"/>
  <c r="C81" i="10"/>
  <c r="E81" i="10" s="1"/>
  <c r="F55" i="10"/>
  <c r="H56" i="10"/>
  <c r="C74" i="10"/>
  <c r="H56" i="8"/>
  <c r="C74" i="8"/>
  <c r="C76" i="7"/>
  <c r="E76" i="7" s="1"/>
  <c r="E38" i="11" s="1"/>
  <c r="F38" i="11" s="1"/>
  <c r="H54" i="7"/>
  <c r="G2" i="7" s="1"/>
  <c r="H55" i="7"/>
  <c r="O54" i="7"/>
  <c r="F63" i="7"/>
  <c r="E69" i="7"/>
  <c r="E20" i="11" s="1"/>
  <c r="F20" i="11" s="1"/>
  <c r="C81" i="7"/>
  <c r="E81" i="7" s="1"/>
  <c r="H56" i="7"/>
  <c r="C74" i="7"/>
  <c r="D45" i="4"/>
  <c r="E69" i="8" l="1"/>
  <c r="E21" i="11" s="1"/>
  <c r="F21" i="11" s="1"/>
  <c r="G2" i="10"/>
  <c r="E35" i="9"/>
  <c r="F35" i="9" s="1"/>
  <c r="F54" i="9" s="1"/>
  <c r="E35" i="11"/>
  <c r="F35" i="11" s="1"/>
  <c r="F54" i="11" s="1"/>
  <c r="E44" i="9"/>
  <c r="F44" i="9" s="1"/>
  <c r="F56" i="9" s="1"/>
  <c r="E44" i="11"/>
  <c r="F44" i="11" s="1"/>
  <c r="H53" i="9"/>
  <c r="F2" i="9" s="1"/>
  <c r="C69" i="9"/>
  <c r="F64" i="9"/>
  <c r="F63" i="8"/>
  <c r="F66" i="8" s="1"/>
  <c r="G63" i="8" s="1"/>
  <c r="O54" i="8"/>
  <c r="O56" i="8" s="1"/>
  <c r="C86" i="10"/>
  <c r="E86" i="10" s="1"/>
  <c r="E74" i="10"/>
  <c r="E78" i="10" s="1"/>
  <c r="O55" i="10"/>
  <c r="H2" i="10"/>
  <c r="H58" i="10"/>
  <c r="H59" i="10" s="1"/>
  <c r="O58" i="10" s="1"/>
  <c r="H55" i="10"/>
  <c r="O54" i="10"/>
  <c r="F63" i="10"/>
  <c r="C86" i="8"/>
  <c r="E86" i="8" s="1"/>
  <c r="E74" i="8"/>
  <c r="H2" i="8"/>
  <c r="O55" i="8"/>
  <c r="H58" i="8"/>
  <c r="H59" i="8" s="1"/>
  <c r="O58" i="8" s="1"/>
  <c r="H2" i="7"/>
  <c r="O55" i="7"/>
  <c r="H58" i="7"/>
  <c r="H59" i="7" s="1"/>
  <c r="O58" i="7" s="1"/>
  <c r="C86" i="7"/>
  <c r="E86" i="7" s="1"/>
  <c r="E74" i="7"/>
  <c r="C71" i="7"/>
  <c r="E63" i="7"/>
  <c r="F66" i="7"/>
  <c r="G63" i="7" s="1"/>
  <c r="O56" i="7"/>
  <c r="D41" i="3"/>
  <c r="C76" i="11" l="1"/>
  <c r="E76" i="11" s="1"/>
  <c r="H54" i="11"/>
  <c r="G2" i="11" s="1"/>
  <c r="E78" i="8"/>
  <c r="E48" i="11"/>
  <c r="F48" i="11" s="1"/>
  <c r="E69" i="9"/>
  <c r="F23" i="11" s="1"/>
  <c r="F53" i="11" s="1"/>
  <c r="C81" i="9"/>
  <c r="E81" i="9" s="1"/>
  <c r="H56" i="9"/>
  <c r="C74" i="9"/>
  <c r="F55" i="9"/>
  <c r="C76" i="9"/>
  <c r="E76" i="9" s="1"/>
  <c r="H54" i="9"/>
  <c r="G2" i="9" s="1"/>
  <c r="E78" i="7"/>
  <c r="E47" i="11"/>
  <c r="F47" i="11" s="1"/>
  <c r="C71" i="8"/>
  <c r="C83" i="8" s="1"/>
  <c r="E83" i="8" s="1"/>
  <c r="E63" i="8"/>
  <c r="O57" i="8"/>
  <c r="O59" i="8" s="1"/>
  <c r="O57" i="7"/>
  <c r="O59" i="7" s="1"/>
  <c r="O56" i="10"/>
  <c r="O57" i="10" s="1"/>
  <c r="O59" i="10" s="1"/>
  <c r="C71" i="10"/>
  <c r="E63" i="10"/>
  <c r="F66" i="10"/>
  <c r="G63" i="10" s="1"/>
  <c r="G66" i="8"/>
  <c r="G20" i="8"/>
  <c r="G32" i="8"/>
  <c r="G19" i="8"/>
  <c r="G28" i="8"/>
  <c r="G65" i="8"/>
  <c r="G12" i="8"/>
  <c r="G30" i="8"/>
  <c r="G29" i="8"/>
  <c r="G23" i="8"/>
  <c r="G22" i="8"/>
  <c r="G41" i="8"/>
  <c r="G18" i="8"/>
  <c r="G8" i="8"/>
  <c r="G24" i="8"/>
  <c r="G36" i="8"/>
  <c r="G9" i="8"/>
  <c r="G27" i="8"/>
  <c r="G37" i="8"/>
  <c r="G10" i="8"/>
  <c r="G11" i="8"/>
  <c r="G17" i="8"/>
  <c r="G31" i="8"/>
  <c r="G51" i="8"/>
  <c r="G14" i="8"/>
  <c r="G40" i="8"/>
  <c r="G13" i="8"/>
  <c r="G45" i="8"/>
  <c r="G21" i="8"/>
  <c r="G47" i="8"/>
  <c r="G39" i="8"/>
  <c r="G53" i="8"/>
  <c r="G54" i="8"/>
  <c r="G49" i="8"/>
  <c r="G48" i="8"/>
  <c r="G38" i="8"/>
  <c r="G46" i="8"/>
  <c r="G50" i="8"/>
  <c r="G44" i="8"/>
  <c r="G35" i="8"/>
  <c r="G55" i="8"/>
  <c r="G64" i="8"/>
  <c r="G56" i="8"/>
  <c r="G66" i="7"/>
  <c r="G65" i="7"/>
  <c r="G13" i="7"/>
  <c r="G31" i="7"/>
  <c r="G37" i="7"/>
  <c r="G11" i="7"/>
  <c r="G40" i="7"/>
  <c r="G20" i="7"/>
  <c r="G17" i="7"/>
  <c r="G22" i="7"/>
  <c r="G10" i="7"/>
  <c r="G39" i="7"/>
  <c r="G8" i="7"/>
  <c r="G23" i="7"/>
  <c r="G21" i="7"/>
  <c r="G24" i="7"/>
  <c r="G14" i="7"/>
  <c r="G9" i="7"/>
  <c r="G46" i="7"/>
  <c r="G27" i="7"/>
  <c r="G29" i="7"/>
  <c r="G18" i="7"/>
  <c r="G38" i="7"/>
  <c r="G32" i="7"/>
  <c r="G51" i="7"/>
  <c r="G19" i="7"/>
  <c r="G30" i="7"/>
  <c r="G28" i="7"/>
  <c r="G12" i="7"/>
  <c r="G49" i="7"/>
  <c r="G44" i="7"/>
  <c r="G47" i="7"/>
  <c r="G35" i="7"/>
  <c r="G41" i="7"/>
  <c r="G50" i="7"/>
  <c r="G48" i="7"/>
  <c r="G36" i="7"/>
  <c r="G53" i="7"/>
  <c r="G45" i="7"/>
  <c r="G64" i="7"/>
  <c r="G54" i="7"/>
  <c r="G55" i="7"/>
  <c r="G56" i="7"/>
  <c r="C83" i="7"/>
  <c r="E83" i="7" s="1"/>
  <c r="E71" i="7"/>
  <c r="E71" i="8" l="1"/>
  <c r="F63" i="9"/>
  <c r="H55" i="9"/>
  <c r="O54" i="9"/>
  <c r="O56" i="9" s="1"/>
  <c r="C86" i="9"/>
  <c r="E86" i="9" s="1"/>
  <c r="E74" i="9"/>
  <c r="C69" i="11"/>
  <c r="F55" i="11"/>
  <c r="F64" i="11"/>
  <c r="H53" i="11"/>
  <c r="F2" i="11" s="1"/>
  <c r="H58" i="9"/>
  <c r="H59" i="9" s="1"/>
  <c r="O58" i="9" s="1"/>
  <c r="H2" i="9"/>
  <c r="O55" i="9"/>
  <c r="O60" i="8"/>
  <c r="O61" i="8" s="1"/>
  <c r="O62" i="8" s="1"/>
  <c r="O60" i="7"/>
  <c r="O61" i="7" s="1"/>
  <c r="O62" i="7" s="1"/>
  <c r="P62" i="7" s="1"/>
  <c r="G66" i="10"/>
  <c r="G41" i="10"/>
  <c r="G37" i="10"/>
  <c r="G22" i="10"/>
  <c r="G44" i="10"/>
  <c r="G23" i="10"/>
  <c r="G30" i="10"/>
  <c r="G27" i="10"/>
  <c r="G32" i="10"/>
  <c r="G28" i="10"/>
  <c r="G65" i="10"/>
  <c r="G17" i="10"/>
  <c r="G38" i="10"/>
  <c r="G19" i="10"/>
  <c r="G10" i="10"/>
  <c r="G20" i="10"/>
  <c r="G12" i="10"/>
  <c r="G46" i="10"/>
  <c r="G8" i="10"/>
  <c r="G18" i="10"/>
  <c r="G51" i="10"/>
  <c r="G21" i="10"/>
  <c r="G11" i="10"/>
  <c r="G9" i="10"/>
  <c r="G24" i="10"/>
  <c r="G29" i="10"/>
  <c r="G35" i="10"/>
  <c r="G13" i="10"/>
  <c r="G14" i="10"/>
  <c r="G31" i="10"/>
  <c r="G40" i="10"/>
  <c r="G39" i="10"/>
  <c r="G36" i="10"/>
  <c r="G45" i="10"/>
  <c r="G50" i="10"/>
  <c r="G53" i="10"/>
  <c r="G49" i="10"/>
  <c r="G47" i="10"/>
  <c r="G48" i="10"/>
  <c r="G64" i="10"/>
  <c r="G56" i="10"/>
  <c r="G54" i="10"/>
  <c r="G55" i="10"/>
  <c r="O60" i="10"/>
  <c r="O61" i="10" s="1"/>
  <c r="O62" i="10" s="1"/>
  <c r="C83" i="10"/>
  <c r="E83" i="10" s="1"/>
  <c r="E71" i="10"/>
  <c r="C81" i="11" l="1"/>
  <c r="E81" i="11" s="1"/>
  <c r="E69" i="11"/>
  <c r="E78" i="9"/>
  <c r="E50" i="11"/>
  <c r="F50" i="11" s="1"/>
  <c r="H55" i="11"/>
  <c r="F63" i="11"/>
  <c r="O54" i="11"/>
  <c r="O56" i="11" s="1"/>
  <c r="F66" i="9"/>
  <c r="C71" i="9"/>
  <c r="E63" i="9"/>
  <c r="O57" i="9"/>
  <c r="O59" i="9" s="1"/>
  <c r="O60" i="9" s="1"/>
  <c r="O61" i="9" s="1"/>
  <c r="O62" i="9" s="1"/>
  <c r="P62" i="8"/>
  <c r="E2" i="8"/>
  <c r="E2" i="7"/>
  <c r="P62" i="10"/>
  <c r="E2" i="10"/>
  <c r="G63" i="9" l="1"/>
  <c r="G38" i="9"/>
  <c r="G28" i="9"/>
  <c r="G48" i="9"/>
  <c r="G39" i="9"/>
  <c r="G22" i="9"/>
  <c r="G51" i="9"/>
  <c r="G41" i="9"/>
  <c r="G53" i="9"/>
  <c r="G66" i="9"/>
  <c r="G31" i="9"/>
  <c r="G19" i="9"/>
  <c r="G49" i="9"/>
  <c r="G30" i="9"/>
  <c r="G8" i="9"/>
  <c r="G46" i="9"/>
  <c r="G9" i="9"/>
  <c r="G47" i="9"/>
  <c r="G50" i="9"/>
  <c r="G21" i="9"/>
  <c r="G14" i="9"/>
  <c r="G56" i="9"/>
  <c r="G10" i="9"/>
  <c r="G45" i="9"/>
  <c r="G36" i="9"/>
  <c r="G17" i="9"/>
  <c r="G27" i="9"/>
  <c r="G32" i="9"/>
  <c r="G55" i="9"/>
  <c r="G23" i="9"/>
  <c r="G40" i="9"/>
  <c r="G11" i="9"/>
  <c r="G37" i="9"/>
  <c r="G18" i="9"/>
  <c r="G13" i="9"/>
  <c r="G20" i="9"/>
  <c r="G44" i="9"/>
  <c r="G64" i="9"/>
  <c r="G29" i="9"/>
  <c r="G65" i="9"/>
  <c r="G12" i="9"/>
  <c r="G35" i="9"/>
  <c r="G24" i="9"/>
  <c r="G54" i="9"/>
  <c r="E63" i="11"/>
  <c r="C71" i="11"/>
  <c r="F66" i="11"/>
  <c r="C83" i="9"/>
  <c r="E83" i="9" s="1"/>
  <c r="E71" i="9"/>
  <c r="F56" i="11"/>
  <c r="P62" i="9"/>
  <c r="E2" i="9"/>
  <c r="E71" i="11" l="1"/>
  <c r="C83" i="11"/>
  <c r="E83" i="11" s="1"/>
  <c r="G63" i="11"/>
  <c r="G66" i="11"/>
  <c r="G32" i="11"/>
  <c r="G41" i="11"/>
  <c r="G37" i="11"/>
  <c r="G31" i="11"/>
  <c r="G21" i="11"/>
  <c r="G39" i="11"/>
  <c r="G13" i="11"/>
  <c r="G18" i="11"/>
  <c r="G46" i="11"/>
  <c r="G9" i="11"/>
  <c r="G65" i="11"/>
  <c r="G8" i="11"/>
  <c r="G27" i="11"/>
  <c r="G36" i="11"/>
  <c r="G47" i="11"/>
  <c r="G30" i="11"/>
  <c r="G29" i="11"/>
  <c r="G23" i="11"/>
  <c r="G11" i="11"/>
  <c r="G44" i="11"/>
  <c r="G54" i="11"/>
  <c r="G28" i="11"/>
  <c r="G51" i="11"/>
  <c r="G38" i="11"/>
  <c r="G20" i="11"/>
  <c r="G49" i="11"/>
  <c r="G24" i="11"/>
  <c r="G12" i="11"/>
  <c r="G45" i="11"/>
  <c r="G14" i="11"/>
  <c r="G40" i="11"/>
  <c r="G35" i="11"/>
  <c r="G22" i="11"/>
  <c r="G48" i="11"/>
  <c r="G10" i="11"/>
  <c r="G17" i="11"/>
  <c r="G19" i="11"/>
  <c r="G53" i="11"/>
  <c r="G64" i="11"/>
  <c r="G55" i="11"/>
  <c r="G50" i="11"/>
  <c r="H56" i="11"/>
  <c r="C74" i="11"/>
  <c r="G56" i="11"/>
  <c r="O55" i="11" l="1"/>
  <c r="O57" i="11" s="1"/>
  <c r="H2" i="11"/>
  <c r="H58" i="11"/>
  <c r="H59" i="11" s="1"/>
  <c r="O58" i="11" s="1"/>
  <c r="E74" i="11"/>
  <c r="E78" i="11" s="1"/>
  <c r="C86" i="11"/>
  <c r="E86" i="11" s="1"/>
  <c r="O59" i="11" l="1"/>
  <c r="O60" i="11" s="1"/>
  <c r="O61" i="11" s="1"/>
  <c r="O62" i="11" s="1"/>
  <c r="P62" i="11" l="1"/>
  <c r="E2" i="11"/>
</calcChain>
</file>

<file path=xl/sharedStrings.xml><?xml version="1.0" encoding="utf-8"?>
<sst xmlns="http://schemas.openxmlformats.org/spreadsheetml/2006/main" count="1301" uniqueCount="338">
  <si>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</si>
  <si>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</si>
  <si>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</si>
  <si>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</si>
  <si>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</si>
  <si>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</si>
  <si>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</si>
  <si>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</si>
  <si>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</si>
  <si>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</si>
  <si>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</si>
  <si>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</si>
  <si>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</si>
  <si>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</si>
  <si>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</si>
  <si>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</si>
  <si>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</si>
  <si>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</si>
  <si>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</si>
  <si>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</si>
  <si>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</si>
  <si>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</si>
  <si>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</si>
  <si>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</si>
  <si>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</si>
  <si>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</si>
  <si>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</si>
  <si>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</si>
  <si>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</si>
  <si>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</si>
  <si>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</si>
  <si>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</si>
  <si>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</si>
  <si>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</si>
  <si>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</si>
  <si>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</si>
  <si>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</si>
  <si>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</si>
  <si>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Javier Tong, Chef</t>
  </si>
  <si>
    <t>Batidos</t>
  </si>
  <si>
    <t>Decoración</t>
  </si>
  <si>
    <t>Empaque</t>
  </si>
  <si>
    <t>902000019</t>
  </si>
  <si>
    <t>MEZCLA P/ENGRASE MOLDES KILO</t>
  </si>
  <si>
    <t>AS00028</t>
  </si>
  <si>
    <t>BOLSA TRANSPARENTE 56X96X1.80 KILO</t>
  </si>
  <si>
    <t>PLASTICOS P</t>
  </si>
  <si>
    <t>0702007</t>
  </si>
  <si>
    <t>EM10004</t>
  </si>
  <si>
    <t>ETIQ.FECHA VENCIMIENTO BLANCO (ROLLO)</t>
  </si>
  <si>
    <t>ETIPLAST</t>
  </si>
  <si>
    <t>0702069</t>
  </si>
  <si>
    <t>EM10002</t>
  </si>
  <si>
    <t>ETIQ.BLANCA 1 1/4 * 3/4 (UND)</t>
  </si>
  <si>
    <t>CEMUSA</t>
  </si>
  <si>
    <t/>
  </si>
  <si>
    <t>3.- Enfriar, desmoldar, colocar 22 rosquetes por lata, etiquetar con nombre y fecha de producción.</t>
  </si>
  <si>
    <t>Postre</t>
  </si>
  <si>
    <t># Codigo Netsuite</t>
  </si>
  <si>
    <t>DECORACION</t>
  </si>
  <si>
    <t xml:space="preserve">NUEVO </t>
  </si>
  <si>
    <t>cm</t>
  </si>
  <si>
    <t>EM10011</t>
  </si>
  <si>
    <t>ETIQUETA BLANCA 2 5/8X1 15/16 (UND)</t>
  </si>
  <si>
    <t>EM10124</t>
  </si>
  <si>
    <t>Control de cambios</t>
  </si>
  <si>
    <t>NUEVO</t>
  </si>
  <si>
    <t>SE00577</t>
  </si>
  <si>
    <t>BATIDO QUEQUE ZANAHORIA SPOON</t>
  </si>
  <si>
    <t>Mariela Barrantes Sánchez, Chef</t>
  </si>
  <si>
    <t>1.- Pesar 280g de mezcla en los moldes previamente engrasados.</t>
  </si>
  <si>
    <t>2.- Hornear por Dicte 1 o 2 a 175°C por  min</t>
  </si>
  <si>
    <t xml:space="preserve"> Rosquete zanahoria 280g</t>
  </si>
  <si>
    <t>Decoracion</t>
  </si>
  <si>
    <t>EM10252</t>
  </si>
  <si>
    <t>PLÁSTICO AUTOADERIBLE 1/ 12*2000</t>
  </si>
  <si>
    <t>BELCA</t>
  </si>
  <si>
    <t>tanda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</si>
  <si>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Colocar los rosquetes en una bandeja limpia, en pedazos y bien separados unos de otros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</si>
  <si>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Hornear por 25 minutos a 175°C en el Marshall o 20 minutos a 300°F en el Vulcan. Sacar y enfriar</t>
    </r>
  </si>
  <si>
    <r>
      <rPr>
        <b/>
        <sz val="11"/>
        <rFont val="Times New Roman"/>
        <family val="1"/>
      </rPr>
      <t xml:space="preserve">3-. </t>
    </r>
    <r>
      <rPr>
        <sz val="11"/>
        <rFont val="Times New Roman"/>
        <family val="1"/>
      </rPr>
      <t>Colocar el producto en el procesador y procesar por impulsos hasta formar la borona o deshacer el rosquete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</si>
  <si>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Colocar en baldes sellados y sanitizados. No procesar grandes cantidades para evitar la formación de moho</t>
    </r>
  </si>
  <si>
    <t>Procesado de Borona Zanahoria</t>
  </si>
  <si>
    <t>ROSQUETE ZANAHORIA 280g</t>
  </si>
  <si>
    <t xml:space="preserve">Postres </t>
  </si>
  <si>
    <t>MP10046</t>
  </si>
  <si>
    <t>Queso Crema Panadero</t>
  </si>
  <si>
    <t>MP10050</t>
  </si>
  <si>
    <t>Leche Condensada</t>
  </si>
  <si>
    <t xml:space="preserve">Nestle </t>
  </si>
  <si>
    <t>MP10041</t>
  </si>
  <si>
    <t>Azucar Glass Molida</t>
  </si>
  <si>
    <t xml:space="preserve">La Ciabatta </t>
  </si>
  <si>
    <t>MP10008</t>
  </si>
  <si>
    <t>PRESERVANTE 1047S(PAQ=5 KILO)</t>
  </si>
  <si>
    <t>EM10120</t>
  </si>
  <si>
    <t>ETIQ.BLANCA 1 13/16 * 1 7/8</t>
  </si>
  <si>
    <t>1, Colocar en la batidora el queso crema con la leche condensada y mezclar con la paleta (Apenas este todo incorporado)</t>
  </si>
  <si>
    <t>2, Agregar la leche condensada y mezclar dejando todo bien incorporado (No batir de más)</t>
  </si>
  <si>
    <t xml:space="preserve">3, Colocar el relleno en una tina, tapar y etiquetar. </t>
  </si>
  <si>
    <t xml:space="preserve">ENSAMBLE </t>
  </si>
  <si>
    <t xml:space="preserve">Rosquete Zanahoria 280g </t>
  </si>
  <si>
    <t xml:space="preserve">3 unidades </t>
  </si>
  <si>
    <t>SE00005</t>
  </si>
  <si>
    <t>Almibar</t>
  </si>
  <si>
    <t>SE00386</t>
  </si>
  <si>
    <t>Trasvasado de leche condensada cocinada</t>
  </si>
  <si>
    <t xml:space="preserve">Relleno de Queso y  Leche Condensada </t>
  </si>
  <si>
    <t>SE00707</t>
  </si>
  <si>
    <t>SE00069</t>
  </si>
  <si>
    <t>Crema Beidge</t>
  </si>
  <si>
    <t xml:space="preserve">Procesado Borrona de Zanahoria </t>
  </si>
  <si>
    <t xml:space="preserve">Relleno de Queso y Leche Condensada </t>
  </si>
  <si>
    <t>EM10025</t>
  </si>
  <si>
    <t>ORLA CARTON  8" DORADA</t>
  </si>
  <si>
    <t>ETIQ.BLANCA 1 1/4 * 3/4</t>
  </si>
  <si>
    <t>ETIQUETA BLANCA R-153</t>
  </si>
  <si>
    <t>ETIQUETA BLANCA 2 5/8X1 15/16 PRE BLANCA</t>
  </si>
  <si>
    <t>Pecana Tostada</t>
  </si>
  <si>
    <t>Procesado Pecana Tostada</t>
  </si>
  <si>
    <t>30g x capa</t>
  </si>
  <si>
    <t>140g x capa</t>
  </si>
  <si>
    <t>112g x capa</t>
  </si>
  <si>
    <t>1/2 Taza</t>
  </si>
  <si>
    <t xml:space="preserve">1/4 Taza </t>
  </si>
  <si>
    <t>1/3 Taza</t>
  </si>
  <si>
    <t>NUEVA</t>
  </si>
  <si>
    <t>1, Colocar 1 rosquete de Zanahoria humedecerlo con almibar, agregar trasvasado de leche condensada cocinada, relleno de queso y leche condensada y pecanas tostadas.</t>
  </si>
  <si>
    <t xml:space="preserve">2, Colocar otro rosquete de Zanahoria humedecido con almibar, agregar otra capa de trasvasadade leche condensada cocinada, relleno de queso y leche condensada y pecanas tostadas. </t>
  </si>
  <si>
    <t xml:space="preserve">3, Tapar con el ultimo rosquete de Zanahoria humedecido. </t>
  </si>
  <si>
    <t xml:space="preserve">4, Encremar con la crema beige, dejando la parte superior sin crema, colocar la boronada de zanahoria en la parte inferior de la torta. </t>
  </si>
  <si>
    <t xml:space="preserve">5, En la parte superior de la torta colocar el relleno de queso y leche condensada ralizando un estilo espejo y colocar los trozos pecana tostada en todo el borde. </t>
  </si>
  <si>
    <t xml:space="preserve">6, Tapar y etiquetar. </t>
  </si>
  <si>
    <t>4 unidades</t>
  </si>
  <si>
    <t>TAPA Y DOMO G50CT ALTA #9</t>
  </si>
  <si>
    <t xml:space="preserve">Procesado Pecana Tostada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</si>
  <si>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</si>
  <si>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</si>
  <si>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</si>
  <si>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</si>
  <si>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</si>
  <si>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</si>
  <si>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</si>
  <si>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</si>
  <si>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</si>
  <si>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</si>
  <si>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</si>
  <si>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</si>
  <si>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</si>
  <si>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</si>
  <si>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</si>
  <si>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</si>
  <si>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</si>
  <si>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</si>
  <si>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</si>
  <si>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</si>
  <si>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</si>
  <si>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</si>
  <si>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</si>
  <si>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</si>
  <si>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</si>
  <si>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</si>
  <si>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</si>
  <si>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</si>
  <si>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</si>
  <si>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</si>
  <si>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</si>
  <si>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</si>
  <si>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</si>
  <si>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</si>
  <si>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</si>
  <si>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</si>
  <si>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</si>
  <si>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</si>
  <si>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</si>
  <si>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</si>
  <si>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</si>
  <si>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</si>
  <si>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</si>
  <si>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</si>
  <si>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</si>
  <si>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</si>
  <si>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</si>
  <si>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</si>
  <si>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</si>
  <si>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</si>
  <si>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</si>
  <si>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</si>
  <si>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0702067</t>
  </si>
  <si>
    <t>SE00701</t>
  </si>
  <si>
    <t>1950928</t>
  </si>
  <si>
    <t xml:space="preserve">UND </t>
  </si>
  <si>
    <t>UND</t>
  </si>
  <si>
    <t>nuevo</t>
  </si>
  <si>
    <t>0702123</t>
  </si>
  <si>
    <t>Nuevo</t>
  </si>
  <si>
    <t>Torta Zanahoria</t>
  </si>
  <si>
    <t>Leche Cond Cocinada Loc</t>
  </si>
  <si>
    <t>ESP-RE-COCS-017</t>
  </si>
  <si>
    <t>02</t>
  </si>
  <si>
    <t xml:space="preserve"> SE00005 - ALMIBAR</t>
  </si>
  <si>
    <t>Cocina</t>
  </si>
  <si>
    <t>10415</t>
  </si>
  <si>
    <t>AGUA POTABLE (PLANTA)</t>
  </si>
  <si>
    <t>SE00016</t>
  </si>
  <si>
    <t>AZUCAR BLANCO INDUSTRIAL KILO</t>
  </si>
  <si>
    <t>10100311</t>
  </si>
  <si>
    <t>MP10095</t>
  </si>
  <si>
    <t>CANELA EN ASTILLA</t>
  </si>
  <si>
    <t>PRIMA</t>
  </si>
  <si>
    <t>0810288</t>
  </si>
  <si>
    <t>MP10598</t>
  </si>
  <si>
    <t>JUGO DE NARANJA TB</t>
  </si>
  <si>
    <t>DOS PINOS</t>
  </si>
  <si>
    <t>1212410</t>
  </si>
  <si>
    <t>PRESERVANTE 1047S (PAQ=5 KILO)</t>
  </si>
  <si>
    <t>ASEAL</t>
  </si>
  <si>
    <t>EM10259</t>
  </si>
  <si>
    <t>PLAST. AUTOAD 18 * 2000</t>
  </si>
  <si>
    <t>Mayca</t>
  </si>
  <si>
    <t>90</t>
  </si>
  <si>
    <t>Cm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</si>
  <si>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</si>
  <si>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</si>
  <si>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</si>
  <si>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</si>
  <si>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 xml:space="preserve">Revision #2: Actualizacion del rendimiento de la receta. </t>
  </si>
  <si>
    <t>ESP-RE-COCS-055</t>
  </si>
  <si>
    <t>01</t>
  </si>
  <si>
    <t>20100161(PTL00140) Leche condensada cocinada</t>
  </si>
  <si>
    <t>MP10477</t>
  </si>
  <si>
    <t xml:space="preserve">LATA LECHE CONDENSADA </t>
  </si>
  <si>
    <t>NESTLE</t>
  </si>
  <si>
    <t>cajas</t>
  </si>
  <si>
    <t>1, Retirar las etiquetas de cada lata de leche condensada</t>
  </si>
  <si>
    <t>2, Colocar las latas en la marmita (sin aspas). Cerrar a presion.</t>
  </si>
  <si>
    <t>#, Cocinar en programa "Leche Cocinada"</t>
  </si>
  <si>
    <t>4, Retirar con mucho cuidado el tapon para liberar presion. Luego que ya este liberada toda la presion, proceder a abrir la olla.</t>
  </si>
  <si>
    <t>5, Con ayuda de una pinza o guantes colocar las latas en una caja esperar a que se sequen, Etiquetar con fecha de vencimiento.</t>
  </si>
  <si>
    <t xml:space="preserve">6, Empacar en las mismas cajas en las que llegaron y etiquetar con fecha de vencimeinto la caja tambien </t>
  </si>
  <si>
    <t>ESP-RE-BAS-055</t>
  </si>
  <si>
    <t>SE00577 Batido queque zanahoria spoon</t>
  </si>
  <si>
    <t>SE00576</t>
  </si>
  <si>
    <t>PRREMEZCLA ZANAHORIA SPOON</t>
  </si>
  <si>
    <t>10100050</t>
  </si>
  <si>
    <t>MP10002</t>
  </si>
  <si>
    <t>ACEITE CAPULLO RBD</t>
  </si>
  <si>
    <t>CAPULLO</t>
  </si>
  <si>
    <t>1210482</t>
  </si>
  <si>
    <t>MP10005</t>
  </si>
  <si>
    <t>HUEVO LIQUIDO REFRIGERADO</t>
  </si>
  <si>
    <t>INNOVO</t>
  </si>
  <si>
    <t>118000004</t>
  </si>
  <si>
    <t>MP10385</t>
  </si>
  <si>
    <t>VAINILLA OSCURA</t>
  </si>
  <si>
    <t>MAYCA</t>
  </si>
  <si>
    <t>0101240</t>
  </si>
  <si>
    <t>MP10018</t>
  </si>
  <si>
    <t>ZANAHORIA ENTERA</t>
  </si>
  <si>
    <t>PRESTO</t>
  </si>
  <si>
    <t>1.- En la batidora colocar el huevo con los azucares y batir hasta que triplique su volumen.</t>
  </si>
  <si>
    <t>2.- Luego en forma de hilo agregar el aceite hasta incorporar.</t>
  </si>
  <si>
    <t>3.- Agregar la premezcla con la vianilla y la zanahoria.</t>
  </si>
  <si>
    <t>4.- Dosificar de inmediato.</t>
  </si>
  <si>
    <t>ESP-RE-PRES-032</t>
  </si>
  <si>
    <t xml:space="preserve">SE00576 Premezcla  zanahoria spoon </t>
  </si>
  <si>
    <t>Premezclas</t>
  </si>
  <si>
    <t>11200064</t>
  </si>
  <si>
    <t>MP10051</t>
  </si>
  <si>
    <t>HARINA TRIGO NACARINA</t>
  </si>
  <si>
    <t>NACARINA</t>
  </si>
  <si>
    <t>503000036</t>
  </si>
  <si>
    <t>MP10085</t>
  </si>
  <si>
    <t>BICARBONATO DE SODIO</t>
  </si>
  <si>
    <t>PASTELERO</t>
  </si>
  <si>
    <t>10100046</t>
  </si>
  <si>
    <t>MP10304</t>
  </si>
  <si>
    <t>POLVO HORNEAR</t>
  </si>
  <si>
    <t>ROYAL</t>
  </si>
  <si>
    <t>10100122</t>
  </si>
  <si>
    <t>MP10096</t>
  </si>
  <si>
    <t>CANELA EN POLVO</t>
  </si>
  <si>
    <t>BADIA</t>
  </si>
  <si>
    <t>5000001</t>
  </si>
  <si>
    <t>MP10027</t>
  </si>
  <si>
    <t>SAL INDUSTRIAL</t>
  </si>
  <si>
    <t>ATLANTIDA</t>
  </si>
  <si>
    <t>0512262</t>
  </si>
  <si>
    <t>MP10566</t>
  </si>
  <si>
    <t>PROPIANATO DE CALCIO</t>
  </si>
  <si>
    <t>CRYSTAL PRO</t>
  </si>
  <si>
    <t>512261</t>
  </si>
  <si>
    <t>MP10579</t>
  </si>
  <si>
    <t>ACIDO SORBICO</t>
  </si>
  <si>
    <t>BEYCO</t>
  </si>
  <si>
    <t>10100045</t>
  </si>
  <si>
    <t>MP10075</t>
  </si>
  <si>
    <t>AZUCAR CARAMELO</t>
  </si>
  <si>
    <t>ZUKRA</t>
  </si>
  <si>
    <t>510301</t>
  </si>
  <si>
    <t>MP10074</t>
  </si>
  <si>
    <t>AZUCAR BLANCO INDUSTRIAL</t>
  </si>
  <si>
    <t>MARIA</t>
  </si>
  <si>
    <t>11900028</t>
  </si>
  <si>
    <t>MP10562</t>
  </si>
  <si>
    <t>PECANA ENTERA</t>
  </si>
  <si>
    <t>NUECES IND</t>
  </si>
  <si>
    <t>1950702</t>
  </si>
  <si>
    <t>EM10016</t>
  </si>
  <si>
    <t>BOLSA 12X18 TRANSPARENTE</t>
  </si>
  <si>
    <t>1950708</t>
  </si>
  <si>
    <t>EM10013</t>
  </si>
  <si>
    <t>BOLSA 17X25 TRANSPARENTE</t>
  </si>
  <si>
    <t>60100010</t>
  </si>
  <si>
    <t>EM10133</t>
  </si>
  <si>
    <t>ETIQUETA ROJA LETRA ALERGENO</t>
  </si>
  <si>
    <t>ETIQUETA BLANCA 2 5/8X1 15/16</t>
  </si>
  <si>
    <t>1.- Pesar en la bolsa 12x18 el harina, bicarbonato, polvo de hornear, canela, sal, propionato y acido sorbico.</t>
  </si>
  <si>
    <t>2.- En una bolsa 17x25 pesar los azucares y en otra la pecana.</t>
  </si>
  <si>
    <t>3.- Etiquetar</t>
  </si>
  <si>
    <t>ESP-RE-POS-082</t>
  </si>
  <si>
    <t>06</t>
  </si>
  <si>
    <t>SE00707 PECANA TOSTADA</t>
  </si>
  <si>
    <t>Postres</t>
  </si>
  <si>
    <t>Pecana Entera</t>
  </si>
  <si>
    <t>Nueces Industriales</t>
  </si>
  <si>
    <r>
      <t xml:space="preserve">1.- </t>
    </r>
    <r>
      <rPr>
        <sz val="11"/>
        <rFont val="Arial"/>
        <family val="2"/>
      </rPr>
      <t>Colocar la pecana en bandejas y hornear por 5 min a 175°C.</t>
    </r>
  </si>
  <si>
    <r>
      <t xml:space="preserve">2.- </t>
    </r>
    <r>
      <rPr>
        <sz val="11"/>
        <rFont val="Arial"/>
        <family val="2"/>
      </rPr>
      <t>Enfriar y utilizar de inmediato</t>
    </r>
  </si>
  <si>
    <t>2, Correcciones post corridas</t>
  </si>
  <si>
    <t>3, Cambio en procedimiento</t>
  </si>
  <si>
    <t>4, Cambio de etiqueta Spoon</t>
  </si>
  <si>
    <t xml:space="preserve">5, Se le quita etiqueta spooners y codigo QR </t>
  </si>
  <si>
    <t>6, Cambio de manjar</t>
  </si>
  <si>
    <t>CM</t>
  </si>
  <si>
    <t>Acetato</t>
  </si>
  <si>
    <t>EM10494</t>
  </si>
  <si>
    <t>SE00806 Relleno de Queso y Leche Condensada</t>
  </si>
  <si>
    <t>ESP-RE-POS-133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</si>
</sst>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7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Century Gothic"/>
      <family val="2"/>
    </font>
    <font>
      <b/>
      <i/>
      <sz val="12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b/>
      <sz val="10"/>
      <name val="Arial"/>
      <family val="2"/>
    </font>
    <font>
      <sz val="9.85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4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Aptos Narrow"/>
      <family val="2"/>
      <scheme val="minor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Century Gothic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6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1"/>
      <name val="Calibri"/>
      <family val="2"/>
    </font>
    <font>
      <sz val="11"/>
      <color theme="1"/>
      <name val="Segoe UI"/>
      <family val="2"/>
    </font>
    <font>
      <b/>
      <sz val="20"/>
      <name val="Century Gothic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b/>
      <sz val="18"/>
      <name val="Century Gothic"/>
      <family val="2"/>
    </font>
    <font>
      <sz val="16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3">
    <xf numFmtId="0" fontId="0" fillId="0" borderId="0" xfId="0"/>
    <xf numFmtId="0" fontId="0" fillId="0" borderId="15" xfId="0" applyBorder="1"/>
    <xf numFmtId="0" fontId="0" fillId="0" borderId="15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1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16" fontId="5" fillId="0" borderId="15" xfId="0" applyNumberFormat="1" applyFont="1" applyBorder="1" applyAlignment="1">
      <alignment horizontal="center"/>
    </xf>
    <xf numFmtId="0" fontId="10" fillId="3" borderId="18" xfId="2" applyFont="1" applyFill="1" applyBorder="1" applyAlignment="1">
      <alignment horizontal="right"/>
    </xf>
    <xf numFmtId="0" fontId="5" fillId="3" borderId="17" xfId="2" applyFont="1" applyFill="1" applyBorder="1" applyAlignment="1">
      <alignment horizontal="center"/>
    </xf>
    <xf numFmtId="0" fontId="10" fillId="3" borderId="15" xfId="2" applyFont="1" applyFill="1" applyBorder="1" applyAlignment="1">
      <alignment horizontal="right"/>
    </xf>
    <xf numFmtId="49" fontId="5" fillId="3" borderId="14" xfId="2" applyNumberFormat="1" applyFont="1" applyFill="1" applyBorder="1" applyAlignment="1">
      <alignment horizontal="center"/>
    </xf>
    <xf numFmtId="0" fontId="5" fillId="3" borderId="11" xfId="2" applyFont="1" applyFill="1" applyBorder="1" applyAlignment="1">
      <alignment horizontal="right"/>
    </xf>
    <xf numFmtId="0" fontId="5" fillId="3" borderId="15" xfId="2" applyFont="1" applyFill="1" applyBorder="1" applyAlignment="1">
      <alignment horizontal="right"/>
    </xf>
    <xf numFmtId="14" fontId="17" fillId="3" borderId="0" xfId="2" applyNumberFormat="1" applyFont="1" applyFill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1" fontId="10" fillId="2" borderId="2" xfId="1" applyNumberFormat="1" applyFont="1" applyFill="1" applyBorder="1" applyAlignment="1">
      <alignment horizontal="center"/>
    </xf>
    <xf numFmtId="1" fontId="10" fillId="2" borderId="2" xfId="1" applyNumberFormat="1" applyFont="1" applyFill="1" applyBorder="1" applyAlignment="1">
      <alignment horizontal="center" wrapText="1"/>
    </xf>
    <xf numFmtId="0" fontId="10" fillId="2" borderId="1" xfId="1" applyFont="1" applyFill="1" applyBorder="1" applyAlignment="1">
      <alignment horizontal="center"/>
    </xf>
    <xf numFmtId="0" fontId="12" fillId="0" borderId="16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3" fillId="0" borderId="15" xfId="1" applyFont="1" applyBorder="1" applyAlignment="1">
      <alignment vertical="center"/>
    </xf>
    <xf numFmtId="0" fontId="12" fillId="0" borderId="15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/>
    </xf>
    <xf numFmtId="1" fontId="0" fillId="0" borderId="15" xfId="0" applyNumberFormat="1" applyBorder="1"/>
    <xf numFmtId="0" fontId="5" fillId="0" borderId="15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12" fontId="5" fillId="0" borderId="11" xfId="0" applyNumberFormat="1" applyFont="1" applyBorder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0" fontId="8" fillId="4" borderId="15" xfId="1" applyFont="1" applyFill="1" applyBorder="1" applyAlignment="1">
      <alignment horizontal="left"/>
    </xf>
    <xf numFmtId="0" fontId="5" fillId="4" borderId="15" xfId="1" applyFont="1" applyFill="1" applyBorder="1" applyAlignment="1">
      <alignment horizontal="center"/>
    </xf>
    <xf numFmtId="1" fontId="0" fillId="0" borderId="8" xfId="0" applyNumberFormat="1" applyBorder="1"/>
    <xf numFmtId="0" fontId="2" fillId="0" borderId="15" xfId="1" applyFont="1" applyBorder="1" applyAlignment="1">
      <alignment horizontal="center"/>
    </xf>
    <xf numFmtId="165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0" fontId="18" fillId="4" borderId="16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0" fontId="18" fillId="4" borderId="11" xfId="0" applyFont="1" applyFill="1" applyBorder="1"/>
    <xf numFmtId="0" fontId="5" fillId="4" borderId="8" xfId="0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 wrapText="1"/>
    </xf>
    <xf numFmtId="1" fontId="5" fillId="0" borderId="15" xfId="0" applyNumberFormat="1" applyFont="1" applyBorder="1" applyAlignment="1">
      <alignment horizontal="center" wrapText="1"/>
    </xf>
    <xf numFmtId="49" fontId="12" fillId="0" borderId="7" xfId="1" applyNumberFormat="1" applyFont="1" applyBorder="1" applyAlignment="1">
      <alignment horizontal="center"/>
    </xf>
    <xf numFmtId="49" fontId="12" fillId="0" borderId="6" xfId="1" applyNumberFormat="1" applyFont="1" applyBorder="1" applyAlignment="1">
      <alignment horizontal="center"/>
    </xf>
    <xf numFmtId="0" fontId="9" fillId="4" borderId="15" xfId="1" applyFont="1" applyFill="1" applyBorder="1" applyAlignment="1">
      <alignment vertical="center"/>
    </xf>
    <xf numFmtId="0" fontId="12" fillId="0" borderId="8" xfId="1" applyFont="1" applyBorder="1" applyAlignment="1">
      <alignment horizontal="center"/>
    </xf>
    <xf numFmtId="165" fontId="12" fillId="0" borderId="15" xfId="1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15" fillId="0" borderId="15" xfId="0" applyNumberFormat="1" applyFont="1" applyBorder="1"/>
    <xf numFmtId="166" fontId="10" fillId="4" borderId="15" xfId="6" applyNumberFormat="1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0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0" fontId="5" fillId="0" borderId="15" xfId="0" quotePrefix="1" applyFont="1" applyBorder="1" applyAlignment="1">
      <alignment horizontal="center"/>
    </xf>
    <xf numFmtId="0" fontId="5" fillId="0" borderId="15" xfId="0" quotePrefix="1" applyFont="1" applyBorder="1"/>
    <xf numFmtId="49" fontId="21" fillId="3" borderId="21" xfId="1" applyNumberFormat="1" applyFont="1" applyFill="1" applyBorder="1" applyAlignment="1">
      <alignment horizontal="center" vertical="center"/>
    </xf>
    <xf numFmtId="49" fontId="21" fillId="3" borderId="0" xfId="1" applyNumberFormat="1" applyFont="1" applyFill="1" applyAlignment="1">
      <alignment horizontal="center" vertical="center"/>
    </xf>
    <xf numFmtId="0" fontId="5" fillId="3" borderId="0" xfId="1" applyFont="1" applyFill="1"/>
    <xf numFmtId="1" fontId="5" fillId="3" borderId="0" xfId="1" applyNumberFormat="1" applyFont="1" applyFill="1" applyAlignment="1">
      <alignment horizontal="center"/>
    </xf>
    <xf numFmtId="164" fontId="5" fillId="3" borderId="0" xfId="1" applyNumberFormat="1" applyFont="1" applyFill="1" applyAlignment="1">
      <alignment horizontal="center" wrapText="1"/>
    </xf>
    <xf numFmtId="0" fontId="5" fillId="3" borderId="20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center"/>
    </xf>
    <xf numFmtId="0" fontId="5" fillId="2" borderId="37" xfId="1" applyFont="1" applyFill="1" applyBorder="1"/>
    <xf numFmtId="0" fontId="10" fillId="2" borderId="37" xfId="1" applyFont="1" applyFill="1" applyBorder="1" applyAlignment="1">
      <alignment horizontal="center"/>
    </xf>
    <xf numFmtId="1" fontId="10" fillId="2" borderId="37" xfId="1" applyNumberFormat="1" applyFont="1" applyFill="1" applyBorder="1" applyAlignment="1">
      <alignment horizontal="center"/>
    </xf>
    <xf numFmtId="164" fontId="5" fillId="2" borderId="37" xfId="1" applyNumberFormat="1" applyFont="1" applyFill="1" applyBorder="1" applyAlignment="1">
      <alignment horizontal="center" wrapText="1"/>
    </xf>
    <xf numFmtId="0" fontId="5" fillId="2" borderId="38" xfId="1" applyFont="1" applyFill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3" fillId="3" borderId="18" xfId="2" applyFont="1" applyFill="1" applyBorder="1" applyAlignment="1">
      <alignment horizontal="right"/>
    </xf>
    <xf numFmtId="0" fontId="1" fillId="3" borderId="17" xfId="2" applyFont="1" applyFill="1" applyBorder="1" applyAlignment="1">
      <alignment horizontal="center"/>
    </xf>
    <xf numFmtId="0" fontId="1" fillId="3" borderId="0" xfId="0" applyFont="1" applyFill="1"/>
    <xf numFmtId="0" fontId="23" fillId="3" borderId="15" xfId="2" applyFont="1" applyFill="1" applyBorder="1" applyAlignment="1">
      <alignment horizontal="right"/>
    </xf>
    <xf numFmtId="49" fontId="0" fillId="3" borderId="14" xfId="2" applyNumberFormat="1" applyFont="1" applyFill="1" applyBorder="1" applyAlignment="1">
      <alignment horizontal="center"/>
    </xf>
    <xf numFmtId="0" fontId="1" fillId="3" borderId="15" xfId="2" applyFont="1" applyFill="1" applyBorder="1" applyAlignment="1">
      <alignment horizontal="right"/>
    </xf>
    <xf numFmtId="0" fontId="1" fillId="3" borderId="2" xfId="2" applyFont="1" applyFill="1" applyBorder="1" applyAlignment="1">
      <alignment horizontal="right"/>
    </xf>
    <xf numFmtId="0" fontId="1" fillId="3" borderId="0" xfId="2" applyFont="1" applyFill="1" applyAlignment="1">
      <alignment horizontal="center"/>
    </xf>
    <xf numFmtId="0" fontId="1" fillId="3" borderId="0" xfId="2" applyFont="1" applyFill="1" applyAlignment="1">
      <alignment horizontal="right"/>
    </xf>
    <xf numFmtId="0" fontId="1" fillId="3" borderId="0" xfId="2" applyFont="1" applyFill="1" applyAlignment="1">
      <alignment horizontal="left"/>
    </xf>
    <xf numFmtId="0" fontId="23" fillId="3" borderId="0" xfId="2" applyFont="1" applyFill="1" applyAlignment="1">
      <alignment horizontal="right" vertical="top" wrapText="1"/>
    </xf>
    <xf numFmtId="14" fontId="1" fillId="3" borderId="0" xfId="2" applyNumberFormat="1" applyFont="1" applyFill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1" fontId="23" fillId="2" borderId="2" xfId="0" applyNumberFormat="1" applyFont="1" applyFill="1" applyBorder="1" applyAlignment="1">
      <alignment horizontal="center"/>
    </xf>
    <xf numFmtId="1" fontId="23" fillId="2" borderId="2" xfId="0" applyNumberFormat="1" applyFont="1" applyFill="1" applyBorder="1" applyAlignment="1">
      <alignment horizontal="center" wrapText="1"/>
    </xf>
    <xf numFmtId="1" fontId="23" fillId="2" borderId="28" xfId="0" applyNumberFormat="1" applyFont="1" applyFill="1" applyBorder="1" applyAlignment="1">
      <alignment horizontal="center"/>
    </xf>
    <xf numFmtId="1" fontId="23" fillId="2" borderId="28" xfId="0" applyNumberFormat="1" applyFont="1" applyFill="1" applyBorder="1" applyAlignment="1">
      <alignment horizontal="center" wrapText="1"/>
    </xf>
    <xf numFmtId="0" fontId="23" fillId="2" borderId="33" xfId="0" applyFont="1" applyFill="1" applyBorder="1" applyAlignment="1">
      <alignment horizontal="center"/>
    </xf>
    <xf numFmtId="0" fontId="1" fillId="0" borderId="15" xfId="1" applyBorder="1" applyAlignment="1">
      <alignment horizontal="center"/>
    </xf>
    <xf numFmtId="0" fontId="6" fillId="0" borderId="18" xfId="1" applyFont="1" applyBorder="1" applyAlignment="1">
      <alignment horizontal="center"/>
    </xf>
    <xf numFmtId="1" fontId="0" fillId="0" borderId="15" xfId="1" applyNumberFormat="1" applyFont="1" applyBorder="1"/>
    <xf numFmtId="1" fontId="1" fillId="0" borderId="15" xfId="1" applyNumberFormat="1" applyBorder="1"/>
    <xf numFmtId="0" fontId="6" fillId="0" borderId="11" xfId="1" applyFont="1" applyBorder="1" applyAlignment="1">
      <alignment horizontal="center"/>
    </xf>
    <xf numFmtId="1" fontId="1" fillId="0" borderId="15" xfId="1" applyNumberFormat="1" applyBorder="1" applyAlignment="1">
      <alignment horizontal="center"/>
    </xf>
    <xf numFmtId="0" fontId="23" fillId="4" borderId="15" xfId="1" applyFont="1" applyFill="1" applyBorder="1" applyAlignment="1">
      <alignment horizontal="center"/>
    </xf>
    <xf numFmtId="12" fontId="6" fillId="0" borderId="15" xfId="1" applyNumberFormat="1" applyFont="1" applyBorder="1"/>
    <xf numFmtId="0" fontId="3" fillId="0" borderId="11" xfId="1" applyFont="1" applyBorder="1" applyAlignment="1">
      <alignment horizontal="center"/>
    </xf>
    <xf numFmtId="0" fontId="23" fillId="0" borderId="15" xfId="1" applyFont="1" applyBorder="1" applyAlignment="1">
      <alignment horizontal="left"/>
    </xf>
    <xf numFmtId="0" fontId="24" fillId="0" borderId="15" xfId="1" applyFont="1" applyBorder="1" applyAlignment="1">
      <alignment horizontal="center" vertical="center"/>
    </xf>
    <xf numFmtId="0" fontId="25" fillId="0" borderId="15" xfId="1" applyFont="1" applyBorder="1"/>
    <xf numFmtId="0" fontId="23" fillId="4" borderId="10" xfId="1" applyFont="1" applyFill="1" applyBorder="1" applyAlignment="1">
      <alignment horizontal="center"/>
    </xf>
    <xf numFmtId="1" fontId="1" fillId="0" borderId="11" xfId="1" applyNumberFormat="1" applyBorder="1" applyAlignment="1">
      <alignment horizontal="center"/>
    </xf>
    <xf numFmtId="0" fontId="1" fillId="0" borderId="11" xfId="1" applyBorder="1" applyAlignment="1">
      <alignment horizontal="center"/>
    </xf>
    <xf numFmtId="0" fontId="23" fillId="4" borderId="14" xfId="1" applyFont="1" applyFill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33" xfId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1" fillId="3" borderId="0" xfId="0" applyFont="1" applyFill="1" applyAlignment="1">
      <alignment horizontal="left" indent="1"/>
    </xf>
    <xf numFmtId="0" fontId="1" fillId="0" borderId="53" xfId="1" quotePrefix="1" applyBorder="1" applyAlignment="1">
      <alignment horizontal="right"/>
    </xf>
    <xf numFmtId="0" fontId="0" fillId="0" borderId="28" xfId="0" applyBorder="1" applyAlignment="1">
      <alignment horizontal="center"/>
    </xf>
    <xf numFmtId="0" fontId="0" fillId="0" borderId="28" xfId="0" applyBorder="1"/>
    <xf numFmtId="0" fontId="25" fillId="0" borderId="28" xfId="1" applyFont="1" applyBorder="1"/>
    <xf numFmtId="1" fontId="1" fillId="0" borderId="28" xfId="1" applyNumberFormat="1" applyBorder="1" applyAlignment="1">
      <alignment horizontal="center" wrapText="1"/>
    </xf>
    <xf numFmtId="0" fontId="1" fillId="0" borderId="28" xfId="1" applyBorder="1" applyAlignment="1">
      <alignment horizontal="center"/>
    </xf>
    <xf numFmtId="0" fontId="1" fillId="0" borderId="15" xfId="1" quotePrefix="1" applyBorder="1" applyAlignment="1">
      <alignment horizontal="right"/>
    </xf>
    <xf numFmtId="1" fontId="1" fillId="0" borderId="15" xfId="1" applyNumberFormat="1" applyBorder="1" applyAlignment="1">
      <alignment horizontal="center" wrapText="1"/>
    </xf>
    <xf numFmtId="0" fontId="1" fillId="2" borderId="4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0" xfId="0" applyFont="1" applyFill="1" applyBorder="1"/>
    <xf numFmtId="0" fontId="23" fillId="2" borderId="30" xfId="0" applyFont="1" applyFill="1" applyBorder="1" applyAlignment="1">
      <alignment horizontal="center"/>
    </xf>
    <xf numFmtId="1" fontId="23" fillId="2" borderId="30" xfId="0" applyNumberFormat="1" applyFont="1" applyFill="1" applyBorder="1" applyAlignment="1">
      <alignment horizontal="center"/>
    </xf>
    <xf numFmtId="164" fontId="1" fillId="2" borderId="30" xfId="0" applyNumberFormat="1" applyFont="1" applyFill="1" applyBorder="1" applyAlignment="1">
      <alignment horizontal="center" wrapText="1"/>
    </xf>
    <xf numFmtId="0" fontId="1" fillId="2" borderId="54" xfId="0" applyFont="1" applyFill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9" fontId="1" fillId="3" borderId="0" xfId="8" applyFont="1" applyFill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6" fillId="3" borderId="0" xfId="0" applyFont="1" applyFill="1" applyAlignment="1">
      <alignment vertical="center"/>
    </xf>
    <xf numFmtId="0" fontId="0" fillId="3" borderId="0" xfId="0" applyFill="1"/>
    <xf numFmtId="0" fontId="18" fillId="4" borderId="15" xfId="0" applyFont="1" applyFill="1" applyBorder="1" applyAlignment="1">
      <alignment horizontal="center"/>
    </xf>
    <xf numFmtId="1" fontId="5" fillId="4" borderId="15" xfId="0" applyNumberFormat="1" applyFont="1" applyFill="1" applyBorder="1" applyAlignment="1">
      <alignment horizontal="center"/>
    </xf>
    <xf numFmtId="1" fontId="5" fillId="4" borderId="15" xfId="0" applyNumberFormat="1" applyFont="1" applyFill="1" applyBorder="1" applyAlignment="1">
      <alignment horizontal="center" wrapText="1"/>
    </xf>
    <xf numFmtId="0" fontId="18" fillId="4" borderId="8" xfId="0" applyFont="1" applyFill="1" applyBorder="1" applyAlignment="1">
      <alignment horizontal="center"/>
    </xf>
    <xf numFmtId="0" fontId="18" fillId="4" borderId="15" xfId="0" applyFont="1" applyFill="1" applyBorder="1"/>
    <xf numFmtId="0" fontId="28" fillId="0" borderId="15" xfId="0" applyFont="1" applyBorder="1" applyAlignment="1">
      <alignment horizontal="center"/>
    </xf>
    <xf numFmtId="0" fontId="28" fillId="0" borderId="15" xfId="0" applyFont="1" applyBorder="1" applyAlignment="1">
      <alignment horizontal="center" vertical="center"/>
    </xf>
    <xf numFmtId="0" fontId="28" fillId="7" borderId="15" xfId="0" applyFont="1" applyFill="1" applyBorder="1"/>
    <xf numFmtId="0" fontId="5" fillId="0" borderId="15" xfId="0" applyFont="1" applyBorder="1" applyAlignment="1">
      <alignment horizontal="center" wrapText="1"/>
    </xf>
    <xf numFmtId="0" fontId="28" fillId="7" borderId="0" xfId="0" applyFont="1" applyFill="1" applyAlignment="1">
      <alignment horizontal="center"/>
    </xf>
    <xf numFmtId="0" fontId="28" fillId="7" borderId="0" xfId="0" applyFont="1" applyFill="1"/>
    <xf numFmtId="0" fontId="10" fillId="7" borderId="15" xfId="0" applyFont="1" applyFill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28" fillId="7" borderId="15" xfId="0" applyFont="1" applyFill="1" applyBorder="1" applyAlignment="1">
      <alignment horizontal="left" vertical="center"/>
    </xf>
    <xf numFmtId="16" fontId="6" fillId="0" borderId="8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1" fontId="5" fillId="4" borderId="15" xfId="1" applyNumberFormat="1" applyFont="1" applyFill="1" applyBorder="1" applyAlignment="1">
      <alignment horizontal="center"/>
    </xf>
    <xf numFmtId="1" fontId="5" fillId="4" borderId="15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5" fillId="4" borderId="15" xfId="0" applyNumberFormat="1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1" fontId="5" fillId="0" borderId="11" xfId="0" applyNumberFormat="1" applyFont="1" applyBorder="1" applyAlignment="1">
      <alignment horizontal="center" wrapText="1"/>
    </xf>
    <xf numFmtId="1" fontId="5" fillId="0" borderId="11" xfId="0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14" fillId="0" borderId="15" xfId="1" applyNumberFormat="1" applyFont="1" applyBorder="1"/>
    <xf numFmtId="16" fontId="2" fillId="0" borderId="15" xfId="1" applyNumberFormat="1" applyFont="1" applyBorder="1" applyAlignment="1">
      <alignment horizontal="center"/>
    </xf>
    <xf numFmtId="1" fontId="5" fillId="0" borderId="11" xfId="1" applyNumberFormat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2" fillId="0" borderId="28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1" fontId="1" fillId="0" borderId="15" xfId="0" applyNumberFormat="1" applyFont="1" applyBorder="1" applyAlignment="1">
      <alignment horizontal="left" vertical="center"/>
    </xf>
    <xf numFmtId="0" fontId="2" fillId="4" borderId="16" xfId="0" applyFont="1" applyFill="1" applyBorder="1" applyAlignment="1">
      <alignment horizontal="center"/>
    </xf>
    <xf numFmtId="0" fontId="29" fillId="4" borderId="0" xfId="0" applyFont="1" applyFill="1" applyAlignment="1">
      <alignment horizontal="center"/>
    </xf>
    <xf numFmtId="1" fontId="14" fillId="4" borderId="15" xfId="0" applyNumberFormat="1" applyFont="1" applyFill="1" applyBorder="1"/>
    <xf numFmtId="0" fontId="14" fillId="4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49" fontId="14" fillId="0" borderId="15" xfId="0" applyNumberFormat="1" applyFont="1" applyBorder="1"/>
    <xf numFmtId="0" fontId="30" fillId="0" borderId="15" xfId="1" applyFont="1" applyBorder="1" applyAlignment="1">
      <alignment vertical="center"/>
    </xf>
    <xf numFmtId="0" fontId="31" fillId="0" borderId="15" xfId="1" applyFont="1" applyBorder="1" applyAlignment="1">
      <alignment horizontal="left"/>
    </xf>
    <xf numFmtId="0" fontId="31" fillId="0" borderId="15" xfId="0" applyFont="1" applyBorder="1"/>
    <xf numFmtId="0" fontId="31" fillId="0" borderId="15" xfId="0" applyFont="1" applyBorder="1" applyAlignment="1">
      <alignment horizontal="left" vertical="center"/>
    </xf>
    <xf numFmtId="0" fontId="1" fillId="0" borderId="15" xfId="1" applyBorder="1"/>
    <xf numFmtId="0" fontId="23" fillId="0" borderId="15" xfId="1" applyFont="1" applyBorder="1"/>
    <xf numFmtId="1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32" fillId="0" borderId="15" xfId="0" applyFont="1" applyBorder="1" applyAlignment="1">
      <alignment horizontal="center" vertical="center"/>
    </xf>
    <xf numFmtId="0" fontId="23" fillId="4" borderId="17" xfId="1" applyFont="1" applyFill="1" applyBorder="1" applyAlignment="1">
      <alignment horizontal="center"/>
    </xf>
    <xf numFmtId="0" fontId="1" fillId="0" borderId="18" xfId="1" applyBorder="1" applyAlignment="1">
      <alignment horizontal="center"/>
    </xf>
    <xf numFmtId="1" fontId="1" fillId="0" borderId="18" xfId="1" applyNumberFormat="1" applyBorder="1" applyAlignment="1">
      <alignment horizontal="center"/>
    </xf>
    <xf numFmtId="0" fontId="6" fillId="0" borderId="11" xfId="1" applyFont="1" applyBorder="1" applyAlignment="1">
      <alignment horizontal="center" wrapText="1"/>
    </xf>
    <xf numFmtId="0" fontId="1" fillId="2" borderId="42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7" xfId="0" applyFont="1" applyFill="1" applyBorder="1"/>
    <xf numFmtId="0" fontId="23" fillId="2" borderId="37" xfId="0" applyFont="1" applyFill="1" applyBorder="1" applyAlignment="1">
      <alignment horizontal="center"/>
    </xf>
    <xf numFmtId="1" fontId="23" fillId="2" borderId="37" xfId="0" applyNumberFormat="1" applyFont="1" applyFill="1" applyBorder="1" applyAlignment="1">
      <alignment horizontal="center"/>
    </xf>
    <xf numFmtId="164" fontId="1" fillId="2" borderId="37" xfId="0" applyNumberFormat="1" applyFont="1" applyFill="1" applyBorder="1" applyAlignment="1">
      <alignment horizontal="center" wrapText="1"/>
    </xf>
    <xf numFmtId="0" fontId="1" fillId="2" borderId="38" xfId="0" applyFont="1" applyFill="1" applyBorder="1" applyAlignment="1">
      <alignment horizontal="center"/>
    </xf>
    <xf numFmtId="0" fontId="25" fillId="0" borderId="15" xfId="1" applyFont="1" applyBorder="1" applyAlignment="1">
      <alignment horizontal="center"/>
    </xf>
    <xf numFmtId="0" fontId="14" fillId="4" borderId="0" xfId="0" applyFont="1" applyFill="1" applyAlignment="1">
      <alignment vertical="center"/>
    </xf>
    <xf numFmtId="0" fontId="15" fillId="8" borderId="15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15" fillId="0" borderId="15" xfId="6" applyFont="1" applyFill="1" applyBorder="1" applyAlignment="1">
      <alignment horizontal="center" vertical="center"/>
    </xf>
    <xf numFmtId="43" fontId="15" fillId="0" borderId="0" xfId="6" applyFont="1" applyFill="1" applyBorder="1" applyAlignment="1">
      <alignment horizontal="center" vertical="center"/>
    </xf>
    <xf numFmtId="43" fontId="34" fillId="0" borderId="0" xfId="6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68" fontId="37" fillId="0" borderId="0" xfId="0" applyNumberFormat="1" applyFont="1" applyAlignment="1">
      <alignment horizontal="center" vertical="center" wrapText="1"/>
    </xf>
    <xf numFmtId="0" fontId="15" fillId="9" borderId="57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9" borderId="5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38" fillId="0" borderId="0" xfId="0" applyNumberFormat="1" applyFont="1" applyAlignment="1">
      <alignment horizontal="center"/>
    </xf>
    <xf numFmtId="4" fontId="38" fillId="0" borderId="0" xfId="12" applyNumberFormat="1" applyFont="1" applyFill="1" applyAlignment="1">
      <alignment horizontal="center" vertical="center"/>
    </xf>
    <xf numFmtId="4" fontId="15" fillId="0" borderId="0" xfId="12" applyNumberFormat="1" applyFont="1" applyFill="1" applyAlignment="1">
      <alignment horizontal="center" vertical="center"/>
    </xf>
    <xf numFmtId="10" fontId="15" fillId="0" borderId="0" xfId="8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33" fillId="0" borderId="0" xfId="8" applyNumberFormat="1" applyFont="1" applyFill="1" applyAlignment="1">
      <alignment vertical="center"/>
    </xf>
    <xf numFmtId="0" fontId="14" fillId="0" borderId="0" xfId="0" applyFont="1"/>
    <xf numFmtId="49" fontId="15" fillId="0" borderId="0" xfId="0" applyNumberFormat="1" applyFont="1" applyAlignment="1">
      <alignment horizontal="center"/>
    </xf>
    <xf numFmtId="169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6" applyFont="1" applyFill="1" applyAlignment="1">
      <alignment vertical="center"/>
    </xf>
    <xf numFmtId="49" fontId="3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6" applyNumberFormat="1" applyFont="1" applyFill="1" applyAlignment="1">
      <alignment vertical="center"/>
    </xf>
    <xf numFmtId="43" fontId="40" fillId="0" borderId="0" xfId="6" applyFont="1" applyFill="1" applyAlignment="1">
      <alignment horizontal="center" vertical="center"/>
    </xf>
    <xf numFmtId="10" fontId="33" fillId="9" borderId="60" xfId="8" applyNumberFormat="1" applyFont="1" applyFill="1" applyBorder="1" applyAlignment="1">
      <alignment vertical="center"/>
    </xf>
    <xf numFmtId="0" fontId="14" fillId="9" borderId="37" xfId="0" applyFont="1" applyFill="1" applyBorder="1" applyAlignment="1">
      <alignment vertical="center"/>
    </xf>
    <xf numFmtId="0" fontId="14" fillId="9" borderId="60" xfId="0" applyFont="1" applyFill="1" applyBorder="1" applyAlignment="1">
      <alignment vertical="center"/>
    </xf>
    <xf numFmtId="43" fontId="40" fillId="9" borderId="61" xfId="6" applyFont="1" applyFill="1" applyBorder="1" applyAlignment="1">
      <alignment horizontal="center" vertical="center"/>
    </xf>
    <xf numFmtId="43" fontId="42" fillId="0" borderId="0" xfId="6" applyFont="1" applyFill="1" applyBorder="1" applyAlignment="1">
      <alignment horizontal="right"/>
    </xf>
    <xf numFmtId="0" fontId="14" fillId="9" borderId="61" xfId="0" applyFont="1" applyFill="1" applyBorder="1" applyAlignment="1">
      <alignment vertical="center"/>
    </xf>
    <xf numFmtId="10" fontId="33" fillId="9" borderId="61" xfId="8" applyNumberFormat="1" applyFont="1" applyFill="1" applyBorder="1" applyAlignment="1">
      <alignment vertical="center"/>
    </xf>
    <xf numFmtId="0" fontId="41" fillId="0" borderId="0" xfId="0" applyFont="1" applyAlignment="1">
      <alignment horizontal="right"/>
    </xf>
    <xf numFmtId="0" fontId="41" fillId="0" borderId="0" xfId="0" applyFont="1"/>
    <xf numFmtId="9" fontId="41" fillId="0" borderId="0" xfId="0" applyNumberFormat="1" applyFont="1"/>
    <xf numFmtId="9" fontId="43" fillId="0" borderId="0" xfId="8" applyFont="1" applyFill="1" applyAlignment="1">
      <alignment horizontal="center"/>
    </xf>
    <xf numFmtId="0" fontId="40" fillId="0" borderId="0" xfId="0" applyFont="1" applyAlignment="1">
      <alignment horizontal="right" vertical="center"/>
    </xf>
    <xf numFmtId="4" fontId="40" fillId="0" borderId="0" xfId="6" applyNumberFormat="1" applyFont="1" applyFill="1" applyAlignment="1">
      <alignment vertical="center"/>
    </xf>
    <xf numFmtId="4" fontId="40" fillId="0" borderId="0" xfId="12" applyNumberFormat="1" applyFont="1" applyAlignment="1">
      <alignment horizontal="center" vertical="center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5" fillId="0" borderId="20" xfId="0" applyFont="1" applyBorder="1" applyAlignment="1">
      <alignment horizontal="right"/>
    </xf>
    <xf numFmtId="43" fontId="46" fillId="5" borderId="62" xfId="6" applyFont="1" applyFill="1" applyBorder="1" applyAlignment="1">
      <alignment horizontal="right"/>
    </xf>
    <xf numFmtId="43" fontId="46" fillId="0" borderId="0" xfId="6" applyFont="1" applyFill="1" applyBorder="1" applyAlignment="1">
      <alignment horizontal="right"/>
    </xf>
    <xf numFmtId="43" fontId="15" fillId="0" borderId="15" xfId="6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4" fontId="40" fillId="0" borderId="0" xfId="12" applyNumberFormat="1" applyFont="1" applyFill="1" applyAlignment="1">
      <alignment horizontal="center" vertical="center"/>
    </xf>
    <xf numFmtId="10" fontId="48" fillId="0" borderId="0" xfId="8" applyNumberFormat="1" applyFont="1" applyFill="1" applyAlignment="1">
      <alignment horizontal="right"/>
    </xf>
    <xf numFmtId="170" fontId="15" fillId="9" borderId="15" xfId="6" applyNumberFormat="1" applyFont="1" applyFill="1" applyBorder="1" applyAlignment="1">
      <alignment vertical="center"/>
    </xf>
    <xf numFmtId="4" fontId="14" fillId="0" borderId="0" xfId="0" applyNumberFormat="1" applyFont="1" applyAlignment="1">
      <alignment horizontal="center" vertical="center"/>
    </xf>
    <xf numFmtId="43" fontId="15" fillId="10" borderId="15" xfId="6" applyFont="1" applyFill="1" applyBorder="1" applyAlignment="1">
      <alignment vertical="center"/>
    </xf>
    <xf numFmtId="167" fontId="49" fillId="0" borderId="0" xfId="0" applyNumberFormat="1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33" fillId="9" borderId="63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2" fontId="48" fillId="0" borderId="0" xfId="6" applyNumberFormat="1" applyFont="1" applyFill="1" applyBorder="1" applyAlignment="1">
      <alignment horizontal="center"/>
    </xf>
    <xf numFmtId="2" fontId="45" fillId="0" borderId="0" xfId="6" applyNumberFormat="1" applyFont="1" applyFill="1" applyBorder="1" applyAlignment="1">
      <alignment horizontal="center"/>
    </xf>
    <xf numFmtId="0" fontId="14" fillId="9" borderId="63" xfId="0" applyFont="1" applyFill="1" applyBorder="1" applyAlignment="1">
      <alignment vertical="center"/>
    </xf>
    <xf numFmtId="10" fontId="14" fillId="0" borderId="0" xfId="8" applyNumberFormat="1" applyFont="1" applyFill="1" applyAlignment="1">
      <alignment vertical="center"/>
    </xf>
    <xf numFmtId="4" fontId="14" fillId="0" borderId="0" xfId="6" applyNumberFormat="1" applyFont="1" applyFill="1" applyAlignment="1">
      <alignment vertical="center"/>
    </xf>
    <xf numFmtId="43" fontId="46" fillId="9" borderId="37" xfId="6" applyFont="1" applyFill="1" applyBorder="1" applyAlignment="1">
      <alignment horizontal="right"/>
    </xf>
    <xf numFmtId="0" fontId="15" fillId="9" borderId="38" xfId="0" applyFont="1" applyFill="1" applyBorder="1" applyAlignment="1">
      <alignment horizontal="right" vertical="center"/>
    </xf>
    <xf numFmtId="10" fontId="52" fillId="0" borderId="0" xfId="6" applyNumberFormat="1" applyFont="1" applyFill="1" applyAlignment="1">
      <alignment vertical="center"/>
    </xf>
    <xf numFmtId="10" fontId="33" fillId="0" borderId="0" xfId="8" applyNumberFormat="1" applyFont="1" applyFill="1" applyBorder="1" applyAlignment="1">
      <alignment vertical="center"/>
    </xf>
    <xf numFmtId="167" fontId="53" fillId="0" borderId="0" xfId="0" applyNumberFormat="1" applyFont="1" applyAlignment="1">
      <alignment horizontal="center" vertical="center"/>
    </xf>
    <xf numFmtId="0" fontId="14" fillId="4" borderId="62" xfId="0" applyFont="1" applyFill="1" applyBorder="1" applyAlignment="1">
      <alignment horizontal="center" vertical="center"/>
    </xf>
    <xf numFmtId="43" fontId="54" fillId="0" borderId="0" xfId="6" applyFont="1" applyFill="1" applyAlignment="1">
      <alignment vertical="center"/>
    </xf>
    <xf numFmtId="4" fontId="55" fillId="0" borderId="0" xfId="12" applyNumberFormat="1" applyFont="1" applyFill="1" applyAlignment="1">
      <alignment horizontal="center" vertical="center" wrapText="1"/>
    </xf>
    <xf numFmtId="9" fontId="14" fillId="0" borderId="0" xfId="6" applyNumberFormat="1" applyFont="1" applyFill="1" applyAlignment="1">
      <alignment vertical="center"/>
    </xf>
    <xf numFmtId="0" fontId="4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9" fillId="0" borderId="0" xfId="0" applyFont="1" applyAlignment="1">
      <alignment horizontal="right" vertical="center"/>
    </xf>
    <xf numFmtId="4" fontId="39" fillId="0" borderId="0" xfId="6" applyNumberFormat="1" applyFont="1" applyFill="1" applyAlignment="1">
      <alignment vertical="center"/>
    </xf>
    <xf numFmtId="4" fontId="15" fillId="12" borderId="62" xfId="6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43" fontId="20" fillId="0" borderId="0" xfId="6" applyFont="1" applyFill="1" applyAlignment="1">
      <alignment vertical="center"/>
    </xf>
    <xf numFmtId="9" fontId="20" fillId="0" borderId="0" xfId="6" applyNumberFormat="1" applyFont="1" applyFill="1" applyAlignment="1">
      <alignment vertical="center"/>
    </xf>
    <xf numFmtId="4" fontId="15" fillId="0" borderId="0" xfId="6" applyNumberFormat="1" applyFont="1" applyFill="1" applyAlignment="1">
      <alignment horizontal="center" vertical="center"/>
    </xf>
    <xf numFmtId="10" fontId="49" fillId="0" borderId="0" xfId="8" applyNumberFormat="1" applyFont="1" applyFill="1" applyAlignment="1">
      <alignment vertical="center"/>
    </xf>
    <xf numFmtId="43" fontId="49" fillId="0" borderId="0" xfId="6" applyFont="1" applyFill="1" applyBorder="1" applyAlignment="1">
      <alignment vertical="center"/>
    </xf>
    <xf numFmtId="4" fontId="14" fillId="0" borderId="0" xfId="0" applyNumberFormat="1" applyFont="1" applyAlignment="1">
      <alignment horizontal="center"/>
    </xf>
    <xf numFmtId="43" fontId="14" fillId="0" borderId="0" xfId="6" applyFont="1" applyFill="1" applyBorder="1"/>
    <xf numFmtId="10" fontId="49" fillId="0" borderId="0" xfId="8" applyNumberFormat="1" applyFont="1" applyFill="1" applyBorder="1" applyAlignment="1">
      <alignment vertical="center"/>
    </xf>
    <xf numFmtId="0" fontId="49" fillId="0" borderId="0" xfId="0" applyFont="1" applyAlignment="1">
      <alignment horizontal="right"/>
    </xf>
    <xf numFmtId="43" fontId="14" fillId="0" borderId="0" xfId="6" applyFont="1" applyFill="1" applyBorder="1" applyAlignment="1">
      <alignment horizontal="center"/>
    </xf>
    <xf numFmtId="9" fontId="58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7" fontId="15" fillId="0" borderId="0" xfId="0" applyNumberFormat="1" applyFont="1"/>
    <xf numFmtId="4" fontId="38" fillId="0" borderId="0" xfId="12" applyNumberFormat="1" applyFont="1" applyFill="1" applyAlignment="1">
      <alignment horizontal="center" vertical="center" wrapText="1"/>
    </xf>
    <xf numFmtId="0" fontId="0" fillId="13" borderId="15" xfId="0" applyFill="1" applyBorder="1" applyAlignment="1">
      <alignment horizontal="center"/>
    </xf>
    <xf numFmtId="0" fontId="0" fillId="13" borderId="15" xfId="0" applyFill="1" applyBorder="1"/>
    <xf numFmtId="0" fontId="6" fillId="13" borderId="11" xfId="1" applyFont="1" applyFill="1" applyBorder="1" applyAlignment="1">
      <alignment horizontal="center"/>
    </xf>
    <xf numFmtId="0" fontId="31" fillId="13" borderId="15" xfId="0" applyFont="1" applyFill="1" applyBorder="1"/>
    <xf numFmtId="0" fontId="32" fillId="13" borderId="15" xfId="0" applyFont="1" applyFill="1" applyBorder="1" applyAlignment="1">
      <alignment horizontal="center" vertical="center"/>
    </xf>
    <xf numFmtId="0" fontId="25" fillId="13" borderId="15" xfId="1" applyFont="1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15" xfId="0" applyFill="1" applyBorder="1"/>
    <xf numFmtId="0" fontId="6" fillId="14" borderId="11" xfId="1" applyFont="1" applyFill="1" applyBorder="1" applyAlignment="1">
      <alignment horizontal="center"/>
    </xf>
    <xf numFmtId="0" fontId="31" fillId="14" borderId="15" xfId="0" applyFont="1" applyFill="1" applyBorder="1"/>
    <xf numFmtId="0" fontId="32" fillId="14" borderId="15" xfId="0" applyFont="1" applyFill="1" applyBorder="1" applyAlignment="1">
      <alignment horizontal="center" vertical="center"/>
    </xf>
    <xf numFmtId="0" fontId="25" fillId="14" borderId="15" xfId="1" applyFont="1" applyFill="1" applyBorder="1" applyAlignment="1">
      <alignment horizontal="center"/>
    </xf>
    <xf numFmtId="0" fontId="61" fillId="0" borderId="15" xfId="1" applyFont="1" applyBorder="1" applyAlignment="1">
      <alignment vertical="center"/>
    </xf>
    <xf numFmtId="0" fontId="60" fillId="0" borderId="15" xfId="1" applyFont="1" applyBorder="1" applyAlignment="1">
      <alignment horizontal="center" vertical="center"/>
    </xf>
    <xf numFmtId="0" fontId="60" fillId="0" borderId="16" xfId="1" applyFont="1" applyBorder="1" applyAlignment="1">
      <alignment horizontal="center" vertical="center"/>
    </xf>
    <xf numFmtId="0" fontId="60" fillId="0" borderId="8" xfId="1" applyFont="1" applyBorder="1" applyAlignment="1">
      <alignment horizontal="center" vertical="center"/>
    </xf>
    <xf numFmtId="1" fontId="60" fillId="0" borderId="15" xfId="1" applyNumberFormat="1" applyFont="1" applyBorder="1" applyAlignment="1">
      <alignment horizontal="center"/>
    </xf>
    <xf numFmtId="1" fontId="60" fillId="0" borderId="15" xfId="1" applyNumberFormat="1" applyFont="1" applyBorder="1" applyAlignment="1">
      <alignment horizontal="center" wrapText="1"/>
    </xf>
    <xf numFmtId="0" fontId="62" fillId="0" borderId="14" xfId="1" applyFont="1" applyBorder="1" applyAlignment="1">
      <alignment horizontal="center"/>
    </xf>
    <xf numFmtId="0" fontId="62" fillId="0" borderId="11" xfId="0" applyFont="1" applyBorder="1" applyAlignment="1">
      <alignment horizontal="center" vertical="center"/>
    </xf>
    <xf numFmtId="0" fontId="62" fillId="0" borderId="11" xfId="0" applyFont="1" applyBorder="1" applyAlignment="1">
      <alignment horizontal="left" vertical="center"/>
    </xf>
    <xf numFmtId="16" fontId="62" fillId="4" borderId="11" xfId="0" applyNumberFormat="1" applyFont="1" applyFill="1" applyBorder="1" applyAlignment="1">
      <alignment horizontal="center"/>
    </xf>
    <xf numFmtId="1" fontId="62" fillId="4" borderId="11" xfId="0" applyNumberFormat="1" applyFont="1" applyFill="1" applyBorder="1" applyAlignment="1">
      <alignment horizontal="center"/>
    </xf>
    <xf numFmtId="1" fontId="62" fillId="0" borderId="11" xfId="0" applyNumberFormat="1" applyFont="1" applyBorder="1" applyAlignment="1">
      <alignment horizontal="center" wrapText="1"/>
    </xf>
    <xf numFmtId="2" fontId="60" fillId="0" borderId="15" xfId="1" applyNumberFormat="1" applyFont="1" applyBorder="1" applyAlignment="1">
      <alignment horizontal="center"/>
    </xf>
    <xf numFmtId="0" fontId="62" fillId="0" borderId="15" xfId="0" applyFont="1" applyBorder="1" applyAlignment="1">
      <alignment horizontal="center" vertical="center"/>
    </xf>
    <xf numFmtId="0" fontId="62" fillId="0" borderId="15" xfId="0" applyFont="1" applyBorder="1" applyAlignment="1">
      <alignment horizontal="left" vertical="center"/>
    </xf>
    <xf numFmtId="16" fontId="62" fillId="4" borderId="15" xfId="0" applyNumberFormat="1" applyFont="1" applyFill="1" applyBorder="1" applyAlignment="1">
      <alignment horizontal="center"/>
    </xf>
    <xf numFmtId="1" fontId="62" fillId="4" borderId="15" xfId="0" applyNumberFormat="1" applyFont="1" applyFill="1" applyBorder="1" applyAlignment="1">
      <alignment horizontal="center"/>
    </xf>
    <xf numFmtId="1" fontId="62" fillId="0" borderId="15" xfId="0" applyNumberFormat="1" applyFont="1" applyBorder="1" applyAlignment="1">
      <alignment horizontal="center" wrapText="1"/>
    </xf>
    <xf numFmtId="49" fontId="62" fillId="0" borderId="16" xfId="1" applyNumberFormat="1" applyFont="1" applyBorder="1" applyAlignment="1">
      <alignment horizontal="center"/>
    </xf>
    <xf numFmtId="49" fontId="62" fillId="0" borderId="8" xfId="1" applyNumberFormat="1" applyFont="1" applyBorder="1" applyAlignment="1">
      <alignment horizontal="center"/>
    </xf>
    <xf numFmtId="0" fontId="60" fillId="4" borderId="15" xfId="1" applyFont="1" applyFill="1" applyBorder="1" applyAlignment="1">
      <alignment horizontal="left"/>
    </xf>
    <xf numFmtId="0" fontId="62" fillId="0" borderId="15" xfId="1" applyFont="1" applyBorder="1" applyAlignment="1">
      <alignment horizontal="center"/>
    </xf>
    <xf numFmtId="165" fontId="62" fillId="0" borderId="15" xfId="1" applyNumberFormat="1" applyFont="1" applyBorder="1" applyAlignment="1">
      <alignment horizontal="center"/>
    </xf>
    <xf numFmtId="1" fontId="62" fillId="0" borderId="15" xfId="1" applyNumberFormat="1" applyFont="1" applyBorder="1" applyAlignment="1">
      <alignment horizontal="center" wrapText="1"/>
    </xf>
    <xf numFmtId="0" fontId="62" fillId="0" borderId="16" xfId="4" applyFont="1" applyBorder="1" applyAlignment="1">
      <alignment horizontal="center"/>
    </xf>
    <xf numFmtId="0" fontId="62" fillId="4" borderId="15" xfId="4" applyFont="1" applyFill="1" applyBorder="1"/>
    <xf numFmtId="16" fontId="62" fillId="0" borderId="15" xfId="4" applyNumberFormat="1" applyFont="1" applyBorder="1" applyAlignment="1">
      <alignment horizontal="center"/>
    </xf>
    <xf numFmtId="1" fontId="62" fillId="0" borderId="15" xfId="1" applyNumberFormat="1" applyFont="1" applyBorder="1" applyAlignment="1">
      <alignment horizontal="center"/>
    </xf>
    <xf numFmtId="49" fontId="60" fillId="0" borderId="7" xfId="1" applyNumberFormat="1" applyFont="1" applyBorder="1" applyAlignment="1">
      <alignment horizontal="center"/>
    </xf>
    <xf numFmtId="49" fontId="60" fillId="0" borderId="6" xfId="1" applyNumberFormat="1" applyFont="1" applyBorder="1" applyAlignment="1">
      <alignment horizontal="center"/>
    </xf>
    <xf numFmtId="0" fontId="61" fillId="4" borderId="15" xfId="1" applyFont="1" applyFill="1" applyBorder="1" applyAlignment="1">
      <alignment vertical="center"/>
    </xf>
    <xf numFmtId="0" fontId="60" fillId="0" borderId="8" xfId="1" applyFont="1" applyBorder="1" applyAlignment="1">
      <alignment horizontal="center"/>
    </xf>
    <xf numFmtId="1" fontId="62" fillId="0" borderId="15" xfId="0" applyNumberFormat="1" applyFont="1" applyBorder="1" applyAlignment="1">
      <alignment horizontal="center"/>
    </xf>
    <xf numFmtId="0" fontId="62" fillId="0" borderId="15" xfId="0" applyFont="1" applyBorder="1" applyAlignment="1">
      <alignment horizontal="center"/>
    </xf>
    <xf numFmtId="0" fontId="62" fillId="0" borderId="15" xfId="0" applyFont="1" applyBorder="1"/>
    <xf numFmtId="16" fontId="62" fillId="0" borderId="15" xfId="0" applyNumberFormat="1" applyFont="1" applyBorder="1" applyAlignment="1">
      <alignment horizontal="center"/>
    </xf>
    <xf numFmtId="49" fontId="62" fillId="0" borderId="15" xfId="0" applyNumberFormat="1" applyFont="1" applyBorder="1" applyAlignment="1">
      <alignment horizontal="center"/>
    </xf>
    <xf numFmtId="49" fontId="62" fillId="4" borderId="16" xfId="1" applyNumberFormat="1" applyFont="1" applyFill="1" applyBorder="1" applyAlignment="1">
      <alignment horizontal="center"/>
    </xf>
    <xf numFmtId="49" fontId="62" fillId="4" borderId="8" xfId="1" applyNumberFormat="1" applyFont="1" applyFill="1" applyBorder="1" applyAlignment="1">
      <alignment horizontal="center"/>
    </xf>
    <xf numFmtId="49" fontId="62" fillId="4" borderId="15" xfId="1" applyNumberFormat="1" applyFont="1" applyFill="1" applyBorder="1"/>
    <xf numFmtId="49" fontId="62" fillId="0" borderId="15" xfId="1" applyNumberFormat="1" applyFont="1" applyBorder="1"/>
    <xf numFmtId="49" fontId="63" fillId="3" borderId="21" xfId="1" applyNumberFormat="1" applyFont="1" applyFill="1" applyBorder="1" applyAlignment="1">
      <alignment horizontal="center" vertical="center"/>
    </xf>
    <xf numFmtId="49" fontId="63" fillId="3" borderId="0" xfId="1" applyNumberFormat="1" applyFont="1" applyFill="1" applyAlignment="1">
      <alignment horizontal="center" vertical="center"/>
    </xf>
    <xf numFmtId="0" fontId="62" fillId="3" borderId="0" xfId="1" applyFont="1" applyFill="1"/>
    <xf numFmtId="1" fontId="62" fillId="3" borderId="0" xfId="1" applyNumberFormat="1" applyFont="1" applyFill="1" applyAlignment="1">
      <alignment horizontal="center"/>
    </xf>
    <xf numFmtId="164" fontId="62" fillId="3" borderId="0" xfId="1" applyNumberFormat="1" applyFont="1" applyFill="1" applyAlignment="1">
      <alignment horizontal="center" wrapText="1"/>
    </xf>
    <xf numFmtId="0" fontId="62" fillId="3" borderId="20" xfId="1" applyFont="1" applyFill="1" applyBorder="1" applyAlignment="1">
      <alignment horizontal="center"/>
    </xf>
    <xf numFmtId="0" fontId="1" fillId="0" borderId="0" xfId="1"/>
    <xf numFmtId="0" fontId="5" fillId="3" borderId="0" xfId="1" applyFont="1" applyFill="1" applyAlignment="1">
      <alignment horizontal="left" indent="1"/>
    </xf>
    <xf numFmtId="0" fontId="62" fillId="2" borderId="42" xfId="1" applyFont="1" applyFill="1" applyBorder="1" applyAlignment="1">
      <alignment horizontal="center"/>
    </xf>
    <xf numFmtId="0" fontId="62" fillId="2" borderId="37" xfId="1" applyFont="1" applyFill="1" applyBorder="1" applyAlignment="1">
      <alignment horizontal="center"/>
    </xf>
    <xf numFmtId="0" fontId="62" fillId="2" borderId="37" xfId="1" applyFont="1" applyFill="1" applyBorder="1"/>
    <xf numFmtId="0" fontId="60" fillId="2" borderId="37" xfId="1" applyFont="1" applyFill="1" applyBorder="1" applyAlignment="1">
      <alignment horizontal="center"/>
    </xf>
    <xf numFmtId="1" fontId="60" fillId="2" borderId="37" xfId="1" applyNumberFormat="1" applyFont="1" applyFill="1" applyBorder="1" applyAlignment="1">
      <alignment horizontal="center"/>
    </xf>
    <xf numFmtId="164" fontId="62" fillId="2" borderId="37" xfId="1" applyNumberFormat="1" applyFont="1" applyFill="1" applyBorder="1" applyAlignment="1">
      <alignment horizontal="center" wrapText="1"/>
    </xf>
    <xf numFmtId="0" fontId="62" fillId="2" borderId="38" xfId="1" applyFont="1" applyFill="1" applyBorder="1" applyAlignment="1">
      <alignment horizontal="center"/>
    </xf>
    <xf numFmtId="1" fontId="62" fillId="0" borderId="11" xfId="0" applyNumberFormat="1" applyFont="1" applyBorder="1" applyAlignment="1">
      <alignment horizontal="center"/>
    </xf>
    <xf numFmtId="0" fontId="62" fillId="0" borderId="27" xfId="0" applyFont="1" applyBorder="1" applyAlignment="1">
      <alignment horizontal="center"/>
    </xf>
    <xf numFmtId="0" fontId="60" fillId="0" borderId="15" xfId="0" applyFont="1" applyBorder="1" applyAlignment="1">
      <alignment horizontal="center"/>
    </xf>
    <xf numFmtId="9" fontId="5" fillId="3" borderId="0" xfId="17" applyFont="1" applyFill="1"/>
    <xf numFmtId="1" fontId="62" fillId="0" borderId="2" xfId="0" applyNumberFormat="1" applyFont="1" applyBorder="1" applyAlignment="1">
      <alignment horizontal="center"/>
    </xf>
    <xf numFmtId="0" fontId="62" fillId="0" borderId="2" xfId="0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0" fontId="6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24" fillId="0" borderId="13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65" fillId="0" borderId="0" xfId="0" applyFont="1" applyAlignment="1">
      <alignment horizontal="center"/>
    </xf>
    <xf numFmtId="49" fontId="1" fillId="0" borderId="15" xfId="7" applyNumberFormat="1" applyBorder="1"/>
    <xf numFmtId="16" fontId="25" fillId="0" borderId="15" xfId="7" applyNumberFormat="1" applyFont="1" applyBorder="1" applyAlignment="1">
      <alignment horizontal="center"/>
    </xf>
    <xf numFmtId="1" fontId="25" fillId="0" borderId="15" xfId="7" applyNumberFormat="1" applyFont="1" applyBorder="1" applyAlignment="1">
      <alignment horizontal="center"/>
    </xf>
    <xf numFmtId="49" fontId="2" fillId="0" borderId="16" xfId="9" applyNumberFormat="1" applyFont="1" applyBorder="1" applyAlignment="1">
      <alignment horizontal="center"/>
    </xf>
    <xf numFmtId="49" fontId="2" fillId="0" borderId="8" xfId="9" applyNumberFormat="1" applyFont="1" applyBorder="1" applyAlignment="1">
      <alignment horizontal="center"/>
    </xf>
    <xf numFmtId="49" fontId="14" fillId="0" borderId="15" xfId="9" applyNumberFormat="1" applyFont="1" applyBorder="1"/>
    <xf numFmtId="0" fontId="2" fillId="0" borderId="15" xfId="9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5" fillId="0" borderId="11" xfId="1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4" borderId="15" xfId="0" applyFill="1" applyBorder="1"/>
    <xf numFmtId="0" fontId="1" fillId="0" borderId="16" xfId="4" applyBorder="1" applyAlignment="1">
      <alignment horizontal="center"/>
    </xf>
    <xf numFmtId="0" fontId="1" fillId="4" borderId="15" xfId="4" applyFill="1" applyBorder="1"/>
    <xf numFmtId="16" fontId="2" fillId="0" borderId="15" xfId="4" applyNumberFormat="1" applyFont="1" applyBorder="1" applyAlignment="1">
      <alignment horizontal="center"/>
    </xf>
    <xf numFmtId="0" fontId="1" fillId="0" borderId="15" xfId="4" applyBorder="1" applyAlignment="1">
      <alignment horizontal="center"/>
    </xf>
    <xf numFmtId="1" fontId="2" fillId="0" borderId="15" xfId="4" applyNumberFormat="1" applyFont="1" applyBorder="1" applyAlignment="1">
      <alignment horizontal="center"/>
    </xf>
    <xf numFmtId="1" fontId="2" fillId="0" borderId="15" xfId="4" applyNumberFormat="1" applyFont="1" applyBorder="1" applyAlignment="1">
      <alignment horizontal="center" wrapText="1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5" xfId="0" applyBorder="1" applyAlignment="1">
      <alignment horizontal="left" vertical="center"/>
    </xf>
    <xf numFmtId="0" fontId="3" fillId="0" borderId="15" xfId="0" applyFont="1" applyBorder="1"/>
    <xf numFmtId="2" fontId="2" fillId="0" borderId="15" xfId="1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16" xfId="5" applyBorder="1" applyAlignment="1">
      <alignment horizontal="center"/>
    </xf>
    <xf numFmtId="0" fontId="0" fillId="0" borderId="8" xfId="5" applyFont="1" applyBorder="1" applyAlignment="1">
      <alignment horizontal="center"/>
    </xf>
    <xf numFmtId="0" fontId="4" fillId="0" borderId="15" xfId="5" applyBorder="1"/>
    <xf numFmtId="0" fontId="4" fillId="0" borderId="15" xfId="5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49" fontId="2" fillId="4" borderId="16" xfId="1" applyNumberFormat="1" applyFont="1" applyFill="1" applyBorder="1" applyAlignment="1">
      <alignment horizontal="center"/>
    </xf>
    <xf numFmtId="49" fontId="2" fillId="4" borderId="8" xfId="1" applyNumberFormat="1" applyFont="1" applyFill="1" applyBorder="1" applyAlignment="1">
      <alignment horizontal="center"/>
    </xf>
    <xf numFmtId="49" fontId="14" fillId="4" borderId="15" xfId="1" applyNumberFormat="1" applyFont="1" applyFill="1" applyBorder="1"/>
    <xf numFmtId="0" fontId="2" fillId="0" borderId="6" xfId="0" applyFont="1" applyBorder="1" applyAlignment="1">
      <alignment horizontal="left"/>
    </xf>
    <xf numFmtId="0" fontId="5" fillId="4" borderId="15" xfId="0" applyFont="1" applyFill="1" applyBorder="1" applyAlignment="1">
      <alignment horizontal="center"/>
    </xf>
    <xf numFmtId="14" fontId="67" fillId="3" borderId="0" xfId="2" applyNumberFormat="1" applyFont="1" applyFill="1" applyAlignment="1">
      <alignment horizontal="center" vertical="center" wrapText="1"/>
    </xf>
    <xf numFmtId="0" fontId="62" fillId="0" borderId="64" xfId="1" applyFont="1" applyBorder="1" applyAlignment="1">
      <alignment horizontal="center" vertical="center"/>
    </xf>
    <xf numFmtId="0" fontId="62" fillId="0" borderId="15" xfId="1" applyFont="1" applyBorder="1" applyAlignment="1">
      <alignment horizontal="center" vertical="center"/>
    </xf>
    <xf numFmtId="0" fontId="62" fillId="0" borderId="65" xfId="1" applyFont="1" applyBorder="1" applyAlignment="1">
      <alignment horizontal="left" vertical="center"/>
    </xf>
    <xf numFmtId="0" fontId="62" fillId="0" borderId="11" xfId="1" applyFont="1" applyBorder="1" applyAlignment="1">
      <alignment horizontal="center"/>
    </xf>
    <xf numFmtId="0" fontId="62" fillId="0" borderId="11" xfId="0" applyFont="1" applyBorder="1" applyAlignment="1">
      <alignment horizontal="center" wrapText="1"/>
    </xf>
    <xf numFmtId="12" fontId="62" fillId="0" borderId="11" xfId="0" applyNumberFormat="1" applyFont="1" applyBorder="1" applyAlignment="1">
      <alignment horizontal="center"/>
    </xf>
    <xf numFmtId="0" fontId="68" fillId="0" borderId="15" xfId="0" applyFont="1" applyBorder="1" applyAlignment="1">
      <alignment horizontal="center"/>
    </xf>
    <xf numFmtId="0" fontId="62" fillId="0" borderId="9" xfId="1" quotePrefix="1" applyFont="1" applyBorder="1" applyAlignment="1">
      <alignment horizontal="center"/>
    </xf>
    <xf numFmtId="0" fontId="62" fillId="0" borderId="15" xfId="1" quotePrefix="1" applyFont="1" applyBorder="1" applyAlignment="1">
      <alignment horizontal="center"/>
    </xf>
    <xf numFmtId="0" fontId="62" fillId="0" borderId="8" xfId="1" quotePrefix="1" applyFont="1" applyBorder="1"/>
    <xf numFmtId="0" fontId="68" fillId="0" borderId="15" xfId="0" applyFont="1" applyBorder="1" applyAlignment="1">
      <alignment horizontal="left"/>
    </xf>
    <xf numFmtId="0" fontId="63" fillId="0" borderId="15" xfId="0" applyFont="1" applyBorder="1" applyAlignment="1">
      <alignment horizontal="center" vertical="center"/>
    </xf>
    <xf numFmtId="0" fontId="60" fillId="0" borderId="15" xfId="0" applyFont="1" applyBorder="1"/>
    <xf numFmtId="0" fontId="68" fillId="0" borderId="15" xfId="0" applyFont="1" applyBorder="1"/>
    <xf numFmtId="1" fontId="68" fillId="0" borderId="15" xfId="0" applyNumberFormat="1" applyFont="1" applyBorder="1"/>
    <xf numFmtId="0" fontId="62" fillId="4" borderId="15" xfId="1" applyFont="1" applyFill="1" applyBorder="1" applyAlignment="1">
      <alignment horizontal="center"/>
    </xf>
    <xf numFmtId="0" fontId="68" fillId="4" borderId="16" xfId="0" applyFont="1" applyFill="1" applyBorder="1" applyAlignment="1">
      <alignment horizontal="center"/>
    </xf>
    <xf numFmtId="0" fontId="68" fillId="4" borderId="12" xfId="0" applyFont="1" applyFill="1" applyBorder="1" applyAlignment="1">
      <alignment horizontal="center"/>
    </xf>
    <xf numFmtId="0" fontId="68" fillId="4" borderId="11" xfId="0" applyFont="1" applyFill="1" applyBorder="1"/>
    <xf numFmtId="0" fontId="62" fillId="4" borderId="8" xfId="0" applyFont="1" applyFill="1" applyBorder="1" applyAlignment="1">
      <alignment horizontal="center"/>
    </xf>
    <xf numFmtId="1" fontId="62" fillId="4" borderId="11" xfId="0" applyNumberFormat="1" applyFont="1" applyFill="1" applyBorder="1" applyAlignment="1">
      <alignment horizontal="center" wrapText="1"/>
    </xf>
    <xf numFmtId="49" fontId="62" fillId="4" borderId="11" xfId="0" applyNumberFormat="1" applyFont="1" applyFill="1" applyBorder="1" applyAlignment="1">
      <alignment horizontal="center"/>
    </xf>
    <xf numFmtId="1" fontId="62" fillId="4" borderId="15" xfId="1" applyNumberFormat="1" applyFont="1" applyFill="1" applyBorder="1" applyAlignment="1">
      <alignment horizontal="center"/>
    </xf>
    <xf numFmtId="1" fontId="62" fillId="4" borderId="15" xfId="1" applyNumberFormat="1" applyFont="1" applyFill="1" applyBorder="1" applyAlignment="1">
      <alignment horizontal="center" wrapText="1"/>
    </xf>
    <xf numFmtId="165" fontId="60" fillId="0" borderId="15" xfId="1" applyNumberFormat="1" applyFont="1" applyBorder="1" applyAlignment="1">
      <alignment horizontal="center"/>
    </xf>
    <xf numFmtId="0" fontId="68" fillId="0" borderId="0" xfId="0" applyFont="1"/>
    <xf numFmtId="49" fontId="62" fillId="0" borderId="16" xfId="0" applyNumberFormat="1" applyFont="1" applyBorder="1" applyAlignment="1">
      <alignment horizontal="center"/>
    </xf>
    <xf numFmtId="49" fontId="62" fillId="0" borderId="8" xfId="0" applyNumberFormat="1" applyFont="1" applyBorder="1" applyAlignment="1">
      <alignment horizontal="center"/>
    </xf>
    <xf numFmtId="49" fontId="60" fillId="0" borderId="15" xfId="0" applyNumberFormat="1" applyFont="1" applyBorder="1"/>
    <xf numFmtId="166" fontId="60" fillId="4" borderId="15" xfId="6" applyNumberFormat="1" applyFont="1" applyFill="1" applyBorder="1" applyAlignment="1">
      <alignment horizontal="center"/>
    </xf>
    <xf numFmtId="0" fontId="63" fillId="0" borderId="16" xfId="0" applyFont="1" applyBorder="1" applyAlignment="1">
      <alignment horizontal="center"/>
    </xf>
    <xf numFmtId="0" fontId="63" fillId="0" borderId="8" xfId="0" applyFont="1" applyBorder="1" applyAlignment="1">
      <alignment horizontal="center"/>
    </xf>
    <xf numFmtId="0" fontId="63" fillId="0" borderId="15" xfId="0" applyFont="1" applyBorder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 applyAlignment="1">
      <alignment horizontal="left" vertical="center"/>
    </xf>
    <xf numFmtId="12" fontId="62" fillId="0" borderId="15" xfId="1" applyNumberFormat="1" applyFont="1" applyBorder="1" applyAlignment="1">
      <alignment horizontal="center"/>
    </xf>
    <xf numFmtId="0" fontId="62" fillId="0" borderId="15" xfId="0" quotePrefix="1" applyFont="1" applyBorder="1" applyAlignment="1">
      <alignment horizontal="center"/>
    </xf>
    <xf numFmtId="0" fontId="62" fillId="0" borderId="15" xfId="0" quotePrefix="1" applyFont="1" applyBorder="1"/>
    <xf numFmtId="49" fontId="62" fillId="0" borderId="15" xfId="0" applyNumberFormat="1" applyFont="1" applyBorder="1"/>
    <xf numFmtId="0" fontId="0" fillId="3" borderId="17" xfId="2" applyFont="1" applyFill="1" applyBorder="1" applyAlignment="1">
      <alignment horizontal="center"/>
    </xf>
    <xf numFmtId="2" fontId="38" fillId="13" borderId="0" xfId="0" applyNumberFormat="1" applyFont="1" applyFill="1" applyAlignment="1">
      <alignment horizontal="center"/>
    </xf>
    <xf numFmtId="0" fontId="14" fillId="13" borderId="0" xfId="0" applyFont="1" applyFill="1"/>
    <xf numFmtId="0" fontId="14" fillId="13" borderId="0" xfId="0" applyFont="1" applyFill="1" applyAlignment="1">
      <alignment vertical="center"/>
    </xf>
    <xf numFmtId="4" fontId="14" fillId="0" borderId="0" xfId="0" applyNumberFormat="1" applyFont="1" applyAlignment="1">
      <alignment vertical="center"/>
    </xf>
    <xf numFmtId="2" fontId="14" fillId="0" borderId="0" xfId="0" applyNumberFormat="1" applyFont="1" applyAlignment="1">
      <alignment vertical="center"/>
    </xf>
    <xf numFmtId="0" fontId="23" fillId="0" borderId="4" xfId="0" applyFont="1" applyBorder="1" applyAlignment="1">
      <alignment horizontal="right"/>
    </xf>
    <xf numFmtId="0" fontId="23" fillId="0" borderId="3" xfId="0" applyFont="1" applyBorder="1" applyAlignment="1">
      <alignment horizontal="right"/>
    </xf>
    <xf numFmtId="0" fontId="23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164" fontId="1" fillId="0" borderId="23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3" fillId="2" borderId="37" xfId="0" applyFont="1" applyFill="1" applyBorder="1" applyAlignment="1">
      <alignment horizontal="left"/>
    </xf>
    <xf numFmtId="0" fontId="23" fillId="2" borderId="38" xfId="0" applyFont="1" applyFill="1" applyBorder="1" applyAlignment="1">
      <alignment horizontal="left"/>
    </xf>
    <xf numFmtId="0" fontId="25" fillId="0" borderId="46" xfId="1" applyFont="1" applyBorder="1" applyAlignment="1">
      <alignment horizontal="left" vertical="center" wrapText="1"/>
    </xf>
    <xf numFmtId="0" fontId="22" fillId="0" borderId="26" xfId="1" applyFont="1" applyBorder="1" applyAlignment="1">
      <alignment horizontal="left" vertical="center" wrapText="1"/>
    </xf>
    <xf numFmtId="0" fontId="22" fillId="0" borderId="47" xfId="1" applyFont="1" applyBorder="1" applyAlignment="1">
      <alignment horizontal="left" vertical="center" wrapText="1"/>
    </xf>
    <xf numFmtId="0" fontId="23" fillId="0" borderId="7" xfId="0" applyFont="1" applyBorder="1" applyAlignment="1">
      <alignment horizontal="right"/>
    </xf>
    <xf numFmtId="0" fontId="23" fillId="0" borderId="6" xfId="0" applyFont="1" applyBorder="1" applyAlignment="1">
      <alignment horizontal="right"/>
    </xf>
    <xf numFmtId="0" fontId="23" fillId="0" borderId="8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164" fontId="1" fillId="0" borderId="9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right" wrapText="1"/>
    </xf>
    <xf numFmtId="164" fontId="1" fillId="0" borderId="8" xfId="0" applyNumberFormat="1" applyFont="1" applyBorder="1" applyAlignment="1">
      <alignment horizontal="right" wrapText="1"/>
    </xf>
    <xf numFmtId="0" fontId="23" fillId="0" borderId="39" xfId="0" applyFont="1" applyBorder="1" applyAlignment="1">
      <alignment horizontal="right"/>
    </xf>
    <xf numFmtId="0" fontId="23" fillId="0" borderId="40" xfId="0" applyFont="1" applyBorder="1" applyAlignment="1">
      <alignment horizontal="right"/>
    </xf>
    <xf numFmtId="0" fontId="23" fillId="0" borderId="12" xfId="0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0" fontId="1" fillId="3" borderId="27" xfId="0" applyFont="1" applyFill="1" applyBorder="1" applyAlignment="1">
      <alignment horizontal="center"/>
    </xf>
    <xf numFmtId="0" fontId="1" fillId="3" borderId="43" xfId="0" applyFont="1" applyFill="1" applyBorder="1" applyAlignment="1">
      <alignment horizontal="center"/>
    </xf>
    <xf numFmtId="14" fontId="0" fillId="3" borderId="14" xfId="2" applyNumberFormat="1" applyFont="1" applyFill="1" applyBorder="1" applyAlignment="1">
      <alignment horizontal="center" vertical="center" wrapText="1"/>
    </xf>
    <xf numFmtId="14" fontId="1" fillId="3" borderId="14" xfId="2" applyNumberFormat="1" applyFont="1" applyFill="1" applyBorder="1" applyAlignment="1">
      <alignment horizontal="center" vertical="center" wrapText="1"/>
    </xf>
    <xf numFmtId="14" fontId="1" fillId="3" borderId="1" xfId="2" applyNumberFormat="1" applyFont="1" applyFill="1" applyBorder="1" applyAlignment="1">
      <alignment horizontal="center" vertical="center" wrapText="1"/>
    </xf>
    <xf numFmtId="0" fontId="1" fillId="3" borderId="15" xfId="2" applyFont="1" applyFill="1" applyBorder="1" applyAlignment="1">
      <alignment horizontal="left"/>
    </xf>
    <xf numFmtId="0" fontId="1" fillId="3" borderId="2" xfId="2" applyFont="1" applyFill="1" applyBorder="1" applyAlignment="1">
      <alignment horizontal="left"/>
    </xf>
    <xf numFmtId="0" fontId="1" fillId="3" borderId="36" xfId="2" applyFont="1" applyFill="1" applyBorder="1" applyAlignment="1">
      <alignment horizontal="center"/>
    </xf>
    <xf numFmtId="0" fontId="1" fillId="3" borderId="48" xfId="2" applyFont="1" applyFill="1" applyBorder="1" applyAlignment="1">
      <alignment horizontal="center"/>
    </xf>
    <xf numFmtId="0" fontId="1" fillId="3" borderId="21" xfId="2" applyFont="1" applyFill="1" applyBorder="1" applyAlignment="1">
      <alignment horizontal="center"/>
    </xf>
    <xf numFmtId="0" fontId="1" fillId="3" borderId="32" xfId="2" applyFont="1" applyFill="1" applyBorder="1" applyAlignment="1">
      <alignment horizontal="center"/>
    </xf>
    <xf numFmtId="0" fontId="1" fillId="3" borderId="49" xfId="2" applyFont="1" applyFill="1" applyBorder="1" applyAlignment="1">
      <alignment horizontal="center"/>
    </xf>
    <xf numFmtId="0" fontId="1" fillId="3" borderId="29" xfId="2" applyFont="1" applyFill="1" applyBorder="1" applyAlignment="1">
      <alignment horizontal="center"/>
    </xf>
    <xf numFmtId="0" fontId="16" fillId="3" borderId="18" xfId="2" applyFont="1" applyFill="1" applyBorder="1" applyAlignment="1">
      <alignment horizontal="center"/>
    </xf>
    <xf numFmtId="0" fontId="16" fillId="3" borderId="15" xfId="2" applyFont="1" applyFill="1" applyBorder="1" applyAlignment="1">
      <alignment horizontal="center"/>
    </xf>
    <xf numFmtId="0" fontId="11" fillId="5" borderId="9" xfId="2" applyFont="1" applyFill="1" applyBorder="1" applyAlignment="1">
      <alignment horizontal="center" vertical="center" wrapText="1"/>
    </xf>
    <xf numFmtId="0" fontId="11" fillId="5" borderId="6" xfId="2" applyFont="1" applyFill="1" applyBorder="1" applyAlignment="1">
      <alignment horizontal="center" vertical="center" wrapText="1"/>
    </xf>
    <xf numFmtId="0" fontId="11" fillId="5" borderId="8" xfId="2" applyFont="1" applyFill="1" applyBorder="1" applyAlignment="1">
      <alignment horizontal="center" vertical="center" wrapText="1"/>
    </xf>
    <xf numFmtId="0" fontId="23" fillId="3" borderId="15" xfId="2" applyFont="1" applyFill="1" applyBorder="1" applyAlignment="1">
      <alignment horizontal="right" vertical="top" wrapText="1"/>
    </xf>
    <xf numFmtId="0" fontId="23" fillId="3" borderId="2" xfId="2" applyFont="1" applyFill="1" applyBorder="1" applyAlignment="1">
      <alignment horizontal="right" vertical="top" wrapText="1"/>
    </xf>
    <xf numFmtId="0" fontId="16" fillId="3" borderId="0" xfId="2" applyFont="1" applyFill="1"/>
    <xf numFmtId="0" fontId="16" fillId="3" borderId="0" xfId="2" applyFont="1" applyFill="1" applyAlignment="1">
      <alignment horizontal="right"/>
    </xf>
    <xf numFmtId="0" fontId="17" fillId="3" borderId="30" xfId="2" applyFont="1" applyFill="1" applyBorder="1" applyAlignment="1">
      <alignment horizontal="center"/>
    </xf>
    <xf numFmtId="0" fontId="23" fillId="2" borderId="41" xfId="0" applyFont="1" applyFill="1" applyBorder="1" applyAlignment="1">
      <alignment horizontal="center" vertical="center"/>
    </xf>
    <xf numFmtId="0" fontId="23" fillId="2" borderId="51" xfId="0" applyFont="1" applyFill="1" applyBorder="1" applyAlignment="1">
      <alignment horizontal="center" vertical="center"/>
    </xf>
    <xf numFmtId="0" fontId="23" fillId="2" borderId="50" xfId="0" applyFont="1" applyFill="1" applyBorder="1" applyAlignment="1">
      <alignment horizontal="center" vertical="center" wrapText="1"/>
    </xf>
    <xf numFmtId="0" fontId="23" fillId="2" borderId="52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5" fillId="0" borderId="39" xfId="1" applyFont="1" applyBorder="1" applyAlignment="1">
      <alignment horizontal="left" wrapText="1"/>
    </xf>
    <xf numFmtId="0" fontId="25" fillId="0" borderId="40" xfId="1" applyFont="1" applyBorder="1" applyAlignment="1">
      <alignment horizontal="left" wrapText="1"/>
    </xf>
    <xf numFmtId="0" fontId="25" fillId="0" borderId="43" xfId="1" applyFont="1" applyBorder="1" applyAlignment="1">
      <alignment horizontal="left" wrapText="1"/>
    </xf>
    <xf numFmtId="0" fontId="25" fillId="0" borderId="49" xfId="1" applyFont="1" applyBorder="1" applyAlignment="1">
      <alignment horizontal="left"/>
    </xf>
    <xf numFmtId="0" fontId="25" fillId="0" borderId="30" xfId="1" applyFont="1" applyBorder="1" applyAlignment="1">
      <alignment horizontal="left"/>
    </xf>
    <xf numFmtId="0" fontId="25" fillId="0" borderId="54" xfId="1" applyFont="1" applyBorder="1" applyAlignment="1">
      <alignment horizontal="left"/>
    </xf>
    <xf numFmtId="0" fontId="25" fillId="0" borderId="39" xfId="1" applyFont="1" applyBorder="1" applyAlignment="1">
      <alignment horizontal="left"/>
    </xf>
    <xf numFmtId="0" fontId="25" fillId="0" borderId="40" xfId="1" applyFont="1" applyBorder="1" applyAlignment="1">
      <alignment horizontal="left"/>
    </xf>
    <xf numFmtId="0" fontId="25" fillId="0" borderId="43" xfId="1" applyFont="1" applyBorder="1" applyAlignment="1">
      <alignment horizontal="left"/>
    </xf>
    <xf numFmtId="0" fontId="22" fillId="0" borderId="40" xfId="1" applyFont="1" applyBorder="1" applyAlignment="1">
      <alignment horizontal="left" wrapText="1"/>
    </xf>
    <xf numFmtId="0" fontId="22" fillId="0" borderId="43" xfId="1" applyFont="1" applyBorder="1" applyAlignment="1">
      <alignment horizontal="left" wrapText="1"/>
    </xf>
    <xf numFmtId="0" fontId="40" fillId="0" borderId="0" xfId="0" applyFont="1" applyAlignment="1">
      <alignment horizontal="center" vertical="center"/>
    </xf>
    <xf numFmtId="0" fontId="56" fillId="0" borderId="42" xfId="0" applyFont="1" applyBorder="1" applyAlignment="1">
      <alignment horizontal="right" vertical="center"/>
    </xf>
    <xf numFmtId="0" fontId="56" fillId="0" borderId="37" xfId="0" applyFont="1" applyBorder="1" applyAlignment="1">
      <alignment horizontal="right" vertical="center"/>
    </xf>
    <xf numFmtId="0" fontId="56" fillId="0" borderId="38" xfId="0" applyFont="1" applyBorder="1" applyAlignment="1">
      <alignment horizontal="right" vertical="center"/>
    </xf>
    <xf numFmtId="0" fontId="57" fillId="0" borderId="0" xfId="0" applyFont="1" applyAlignment="1">
      <alignment horizontal="right"/>
    </xf>
    <xf numFmtId="0" fontId="48" fillId="0" borderId="30" xfId="0" applyFont="1" applyBorder="1" applyAlignment="1">
      <alignment horizontal="right"/>
    </xf>
    <xf numFmtId="0" fontId="40" fillId="0" borderId="0" xfId="0" applyFont="1" applyAlignment="1">
      <alignment horizontal="right" vertical="center"/>
    </xf>
    <xf numFmtId="0" fontId="46" fillId="9" borderId="42" xfId="0" applyFont="1" applyFill="1" applyBorder="1" applyAlignment="1">
      <alignment horizontal="right"/>
    </xf>
    <xf numFmtId="0" fontId="46" fillId="9" borderId="37" xfId="0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5" fillId="0" borderId="30" xfId="0" applyFont="1" applyBorder="1" applyAlignment="1">
      <alignment horizontal="right" vertical="center"/>
    </xf>
    <xf numFmtId="0" fontId="15" fillId="0" borderId="54" xfId="0" applyFont="1" applyBorder="1" applyAlignment="1">
      <alignment horizontal="right" vertical="center"/>
    </xf>
    <xf numFmtId="0" fontId="15" fillId="11" borderId="42" xfId="0" applyFont="1" applyFill="1" applyBorder="1" applyAlignment="1">
      <alignment horizontal="right" vertical="center"/>
    </xf>
    <xf numFmtId="0" fontId="15" fillId="11" borderId="37" xfId="0" applyFont="1" applyFill="1" applyBorder="1" applyAlignment="1">
      <alignment horizontal="right" vertical="center"/>
    </xf>
    <xf numFmtId="0" fontId="15" fillId="11" borderId="38" xfId="0" applyFont="1" applyFill="1" applyBorder="1" applyAlignment="1">
      <alignment horizontal="right" vertical="center"/>
    </xf>
    <xf numFmtId="4" fontId="55" fillId="0" borderId="0" xfId="12" applyNumberFormat="1" applyFont="1" applyFill="1" applyAlignment="1">
      <alignment horizontal="center" vertical="center" wrapText="1"/>
    </xf>
    <xf numFmtId="0" fontId="49" fillId="0" borderId="15" xfId="0" applyFont="1" applyBorder="1" applyAlignment="1">
      <alignment horizontal="right" vertical="center"/>
    </xf>
    <xf numFmtId="0" fontId="50" fillId="0" borderId="21" xfId="0" applyFont="1" applyBorder="1" applyAlignment="1">
      <alignment horizontal="right"/>
    </xf>
    <xf numFmtId="0" fontId="50" fillId="0" borderId="0" xfId="0" applyFont="1" applyAlignment="1">
      <alignment horizontal="right"/>
    </xf>
    <xf numFmtId="0" fontId="50" fillId="0" borderId="20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41" fillId="0" borderId="36" xfId="0" applyFont="1" applyBorder="1" applyAlignment="1">
      <alignment horizontal="right"/>
    </xf>
    <xf numFmtId="0" fontId="41" fillId="0" borderId="35" xfId="0" applyFont="1" applyBorder="1" applyAlignment="1">
      <alignment horizontal="right"/>
    </xf>
    <xf numFmtId="0" fontId="14" fillId="0" borderId="15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5" fillId="0" borderId="30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right" vertical="center" wrapText="1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5" fillId="0" borderId="13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11" xfId="1" applyFont="1" applyBorder="1" applyAlignment="1">
      <alignment horizontal="left"/>
    </xf>
    <xf numFmtId="0" fontId="5" fillId="0" borderId="10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9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10" fillId="6" borderId="44" xfId="2" applyFont="1" applyFill="1" applyBorder="1" applyAlignment="1">
      <alignment horizontal="center"/>
    </xf>
    <xf numFmtId="0" fontId="10" fillId="6" borderId="35" xfId="2" applyFont="1" applyFill="1" applyBorder="1" applyAlignment="1">
      <alignment horizontal="center"/>
    </xf>
    <xf numFmtId="0" fontId="5" fillId="0" borderId="7" xfId="7" applyFont="1" applyBorder="1" applyAlignment="1">
      <alignment horizontal="left"/>
    </xf>
    <xf numFmtId="0" fontId="5" fillId="0" borderId="6" xfId="7" applyFont="1" applyBorder="1" applyAlignment="1">
      <alignment horizontal="left"/>
    </xf>
    <xf numFmtId="0" fontId="5" fillId="0" borderId="5" xfId="7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3" xfId="9" applyFont="1" applyBorder="1" applyAlignment="1">
      <alignment horizontal="left" wrapText="1"/>
    </xf>
    <xf numFmtId="0" fontId="5" fillId="0" borderId="12" xfId="9" applyFont="1" applyBorder="1" applyAlignment="1">
      <alignment horizontal="left" wrapText="1"/>
    </xf>
    <xf numFmtId="0" fontId="5" fillId="0" borderId="11" xfId="9" applyFont="1" applyBorder="1" applyAlignment="1">
      <alignment horizontal="left" wrapText="1"/>
    </xf>
    <xf numFmtId="0" fontId="5" fillId="0" borderId="10" xfId="9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13" xfId="1" applyFont="1" applyBorder="1" applyAlignment="1">
      <alignment horizontal="left" wrapText="1"/>
    </xf>
    <xf numFmtId="0" fontId="5" fillId="0" borderId="12" xfId="1" applyFont="1" applyBorder="1" applyAlignment="1">
      <alignment horizontal="left" wrapText="1"/>
    </xf>
    <xf numFmtId="0" fontId="5" fillId="0" borderId="11" xfId="1" applyFont="1" applyBorder="1" applyAlignment="1">
      <alignment horizontal="left" wrapText="1"/>
    </xf>
    <xf numFmtId="0" fontId="5" fillId="0" borderId="10" xfId="1" applyFont="1" applyBorder="1" applyAlignment="1">
      <alignment horizontal="left" wrapText="1"/>
    </xf>
    <xf numFmtId="0" fontId="5" fillId="0" borderId="13" xfId="7" applyFont="1" applyBorder="1" applyAlignment="1">
      <alignment horizontal="left" wrapText="1"/>
    </xf>
    <xf numFmtId="0" fontId="5" fillId="0" borderId="12" xfId="7" applyFont="1" applyBorder="1" applyAlignment="1">
      <alignment horizontal="left" wrapText="1"/>
    </xf>
    <xf numFmtId="0" fontId="5" fillId="0" borderId="11" xfId="7" applyFont="1" applyBorder="1" applyAlignment="1">
      <alignment horizontal="left" wrapText="1"/>
    </xf>
    <xf numFmtId="0" fontId="5" fillId="0" borderId="10" xfId="7" applyFont="1" applyBorder="1" applyAlignment="1">
      <alignment horizontal="left" wrapText="1"/>
    </xf>
    <xf numFmtId="0" fontId="10" fillId="0" borderId="7" xfId="1" applyFont="1" applyBorder="1" applyAlignment="1">
      <alignment horizontal="right"/>
    </xf>
    <xf numFmtId="0" fontId="10" fillId="0" borderId="6" xfId="1" applyFont="1" applyBorder="1" applyAlignment="1">
      <alignment horizontal="right"/>
    </xf>
    <xf numFmtId="0" fontId="10" fillId="0" borderId="8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164" fontId="5" fillId="0" borderId="9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9" xfId="1" applyNumberFormat="1" applyFont="1" applyBorder="1" applyAlignment="1">
      <alignment horizontal="right" wrapText="1"/>
    </xf>
    <xf numFmtId="164" fontId="5" fillId="0" borderId="8" xfId="1" applyNumberFormat="1" applyFont="1" applyBorder="1" applyAlignment="1">
      <alignment horizontal="right" wrapText="1"/>
    </xf>
    <xf numFmtId="164" fontId="5" fillId="0" borderId="9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0" fontId="10" fillId="0" borderId="4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0" fillId="2" borderId="42" xfId="1" applyFont="1" applyFill="1" applyBorder="1" applyAlignment="1">
      <alignment horizontal="left"/>
    </xf>
    <xf numFmtId="0" fontId="10" fillId="2" borderId="37" xfId="1" applyFont="1" applyFill="1" applyBorder="1" applyAlignment="1">
      <alignment horizontal="left"/>
    </xf>
    <xf numFmtId="0" fontId="10" fillId="2" borderId="38" xfId="1" applyFont="1" applyFill="1" applyBorder="1" applyAlignment="1">
      <alignment horizontal="left"/>
    </xf>
    <xf numFmtId="0" fontId="5" fillId="0" borderId="13" xfId="7" applyFont="1" applyBorder="1" applyAlignment="1">
      <alignment horizontal="left"/>
    </xf>
    <xf numFmtId="0" fontId="5" fillId="0" borderId="12" xfId="7" applyFont="1" applyBorder="1" applyAlignment="1">
      <alignment horizontal="left"/>
    </xf>
    <xf numFmtId="0" fontId="5" fillId="0" borderId="11" xfId="7" applyFont="1" applyBorder="1" applyAlignment="1">
      <alignment horizontal="left"/>
    </xf>
    <xf numFmtId="0" fontId="5" fillId="0" borderId="10" xfId="7" applyFont="1" applyBorder="1" applyAlignment="1">
      <alignment horizontal="left"/>
    </xf>
    <xf numFmtId="0" fontId="10" fillId="0" borderId="39" xfId="1" applyFont="1" applyBorder="1" applyAlignment="1">
      <alignment horizontal="right"/>
    </xf>
    <xf numFmtId="0" fontId="10" fillId="0" borderId="40" xfId="1" applyFont="1" applyBorder="1" applyAlignment="1">
      <alignment horizontal="right"/>
    </xf>
    <xf numFmtId="0" fontId="10" fillId="0" borderId="12" xfId="1" applyFont="1" applyBorder="1" applyAlignment="1">
      <alignment horizontal="right"/>
    </xf>
    <xf numFmtId="164" fontId="5" fillId="0" borderId="11" xfId="1" applyNumberFormat="1" applyFont="1" applyBorder="1" applyAlignment="1">
      <alignment horizontal="right"/>
    </xf>
    <xf numFmtId="0" fontId="5" fillId="3" borderId="27" xfId="1" applyFont="1" applyFill="1" applyBorder="1" applyAlignment="1">
      <alignment horizontal="center"/>
    </xf>
    <xf numFmtId="0" fontId="5" fillId="3" borderId="43" xfId="1" applyFont="1" applyFill="1" applyBorder="1" applyAlignment="1">
      <alignment horizontal="center"/>
    </xf>
    <xf numFmtId="0" fontId="10" fillId="2" borderId="41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41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14" fontId="5" fillId="3" borderId="33" xfId="2" applyNumberFormat="1" applyFont="1" applyFill="1" applyBorder="1" applyAlignment="1">
      <alignment horizontal="center" vertical="center" wrapText="1"/>
    </xf>
    <xf numFmtId="14" fontId="5" fillId="3" borderId="31" xfId="2" applyNumberFormat="1" applyFont="1" applyFill="1" applyBorder="1" applyAlignment="1">
      <alignment horizontal="center" vertical="center" wrapText="1"/>
    </xf>
    <xf numFmtId="14" fontId="5" fillId="3" borderId="10" xfId="2" applyNumberFormat="1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left"/>
    </xf>
    <xf numFmtId="0" fontId="5" fillId="3" borderId="26" xfId="2" applyFont="1" applyFill="1" applyBorder="1" applyAlignment="1">
      <alignment horizontal="left"/>
    </xf>
    <xf numFmtId="0" fontId="5" fillId="3" borderId="19" xfId="2" applyFont="1" applyFill="1" applyBorder="1" applyAlignment="1">
      <alignment horizontal="left"/>
    </xf>
    <xf numFmtId="0" fontId="5" fillId="3" borderId="9" xfId="2" applyFont="1" applyFill="1" applyBorder="1" applyAlignment="1">
      <alignment horizontal="left"/>
    </xf>
    <xf numFmtId="0" fontId="5" fillId="3" borderId="6" xfId="2" applyFont="1" applyFill="1" applyBorder="1" applyAlignment="1">
      <alignment horizontal="left"/>
    </xf>
    <xf numFmtId="0" fontId="5" fillId="3" borderId="8" xfId="2" applyFont="1" applyFill="1" applyBorder="1" applyAlignment="1">
      <alignment horizontal="left"/>
    </xf>
    <xf numFmtId="0" fontId="5" fillId="3" borderId="36" xfId="2" applyFont="1" applyFill="1" applyBorder="1" applyAlignment="1">
      <alignment horizontal="center"/>
    </xf>
    <xf numFmtId="0" fontId="5" fillId="3" borderId="35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39" xfId="2" applyFont="1" applyFill="1" applyBorder="1" applyAlignment="1">
      <alignment horizontal="center"/>
    </xf>
    <xf numFmtId="0" fontId="5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3" xfId="2" applyFont="1" applyFill="1" applyBorder="1" applyAlignment="1">
      <alignment horizontal="center"/>
    </xf>
    <xf numFmtId="0" fontId="7" fillId="3" borderId="24" xfId="2" applyFont="1" applyFill="1" applyBorder="1" applyAlignment="1">
      <alignment horizontal="center"/>
    </xf>
    <xf numFmtId="0" fontId="7" fillId="3" borderId="3" xfId="2" applyFont="1" applyFill="1" applyBorder="1" applyAlignment="1">
      <alignment horizontal="center"/>
    </xf>
    <xf numFmtId="0" fontId="27" fillId="5" borderId="46" xfId="2" applyFont="1" applyFill="1" applyBorder="1" applyAlignment="1">
      <alignment horizontal="center" vertical="center" wrapText="1"/>
    </xf>
    <xf numFmtId="0" fontId="27" fillId="5" borderId="26" xfId="2" applyFont="1" applyFill="1" applyBorder="1" applyAlignment="1">
      <alignment horizontal="center" vertical="center" wrapText="1"/>
    </xf>
    <xf numFmtId="0" fontId="27" fillId="5" borderId="47" xfId="2" applyFont="1" applyFill="1" applyBorder="1" applyAlignment="1">
      <alignment horizontal="center" vertical="center" wrapText="1"/>
    </xf>
    <xf numFmtId="0" fontId="10" fillId="3" borderId="34" xfId="2" applyFont="1" applyFill="1" applyBorder="1" applyAlignment="1">
      <alignment horizontal="right" vertical="top" wrapText="1"/>
    </xf>
    <xf numFmtId="0" fontId="10" fillId="3" borderId="32" xfId="2" applyFont="1" applyFill="1" applyBorder="1" applyAlignment="1">
      <alignment horizontal="right" vertical="top" wrapText="1"/>
    </xf>
    <xf numFmtId="0" fontId="10" fillId="3" borderId="29" xfId="2" applyFont="1" applyFill="1" applyBorder="1" applyAlignment="1">
      <alignment horizontal="right" vertical="top" wrapText="1"/>
    </xf>
    <xf numFmtId="0" fontId="5" fillId="0" borderId="41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6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1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7" fillId="5" borderId="37" xfId="2" applyFont="1" applyFill="1" applyBorder="1" applyAlignment="1">
      <alignment horizontal="center" vertical="center" wrapText="1"/>
    </xf>
    <xf numFmtId="0" fontId="27" fillId="5" borderId="38" xfId="2" applyFont="1" applyFill="1" applyBorder="1" applyAlignment="1">
      <alignment horizontal="center" vertical="center" wrapText="1"/>
    </xf>
    <xf numFmtId="0" fontId="2" fillId="0" borderId="39" xfId="1" applyFont="1" applyBorder="1" applyAlignment="1">
      <alignment horizontal="left" vertical="center"/>
    </xf>
    <xf numFmtId="0" fontId="2" fillId="0" borderId="40" xfId="1" applyFont="1" applyBorder="1" applyAlignment="1">
      <alignment horizontal="left" vertical="center"/>
    </xf>
    <xf numFmtId="0" fontId="2" fillId="0" borderId="43" xfId="1" applyFont="1" applyBorder="1" applyAlignment="1">
      <alignment horizontal="left" vertical="center"/>
    </xf>
    <xf numFmtId="0" fontId="2" fillId="0" borderId="39" xfId="1" applyFont="1" applyBorder="1" applyAlignment="1">
      <alignment horizontal="left" vertical="center" wrapText="1"/>
    </xf>
    <xf numFmtId="0" fontId="2" fillId="0" borderId="40" xfId="1" applyFont="1" applyBorder="1" applyAlignment="1">
      <alignment horizontal="left" vertical="center" wrapText="1"/>
    </xf>
    <xf numFmtId="0" fontId="2" fillId="0" borderId="43" xfId="1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2" fillId="0" borderId="7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5" fillId="0" borderId="55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66" fillId="5" borderId="46" xfId="2" applyFont="1" applyFill="1" applyBorder="1" applyAlignment="1">
      <alignment horizontal="center" vertical="center" wrapText="1"/>
    </xf>
    <xf numFmtId="0" fontId="66" fillId="5" borderId="26" xfId="2" applyFont="1" applyFill="1" applyBorder="1" applyAlignment="1">
      <alignment horizontal="center" vertical="center" wrapText="1"/>
    </xf>
    <xf numFmtId="0" fontId="66" fillId="5" borderId="47" xfId="2" applyFont="1" applyFill="1" applyBorder="1" applyAlignment="1">
      <alignment horizontal="center" vertical="center" wrapText="1"/>
    </xf>
    <xf numFmtId="0" fontId="67" fillId="3" borderId="30" xfId="2" applyFont="1" applyFill="1" applyBorder="1" applyAlignment="1">
      <alignment horizontal="center"/>
    </xf>
    <xf numFmtId="0" fontId="60" fillId="0" borderId="39" xfId="1" applyFont="1" applyBorder="1" applyAlignment="1">
      <alignment horizontal="right"/>
    </xf>
    <xf numFmtId="0" fontId="60" fillId="0" borderId="40" xfId="1" applyFont="1" applyBorder="1" applyAlignment="1">
      <alignment horizontal="right"/>
    </xf>
    <xf numFmtId="0" fontId="60" fillId="0" borderId="12" xfId="1" applyFont="1" applyBorder="1" applyAlignment="1">
      <alignment horizontal="right"/>
    </xf>
    <xf numFmtId="164" fontId="62" fillId="0" borderId="11" xfId="1" applyNumberFormat="1" applyFont="1" applyBorder="1" applyAlignment="1">
      <alignment horizontal="right"/>
    </xf>
    <xf numFmtId="0" fontId="62" fillId="3" borderId="27" xfId="1" applyFont="1" applyFill="1" applyBorder="1" applyAlignment="1">
      <alignment horizontal="center"/>
    </xf>
    <xf numFmtId="0" fontId="62" fillId="3" borderId="43" xfId="1" applyFont="1" applyFill="1" applyBorder="1" applyAlignment="1">
      <alignment horizontal="center"/>
    </xf>
    <xf numFmtId="0" fontId="60" fillId="0" borderId="7" xfId="1" applyFont="1" applyBorder="1" applyAlignment="1">
      <alignment horizontal="right"/>
    </xf>
    <xf numFmtId="0" fontId="60" fillId="0" borderId="6" xfId="1" applyFont="1" applyBorder="1" applyAlignment="1">
      <alignment horizontal="right"/>
    </xf>
    <xf numFmtId="0" fontId="60" fillId="0" borderId="8" xfId="1" applyFont="1" applyBorder="1" applyAlignment="1">
      <alignment horizontal="right"/>
    </xf>
    <xf numFmtId="0" fontId="62" fillId="0" borderId="15" xfId="1" applyFont="1" applyBorder="1" applyAlignment="1">
      <alignment horizontal="right"/>
    </xf>
    <xf numFmtId="164" fontId="62" fillId="0" borderId="9" xfId="1" applyNumberFormat="1" applyFont="1" applyBorder="1" applyAlignment="1">
      <alignment horizontal="center"/>
    </xf>
    <xf numFmtId="164" fontId="62" fillId="0" borderId="5" xfId="1" applyNumberFormat="1" applyFont="1" applyBorder="1" applyAlignment="1">
      <alignment horizontal="center"/>
    </xf>
    <xf numFmtId="0" fontId="62" fillId="0" borderId="16" xfId="0" applyFont="1" applyBorder="1" applyAlignment="1">
      <alignment horizontal="left" wrapText="1"/>
    </xf>
    <xf numFmtId="0" fontId="62" fillId="0" borderId="8" xfId="0" applyFont="1" applyBorder="1" applyAlignment="1">
      <alignment horizontal="left" wrapText="1"/>
    </xf>
    <xf numFmtId="0" fontId="62" fillId="0" borderId="15" xfId="0" applyFont="1" applyBorder="1" applyAlignment="1">
      <alignment horizontal="left" wrapText="1"/>
    </xf>
    <xf numFmtId="0" fontId="62" fillId="0" borderId="14" xfId="0" applyFont="1" applyBorder="1" applyAlignment="1">
      <alignment horizontal="left" wrapText="1"/>
    </xf>
    <xf numFmtId="164" fontId="62" fillId="0" borderId="9" xfId="1" applyNumberFormat="1" applyFont="1" applyBorder="1" applyAlignment="1">
      <alignment horizontal="right" wrapText="1"/>
    </xf>
    <xf numFmtId="164" fontId="62" fillId="0" borderId="8" xfId="1" applyNumberFormat="1" applyFont="1" applyBorder="1" applyAlignment="1">
      <alignment horizontal="right" wrapText="1"/>
    </xf>
    <xf numFmtId="164" fontId="62" fillId="0" borderId="9" xfId="0" applyNumberFormat="1" applyFont="1" applyBorder="1" applyAlignment="1">
      <alignment horizontal="center" wrapText="1"/>
    </xf>
    <xf numFmtId="164" fontId="62" fillId="0" borderId="5" xfId="0" applyNumberFormat="1" applyFont="1" applyBorder="1" applyAlignment="1">
      <alignment horizontal="center" wrapText="1"/>
    </xf>
    <xf numFmtId="0" fontId="60" fillId="0" borderId="4" xfId="1" applyFont="1" applyBorder="1" applyAlignment="1">
      <alignment horizontal="right"/>
    </xf>
    <xf numFmtId="0" fontId="60" fillId="0" borderId="3" xfId="1" applyFont="1" applyBorder="1" applyAlignment="1">
      <alignment horizontal="right"/>
    </xf>
    <xf numFmtId="0" fontId="60" fillId="0" borderId="2" xfId="1" applyFont="1" applyBorder="1" applyAlignment="1">
      <alignment horizontal="right"/>
    </xf>
    <xf numFmtId="0" fontId="62" fillId="0" borderId="2" xfId="1" applyFont="1" applyBorder="1" applyAlignment="1">
      <alignment horizontal="right"/>
    </xf>
    <xf numFmtId="0" fontId="60" fillId="2" borderId="42" xfId="1" applyFont="1" applyFill="1" applyBorder="1" applyAlignment="1">
      <alignment horizontal="center"/>
    </xf>
    <xf numFmtId="0" fontId="60" fillId="2" borderId="37" xfId="1" applyFont="1" applyFill="1" applyBorder="1" applyAlignment="1">
      <alignment horizontal="center"/>
    </xf>
    <xf numFmtId="0" fontId="60" fillId="2" borderId="38" xfId="1" applyFont="1" applyFill="1" applyBorder="1" applyAlignment="1">
      <alignment horizontal="center"/>
    </xf>
    <xf numFmtId="0" fontId="62" fillId="0" borderId="41" xfId="0" applyFont="1" applyBorder="1" applyAlignment="1">
      <alignment horizontal="left"/>
    </xf>
    <xf numFmtId="0" fontId="62" fillId="0" borderId="19" xfId="0" applyFont="1" applyBorder="1" applyAlignment="1">
      <alignment horizontal="left"/>
    </xf>
    <xf numFmtId="0" fontId="62" fillId="0" borderId="18" xfId="0" applyFont="1" applyBorder="1" applyAlignment="1">
      <alignment horizontal="left"/>
    </xf>
    <xf numFmtId="0" fontId="62" fillId="0" borderId="17" xfId="0" applyFont="1" applyBorder="1" applyAlignment="1">
      <alignment horizontal="left"/>
    </xf>
    <xf numFmtId="0" fontId="62" fillId="0" borderId="16" xfId="0" applyFont="1" applyBorder="1" applyAlignment="1">
      <alignment horizontal="left"/>
    </xf>
    <xf numFmtId="0" fontId="62" fillId="0" borderId="8" xfId="0" applyFont="1" applyBorder="1" applyAlignment="1">
      <alignment horizontal="left"/>
    </xf>
    <xf numFmtId="0" fontId="62" fillId="0" borderId="15" xfId="0" applyFont="1" applyBorder="1" applyAlignment="1">
      <alignment horizontal="left"/>
    </xf>
    <xf numFmtId="0" fontId="62" fillId="0" borderId="14" xfId="0" applyFont="1" applyBorder="1" applyAlignment="1">
      <alignment horizontal="left"/>
    </xf>
    <xf numFmtId="0" fontId="62" fillId="0" borderId="7" xfId="9" applyFont="1" applyBorder="1" applyAlignment="1">
      <alignment horizontal="left" vertical="center" wrapText="1"/>
    </xf>
    <xf numFmtId="0" fontId="62" fillId="0" borderId="6" xfId="9" applyFont="1" applyBorder="1" applyAlignment="1">
      <alignment horizontal="left" vertical="center" wrapText="1"/>
    </xf>
    <xf numFmtId="0" fontId="62" fillId="0" borderId="5" xfId="9" applyFont="1" applyBorder="1" applyAlignment="1">
      <alignment horizontal="left" vertical="center" wrapText="1"/>
    </xf>
    <xf numFmtId="0" fontId="60" fillId="6" borderId="44" xfId="2" applyFont="1" applyFill="1" applyBorder="1" applyAlignment="1">
      <alignment horizontal="center"/>
    </xf>
    <xf numFmtId="0" fontId="60" fillId="6" borderId="35" xfId="2" applyFont="1" applyFill="1" applyBorder="1" applyAlignment="1">
      <alignment horizontal="center"/>
    </xf>
    <xf numFmtId="0" fontId="62" fillId="3" borderId="15" xfId="2" applyFont="1" applyFill="1" applyBorder="1" applyAlignment="1">
      <alignment horizontal="left"/>
    </xf>
    <xf numFmtId="0" fontId="23" fillId="2" borderId="56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1" fontId="1" fillId="0" borderId="15" xfId="1" applyNumberFormat="1" applyBorder="1" applyAlignment="1">
      <alignment horizontal="center"/>
    </xf>
    <xf numFmtId="1" fontId="1" fillId="0" borderId="14" xfId="1" applyNumberFormat="1" applyBorder="1" applyAlignment="1">
      <alignment horizontal="center"/>
    </xf>
    <xf numFmtId="0" fontId="22" fillId="0" borderId="39" xfId="1" applyFont="1" applyBorder="1" applyAlignment="1">
      <alignment horizontal="left" wrapText="1"/>
    </xf>
    <xf numFmtId="0" fontId="22" fillId="0" borderId="46" xfId="1" applyFont="1" applyBorder="1" applyAlignment="1">
      <alignment horizontal="left" vertical="center" wrapText="1"/>
    </xf>
    <xf numFmtId="0" fontId="10" fillId="2" borderId="51" xfId="1" applyFont="1" applyFill="1" applyBorder="1" applyAlignment="1">
      <alignment horizontal="center" vertical="center" wrapText="1"/>
    </xf>
    <xf numFmtId="0" fontId="7" fillId="3" borderId="28" xfId="2" applyFont="1" applyFill="1" applyBorder="1" applyAlignment="1">
      <alignment horizontal="center"/>
    </xf>
    <xf numFmtId="164" fontId="5" fillId="0" borderId="23" xfId="1" applyNumberFormat="1" applyFont="1" applyBorder="1" applyAlignment="1">
      <alignment horizontal="center"/>
    </xf>
    <xf numFmtId="164" fontId="5" fillId="0" borderId="22" xfId="1" applyNumberFormat="1" applyFont="1" applyBorder="1" applyAlignment="1">
      <alignment horizontal="center"/>
    </xf>
    <xf numFmtId="0" fontId="5" fillId="0" borderId="55" xfId="1" applyFont="1" applyBorder="1" applyAlignment="1">
      <alignment horizontal="left"/>
    </xf>
    <xf numFmtId="0" fontId="5" fillId="0" borderId="24" xfId="1" applyFont="1" applyBorder="1" applyAlignment="1">
      <alignment horizontal="left"/>
    </xf>
    <xf numFmtId="0" fontId="5" fillId="0" borderId="22" xfId="1" applyFont="1" applyBorder="1" applyAlignment="1">
      <alignment horizontal="left"/>
    </xf>
    <xf numFmtId="0" fontId="59" fillId="2" borderId="42" xfId="2" applyFont="1" applyFill="1" applyBorder="1" applyAlignment="1">
      <alignment horizontal="center" vertical="center" wrapText="1"/>
    </xf>
    <xf numFmtId="0" fontId="59" fillId="2" borderId="37" xfId="2" applyFont="1" applyFill="1" applyBorder="1" applyAlignment="1">
      <alignment horizontal="center" vertical="center" wrapText="1"/>
    </xf>
    <xf numFmtId="0" fontId="59" fillId="2" borderId="38" xfId="2" applyFont="1" applyFill="1" applyBorder="1" applyAlignment="1">
      <alignment horizontal="center" vertical="center" wrapText="1"/>
    </xf>
    <xf numFmtId="164" fontId="62" fillId="0" borderId="23" xfId="1" applyNumberFormat="1" applyFont="1" applyBorder="1" applyAlignment="1">
      <alignment horizontal="center"/>
    </xf>
    <xf numFmtId="164" fontId="62" fillId="0" borderId="22" xfId="1" applyNumberFormat="1" applyFont="1" applyBorder="1" applyAlignment="1">
      <alignment horizontal="center"/>
    </xf>
    <xf numFmtId="0" fontId="60" fillId="2" borderId="42" xfId="1" applyFont="1" applyFill="1" applyBorder="1" applyAlignment="1">
      <alignment horizontal="left"/>
    </xf>
    <xf numFmtId="0" fontId="60" fillId="2" borderId="37" xfId="1" applyFont="1" applyFill="1" applyBorder="1" applyAlignment="1">
      <alignment horizontal="left"/>
    </xf>
    <xf numFmtId="0" fontId="60" fillId="2" borderId="38" xfId="1" applyFont="1" applyFill="1" applyBorder="1" applyAlignment="1">
      <alignment horizontal="left"/>
    </xf>
    <xf numFmtId="0" fontId="62" fillId="0" borderId="55" xfId="1" applyFont="1" applyBorder="1" applyAlignment="1">
      <alignment horizontal="left"/>
    </xf>
    <xf numFmtId="0" fontId="62" fillId="0" borderId="24" xfId="1" applyFont="1" applyBorder="1" applyAlignment="1">
      <alignment horizontal="left"/>
    </xf>
    <xf numFmtId="0" fontId="62" fillId="0" borderId="22" xfId="1" applyFont="1" applyBorder="1" applyAlignment="1">
      <alignment horizontal="left"/>
    </xf>
    <xf numFmtId="0" fontId="62" fillId="3" borderId="45" xfId="2" applyFont="1" applyFill="1" applyBorder="1" applyAlignment="1">
      <alignment horizontal="left"/>
    </xf>
    <xf numFmtId="0" fontId="62" fillId="3" borderId="0" xfId="2" applyFont="1" applyFill="1" applyAlignment="1">
      <alignment horizontal="left"/>
    </xf>
    <xf numFmtId="0" fontId="62" fillId="0" borderId="6" xfId="0" applyFont="1" applyBorder="1" applyAlignment="1">
      <alignment horizontal="left"/>
    </xf>
    <xf numFmtId="0" fontId="62" fillId="0" borderId="7" xfId="0" applyFont="1" applyBorder="1" applyAlignment="1">
      <alignment horizontal="left"/>
    </xf>
    <xf numFmtId="0" fontId="62" fillId="0" borderId="5" xfId="0" applyFont="1" applyBorder="1" applyAlignment="1">
      <alignment horizontal="left"/>
    </xf>
    <xf numFmtId="0" fontId="62" fillId="0" borderId="7" xfId="1" applyFont="1" applyBorder="1" applyAlignment="1">
      <alignment horizontal="left" wrapText="1"/>
    </xf>
    <xf numFmtId="0" fontId="62" fillId="0" borderId="6" xfId="1" applyFont="1" applyBorder="1" applyAlignment="1">
      <alignment horizontal="left" wrapText="1"/>
    </xf>
    <xf numFmtId="0" fontId="62" fillId="0" borderId="5" xfId="1" applyFont="1" applyBorder="1" applyAlignment="1">
      <alignment horizontal="left" wrapText="1"/>
    </xf>
    <xf numFmtId="0" fontId="69" fillId="5" borderId="37" xfId="2" applyFont="1" applyFill="1" applyBorder="1" applyAlignment="1">
      <alignment horizontal="center" vertical="center" wrapText="1"/>
    </xf>
    <xf numFmtId="0" fontId="69" fillId="5" borderId="38" xfId="2" applyFont="1" applyFill="1" applyBorder="1" applyAlignment="1">
      <alignment horizontal="center" vertical="center" wrapText="1"/>
    </xf>
    <xf numFmtId="1" fontId="62" fillId="4" borderId="15" xfId="0" applyNumberFormat="1" applyFont="1" applyFill="1" applyBorder="1" applyAlignment="1">
      <alignment horizontal="center" wrapText="1"/>
    </xf>
    <xf numFmtId="0" fontId="68" fillId="4" borderId="15" xfId="0" applyFont="1" applyFill="1" applyBorder="1"/>
    <xf numFmtId="0" fontId="70" fillId="0" borderId="15" xfId="0" applyFont="1" applyBorder="1" applyAlignment="1">
      <alignment horizontal="center"/>
    </xf>
    <xf numFmtId="0" fontId="70" fillId="0" borderId="15" xfId="0" applyFont="1" applyBorder="1" applyAlignment="1">
      <alignment horizontal="center" vertical="center"/>
    </xf>
    <xf numFmtId="0" fontId="70" fillId="7" borderId="15" xfId="0" applyFont="1" applyFill="1" applyBorder="1"/>
    <xf numFmtId="0" fontId="62" fillId="0" borderId="15" xfId="0" applyFont="1" applyBorder="1" applyAlignment="1">
      <alignment horizontal="center" wrapText="1"/>
    </xf>
    <xf numFmtId="16" fontId="62" fillId="0" borderId="8" xfId="0" applyNumberFormat="1" applyFont="1" applyBorder="1" applyAlignment="1">
      <alignment horizontal="center"/>
    </xf>
    <xf numFmtId="49" fontId="60" fillId="0" borderId="15" xfId="1" applyNumberFormat="1" applyFont="1" applyBorder="1" applyAlignment="1">
      <alignment horizontal="center"/>
    </xf>
    <xf numFmtId="0" fontId="62" fillId="0" borderId="39" xfId="1" applyFont="1" applyBorder="1" applyAlignment="1">
      <alignment horizontal="left" vertical="center" wrapText="1"/>
    </xf>
    <xf numFmtId="0" fontId="62" fillId="0" borderId="40" xfId="1" applyFont="1" applyBorder="1" applyAlignment="1">
      <alignment horizontal="left" vertical="center" wrapText="1"/>
    </xf>
    <xf numFmtId="0" fontId="62" fillId="0" borderId="43" xfId="1" applyFont="1" applyBorder="1" applyAlignment="1">
      <alignment horizontal="left" vertical="center" wrapText="1"/>
    </xf>
    <xf numFmtId="0" fontId="62" fillId="0" borderId="39" xfId="1" applyFont="1" applyBorder="1" applyAlignment="1">
      <alignment horizontal="left" vertical="center"/>
    </xf>
    <xf numFmtId="0" fontId="62" fillId="0" borderId="40" xfId="1" applyFont="1" applyBorder="1" applyAlignment="1">
      <alignment horizontal="left" vertical="center"/>
    </xf>
    <xf numFmtId="0" fontId="62" fillId="0" borderId="43" xfId="1" applyFont="1" applyBorder="1" applyAlignment="1">
      <alignment horizontal="left" vertical="center"/>
    </xf>
    <xf numFmtId="0" fontId="60" fillId="0" borderId="53" xfId="0" applyFont="1" applyBorder="1" applyAlignment="1">
      <alignment horizontal="left"/>
    </xf>
    <xf numFmtId="0" fontId="60" fillId="0" borderId="66" xfId="0" applyFont="1" applyBorder="1" applyAlignment="1">
      <alignment horizontal="left"/>
    </xf>
    <xf numFmtId="0" fontId="60" fillId="0" borderId="67" xfId="0" applyFont="1" applyBorder="1" applyAlignment="1">
      <alignment horizontal="left"/>
    </xf>
    <xf numFmtId="0" fontId="60" fillId="6" borderId="15" xfId="2" applyFont="1" applyFill="1" applyBorder="1" applyAlignment="1">
      <alignment horizontal="center"/>
    </xf>
  </cellXfs>
  <cellStyles count="18">
    <cellStyle name="Millares" xfId="6" builtinId="3"/>
    <cellStyle name="Millares [0]" xfId="12" builtinId="6"/>
    <cellStyle name="Millares [0] 2" xfId="11" xr:uid="{91848A44-ED5C-424E-B839-7FF27A114F95}"/>
    <cellStyle name="Millares [0] 2 2" xfId="16" xr:uid="{EBF6CAE2-E53D-42EF-A050-0543E5EF7774}"/>
    <cellStyle name="Millares 2" xfId="10" xr:uid="{FBD976AD-BA0E-4A4B-B82F-D07EF5A1B4C8}"/>
    <cellStyle name="Millares 2 2" xfId="15" xr:uid="{A9B7B32F-9B14-4758-ABB2-8F78AF6B3B8E}"/>
    <cellStyle name="Millares 3" xfId="13" xr:uid="{295699B4-6211-45F2-8959-F5D1E2B4ABA6}"/>
    <cellStyle name="Millares 4" xfId="14" xr:uid="{C94EA0CA-98EC-46D0-BEDD-4E120142A1F9}"/>
    <cellStyle name="Normal" xfId="0" builtinId="0"/>
    <cellStyle name="Normal 2" xfId="1" xr:uid="{2DDBC5E7-0E7E-4491-99E3-7A5940DF1256}"/>
    <cellStyle name="Normal 2 2" xfId="7" xr:uid="{18DF5752-43FF-4BFD-89D2-0730588F24A8}"/>
    <cellStyle name="Normal 3" xfId="5" xr:uid="{75D741B7-9A8C-4961-BA15-A0EFA330802B}"/>
    <cellStyle name="Normal 3 2" xfId="4" xr:uid="{71C988F8-0287-427A-924A-7BBB9BDC240E}"/>
    <cellStyle name="Normal 4" xfId="9" xr:uid="{00757097-5C80-461E-AB34-631BE89E1EF5}"/>
    <cellStyle name="Normal 5" xfId="3" xr:uid="{9E162E44-7FEC-4CBF-A2D3-215B3357159E}"/>
    <cellStyle name="Normal_CRITERIOS DE EVALUACION PT DE GB 2" xfId="2" xr:uid="{91D1D7B8-FF69-4D3C-B5A7-139D9BD47895}"/>
    <cellStyle name="Porcentaje 2" xfId="8" xr:uid="{535DE1C8-4333-4DB8-BA61-0D675B7A5B2D}"/>
    <cellStyle name="Porcentaje 2 2" xfId="17" xr:uid="{AA4DBD26-2723-48F2-8939-B110AA290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358696</xdr:colOff>
      <xdr:row>0</xdr:row>
      <xdr:rowOff>0</xdr:rowOff>
    </xdr:from>
    <xdr:to>
      <xdr:col>1</xdr:col>
      <xdr:colOff>731520</xdr:colOff>
      <xdr:row>5</xdr:row>
      <xdr:rowOff>94354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E6EDDD-1F16-4FA4-A7DA-ABF5053CA1E1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696" y="0"/>
          <a:ext cx="1500584" cy="1092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38100</xdr:rowOff>
    </xdr:from>
    <xdr:to>
      <xdr:col>1</xdr:col>
      <xdr:colOff>1005840</xdr:colOff>
      <xdr:row>3</xdr:row>
      <xdr:rowOff>182880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B6684C88-1C4F-4BBC-936B-F575294D2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" y="236220"/>
          <a:ext cx="14249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91440</xdr:rowOff>
    </xdr:from>
    <xdr:to>
      <xdr:col>1</xdr:col>
      <xdr:colOff>655320</xdr:colOff>
      <xdr:row>4</xdr:row>
      <xdr:rowOff>7620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D515828-13C6-41D3-8DDA-8A36AE2BC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89560"/>
          <a:ext cx="14249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178593</xdr:rowOff>
    </xdr:from>
    <xdr:to>
      <xdr:col>1</xdr:col>
      <xdr:colOff>1091515</xdr:colOff>
      <xdr:row>6</xdr:row>
      <xdr:rowOff>12858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795DAB0-9611-421E-8563-0F0B39F95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178593"/>
          <a:ext cx="2094973" cy="931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218996</xdr:colOff>
      <xdr:row>0</xdr:row>
      <xdr:rowOff>93345</xdr:rowOff>
    </xdr:from>
    <xdr:ext cx="1438354" cy="687705"/>
    <xdr:pic>
      <xdr:nvPicPr>
        <xdr:cNvPr id="3" name="Imagen 2">
          <a:extLst>
            <a:ext uri="{FF2B5EF4-FFF2-40B4-BE49-F238E27FC236}">
              <a16:creationId xmlns:a16="http://schemas.microsoft.com/office/drawing/2014/main" id="{2E413A6B-3EA2-4043-B47B-02364D7040E3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96" y="93345"/>
          <a:ext cx="1438354" cy="6877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</xdr:colOff>
      <xdr:row>0</xdr:row>
      <xdr:rowOff>190499</xdr:rowOff>
    </xdr:from>
    <xdr:to>
      <xdr:col>1</xdr:col>
      <xdr:colOff>1107281</xdr:colOff>
      <xdr:row>4</xdr:row>
      <xdr:rowOff>2634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1332A83-2C3E-4EFE-8950-BC14D774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" y="190499"/>
          <a:ext cx="1814989" cy="86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347662</xdr:colOff>
      <xdr:row>0</xdr:row>
      <xdr:rowOff>73818</xdr:rowOff>
    </xdr:from>
    <xdr:to>
      <xdr:col>1</xdr:col>
      <xdr:colOff>904874</xdr:colOff>
      <xdr:row>4</xdr:row>
      <xdr:rowOff>144304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FC81AAD-07E2-414D-93F1-1399A59C6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" y="73818"/>
          <a:ext cx="1715452" cy="832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1B2-88D0-4D0A-98D0-059750B19291}">
  <dimension ref="A1:M56"/>
  <sheetViews>
    <sheetView workbookViewId="0">
      <selection activeCell="C4" sqref="C4"/>
    </sheetView>
  </sheetViews>
  <sheetFormatPr baseColWidth="10" defaultColWidth="11.42578125" defaultRowHeight="12.75" x14ac:dyDescent="0.2"/>
  <cols>
    <col min="1" max="1" width="16.28515625" style="91" customWidth="1"/>
    <col min="2" max="2" width="14.5703125" style="91" customWidth="1"/>
    <col min="3" max="3" width="48.28515625" style="91" customWidth="1"/>
    <col min="4" max="4" width="15.5703125" style="91" customWidth="1"/>
    <col min="5" max="5" width="11.42578125" style="91"/>
    <col min="6" max="6" width="13.28515625" style="91" customWidth="1"/>
    <col min="7" max="8" width="15.5703125" style="91" customWidth="1"/>
    <col min="9" max="9" width="16" style="91" customWidth="1"/>
    <col min="10" max="16384" width="11.42578125" style="91"/>
  </cols>
  <sheetData>
    <row r="1" spans="1:9" ht="18" x14ac:dyDescent="0.25">
      <c r="A1" s="504"/>
      <c r="B1" s="505"/>
      <c r="C1" s="510" t="s">
        <v>33</v>
      </c>
      <c r="D1" s="510"/>
      <c r="E1" s="510"/>
      <c r="F1" s="510"/>
      <c r="G1" s="510"/>
      <c r="H1" s="89" t="s">
        <v>32</v>
      </c>
      <c r="I1" s="90"/>
    </row>
    <row r="2" spans="1:9" ht="18" x14ac:dyDescent="0.25">
      <c r="A2" s="506"/>
      <c r="B2" s="507"/>
      <c r="C2" s="511" t="s">
        <v>31</v>
      </c>
      <c r="D2" s="511"/>
      <c r="E2" s="511"/>
      <c r="F2" s="511"/>
      <c r="G2" s="511"/>
      <c r="H2" s="92" t="s">
        <v>30</v>
      </c>
      <c r="I2" s="93"/>
    </row>
    <row r="3" spans="1:9" ht="15" x14ac:dyDescent="0.2">
      <c r="A3" s="506"/>
      <c r="B3" s="507"/>
      <c r="C3" s="512" t="s">
        <v>196</v>
      </c>
      <c r="D3" s="513"/>
      <c r="E3" s="513"/>
      <c r="F3" s="513"/>
      <c r="G3" s="514"/>
      <c r="H3" s="515" t="s">
        <v>29</v>
      </c>
      <c r="I3" s="499"/>
    </row>
    <row r="4" spans="1:9" x14ac:dyDescent="0.2">
      <c r="A4" s="506"/>
      <c r="B4" s="507"/>
      <c r="C4" s="94" t="s">
        <v>28</v>
      </c>
      <c r="D4" s="502" t="s">
        <v>69</v>
      </c>
      <c r="E4" s="502"/>
      <c r="F4" s="502"/>
      <c r="G4" s="502"/>
      <c r="H4" s="515"/>
      <c r="I4" s="500"/>
    </row>
    <row r="5" spans="1:9" ht="15" customHeight="1" thickBot="1" x14ac:dyDescent="0.25">
      <c r="A5" s="508"/>
      <c r="B5" s="509"/>
      <c r="C5" s="95" t="s">
        <v>27</v>
      </c>
      <c r="D5" s="503" t="s">
        <v>26</v>
      </c>
      <c r="E5" s="503"/>
      <c r="F5" s="503"/>
      <c r="G5" s="503"/>
      <c r="H5" s="516"/>
      <c r="I5" s="501"/>
    </row>
    <row r="6" spans="1:9" ht="15" customHeight="1" x14ac:dyDescent="0.2">
      <c r="A6" s="96"/>
      <c r="B6" s="96"/>
      <c r="C6" s="97"/>
      <c r="D6" s="98"/>
      <c r="E6" s="98"/>
      <c r="F6" s="98"/>
      <c r="G6" s="98"/>
      <c r="H6" s="99"/>
      <c r="I6" s="100"/>
    </row>
    <row r="7" spans="1:9" ht="21" customHeight="1" thickBot="1" x14ac:dyDescent="0.3">
      <c r="A7" s="518" t="s">
        <v>25</v>
      </c>
      <c r="B7" s="518"/>
      <c r="C7" s="518"/>
      <c r="D7" s="519" t="s">
        <v>57</v>
      </c>
      <c r="E7" s="519"/>
      <c r="F7" s="519"/>
      <c r="G7" s="517" t="s">
        <v>24</v>
      </c>
      <c r="H7" s="517"/>
      <c r="I7" s="21" t="s">
        <v>57</v>
      </c>
    </row>
    <row r="8" spans="1:9" ht="25.5" x14ac:dyDescent="0.2">
      <c r="A8" s="520" t="s">
        <v>23</v>
      </c>
      <c r="B8" s="522" t="s">
        <v>58</v>
      </c>
      <c r="C8" s="524" t="s">
        <v>22</v>
      </c>
      <c r="D8" s="524" t="s">
        <v>21</v>
      </c>
      <c r="E8" s="524" t="s">
        <v>20</v>
      </c>
      <c r="F8" s="524"/>
      <c r="G8" s="524" t="s">
        <v>19</v>
      </c>
      <c r="H8" s="524"/>
      <c r="I8" s="101" t="s">
        <v>18</v>
      </c>
    </row>
    <row r="9" spans="1:9" ht="26.25" thickBot="1" x14ac:dyDescent="0.25">
      <c r="A9" s="521"/>
      <c r="B9" s="523"/>
      <c r="C9" s="525"/>
      <c r="D9" s="526"/>
      <c r="E9" s="102" t="s">
        <v>14</v>
      </c>
      <c r="F9" s="103" t="s">
        <v>17</v>
      </c>
      <c r="G9" s="104" t="s">
        <v>14</v>
      </c>
      <c r="H9" s="105" t="s">
        <v>17</v>
      </c>
      <c r="I9" s="106" t="s">
        <v>16</v>
      </c>
    </row>
    <row r="10" spans="1:9" ht="15.75" x14ac:dyDescent="0.25">
      <c r="A10" s="107"/>
      <c r="B10" s="107"/>
      <c r="C10" s="192" t="s">
        <v>100</v>
      </c>
      <c r="D10" s="108"/>
      <c r="E10" s="108"/>
      <c r="F10" s="108"/>
      <c r="G10" s="109"/>
      <c r="H10" s="110"/>
      <c r="I10" s="110"/>
    </row>
    <row r="11" spans="1:9" ht="15.75" x14ac:dyDescent="0.25">
      <c r="A11" s="107"/>
      <c r="B11" s="107" t="s">
        <v>60</v>
      </c>
      <c r="C11" s="193" t="s">
        <v>101</v>
      </c>
      <c r="D11" s="111" t="s">
        <v>15</v>
      </c>
      <c r="E11" s="111">
        <v>720</v>
      </c>
      <c r="F11" s="111" t="s">
        <v>1</v>
      </c>
      <c r="G11" s="112" t="s">
        <v>102</v>
      </c>
      <c r="H11" s="107"/>
      <c r="I11" s="113"/>
    </row>
    <row r="12" spans="1:9" ht="15.75" x14ac:dyDescent="0.25">
      <c r="A12" s="107"/>
      <c r="B12" s="2" t="s">
        <v>103</v>
      </c>
      <c r="C12" s="1" t="s">
        <v>104</v>
      </c>
      <c r="D12" s="111" t="s">
        <v>15</v>
      </c>
      <c r="E12" s="111">
        <v>90</v>
      </c>
      <c r="F12" s="111" t="s">
        <v>1</v>
      </c>
      <c r="G12" s="112" t="s">
        <v>120</v>
      </c>
      <c r="H12" s="107"/>
      <c r="I12" s="113"/>
    </row>
    <row r="13" spans="1:9" ht="15.75" x14ac:dyDescent="0.25">
      <c r="A13" s="107"/>
      <c r="B13" s="2" t="s">
        <v>105</v>
      </c>
      <c r="C13" t="s">
        <v>106</v>
      </c>
      <c r="D13" s="111" t="s">
        <v>15</v>
      </c>
      <c r="E13" s="111">
        <v>280</v>
      </c>
      <c r="F13" s="111" t="s">
        <v>1</v>
      </c>
      <c r="G13" s="112" t="s">
        <v>121</v>
      </c>
      <c r="H13" s="107" t="s">
        <v>123</v>
      </c>
      <c r="I13" s="113"/>
    </row>
    <row r="14" spans="1:9" ht="15.75" x14ac:dyDescent="0.25">
      <c r="A14" s="107"/>
      <c r="B14" s="313" t="s">
        <v>60</v>
      </c>
      <c r="C14" s="314" t="s">
        <v>107</v>
      </c>
      <c r="D14" s="315" t="s">
        <v>15</v>
      </c>
      <c r="E14" s="315">
        <v>224</v>
      </c>
      <c r="F14" s="111" t="s">
        <v>1</v>
      </c>
      <c r="G14" s="112" t="s">
        <v>122</v>
      </c>
      <c r="H14" s="107" t="s">
        <v>123</v>
      </c>
      <c r="I14" s="113"/>
    </row>
    <row r="15" spans="1:9" ht="15.75" x14ac:dyDescent="0.25">
      <c r="A15" s="107"/>
      <c r="B15" s="319" t="s">
        <v>60</v>
      </c>
      <c r="C15" s="320" t="s">
        <v>135</v>
      </c>
      <c r="D15" s="321" t="s">
        <v>15</v>
      </c>
      <c r="E15" s="321">
        <v>60</v>
      </c>
      <c r="F15" s="111" t="s">
        <v>1</v>
      </c>
      <c r="G15" s="112" t="s">
        <v>120</v>
      </c>
      <c r="H15" s="107" t="s">
        <v>124</v>
      </c>
      <c r="I15" s="113"/>
    </row>
    <row r="16" spans="1:9" ht="15.75" x14ac:dyDescent="0.25">
      <c r="A16" s="107"/>
      <c r="B16" s="2"/>
      <c r="C16" s="1"/>
      <c r="D16" s="111"/>
      <c r="E16" s="111"/>
      <c r="F16" s="111"/>
      <c r="G16" s="112"/>
      <c r="H16" s="107"/>
      <c r="I16" s="113"/>
    </row>
    <row r="17" spans="1:12" ht="15.75" x14ac:dyDescent="0.25">
      <c r="A17" s="2"/>
      <c r="B17" s="66"/>
      <c r="C17" s="195"/>
      <c r="D17" s="5"/>
      <c r="E17" s="114"/>
      <c r="F17" s="5"/>
      <c r="G17" s="110"/>
      <c r="H17" s="110"/>
      <c r="I17" s="110"/>
    </row>
    <row r="18" spans="1:12" ht="15.75" x14ac:dyDescent="0.25">
      <c r="A18" s="2"/>
      <c r="B18" s="2"/>
      <c r="C18" s="194"/>
      <c r="D18" s="115"/>
      <c r="E18" s="115"/>
      <c r="F18" s="115"/>
      <c r="G18" s="112"/>
      <c r="H18" s="107"/>
      <c r="I18" s="113"/>
    </row>
    <row r="19" spans="1:12" ht="15" x14ac:dyDescent="0.2">
      <c r="A19" s="107"/>
      <c r="B19" s="107"/>
      <c r="C19" s="116" t="s">
        <v>59</v>
      </c>
      <c r="D19" s="115"/>
      <c r="E19" s="115"/>
      <c r="F19" s="115"/>
      <c r="G19" s="112"/>
      <c r="H19" s="107"/>
      <c r="I19" s="113"/>
    </row>
    <row r="20" spans="1:12" ht="16.5" x14ac:dyDescent="0.25">
      <c r="A20" s="198">
        <v>910000018</v>
      </c>
      <c r="B20" s="199" t="s">
        <v>109</v>
      </c>
      <c r="C20" s="200" t="s">
        <v>110</v>
      </c>
      <c r="D20" s="201" t="s">
        <v>15</v>
      </c>
      <c r="E20" s="214">
        <v>150</v>
      </c>
      <c r="F20" s="111" t="s">
        <v>1</v>
      </c>
      <c r="G20" s="109"/>
      <c r="H20" s="112" t="s">
        <v>125</v>
      </c>
      <c r="I20" s="110"/>
    </row>
    <row r="21" spans="1:12" ht="16.5" x14ac:dyDescent="0.25">
      <c r="A21" s="117"/>
      <c r="B21" s="117" t="s">
        <v>60</v>
      </c>
      <c r="C21" s="196" t="s">
        <v>111</v>
      </c>
      <c r="D21" s="201" t="s">
        <v>15</v>
      </c>
      <c r="E21" s="214">
        <v>30</v>
      </c>
      <c r="F21" s="111" t="s">
        <v>1</v>
      </c>
      <c r="G21" s="109"/>
      <c r="H21" s="110"/>
      <c r="I21" s="110"/>
    </row>
    <row r="22" spans="1:12" ht="16.5" x14ac:dyDescent="0.25">
      <c r="A22" s="117"/>
      <c r="B22" s="313" t="s">
        <v>60</v>
      </c>
      <c r="C22" s="316" t="s">
        <v>112</v>
      </c>
      <c r="D22" s="317" t="s">
        <v>15</v>
      </c>
      <c r="E22" s="318">
        <v>60</v>
      </c>
      <c r="F22" s="111" t="s">
        <v>1</v>
      </c>
      <c r="G22" s="109"/>
      <c r="H22" s="110"/>
      <c r="I22" s="110"/>
    </row>
    <row r="23" spans="1:12" ht="16.5" x14ac:dyDescent="0.25">
      <c r="A23" s="117"/>
      <c r="B23" s="319" t="s">
        <v>60</v>
      </c>
      <c r="C23" s="322" t="s">
        <v>119</v>
      </c>
      <c r="D23" s="323" t="s">
        <v>15</v>
      </c>
      <c r="E23" s="324">
        <v>30</v>
      </c>
      <c r="F23" s="111" t="s">
        <v>1</v>
      </c>
      <c r="G23" s="109"/>
      <c r="H23" s="107" t="s">
        <v>124</v>
      </c>
      <c r="I23" s="110"/>
    </row>
    <row r="24" spans="1:12" ht="15.75" x14ac:dyDescent="0.25">
      <c r="A24" s="107"/>
      <c r="B24" s="107"/>
      <c r="C24" s="193"/>
      <c r="D24" s="5"/>
      <c r="E24" s="114"/>
      <c r="F24" s="5"/>
      <c r="G24" s="110"/>
      <c r="H24" s="110"/>
      <c r="I24" s="113"/>
    </row>
    <row r="25" spans="1:12" ht="15" x14ac:dyDescent="0.2">
      <c r="A25" s="117"/>
      <c r="B25" s="117"/>
      <c r="C25" s="197" t="s">
        <v>37</v>
      </c>
      <c r="D25" s="4"/>
      <c r="E25" s="4"/>
      <c r="F25" s="4"/>
      <c r="G25" s="112"/>
      <c r="H25" s="107"/>
      <c r="I25" s="113"/>
    </row>
    <row r="26" spans="1:12" ht="15" x14ac:dyDescent="0.25">
      <c r="A26" s="66"/>
      <c r="B26" s="40" t="s">
        <v>113</v>
      </c>
      <c r="C26" s="176" t="s">
        <v>114</v>
      </c>
      <c r="D26" s="175" t="s">
        <v>55</v>
      </c>
      <c r="E26" s="69">
        <v>1</v>
      </c>
      <c r="F26" s="175" t="s">
        <v>6</v>
      </c>
      <c r="G26" s="112"/>
      <c r="H26" s="107"/>
      <c r="I26" s="113"/>
    </row>
    <row r="27" spans="1:12" ht="15" x14ac:dyDescent="0.25">
      <c r="A27" s="66"/>
      <c r="B27" s="175" t="s">
        <v>126</v>
      </c>
      <c r="C27" s="176" t="s">
        <v>134</v>
      </c>
      <c r="D27" s="10" t="s">
        <v>50</v>
      </c>
      <c r="E27" s="178">
        <v>1</v>
      </c>
      <c r="F27" s="175" t="s">
        <v>6</v>
      </c>
      <c r="G27" s="112"/>
      <c r="H27" s="107"/>
      <c r="I27" s="119"/>
    </row>
    <row r="28" spans="1:12" ht="15" x14ac:dyDescent="0.25">
      <c r="A28" s="66"/>
      <c r="B28" s="180" t="s">
        <v>52</v>
      </c>
      <c r="C28" s="181" t="s">
        <v>115</v>
      </c>
      <c r="D28" s="10" t="s">
        <v>54</v>
      </c>
      <c r="E28" s="182">
        <v>2</v>
      </c>
      <c r="F28" s="183" t="s">
        <v>6</v>
      </c>
      <c r="G28" s="120"/>
      <c r="H28" s="121"/>
      <c r="I28" s="122"/>
    </row>
    <row r="29" spans="1:12" ht="15" x14ac:dyDescent="0.25">
      <c r="A29" s="66"/>
      <c r="B29" s="180" t="s">
        <v>64</v>
      </c>
      <c r="C29" s="184" t="s">
        <v>116</v>
      </c>
      <c r="D29" s="10" t="s">
        <v>50</v>
      </c>
      <c r="E29" s="10">
        <v>1</v>
      </c>
      <c r="F29" s="183" t="s">
        <v>6</v>
      </c>
      <c r="G29" s="112"/>
      <c r="H29" s="107"/>
      <c r="I29" s="122"/>
    </row>
    <row r="30" spans="1:12" ht="15" x14ac:dyDescent="0.25">
      <c r="A30" s="66"/>
      <c r="B30" s="180" t="s">
        <v>62</v>
      </c>
      <c r="C30" s="184" t="s">
        <v>117</v>
      </c>
      <c r="D30" s="10" t="s">
        <v>50</v>
      </c>
      <c r="E30" s="10">
        <v>1</v>
      </c>
      <c r="F30" s="183" t="s">
        <v>6</v>
      </c>
      <c r="G30" s="112"/>
      <c r="H30" s="107"/>
      <c r="I30" s="123"/>
    </row>
    <row r="31" spans="1:12" ht="15" x14ac:dyDescent="0.25">
      <c r="A31" s="66"/>
      <c r="B31" s="1"/>
      <c r="C31" s="1"/>
      <c r="D31" s="1"/>
      <c r="E31" s="1"/>
      <c r="F31" s="1"/>
      <c r="G31" s="112"/>
      <c r="H31" s="107"/>
      <c r="I31" s="124"/>
    </row>
    <row r="32" spans="1:12" ht="15" x14ac:dyDescent="0.2">
      <c r="A32" s="66"/>
      <c r="B32" s="66"/>
      <c r="C32" s="67"/>
      <c r="D32" s="4"/>
      <c r="E32" s="125"/>
      <c r="F32" s="125"/>
      <c r="G32" s="112"/>
      <c r="H32" s="107"/>
      <c r="I32" s="124"/>
      <c r="L32" s="126"/>
    </row>
    <row r="33" spans="1:13" ht="15" x14ac:dyDescent="0.25">
      <c r="A33" s="127"/>
      <c r="B33" s="128"/>
      <c r="C33" s="129"/>
      <c r="D33" s="130"/>
      <c r="E33" s="131"/>
      <c r="F33" s="131"/>
      <c r="G33" s="131"/>
      <c r="H33" s="131"/>
      <c r="I33" s="132"/>
      <c r="L33" s="126"/>
    </row>
    <row r="34" spans="1:13" ht="15" x14ac:dyDescent="0.25">
      <c r="A34" s="133"/>
      <c r="B34" s="2"/>
      <c r="C34" s="1"/>
      <c r="D34" s="118"/>
      <c r="E34" s="134"/>
      <c r="F34" s="134"/>
      <c r="G34" s="134"/>
      <c r="H34" s="134"/>
      <c r="I34" s="107"/>
      <c r="L34" s="126"/>
    </row>
    <row r="35" spans="1:13" ht="13.5" thickBot="1" x14ac:dyDescent="0.25">
      <c r="A35" s="135"/>
      <c r="B35" s="136"/>
      <c r="C35" s="137"/>
      <c r="D35" s="138" t="s">
        <v>14</v>
      </c>
      <c r="E35" s="139" t="s">
        <v>13</v>
      </c>
      <c r="F35" s="140"/>
      <c r="G35" s="137"/>
      <c r="H35" s="137"/>
      <c r="I35" s="141"/>
      <c r="L35" s="126"/>
    </row>
    <row r="36" spans="1:13" x14ac:dyDescent="0.2">
      <c r="A36" s="493" t="s">
        <v>12</v>
      </c>
      <c r="B36" s="494"/>
      <c r="C36" s="495"/>
      <c r="D36" s="142">
        <v>1590</v>
      </c>
      <c r="E36" s="143" t="s">
        <v>1</v>
      </c>
      <c r="F36" s="496"/>
      <c r="G36" s="496"/>
      <c r="H36" s="497"/>
      <c r="I36" s="498"/>
      <c r="L36" s="126"/>
    </row>
    <row r="37" spans="1:13" x14ac:dyDescent="0.2">
      <c r="A37" s="485" t="s">
        <v>10</v>
      </c>
      <c r="B37" s="486"/>
      <c r="C37" s="487"/>
      <c r="D37" s="144">
        <v>7</v>
      </c>
      <c r="E37" s="13" t="s">
        <v>9</v>
      </c>
      <c r="F37" s="488"/>
      <c r="G37" s="488"/>
      <c r="H37" s="489"/>
      <c r="I37" s="490"/>
      <c r="L37" s="126"/>
    </row>
    <row r="38" spans="1:13" x14ac:dyDescent="0.2">
      <c r="A38" s="485" t="s">
        <v>7</v>
      </c>
      <c r="B38" s="486"/>
      <c r="C38" s="487"/>
      <c r="D38" s="13">
        <v>1</v>
      </c>
      <c r="E38" s="13" t="s">
        <v>6</v>
      </c>
      <c r="F38" s="488"/>
      <c r="G38" s="488"/>
      <c r="H38" s="489"/>
      <c r="I38" s="490"/>
      <c r="L38" s="126"/>
    </row>
    <row r="39" spans="1:13" x14ac:dyDescent="0.2">
      <c r="A39" s="485" t="s">
        <v>4</v>
      </c>
      <c r="B39" s="486"/>
      <c r="C39" s="487"/>
      <c r="D39" s="145">
        <v>1590</v>
      </c>
      <c r="E39" s="13" t="s">
        <v>1</v>
      </c>
      <c r="F39" s="491"/>
      <c r="G39" s="492"/>
      <c r="H39" s="489"/>
      <c r="I39" s="490"/>
      <c r="L39" s="126"/>
      <c r="M39" s="146"/>
    </row>
    <row r="40" spans="1:13" ht="13.5" thickBot="1" x14ac:dyDescent="0.25">
      <c r="A40" s="473" t="s">
        <v>2</v>
      </c>
      <c r="B40" s="474"/>
      <c r="C40" s="475"/>
      <c r="D40" s="147">
        <f>SUM(E11:E23)-D36</f>
        <v>54</v>
      </c>
      <c r="E40" s="148" t="s">
        <v>1</v>
      </c>
      <c r="F40" s="476"/>
      <c r="G40" s="476"/>
      <c r="H40" s="477"/>
      <c r="I40" s="478"/>
      <c r="L40" s="126"/>
    </row>
    <row r="41" spans="1:13" ht="13.5" thickBot="1" x14ac:dyDescent="0.25">
      <c r="A41" s="479" t="s">
        <v>0</v>
      </c>
      <c r="B41" s="480"/>
      <c r="C41" s="480"/>
      <c r="D41" s="480"/>
      <c r="E41" s="480"/>
      <c r="F41" s="480"/>
      <c r="G41" s="480"/>
      <c r="H41" s="480"/>
      <c r="I41" s="481"/>
    </row>
    <row r="42" spans="1:13" ht="15" customHeight="1" x14ac:dyDescent="0.2">
      <c r="A42" s="482" t="s">
        <v>127</v>
      </c>
      <c r="B42" s="483"/>
      <c r="C42" s="483"/>
      <c r="D42" s="483"/>
      <c r="E42" s="483"/>
      <c r="F42" s="483"/>
      <c r="G42" s="483"/>
      <c r="H42" s="483"/>
      <c r="I42" s="484"/>
    </row>
    <row r="43" spans="1:13" ht="29.45" customHeight="1" x14ac:dyDescent="0.2">
      <c r="A43" s="527" t="s">
        <v>128</v>
      </c>
      <c r="B43" s="528"/>
      <c r="C43" s="528"/>
      <c r="D43" s="528"/>
      <c r="E43" s="528"/>
      <c r="F43" s="528"/>
      <c r="G43" s="528"/>
      <c r="H43" s="528"/>
      <c r="I43" s="529"/>
    </row>
    <row r="44" spans="1:13" ht="13.9" customHeight="1" x14ac:dyDescent="0.2">
      <c r="A44" s="527" t="s">
        <v>129</v>
      </c>
      <c r="B44" s="528"/>
      <c r="C44" s="528"/>
      <c r="D44" s="528"/>
      <c r="E44" s="528"/>
      <c r="F44" s="528"/>
      <c r="G44" s="528"/>
      <c r="H44" s="528"/>
      <c r="I44" s="529"/>
    </row>
    <row r="45" spans="1:13" ht="18" customHeight="1" x14ac:dyDescent="0.25">
      <c r="A45" s="527" t="s">
        <v>130</v>
      </c>
      <c r="B45" s="536"/>
      <c r="C45" s="536"/>
      <c r="D45" s="536"/>
      <c r="E45" s="536"/>
      <c r="F45" s="536"/>
      <c r="G45" s="536"/>
      <c r="H45" s="536"/>
      <c r="I45" s="537"/>
    </row>
    <row r="46" spans="1:13" ht="13.9" customHeight="1" x14ac:dyDescent="0.25">
      <c r="A46" s="527" t="s">
        <v>131</v>
      </c>
      <c r="B46" s="536"/>
      <c r="C46" s="536"/>
      <c r="D46" s="536"/>
      <c r="E46" s="536"/>
      <c r="F46" s="536"/>
      <c r="G46" s="536"/>
      <c r="H46" s="536"/>
      <c r="I46" s="537"/>
    </row>
    <row r="47" spans="1:13" ht="14.25" x14ac:dyDescent="0.2">
      <c r="A47" s="527" t="s">
        <v>132</v>
      </c>
      <c r="B47" s="528"/>
      <c r="C47" s="528"/>
      <c r="D47" s="528"/>
      <c r="E47" s="528"/>
      <c r="F47" s="528"/>
      <c r="G47" s="528"/>
      <c r="H47" s="528"/>
      <c r="I47" s="529"/>
    </row>
    <row r="48" spans="1:13" ht="16.5" customHeight="1" x14ac:dyDescent="0.2">
      <c r="A48" s="533"/>
      <c r="B48" s="534"/>
      <c r="C48" s="534"/>
      <c r="D48" s="534"/>
      <c r="E48" s="534"/>
      <c r="F48" s="534"/>
      <c r="G48" s="534"/>
      <c r="H48" s="534"/>
      <c r="I48" s="535"/>
    </row>
    <row r="49" spans="1:9" ht="16.5" customHeight="1" x14ac:dyDescent="0.2">
      <c r="A49" s="533"/>
      <c r="B49" s="534"/>
      <c r="C49" s="534"/>
      <c r="D49" s="534"/>
      <c r="E49" s="534"/>
      <c r="F49" s="534"/>
      <c r="G49" s="534"/>
      <c r="H49" s="534"/>
      <c r="I49" s="535"/>
    </row>
    <row r="50" spans="1:9" ht="16.5" customHeight="1" thickBot="1" x14ac:dyDescent="0.25">
      <c r="A50" s="530"/>
      <c r="B50" s="531"/>
      <c r="C50" s="531"/>
      <c r="D50" s="531"/>
      <c r="E50" s="531"/>
      <c r="F50" s="531"/>
      <c r="G50" s="531"/>
      <c r="H50" s="531"/>
      <c r="I50" s="532"/>
    </row>
    <row r="51" spans="1:9" ht="13.5" thickBot="1" x14ac:dyDescent="0.25">
      <c r="A51" s="479" t="s">
        <v>65</v>
      </c>
      <c r="B51" s="480"/>
      <c r="C51" s="480"/>
      <c r="D51" s="480"/>
      <c r="E51" s="480"/>
      <c r="F51" s="480"/>
      <c r="G51" s="480"/>
      <c r="H51" s="480"/>
      <c r="I51" s="481"/>
    </row>
    <row r="52" spans="1:9" x14ac:dyDescent="0.2">
      <c r="A52" s="149"/>
      <c r="B52" s="149"/>
      <c r="C52" s="149"/>
    </row>
    <row r="53" spans="1:9" x14ac:dyDescent="0.2">
      <c r="A53" s="149"/>
      <c r="B53" s="149"/>
    </row>
    <row r="54" spans="1:9" ht="15" x14ac:dyDescent="0.25">
      <c r="A54" s="150"/>
      <c r="B54" s="150"/>
    </row>
    <row r="55" spans="1:9" ht="15" x14ac:dyDescent="0.25">
      <c r="A55" s="150"/>
      <c r="B55" s="150"/>
    </row>
    <row r="56" spans="1:9" ht="15" x14ac:dyDescent="0.25">
      <c r="A56" s="150"/>
      <c r="B56" s="150"/>
    </row>
  </sheetData>
  <mergeCells count="43">
    <mergeCell ref="A51:I51"/>
    <mergeCell ref="A43:I43"/>
    <mergeCell ref="A44:I44"/>
    <mergeCell ref="A50:I50"/>
    <mergeCell ref="A48:I48"/>
    <mergeCell ref="A49:I49"/>
    <mergeCell ref="A45:I45"/>
    <mergeCell ref="A46:I46"/>
    <mergeCell ref="A47:I47"/>
    <mergeCell ref="G7:H7"/>
    <mergeCell ref="A7:C7"/>
    <mergeCell ref="D7:F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6002-6840-4846-A196-47A0BDD71DBC}">
  <dimension ref="A1:R91"/>
  <sheetViews>
    <sheetView topLeftCell="A5" workbookViewId="0">
      <selection activeCell="N36" sqref="N36"/>
    </sheetView>
  </sheetViews>
  <sheetFormatPr baseColWidth="10" defaultColWidth="8.42578125" defaultRowHeight="12.75" x14ac:dyDescent="0.25"/>
  <cols>
    <col min="1" max="1" width="10" style="220" bestFit="1" customWidth="1"/>
    <col min="2" max="2" width="44.28515625" style="220" bestFit="1" customWidth="1"/>
    <col min="3" max="3" width="10.42578125" style="220" bestFit="1" customWidth="1"/>
    <col min="4" max="4" width="10.42578125" style="220" customWidth="1"/>
    <col min="5" max="5" width="11" style="220" customWidth="1"/>
    <col min="6" max="6" width="9.5703125" style="220" bestFit="1" customWidth="1"/>
    <col min="7" max="7" width="10.85546875" style="302" customWidth="1"/>
    <col min="8" max="8" width="10.42578125" style="293" bestFit="1" customWidth="1"/>
    <col min="9" max="9" width="4.5703125" style="293" customWidth="1"/>
    <col min="10" max="10" width="1.85546875" style="219" customWidth="1"/>
    <col min="11" max="11" width="7" style="220" bestFit="1" customWidth="1"/>
    <col min="12" max="12" width="6.28515625" style="220" customWidth="1"/>
    <col min="13" max="13" width="20.42578125" style="220" customWidth="1"/>
    <col min="14" max="14" width="6.42578125" style="220" bestFit="1" customWidth="1"/>
    <col min="15" max="15" width="9.28515625" style="220" bestFit="1" customWidth="1"/>
    <col min="16" max="16" width="8.42578125" style="220"/>
    <col min="17" max="17" width="3.28515625" style="220" customWidth="1"/>
    <col min="18" max="16384" width="8.42578125" style="220"/>
  </cols>
  <sheetData>
    <row r="1" spans="1:10" ht="27.75" customHeight="1" x14ac:dyDescent="0.25">
      <c r="A1" s="215"/>
      <c r="B1" s="215"/>
      <c r="C1" s="215"/>
      <c r="D1" s="215"/>
      <c r="E1" s="216" t="s">
        <v>136</v>
      </c>
      <c r="F1" s="217" t="s">
        <v>137</v>
      </c>
      <c r="G1" s="217" t="s">
        <v>138</v>
      </c>
      <c r="H1" s="217" t="s">
        <v>139</v>
      </c>
      <c r="I1" s="218"/>
    </row>
    <row r="2" spans="1:10" ht="30.75" customHeight="1" x14ac:dyDescent="0.25">
      <c r="A2" s="215"/>
      <c r="B2" s="215"/>
      <c r="C2" s="215"/>
      <c r="D2" s="215"/>
      <c r="E2" s="221">
        <f>IFERROR(O62,"")</f>
        <v>7517.8865692746158</v>
      </c>
      <c r="F2" s="221">
        <f>IFERROR(H53,"")</f>
        <v>3982.2409051134696</v>
      </c>
      <c r="G2" s="221">
        <f>IFERROR(H54,"")</f>
        <v>816.8585599999999</v>
      </c>
      <c r="H2" s="221">
        <f>IFERROR(H56,"")</f>
        <v>1308.4162938775512</v>
      </c>
      <c r="I2" s="222"/>
    </row>
    <row r="3" spans="1:10" ht="15" customHeight="1" x14ac:dyDescent="0.25">
      <c r="A3" s="215"/>
      <c r="B3" s="215"/>
      <c r="C3" s="215"/>
      <c r="D3" s="215"/>
      <c r="E3" s="215"/>
      <c r="F3" s="223"/>
      <c r="G3" s="223"/>
      <c r="H3" s="223"/>
      <c r="I3" s="223"/>
    </row>
    <row r="4" spans="1:10" ht="24.75" customHeight="1" thickBot="1" x14ac:dyDescent="0.3">
      <c r="A4" s="564"/>
      <c r="B4" s="564"/>
      <c r="C4" s="564"/>
      <c r="D4" s="564"/>
      <c r="E4" s="564"/>
      <c r="F4" s="564"/>
      <c r="G4" s="564"/>
      <c r="H4" s="564"/>
      <c r="I4" s="224"/>
    </row>
    <row r="5" spans="1:10" ht="19.5" customHeight="1" thickBot="1" x14ac:dyDescent="0.3">
      <c r="A5" s="565" t="s">
        <v>140</v>
      </c>
      <c r="B5" s="566"/>
      <c r="C5" s="566"/>
      <c r="D5" s="566"/>
      <c r="E5" s="566"/>
      <c r="F5" s="566"/>
      <c r="G5" s="566"/>
      <c r="H5" s="567"/>
      <c r="I5" s="225"/>
    </row>
    <row r="6" spans="1:10" ht="19.5" thickBot="1" x14ac:dyDescent="0.3">
      <c r="A6" s="225"/>
      <c r="B6" s="225"/>
      <c r="C6" s="225"/>
      <c r="D6" s="225"/>
      <c r="E6" s="225"/>
      <c r="F6" s="568" t="s">
        <v>141</v>
      </c>
      <c r="G6" s="568"/>
      <c r="H6" s="226">
        <f ca="1">TODAY()</f>
        <v>46063</v>
      </c>
      <c r="I6" s="226"/>
    </row>
    <row r="7" spans="1:10" ht="26.25" hidden="1" thickBot="1" x14ac:dyDescent="0.3">
      <c r="A7" s="227" t="s">
        <v>142</v>
      </c>
      <c r="B7" s="228" t="s">
        <v>143</v>
      </c>
      <c r="C7" s="228" t="s">
        <v>142</v>
      </c>
      <c r="D7" s="229" t="s">
        <v>144</v>
      </c>
      <c r="E7" s="229" t="s">
        <v>145</v>
      </c>
      <c r="F7" s="229" t="s">
        <v>146</v>
      </c>
      <c r="G7" s="229" t="s">
        <v>147</v>
      </c>
      <c r="H7" s="230" t="s">
        <v>148</v>
      </c>
      <c r="I7" s="231"/>
    </row>
    <row r="8" spans="1:10" ht="13.5" hidden="1" x14ac:dyDescent="0.25">
      <c r="A8" s="232"/>
      <c r="B8" s="220" t="str">
        <f>IFERROR(VLOOKUP(H8,'[1]Consolidado MP Planta'!$A$2:$M$823,3,0),"")</f>
        <v/>
      </c>
      <c r="C8" s="233">
        <f>+A8</f>
        <v>0</v>
      </c>
      <c r="D8" s="234" t="str">
        <f>IFERROR(VLOOKUP(H8,'[1]Consolidado MP Planta'!$A$2:$M$823,13,0),"")</f>
        <v/>
      </c>
      <c r="E8" s="234" t="str">
        <f>IFERROR(VLOOKUP(H8,'[1]Consolidado MP Planta'!$A$2:$M$823,12,0),"")</f>
        <v/>
      </c>
      <c r="F8" s="234" t="str">
        <f>IFERROR(C8*E8,"")</f>
        <v/>
      </c>
      <c r="G8" s="235" t="str">
        <f t="shared" ref="G8:G14" si="0">IFERROR(F8/$F$66,"")</f>
        <v/>
      </c>
      <c r="H8" s="236"/>
      <c r="I8" s="236"/>
      <c r="J8" s="237"/>
    </row>
    <row r="9" spans="1:10" ht="13.5" hidden="1" x14ac:dyDescent="0.25">
      <c r="A9" s="232"/>
      <c r="B9" s="220" t="str">
        <f>IFERROR(VLOOKUP(H9,'[1]Consolidado MP Planta'!$A$2:$M$823,3,0),"")</f>
        <v/>
      </c>
      <c r="C9" s="233">
        <f t="shared" ref="C9:C14" si="1">+A9</f>
        <v>0</v>
      </c>
      <c r="D9" s="234" t="str">
        <f>IFERROR(VLOOKUP(H9,'[1]Consolidado MP Planta'!$A$2:$M$823,13,0),"")</f>
        <v/>
      </c>
      <c r="E9" s="234" t="str">
        <f>IFERROR(VLOOKUP(H9,'[1]Consolidado MP Planta'!$A$2:$M$823,12,0),"")</f>
        <v/>
      </c>
      <c r="F9" s="234" t="str">
        <f t="shared" ref="F9:F14" si="2">IFERROR(C9*E9,"")</f>
        <v/>
      </c>
      <c r="G9" s="235" t="str">
        <f t="shared" si="0"/>
        <v/>
      </c>
      <c r="H9" s="236"/>
      <c r="I9" s="236"/>
      <c r="J9" s="237"/>
    </row>
    <row r="10" spans="1:10" ht="13.5" hidden="1" x14ac:dyDescent="0.25">
      <c r="A10" s="232"/>
      <c r="B10" s="220" t="str">
        <f>IFERROR(VLOOKUP(H10,'[1]Consolidado MP Planta'!$A$2:$M$823,3,0),"")</f>
        <v/>
      </c>
      <c r="C10" s="233">
        <f t="shared" si="1"/>
        <v>0</v>
      </c>
      <c r="D10" s="234" t="str">
        <f>IFERROR(VLOOKUP(H10,'[1]Consolidado MP Planta'!$A$2:$M$823,13,0),"")</f>
        <v/>
      </c>
      <c r="E10" s="234" t="str">
        <f>IFERROR(VLOOKUP(H10,'[1]Consolidado MP Planta'!$A$2:$M$823,12,0),"")</f>
        <v/>
      </c>
      <c r="F10" s="234" t="str">
        <f t="shared" si="2"/>
        <v/>
      </c>
      <c r="G10" s="235" t="str">
        <f t="shared" si="0"/>
        <v/>
      </c>
      <c r="H10" s="236"/>
      <c r="I10" s="236"/>
      <c r="J10" s="237"/>
    </row>
    <row r="11" spans="1:10" ht="13.5" hidden="1" x14ac:dyDescent="0.25">
      <c r="A11" s="232"/>
      <c r="B11" s="220" t="str">
        <f>IFERROR(VLOOKUP(H11,'[1]Consolidado MP Planta'!$A$2:$M$823,3,0),"")</f>
        <v/>
      </c>
      <c r="C11" s="233">
        <f t="shared" si="1"/>
        <v>0</v>
      </c>
      <c r="D11" s="234" t="str">
        <f>IFERROR(VLOOKUP(H11,'[1]Consolidado MP Planta'!$A$2:$M$823,13,0),"")</f>
        <v/>
      </c>
      <c r="E11" s="234" t="str">
        <f>IFERROR(VLOOKUP(H11,'[1]Consolidado MP Planta'!$A$2:$M$823,12,0),"")</f>
        <v/>
      </c>
      <c r="F11" s="234" t="str">
        <f t="shared" si="2"/>
        <v/>
      </c>
      <c r="G11" s="235" t="str">
        <f t="shared" si="0"/>
        <v/>
      </c>
      <c r="H11" s="236"/>
      <c r="I11" s="236"/>
      <c r="J11" s="237"/>
    </row>
    <row r="12" spans="1:10" ht="13.5" hidden="1" x14ac:dyDescent="0.25">
      <c r="A12" s="232"/>
      <c r="B12" s="220" t="str">
        <f>IFERROR(VLOOKUP(H12,'[1]Consolidado MP Planta'!$A$2:$M$823,3,0),"")</f>
        <v/>
      </c>
      <c r="C12" s="233">
        <f t="shared" si="1"/>
        <v>0</v>
      </c>
      <c r="D12" s="234" t="str">
        <f>IFERROR(VLOOKUP(H12,'[1]Consolidado MP Planta'!$A$2:$M$823,13,0),"")</f>
        <v/>
      </c>
      <c r="E12" s="234" t="str">
        <f>IFERROR(VLOOKUP(H12,'[1]Consolidado MP Planta'!$A$2:$M$823,12,0),"")</f>
        <v/>
      </c>
      <c r="F12" s="234" t="str">
        <f t="shared" si="2"/>
        <v/>
      </c>
      <c r="G12" s="235" t="str">
        <f t="shared" si="0"/>
        <v/>
      </c>
      <c r="H12" s="236"/>
      <c r="I12" s="236"/>
      <c r="J12" s="237"/>
    </row>
    <row r="13" spans="1:10" ht="13.5" hidden="1" x14ac:dyDescent="0.25">
      <c r="A13" s="232"/>
      <c r="B13" s="220" t="str">
        <f>IFERROR(VLOOKUP(H13,'[1]Consolidado MP Planta'!$A$2:$M$823,3,0),"")</f>
        <v/>
      </c>
      <c r="C13" s="233">
        <f t="shared" si="1"/>
        <v>0</v>
      </c>
      <c r="D13" s="234" t="str">
        <f>IFERROR(VLOOKUP(H13,'[1]Consolidado MP Planta'!$A$2:$M$823,13,0),"")</f>
        <v/>
      </c>
      <c r="E13" s="234" t="str">
        <f>IFERROR(VLOOKUP(H13,'[1]Consolidado MP Planta'!$A$2:$M$823,12,0),"")</f>
        <v/>
      </c>
      <c r="F13" s="234" t="str">
        <f t="shared" si="2"/>
        <v/>
      </c>
      <c r="G13" s="235" t="str">
        <f t="shared" si="0"/>
        <v/>
      </c>
      <c r="H13" s="236"/>
      <c r="I13" s="236"/>
      <c r="J13" s="237"/>
    </row>
    <row r="14" spans="1:10" ht="13.5" hidden="1" x14ac:dyDescent="0.25">
      <c r="A14" s="232"/>
      <c r="B14" s="220" t="str">
        <f>IFERROR(VLOOKUP(H14,'[1]Consolidado MP Planta'!$A$2:$M$823,3,0),"")</f>
        <v/>
      </c>
      <c r="C14" s="233">
        <f t="shared" si="1"/>
        <v>0</v>
      </c>
      <c r="D14" s="234" t="str">
        <f>IFERROR(VLOOKUP(H14,'[1]Consolidado MP Planta'!$A$2:$M$823,13,0),"")</f>
        <v/>
      </c>
      <c r="E14" s="234" t="str">
        <f>IFERROR(VLOOKUP(H14,'[1]Consolidado MP Planta'!$A$2:$M$823,12,0),"")</f>
        <v/>
      </c>
      <c r="F14" s="234" t="str">
        <f t="shared" si="2"/>
        <v/>
      </c>
      <c r="G14" s="235" t="str">
        <f t="shared" si="0"/>
        <v/>
      </c>
      <c r="H14" s="236"/>
      <c r="I14" s="236"/>
      <c r="J14" s="237"/>
    </row>
    <row r="15" spans="1:10" ht="14.25" hidden="1" thickBot="1" x14ac:dyDescent="0.3">
      <c r="A15" s="232"/>
      <c r="B15" s="220" t="str">
        <f>IFERROR(VLOOKUP(H15,[2]Hoja2!$A$2:$G$589,2,0),"")</f>
        <v/>
      </c>
      <c r="C15" s="233"/>
      <c r="D15" s="234"/>
      <c r="E15" s="234"/>
      <c r="F15" s="234"/>
      <c r="G15" s="235"/>
      <c r="H15" s="236"/>
      <c r="I15" s="236"/>
      <c r="J15" s="237"/>
    </row>
    <row r="16" spans="1:10" ht="26.25" thickBot="1" x14ac:dyDescent="0.3">
      <c r="A16" s="227" t="s">
        <v>142</v>
      </c>
      <c r="B16" s="228" t="s">
        <v>149</v>
      </c>
      <c r="C16" s="228" t="s">
        <v>142</v>
      </c>
      <c r="D16" s="229" t="s">
        <v>144</v>
      </c>
      <c r="E16" s="229" t="s">
        <v>145</v>
      </c>
      <c r="F16" s="229" t="s">
        <v>146</v>
      </c>
      <c r="G16" s="229" t="s">
        <v>147</v>
      </c>
      <c r="H16" s="230" t="s">
        <v>148</v>
      </c>
      <c r="I16" s="231"/>
      <c r="J16" s="237"/>
    </row>
    <row r="17" spans="1:13" ht="13.5" x14ac:dyDescent="0.25">
      <c r="A17" s="232">
        <v>3</v>
      </c>
      <c r="B17" s="470" t="s">
        <v>101</v>
      </c>
      <c r="C17" s="233">
        <f>+A17</f>
        <v>3</v>
      </c>
      <c r="D17" s="233" t="s">
        <v>191</v>
      </c>
      <c r="E17" s="234">
        <f>+'Costo Rosquete Zanahoria '!H53</f>
        <v>355.96</v>
      </c>
      <c r="F17" s="234">
        <f>IFERROR(E17*C17,"")</f>
        <v>1067.8799999999999</v>
      </c>
      <c r="G17" s="235">
        <f t="shared" ref="G17:G24" si="3">IFERROR(F17/$F$66,"")</f>
        <v>0.19710786337928676</v>
      </c>
      <c r="H17" s="236" t="s">
        <v>195</v>
      </c>
      <c r="I17" s="236"/>
      <c r="J17" s="237"/>
    </row>
    <row r="18" spans="1:13" ht="13.5" x14ac:dyDescent="0.25">
      <c r="A18" s="232">
        <v>90</v>
      </c>
      <c r="B18" s="470" t="s">
        <v>104</v>
      </c>
      <c r="C18" s="233">
        <f t="shared" ref="C18:C24" si="4">+A18</f>
        <v>90</v>
      </c>
      <c r="D18" s="233" t="s">
        <v>187</v>
      </c>
      <c r="E18" s="234">
        <v>0.2</v>
      </c>
      <c r="F18" s="234">
        <f t="shared" ref="F18:F24" si="5">IFERROR(E18*C18,"")</f>
        <v>18</v>
      </c>
      <c r="G18" s="235">
        <f t="shared" si="3"/>
        <v>3.3224159463864501E-3</v>
      </c>
      <c r="H18" s="236" t="s">
        <v>103</v>
      </c>
      <c r="I18" s="236"/>
      <c r="J18" s="237"/>
    </row>
    <row r="19" spans="1:13" ht="13.5" x14ac:dyDescent="0.25">
      <c r="A19" s="232">
        <v>0</v>
      </c>
      <c r="B19" s="220" t="s">
        <v>106</v>
      </c>
      <c r="C19" s="233">
        <f>+A19</f>
        <v>0</v>
      </c>
      <c r="D19" s="233" t="s">
        <v>187</v>
      </c>
      <c r="E19" s="234">
        <v>1.96</v>
      </c>
      <c r="F19" s="234">
        <f>IFERROR(E19*C19,"")</f>
        <v>0</v>
      </c>
      <c r="G19" s="235">
        <f t="shared" si="3"/>
        <v>0</v>
      </c>
      <c r="H19" s="236" t="s">
        <v>105</v>
      </c>
      <c r="I19" s="236"/>
      <c r="J19" s="237"/>
    </row>
    <row r="20" spans="1:13" ht="13.5" x14ac:dyDescent="0.25">
      <c r="A20" s="232">
        <v>336</v>
      </c>
      <c r="B20" s="470" t="s">
        <v>107</v>
      </c>
      <c r="C20" s="233">
        <f>+A20</f>
        <v>336</v>
      </c>
      <c r="D20" s="233" t="s">
        <v>187</v>
      </c>
      <c r="E20" s="234">
        <f>+'costo relleno Queso '!E69</f>
        <v>2.9416717900000005</v>
      </c>
      <c r="F20" s="234">
        <f>IFERROR(E20*C20,"")</f>
        <v>988.40172144000019</v>
      </c>
      <c r="G20" s="235">
        <f t="shared" si="3"/>
        <v>0.18243786893044858</v>
      </c>
      <c r="H20" s="236" t="s">
        <v>195</v>
      </c>
      <c r="I20" s="236"/>
      <c r="J20" s="237"/>
    </row>
    <row r="21" spans="1:13" ht="13.5" x14ac:dyDescent="0.25">
      <c r="A21" s="232">
        <v>90</v>
      </c>
      <c r="B21" s="470" t="s">
        <v>135</v>
      </c>
      <c r="C21" s="233">
        <f>+A21</f>
        <v>90</v>
      </c>
      <c r="D21" s="233" t="s">
        <v>187</v>
      </c>
      <c r="E21" s="234">
        <f>+'costo procesado Pecana'!E69</f>
        <v>8.7551020408163271</v>
      </c>
      <c r="F21" s="234">
        <f>IFERROR(E21*C21,"")</f>
        <v>787.9591836734694</v>
      </c>
      <c r="G21" s="235">
        <f t="shared" si="3"/>
        <v>0.14544045316324358</v>
      </c>
      <c r="H21" s="236" t="s">
        <v>195</v>
      </c>
      <c r="I21" s="236"/>
      <c r="J21" s="237"/>
    </row>
    <row r="22" spans="1:13" ht="13.5" x14ac:dyDescent="0.25">
      <c r="A22" s="232">
        <v>0</v>
      </c>
      <c r="B22" s="220" t="s">
        <v>110</v>
      </c>
      <c r="C22" s="233">
        <f t="shared" si="4"/>
        <v>0</v>
      </c>
      <c r="D22" s="233" t="s">
        <v>187</v>
      </c>
      <c r="E22" s="234">
        <v>2.2999999999999998</v>
      </c>
      <c r="F22" s="234">
        <f t="shared" si="5"/>
        <v>0</v>
      </c>
      <c r="G22" s="235">
        <f t="shared" si="3"/>
        <v>0</v>
      </c>
      <c r="H22" s="236" t="s">
        <v>109</v>
      </c>
      <c r="I22" s="236"/>
      <c r="J22" s="237"/>
    </row>
    <row r="23" spans="1:13" ht="13.5" x14ac:dyDescent="0.25">
      <c r="A23" s="232">
        <v>560</v>
      </c>
      <c r="B23" s="470" t="s">
        <v>197</v>
      </c>
      <c r="C23" s="233">
        <f t="shared" si="4"/>
        <v>560</v>
      </c>
      <c r="D23" s="233" t="s">
        <v>187</v>
      </c>
      <c r="E23" s="234">
        <v>2</v>
      </c>
      <c r="F23" s="234">
        <f t="shared" si="5"/>
        <v>1120</v>
      </c>
      <c r="G23" s="235">
        <f t="shared" si="3"/>
        <v>0.20672810333071245</v>
      </c>
      <c r="H23" s="236"/>
      <c r="I23" s="236"/>
      <c r="J23" s="237"/>
    </row>
    <row r="24" spans="1:13" ht="13.5" x14ac:dyDescent="0.25">
      <c r="A24" s="232"/>
      <c r="B24" s="220" t="str">
        <f>IFERROR(VLOOKUP(H24,[1]SEMIELABORADOS!$A$2:$M$6000,2,0),"")</f>
        <v/>
      </c>
      <c r="C24" s="233">
        <f t="shared" si="4"/>
        <v>0</v>
      </c>
      <c r="D24" s="233" t="str">
        <f>IFERROR(VLOOKUP(H24,[1]SEMIELABORADOS!$A$2:$M$6000,6,0),"")</f>
        <v/>
      </c>
      <c r="E24" s="234" t="str">
        <f>IFERROR(VLOOKUP(H24,[1]SEMIELABORADOS!$A$2:$H$65536,8,0),"")</f>
        <v/>
      </c>
      <c r="F24" s="234" t="str">
        <f t="shared" si="5"/>
        <v/>
      </c>
      <c r="G24" s="235" t="str">
        <f t="shared" si="3"/>
        <v/>
      </c>
      <c r="H24" s="236"/>
      <c r="I24" s="236"/>
      <c r="J24" s="237"/>
    </row>
    <row r="25" spans="1:13" ht="14.25" thickBot="1" x14ac:dyDescent="0.3">
      <c r="A25" s="232"/>
      <c r="C25" s="233"/>
      <c r="D25" s="233"/>
      <c r="E25" s="234"/>
      <c r="F25" s="234"/>
      <c r="G25" s="235"/>
      <c r="H25" s="236"/>
      <c r="I25" s="236"/>
      <c r="J25" s="237"/>
    </row>
    <row r="26" spans="1:13" ht="26.25" thickBot="1" x14ac:dyDescent="0.3">
      <c r="A26" s="227" t="s">
        <v>142</v>
      </c>
      <c r="B26" s="228" t="s">
        <v>37</v>
      </c>
      <c r="C26" s="228" t="s">
        <v>142</v>
      </c>
      <c r="D26" s="229" t="s">
        <v>144</v>
      </c>
      <c r="E26" s="229" t="s">
        <v>145</v>
      </c>
      <c r="F26" s="229" t="s">
        <v>146</v>
      </c>
      <c r="G26" s="229" t="s">
        <v>147</v>
      </c>
      <c r="H26" s="230" t="s">
        <v>148</v>
      </c>
      <c r="I26" s="231"/>
    </row>
    <row r="27" spans="1:13" ht="13.5" x14ac:dyDescent="0.25">
      <c r="A27" s="232">
        <v>1</v>
      </c>
      <c r="B27" s="238" t="s">
        <v>114</v>
      </c>
      <c r="C27" s="233">
        <f t="shared" ref="C27:C32" si="6">+A27</f>
        <v>1</v>
      </c>
      <c r="D27" s="234" t="s">
        <v>192</v>
      </c>
      <c r="E27" s="234">
        <v>78</v>
      </c>
      <c r="F27" s="234">
        <f t="shared" ref="F27:F32" si="7">IFERROR(C27*E27,"")</f>
        <v>78</v>
      </c>
      <c r="G27" s="235">
        <f t="shared" ref="G27:G32" si="8">IFERROR(F27/$F$66,"")</f>
        <v>1.4397135767674617E-2</v>
      </c>
      <c r="H27" s="239" t="s">
        <v>113</v>
      </c>
      <c r="I27" s="239"/>
      <c r="J27" s="237"/>
      <c r="K27" s="558"/>
      <c r="L27" s="558"/>
    </row>
    <row r="28" spans="1:13" ht="13.5" x14ac:dyDescent="0.25">
      <c r="A28" s="232">
        <v>1</v>
      </c>
      <c r="B28" s="238" t="s">
        <v>134</v>
      </c>
      <c r="C28" s="233">
        <f t="shared" si="6"/>
        <v>1</v>
      </c>
      <c r="D28" s="234" t="s">
        <v>192</v>
      </c>
      <c r="E28" s="234">
        <v>470</v>
      </c>
      <c r="F28" s="234">
        <f t="shared" si="7"/>
        <v>470</v>
      </c>
      <c r="G28" s="235">
        <f t="shared" si="8"/>
        <v>8.6751971933423974E-2</v>
      </c>
      <c r="H28" s="239" t="s">
        <v>335</v>
      </c>
      <c r="I28" s="239"/>
      <c r="J28" s="237"/>
      <c r="K28" s="558"/>
      <c r="L28" s="558"/>
    </row>
    <row r="29" spans="1:13" ht="13.5" x14ac:dyDescent="0.25">
      <c r="A29" s="232">
        <v>2</v>
      </c>
      <c r="B29" s="238" t="s">
        <v>115</v>
      </c>
      <c r="C29" s="233">
        <f t="shared" si="6"/>
        <v>2</v>
      </c>
      <c r="D29" s="234" t="s">
        <v>192</v>
      </c>
      <c r="E29" s="234">
        <v>0.57999999999999996</v>
      </c>
      <c r="F29" s="234">
        <f t="shared" si="7"/>
        <v>1.1599999999999999</v>
      </c>
      <c r="G29" s="235">
        <f t="shared" si="8"/>
        <v>2.1411124987823788E-4</v>
      </c>
      <c r="H29" s="239" t="s">
        <v>52</v>
      </c>
      <c r="I29" s="239"/>
      <c r="J29" s="237"/>
      <c r="K29" s="558"/>
      <c r="L29" s="558"/>
    </row>
    <row r="30" spans="1:13" ht="13.5" x14ac:dyDescent="0.25">
      <c r="A30" s="232">
        <v>1</v>
      </c>
      <c r="B30" s="238" t="s">
        <v>116</v>
      </c>
      <c r="C30" s="233">
        <f t="shared" si="6"/>
        <v>1</v>
      </c>
      <c r="D30" s="234" t="s">
        <v>192</v>
      </c>
      <c r="E30" s="234">
        <v>0.39</v>
      </c>
      <c r="F30" s="234">
        <f t="shared" si="7"/>
        <v>0.39</v>
      </c>
      <c r="G30" s="235">
        <f t="shared" si="8"/>
        <v>7.1985678838373083E-5</v>
      </c>
      <c r="H30" s="239" t="s">
        <v>64</v>
      </c>
      <c r="I30" s="239"/>
      <c r="J30" s="237"/>
      <c r="K30" s="558"/>
      <c r="L30" s="558"/>
    </row>
    <row r="31" spans="1:13" ht="13.5" x14ac:dyDescent="0.25">
      <c r="A31" s="232">
        <v>1</v>
      </c>
      <c r="B31" s="238" t="s">
        <v>117</v>
      </c>
      <c r="C31" s="233">
        <f t="shared" si="6"/>
        <v>1</v>
      </c>
      <c r="D31" s="234" t="s">
        <v>192</v>
      </c>
      <c r="E31" s="234">
        <v>2.13</v>
      </c>
      <c r="F31" s="234">
        <f t="shared" si="7"/>
        <v>2.13</v>
      </c>
      <c r="G31" s="235">
        <f t="shared" si="8"/>
        <v>3.931525536557299E-4</v>
      </c>
      <c r="H31" s="239" t="s">
        <v>62</v>
      </c>
      <c r="I31" s="239"/>
      <c r="J31" s="237"/>
      <c r="K31" s="240"/>
      <c r="L31" s="241"/>
    </row>
    <row r="32" spans="1:13" ht="13.5" x14ac:dyDescent="0.25">
      <c r="A32" s="468">
        <v>55</v>
      </c>
      <c r="B32" s="469" t="s">
        <v>334</v>
      </c>
      <c r="C32" s="233">
        <f t="shared" si="6"/>
        <v>55</v>
      </c>
      <c r="D32" s="234" t="s">
        <v>333</v>
      </c>
      <c r="E32" s="234">
        <v>4.1500000000000004</v>
      </c>
      <c r="F32" s="234">
        <f t="shared" si="7"/>
        <v>228.25000000000003</v>
      </c>
      <c r="G32" s="235">
        <f t="shared" si="8"/>
        <v>4.2130079986817073E-2</v>
      </c>
      <c r="H32" s="239"/>
      <c r="I32" s="239"/>
      <c r="J32" s="237"/>
      <c r="M32" s="220">
        <f>55+20</f>
        <v>75</v>
      </c>
    </row>
    <row r="33" spans="1:13" ht="14.25" thickBot="1" x14ac:dyDescent="0.3">
      <c r="A33" s="232"/>
      <c r="B33" s="238"/>
      <c r="C33" s="233"/>
      <c r="D33" s="234"/>
      <c r="E33" s="234"/>
      <c r="F33" s="234"/>
      <c r="G33" s="235"/>
      <c r="H33" s="239"/>
      <c r="I33" s="239"/>
      <c r="J33" s="237"/>
      <c r="M33" s="220">
        <f>+M32*4.15</f>
        <v>311.25</v>
      </c>
    </row>
    <row r="34" spans="1:13" ht="26.25" thickBot="1" x14ac:dyDescent="0.25">
      <c r="A34" s="227" t="s">
        <v>142</v>
      </c>
      <c r="B34" s="228" t="s">
        <v>150</v>
      </c>
      <c r="C34" s="228" t="s">
        <v>142</v>
      </c>
      <c r="D34" s="229" t="s">
        <v>144</v>
      </c>
      <c r="E34" s="229" t="s">
        <v>145</v>
      </c>
      <c r="F34" s="229" t="s">
        <v>146</v>
      </c>
      <c r="G34" s="229" t="s">
        <v>147</v>
      </c>
      <c r="H34" s="230" t="s">
        <v>148</v>
      </c>
      <c r="I34" s="239"/>
      <c r="J34" s="237"/>
      <c r="M34" s="471">
        <f>+M33-F32</f>
        <v>82.999999999999972</v>
      </c>
    </row>
    <row r="35" spans="1:13" ht="13.5" x14ac:dyDescent="0.25">
      <c r="A35" s="232">
        <f>+A17</f>
        <v>3</v>
      </c>
      <c r="B35" s="238" t="s">
        <v>101</v>
      </c>
      <c r="C35" s="233">
        <f>+A35</f>
        <v>3</v>
      </c>
      <c r="D35" s="234" t="s">
        <v>192</v>
      </c>
      <c r="E35" s="234">
        <f>+'Costo Rosquete Zanahoria '!H54</f>
        <v>6.3692000000000011</v>
      </c>
      <c r="F35" s="234">
        <f>IFERROR(E35*C35,"")</f>
        <v>19.107600000000005</v>
      </c>
      <c r="G35" s="235">
        <f t="shared" ref="G35:G41" si="9">IFERROR(F35/$F$66,"")</f>
        <v>3.5268552742874306E-3</v>
      </c>
      <c r="H35" s="239"/>
      <c r="I35" s="239"/>
      <c r="J35" s="237"/>
    </row>
    <row r="36" spans="1:13" ht="13.5" x14ac:dyDescent="0.25">
      <c r="A36" s="232">
        <f t="shared" ref="A36:A41" si="10">+A18</f>
        <v>90</v>
      </c>
      <c r="B36" s="238" t="s">
        <v>104</v>
      </c>
      <c r="C36" s="233">
        <f t="shared" ref="C36:C41" si="11">+A36</f>
        <v>90</v>
      </c>
      <c r="D36" s="234" t="s">
        <v>187</v>
      </c>
      <c r="E36" s="234">
        <v>0.01</v>
      </c>
      <c r="F36" s="234">
        <f t="shared" ref="F36:F41" si="12">IFERROR(E36*C36,"")</f>
        <v>0.9</v>
      </c>
      <c r="G36" s="235">
        <f t="shared" si="9"/>
        <v>1.6612079731932251E-4</v>
      </c>
      <c r="H36" s="239" t="s">
        <v>103</v>
      </c>
      <c r="I36" s="239"/>
      <c r="J36" s="237"/>
    </row>
    <row r="37" spans="1:13" ht="13.5" x14ac:dyDescent="0.25">
      <c r="A37" s="232">
        <f t="shared" si="10"/>
        <v>0</v>
      </c>
      <c r="B37" s="238" t="s">
        <v>106</v>
      </c>
      <c r="C37" s="233">
        <f t="shared" si="11"/>
        <v>0</v>
      </c>
      <c r="D37" s="234" t="s">
        <v>187</v>
      </c>
      <c r="E37" s="234">
        <v>0</v>
      </c>
      <c r="F37" s="234">
        <f t="shared" si="12"/>
        <v>0</v>
      </c>
      <c r="G37" s="235">
        <f t="shared" si="9"/>
        <v>0</v>
      </c>
      <c r="H37" s="239"/>
      <c r="I37" s="239"/>
      <c r="J37" s="237"/>
    </row>
    <row r="38" spans="1:13" ht="13.5" x14ac:dyDescent="0.25">
      <c r="A38" s="232">
        <f t="shared" si="10"/>
        <v>336</v>
      </c>
      <c r="B38" s="220" t="s">
        <v>107</v>
      </c>
      <c r="C38" s="233">
        <f>+A38</f>
        <v>336</v>
      </c>
      <c r="D38" s="234" t="s">
        <v>187</v>
      </c>
      <c r="E38" s="234">
        <f>+'costo relleno Queso '!E76</f>
        <v>3.6000000000000002E-4</v>
      </c>
      <c r="F38" s="234">
        <f>IFERROR(E38*C38,"")</f>
        <v>0.12096000000000001</v>
      </c>
      <c r="G38" s="235">
        <f t="shared" si="9"/>
        <v>2.2326635159716946E-5</v>
      </c>
      <c r="H38" s="239"/>
      <c r="I38" s="239"/>
      <c r="J38" s="237"/>
    </row>
    <row r="39" spans="1:13" ht="13.5" x14ac:dyDescent="0.25">
      <c r="A39" s="232">
        <f t="shared" si="10"/>
        <v>90</v>
      </c>
      <c r="B39" s="238" t="s">
        <v>135</v>
      </c>
      <c r="C39" s="233">
        <f>+A39</f>
        <v>90</v>
      </c>
      <c r="D39" s="234" t="s">
        <v>187</v>
      </c>
      <c r="E39" s="234">
        <f>+'costo procesado Pecana'!E76</f>
        <v>0</v>
      </c>
      <c r="F39" s="234">
        <f>IFERROR(E39*C39,"")</f>
        <v>0</v>
      </c>
      <c r="G39" s="235">
        <f t="shared" si="9"/>
        <v>0</v>
      </c>
      <c r="H39" s="239"/>
      <c r="I39" s="239"/>
      <c r="J39" s="237"/>
    </row>
    <row r="40" spans="1:13" ht="13.5" x14ac:dyDescent="0.25">
      <c r="A40" s="232">
        <f t="shared" si="10"/>
        <v>0</v>
      </c>
      <c r="B40" s="238" t="s">
        <v>110</v>
      </c>
      <c r="C40" s="233">
        <f t="shared" si="11"/>
        <v>0</v>
      </c>
      <c r="D40" s="234" t="s">
        <v>187</v>
      </c>
      <c r="E40" s="234">
        <v>0</v>
      </c>
      <c r="F40" s="234">
        <f t="shared" si="12"/>
        <v>0</v>
      </c>
      <c r="G40" s="235">
        <f t="shared" si="9"/>
        <v>0</v>
      </c>
      <c r="H40" s="239"/>
      <c r="I40" s="239"/>
      <c r="J40" s="237"/>
    </row>
    <row r="41" spans="1:13" ht="13.5" x14ac:dyDescent="0.25">
      <c r="A41" s="232">
        <f t="shared" si="10"/>
        <v>560</v>
      </c>
      <c r="B41" s="238" t="s">
        <v>197</v>
      </c>
      <c r="C41" s="233">
        <f t="shared" si="11"/>
        <v>560</v>
      </c>
      <c r="D41" s="234" t="s">
        <v>187</v>
      </c>
      <c r="E41" s="234">
        <v>0.03</v>
      </c>
      <c r="F41" s="234">
        <f t="shared" si="12"/>
        <v>16.8</v>
      </c>
      <c r="G41" s="235">
        <f t="shared" si="9"/>
        <v>3.1009215499606868E-3</v>
      </c>
      <c r="H41" s="239"/>
      <c r="I41" s="239"/>
      <c r="J41" s="237"/>
    </row>
    <row r="42" spans="1:13" ht="14.25" thickBot="1" x14ac:dyDescent="0.3">
      <c r="A42" s="232"/>
      <c r="B42" s="238"/>
      <c r="C42" s="233"/>
      <c r="D42" s="234"/>
      <c r="E42" s="234"/>
      <c r="F42" s="234"/>
      <c r="G42" s="235"/>
      <c r="H42" s="239"/>
      <c r="I42" s="239"/>
      <c r="J42" s="237"/>
    </row>
    <row r="43" spans="1:13" ht="26.25" thickBot="1" x14ac:dyDescent="0.3">
      <c r="A43" s="227" t="s">
        <v>142</v>
      </c>
      <c r="B43" s="228" t="s">
        <v>151</v>
      </c>
      <c r="C43" s="228" t="s">
        <v>142</v>
      </c>
      <c r="D43" s="229" t="s">
        <v>144</v>
      </c>
      <c r="E43" s="229" t="s">
        <v>145</v>
      </c>
      <c r="F43" s="229" t="s">
        <v>146</v>
      </c>
      <c r="G43" s="229" t="s">
        <v>147</v>
      </c>
      <c r="H43" s="230" t="s">
        <v>148</v>
      </c>
      <c r="I43" s="231"/>
      <c r="J43" s="237"/>
    </row>
    <row r="44" spans="1:13" ht="13.5" x14ac:dyDescent="0.25">
      <c r="A44" s="232">
        <f>+A35</f>
        <v>3</v>
      </c>
      <c r="B44" s="238" t="s">
        <v>101</v>
      </c>
      <c r="C44" s="233">
        <f>+A44</f>
        <v>3</v>
      </c>
      <c r="D44" s="234" t="s">
        <v>191</v>
      </c>
      <c r="E44" s="234">
        <f>+'Costo Rosquete Zanahoria '!H56</f>
        <v>69.040000000000006</v>
      </c>
      <c r="F44" s="234">
        <f>IFERROR(E44*C44,"")</f>
        <v>207.12</v>
      </c>
      <c r="G44" s="235">
        <f>IFERROR(F44/$F$66,"")</f>
        <v>3.8229932823086753E-2</v>
      </c>
      <c r="H44" s="239"/>
      <c r="I44" s="231"/>
      <c r="J44" s="237"/>
    </row>
    <row r="45" spans="1:13" ht="13.5" x14ac:dyDescent="0.25">
      <c r="A45" s="232">
        <f t="shared" ref="A45:A50" si="13">+A36</f>
        <v>90</v>
      </c>
      <c r="B45" s="238" t="s">
        <v>104</v>
      </c>
      <c r="C45" s="233">
        <f t="shared" ref="C45:C50" si="14">+A45</f>
        <v>90</v>
      </c>
      <c r="D45" s="234" t="s">
        <v>187</v>
      </c>
      <c r="E45" s="234">
        <v>0.03</v>
      </c>
      <c r="F45" s="234">
        <f t="shared" ref="F45:F50" si="15">IFERROR(E45*C45,"")</f>
        <v>2.6999999999999997</v>
      </c>
      <c r="G45" s="235">
        <f t="shared" ref="G45:G50" si="16">IFERROR(F45/$F$66,"")</f>
        <v>4.9836239195796741E-4</v>
      </c>
      <c r="H45" s="239" t="s">
        <v>103</v>
      </c>
      <c r="I45" s="231"/>
      <c r="J45" s="237"/>
      <c r="M45" s="242"/>
    </row>
    <row r="46" spans="1:13" ht="13.5" x14ac:dyDescent="0.25">
      <c r="A46" s="232">
        <f t="shared" si="13"/>
        <v>0</v>
      </c>
      <c r="B46" s="238" t="s">
        <v>106</v>
      </c>
      <c r="C46" s="233">
        <f t="shared" si="14"/>
        <v>0</v>
      </c>
      <c r="D46" s="234" t="s">
        <v>187</v>
      </c>
      <c r="E46" s="234">
        <v>0.13</v>
      </c>
      <c r="F46" s="234">
        <f t="shared" si="15"/>
        <v>0</v>
      </c>
      <c r="G46" s="235">
        <f t="shared" si="16"/>
        <v>0</v>
      </c>
      <c r="H46" s="239"/>
      <c r="I46" s="231"/>
      <c r="J46" s="237"/>
    </row>
    <row r="47" spans="1:13" ht="13.5" x14ac:dyDescent="0.25">
      <c r="A47" s="232">
        <f t="shared" si="13"/>
        <v>336</v>
      </c>
      <c r="B47" s="220" t="s">
        <v>107</v>
      </c>
      <c r="C47" s="233">
        <f t="shared" si="14"/>
        <v>336</v>
      </c>
      <c r="D47" s="234" t="s">
        <v>187</v>
      </c>
      <c r="E47" s="234">
        <f>+'costo relleno Queso '!E74</f>
        <v>7.6999999999999999E-2</v>
      </c>
      <c r="F47" s="234">
        <f t="shared" si="15"/>
        <v>25.872</v>
      </c>
      <c r="G47" s="235">
        <f t="shared" si="16"/>
        <v>4.7754191869394573E-3</v>
      </c>
      <c r="H47" s="239"/>
      <c r="I47" s="231"/>
      <c r="J47" s="237"/>
    </row>
    <row r="48" spans="1:13" ht="13.5" x14ac:dyDescent="0.25">
      <c r="A48" s="232">
        <f t="shared" si="13"/>
        <v>90</v>
      </c>
      <c r="B48" s="238" t="s">
        <v>135</v>
      </c>
      <c r="C48" s="233">
        <f t="shared" si="14"/>
        <v>90</v>
      </c>
      <c r="D48" s="234" t="s">
        <v>187</v>
      </c>
      <c r="E48" s="234">
        <f>+'costo procesado Pecana'!E74</f>
        <v>0.85816326530612241</v>
      </c>
      <c r="F48" s="234">
        <f t="shared" si="15"/>
        <v>77.234693877551024</v>
      </c>
      <c r="G48" s="235">
        <f t="shared" si="16"/>
        <v>1.4255876586280636E-2</v>
      </c>
      <c r="H48" s="239"/>
      <c r="I48" s="231"/>
      <c r="J48" s="237"/>
    </row>
    <row r="49" spans="1:17" ht="13.5" x14ac:dyDescent="0.25">
      <c r="A49" s="232">
        <f t="shared" si="13"/>
        <v>0</v>
      </c>
      <c r="B49" s="238" t="s">
        <v>110</v>
      </c>
      <c r="C49" s="233">
        <f t="shared" si="14"/>
        <v>0</v>
      </c>
      <c r="D49" s="234" t="s">
        <v>187</v>
      </c>
      <c r="E49" s="234">
        <v>0.03</v>
      </c>
      <c r="F49" s="234">
        <f t="shared" si="15"/>
        <v>0</v>
      </c>
      <c r="G49" s="235">
        <f t="shared" si="16"/>
        <v>0</v>
      </c>
      <c r="H49" s="239"/>
      <c r="I49" s="231"/>
      <c r="J49" s="237"/>
    </row>
    <row r="50" spans="1:17" ht="13.5" x14ac:dyDescent="0.25">
      <c r="A50" s="232">
        <f t="shared" si="13"/>
        <v>560</v>
      </c>
      <c r="B50" s="238" t="s">
        <v>197</v>
      </c>
      <c r="C50" s="233">
        <f t="shared" si="14"/>
        <v>560</v>
      </c>
      <c r="D50" s="234" t="s">
        <v>187</v>
      </c>
      <c r="E50" s="234">
        <f>+'Costo procesado Borona'!E74</f>
        <v>0.81516000000000011</v>
      </c>
      <c r="F50" s="234">
        <f t="shared" si="15"/>
        <v>456.48960000000005</v>
      </c>
      <c r="G50" s="235">
        <f t="shared" si="16"/>
        <v>8.4258240355531783E-2</v>
      </c>
      <c r="H50" s="238"/>
      <c r="I50" s="231"/>
      <c r="J50" s="237"/>
    </row>
    <row r="51" spans="1:17" ht="13.5" x14ac:dyDescent="0.25">
      <c r="A51" s="232">
        <v>1</v>
      </c>
      <c r="B51" s="238" t="s">
        <v>152</v>
      </c>
      <c r="C51" s="233">
        <f>+A51</f>
        <v>1</v>
      </c>
      <c r="D51" s="233" t="s">
        <v>153</v>
      </c>
      <c r="E51" s="234">
        <f>+F65</f>
        <v>539</v>
      </c>
      <c r="F51" s="234">
        <f>IFERROR(C51*E51,"")</f>
        <v>539</v>
      </c>
      <c r="G51" s="235">
        <f>IFERROR(F51/$F$66,"")</f>
        <v>9.9487899727905366E-2</v>
      </c>
      <c r="H51" s="243"/>
      <c r="I51" s="243"/>
      <c r="J51" s="237"/>
    </row>
    <row r="52" spans="1:17" ht="14.25" thickBot="1" x14ac:dyDescent="0.3">
      <c r="A52" s="232"/>
      <c r="B52" s="238"/>
      <c r="C52" s="233"/>
      <c r="D52" s="233"/>
      <c r="E52" s="234"/>
      <c r="F52" s="234"/>
      <c r="G52" s="235"/>
      <c r="H52" s="243"/>
      <c r="I52" s="243"/>
      <c r="J52" s="237"/>
    </row>
    <row r="53" spans="1:17" ht="13.5" thickBot="1" x14ac:dyDescent="0.3">
      <c r="A53" s="244"/>
      <c r="B53" s="559" t="s">
        <v>154</v>
      </c>
      <c r="C53" s="559"/>
      <c r="D53" s="559"/>
      <c r="E53" s="559"/>
      <c r="F53" s="246">
        <f>SUM(F8:F14,F17:F24)</f>
        <v>3982.2409051134696</v>
      </c>
      <c r="G53" s="235">
        <f>+F53/$F$66</f>
        <v>0.73503670475007787</v>
      </c>
      <c r="H53" s="247">
        <f>+F53/$D$60</f>
        <v>3982.2409051134696</v>
      </c>
      <c r="I53" s="247"/>
      <c r="J53" s="248"/>
      <c r="K53" s="249"/>
      <c r="L53" s="249"/>
      <c r="M53" s="249"/>
      <c r="N53" s="249"/>
      <c r="O53" s="249"/>
      <c r="P53" s="249"/>
      <c r="Q53" s="250"/>
    </row>
    <row r="54" spans="1:17" x14ac:dyDescent="0.2">
      <c r="A54" s="244"/>
      <c r="B54" s="559" t="s">
        <v>155</v>
      </c>
      <c r="C54" s="559"/>
      <c r="D54" s="559"/>
      <c r="E54" s="559"/>
      <c r="F54" s="246">
        <f>SUM(F27:F32,F35:F41)</f>
        <v>816.8585599999999</v>
      </c>
      <c r="G54" s="235">
        <f>+F54/$F$66</f>
        <v>0.15077466142701512</v>
      </c>
      <c r="H54" s="247">
        <f>+F54/$D$60</f>
        <v>816.8585599999999</v>
      </c>
      <c r="I54" s="247"/>
      <c r="J54" s="251"/>
      <c r="K54" s="560" t="s">
        <v>156</v>
      </c>
      <c r="L54" s="561"/>
      <c r="M54" s="561"/>
      <c r="N54" s="561"/>
      <c r="O54" s="252">
        <f>+F55</f>
        <v>4799.0994651134697</v>
      </c>
      <c r="P54" s="252"/>
      <c r="Q54" s="253"/>
    </row>
    <row r="55" spans="1:17" x14ac:dyDescent="0.2">
      <c r="A55" s="244"/>
      <c r="B55" s="559" t="s">
        <v>157</v>
      </c>
      <c r="C55" s="559"/>
      <c r="D55" s="559"/>
      <c r="E55" s="559"/>
      <c r="F55" s="246">
        <f>+F53+F54</f>
        <v>4799.0994651134697</v>
      </c>
      <c r="G55" s="235">
        <f>+F55/$F$66</f>
        <v>0.885811366177093</v>
      </c>
      <c r="H55" s="247">
        <f>+F55/$D$60</f>
        <v>4799.0994651134697</v>
      </c>
      <c r="I55" s="247"/>
      <c r="J55" s="254"/>
      <c r="K55" s="255"/>
      <c r="M55" s="256" t="s">
        <v>158</v>
      </c>
      <c r="N55" s="257"/>
      <c r="O55" s="252">
        <f>+H56</f>
        <v>1308.4162938775512</v>
      </c>
      <c r="P55" s="252"/>
      <c r="Q55" s="253"/>
    </row>
    <row r="56" spans="1:17" ht="13.5" thickBot="1" x14ac:dyDescent="0.25">
      <c r="A56" s="244"/>
      <c r="B56" s="245"/>
      <c r="C56" s="559" t="s">
        <v>159</v>
      </c>
      <c r="D56" s="559"/>
      <c r="E56" s="559"/>
      <c r="F56" s="246">
        <f>SUM(F44:F51)</f>
        <v>1308.4162938775512</v>
      </c>
      <c r="G56" s="235">
        <f>+F56/$F$66</f>
        <v>0.24150573107170198</v>
      </c>
      <c r="H56" s="247">
        <f>+F56/$D$60</f>
        <v>1308.4162938775512</v>
      </c>
      <c r="I56" s="247"/>
      <c r="J56" s="254"/>
      <c r="K56" s="255"/>
      <c r="L56" s="255"/>
      <c r="M56" s="255" t="s">
        <v>160</v>
      </c>
      <c r="N56" s="258"/>
      <c r="O56" s="252">
        <f>O54*N56</f>
        <v>0</v>
      </c>
      <c r="P56" s="252"/>
      <c r="Q56" s="253"/>
    </row>
    <row r="57" spans="1:17" ht="13.5" thickBot="1" x14ac:dyDescent="0.25">
      <c r="A57" s="244"/>
      <c r="B57" s="259"/>
      <c r="C57" s="259"/>
      <c r="D57" s="259"/>
      <c r="E57" s="259"/>
      <c r="F57" s="260"/>
      <c r="G57" s="235"/>
      <c r="H57" s="261"/>
      <c r="I57" s="247"/>
      <c r="J57" s="254"/>
      <c r="K57" s="262"/>
      <c r="M57" s="263" t="s">
        <v>161</v>
      </c>
      <c r="N57" s="264"/>
      <c r="O57" s="265">
        <f>SUM(O54:O56)</f>
        <v>6107.5157589910214</v>
      </c>
      <c r="P57" s="266"/>
      <c r="Q57" s="253"/>
    </row>
    <row r="58" spans="1:17" x14ac:dyDescent="0.2">
      <c r="B58" s="562" t="s">
        <v>162</v>
      </c>
      <c r="C58" s="562"/>
      <c r="D58" s="267">
        <v>1620</v>
      </c>
      <c r="E58" s="268"/>
      <c r="G58" s="235"/>
      <c r="H58" s="261">
        <f>+H56/77</f>
        <v>16.992419401007158</v>
      </c>
      <c r="I58" s="269"/>
      <c r="J58" s="254"/>
      <c r="K58" s="262"/>
      <c r="L58" s="255"/>
      <c r="M58" s="255" t="s">
        <v>163</v>
      </c>
      <c r="N58" s="270"/>
      <c r="O58" s="252">
        <f>+H59</f>
        <v>1410.3708102835942</v>
      </c>
      <c r="P58" s="252"/>
      <c r="Q58" s="253"/>
    </row>
    <row r="59" spans="1:17" x14ac:dyDescent="0.2">
      <c r="B59" s="562" t="s">
        <v>164</v>
      </c>
      <c r="C59" s="562"/>
      <c r="D59" s="271">
        <v>1620</v>
      </c>
      <c r="E59" s="268"/>
      <c r="G59" s="235"/>
      <c r="H59" s="261">
        <f>+H58*83</f>
        <v>1410.3708102835942</v>
      </c>
      <c r="I59" s="269"/>
      <c r="J59" s="254"/>
      <c r="K59" s="262"/>
      <c r="L59" s="255"/>
      <c r="M59" s="563" t="s">
        <v>161</v>
      </c>
      <c r="N59" s="563"/>
      <c r="O59" s="252">
        <f>SUM(O57:O58)</f>
        <v>7517.8865692746158</v>
      </c>
      <c r="P59" s="252"/>
      <c r="Q59" s="253"/>
    </row>
    <row r="60" spans="1:17" ht="13.5" thickBot="1" x14ac:dyDescent="0.25">
      <c r="B60" s="554" t="s">
        <v>165</v>
      </c>
      <c r="C60" s="554"/>
      <c r="D60" s="267">
        <f>+D58/D59</f>
        <v>1</v>
      </c>
      <c r="E60" s="268"/>
      <c r="F60" s="272"/>
      <c r="G60" s="235"/>
      <c r="H60" s="261"/>
      <c r="I60" s="269"/>
      <c r="J60" s="254"/>
      <c r="K60" s="262"/>
      <c r="L60" s="563"/>
      <c r="M60" s="563"/>
      <c r="N60" s="270"/>
      <c r="O60" s="252">
        <f>+O59*N60</f>
        <v>0</v>
      </c>
      <c r="P60" s="252"/>
      <c r="Q60" s="253"/>
    </row>
    <row r="61" spans="1:17" ht="13.5" thickBot="1" x14ac:dyDescent="0.25">
      <c r="B61" s="554" t="s">
        <v>166</v>
      </c>
      <c r="C61" s="554"/>
      <c r="D61" s="273"/>
      <c r="E61" s="268"/>
      <c r="F61" s="272"/>
      <c r="G61" s="235"/>
      <c r="H61" s="261"/>
      <c r="I61" s="269"/>
      <c r="J61" s="254"/>
      <c r="K61" s="555" t="s">
        <v>167</v>
      </c>
      <c r="L61" s="556"/>
      <c r="M61" s="556"/>
      <c r="N61" s="557"/>
      <c r="O61" s="265">
        <f>SUM(O59:O60)</f>
        <v>7517.8865692746158</v>
      </c>
      <c r="P61" s="274" t="s">
        <v>168</v>
      </c>
      <c r="Q61" s="253"/>
    </row>
    <row r="62" spans="1:17" ht="13.5" thickBot="1" x14ac:dyDescent="0.25">
      <c r="C62" s="244" t="s">
        <v>169</v>
      </c>
      <c r="D62" s="275"/>
      <c r="E62" s="218" t="s">
        <v>170</v>
      </c>
      <c r="F62" s="276" t="s">
        <v>171</v>
      </c>
      <c r="G62" s="235"/>
      <c r="H62" s="261"/>
      <c r="I62" s="269"/>
      <c r="J62" s="277"/>
      <c r="K62" s="278"/>
      <c r="L62" s="543" t="s">
        <v>172</v>
      </c>
      <c r="M62" s="543"/>
      <c r="N62" s="543"/>
      <c r="O62" s="279">
        <f>+O61/D60</f>
        <v>7517.8865692746158</v>
      </c>
      <c r="P62" s="280">
        <f>+O62/D59</f>
        <v>4.6406707217744545</v>
      </c>
      <c r="Q62" s="281"/>
    </row>
    <row r="63" spans="1:17" ht="13.5" thickBot="1" x14ac:dyDescent="0.25">
      <c r="B63" s="544" t="s">
        <v>157</v>
      </c>
      <c r="C63" s="544"/>
      <c r="D63" s="544"/>
      <c r="E63" s="282">
        <f>+F63/F63</f>
        <v>1</v>
      </c>
      <c r="F63" s="283">
        <f>SUM(F55)</f>
        <v>4799.0994651134697</v>
      </c>
      <c r="G63" s="235">
        <f>+F63/$F$66</f>
        <v>0.885811366177093</v>
      </c>
      <c r="H63" s="261"/>
      <c r="I63" s="269"/>
      <c r="K63" s="545"/>
      <c r="L63" s="546"/>
      <c r="M63" s="546"/>
      <c r="N63" s="546"/>
      <c r="O63" s="284"/>
      <c r="P63" s="285"/>
    </row>
    <row r="64" spans="1:17" ht="13.5" thickBot="1" x14ac:dyDescent="0.3">
      <c r="B64" s="547" t="s">
        <v>173</v>
      </c>
      <c r="C64" s="547"/>
      <c r="D64" s="547"/>
      <c r="E64" s="286">
        <v>0.02</v>
      </c>
      <c r="F64" s="283">
        <f>+F53*E64</f>
        <v>79.644818102269397</v>
      </c>
      <c r="G64" s="235">
        <f>+F64/$F$66</f>
        <v>1.4700734095001559E-2</v>
      </c>
      <c r="H64" s="247"/>
      <c r="I64" s="269"/>
      <c r="J64" s="287"/>
      <c r="O64" s="288"/>
      <c r="P64" s="245"/>
    </row>
    <row r="65" spans="2:18" ht="13.5" thickBot="1" x14ac:dyDescent="0.3">
      <c r="B65" s="548" t="s">
        <v>174</v>
      </c>
      <c r="C65" s="549"/>
      <c r="D65" s="289">
        <v>7</v>
      </c>
      <c r="E65" s="290">
        <v>77</v>
      </c>
      <c r="F65" s="283">
        <f>+E65*D65</f>
        <v>539</v>
      </c>
      <c r="G65" s="235">
        <f>+F65/$F$66</f>
        <v>9.9487899727905366E-2</v>
      </c>
      <c r="H65" s="247"/>
      <c r="I65" s="247"/>
      <c r="J65" s="237"/>
    </row>
    <row r="66" spans="2:18" ht="13.5" thickBot="1" x14ac:dyDescent="0.3">
      <c r="B66" s="550" t="s">
        <v>175</v>
      </c>
      <c r="C66" s="551"/>
      <c r="D66" s="551"/>
      <c r="E66" s="552"/>
      <c r="F66" s="260">
        <f>SUM(F63:F65)</f>
        <v>5417.7442832157394</v>
      </c>
      <c r="G66" s="235">
        <f>+F66/$F$66</f>
        <v>1</v>
      </c>
      <c r="H66" s="553"/>
      <c r="I66" s="247"/>
      <c r="J66" s="237"/>
      <c r="M66" s="220" t="s">
        <v>176</v>
      </c>
      <c r="R66" s="472"/>
    </row>
    <row r="67" spans="2:18" x14ac:dyDescent="0.25">
      <c r="C67" s="242"/>
      <c r="D67" s="242"/>
      <c r="E67" s="292"/>
      <c r="F67" s="283"/>
      <c r="G67" s="235"/>
      <c r="H67" s="553"/>
      <c r="I67" s="291"/>
      <c r="J67" s="220"/>
      <c r="M67" s="220" t="s">
        <v>177</v>
      </c>
    </row>
    <row r="68" spans="2:18" ht="13.5" thickBot="1" x14ac:dyDescent="0.3">
      <c r="B68" s="538" t="s">
        <v>178</v>
      </c>
      <c r="C68" s="538"/>
      <c r="D68" s="538"/>
      <c r="E68" s="538"/>
      <c r="F68" s="538"/>
      <c r="G68" s="235"/>
      <c r="H68" s="294"/>
      <c r="I68" s="291"/>
      <c r="J68" s="220"/>
      <c r="M68" s="220" t="s">
        <v>179</v>
      </c>
    </row>
    <row r="69" spans="2:18" ht="13.5" thickBot="1" x14ac:dyDescent="0.3">
      <c r="B69" s="295" t="s">
        <v>180</v>
      </c>
      <c r="C69" s="296">
        <f>+F53</f>
        <v>3982.2409051134696</v>
      </c>
      <c r="D69" s="296">
        <f>+D58</f>
        <v>1620</v>
      </c>
      <c r="E69" s="297">
        <f>+C69/D69</f>
        <v>2.4581733982181913</v>
      </c>
      <c r="F69" s="235"/>
      <c r="G69" s="294"/>
      <c r="H69" s="237"/>
      <c r="I69" s="294"/>
      <c r="J69" s="220"/>
    </row>
    <row r="70" spans="2:18" x14ac:dyDescent="0.25">
      <c r="B70" s="298"/>
      <c r="C70" s="299"/>
      <c r="D70" s="300"/>
      <c r="E70" s="283"/>
      <c r="F70" s="235"/>
      <c r="G70" s="294"/>
      <c r="H70" s="237"/>
      <c r="I70" s="237"/>
      <c r="J70" s="220"/>
    </row>
    <row r="71" spans="2:18" x14ac:dyDescent="0.25">
      <c r="B71" s="295" t="s">
        <v>181</v>
      </c>
      <c r="C71" s="296">
        <f>SUM(F63:F64)</f>
        <v>4878.7442832157394</v>
      </c>
      <c r="D71" s="296">
        <f>+D58</f>
        <v>1620</v>
      </c>
      <c r="E71" s="301">
        <f>+C71/D71</f>
        <v>3.0115705451949011</v>
      </c>
      <c r="F71" s="235"/>
      <c r="G71" s="294"/>
      <c r="H71" s="237"/>
      <c r="I71" s="237"/>
      <c r="J71" s="220"/>
    </row>
    <row r="72" spans="2:18" x14ac:dyDescent="0.25">
      <c r="B72" s="295"/>
      <c r="C72" s="296"/>
      <c r="D72" s="296"/>
      <c r="E72" s="301"/>
      <c r="F72" s="235"/>
      <c r="G72" s="294"/>
      <c r="H72" s="237"/>
      <c r="I72" s="237"/>
      <c r="J72" s="220"/>
    </row>
    <row r="73" spans="2:18" ht="13.5" thickBot="1" x14ac:dyDescent="0.3">
      <c r="B73" s="295" t="s">
        <v>182</v>
      </c>
      <c r="C73" s="296">
        <f>+F65</f>
        <v>539</v>
      </c>
      <c r="D73" s="296">
        <f>+D58</f>
        <v>1620</v>
      </c>
      <c r="E73" s="301">
        <f>+C73/D73</f>
        <v>0.33271604938271604</v>
      </c>
      <c r="F73" s="235"/>
      <c r="G73" s="294"/>
      <c r="H73" s="237"/>
      <c r="I73" s="237"/>
      <c r="J73" s="220"/>
    </row>
    <row r="74" spans="2:18" ht="13.5" thickBot="1" x14ac:dyDescent="0.3">
      <c r="B74" s="295" t="s">
        <v>183</v>
      </c>
      <c r="C74" s="296">
        <f>+F56</f>
        <v>1308.4162938775512</v>
      </c>
      <c r="D74" s="296">
        <f>+D73</f>
        <v>1620</v>
      </c>
      <c r="E74" s="297">
        <f>+C74/D74</f>
        <v>0.80766437893676002</v>
      </c>
      <c r="F74" s="235"/>
      <c r="G74" s="294"/>
      <c r="H74" s="237"/>
      <c r="I74" s="237"/>
      <c r="J74" s="220"/>
    </row>
    <row r="75" spans="2:18" ht="13.5" thickBot="1" x14ac:dyDescent="0.3">
      <c r="B75" s="259"/>
      <c r="C75" s="260"/>
      <c r="D75" s="260"/>
      <c r="E75" s="301"/>
      <c r="F75" s="235"/>
      <c r="G75" s="294"/>
      <c r="H75" s="237"/>
      <c r="I75" s="237"/>
      <c r="J75" s="220"/>
    </row>
    <row r="76" spans="2:18" ht="13.5" thickBot="1" x14ac:dyDescent="0.3">
      <c r="B76" s="295" t="s">
        <v>184</v>
      </c>
      <c r="C76" s="296">
        <f>+F54</f>
        <v>816.8585599999999</v>
      </c>
      <c r="D76" s="296">
        <f>+D74</f>
        <v>1620</v>
      </c>
      <c r="E76" s="297">
        <f>+C76/D76</f>
        <v>0.50423367901234561</v>
      </c>
      <c r="F76" s="235"/>
      <c r="G76" s="294"/>
      <c r="H76" s="237"/>
      <c r="I76" s="237"/>
      <c r="J76" s="237"/>
    </row>
    <row r="77" spans="2:18" ht="13.5" thickBot="1" x14ac:dyDescent="0.3">
      <c r="B77" s="259"/>
      <c r="C77" s="260"/>
      <c r="D77" s="260"/>
      <c r="E77" s="301"/>
      <c r="F77" s="235"/>
      <c r="G77" s="294"/>
      <c r="H77" s="237"/>
      <c r="I77" s="237"/>
    </row>
    <row r="78" spans="2:18" ht="13.5" thickBot="1" x14ac:dyDescent="0.3">
      <c r="B78" s="539" t="s">
        <v>185</v>
      </c>
      <c r="C78" s="540"/>
      <c r="D78" s="541"/>
      <c r="E78" s="297">
        <f>+E69+E74</f>
        <v>3.2658377771549514</v>
      </c>
      <c r="G78" s="235"/>
      <c r="H78" s="294"/>
      <c r="I78" s="237"/>
      <c r="J78" s="301"/>
    </row>
    <row r="79" spans="2:18" x14ac:dyDescent="0.25">
      <c r="I79" s="294"/>
      <c r="J79" s="220"/>
    </row>
    <row r="80" spans="2:18" ht="13.5" thickBot="1" x14ac:dyDescent="0.3">
      <c r="B80" s="538" t="s">
        <v>186</v>
      </c>
      <c r="C80" s="538"/>
      <c r="D80" s="538"/>
      <c r="E80" s="538"/>
      <c r="F80" s="538"/>
      <c r="G80" s="235"/>
      <c r="H80" s="294"/>
      <c r="J80" s="220"/>
    </row>
    <row r="81" spans="1:10" ht="13.5" thickBot="1" x14ac:dyDescent="0.3">
      <c r="B81" s="295" t="s">
        <v>180</v>
      </c>
      <c r="C81" s="296">
        <f>+C69</f>
        <v>3982.2409051134696</v>
      </c>
      <c r="D81" s="296">
        <f>+D60</f>
        <v>1</v>
      </c>
      <c r="E81" s="297">
        <f>+C81/D81</f>
        <v>3982.2409051134696</v>
      </c>
      <c r="F81" s="235"/>
      <c r="G81" s="294"/>
      <c r="H81" s="237"/>
      <c r="I81" s="294"/>
      <c r="J81" s="220"/>
    </row>
    <row r="82" spans="1:10" x14ac:dyDescent="0.25">
      <c r="B82" s="298"/>
      <c r="C82" s="299"/>
      <c r="D82" s="300"/>
      <c r="E82" s="283"/>
      <c r="F82" s="235"/>
      <c r="G82" s="294"/>
      <c r="H82" s="237"/>
      <c r="I82" s="237"/>
      <c r="J82" s="220"/>
    </row>
    <row r="83" spans="1:10" x14ac:dyDescent="0.25">
      <c r="B83" s="295" t="s">
        <v>181</v>
      </c>
      <c r="C83" s="296">
        <f>+C71</f>
        <v>4878.7442832157394</v>
      </c>
      <c r="D83" s="296">
        <f>+D60</f>
        <v>1</v>
      </c>
      <c r="E83" s="301">
        <f>+C83/D83</f>
        <v>4878.7442832157394</v>
      </c>
      <c r="F83" s="235"/>
      <c r="G83" s="294"/>
      <c r="H83" s="237"/>
      <c r="I83" s="237"/>
      <c r="J83" s="220"/>
    </row>
    <row r="84" spans="1:10" x14ac:dyDescent="0.25">
      <c r="B84" s="295"/>
      <c r="C84" s="296"/>
      <c r="D84" s="296"/>
      <c r="E84" s="301"/>
      <c r="F84" s="235"/>
      <c r="G84" s="294"/>
      <c r="H84" s="237"/>
      <c r="I84" s="237"/>
      <c r="J84" s="220"/>
    </row>
    <row r="85" spans="1:10" ht="13.5" thickBot="1" x14ac:dyDescent="0.3">
      <c r="B85" s="295" t="s">
        <v>183</v>
      </c>
      <c r="C85" s="296">
        <f>+C73</f>
        <v>539</v>
      </c>
      <c r="D85" s="296">
        <f>+D60</f>
        <v>1</v>
      </c>
      <c r="E85" s="301">
        <f>+C85/D85</f>
        <v>539</v>
      </c>
      <c r="F85" s="303"/>
      <c r="G85" s="293"/>
      <c r="H85" s="219"/>
      <c r="I85" s="237"/>
    </row>
    <row r="86" spans="1:10" ht="13.5" thickBot="1" x14ac:dyDescent="0.3">
      <c r="B86" s="295" t="s">
        <v>183</v>
      </c>
      <c r="C86" s="296">
        <f>+C74</f>
        <v>1308.4162938775512</v>
      </c>
      <c r="D86" s="296">
        <f>+D85</f>
        <v>1</v>
      </c>
      <c r="E86" s="297">
        <f>+C86/D86</f>
        <v>1308.4162938775512</v>
      </c>
      <c r="F86" s="302"/>
      <c r="G86" s="293"/>
      <c r="H86" s="219"/>
      <c r="I86" s="219"/>
    </row>
    <row r="87" spans="1:10" x14ac:dyDescent="0.25">
      <c r="I87" s="219"/>
    </row>
    <row r="88" spans="1:10" x14ac:dyDescent="0.2">
      <c r="A88" s="542"/>
      <c r="B88" s="542"/>
      <c r="C88" s="304"/>
      <c r="D88" s="304"/>
      <c r="E88" s="305"/>
      <c r="G88" s="306"/>
    </row>
    <row r="89" spans="1:10" x14ac:dyDescent="0.2">
      <c r="A89" s="238"/>
      <c r="B89" s="307"/>
      <c r="C89" s="308"/>
      <c r="D89" s="308"/>
      <c r="E89" s="309"/>
      <c r="G89" s="306"/>
    </row>
    <row r="90" spans="1:10" x14ac:dyDescent="0.2">
      <c r="A90" s="238"/>
      <c r="B90" s="307"/>
      <c r="C90" s="310"/>
      <c r="D90" s="310"/>
      <c r="E90" s="238"/>
      <c r="G90" s="306"/>
    </row>
    <row r="91" spans="1:10" x14ac:dyDescent="0.2">
      <c r="A91" s="238"/>
      <c r="B91" s="307"/>
      <c r="C91" s="311"/>
      <c r="D91" s="311"/>
      <c r="E91" s="238"/>
      <c r="G91" s="30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21D5-B2CD-4C34-B913-13F992765DF9}">
  <dimension ref="A1:I57"/>
  <sheetViews>
    <sheetView workbookViewId="0">
      <selection activeCell="B10" sqref="B10"/>
    </sheetView>
  </sheetViews>
  <sheetFormatPr baseColWidth="10" defaultRowHeight="15" x14ac:dyDescent="0.25"/>
  <cols>
    <col min="2" max="2" width="16.28515625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46"/>
      <c r="B1" s="647"/>
      <c r="C1" s="652" t="s">
        <v>33</v>
      </c>
      <c r="D1" s="652"/>
      <c r="E1" s="652"/>
      <c r="F1" s="652"/>
      <c r="G1" s="652"/>
      <c r="H1" s="15" t="s">
        <v>32</v>
      </c>
      <c r="I1" s="16"/>
    </row>
    <row r="2" spans="1:9" ht="18" customHeight="1" thickBot="1" x14ac:dyDescent="0.3">
      <c r="A2" s="648"/>
      <c r="B2" s="649"/>
      <c r="C2" s="653" t="s">
        <v>31</v>
      </c>
      <c r="D2" s="654"/>
      <c r="E2" s="654"/>
      <c r="F2" s="654"/>
      <c r="G2" s="655"/>
      <c r="H2" s="17" t="s">
        <v>30</v>
      </c>
      <c r="I2" s="18"/>
    </row>
    <row r="3" spans="1:9" ht="31.5" customHeight="1" thickBot="1" x14ac:dyDescent="0.3">
      <c r="A3" s="648"/>
      <c r="B3" s="649"/>
      <c r="C3" s="656" t="s">
        <v>72</v>
      </c>
      <c r="D3" s="657"/>
      <c r="E3" s="657"/>
      <c r="F3" s="657"/>
      <c r="G3" s="658"/>
      <c r="H3" s="659" t="s">
        <v>29</v>
      </c>
      <c r="I3" s="637"/>
    </row>
    <row r="4" spans="1:9" ht="18" customHeight="1" x14ac:dyDescent="0.25">
      <c r="A4" s="648"/>
      <c r="B4" s="649"/>
      <c r="C4" s="19" t="s">
        <v>28</v>
      </c>
      <c r="D4" s="640" t="s">
        <v>69</v>
      </c>
      <c r="E4" s="641"/>
      <c r="F4" s="641"/>
      <c r="G4" s="642"/>
      <c r="H4" s="660"/>
      <c r="I4" s="638"/>
    </row>
    <row r="5" spans="1:9" ht="15.75" thickBot="1" x14ac:dyDescent="0.3">
      <c r="A5" s="650"/>
      <c r="B5" s="651"/>
      <c r="C5" s="20" t="s">
        <v>27</v>
      </c>
      <c r="D5" s="643" t="s">
        <v>26</v>
      </c>
      <c r="E5" s="644"/>
      <c r="F5" s="644"/>
      <c r="G5" s="645"/>
      <c r="H5" s="661"/>
      <c r="I5" s="639"/>
    </row>
    <row r="6" spans="1:9" ht="18.75" thickBot="1" x14ac:dyDescent="0.3">
      <c r="A6" s="518" t="s">
        <v>25</v>
      </c>
      <c r="B6" s="518"/>
      <c r="C6" s="518"/>
      <c r="D6" s="519" t="s">
        <v>39</v>
      </c>
      <c r="E6" s="519"/>
      <c r="F6" s="519"/>
      <c r="G6" s="517" t="s">
        <v>24</v>
      </c>
      <c r="H6" s="517"/>
      <c r="I6" s="21" t="s">
        <v>39</v>
      </c>
    </row>
    <row r="7" spans="1:9" ht="14.45" customHeight="1" x14ac:dyDescent="0.25">
      <c r="A7" s="631" t="s">
        <v>23</v>
      </c>
      <c r="B7" s="633" t="s">
        <v>34</v>
      </c>
      <c r="C7" s="635" t="s">
        <v>22</v>
      </c>
      <c r="D7" s="635" t="s">
        <v>21</v>
      </c>
      <c r="E7" s="635" t="s">
        <v>20</v>
      </c>
      <c r="F7" s="635"/>
      <c r="G7" s="635" t="s">
        <v>19</v>
      </c>
      <c r="H7" s="635"/>
      <c r="I7" s="22" t="s">
        <v>18</v>
      </c>
    </row>
    <row r="8" spans="1:9" ht="27" thickBot="1" x14ac:dyDescent="0.3">
      <c r="A8" s="632"/>
      <c r="B8" s="634"/>
      <c r="C8" s="636"/>
      <c r="D8" s="636"/>
      <c r="E8" s="23" t="s">
        <v>14</v>
      </c>
      <c r="F8" s="24" t="s">
        <v>17</v>
      </c>
      <c r="G8" s="23" t="s">
        <v>14</v>
      </c>
      <c r="H8" s="24" t="s">
        <v>17</v>
      </c>
      <c r="I8" s="25" t="s">
        <v>16</v>
      </c>
    </row>
    <row r="9" spans="1:9" ht="18.600000000000001" customHeight="1" x14ac:dyDescent="0.25">
      <c r="A9" s="26"/>
      <c r="B9" s="27"/>
      <c r="C9" s="28" t="s">
        <v>35</v>
      </c>
      <c r="D9" s="29"/>
      <c r="E9" s="11"/>
      <c r="F9" s="12"/>
      <c r="G9" s="11"/>
      <c r="H9" s="12"/>
      <c r="I9" s="30"/>
    </row>
    <row r="10" spans="1:9" ht="18" customHeight="1" x14ac:dyDescent="0.25">
      <c r="A10" s="31"/>
      <c r="B10" s="2" t="s">
        <v>67</v>
      </c>
      <c r="C10" s="1" t="s">
        <v>68</v>
      </c>
      <c r="D10" s="32" t="s">
        <v>15</v>
      </c>
      <c r="E10" s="33">
        <v>10500</v>
      </c>
      <c r="F10" s="34" t="s">
        <v>1</v>
      </c>
      <c r="G10" s="35"/>
      <c r="H10" s="36"/>
      <c r="I10" s="30"/>
    </row>
    <row r="11" spans="1:9" x14ac:dyDescent="0.25">
      <c r="A11" s="32"/>
      <c r="B11" s="32"/>
      <c r="C11" s="37"/>
      <c r="D11" s="32"/>
      <c r="E11" s="33"/>
      <c r="F11" s="34"/>
      <c r="G11" s="35"/>
      <c r="H11" s="36"/>
      <c r="I11" s="30"/>
    </row>
    <row r="12" spans="1:9" x14ac:dyDescent="0.25">
      <c r="A12" s="32"/>
      <c r="B12" s="32"/>
      <c r="C12" s="37"/>
      <c r="D12" s="32"/>
      <c r="E12" s="33"/>
      <c r="F12" s="34"/>
      <c r="G12" s="35"/>
      <c r="H12" s="36"/>
      <c r="I12" s="30"/>
    </row>
    <row r="13" spans="1:9" x14ac:dyDescent="0.25">
      <c r="A13" s="32"/>
      <c r="B13" s="32"/>
      <c r="C13" s="37"/>
      <c r="D13" s="32"/>
      <c r="E13" s="33"/>
      <c r="F13" s="34"/>
      <c r="G13" s="35"/>
      <c r="H13" s="36"/>
      <c r="I13" s="30"/>
    </row>
    <row r="14" spans="1:9" x14ac:dyDescent="0.25">
      <c r="A14" s="32"/>
      <c r="B14" s="32"/>
      <c r="C14" s="37"/>
      <c r="D14" s="32"/>
      <c r="E14" s="33"/>
      <c r="F14" s="34"/>
      <c r="G14" s="35"/>
      <c r="H14" s="36"/>
      <c r="I14" s="30"/>
    </row>
    <row r="15" spans="1:9" x14ac:dyDescent="0.25">
      <c r="A15" s="32"/>
      <c r="B15" s="32"/>
      <c r="C15" s="37"/>
      <c r="D15" s="32"/>
      <c r="E15" s="33"/>
      <c r="F15" s="34"/>
      <c r="G15" s="35"/>
      <c r="H15" s="36"/>
      <c r="I15" s="30"/>
    </row>
    <row r="16" spans="1:9" x14ac:dyDescent="0.25">
      <c r="A16" s="32"/>
      <c r="B16" s="32"/>
      <c r="C16" s="37"/>
      <c r="D16" s="32"/>
      <c r="E16" s="33"/>
      <c r="F16" s="34"/>
      <c r="G16" s="35"/>
      <c r="H16" s="36"/>
      <c r="I16" s="30"/>
    </row>
    <row r="17" spans="1:9" x14ac:dyDescent="0.25">
      <c r="A17" s="32"/>
      <c r="B17" s="32"/>
      <c r="C17" s="37"/>
      <c r="D17" s="32"/>
      <c r="E17" s="33"/>
      <c r="F17" s="34"/>
      <c r="G17" s="35"/>
      <c r="H17" s="36"/>
      <c r="I17" s="30"/>
    </row>
    <row r="18" spans="1:9" x14ac:dyDescent="0.25">
      <c r="A18" s="32"/>
      <c r="B18" s="32"/>
      <c r="C18" s="37"/>
      <c r="D18" s="32"/>
      <c r="E18" s="33"/>
      <c r="F18" s="34"/>
      <c r="G18" s="35"/>
      <c r="H18" s="36"/>
      <c r="I18" s="30"/>
    </row>
    <row r="19" spans="1:9" x14ac:dyDescent="0.25">
      <c r="A19" s="32"/>
      <c r="B19" s="32"/>
      <c r="C19" s="37"/>
      <c r="D19" s="32"/>
      <c r="E19" s="33"/>
      <c r="F19" s="34"/>
      <c r="G19" s="35"/>
      <c r="H19" s="36"/>
      <c r="I19" s="30"/>
    </row>
    <row r="20" spans="1:9" ht="15.75" x14ac:dyDescent="0.25">
      <c r="A20" s="38"/>
      <c r="B20" s="38"/>
      <c r="C20" s="1"/>
      <c r="D20" s="3"/>
      <c r="E20" s="3"/>
      <c r="F20" s="3"/>
      <c r="G20" s="7"/>
      <c r="H20" s="36"/>
      <c r="I20" s="30"/>
    </row>
    <row r="21" spans="1:9" ht="15.75" x14ac:dyDescent="0.25">
      <c r="A21" s="39"/>
      <c r="B21" s="40"/>
      <c r="C21" s="41" t="s">
        <v>40</v>
      </c>
      <c r="D21" s="3"/>
      <c r="E21" s="3"/>
      <c r="F21" s="3"/>
      <c r="G21" s="7"/>
      <c r="H21" s="36"/>
      <c r="I21" s="30"/>
    </row>
    <row r="22" spans="1:9" x14ac:dyDescent="0.25">
      <c r="A22" s="31"/>
      <c r="B22" s="2"/>
      <c r="C22" s="1"/>
      <c r="D22" s="42"/>
      <c r="E22" s="42"/>
      <c r="F22" s="42"/>
      <c r="G22" s="11"/>
      <c r="H22" s="36"/>
      <c r="I22" s="30"/>
    </row>
    <row r="23" spans="1:9" x14ac:dyDescent="0.25">
      <c r="A23" s="43"/>
      <c r="B23" s="38"/>
      <c r="C23" s="1"/>
      <c r="D23" s="42"/>
      <c r="E23" s="42"/>
      <c r="F23" s="42"/>
      <c r="G23" s="11"/>
      <c r="H23" s="36"/>
      <c r="I23" s="30"/>
    </row>
    <row r="24" spans="1:9" x14ac:dyDescent="0.25">
      <c r="A24" s="43"/>
      <c r="B24" s="38"/>
      <c r="C24" s="1"/>
      <c r="D24" s="42"/>
      <c r="E24" s="42"/>
      <c r="F24" s="42"/>
      <c r="G24" s="11"/>
      <c r="H24" s="36"/>
      <c r="I24" s="30"/>
    </row>
    <row r="25" spans="1:9" ht="15.75" x14ac:dyDescent="0.25">
      <c r="A25" s="39"/>
      <c r="B25" s="40"/>
      <c r="C25" s="41"/>
      <c r="D25" s="44"/>
      <c r="E25" s="45"/>
      <c r="F25" s="46"/>
      <c r="G25" s="11"/>
      <c r="H25" s="36"/>
      <c r="I25" s="30"/>
    </row>
    <row r="26" spans="1:9" x14ac:dyDescent="0.25">
      <c r="A26" s="47"/>
      <c r="B26" s="48"/>
      <c r="C26" s="49"/>
      <c r="D26" s="50"/>
      <c r="E26" s="51"/>
      <c r="F26" s="52"/>
      <c r="G26" s="11"/>
      <c r="H26" s="36"/>
      <c r="I26" s="30"/>
    </row>
    <row r="27" spans="1:9" x14ac:dyDescent="0.25">
      <c r="A27" s="2"/>
      <c r="B27" s="2"/>
      <c r="C27" s="1"/>
      <c r="D27" s="14"/>
      <c r="E27" s="6"/>
      <c r="F27" s="53"/>
      <c r="G27" s="11"/>
      <c r="H27" s="36"/>
      <c r="I27" s="30"/>
    </row>
    <row r="28" spans="1:9" ht="15.75" x14ac:dyDescent="0.25">
      <c r="A28" s="54"/>
      <c r="B28" s="55"/>
      <c r="C28" s="56" t="s">
        <v>41</v>
      </c>
      <c r="D28" s="57"/>
      <c r="E28" s="58"/>
      <c r="F28" s="12"/>
      <c r="G28" s="11"/>
      <c r="H28" s="36"/>
      <c r="I28" s="30"/>
    </row>
    <row r="29" spans="1:9" x14ac:dyDescent="0.25">
      <c r="A29" s="59" t="s">
        <v>42</v>
      </c>
      <c r="B29" s="60" t="s">
        <v>189</v>
      </c>
      <c r="C29" s="61" t="s">
        <v>43</v>
      </c>
      <c r="D29" s="10" t="s">
        <v>15</v>
      </c>
      <c r="E29" s="8">
        <v>1300</v>
      </c>
      <c r="F29" s="9" t="s">
        <v>1</v>
      </c>
      <c r="G29" s="62"/>
      <c r="H29" s="36"/>
      <c r="I29" s="30"/>
    </row>
    <row r="30" spans="1:9" x14ac:dyDescent="0.25">
      <c r="A30" s="59">
        <v>1950928</v>
      </c>
      <c r="B30" s="60" t="s">
        <v>44</v>
      </c>
      <c r="C30" s="61" t="s">
        <v>45</v>
      </c>
      <c r="D30" s="10" t="s">
        <v>46</v>
      </c>
      <c r="E30" s="8">
        <v>6</v>
      </c>
      <c r="F30" s="9" t="s">
        <v>6</v>
      </c>
      <c r="G30" s="62"/>
      <c r="H30" s="36"/>
      <c r="I30" s="30"/>
    </row>
    <row r="31" spans="1:9" x14ac:dyDescent="0.25">
      <c r="A31" s="63" t="s">
        <v>47</v>
      </c>
      <c r="B31" s="64" t="s">
        <v>48</v>
      </c>
      <c r="C31" s="65" t="s">
        <v>49</v>
      </c>
      <c r="D31" s="10" t="s">
        <v>50</v>
      </c>
      <c r="E31" s="8">
        <v>6</v>
      </c>
      <c r="F31" s="9" t="s">
        <v>6</v>
      </c>
      <c r="G31" s="62"/>
      <c r="H31" s="36"/>
      <c r="I31" s="30"/>
    </row>
    <row r="32" spans="1:9" x14ac:dyDescent="0.25">
      <c r="A32" s="66" t="s">
        <v>51</v>
      </c>
      <c r="B32" s="66" t="s">
        <v>52</v>
      </c>
      <c r="C32" s="67" t="s">
        <v>53</v>
      </c>
      <c r="D32" s="10" t="s">
        <v>54</v>
      </c>
      <c r="E32" s="8">
        <v>6</v>
      </c>
      <c r="F32" s="9" t="s">
        <v>6</v>
      </c>
      <c r="G32" s="11"/>
      <c r="H32" s="36"/>
      <c r="I32" s="30"/>
    </row>
    <row r="33" spans="1:9" x14ac:dyDescent="0.25">
      <c r="A33" s="66"/>
      <c r="B33" s="66"/>
      <c r="C33" s="67"/>
      <c r="D33" s="10"/>
      <c r="E33" s="8"/>
      <c r="F33" s="9"/>
      <c r="G33" s="11"/>
      <c r="H33" s="36"/>
      <c r="I33" s="30"/>
    </row>
    <row r="34" spans="1:9" x14ac:dyDescent="0.25">
      <c r="A34" s="66"/>
      <c r="B34" s="66"/>
      <c r="C34" s="67"/>
      <c r="D34" s="10"/>
      <c r="E34" s="8"/>
      <c r="F34" s="9"/>
      <c r="G34" s="68"/>
      <c r="H34" s="36"/>
      <c r="I34" s="30"/>
    </row>
    <row r="35" spans="1:9" ht="15.75" x14ac:dyDescent="0.25">
      <c r="A35" s="66"/>
      <c r="B35" s="66"/>
      <c r="C35" s="67"/>
      <c r="D35" s="3"/>
      <c r="E35" s="8"/>
      <c r="F35" s="9"/>
      <c r="G35" s="69"/>
      <c r="H35" s="36"/>
      <c r="I35" s="30"/>
    </row>
    <row r="36" spans="1:9" x14ac:dyDescent="0.25">
      <c r="A36" s="70"/>
      <c r="B36" s="70"/>
      <c r="C36" s="71"/>
      <c r="D36" s="10"/>
      <c r="E36" s="53"/>
      <c r="F36" s="53"/>
      <c r="G36" s="69"/>
      <c r="H36" s="12"/>
      <c r="I36" s="30"/>
    </row>
    <row r="37" spans="1:9" ht="15.75" thickBot="1" x14ac:dyDescent="0.3">
      <c r="A37" s="72"/>
      <c r="B37" s="73"/>
      <c r="C37" s="74" t="s">
        <v>55</v>
      </c>
      <c r="D37" s="74"/>
      <c r="E37" s="75"/>
      <c r="F37" s="76"/>
      <c r="G37" s="74"/>
      <c r="H37" s="74"/>
      <c r="I37" s="77"/>
    </row>
    <row r="38" spans="1:9" ht="15.75" thickBot="1" x14ac:dyDescent="0.3">
      <c r="A38" s="78"/>
      <c r="B38" s="79"/>
      <c r="C38" s="80" t="s">
        <v>55</v>
      </c>
      <c r="D38" s="81" t="s">
        <v>14</v>
      </c>
      <c r="E38" s="82" t="s">
        <v>13</v>
      </c>
      <c r="F38" s="83"/>
      <c r="G38" s="80"/>
      <c r="H38" s="80"/>
      <c r="I38" s="84"/>
    </row>
    <row r="39" spans="1:9" x14ac:dyDescent="0.25">
      <c r="A39" s="625" t="s">
        <v>12</v>
      </c>
      <c r="B39" s="626"/>
      <c r="C39" s="627"/>
      <c r="D39" s="85">
        <v>10500</v>
      </c>
      <c r="E39" s="86" t="s">
        <v>1</v>
      </c>
      <c r="F39" s="628" t="s">
        <v>11</v>
      </c>
      <c r="G39" s="628"/>
      <c r="H39" s="629"/>
      <c r="I39" s="630"/>
    </row>
    <row r="40" spans="1:9" x14ac:dyDescent="0.25">
      <c r="A40" s="604" t="s">
        <v>10</v>
      </c>
      <c r="B40" s="605"/>
      <c r="C40" s="606"/>
      <c r="D40" s="7">
        <v>29</v>
      </c>
      <c r="E40" s="7" t="s">
        <v>9</v>
      </c>
      <c r="F40" s="607" t="s">
        <v>8</v>
      </c>
      <c r="G40" s="607"/>
      <c r="H40" s="608"/>
      <c r="I40" s="609"/>
    </row>
    <row r="41" spans="1:9" x14ac:dyDescent="0.25">
      <c r="A41" s="604" t="s">
        <v>7</v>
      </c>
      <c r="B41" s="605"/>
      <c r="C41" s="606"/>
      <c r="D41" s="6">
        <f>D39/D42</f>
        <v>37.5</v>
      </c>
      <c r="E41" s="7" t="s">
        <v>6</v>
      </c>
      <c r="F41" s="607" t="s">
        <v>5</v>
      </c>
      <c r="G41" s="607"/>
      <c r="H41" s="608"/>
      <c r="I41" s="609"/>
    </row>
    <row r="42" spans="1:9" x14ac:dyDescent="0.25">
      <c r="A42" s="604" t="s">
        <v>4</v>
      </c>
      <c r="B42" s="605"/>
      <c r="C42" s="606"/>
      <c r="D42" s="6">
        <v>280</v>
      </c>
      <c r="E42" s="7" t="s">
        <v>1</v>
      </c>
      <c r="F42" s="610" t="s">
        <v>3</v>
      </c>
      <c r="G42" s="611"/>
      <c r="H42" s="612"/>
      <c r="I42" s="613"/>
    </row>
    <row r="43" spans="1:9" ht="15.75" thickBot="1" x14ac:dyDescent="0.3">
      <c r="A43" s="614" t="s">
        <v>2</v>
      </c>
      <c r="B43" s="615"/>
      <c r="C43" s="616"/>
      <c r="D43" s="87">
        <v>0</v>
      </c>
      <c r="E43" s="88" t="s">
        <v>1</v>
      </c>
      <c r="F43" s="617"/>
      <c r="G43" s="617"/>
      <c r="H43" s="608"/>
      <c r="I43" s="609"/>
    </row>
    <row r="44" spans="1:9" ht="15.75" thickBot="1" x14ac:dyDescent="0.3">
      <c r="A44" s="618" t="s">
        <v>0</v>
      </c>
      <c r="B44" s="619"/>
      <c r="C44" s="619"/>
      <c r="D44" s="619"/>
      <c r="E44" s="619"/>
      <c r="F44" s="619"/>
      <c r="G44" s="619"/>
      <c r="H44" s="619"/>
      <c r="I44" s="620"/>
    </row>
    <row r="45" spans="1:9" ht="14.45" customHeight="1" x14ac:dyDescent="0.25">
      <c r="A45" s="621" t="s">
        <v>70</v>
      </c>
      <c r="B45" s="622"/>
      <c r="C45" s="623"/>
      <c r="D45" s="623"/>
      <c r="E45" s="623"/>
      <c r="F45" s="623"/>
      <c r="G45" s="623"/>
      <c r="H45" s="623"/>
      <c r="I45" s="624"/>
    </row>
    <row r="46" spans="1:9" ht="15.6" customHeight="1" x14ac:dyDescent="0.25">
      <c r="A46" s="600" t="s">
        <v>71</v>
      </c>
      <c r="B46" s="601"/>
      <c r="C46" s="602"/>
      <c r="D46" s="602"/>
      <c r="E46" s="602"/>
      <c r="F46" s="602"/>
      <c r="G46" s="602"/>
      <c r="H46" s="602"/>
      <c r="I46" s="603"/>
    </row>
    <row r="47" spans="1:9" ht="14.45" customHeight="1" x14ac:dyDescent="0.25">
      <c r="A47" s="584" t="s">
        <v>56</v>
      </c>
      <c r="B47" s="585"/>
      <c r="C47" s="585"/>
      <c r="D47" s="585"/>
      <c r="E47" s="585"/>
      <c r="F47" s="585"/>
      <c r="G47" s="585"/>
      <c r="H47" s="585"/>
      <c r="I47" s="586"/>
    </row>
    <row r="48" spans="1:9" x14ac:dyDescent="0.25">
      <c r="A48" s="587"/>
      <c r="B48" s="588"/>
      <c r="C48" s="589"/>
      <c r="D48" s="589"/>
      <c r="E48" s="589"/>
      <c r="F48" s="589"/>
      <c r="G48" s="589"/>
      <c r="H48" s="589"/>
      <c r="I48" s="590"/>
    </row>
    <row r="49" spans="1:9" x14ac:dyDescent="0.25">
      <c r="A49" s="591"/>
      <c r="B49" s="592"/>
      <c r="C49" s="593"/>
      <c r="D49" s="593"/>
      <c r="E49" s="593"/>
      <c r="F49" s="593"/>
      <c r="G49" s="593"/>
      <c r="H49" s="593"/>
      <c r="I49" s="594"/>
    </row>
    <row r="50" spans="1:9" ht="14.45" customHeight="1" x14ac:dyDescent="0.25">
      <c r="A50" s="595"/>
      <c r="B50" s="580"/>
      <c r="C50" s="580"/>
      <c r="D50" s="580"/>
      <c r="E50" s="580"/>
      <c r="F50" s="580"/>
      <c r="G50" s="580"/>
      <c r="H50" s="580"/>
      <c r="I50" s="581"/>
    </row>
    <row r="51" spans="1:9" ht="14.45" customHeight="1" x14ac:dyDescent="0.25">
      <c r="A51" s="596"/>
      <c r="B51" s="597"/>
      <c r="C51" s="598"/>
      <c r="D51" s="598"/>
      <c r="E51" s="598"/>
      <c r="F51" s="598"/>
      <c r="G51" s="598"/>
      <c r="H51" s="598"/>
      <c r="I51" s="599"/>
    </row>
    <row r="52" spans="1:9" ht="18" customHeight="1" x14ac:dyDescent="0.25">
      <c r="A52" s="571"/>
      <c r="B52" s="572"/>
      <c r="C52" s="573"/>
      <c r="D52" s="573"/>
      <c r="E52" s="573"/>
      <c r="F52" s="573"/>
      <c r="G52" s="573"/>
      <c r="H52" s="573"/>
      <c r="I52" s="574"/>
    </row>
    <row r="53" spans="1:9" ht="14.45" customHeight="1" thickBot="1" x14ac:dyDescent="0.3">
      <c r="A53" s="575"/>
      <c r="B53" s="576"/>
      <c r="C53" s="577"/>
      <c r="D53" s="577"/>
      <c r="E53" s="577"/>
      <c r="F53" s="577"/>
      <c r="G53" s="577"/>
      <c r="H53" s="577"/>
      <c r="I53" s="578"/>
    </row>
    <row r="54" spans="1:9" ht="14.45" customHeight="1" thickBot="1" x14ac:dyDescent="0.3">
      <c r="A54" s="579"/>
      <c r="B54" s="580"/>
      <c r="C54" s="580"/>
      <c r="D54" s="580"/>
      <c r="E54" s="580"/>
      <c r="F54" s="580"/>
      <c r="G54" s="580"/>
      <c r="H54" s="580"/>
      <c r="I54" s="581"/>
    </row>
    <row r="55" spans="1:9" ht="14.45" customHeight="1" x14ac:dyDescent="0.25">
      <c r="A55" s="582" t="s">
        <v>36</v>
      </c>
      <c r="B55" s="583"/>
      <c r="C55" s="583"/>
      <c r="D55" s="583"/>
      <c r="E55" s="583"/>
      <c r="F55" s="583"/>
      <c r="G55" s="583"/>
      <c r="H55" s="583"/>
      <c r="I55" s="583"/>
    </row>
    <row r="56" spans="1:9" x14ac:dyDescent="0.25">
      <c r="A56" s="569"/>
      <c r="B56" s="570"/>
      <c r="C56" s="570"/>
      <c r="D56" s="570"/>
      <c r="E56" s="570"/>
      <c r="F56" s="570"/>
      <c r="G56" s="570"/>
      <c r="H56" s="570"/>
      <c r="I56" s="570"/>
    </row>
    <row r="57" spans="1:9" x14ac:dyDescent="0.25">
      <c r="A57" s="569"/>
      <c r="B57" s="570"/>
      <c r="C57" s="570"/>
      <c r="D57" s="570"/>
      <c r="E57" s="570"/>
      <c r="F57" s="570"/>
      <c r="G57" s="570"/>
      <c r="H57" s="570"/>
      <c r="I57" s="570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47:I47"/>
    <mergeCell ref="A48:I48"/>
    <mergeCell ref="A49:I49"/>
    <mergeCell ref="A50:I50"/>
    <mergeCell ref="A51:I51"/>
    <mergeCell ref="A57:I57"/>
    <mergeCell ref="A52:I52"/>
    <mergeCell ref="A53:I53"/>
    <mergeCell ref="A54:I54"/>
    <mergeCell ref="A55:I55"/>
    <mergeCell ref="A56:I5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8BD2-D163-46C3-83C3-BFF043F8F97F}">
  <dimension ref="A1:I57"/>
  <sheetViews>
    <sheetView topLeftCell="A27"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46"/>
      <c r="B1" s="647"/>
      <c r="C1" s="652" t="s">
        <v>33</v>
      </c>
      <c r="D1" s="652"/>
      <c r="E1" s="652"/>
      <c r="F1" s="652"/>
      <c r="G1" s="652"/>
      <c r="H1" s="15" t="s">
        <v>32</v>
      </c>
      <c r="I1" s="16" t="s">
        <v>240</v>
      </c>
    </row>
    <row r="2" spans="1:9" ht="18" customHeight="1" thickBot="1" x14ac:dyDescent="0.3">
      <c r="A2" s="648"/>
      <c r="B2" s="649"/>
      <c r="C2" s="653" t="s">
        <v>31</v>
      </c>
      <c r="D2" s="654"/>
      <c r="E2" s="654"/>
      <c r="F2" s="654"/>
      <c r="G2" s="655"/>
      <c r="H2" s="17" t="s">
        <v>30</v>
      </c>
      <c r="I2" s="18" t="s">
        <v>228</v>
      </c>
    </row>
    <row r="3" spans="1:9" ht="31.5" customHeight="1" thickBot="1" x14ac:dyDescent="0.3">
      <c r="A3" s="648"/>
      <c r="B3" s="649"/>
      <c r="C3" s="656" t="s">
        <v>241</v>
      </c>
      <c r="D3" s="657"/>
      <c r="E3" s="657"/>
      <c r="F3" s="657"/>
      <c r="G3" s="658"/>
      <c r="H3" s="659" t="s">
        <v>29</v>
      </c>
      <c r="I3" s="637">
        <v>45619</v>
      </c>
    </row>
    <row r="4" spans="1:9" ht="18" customHeight="1" x14ac:dyDescent="0.25">
      <c r="A4" s="648"/>
      <c r="B4" s="649"/>
      <c r="C4" s="19" t="s">
        <v>28</v>
      </c>
      <c r="D4" s="640" t="s">
        <v>38</v>
      </c>
      <c r="E4" s="641"/>
      <c r="F4" s="641"/>
      <c r="G4" s="642"/>
      <c r="H4" s="660"/>
      <c r="I4" s="638"/>
    </row>
    <row r="5" spans="1:9" ht="15.75" thickBot="1" x14ac:dyDescent="0.3">
      <c r="A5" s="650"/>
      <c r="B5" s="651"/>
      <c r="C5" s="20" t="s">
        <v>27</v>
      </c>
      <c r="D5" s="643" t="s">
        <v>26</v>
      </c>
      <c r="E5" s="644"/>
      <c r="F5" s="644"/>
      <c r="G5" s="645"/>
      <c r="H5" s="661"/>
      <c r="I5" s="639"/>
    </row>
    <row r="6" spans="1:9" ht="18.75" thickBot="1" x14ac:dyDescent="0.3">
      <c r="A6" s="518" t="s">
        <v>25</v>
      </c>
      <c r="B6" s="518"/>
      <c r="C6" s="518"/>
      <c r="D6" s="519" t="s">
        <v>39</v>
      </c>
      <c r="E6" s="519"/>
      <c r="F6" s="519"/>
      <c r="G6" s="517" t="s">
        <v>24</v>
      </c>
      <c r="H6" s="517"/>
      <c r="I6" s="21" t="s">
        <v>39</v>
      </c>
    </row>
    <row r="7" spans="1:9" x14ac:dyDescent="0.25">
      <c r="A7" s="631" t="s">
        <v>23</v>
      </c>
      <c r="B7" s="633" t="s">
        <v>34</v>
      </c>
      <c r="C7" s="635" t="s">
        <v>22</v>
      </c>
      <c r="D7" s="635" t="s">
        <v>21</v>
      </c>
      <c r="E7" s="635" t="s">
        <v>20</v>
      </c>
      <c r="F7" s="635"/>
      <c r="G7" s="635" t="s">
        <v>19</v>
      </c>
      <c r="H7" s="635"/>
      <c r="I7" s="22" t="s">
        <v>18</v>
      </c>
    </row>
    <row r="8" spans="1:9" ht="27" thickBot="1" x14ac:dyDescent="0.3">
      <c r="A8" s="632"/>
      <c r="B8" s="634"/>
      <c r="C8" s="636"/>
      <c r="D8" s="636"/>
      <c r="E8" s="23" t="s">
        <v>14</v>
      </c>
      <c r="F8" s="24" t="s">
        <v>17</v>
      </c>
      <c r="G8" s="23" t="s">
        <v>14</v>
      </c>
      <c r="H8" s="24" t="s">
        <v>17</v>
      </c>
      <c r="I8" s="25" t="s">
        <v>16</v>
      </c>
    </row>
    <row r="9" spans="1:9" ht="18.600000000000001" customHeight="1" x14ac:dyDescent="0.25">
      <c r="A9" s="26"/>
      <c r="B9" s="27"/>
      <c r="C9" s="28" t="s">
        <v>35</v>
      </c>
      <c r="D9" s="29"/>
      <c r="E9" s="11"/>
      <c r="F9" s="12"/>
      <c r="G9" s="11"/>
      <c r="H9" s="12"/>
      <c r="I9" s="30"/>
    </row>
    <row r="10" spans="1:9" ht="18" customHeight="1" x14ac:dyDescent="0.25">
      <c r="A10" s="31"/>
      <c r="B10" s="2" t="s">
        <v>242</v>
      </c>
      <c r="C10" s="1" t="s">
        <v>243</v>
      </c>
      <c r="D10" s="32" t="s">
        <v>15</v>
      </c>
      <c r="E10" s="33">
        <v>5400</v>
      </c>
      <c r="F10" s="34" t="s">
        <v>1</v>
      </c>
      <c r="G10" s="35"/>
      <c r="H10" s="36"/>
      <c r="I10" s="30"/>
    </row>
    <row r="11" spans="1:9" x14ac:dyDescent="0.25">
      <c r="A11" s="32" t="s">
        <v>244</v>
      </c>
      <c r="B11" s="32" t="s">
        <v>245</v>
      </c>
      <c r="C11" s="37" t="s">
        <v>246</v>
      </c>
      <c r="D11" s="32" t="s">
        <v>247</v>
      </c>
      <c r="E11" s="33">
        <v>1170</v>
      </c>
      <c r="F11" s="34" t="s">
        <v>1</v>
      </c>
      <c r="G11" s="35"/>
      <c r="H11" s="36"/>
      <c r="I11" s="30"/>
    </row>
    <row r="12" spans="1:9" x14ac:dyDescent="0.25">
      <c r="A12" s="32" t="s">
        <v>248</v>
      </c>
      <c r="B12" s="32" t="s">
        <v>249</v>
      </c>
      <c r="C12" s="37" t="s">
        <v>250</v>
      </c>
      <c r="D12" s="32" t="s">
        <v>251</v>
      </c>
      <c r="E12" s="33">
        <v>1300</v>
      </c>
      <c r="F12" s="34" t="s">
        <v>1</v>
      </c>
      <c r="G12" s="35"/>
      <c r="H12" s="36"/>
      <c r="I12" s="30"/>
    </row>
    <row r="13" spans="1:9" x14ac:dyDescent="0.25">
      <c r="A13" s="32" t="s">
        <v>252</v>
      </c>
      <c r="B13" s="32" t="s">
        <v>253</v>
      </c>
      <c r="C13" s="37" t="s">
        <v>254</v>
      </c>
      <c r="D13" s="32" t="s">
        <v>255</v>
      </c>
      <c r="E13" s="33">
        <v>65</v>
      </c>
      <c r="F13" s="34" t="s">
        <v>1</v>
      </c>
      <c r="G13" s="35"/>
      <c r="H13" s="36"/>
      <c r="I13" s="30"/>
    </row>
    <row r="14" spans="1:9" x14ac:dyDescent="0.25">
      <c r="A14" s="32" t="s">
        <v>256</v>
      </c>
      <c r="B14" s="32" t="s">
        <v>257</v>
      </c>
      <c r="C14" s="37" t="s">
        <v>258</v>
      </c>
      <c r="D14" s="32" t="s">
        <v>259</v>
      </c>
      <c r="E14" s="33">
        <v>2900</v>
      </c>
      <c r="F14" s="34" t="s">
        <v>1</v>
      </c>
      <c r="G14" s="35"/>
      <c r="H14" s="36"/>
      <c r="I14" s="30"/>
    </row>
    <row r="15" spans="1:9" x14ac:dyDescent="0.25">
      <c r="A15" s="32"/>
      <c r="B15" s="32"/>
      <c r="C15" s="37"/>
      <c r="D15" s="32"/>
      <c r="E15" s="33"/>
      <c r="F15" s="34"/>
      <c r="G15" s="35"/>
      <c r="H15" s="36"/>
      <c r="I15" s="30"/>
    </row>
    <row r="16" spans="1:9" x14ac:dyDescent="0.25">
      <c r="A16" s="32"/>
      <c r="B16" s="32"/>
      <c r="C16" s="37"/>
      <c r="D16" s="32"/>
      <c r="E16" s="33"/>
      <c r="F16" s="34"/>
      <c r="G16" s="35"/>
      <c r="H16" s="36"/>
      <c r="I16" s="30"/>
    </row>
    <row r="17" spans="1:9" x14ac:dyDescent="0.25">
      <c r="A17" s="32"/>
      <c r="B17" s="32"/>
      <c r="C17" s="37"/>
      <c r="D17" s="32"/>
      <c r="E17" s="33"/>
      <c r="F17" s="34"/>
      <c r="G17" s="35"/>
      <c r="H17" s="36"/>
      <c r="I17" s="30"/>
    </row>
    <row r="18" spans="1:9" x14ac:dyDescent="0.25">
      <c r="A18" s="32"/>
      <c r="B18" s="32"/>
      <c r="C18" s="37"/>
      <c r="D18" s="32"/>
      <c r="E18" s="33"/>
      <c r="F18" s="34"/>
      <c r="G18" s="35"/>
      <c r="H18" s="36"/>
      <c r="I18" s="30"/>
    </row>
    <row r="19" spans="1:9" x14ac:dyDescent="0.25">
      <c r="A19" s="32"/>
      <c r="B19" s="32"/>
      <c r="C19" s="37"/>
      <c r="D19" s="32"/>
      <c r="E19" s="33"/>
      <c r="F19" s="34"/>
      <c r="G19" s="35"/>
      <c r="H19" s="36"/>
      <c r="I19" s="30"/>
    </row>
    <row r="20" spans="1:9" ht="15.75" x14ac:dyDescent="0.25">
      <c r="A20" s="38"/>
      <c r="B20" s="38"/>
      <c r="C20" s="1"/>
      <c r="D20" s="3"/>
      <c r="E20" s="3"/>
      <c r="F20" s="3"/>
      <c r="G20" s="7"/>
      <c r="H20" s="36"/>
      <c r="I20" s="30"/>
    </row>
    <row r="21" spans="1:9" ht="15.75" x14ac:dyDescent="0.25">
      <c r="A21" s="39"/>
      <c r="B21" s="40"/>
      <c r="C21" s="41" t="s">
        <v>40</v>
      </c>
      <c r="D21" s="3"/>
      <c r="E21" s="3"/>
      <c r="F21" s="3"/>
      <c r="G21" s="7"/>
      <c r="H21" s="36"/>
      <c r="I21" s="30"/>
    </row>
    <row r="22" spans="1:9" x14ac:dyDescent="0.25">
      <c r="A22" s="31"/>
      <c r="B22" s="2"/>
      <c r="C22" s="1"/>
      <c r="D22" s="42"/>
      <c r="E22" s="42"/>
      <c r="F22" s="42"/>
      <c r="G22" s="11"/>
      <c r="H22" s="36"/>
      <c r="I22" s="30"/>
    </row>
    <row r="23" spans="1:9" x14ac:dyDescent="0.25">
      <c r="A23" s="43"/>
      <c r="B23" s="38"/>
      <c r="C23" s="1"/>
      <c r="D23" s="42"/>
      <c r="E23" s="42"/>
      <c r="F23" s="42"/>
      <c r="G23" s="11"/>
      <c r="H23" s="36"/>
      <c r="I23" s="30"/>
    </row>
    <row r="24" spans="1:9" x14ac:dyDescent="0.25">
      <c r="A24" s="43"/>
      <c r="B24" s="38"/>
      <c r="C24" s="1"/>
      <c r="D24" s="42"/>
      <c r="E24" s="42"/>
      <c r="F24" s="42"/>
      <c r="G24" s="11"/>
      <c r="H24" s="36"/>
      <c r="I24" s="30"/>
    </row>
    <row r="25" spans="1:9" ht="15.75" x14ac:dyDescent="0.25">
      <c r="A25" s="39"/>
      <c r="B25" s="40"/>
      <c r="C25" s="41"/>
      <c r="D25" s="44"/>
      <c r="E25" s="45"/>
      <c r="F25" s="46"/>
      <c r="G25" s="11"/>
      <c r="H25" s="36"/>
      <c r="I25" s="30"/>
    </row>
    <row r="26" spans="1:9" x14ac:dyDescent="0.25">
      <c r="A26" s="47"/>
      <c r="B26" s="48"/>
      <c r="C26" s="49"/>
      <c r="D26" s="50"/>
      <c r="E26" s="51"/>
      <c r="F26" s="52"/>
      <c r="G26" s="11"/>
      <c r="H26" s="36"/>
      <c r="I26" s="30"/>
    </row>
    <row r="27" spans="1:9" x14ac:dyDescent="0.25">
      <c r="A27" s="2"/>
      <c r="B27" s="2"/>
      <c r="C27" s="1"/>
      <c r="D27" s="14"/>
      <c r="E27" s="6"/>
      <c r="F27" s="53"/>
      <c r="G27" s="11"/>
      <c r="H27" s="36"/>
      <c r="I27" s="30"/>
    </row>
    <row r="28" spans="1:9" ht="15.75" x14ac:dyDescent="0.25">
      <c r="A28" s="54"/>
      <c r="B28" s="55"/>
      <c r="C28" s="56" t="s">
        <v>41</v>
      </c>
      <c r="D28" s="57"/>
      <c r="E28" s="58"/>
      <c r="F28" s="12"/>
      <c r="G28" s="11"/>
      <c r="H28" s="36"/>
      <c r="I28" s="30"/>
    </row>
    <row r="29" spans="1:9" x14ac:dyDescent="0.25">
      <c r="A29" s="404"/>
      <c r="B29" s="151"/>
      <c r="C29" s="404"/>
      <c r="D29" s="426"/>
      <c r="E29" s="152"/>
      <c r="F29" s="153"/>
      <c r="G29" s="62"/>
      <c r="H29" s="36"/>
      <c r="I29" s="30"/>
    </row>
    <row r="30" spans="1:9" x14ac:dyDescent="0.25">
      <c r="A30" s="404"/>
      <c r="B30" s="151"/>
      <c r="C30" s="404"/>
      <c r="D30" s="426"/>
      <c r="E30" s="152"/>
      <c r="F30" s="153"/>
      <c r="G30" s="62"/>
      <c r="H30" s="36"/>
      <c r="I30" s="30"/>
    </row>
    <row r="31" spans="1:9" x14ac:dyDescent="0.25">
      <c r="A31" s="63"/>
      <c r="B31" s="64"/>
      <c r="C31" s="65"/>
      <c r="D31" s="10"/>
      <c r="E31" s="8"/>
      <c r="F31" s="9"/>
      <c r="G31" s="62"/>
      <c r="H31" s="36"/>
      <c r="I31" s="30"/>
    </row>
    <row r="32" spans="1:9" x14ac:dyDescent="0.25">
      <c r="A32" s="66"/>
      <c r="B32" s="66"/>
      <c r="C32" s="67"/>
      <c r="D32" s="10"/>
      <c r="E32" s="8"/>
      <c r="F32" s="9"/>
      <c r="G32" s="11"/>
      <c r="H32" s="36"/>
      <c r="I32" s="30"/>
    </row>
    <row r="33" spans="1:9" x14ac:dyDescent="0.25">
      <c r="A33" s="66"/>
      <c r="B33" s="66"/>
      <c r="C33" s="67"/>
      <c r="D33" s="10"/>
      <c r="E33" s="8"/>
      <c r="F33" s="9"/>
      <c r="G33" s="11"/>
      <c r="H33" s="36"/>
      <c r="I33" s="30"/>
    </row>
    <row r="34" spans="1:9" x14ac:dyDescent="0.25">
      <c r="A34" s="66"/>
      <c r="B34" s="66"/>
      <c r="C34" s="67"/>
      <c r="D34" s="10"/>
      <c r="E34" s="8"/>
      <c r="F34" s="9"/>
      <c r="G34" s="68"/>
      <c r="H34" s="36"/>
      <c r="I34" s="30"/>
    </row>
    <row r="35" spans="1:9" ht="15.75" x14ac:dyDescent="0.25">
      <c r="A35" s="66"/>
      <c r="B35" s="66"/>
      <c r="C35" s="67"/>
      <c r="D35" s="3"/>
      <c r="E35" s="8"/>
      <c r="F35" s="9"/>
      <c r="G35" s="69"/>
      <c r="H35" s="36"/>
      <c r="I35" s="30"/>
    </row>
    <row r="36" spans="1:9" x14ac:dyDescent="0.25">
      <c r="A36" s="70"/>
      <c r="B36" s="70"/>
      <c r="C36" s="71"/>
      <c r="D36" s="10"/>
      <c r="E36" s="53"/>
      <c r="F36" s="53"/>
      <c r="G36" s="69"/>
      <c r="H36" s="12"/>
      <c r="I36" s="30"/>
    </row>
    <row r="37" spans="1:9" ht="15.75" thickBot="1" x14ac:dyDescent="0.3">
      <c r="A37" s="72"/>
      <c r="B37" s="73"/>
      <c r="C37" s="74" t="s">
        <v>55</v>
      </c>
      <c r="D37" s="74"/>
      <c r="E37" s="75"/>
      <c r="F37" s="76"/>
      <c r="G37" s="74"/>
      <c r="H37" s="74"/>
      <c r="I37" s="77"/>
    </row>
    <row r="38" spans="1:9" ht="15.75" thickBot="1" x14ac:dyDescent="0.3">
      <c r="A38" s="78"/>
      <c r="B38" s="79"/>
      <c r="C38" s="80" t="s">
        <v>55</v>
      </c>
      <c r="D38" s="81" t="s">
        <v>14</v>
      </c>
      <c r="E38" s="82" t="s">
        <v>13</v>
      </c>
      <c r="F38" s="83"/>
      <c r="G38" s="80"/>
      <c r="H38" s="80"/>
      <c r="I38" s="84"/>
    </row>
    <row r="39" spans="1:9" x14ac:dyDescent="0.25">
      <c r="A39" s="625" t="s">
        <v>12</v>
      </c>
      <c r="B39" s="626"/>
      <c r="C39" s="627"/>
      <c r="D39" s="85">
        <v>10500</v>
      </c>
      <c r="E39" s="86" t="s">
        <v>1</v>
      </c>
      <c r="F39" s="628" t="s">
        <v>11</v>
      </c>
      <c r="G39" s="628"/>
      <c r="H39" s="629"/>
      <c r="I39" s="630"/>
    </row>
    <row r="40" spans="1:9" x14ac:dyDescent="0.25">
      <c r="A40" s="604" t="s">
        <v>10</v>
      </c>
      <c r="B40" s="605"/>
      <c r="C40" s="606"/>
      <c r="D40" s="7">
        <v>8</v>
      </c>
      <c r="E40" s="7" t="s">
        <v>9</v>
      </c>
      <c r="F40" s="607" t="s">
        <v>8</v>
      </c>
      <c r="G40" s="607"/>
      <c r="H40" s="608"/>
      <c r="I40" s="609"/>
    </row>
    <row r="41" spans="1:9" x14ac:dyDescent="0.25">
      <c r="A41" s="604" t="s">
        <v>7</v>
      </c>
      <c r="B41" s="605"/>
      <c r="C41" s="606"/>
      <c r="D41" s="6">
        <v>105</v>
      </c>
      <c r="E41" s="7" t="s">
        <v>6</v>
      </c>
      <c r="F41" s="607" t="s">
        <v>5</v>
      </c>
      <c r="G41" s="607"/>
      <c r="H41" s="608"/>
      <c r="I41" s="609"/>
    </row>
    <row r="42" spans="1:9" x14ac:dyDescent="0.25">
      <c r="A42" s="604" t="s">
        <v>4</v>
      </c>
      <c r="B42" s="605"/>
      <c r="C42" s="606"/>
      <c r="D42" s="6">
        <v>100</v>
      </c>
      <c r="E42" s="7" t="s">
        <v>1</v>
      </c>
      <c r="F42" s="610" t="s">
        <v>3</v>
      </c>
      <c r="G42" s="611"/>
      <c r="H42" s="612"/>
      <c r="I42" s="613"/>
    </row>
    <row r="43" spans="1:9" ht="15.75" thickBot="1" x14ac:dyDescent="0.3">
      <c r="A43" s="614" t="s">
        <v>2</v>
      </c>
      <c r="B43" s="615"/>
      <c r="C43" s="616"/>
      <c r="D43" s="87">
        <v>335</v>
      </c>
      <c r="E43" s="88" t="s">
        <v>1</v>
      </c>
      <c r="F43" s="617"/>
      <c r="G43" s="617"/>
      <c r="H43" s="608"/>
      <c r="I43" s="609"/>
    </row>
    <row r="44" spans="1:9" ht="15.75" thickBot="1" x14ac:dyDescent="0.3">
      <c r="A44" s="618" t="s">
        <v>0</v>
      </c>
      <c r="B44" s="619"/>
      <c r="C44" s="619"/>
      <c r="D44" s="619"/>
      <c r="E44" s="619"/>
      <c r="F44" s="619"/>
      <c r="G44" s="619"/>
      <c r="H44" s="619"/>
      <c r="I44" s="620"/>
    </row>
    <row r="45" spans="1:9" ht="14.45" customHeight="1" x14ac:dyDescent="0.25">
      <c r="A45" s="662" t="s">
        <v>260</v>
      </c>
      <c r="B45" s="663"/>
      <c r="C45" s="664"/>
      <c r="D45" s="664"/>
      <c r="E45" s="664"/>
      <c r="F45" s="664"/>
      <c r="G45" s="664"/>
      <c r="H45" s="664"/>
      <c r="I45" s="665"/>
    </row>
    <row r="46" spans="1:9" ht="15.6" customHeight="1" x14ac:dyDescent="0.25">
      <c r="A46" s="666" t="s">
        <v>261</v>
      </c>
      <c r="B46" s="581"/>
      <c r="C46" s="667"/>
      <c r="D46" s="667"/>
      <c r="E46" s="667"/>
      <c r="F46" s="667"/>
      <c r="G46" s="667"/>
      <c r="H46" s="667"/>
      <c r="I46" s="668"/>
    </row>
    <row r="47" spans="1:9" ht="14.45" customHeight="1" x14ac:dyDescent="0.25">
      <c r="A47" s="669" t="s">
        <v>262</v>
      </c>
      <c r="B47" s="670"/>
      <c r="C47" s="671"/>
      <c r="D47" s="671"/>
      <c r="E47" s="671"/>
      <c r="F47" s="671"/>
      <c r="G47" s="671"/>
      <c r="H47" s="671"/>
      <c r="I47" s="672"/>
    </row>
    <row r="48" spans="1:9" x14ac:dyDescent="0.25">
      <c r="A48" s="673" t="s">
        <v>263</v>
      </c>
      <c r="B48" s="674"/>
      <c r="C48" s="674"/>
      <c r="D48" s="674"/>
      <c r="E48" s="674"/>
      <c r="F48" s="674"/>
      <c r="G48" s="674"/>
      <c r="H48" s="674"/>
      <c r="I48" s="675"/>
    </row>
    <row r="49" spans="1:9" x14ac:dyDescent="0.25">
      <c r="A49" s="591"/>
      <c r="B49" s="592"/>
      <c r="C49" s="593"/>
      <c r="D49" s="593"/>
      <c r="E49" s="593"/>
      <c r="F49" s="593"/>
      <c r="G49" s="593"/>
      <c r="H49" s="593"/>
      <c r="I49" s="594"/>
    </row>
    <row r="50" spans="1:9" ht="14.45" customHeight="1" x14ac:dyDescent="0.25">
      <c r="A50" s="595"/>
      <c r="B50" s="580"/>
      <c r="C50" s="580"/>
      <c r="D50" s="580"/>
      <c r="E50" s="580"/>
      <c r="F50" s="580"/>
      <c r="G50" s="580"/>
      <c r="H50" s="580"/>
      <c r="I50" s="581"/>
    </row>
    <row r="51" spans="1:9" ht="14.45" customHeight="1" x14ac:dyDescent="0.25">
      <c r="A51" s="596"/>
      <c r="B51" s="597"/>
      <c r="C51" s="598"/>
      <c r="D51" s="598"/>
      <c r="E51" s="598"/>
      <c r="F51" s="598"/>
      <c r="G51" s="598"/>
      <c r="H51" s="598"/>
      <c r="I51" s="599"/>
    </row>
    <row r="52" spans="1:9" ht="18" customHeight="1" x14ac:dyDescent="0.25">
      <c r="A52" s="571"/>
      <c r="B52" s="572"/>
      <c r="C52" s="573"/>
      <c r="D52" s="573"/>
      <c r="E52" s="573"/>
      <c r="F52" s="573"/>
      <c r="G52" s="573"/>
      <c r="H52" s="573"/>
      <c r="I52" s="574"/>
    </row>
    <row r="53" spans="1:9" ht="14.45" customHeight="1" thickBot="1" x14ac:dyDescent="0.3">
      <c r="A53" s="575"/>
      <c r="B53" s="576"/>
      <c r="C53" s="577"/>
      <c r="D53" s="577"/>
      <c r="E53" s="577"/>
      <c r="F53" s="577"/>
      <c r="G53" s="577"/>
      <c r="H53" s="577"/>
      <c r="I53" s="578"/>
    </row>
    <row r="54" spans="1:9" ht="14.45" customHeight="1" thickBot="1" x14ac:dyDescent="0.3">
      <c r="A54" s="579"/>
      <c r="B54" s="580"/>
      <c r="C54" s="580"/>
      <c r="D54" s="580"/>
      <c r="E54" s="580"/>
      <c r="F54" s="580"/>
      <c r="G54" s="580"/>
      <c r="H54" s="580"/>
      <c r="I54" s="581"/>
    </row>
    <row r="55" spans="1:9" ht="14.45" customHeight="1" x14ac:dyDescent="0.25">
      <c r="A55" s="582" t="s">
        <v>36</v>
      </c>
      <c r="B55" s="583"/>
      <c r="C55" s="583"/>
      <c r="D55" s="583"/>
      <c r="E55" s="583"/>
      <c r="F55" s="583"/>
      <c r="G55" s="583"/>
      <c r="H55" s="583"/>
      <c r="I55" s="583"/>
    </row>
    <row r="56" spans="1:9" x14ac:dyDescent="0.25">
      <c r="A56" s="569"/>
      <c r="B56" s="570"/>
      <c r="C56" s="570"/>
      <c r="D56" s="570"/>
      <c r="E56" s="570"/>
      <c r="F56" s="570"/>
      <c r="G56" s="570"/>
      <c r="H56" s="570"/>
      <c r="I56" s="570"/>
    </row>
    <row r="57" spans="1:9" x14ac:dyDescent="0.25">
      <c r="A57" s="569"/>
      <c r="B57" s="570"/>
      <c r="C57" s="570"/>
      <c r="D57" s="570"/>
      <c r="E57" s="570"/>
      <c r="F57" s="570"/>
      <c r="G57" s="570"/>
      <c r="H57" s="570"/>
      <c r="I57" s="570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0652-2782-4A64-AC27-AF196E1107BE}">
  <dimension ref="A1:Q91"/>
  <sheetViews>
    <sheetView topLeftCell="A27" workbookViewId="0">
      <selection activeCell="M34" sqref="M34"/>
    </sheetView>
  </sheetViews>
  <sheetFormatPr baseColWidth="10" defaultColWidth="8.42578125" defaultRowHeight="12.75" x14ac:dyDescent="0.25"/>
  <cols>
    <col min="1" max="1" width="10" style="220" bestFit="1" customWidth="1"/>
    <col min="2" max="2" width="44.28515625" style="220" bestFit="1" customWidth="1"/>
    <col min="3" max="3" width="10.42578125" style="220" bestFit="1" customWidth="1"/>
    <col min="4" max="4" width="10.42578125" style="220" customWidth="1"/>
    <col min="5" max="5" width="11" style="220" customWidth="1"/>
    <col min="6" max="6" width="9.5703125" style="220" bestFit="1" customWidth="1"/>
    <col min="7" max="7" width="10.85546875" style="302" customWidth="1"/>
    <col min="8" max="8" width="10.42578125" style="293" bestFit="1" customWidth="1"/>
    <col min="9" max="9" width="4.5703125" style="293" customWidth="1"/>
    <col min="10" max="10" width="1.85546875" style="219" customWidth="1"/>
    <col min="11" max="11" width="7" style="220" bestFit="1" customWidth="1"/>
    <col min="12" max="12" width="6.28515625" style="220" customWidth="1"/>
    <col min="13" max="13" width="20.42578125" style="220" customWidth="1"/>
    <col min="14" max="14" width="6.42578125" style="220" bestFit="1" customWidth="1"/>
    <col min="15" max="16" width="8.42578125" style="220"/>
    <col min="17" max="17" width="3.28515625" style="220" customWidth="1"/>
    <col min="18" max="16384" width="8.42578125" style="220"/>
  </cols>
  <sheetData>
    <row r="1" spans="1:10" ht="27.75" customHeight="1" x14ac:dyDescent="0.25">
      <c r="A1" s="215"/>
      <c r="B1" s="215"/>
      <c r="C1" s="215"/>
      <c r="D1" s="215"/>
      <c r="E1" s="216" t="s">
        <v>136</v>
      </c>
      <c r="F1" s="217" t="s">
        <v>137</v>
      </c>
      <c r="G1" s="217" t="s">
        <v>138</v>
      </c>
      <c r="H1" s="217" t="s">
        <v>139</v>
      </c>
      <c r="I1" s="218"/>
    </row>
    <row r="2" spans="1:10" ht="30.75" customHeight="1" x14ac:dyDescent="0.25">
      <c r="A2" s="215"/>
      <c r="B2" s="215"/>
      <c r="C2" s="215"/>
      <c r="D2" s="215"/>
      <c r="E2" s="221">
        <f>IFERROR(O62,"")</f>
        <v>365.19839480519482</v>
      </c>
      <c r="F2" s="221">
        <f>IFERROR(H53,"")</f>
        <v>355.96</v>
      </c>
      <c r="G2" s="221">
        <f>IFERROR(H54,"")</f>
        <v>6.3692000000000011</v>
      </c>
      <c r="H2" s="221">
        <f>IFERROR(H56,"")</f>
        <v>69.040000000000006</v>
      </c>
      <c r="I2" s="222"/>
    </row>
    <row r="3" spans="1:10" ht="15" customHeight="1" x14ac:dyDescent="0.25">
      <c r="A3" s="215"/>
      <c r="B3" s="215"/>
      <c r="C3" s="215"/>
      <c r="D3" s="215"/>
      <c r="E3" s="215"/>
      <c r="F3" s="223"/>
      <c r="G3" s="223"/>
      <c r="H3" s="223"/>
      <c r="I3" s="223"/>
    </row>
    <row r="4" spans="1:10" ht="24.75" customHeight="1" thickBot="1" x14ac:dyDescent="0.3">
      <c r="A4" s="564"/>
      <c r="B4" s="564"/>
      <c r="C4" s="564"/>
      <c r="D4" s="564"/>
      <c r="E4" s="564"/>
      <c r="F4" s="564"/>
      <c r="G4" s="564"/>
      <c r="H4" s="564"/>
      <c r="I4" s="224"/>
    </row>
    <row r="5" spans="1:10" ht="19.5" customHeight="1" thickBot="1" x14ac:dyDescent="0.3">
      <c r="A5" s="565" t="s">
        <v>140</v>
      </c>
      <c r="B5" s="566"/>
      <c r="C5" s="566"/>
      <c r="D5" s="566"/>
      <c r="E5" s="566"/>
      <c r="F5" s="566"/>
      <c r="G5" s="566"/>
      <c r="H5" s="567"/>
      <c r="I5" s="225"/>
    </row>
    <row r="6" spans="1:10" ht="19.5" thickBot="1" x14ac:dyDescent="0.3">
      <c r="A6" s="225"/>
      <c r="B6" s="225"/>
      <c r="C6" s="225"/>
      <c r="D6" s="225"/>
      <c r="E6" s="225"/>
      <c r="F6" s="568" t="s">
        <v>141</v>
      </c>
      <c r="G6" s="568"/>
      <c r="H6" s="226">
        <f ca="1">TODAY()</f>
        <v>46063</v>
      </c>
      <c r="I6" s="226"/>
    </row>
    <row r="7" spans="1:10" ht="26.25" hidden="1" thickBot="1" x14ac:dyDescent="0.3">
      <c r="A7" s="227" t="s">
        <v>142</v>
      </c>
      <c r="B7" s="228" t="s">
        <v>143</v>
      </c>
      <c r="C7" s="228" t="s">
        <v>142</v>
      </c>
      <c r="D7" s="229" t="s">
        <v>144</v>
      </c>
      <c r="E7" s="229" t="s">
        <v>145</v>
      </c>
      <c r="F7" s="229" t="s">
        <v>146</v>
      </c>
      <c r="G7" s="229" t="s">
        <v>147</v>
      </c>
      <c r="H7" s="230" t="s">
        <v>148</v>
      </c>
      <c r="I7" s="231"/>
    </row>
    <row r="8" spans="1:10" ht="13.5" hidden="1" x14ac:dyDescent="0.25">
      <c r="A8" s="232"/>
      <c r="B8" s="220" t="str">
        <f>IFERROR(VLOOKUP(H8,'[1]Consolidado MP Planta'!$A$2:$M$823,3,0),"")</f>
        <v/>
      </c>
      <c r="C8" s="233">
        <f>+A8</f>
        <v>0</v>
      </c>
      <c r="D8" s="234" t="str">
        <f>IFERROR(VLOOKUP(H8,'[1]Consolidado MP Planta'!$A$2:$M$823,13,0),"")</f>
        <v/>
      </c>
      <c r="E8" s="234" t="str">
        <f>IFERROR(VLOOKUP(H8,'[1]Consolidado MP Planta'!$A$2:$M$823,12,0),"")</f>
        <v/>
      </c>
      <c r="F8" s="234" t="str">
        <f>IFERROR(C8*E8,"")</f>
        <v/>
      </c>
      <c r="G8" s="235" t="str">
        <f t="shared" ref="G8:G14" si="0">IFERROR(F8/$F$66,"")</f>
        <v/>
      </c>
      <c r="H8" s="236"/>
      <c r="I8" s="236"/>
      <c r="J8" s="237"/>
    </row>
    <row r="9" spans="1:10" ht="13.5" hidden="1" x14ac:dyDescent="0.25">
      <c r="A9" s="232"/>
      <c r="B9" s="220" t="str">
        <f>IFERROR(VLOOKUP(H9,'[1]Consolidado MP Planta'!$A$2:$M$823,3,0),"")</f>
        <v/>
      </c>
      <c r="C9" s="233">
        <f t="shared" ref="C9:C14" si="1">+A9</f>
        <v>0</v>
      </c>
      <c r="D9" s="234" t="str">
        <f>IFERROR(VLOOKUP(H9,'[1]Consolidado MP Planta'!$A$2:$M$823,13,0),"")</f>
        <v/>
      </c>
      <c r="E9" s="234" t="str">
        <f>IFERROR(VLOOKUP(H9,'[1]Consolidado MP Planta'!$A$2:$M$823,12,0),"")</f>
        <v/>
      </c>
      <c r="F9" s="234" t="str">
        <f t="shared" ref="F9:F14" si="2">IFERROR(C9*E9,"")</f>
        <v/>
      </c>
      <c r="G9" s="235" t="str">
        <f t="shared" si="0"/>
        <v/>
      </c>
      <c r="H9" s="236"/>
      <c r="I9" s="236"/>
      <c r="J9" s="237"/>
    </row>
    <row r="10" spans="1:10" ht="13.5" hidden="1" x14ac:dyDescent="0.25">
      <c r="A10" s="232"/>
      <c r="B10" s="220" t="str">
        <f>IFERROR(VLOOKUP(H10,'[1]Consolidado MP Planta'!$A$2:$M$823,3,0),"")</f>
        <v/>
      </c>
      <c r="C10" s="233">
        <f t="shared" si="1"/>
        <v>0</v>
      </c>
      <c r="D10" s="234" t="str">
        <f>IFERROR(VLOOKUP(H10,'[1]Consolidado MP Planta'!$A$2:$M$823,13,0),"")</f>
        <v/>
      </c>
      <c r="E10" s="234" t="str">
        <f>IFERROR(VLOOKUP(H10,'[1]Consolidado MP Planta'!$A$2:$M$823,12,0),"")</f>
        <v/>
      </c>
      <c r="F10" s="234" t="str">
        <f t="shared" si="2"/>
        <v/>
      </c>
      <c r="G10" s="235" t="str">
        <f t="shared" si="0"/>
        <v/>
      </c>
      <c r="H10" s="236"/>
      <c r="I10" s="236"/>
      <c r="J10" s="237"/>
    </row>
    <row r="11" spans="1:10" ht="13.5" hidden="1" x14ac:dyDescent="0.25">
      <c r="A11" s="232"/>
      <c r="B11" s="220" t="str">
        <f>IFERROR(VLOOKUP(H11,'[1]Consolidado MP Planta'!$A$2:$M$823,3,0),"")</f>
        <v/>
      </c>
      <c r="C11" s="233">
        <f t="shared" si="1"/>
        <v>0</v>
      </c>
      <c r="D11" s="234" t="str">
        <f>IFERROR(VLOOKUP(H11,'[1]Consolidado MP Planta'!$A$2:$M$823,13,0),"")</f>
        <v/>
      </c>
      <c r="E11" s="234" t="str">
        <f>IFERROR(VLOOKUP(H11,'[1]Consolidado MP Planta'!$A$2:$M$823,12,0),"")</f>
        <v/>
      </c>
      <c r="F11" s="234" t="str">
        <f t="shared" si="2"/>
        <v/>
      </c>
      <c r="G11" s="235" t="str">
        <f t="shared" si="0"/>
        <v/>
      </c>
      <c r="H11" s="236"/>
      <c r="I11" s="236"/>
      <c r="J11" s="237"/>
    </row>
    <row r="12" spans="1:10" ht="13.5" hidden="1" x14ac:dyDescent="0.25">
      <c r="A12" s="232"/>
      <c r="B12" s="220" t="str">
        <f>IFERROR(VLOOKUP(H12,'[1]Consolidado MP Planta'!$A$2:$M$823,3,0),"")</f>
        <v/>
      </c>
      <c r="C12" s="233">
        <f t="shared" si="1"/>
        <v>0</v>
      </c>
      <c r="D12" s="234" t="str">
        <f>IFERROR(VLOOKUP(H12,'[1]Consolidado MP Planta'!$A$2:$M$823,13,0),"")</f>
        <v/>
      </c>
      <c r="E12" s="234" t="str">
        <f>IFERROR(VLOOKUP(H12,'[1]Consolidado MP Planta'!$A$2:$M$823,12,0),"")</f>
        <v/>
      </c>
      <c r="F12" s="234" t="str">
        <f t="shared" si="2"/>
        <v/>
      </c>
      <c r="G12" s="235" t="str">
        <f t="shared" si="0"/>
        <v/>
      </c>
      <c r="H12" s="236"/>
      <c r="I12" s="236"/>
      <c r="J12" s="237"/>
    </row>
    <row r="13" spans="1:10" ht="13.5" hidden="1" x14ac:dyDescent="0.25">
      <c r="A13" s="232"/>
      <c r="B13" s="220" t="str">
        <f>IFERROR(VLOOKUP(H13,'[1]Consolidado MP Planta'!$A$2:$M$823,3,0),"")</f>
        <v/>
      </c>
      <c r="C13" s="233">
        <f t="shared" si="1"/>
        <v>0</v>
      </c>
      <c r="D13" s="234" t="str">
        <f>IFERROR(VLOOKUP(H13,'[1]Consolidado MP Planta'!$A$2:$M$823,13,0),"")</f>
        <v/>
      </c>
      <c r="E13" s="234" t="str">
        <f>IFERROR(VLOOKUP(H13,'[1]Consolidado MP Planta'!$A$2:$M$823,12,0),"")</f>
        <v/>
      </c>
      <c r="F13" s="234" t="str">
        <f t="shared" si="2"/>
        <v/>
      </c>
      <c r="G13" s="235" t="str">
        <f t="shared" si="0"/>
        <v/>
      </c>
      <c r="H13" s="236"/>
      <c r="I13" s="236"/>
      <c r="J13" s="237"/>
    </row>
    <row r="14" spans="1:10" ht="13.5" hidden="1" x14ac:dyDescent="0.25">
      <c r="A14" s="232"/>
      <c r="B14" s="220" t="str">
        <f>IFERROR(VLOOKUP(H14,'[1]Consolidado MP Planta'!$A$2:$M$823,3,0),"")</f>
        <v/>
      </c>
      <c r="C14" s="233">
        <f t="shared" si="1"/>
        <v>0</v>
      </c>
      <c r="D14" s="234" t="str">
        <f>IFERROR(VLOOKUP(H14,'[1]Consolidado MP Planta'!$A$2:$M$823,13,0),"")</f>
        <v/>
      </c>
      <c r="E14" s="234" t="str">
        <f>IFERROR(VLOOKUP(H14,'[1]Consolidado MP Planta'!$A$2:$M$823,12,0),"")</f>
        <v/>
      </c>
      <c r="F14" s="234" t="str">
        <f t="shared" si="2"/>
        <v/>
      </c>
      <c r="G14" s="235" t="str">
        <f t="shared" si="0"/>
        <v/>
      </c>
      <c r="H14" s="236"/>
      <c r="I14" s="236"/>
      <c r="J14" s="237"/>
    </row>
    <row r="15" spans="1:10" ht="14.25" hidden="1" thickBot="1" x14ac:dyDescent="0.3">
      <c r="A15" s="232"/>
      <c r="B15" s="220" t="str">
        <f>IFERROR(VLOOKUP(H15,[2]Hoja2!$A$2:$G$589,2,0),"")</f>
        <v/>
      </c>
      <c r="C15" s="233"/>
      <c r="D15" s="234"/>
      <c r="E15" s="234"/>
      <c r="F15" s="234"/>
      <c r="G15" s="235"/>
      <c r="H15" s="236"/>
      <c r="I15" s="236"/>
      <c r="J15" s="237"/>
    </row>
    <row r="16" spans="1:10" ht="26.25" thickBot="1" x14ac:dyDescent="0.3">
      <c r="A16" s="227" t="s">
        <v>142</v>
      </c>
      <c r="B16" s="228" t="s">
        <v>149</v>
      </c>
      <c r="C16" s="228" t="s">
        <v>142</v>
      </c>
      <c r="D16" s="229" t="s">
        <v>144</v>
      </c>
      <c r="E16" s="229" t="s">
        <v>145</v>
      </c>
      <c r="F16" s="229" t="s">
        <v>146</v>
      </c>
      <c r="G16" s="229" t="s">
        <v>147</v>
      </c>
      <c r="H16" s="230" t="s">
        <v>148</v>
      </c>
      <c r="I16" s="231"/>
      <c r="J16" s="237"/>
    </row>
    <row r="17" spans="1:12" ht="13.5" x14ac:dyDescent="0.25">
      <c r="A17" s="232">
        <v>10500</v>
      </c>
      <c r="B17" s="220" t="s">
        <v>68</v>
      </c>
      <c r="C17" s="233">
        <f>+A17</f>
        <v>10500</v>
      </c>
      <c r="D17" s="233" t="s">
        <v>187</v>
      </c>
      <c r="E17" s="234">
        <v>1.57</v>
      </c>
      <c r="F17" s="234">
        <f>IFERROR(E17*C17,"")</f>
        <v>16485</v>
      </c>
      <c r="G17" s="235">
        <f t="shared" ref="G17:G24" si="3">IFERROR(F17/$F$66,"")</f>
        <v>0.79616834625909549</v>
      </c>
      <c r="H17" s="236" t="s">
        <v>67</v>
      </c>
      <c r="I17" s="236"/>
      <c r="J17" s="237"/>
    </row>
    <row r="18" spans="1:12" ht="13.5" x14ac:dyDescent="0.25">
      <c r="A18" s="232">
        <v>1300</v>
      </c>
      <c r="B18" s="220" t="s">
        <v>43</v>
      </c>
      <c r="C18" s="233">
        <f t="shared" ref="C18:C24" si="4">+A18</f>
        <v>1300</v>
      </c>
      <c r="D18" s="233" t="s">
        <v>187</v>
      </c>
      <c r="E18" s="234">
        <v>1.01</v>
      </c>
      <c r="F18" s="234">
        <f t="shared" ref="F18:F24" si="5">IFERROR(E18*C18,"")</f>
        <v>1313</v>
      </c>
      <c r="G18" s="235">
        <f t="shared" si="3"/>
        <v>6.3413347809414156E-2</v>
      </c>
      <c r="H18" s="236" t="s">
        <v>189</v>
      </c>
      <c r="I18" s="236"/>
      <c r="J18" s="237"/>
    </row>
    <row r="19" spans="1:12" ht="13.5" hidden="1" x14ac:dyDescent="0.25">
      <c r="A19" s="232"/>
      <c r="B19" s="220" t="str">
        <f>IFERROR(VLOOKUP(H19,[1]SEMIELABORADOS!$A$2:$M$6000,2,0),"")</f>
        <v/>
      </c>
      <c r="C19" s="233">
        <f>+A19</f>
        <v>0</v>
      </c>
      <c r="D19" s="233" t="str">
        <f>IFERROR(VLOOKUP(H19,[1]SEMIELABORADOS!$A$2:$M$6000,6,0),"")</f>
        <v/>
      </c>
      <c r="E19" s="234" t="str">
        <f>IFERROR(VLOOKUP(H19,[1]SEMIELABORADOS!$A$2:$H$65536,8,0),"")</f>
        <v/>
      </c>
      <c r="F19" s="234" t="str">
        <f>IFERROR(E19*C19,"")</f>
        <v/>
      </c>
      <c r="G19" s="235" t="str">
        <f t="shared" si="3"/>
        <v/>
      </c>
      <c r="H19" s="236"/>
      <c r="I19" s="236"/>
      <c r="J19" s="237"/>
    </row>
    <row r="20" spans="1:12" ht="13.5" hidden="1" x14ac:dyDescent="0.25">
      <c r="A20" s="232"/>
      <c r="B20" s="220" t="str">
        <f>IFERROR(VLOOKUP(H20,[1]SEMIELABORADOS!$A$2:$M$6000,2,0),"")</f>
        <v/>
      </c>
      <c r="C20" s="233">
        <f>+A20</f>
        <v>0</v>
      </c>
      <c r="D20" s="233" t="str">
        <f>IFERROR(VLOOKUP(H20,[1]SEMIELABORADOS!$A$2:$M$6000,6,0),"")</f>
        <v/>
      </c>
      <c r="E20" s="234" t="str">
        <f>IFERROR(VLOOKUP(H20,[1]SEMIELABORADOS!$A$2:$H$65536,8,0),"")</f>
        <v/>
      </c>
      <c r="F20" s="234" t="str">
        <f>IFERROR(E20*C20,"")</f>
        <v/>
      </c>
      <c r="G20" s="235" t="str">
        <f t="shared" si="3"/>
        <v/>
      </c>
      <c r="H20" s="236"/>
      <c r="I20" s="236"/>
      <c r="J20" s="237"/>
    </row>
    <row r="21" spans="1:12" ht="13.5" hidden="1" x14ac:dyDescent="0.25">
      <c r="A21" s="232"/>
      <c r="B21" s="220" t="str">
        <f>IFERROR(VLOOKUP(H21,[1]SEMIELABORADOS!$A$2:$M$6000,2,0),"")</f>
        <v/>
      </c>
      <c r="C21" s="233">
        <f>+A21</f>
        <v>0</v>
      </c>
      <c r="D21" s="233" t="str">
        <f>IFERROR(VLOOKUP(H21,[1]SEMIELABORADOS!$A$2:$M$6000,6,0),"")</f>
        <v/>
      </c>
      <c r="E21" s="234" t="str">
        <f>IFERROR(VLOOKUP(H21,[1]SEMIELABORADOS!$A$2:$H$65536,8,0),"")</f>
        <v/>
      </c>
      <c r="F21" s="234" t="str">
        <f>IFERROR(E21*C21,"")</f>
        <v/>
      </c>
      <c r="G21" s="235" t="str">
        <f t="shared" si="3"/>
        <v/>
      </c>
      <c r="H21" s="236"/>
      <c r="I21" s="236"/>
      <c r="J21" s="237"/>
    </row>
    <row r="22" spans="1:12" ht="13.5" hidden="1" x14ac:dyDescent="0.25">
      <c r="A22" s="232"/>
      <c r="B22" s="220" t="str">
        <f>IFERROR(VLOOKUP(H22,[1]SEMIELABORADOS!$A$2:$M$6000,2,0),"")</f>
        <v/>
      </c>
      <c r="C22" s="233">
        <f t="shared" si="4"/>
        <v>0</v>
      </c>
      <c r="D22" s="233" t="str">
        <f>IFERROR(VLOOKUP(H22,[1]SEMIELABORADOS!$A$2:$M$6000,6,0),"")</f>
        <v/>
      </c>
      <c r="E22" s="234" t="str">
        <f>IFERROR(VLOOKUP(H22,[1]SEMIELABORADOS!$A$2:$H$65536,8,0),"")</f>
        <v/>
      </c>
      <c r="F22" s="234" t="str">
        <f t="shared" si="5"/>
        <v/>
      </c>
      <c r="G22" s="235" t="str">
        <f t="shared" si="3"/>
        <v/>
      </c>
      <c r="H22" s="236"/>
      <c r="I22" s="236"/>
      <c r="J22" s="237"/>
    </row>
    <row r="23" spans="1:12" ht="13.5" hidden="1" x14ac:dyDescent="0.25">
      <c r="A23" s="232"/>
      <c r="B23" s="220" t="str">
        <f>IFERROR(VLOOKUP(H23,[1]SEMIELABORADOS!$A$2:$M$6000,2,0),"")</f>
        <v/>
      </c>
      <c r="C23" s="233">
        <f t="shared" si="4"/>
        <v>0</v>
      </c>
      <c r="D23" s="233" t="str">
        <f>IFERROR(VLOOKUP(H23,[1]SEMIELABORADOS!$A$2:$M$6000,6,0),"")</f>
        <v/>
      </c>
      <c r="E23" s="234" t="str">
        <f>IFERROR(VLOOKUP(H23,[1]SEMIELABORADOS!$A$2:$H$65536,8,0),"")</f>
        <v/>
      </c>
      <c r="F23" s="234" t="str">
        <f t="shared" si="5"/>
        <v/>
      </c>
      <c r="G23" s="235" t="str">
        <f t="shared" si="3"/>
        <v/>
      </c>
      <c r="H23" s="236"/>
      <c r="I23" s="236"/>
      <c r="J23" s="237"/>
    </row>
    <row r="24" spans="1:12" ht="13.5" hidden="1" x14ac:dyDescent="0.25">
      <c r="A24" s="232"/>
      <c r="B24" s="220" t="str">
        <f>IFERROR(VLOOKUP(H24,[1]SEMIELABORADOS!$A$2:$M$6000,2,0),"")</f>
        <v/>
      </c>
      <c r="C24" s="233">
        <f t="shared" si="4"/>
        <v>0</v>
      </c>
      <c r="D24" s="233" t="str">
        <f>IFERROR(VLOOKUP(H24,[1]SEMIELABORADOS!$A$2:$M$6000,6,0),"")</f>
        <v/>
      </c>
      <c r="E24" s="234" t="str">
        <f>IFERROR(VLOOKUP(H24,[1]SEMIELABORADOS!$A$2:$H$65536,8,0),"")</f>
        <v/>
      </c>
      <c r="F24" s="234" t="str">
        <f t="shared" si="5"/>
        <v/>
      </c>
      <c r="G24" s="235" t="str">
        <f t="shared" si="3"/>
        <v/>
      </c>
      <c r="H24" s="236"/>
      <c r="I24" s="236"/>
      <c r="J24" s="237"/>
    </row>
    <row r="25" spans="1:12" ht="14.25" thickBot="1" x14ac:dyDescent="0.3">
      <c r="A25" s="232"/>
      <c r="C25" s="233"/>
      <c r="D25" s="233"/>
      <c r="E25" s="234"/>
      <c r="F25" s="234"/>
      <c r="G25" s="235"/>
      <c r="H25" s="236"/>
      <c r="I25" s="236"/>
      <c r="J25" s="237"/>
    </row>
    <row r="26" spans="1:12" ht="26.25" thickBot="1" x14ac:dyDescent="0.3">
      <c r="A26" s="227" t="s">
        <v>142</v>
      </c>
      <c r="B26" s="228" t="s">
        <v>37</v>
      </c>
      <c r="C26" s="228" t="s">
        <v>142</v>
      </c>
      <c r="D26" s="229" t="s">
        <v>144</v>
      </c>
      <c r="E26" s="229" t="s">
        <v>145</v>
      </c>
      <c r="F26" s="229" t="s">
        <v>146</v>
      </c>
      <c r="G26" s="229" t="s">
        <v>147</v>
      </c>
      <c r="H26" s="230" t="s">
        <v>148</v>
      </c>
      <c r="I26" s="231"/>
    </row>
    <row r="27" spans="1:12" ht="13.5" x14ac:dyDescent="0.25">
      <c r="A27" s="232">
        <v>6</v>
      </c>
      <c r="B27" s="238" t="str">
        <f>IFERROR(VLOOKUP(H27,'[1]Consolidado MP Planta'!$A$2:$M$823,3,0),"")</f>
        <v>BOLSA TRANSPARENTE 56X96X1.80 KILO</v>
      </c>
      <c r="C27" s="233">
        <f t="shared" ref="C27:C32" si="6">+A27</f>
        <v>6</v>
      </c>
      <c r="D27" s="234" t="str">
        <f>IFERROR(VLOOKUP(H27,'[1]Consolidado MP Planta'!$A$2:$M$823,13,0),"")</f>
        <v>Und</v>
      </c>
      <c r="E27" s="234">
        <v>50</v>
      </c>
      <c r="F27" s="234">
        <f t="shared" ref="F27:F32" si="7">IFERROR(C27*E27,"")</f>
        <v>300</v>
      </c>
      <c r="G27" s="235">
        <f t="shared" ref="G27:G32" si="8">IFERROR(F27/$F$66,"")</f>
        <v>1.4488959895524942E-2</v>
      </c>
      <c r="H27" s="239" t="s">
        <v>190</v>
      </c>
      <c r="I27" s="239"/>
      <c r="J27" s="237"/>
      <c r="K27" s="558"/>
      <c r="L27" s="558"/>
    </row>
    <row r="28" spans="1:12" ht="13.5" x14ac:dyDescent="0.25">
      <c r="A28" s="232">
        <v>6</v>
      </c>
      <c r="B28" s="238" t="str">
        <f>IFERROR(VLOOKUP(H28,'[1]Consolidado MP Planta'!$A$2:$M$823,3,0),"")</f>
        <v>ETIQ.FECHA VENCIMIENTO BLANCO (ROLLO)</v>
      </c>
      <c r="C28" s="233">
        <f t="shared" si="6"/>
        <v>6</v>
      </c>
      <c r="D28" s="234" t="str">
        <f>IFERROR(VLOOKUP(H28,'[1]Consolidado MP Planta'!$A$2:$M$823,13,0),"")</f>
        <v>Gramos</v>
      </c>
      <c r="E28" s="234">
        <v>0.33</v>
      </c>
      <c r="F28" s="234">
        <f t="shared" si="7"/>
        <v>1.98</v>
      </c>
      <c r="G28" s="235">
        <f t="shared" si="8"/>
        <v>9.5627135310464613E-5</v>
      </c>
      <c r="H28" s="239" t="s">
        <v>47</v>
      </c>
      <c r="I28" s="239"/>
      <c r="J28" s="237"/>
      <c r="K28" s="558"/>
      <c r="L28" s="558"/>
    </row>
    <row r="29" spans="1:12" ht="15" customHeight="1" x14ac:dyDescent="0.25">
      <c r="A29" s="232">
        <v>6</v>
      </c>
      <c r="B29" s="238" t="str">
        <f>IFERROR(VLOOKUP(H29,'[1]Consolidado MP Planta'!$A$2:$M$823,3,0),"")</f>
        <v>ETIQ.BLANCA 1 1/4 * 3/4 (UND)</v>
      </c>
      <c r="C29" s="233">
        <f t="shared" si="6"/>
        <v>6</v>
      </c>
      <c r="D29" s="234" t="str">
        <f>IFERROR(VLOOKUP(H29,'[1]Consolidado MP Planta'!$A$2:$M$823,13,0),"")</f>
        <v>Und</v>
      </c>
      <c r="E29" s="234">
        <v>0.57999999999999996</v>
      </c>
      <c r="F29" s="234">
        <f t="shared" si="7"/>
        <v>3.4799999999999995</v>
      </c>
      <c r="G29" s="235">
        <f t="shared" si="8"/>
        <v>1.680719347880893E-4</v>
      </c>
      <c r="H29" s="239" t="s">
        <v>51</v>
      </c>
      <c r="I29" s="239"/>
      <c r="J29" s="237"/>
      <c r="K29" s="558"/>
      <c r="L29" s="558"/>
    </row>
    <row r="30" spans="1:12" ht="13.5" hidden="1" x14ac:dyDescent="0.25">
      <c r="A30" s="232"/>
      <c r="B30" s="238" t="str">
        <f>IFERROR(VLOOKUP(H30,'[1]Consolidado MP Planta'!$A$2:$M$823,3,0),"")</f>
        <v/>
      </c>
      <c r="C30" s="233">
        <f t="shared" si="6"/>
        <v>0</v>
      </c>
      <c r="D30" s="234" t="str">
        <f>IFERROR(VLOOKUP(H30,'[1]Consolidado MP Planta'!$A$2:$M$823,13,0),"")</f>
        <v/>
      </c>
      <c r="E30" s="234" t="str">
        <f>IFERROR(VLOOKUP(H30,'[1]Consolidado MP Planta'!$A$2:$M$823,12,0),"")</f>
        <v/>
      </c>
      <c r="F30" s="234" t="str">
        <f t="shared" si="7"/>
        <v/>
      </c>
      <c r="G30" s="235" t="str">
        <f t="shared" si="8"/>
        <v/>
      </c>
      <c r="H30" s="239"/>
      <c r="I30" s="239"/>
      <c r="J30" s="237"/>
      <c r="K30" s="558"/>
      <c r="L30" s="558"/>
    </row>
    <row r="31" spans="1:12" ht="13.5" hidden="1" x14ac:dyDescent="0.25">
      <c r="A31" s="232"/>
      <c r="B31" s="238" t="str">
        <f>IFERROR(VLOOKUP(H31,'[1]Consolidado MP Planta'!$A$2:$M$823,3,0),"")</f>
        <v/>
      </c>
      <c r="C31" s="233">
        <f t="shared" si="6"/>
        <v>0</v>
      </c>
      <c r="D31" s="234" t="str">
        <f>IFERROR(VLOOKUP(H31,'[1]Consolidado MP Planta'!$A$2:$M$823,13,0),"")</f>
        <v/>
      </c>
      <c r="E31" s="234" t="str">
        <f>IFERROR(VLOOKUP(H31,'[1]Consolidado MP Planta'!$A$2:$M$823,12,0),"")</f>
        <v/>
      </c>
      <c r="F31" s="234" t="str">
        <f t="shared" si="7"/>
        <v/>
      </c>
      <c r="G31" s="235" t="str">
        <f t="shared" si="8"/>
        <v/>
      </c>
      <c r="H31" s="239"/>
      <c r="I31" s="239"/>
      <c r="J31" s="237"/>
      <c r="K31" s="240"/>
      <c r="L31" s="241"/>
    </row>
    <row r="32" spans="1:12" ht="13.5" hidden="1" x14ac:dyDescent="0.25">
      <c r="A32" s="232"/>
      <c r="B32" s="238" t="str">
        <f>IFERROR(VLOOKUP(H32,'[1]Consolidado MP Planta'!$A$2:$M$823,3,0),"")</f>
        <v/>
      </c>
      <c r="C32" s="233">
        <f t="shared" si="6"/>
        <v>0</v>
      </c>
      <c r="D32" s="234" t="str">
        <f>IFERROR(VLOOKUP(H32,'[1]Consolidado MP Planta'!$A$2:$M$823,13,0),"")</f>
        <v/>
      </c>
      <c r="E32" s="234" t="str">
        <f>IFERROR(VLOOKUP(H32,'[1]Consolidado MP Planta'!$A$2:$M$823,12,0),"")</f>
        <v/>
      </c>
      <c r="F32" s="234" t="str">
        <f t="shared" si="7"/>
        <v/>
      </c>
      <c r="G32" s="235" t="str">
        <f t="shared" si="8"/>
        <v/>
      </c>
      <c r="H32" s="239"/>
      <c r="I32" s="239"/>
      <c r="J32" s="237"/>
    </row>
    <row r="33" spans="1:13" ht="14.25" thickBot="1" x14ac:dyDescent="0.3">
      <c r="A33" s="232"/>
      <c r="B33" s="238"/>
      <c r="C33" s="233"/>
      <c r="D33" s="234"/>
      <c r="E33" s="234"/>
      <c r="F33" s="234"/>
      <c r="G33" s="235"/>
      <c r="H33" s="239"/>
      <c r="I33" s="239"/>
      <c r="J33" s="237"/>
    </row>
    <row r="34" spans="1:13" ht="26.25" thickBot="1" x14ac:dyDescent="0.25">
      <c r="A34" s="227" t="s">
        <v>142</v>
      </c>
      <c r="B34" s="228" t="s">
        <v>150</v>
      </c>
      <c r="C34" s="228" t="s">
        <v>142</v>
      </c>
      <c r="D34" s="229" t="s">
        <v>144</v>
      </c>
      <c r="E34" s="229" t="s">
        <v>145</v>
      </c>
      <c r="F34" s="229" t="s">
        <v>146</v>
      </c>
      <c r="G34" s="229" t="s">
        <v>147</v>
      </c>
      <c r="H34" s="230" t="s">
        <v>148</v>
      </c>
      <c r="I34" s="239"/>
      <c r="J34" s="237"/>
    </row>
    <row r="35" spans="1:13" ht="13.5" x14ac:dyDescent="0.25">
      <c r="A35" s="232">
        <f>+A17</f>
        <v>10500</v>
      </c>
      <c r="B35" s="238" t="s">
        <v>68</v>
      </c>
      <c r="C35" s="233">
        <f>+A35</f>
        <v>10500</v>
      </c>
      <c r="D35" s="234" t="s">
        <v>187</v>
      </c>
      <c r="E35" s="234">
        <v>0</v>
      </c>
      <c r="F35" s="234">
        <f>IFERROR(E35*C35,"")</f>
        <v>0</v>
      </c>
      <c r="G35" s="235">
        <f t="shared" ref="G35:G41" si="9">IFERROR(F35/$F$66,"")</f>
        <v>0</v>
      </c>
      <c r="H35" s="239" t="s">
        <v>67</v>
      </c>
      <c r="I35" s="239"/>
      <c r="J35" s="237"/>
    </row>
    <row r="36" spans="1:13" ht="13.5" x14ac:dyDescent="0.25">
      <c r="A36" s="232">
        <f t="shared" ref="A36:A41" si="10">+A18</f>
        <v>1300</v>
      </c>
      <c r="B36" s="238" t="s">
        <v>43</v>
      </c>
      <c r="C36" s="233">
        <f t="shared" ref="C36:C41" si="11">+A36</f>
        <v>1300</v>
      </c>
      <c r="D36" s="234" t="s">
        <v>187</v>
      </c>
      <c r="E36" s="234">
        <v>0.01</v>
      </c>
      <c r="F36" s="234">
        <f t="shared" ref="F36:F41" si="12">IFERROR(E36*C36,"")</f>
        <v>13</v>
      </c>
      <c r="G36" s="235">
        <f t="shared" si="9"/>
        <v>6.2785492880608083E-4</v>
      </c>
      <c r="H36" s="239" t="s">
        <v>189</v>
      </c>
      <c r="I36" s="239"/>
      <c r="J36" s="237"/>
    </row>
    <row r="37" spans="1:13" ht="13.5" hidden="1" x14ac:dyDescent="0.25">
      <c r="A37" s="232">
        <f t="shared" si="10"/>
        <v>0</v>
      </c>
      <c r="B37" s="238" t="str">
        <f>IFERROR(VLOOKUP(H37,[1]SEMIELABORADOS!$A$2:$M$6000,2,0),"")</f>
        <v/>
      </c>
      <c r="C37" s="233">
        <f t="shared" si="11"/>
        <v>0</v>
      </c>
      <c r="D37" s="234" t="str">
        <f>IFERROR(VLOOKUP(H37,[1]SEMIELABORADOS!$A$2:$M$6000,6,0),"")</f>
        <v/>
      </c>
      <c r="E37" s="234" t="str">
        <f>IFERROR(VLOOKUP(H37,[1]SEMIELABORADOS!$A$2:$M$65536,10,0),"")</f>
        <v/>
      </c>
      <c r="F37" s="234" t="str">
        <f t="shared" si="12"/>
        <v/>
      </c>
      <c r="G37" s="235" t="str">
        <f t="shared" si="9"/>
        <v/>
      </c>
      <c r="H37" s="239"/>
      <c r="I37" s="239"/>
      <c r="J37" s="237"/>
    </row>
    <row r="38" spans="1:13" ht="13.5" hidden="1" x14ac:dyDescent="0.25">
      <c r="A38" s="232">
        <f t="shared" si="10"/>
        <v>0</v>
      </c>
      <c r="B38" s="238" t="str">
        <f>IFERROR(VLOOKUP(H38,[1]SEMIELABORADOS!$A$2:$M$6000,2,0),"")</f>
        <v/>
      </c>
      <c r="C38" s="233">
        <f>+A38</f>
        <v>0</v>
      </c>
      <c r="D38" s="234" t="str">
        <f>IFERROR(VLOOKUP(H38,[1]SEMIELABORADOS!$A$2:$M$6000,6,0),"")</f>
        <v/>
      </c>
      <c r="E38" s="234" t="str">
        <f>IFERROR(VLOOKUP(H38,[1]SEMIELABORADOS!$A$2:$M$65536,10,0),"")</f>
        <v/>
      </c>
      <c r="F38" s="234" t="str">
        <f>IFERROR(E38*C38,"")</f>
        <v/>
      </c>
      <c r="G38" s="235" t="str">
        <f t="shared" si="9"/>
        <v/>
      </c>
      <c r="H38" s="239"/>
      <c r="I38" s="239"/>
      <c r="J38" s="237"/>
    </row>
    <row r="39" spans="1:13" ht="13.5" hidden="1" x14ac:dyDescent="0.25">
      <c r="A39" s="232">
        <f t="shared" si="10"/>
        <v>0</v>
      </c>
      <c r="B39" s="238" t="str">
        <f>IFERROR(VLOOKUP(H39,[1]SEMIELABORADOS!$A$2:$M$6000,2,0),"")</f>
        <v/>
      </c>
      <c r="C39" s="233">
        <f>+A39</f>
        <v>0</v>
      </c>
      <c r="D39" s="234" t="str">
        <f>IFERROR(VLOOKUP(H39,[1]SEMIELABORADOS!$A$2:$M$6000,6,0),"")</f>
        <v/>
      </c>
      <c r="E39" s="234" t="str">
        <f>IFERROR(VLOOKUP(H39,[1]SEMIELABORADOS!$A$2:$M$65536,10,0),"")</f>
        <v/>
      </c>
      <c r="F39" s="234" t="str">
        <f>IFERROR(E39*C39,"")</f>
        <v/>
      </c>
      <c r="G39" s="235" t="str">
        <f t="shared" si="9"/>
        <v/>
      </c>
      <c r="H39" s="239"/>
      <c r="I39" s="239"/>
      <c r="J39" s="237"/>
    </row>
    <row r="40" spans="1:13" ht="13.5" hidden="1" x14ac:dyDescent="0.25">
      <c r="A40" s="232">
        <f t="shared" si="10"/>
        <v>0</v>
      </c>
      <c r="B40" s="238" t="str">
        <f>IFERROR(VLOOKUP(H40,[1]SEMIELABORADOS!$A$2:$M$6000,2,0),"")</f>
        <v/>
      </c>
      <c r="C40" s="233">
        <f t="shared" si="11"/>
        <v>0</v>
      </c>
      <c r="D40" s="234" t="str">
        <f>IFERROR(VLOOKUP(H40,[1]SEMIELABORADOS!$A$2:$M$6000,6,0),"")</f>
        <v/>
      </c>
      <c r="E40" s="234" t="str">
        <f>IFERROR(VLOOKUP(H40,[1]SEMIELABORADOS!$A$2:$M$65536,10,0),"")</f>
        <v/>
      </c>
      <c r="F40" s="234" t="str">
        <f t="shared" si="12"/>
        <v/>
      </c>
      <c r="G40" s="235" t="str">
        <f t="shared" si="9"/>
        <v/>
      </c>
      <c r="H40" s="239"/>
      <c r="I40" s="239"/>
      <c r="J40" s="237"/>
    </row>
    <row r="41" spans="1:13" ht="13.5" hidden="1" x14ac:dyDescent="0.25">
      <c r="A41" s="232">
        <f t="shared" si="10"/>
        <v>0</v>
      </c>
      <c r="B41" s="238" t="str">
        <f>IFERROR(VLOOKUP(H41,[1]SEMIELABORADOS!$A$2:$M$6000,2,0),"")</f>
        <v/>
      </c>
      <c r="C41" s="233">
        <f t="shared" si="11"/>
        <v>0</v>
      </c>
      <c r="D41" s="234" t="str">
        <f>IFERROR(VLOOKUP(H41,[1]SEMIELABORADOS!$A$2:$M$6000,6,0),"")</f>
        <v/>
      </c>
      <c r="E41" s="234" t="str">
        <f>IFERROR(VLOOKUP(H41,[1]SEMIELABORADOS!$A$2:$M$65536,10,0),"")</f>
        <v/>
      </c>
      <c r="F41" s="234" t="str">
        <f t="shared" si="12"/>
        <v/>
      </c>
      <c r="G41" s="235" t="str">
        <f t="shared" si="9"/>
        <v/>
      </c>
      <c r="H41" s="239"/>
      <c r="I41" s="239"/>
      <c r="J41" s="237"/>
    </row>
    <row r="42" spans="1:13" ht="14.25" thickBot="1" x14ac:dyDescent="0.3">
      <c r="A42" s="232"/>
      <c r="B42" s="238"/>
      <c r="C42" s="233"/>
      <c r="D42" s="234"/>
      <c r="E42" s="234"/>
      <c r="F42" s="234"/>
      <c r="G42" s="235"/>
      <c r="H42" s="239"/>
      <c r="I42" s="239"/>
      <c r="J42" s="237"/>
    </row>
    <row r="43" spans="1:13" ht="26.25" thickBot="1" x14ac:dyDescent="0.3">
      <c r="A43" s="227" t="s">
        <v>142</v>
      </c>
      <c r="B43" s="228" t="s">
        <v>151</v>
      </c>
      <c r="C43" s="228" t="s">
        <v>142</v>
      </c>
      <c r="D43" s="229" t="s">
        <v>144</v>
      </c>
      <c r="E43" s="229" t="s">
        <v>145</v>
      </c>
      <c r="F43" s="229" t="s">
        <v>146</v>
      </c>
      <c r="G43" s="229" t="s">
        <v>147</v>
      </c>
      <c r="H43" s="230" t="s">
        <v>148</v>
      </c>
      <c r="I43" s="231"/>
      <c r="J43" s="237"/>
    </row>
    <row r="44" spans="1:13" ht="13.5" x14ac:dyDescent="0.25">
      <c r="A44" s="232">
        <f>+A35</f>
        <v>10500</v>
      </c>
      <c r="B44" s="238" t="s">
        <v>68</v>
      </c>
      <c r="C44" s="233">
        <f>+A44</f>
        <v>10500</v>
      </c>
      <c r="D44" s="234" t="s">
        <v>187</v>
      </c>
      <c r="E44" s="234">
        <v>0.1</v>
      </c>
      <c r="F44" s="234">
        <f>IFERROR(E44*C44,"")</f>
        <v>1050</v>
      </c>
      <c r="G44" s="235">
        <f>IFERROR(F44/$F$66,"")</f>
        <v>5.0711359634337295E-2</v>
      </c>
      <c r="H44" s="239" t="s">
        <v>67</v>
      </c>
      <c r="I44" s="231"/>
      <c r="J44" s="237"/>
    </row>
    <row r="45" spans="1:13" ht="13.5" x14ac:dyDescent="0.25">
      <c r="A45" s="232">
        <f t="shared" ref="A45:A50" si="13">+A36</f>
        <v>1300</v>
      </c>
      <c r="B45" s="238" t="s">
        <v>43</v>
      </c>
      <c r="C45" s="233">
        <f t="shared" ref="C45:C50" si="14">+A45</f>
        <v>1300</v>
      </c>
      <c r="D45" s="234" t="s">
        <v>187</v>
      </c>
      <c r="E45" s="234">
        <v>0.13</v>
      </c>
      <c r="F45" s="234">
        <f t="shared" ref="F45:F50" si="15">IFERROR(E45*C45,"")</f>
        <v>169</v>
      </c>
      <c r="G45" s="235">
        <f t="shared" ref="G45:G50" si="16">IFERROR(F45/$F$66,"")</f>
        <v>8.1621140744790495E-3</v>
      </c>
      <c r="H45" s="239" t="s">
        <v>189</v>
      </c>
      <c r="I45" s="231"/>
      <c r="J45" s="237"/>
      <c r="M45" s="242"/>
    </row>
    <row r="46" spans="1:13" ht="13.5" hidden="1" x14ac:dyDescent="0.25">
      <c r="A46" s="232">
        <f t="shared" si="13"/>
        <v>0</v>
      </c>
      <c r="B46" s="238" t="str">
        <f>IFERROR(VLOOKUP(H46,[1]SEMIELABORADOS!$A$2:$M$6000,2,0),"")</f>
        <v/>
      </c>
      <c r="C46" s="233">
        <f t="shared" si="14"/>
        <v>0</v>
      </c>
      <c r="D46" s="234" t="str">
        <f>IFERROR(VLOOKUP(H46,[1]SEMIELABORADOS!$A$2:$M$6000,6,0),"")</f>
        <v/>
      </c>
      <c r="E46" s="234" t="str">
        <f>IFERROR(VLOOKUP(H46,[1]SEMIELABORADOS!$A$2:$M$65536,12,0),"")</f>
        <v/>
      </c>
      <c r="F46" s="234" t="str">
        <f t="shared" si="15"/>
        <v/>
      </c>
      <c r="G46" s="235" t="str">
        <f t="shared" si="16"/>
        <v/>
      </c>
      <c r="H46" s="239"/>
      <c r="I46" s="231"/>
      <c r="J46" s="237"/>
    </row>
    <row r="47" spans="1:13" ht="13.5" hidden="1" x14ac:dyDescent="0.25">
      <c r="A47" s="232">
        <f t="shared" si="13"/>
        <v>0</v>
      </c>
      <c r="B47" s="238" t="str">
        <f>IFERROR(VLOOKUP(H47,[1]SEMIELABORADOS!$A$2:$M$6000,2,0),"")</f>
        <v/>
      </c>
      <c r="C47" s="233">
        <f t="shared" si="14"/>
        <v>0</v>
      </c>
      <c r="D47" s="234" t="str">
        <f>IFERROR(VLOOKUP(H47,[1]SEMIELABORADOS!$A$2:$M$6000,6,0),"")</f>
        <v/>
      </c>
      <c r="E47" s="234" t="str">
        <f>IFERROR(VLOOKUP(H47,[1]SEMIELABORADOS!$A$2:$M$65536,12,0),"")</f>
        <v/>
      </c>
      <c r="F47" s="234" t="str">
        <f t="shared" si="15"/>
        <v/>
      </c>
      <c r="G47" s="235" t="str">
        <f t="shared" si="16"/>
        <v/>
      </c>
      <c r="H47" s="239"/>
      <c r="I47" s="231"/>
      <c r="J47" s="237"/>
    </row>
    <row r="48" spans="1:13" ht="13.5" hidden="1" x14ac:dyDescent="0.25">
      <c r="A48" s="232">
        <f t="shared" si="13"/>
        <v>0</v>
      </c>
      <c r="B48" s="238" t="str">
        <f>IFERROR(VLOOKUP(H48,[1]SEMIELABORADOS!$A$2:$M$6000,2,0),"")</f>
        <v/>
      </c>
      <c r="C48" s="233">
        <f t="shared" si="14"/>
        <v>0</v>
      </c>
      <c r="D48" s="234" t="str">
        <f>IFERROR(VLOOKUP(H48,[1]SEMIELABORADOS!$A$2:$M$6000,6,0),"")</f>
        <v/>
      </c>
      <c r="E48" s="234" t="str">
        <f>IFERROR(VLOOKUP(H48,[1]SEMIELABORADOS!$A$2:$M$65536,12,0),"")</f>
        <v/>
      </c>
      <c r="F48" s="234" t="str">
        <f t="shared" si="15"/>
        <v/>
      </c>
      <c r="G48" s="235" t="str">
        <f t="shared" si="16"/>
        <v/>
      </c>
      <c r="H48" s="239"/>
      <c r="I48" s="231"/>
      <c r="J48" s="237"/>
    </row>
    <row r="49" spans="1:17" ht="13.5" hidden="1" x14ac:dyDescent="0.25">
      <c r="A49" s="232">
        <f t="shared" si="13"/>
        <v>0</v>
      </c>
      <c r="B49" s="238" t="str">
        <f>IFERROR(VLOOKUP(H49,[1]SEMIELABORADOS!$A$2:$M$6000,2,0),"")</f>
        <v/>
      </c>
      <c r="C49" s="233">
        <f t="shared" si="14"/>
        <v>0</v>
      </c>
      <c r="D49" s="234" t="str">
        <f>IFERROR(VLOOKUP(H49,[1]SEMIELABORADOS!$A$2:$M$6000,6,0),"")</f>
        <v/>
      </c>
      <c r="E49" s="234" t="str">
        <f>IFERROR(VLOOKUP(H49,[1]SEMIELABORADOS!$A$2:$M$65536,12,0),"")</f>
        <v/>
      </c>
      <c r="F49" s="234" t="str">
        <f t="shared" si="15"/>
        <v/>
      </c>
      <c r="G49" s="235" t="str">
        <f t="shared" si="16"/>
        <v/>
      </c>
      <c r="H49" s="239"/>
      <c r="I49" s="231"/>
      <c r="J49" s="237"/>
    </row>
    <row r="50" spans="1:17" ht="13.5" hidden="1" x14ac:dyDescent="0.25">
      <c r="A50" s="232">
        <f t="shared" si="13"/>
        <v>0</v>
      </c>
      <c r="B50" s="238" t="str">
        <f>IFERROR(VLOOKUP(H50,[1]SEMIELABORADOS!$A$2:$M$6000,2,0),"")</f>
        <v/>
      </c>
      <c r="C50" s="233">
        <f t="shared" si="14"/>
        <v>0</v>
      </c>
      <c r="D50" s="234" t="str">
        <f>IFERROR(VLOOKUP(H50,[1]SEMIELABORADOS!$A$2:$M$6000,6,0),"")</f>
        <v/>
      </c>
      <c r="E50" s="234" t="str">
        <f>IFERROR(VLOOKUP(H50,[1]SEMIELABORADOS!$A$2:$M$65536,12,0),"")</f>
        <v/>
      </c>
      <c r="F50" s="234" t="str">
        <f t="shared" si="15"/>
        <v/>
      </c>
      <c r="G50" s="235" t="str">
        <f t="shared" si="16"/>
        <v/>
      </c>
      <c r="H50" s="238"/>
      <c r="I50" s="231"/>
      <c r="J50" s="237"/>
    </row>
    <row r="51" spans="1:17" ht="13.5" x14ac:dyDescent="0.25">
      <c r="A51" s="232">
        <v>1</v>
      </c>
      <c r="B51" s="238" t="s">
        <v>152</v>
      </c>
      <c r="C51" s="233">
        <f>+A51</f>
        <v>1</v>
      </c>
      <c r="D51" s="233" t="s">
        <v>153</v>
      </c>
      <c r="E51" s="234">
        <f>+F65</f>
        <v>2233</v>
      </c>
      <c r="F51" s="234">
        <f>IFERROR(C51*E51,"")</f>
        <v>2233</v>
      </c>
      <c r="G51" s="235">
        <f>IFERROR(F51/$F$66,"")</f>
        <v>0.10784615815569064</v>
      </c>
      <c r="H51" s="243"/>
      <c r="I51" s="243"/>
      <c r="J51" s="237"/>
    </row>
    <row r="52" spans="1:17" ht="14.25" thickBot="1" x14ac:dyDescent="0.3">
      <c r="A52" s="232"/>
      <c r="B52" s="238"/>
      <c r="C52" s="233"/>
      <c r="D52" s="233"/>
      <c r="E52" s="234"/>
      <c r="F52" s="234"/>
      <c r="G52" s="235"/>
      <c r="H52" s="243"/>
      <c r="I52" s="243"/>
      <c r="J52" s="237"/>
    </row>
    <row r="53" spans="1:17" ht="13.5" thickBot="1" x14ac:dyDescent="0.3">
      <c r="A53" s="244"/>
      <c r="B53" s="559" t="s">
        <v>154</v>
      </c>
      <c r="C53" s="559"/>
      <c r="D53" s="559"/>
      <c r="E53" s="559"/>
      <c r="F53" s="246">
        <f>SUM(F8:F14,F17:F24)</f>
        <v>17798</v>
      </c>
      <c r="G53" s="235">
        <f>+F53/$F$66</f>
        <v>0.85958169406850971</v>
      </c>
      <c r="H53" s="247">
        <f>+F53/$D$60</f>
        <v>355.96</v>
      </c>
      <c r="I53" s="247"/>
      <c r="J53" s="248"/>
      <c r="K53" s="249"/>
      <c r="L53" s="249"/>
      <c r="M53" s="249"/>
      <c r="N53" s="249"/>
      <c r="O53" s="249"/>
      <c r="P53" s="249"/>
      <c r="Q53" s="250"/>
    </row>
    <row r="54" spans="1:17" x14ac:dyDescent="0.2">
      <c r="A54" s="244"/>
      <c r="B54" s="559" t="s">
        <v>155</v>
      </c>
      <c r="C54" s="559"/>
      <c r="D54" s="559"/>
      <c r="E54" s="559"/>
      <c r="F54" s="246">
        <f>SUM(F27:F32,F35:F41)</f>
        <v>318.46000000000004</v>
      </c>
      <c r="G54" s="235">
        <f>+F54/$F$66</f>
        <v>1.5380513894429577E-2</v>
      </c>
      <c r="H54" s="247">
        <f>+F54/$D$60</f>
        <v>6.3692000000000011</v>
      </c>
      <c r="I54" s="247"/>
      <c r="J54" s="251"/>
      <c r="K54" s="560" t="s">
        <v>156</v>
      </c>
      <c r="L54" s="561"/>
      <c r="M54" s="561"/>
      <c r="N54" s="561"/>
      <c r="O54" s="252">
        <f>+F55</f>
        <v>18116.46</v>
      </c>
      <c r="P54" s="252"/>
      <c r="Q54" s="253"/>
    </row>
    <row r="55" spans="1:17" x14ac:dyDescent="0.2">
      <c r="A55" s="244"/>
      <c r="B55" s="559" t="s">
        <v>157</v>
      </c>
      <c r="C55" s="559"/>
      <c r="D55" s="559"/>
      <c r="E55" s="559"/>
      <c r="F55" s="246">
        <f>+F53+F54</f>
        <v>18116.46</v>
      </c>
      <c r="G55" s="235">
        <f>+F55/$F$66</f>
        <v>0.87496220796293922</v>
      </c>
      <c r="H55" s="247">
        <f>+F55/$D$60</f>
        <v>362.32919999999996</v>
      </c>
      <c r="I55" s="247"/>
      <c r="J55" s="254"/>
      <c r="K55" s="255"/>
      <c r="M55" s="256" t="s">
        <v>158</v>
      </c>
      <c r="N55" s="257"/>
      <c r="O55" s="252">
        <f>+H56</f>
        <v>69.040000000000006</v>
      </c>
      <c r="P55" s="252"/>
      <c r="Q55" s="253"/>
    </row>
    <row r="56" spans="1:17" ht="13.5" thickBot="1" x14ac:dyDescent="0.25">
      <c r="A56" s="244"/>
      <c r="B56" s="245"/>
      <c r="C56" s="559" t="s">
        <v>159</v>
      </c>
      <c r="D56" s="559"/>
      <c r="E56" s="559"/>
      <c r="F56" s="246">
        <f>SUM(F44:F51)</f>
        <v>3452</v>
      </c>
      <c r="G56" s="235">
        <f>+F56/$F$66</f>
        <v>0.166719631864507</v>
      </c>
      <c r="H56" s="247">
        <f>+F56/$D$60</f>
        <v>69.040000000000006</v>
      </c>
      <c r="I56" s="247"/>
      <c r="J56" s="254"/>
      <c r="K56" s="255"/>
      <c r="L56" s="255"/>
      <c r="M56" s="255" t="s">
        <v>160</v>
      </c>
      <c r="N56" s="258"/>
      <c r="O56" s="252">
        <f>O54*N56</f>
        <v>0</v>
      </c>
      <c r="P56" s="252"/>
      <c r="Q56" s="253"/>
    </row>
    <row r="57" spans="1:17" ht="13.5" thickBot="1" x14ac:dyDescent="0.25">
      <c r="A57" s="244"/>
      <c r="B57" s="259"/>
      <c r="C57" s="259"/>
      <c r="D57" s="259"/>
      <c r="E57" s="259"/>
      <c r="F57" s="260"/>
      <c r="G57" s="235"/>
      <c r="H57" s="261"/>
      <c r="I57" s="247"/>
      <c r="J57" s="254"/>
      <c r="K57" s="262"/>
      <c r="M57" s="263" t="s">
        <v>161</v>
      </c>
      <c r="N57" s="264"/>
      <c r="O57" s="265">
        <f>SUM(O54:O56)</f>
        <v>18185.5</v>
      </c>
      <c r="P57" s="266"/>
      <c r="Q57" s="253"/>
    </row>
    <row r="58" spans="1:17" x14ac:dyDescent="0.2">
      <c r="B58" s="562" t="s">
        <v>162</v>
      </c>
      <c r="C58" s="562"/>
      <c r="D58" s="267">
        <v>10500</v>
      </c>
      <c r="E58" s="268"/>
      <c r="G58" s="235"/>
      <c r="H58" s="261">
        <f>+H56/77</f>
        <v>0.89662337662337666</v>
      </c>
      <c r="I58" s="269"/>
      <c r="J58" s="254"/>
      <c r="K58" s="262"/>
      <c r="L58" s="255"/>
      <c r="M58" s="255" t="s">
        <v>163</v>
      </c>
      <c r="N58" s="270"/>
      <c r="O58" s="252">
        <f>+H59</f>
        <v>74.419740259740266</v>
      </c>
      <c r="P58" s="252"/>
      <c r="Q58" s="253"/>
    </row>
    <row r="59" spans="1:17" x14ac:dyDescent="0.2">
      <c r="B59" s="562" t="s">
        <v>164</v>
      </c>
      <c r="C59" s="562"/>
      <c r="D59" s="271">
        <v>210</v>
      </c>
      <c r="E59" s="268"/>
      <c r="G59" s="235"/>
      <c r="H59" s="261">
        <f>+H58*83</f>
        <v>74.419740259740266</v>
      </c>
      <c r="I59" s="269"/>
      <c r="J59" s="254"/>
      <c r="K59" s="262"/>
      <c r="L59" s="255"/>
      <c r="M59" s="563" t="s">
        <v>161</v>
      </c>
      <c r="N59" s="563"/>
      <c r="O59" s="252">
        <f>SUM(O57:O58)</f>
        <v>18259.919740259742</v>
      </c>
      <c r="P59" s="252"/>
      <c r="Q59" s="253"/>
    </row>
    <row r="60" spans="1:17" ht="13.5" thickBot="1" x14ac:dyDescent="0.25">
      <c r="B60" s="554" t="s">
        <v>165</v>
      </c>
      <c r="C60" s="554"/>
      <c r="D60" s="267">
        <f>+D58/D59</f>
        <v>50</v>
      </c>
      <c r="E60" s="268"/>
      <c r="F60" s="272"/>
      <c r="G60" s="235"/>
      <c r="H60" s="261"/>
      <c r="I60" s="269"/>
      <c r="J60" s="254"/>
      <c r="K60" s="262"/>
      <c r="L60" s="563"/>
      <c r="M60" s="563"/>
      <c r="N60" s="270"/>
      <c r="O60" s="252">
        <f>+O59*N60</f>
        <v>0</v>
      </c>
      <c r="P60" s="252"/>
      <c r="Q60" s="253"/>
    </row>
    <row r="61" spans="1:17" ht="13.5" thickBot="1" x14ac:dyDescent="0.25">
      <c r="B61" s="554" t="s">
        <v>166</v>
      </c>
      <c r="C61" s="554"/>
      <c r="D61" s="273"/>
      <c r="E61" s="268"/>
      <c r="F61" s="272"/>
      <c r="G61" s="235"/>
      <c r="H61" s="261"/>
      <c r="I61" s="269"/>
      <c r="J61" s="254"/>
      <c r="K61" s="555" t="s">
        <v>167</v>
      </c>
      <c r="L61" s="556"/>
      <c r="M61" s="556"/>
      <c r="N61" s="557"/>
      <c r="O61" s="265">
        <f>SUM(O59:O60)</f>
        <v>18259.919740259742</v>
      </c>
      <c r="P61" s="274" t="s">
        <v>168</v>
      </c>
      <c r="Q61" s="253"/>
    </row>
    <row r="62" spans="1:17" ht="13.5" thickBot="1" x14ac:dyDescent="0.25">
      <c r="C62" s="244" t="s">
        <v>169</v>
      </c>
      <c r="D62" s="275"/>
      <c r="E62" s="218" t="s">
        <v>170</v>
      </c>
      <c r="F62" s="276" t="s">
        <v>171</v>
      </c>
      <c r="G62" s="235"/>
      <c r="H62" s="261"/>
      <c r="I62" s="269"/>
      <c r="J62" s="277"/>
      <c r="K62" s="278"/>
      <c r="L62" s="543" t="s">
        <v>172</v>
      </c>
      <c r="M62" s="543"/>
      <c r="N62" s="543"/>
      <c r="O62" s="279">
        <f>+O61/D60</f>
        <v>365.19839480519482</v>
      </c>
      <c r="P62" s="280">
        <f>+O62/D59</f>
        <v>1.7390399752628325</v>
      </c>
      <c r="Q62" s="281"/>
    </row>
    <row r="63" spans="1:17" ht="13.5" thickBot="1" x14ac:dyDescent="0.25">
      <c r="B63" s="544" t="s">
        <v>157</v>
      </c>
      <c r="C63" s="544"/>
      <c r="D63" s="544"/>
      <c r="E63" s="282">
        <f>+F63/F63</f>
        <v>1</v>
      </c>
      <c r="F63" s="283">
        <f>SUM(F55)</f>
        <v>18116.46</v>
      </c>
      <c r="G63" s="235">
        <f>+F63/$F$66</f>
        <v>0.87496220796293922</v>
      </c>
      <c r="H63" s="261"/>
      <c r="I63" s="269"/>
      <c r="K63" s="545"/>
      <c r="L63" s="546"/>
      <c r="M63" s="546"/>
      <c r="N63" s="546"/>
      <c r="O63" s="284"/>
      <c r="P63" s="285"/>
    </row>
    <row r="64" spans="1:17" ht="13.5" thickBot="1" x14ac:dyDescent="0.3">
      <c r="B64" s="547" t="s">
        <v>173</v>
      </c>
      <c r="C64" s="547"/>
      <c r="D64" s="547"/>
      <c r="E64" s="286">
        <v>0.02</v>
      </c>
      <c r="F64" s="283">
        <f>+F53*E64</f>
        <v>355.96</v>
      </c>
      <c r="G64" s="235">
        <f>+F64/$F$66</f>
        <v>1.7191633881370193E-2</v>
      </c>
      <c r="H64" s="247"/>
      <c r="I64" s="269"/>
      <c r="J64" s="287"/>
      <c r="O64" s="288"/>
      <c r="P64" s="245"/>
    </row>
    <row r="65" spans="2:13" ht="13.5" thickBot="1" x14ac:dyDescent="0.3">
      <c r="B65" s="548" t="s">
        <v>174</v>
      </c>
      <c r="C65" s="549"/>
      <c r="D65" s="289">
        <v>29</v>
      </c>
      <c r="E65" s="290">
        <v>77</v>
      </c>
      <c r="F65" s="283">
        <f>+E65*D65</f>
        <v>2233</v>
      </c>
      <c r="G65" s="235">
        <f>+F65/$F$66</f>
        <v>0.10784615815569064</v>
      </c>
      <c r="H65" s="247"/>
      <c r="I65" s="247"/>
      <c r="J65" s="237"/>
    </row>
    <row r="66" spans="2:13" ht="13.5" thickBot="1" x14ac:dyDescent="0.3">
      <c r="B66" s="550" t="s">
        <v>175</v>
      </c>
      <c r="C66" s="551"/>
      <c r="D66" s="551"/>
      <c r="E66" s="552"/>
      <c r="F66" s="260">
        <f>SUM(F63:F65)</f>
        <v>20705.419999999998</v>
      </c>
      <c r="G66" s="235">
        <f>+F66/$F$66</f>
        <v>1</v>
      </c>
      <c r="H66" s="553"/>
      <c r="I66" s="247"/>
      <c r="J66" s="237"/>
      <c r="M66" s="220" t="s">
        <v>176</v>
      </c>
    </row>
    <row r="67" spans="2:13" x14ac:dyDescent="0.25">
      <c r="C67" s="242"/>
      <c r="D67" s="242"/>
      <c r="E67" s="292"/>
      <c r="F67" s="283"/>
      <c r="G67" s="235"/>
      <c r="H67" s="553"/>
      <c r="I67" s="291"/>
      <c r="J67" s="220"/>
      <c r="M67" s="220" t="s">
        <v>177</v>
      </c>
    </row>
    <row r="68" spans="2:13" ht="13.5" thickBot="1" x14ac:dyDescent="0.3">
      <c r="B68" s="538" t="s">
        <v>178</v>
      </c>
      <c r="C68" s="538"/>
      <c r="D68" s="538"/>
      <c r="E68" s="538"/>
      <c r="F68" s="538"/>
      <c r="G68" s="235"/>
      <c r="H68" s="294"/>
      <c r="I68" s="291"/>
      <c r="J68" s="220"/>
      <c r="M68" s="220" t="s">
        <v>179</v>
      </c>
    </row>
    <row r="69" spans="2:13" ht="13.5" thickBot="1" x14ac:dyDescent="0.3">
      <c r="B69" s="295" t="s">
        <v>180</v>
      </c>
      <c r="C69" s="296">
        <f>+F53</f>
        <v>17798</v>
      </c>
      <c r="D69" s="296">
        <f>+D58</f>
        <v>10500</v>
      </c>
      <c r="E69" s="297">
        <f>+C69/D69</f>
        <v>1.6950476190476191</v>
      </c>
      <c r="F69" s="235"/>
      <c r="G69" s="294"/>
      <c r="H69" s="237"/>
      <c r="I69" s="294"/>
      <c r="J69" s="220"/>
    </row>
    <row r="70" spans="2:13" x14ac:dyDescent="0.25">
      <c r="B70" s="298"/>
      <c r="C70" s="299"/>
      <c r="D70" s="300"/>
      <c r="E70" s="283"/>
      <c r="F70" s="235"/>
      <c r="G70" s="294"/>
      <c r="H70" s="237"/>
      <c r="I70" s="237"/>
      <c r="J70" s="220"/>
    </row>
    <row r="71" spans="2:13" x14ac:dyDescent="0.25">
      <c r="B71" s="295" t="s">
        <v>181</v>
      </c>
      <c r="C71" s="296">
        <f>SUM(F63:F64)</f>
        <v>18472.419999999998</v>
      </c>
      <c r="D71" s="296">
        <f>+D58</f>
        <v>10500</v>
      </c>
      <c r="E71" s="301">
        <f>+C71/D71</f>
        <v>1.7592780952380951</v>
      </c>
      <c r="F71" s="235"/>
      <c r="G71" s="294"/>
      <c r="H71" s="237"/>
      <c r="I71" s="237"/>
      <c r="J71" s="220"/>
    </row>
    <row r="72" spans="2:13" x14ac:dyDescent="0.25">
      <c r="B72" s="295"/>
      <c r="C72" s="296"/>
      <c r="D72" s="296"/>
      <c r="E72" s="301"/>
      <c r="F72" s="235"/>
      <c r="G72" s="294"/>
      <c r="H72" s="237"/>
      <c r="I72" s="237"/>
      <c r="J72" s="220"/>
    </row>
    <row r="73" spans="2:13" ht="13.5" thickBot="1" x14ac:dyDescent="0.3">
      <c r="B73" s="295" t="s">
        <v>182</v>
      </c>
      <c r="C73" s="296">
        <f>+F65</f>
        <v>2233</v>
      </c>
      <c r="D73" s="296">
        <f>+D58</f>
        <v>10500</v>
      </c>
      <c r="E73" s="301">
        <f>+C73/D73</f>
        <v>0.21266666666666667</v>
      </c>
      <c r="F73" s="235"/>
      <c r="G73" s="294"/>
      <c r="H73" s="237"/>
      <c r="I73" s="237"/>
      <c r="J73" s="220"/>
    </row>
    <row r="74" spans="2:13" ht="13.5" thickBot="1" x14ac:dyDescent="0.3">
      <c r="B74" s="295" t="s">
        <v>183</v>
      </c>
      <c r="C74" s="296">
        <f>+F56</f>
        <v>3452</v>
      </c>
      <c r="D74" s="296">
        <f>+D73</f>
        <v>10500</v>
      </c>
      <c r="E74" s="297">
        <f>+C74/D74</f>
        <v>0.32876190476190476</v>
      </c>
      <c r="F74" s="235"/>
      <c r="G74" s="294"/>
      <c r="H74" s="237"/>
      <c r="I74" s="237"/>
      <c r="J74" s="220"/>
    </row>
    <row r="75" spans="2:13" ht="13.5" thickBot="1" x14ac:dyDescent="0.3">
      <c r="B75" s="259"/>
      <c r="C75" s="260"/>
      <c r="D75" s="260"/>
      <c r="E75" s="301"/>
      <c r="F75" s="235"/>
      <c r="G75" s="294"/>
      <c r="H75" s="237"/>
      <c r="I75" s="237"/>
      <c r="J75" s="220"/>
    </row>
    <row r="76" spans="2:13" ht="13.5" thickBot="1" x14ac:dyDescent="0.3">
      <c r="B76" s="295" t="s">
        <v>184</v>
      </c>
      <c r="C76" s="296">
        <f>+F54</f>
        <v>318.46000000000004</v>
      </c>
      <c r="D76" s="296">
        <f>+D74</f>
        <v>10500</v>
      </c>
      <c r="E76" s="297">
        <f>+C76/D76</f>
        <v>3.0329523809523813E-2</v>
      </c>
      <c r="F76" s="235"/>
      <c r="G76" s="294"/>
      <c r="H76" s="237"/>
      <c r="I76" s="237"/>
      <c r="J76" s="237"/>
    </row>
    <row r="77" spans="2:13" ht="13.5" thickBot="1" x14ac:dyDescent="0.3">
      <c r="B77" s="259"/>
      <c r="C77" s="260"/>
      <c r="D77" s="260"/>
      <c r="E77" s="301"/>
      <c r="F77" s="235"/>
      <c r="G77" s="294"/>
      <c r="H77" s="237"/>
      <c r="I77" s="237"/>
    </row>
    <row r="78" spans="2:13" ht="13.5" thickBot="1" x14ac:dyDescent="0.3">
      <c r="B78" s="539" t="s">
        <v>185</v>
      </c>
      <c r="C78" s="540"/>
      <c r="D78" s="541"/>
      <c r="E78" s="297">
        <f>+E69+E74</f>
        <v>2.0238095238095237</v>
      </c>
      <c r="G78" s="235"/>
      <c r="H78" s="294"/>
      <c r="I78" s="237"/>
      <c r="J78" s="301"/>
    </row>
    <row r="79" spans="2:13" x14ac:dyDescent="0.25">
      <c r="I79" s="294"/>
      <c r="J79" s="220"/>
    </row>
    <row r="80" spans="2:13" ht="13.5" thickBot="1" x14ac:dyDescent="0.3">
      <c r="B80" s="538" t="s">
        <v>186</v>
      </c>
      <c r="C80" s="538"/>
      <c r="D80" s="538"/>
      <c r="E80" s="538"/>
      <c r="F80" s="538"/>
      <c r="G80" s="235"/>
      <c r="H80" s="294"/>
      <c r="J80" s="220"/>
    </row>
    <row r="81" spans="1:10" ht="13.5" thickBot="1" x14ac:dyDescent="0.3">
      <c r="B81" s="295" t="s">
        <v>180</v>
      </c>
      <c r="C81" s="296">
        <f>+C69</f>
        <v>17798</v>
      </c>
      <c r="D81" s="296">
        <f>+D60</f>
        <v>50</v>
      </c>
      <c r="E81" s="297">
        <f>+C81/D81</f>
        <v>355.96</v>
      </c>
      <c r="F81" s="235"/>
      <c r="G81" s="294"/>
      <c r="H81" s="237"/>
      <c r="I81" s="294"/>
      <c r="J81" s="220"/>
    </row>
    <row r="82" spans="1:10" x14ac:dyDescent="0.25">
      <c r="B82" s="298"/>
      <c r="C82" s="299"/>
      <c r="D82" s="300"/>
      <c r="E82" s="283"/>
      <c r="F82" s="235"/>
      <c r="G82" s="294"/>
      <c r="H82" s="237"/>
      <c r="I82" s="237"/>
      <c r="J82" s="220"/>
    </row>
    <row r="83" spans="1:10" x14ac:dyDescent="0.25">
      <c r="B83" s="295" t="s">
        <v>181</v>
      </c>
      <c r="C83" s="296">
        <f>+C71</f>
        <v>18472.419999999998</v>
      </c>
      <c r="D83" s="296">
        <f>+D60</f>
        <v>50</v>
      </c>
      <c r="E83" s="301">
        <f>+C83/D83</f>
        <v>369.44839999999999</v>
      </c>
      <c r="F83" s="235"/>
      <c r="G83" s="294"/>
      <c r="H83" s="237"/>
      <c r="I83" s="237"/>
      <c r="J83" s="220"/>
    </row>
    <row r="84" spans="1:10" x14ac:dyDescent="0.25">
      <c r="B84" s="295"/>
      <c r="C84" s="296"/>
      <c r="D84" s="296"/>
      <c r="E84" s="301"/>
      <c r="F84" s="235"/>
      <c r="G84" s="294"/>
      <c r="H84" s="237"/>
      <c r="I84" s="237"/>
      <c r="J84" s="220"/>
    </row>
    <row r="85" spans="1:10" ht="13.5" thickBot="1" x14ac:dyDescent="0.3">
      <c r="B85" s="295" t="s">
        <v>183</v>
      </c>
      <c r="C85" s="296">
        <f>+C73</f>
        <v>2233</v>
      </c>
      <c r="D85" s="296">
        <f>+D60</f>
        <v>50</v>
      </c>
      <c r="E85" s="301">
        <f>+C85/D85</f>
        <v>44.66</v>
      </c>
      <c r="F85" s="303"/>
      <c r="G85" s="293"/>
      <c r="H85" s="219"/>
      <c r="I85" s="237"/>
    </row>
    <row r="86" spans="1:10" ht="13.5" thickBot="1" x14ac:dyDescent="0.3">
      <c r="B86" s="295" t="s">
        <v>183</v>
      </c>
      <c r="C86" s="296">
        <f>+C74</f>
        <v>3452</v>
      </c>
      <c r="D86" s="296">
        <f>+D85</f>
        <v>50</v>
      </c>
      <c r="E86" s="297">
        <f>+C86/D86</f>
        <v>69.040000000000006</v>
      </c>
      <c r="F86" s="302"/>
      <c r="G86" s="293"/>
      <c r="H86" s="219"/>
      <c r="I86" s="219"/>
    </row>
    <row r="87" spans="1:10" x14ac:dyDescent="0.25">
      <c r="I87" s="219"/>
    </row>
    <row r="88" spans="1:10" x14ac:dyDescent="0.2">
      <c r="A88" s="542"/>
      <c r="B88" s="542"/>
      <c r="C88" s="304"/>
      <c r="D88" s="304"/>
      <c r="E88" s="305"/>
      <c r="G88" s="306"/>
    </row>
    <row r="89" spans="1:10" x14ac:dyDescent="0.2">
      <c r="A89" s="238"/>
      <c r="B89" s="307"/>
      <c r="C89" s="308"/>
      <c r="D89" s="308"/>
      <c r="E89" s="309"/>
      <c r="G89" s="306"/>
    </row>
    <row r="90" spans="1:10" x14ac:dyDescent="0.2">
      <c r="A90" s="238"/>
      <c r="B90" s="307"/>
      <c r="C90" s="310"/>
      <c r="D90" s="310"/>
      <c r="E90" s="238"/>
      <c r="G90" s="306"/>
    </row>
    <row r="91" spans="1:10" x14ac:dyDescent="0.2">
      <c r="A91" s="238"/>
      <c r="B91" s="307"/>
      <c r="C91" s="311"/>
      <c r="D91" s="311"/>
      <c r="E91" s="238"/>
      <c r="G91" s="30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A9EE-ACDB-4D89-8A35-6C395664017C}">
  <dimension ref="A1:K58"/>
  <sheetViews>
    <sheetView topLeftCell="A15" zoomScale="82" workbookViewId="0">
      <selection activeCell="A30" sqref="A30:A3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33.7109375" bestFit="1" customWidth="1"/>
    <col min="9" max="9" width="17.42578125" bestFit="1" customWidth="1"/>
  </cols>
  <sheetData>
    <row r="1" spans="1:11" ht="15.75" x14ac:dyDescent="0.25">
      <c r="A1" s="646"/>
      <c r="B1" s="647"/>
      <c r="C1" s="652" t="s">
        <v>33</v>
      </c>
      <c r="D1" s="652"/>
      <c r="E1" s="652"/>
      <c r="F1" s="652"/>
      <c r="G1" s="652"/>
      <c r="H1" s="15" t="s">
        <v>32</v>
      </c>
      <c r="I1" s="16"/>
    </row>
    <row r="2" spans="1:11" ht="18" customHeight="1" thickBot="1" x14ac:dyDescent="0.3">
      <c r="A2" s="648"/>
      <c r="B2" s="649"/>
      <c r="C2" s="653" t="s">
        <v>31</v>
      </c>
      <c r="D2" s="654"/>
      <c r="E2" s="654"/>
      <c r="F2" s="654"/>
      <c r="G2" s="655"/>
      <c r="H2" s="17" t="s">
        <v>30</v>
      </c>
      <c r="I2" s="18"/>
    </row>
    <row r="3" spans="1:11" ht="31.5" customHeight="1" thickBot="1" x14ac:dyDescent="0.3">
      <c r="A3" s="648"/>
      <c r="B3" s="649"/>
      <c r="C3" s="676" t="s">
        <v>82</v>
      </c>
      <c r="D3" s="676"/>
      <c r="E3" s="676"/>
      <c r="F3" s="676"/>
      <c r="G3" s="677"/>
      <c r="H3" s="659" t="s">
        <v>29</v>
      </c>
      <c r="I3" s="637"/>
    </row>
    <row r="4" spans="1:11" ht="18" customHeight="1" x14ac:dyDescent="0.25">
      <c r="A4" s="648"/>
      <c r="B4" s="649"/>
      <c r="C4" s="19" t="s">
        <v>28</v>
      </c>
      <c r="D4" s="640" t="s">
        <v>38</v>
      </c>
      <c r="E4" s="641"/>
      <c r="F4" s="641"/>
      <c r="G4" s="642"/>
      <c r="H4" s="660"/>
      <c r="I4" s="638"/>
    </row>
    <row r="5" spans="1:11" ht="15.75" thickBot="1" x14ac:dyDescent="0.3">
      <c r="A5" s="650"/>
      <c r="B5" s="651"/>
      <c r="C5" s="20" t="s">
        <v>27</v>
      </c>
      <c r="D5" s="643" t="s">
        <v>26</v>
      </c>
      <c r="E5" s="644"/>
      <c r="F5" s="644"/>
      <c r="G5" s="645"/>
      <c r="H5" s="661"/>
      <c r="I5" s="639"/>
    </row>
    <row r="6" spans="1:11" ht="18.75" thickBot="1" x14ac:dyDescent="0.3">
      <c r="A6" s="518" t="s">
        <v>25</v>
      </c>
      <c r="B6" s="518"/>
      <c r="C6" s="518"/>
      <c r="D6" s="519" t="s">
        <v>40</v>
      </c>
      <c r="E6" s="519"/>
      <c r="F6" s="519"/>
      <c r="G6" s="517" t="s">
        <v>24</v>
      </c>
      <c r="H6" s="517"/>
      <c r="I6" s="21" t="s">
        <v>73</v>
      </c>
    </row>
    <row r="7" spans="1:11" ht="25.5" x14ac:dyDescent="0.25">
      <c r="A7" s="631" t="s">
        <v>23</v>
      </c>
      <c r="B7" s="633" t="s">
        <v>34</v>
      </c>
      <c r="C7" s="635" t="s">
        <v>22</v>
      </c>
      <c r="D7" s="635" t="s">
        <v>21</v>
      </c>
      <c r="E7" s="635" t="s">
        <v>20</v>
      </c>
      <c r="F7" s="635"/>
      <c r="G7" s="635" t="s">
        <v>19</v>
      </c>
      <c r="H7" s="635"/>
      <c r="I7" s="22" t="s">
        <v>18</v>
      </c>
    </row>
    <row r="8" spans="1:11" ht="27" thickBot="1" x14ac:dyDescent="0.3">
      <c r="A8" s="632"/>
      <c r="B8" s="634"/>
      <c r="C8" s="636"/>
      <c r="D8" s="636"/>
      <c r="E8" s="23" t="s">
        <v>14</v>
      </c>
      <c r="F8" s="24" t="s">
        <v>17</v>
      </c>
      <c r="G8" s="23" t="s">
        <v>14</v>
      </c>
      <c r="H8" s="24" t="s">
        <v>17</v>
      </c>
      <c r="I8" s="25" t="s">
        <v>16</v>
      </c>
    </row>
    <row r="9" spans="1:11" x14ac:dyDescent="0.25">
      <c r="A9" s="26"/>
      <c r="B9" s="27"/>
      <c r="C9" s="28" t="s">
        <v>35</v>
      </c>
      <c r="D9" s="29"/>
      <c r="E9" s="11"/>
      <c r="F9" s="12"/>
      <c r="G9" s="11"/>
      <c r="H9" s="12"/>
      <c r="I9" s="30"/>
    </row>
    <row r="10" spans="1:11" ht="18" customHeight="1" x14ac:dyDescent="0.25">
      <c r="A10" s="47"/>
      <c r="B10" s="151" t="s">
        <v>66</v>
      </c>
      <c r="C10" s="49" t="s">
        <v>83</v>
      </c>
      <c r="D10" s="50" t="s">
        <v>15</v>
      </c>
      <c r="E10" s="152">
        <f>240*4.54</f>
        <v>1089.5999999999999</v>
      </c>
      <c r="F10" s="153" t="s">
        <v>1</v>
      </c>
      <c r="G10" s="35" t="s">
        <v>133</v>
      </c>
      <c r="H10" s="36"/>
      <c r="I10" s="30"/>
    </row>
    <row r="11" spans="1:11" x14ac:dyDescent="0.25">
      <c r="A11" s="47"/>
      <c r="B11" s="154"/>
      <c r="C11" s="155"/>
      <c r="D11" s="50"/>
      <c r="E11" s="51"/>
      <c r="F11" s="52"/>
      <c r="G11" s="35"/>
      <c r="H11" s="36"/>
      <c r="I11" s="30"/>
    </row>
    <row r="12" spans="1:11" x14ac:dyDescent="0.25">
      <c r="A12" s="47"/>
      <c r="B12" s="154"/>
      <c r="C12" s="155"/>
      <c r="D12" s="50"/>
      <c r="E12" s="51"/>
      <c r="F12" s="52"/>
      <c r="G12" s="7"/>
      <c r="H12" s="36"/>
      <c r="I12" s="30"/>
    </row>
    <row r="13" spans="1:11" x14ac:dyDescent="0.25">
      <c r="A13" s="47"/>
      <c r="B13" s="154"/>
      <c r="C13" s="155"/>
      <c r="D13" s="50"/>
      <c r="E13" s="51"/>
      <c r="F13" s="52"/>
      <c r="G13" s="7"/>
      <c r="H13" s="36"/>
      <c r="I13" s="30"/>
    </row>
    <row r="14" spans="1:11" x14ac:dyDescent="0.25">
      <c r="A14" s="156"/>
      <c r="B14" s="157"/>
      <c r="C14" s="158"/>
      <c r="D14" s="7"/>
      <c r="E14" s="7"/>
      <c r="F14" s="159"/>
      <c r="G14" s="7"/>
      <c r="H14" s="36"/>
      <c r="I14" s="30"/>
    </row>
    <row r="15" spans="1:11" x14ac:dyDescent="0.25">
      <c r="A15" s="160"/>
      <c r="B15" s="157"/>
      <c r="C15" s="161"/>
      <c r="D15" s="7"/>
      <c r="E15" s="7"/>
      <c r="F15" s="159"/>
      <c r="G15" s="7"/>
      <c r="H15" s="36"/>
      <c r="I15" s="30"/>
      <c r="K15">
        <f>1000/D41</f>
        <v>1</v>
      </c>
    </row>
    <row r="16" spans="1:11" x14ac:dyDescent="0.25">
      <c r="A16" s="7"/>
      <c r="B16" s="7"/>
      <c r="C16" s="162"/>
      <c r="D16" s="163"/>
      <c r="E16" s="163"/>
      <c r="F16" s="35"/>
      <c r="G16" s="7"/>
      <c r="H16" s="36"/>
      <c r="I16" s="30"/>
    </row>
    <row r="17" spans="1:9" x14ac:dyDescent="0.25">
      <c r="A17" s="157"/>
      <c r="B17" s="157"/>
      <c r="C17" s="164"/>
      <c r="D17" s="7"/>
      <c r="E17" s="7"/>
      <c r="F17" s="159"/>
      <c r="G17" s="7"/>
      <c r="H17" s="36"/>
      <c r="I17" s="30"/>
    </row>
    <row r="18" spans="1:9" x14ac:dyDescent="0.25">
      <c r="A18" s="156"/>
      <c r="B18" s="157"/>
      <c r="C18" s="158"/>
      <c r="D18" s="7"/>
      <c r="E18" s="7"/>
      <c r="F18" s="159"/>
      <c r="G18" s="7"/>
      <c r="H18" s="36"/>
      <c r="I18" s="30"/>
    </row>
    <row r="19" spans="1:9" ht="15.75" x14ac:dyDescent="0.25">
      <c r="A19" s="2"/>
      <c r="B19" s="2"/>
      <c r="C19" s="1"/>
      <c r="D19" s="165"/>
      <c r="E19" s="166"/>
      <c r="F19" s="167"/>
      <c r="G19" s="11"/>
      <c r="H19" s="36"/>
      <c r="I19" s="30"/>
    </row>
    <row r="20" spans="1:9" ht="15.75" x14ac:dyDescent="0.25">
      <c r="A20" s="39"/>
      <c r="B20" s="40"/>
      <c r="C20" s="41" t="s">
        <v>40</v>
      </c>
      <c r="D20" s="44"/>
      <c r="E20" s="45"/>
      <c r="F20" s="46"/>
      <c r="G20" s="11"/>
      <c r="H20" s="12"/>
      <c r="I20" s="30"/>
    </row>
    <row r="21" spans="1:9" x14ac:dyDescent="0.25">
      <c r="A21" s="47"/>
      <c r="B21" s="48"/>
      <c r="C21" s="49"/>
      <c r="D21" s="50"/>
      <c r="E21" s="51"/>
      <c r="F21" s="52"/>
      <c r="G21" s="11"/>
      <c r="H21" s="12"/>
      <c r="I21" s="30"/>
    </row>
    <row r="22" spans="1:9" x14ac:dyDescent="0.25">
      <c r="A22" s="47"/>
      <c r="B22" s="48"/>
      <c r="C22" s="49"/>
      <c r="D22" s="50"/>
      <c r="E22" s="6"/>
      <c r="F22" s="52"/>
      <c r="G22" s="11"/>
      <c r="H22" s="12"/>
      <c r="I22" s="30"/>
    </row>
    <row r="23" spans="1:9" x14ac:dyDescent="0.25">
      <c r="A23" s="47"/>
      <c r="B23" s="48"/>
      <c r="C23" s="49"/>
      <c r="D23" s="50"/>
      <c r="E23" s="51"/>
      <c r="F23" s="52"/>
      <c r="G23" s="11"/>
      <c r="H23" s="12"/>
      <c r="I23" s="30"/>
    </row>
    <row r="24" spans="1:9" x14ac:dyDescent="0.25">
      <c r="A24" s="47"/>
      <c r="B24" s="48"/>
      <c r="C24" s="49"/>
      <c r="D24" s="50"/>
      <c r="E24" s="168"/>
      <c r="F24" s="169"/>
      <c r="G24" s="11"/>
      <c r="H24" s="12"/>
      <c r="I24" s="30"/>
    </row>
    <row r="25" spans="1:9" x14ac:dyDescent="0.25">
      <c r="A25" s="47"/>
      <c r="B25" s="48"/>
      <c r="C25" s="49"/>
      <c r="D25" s="50"/>
      <c r="E25" s="152"/>
      <c r="F25" s="169"/>
      <c r="G25" s="11"/>
      <c r="H25" s="12"/>
      <c r="I25" s="30"/>
    </row>
    <row r="26" spans="1:9" x14ac:dyDescent="0.25">
      <c r="A26" s="170"/>
      <c r="B26" s="170"/>
      <c r="D26" s="171"/>
      <c r="E26" s="172"/>
      <c r="F26" s="173"/>
      <c r="G26" s="11"/>
      <c r="H26" s="12"/>
      <c r="I26" s="30"/>
    </row>
    <row r="27" spans="1:9" x14ac:dyDescent="0.25">
      <c r="A27" s="2"/>
      <c r="B27" s="2"/>
      <c r="C27" s="1"/>
      <c r="D27" s="14"/>
      <c r="E27" s="174"/>
      <c r="F27" s="173"/>
      <c r="G27" s="11"/>
      <c r="H27" s="12"/>
      <c r="I27" s="30"/>
    </row>
    <row r="28" spans="1:9" x14ac:dyDescent="0.25">
      <c r="A28" s="2"/>
      <c r="B28" s="2"/>
      <c r="C28" s="1"/>
      <c r="D28" s="14"/>
      <c r="E28" s="6"/>
      <c r="F28" s="53"/>
      <c r="G28" s="11"/>
      <c r="H28" s="12"/>
      <c r="I28" s="30"/>
    </row>
    <row r="29" spans="1:9" ht="15.75" x14ac:dyDescent="0.25">
      <c r="A29" s="54"/>
      <c r="B29" s="55"/>
      <c r="C29" s="56" t="s">
        <v>41</v>
      </c>
      <c r="D29" s="57"/>
      <c r="E29" s="58"/>
      <c r="F29" s="12"/>
      <c r="G29" s="11"/>
      <c r="I29" s="30"/>
    </row>
    <row r="30" spans="1:9" x14ac:dyDescent="0.25">
      <c r="A30" s="175">
        <v>512000003</v>
      </c>
      <c r="B30" s="175" t="s">
        <v>74</v>
      </c>
      <c r="C30" s="176" t="s">
        <v>75</v>
      </c>
      <c r="D30" s="177" t="s">
        <v>76</v>
      </c>
      <c r="E30" s="178">
        <v>40</v>
      </c>
      <c r="F30" s="179" t="s">
        <v>61</v>
      </c>
      <c r="G30" s="62"/>
      <c r="H30" s="12"/>
      <c r="I30" s="30"/>
    </row>
    <row r="31" spans="1:9" x14ac:dyDescent="0.25">
      <c r="A31" s="175">
        <v>702123</v>
      </c>
      <c r="B31" s="175" t="s">
        <v>62</v>
      </c>
      <c r="C31" s="176" t="s">
        <v>63</v>
      </c>
      <c r="D31" s="177" t="s">
        <v>54</v>
      </c>
      <c r="E31" s="178">
        <v>1</v>
      </c>
      <c r="F31" s="179" t="s">
        <v>6</v>
      </c>
      <c r="G31" s="62"/>
      <c r="H31" s="12"/>
      <c r="I31" s="30"/>
    </row>
    <row r="32" spans="1:9" x14ac:dyDescent="0.25">
      <c r="A32" s="175">
        <v>702007</v>
      </c>
      <c r="B32" s="175" t="s">
        <v>48</v>
      </c>
      <c r="C32" s="176" t="s">
        <v>49</v>
      </c>
      <c r="D32" s="177" t="s">
        <v>54</v>
      </c>
      <c r="E32" s="178">
        <v>1</v>
      </c>
      <c r="F32" s="179" t="s">
        <v>6</v>
      </c>
      <c r="G32" s="62"/>
      <c r="H32" s="12"/>
      <c r="I32" s="30"/>
    </row>
    <row r="33" spans="1:9" x14ac:dyDescent="0.25">
      <c r="A33" s="180"/>
      <c r="B33" s="180"/>
      <c r="C33" s="181"/>
      <c r="D33" s="10"/>
      <c r="E33" s="182"/>
      <c r="F33" s="183"/>
      <c r="G33" s="11"/>
      <c r="H33" s="12"/>
      <c r="I33" s="30"/>
    </row>
    <row r="34" spans="1:9" x14ac:dyDescent="0.25">
      <c r="A34" s="180"/>
      <c r="B34" s="180"/>
      <c r="C34" s="184"/>
      <c r="D34" s="10"/>
      <c r="E34" s="10"/>
      <c r="F34" s="183"/>
      <c r="G34" s="11"/>
      <c r="H34" s="12"/>
      <c r="I34" s="30"/>
    </row>
    <row r="35" spans="1:9" x14ac:dyDescent="0.25">
      <c r="A35" s="180"/>
      <c r="B35" s="180"/>
      <c r="C35" s="184"/>
      <c r="D35" s="10"/>
      <c r="E35" s="10"/>
      <c r="F35" s="183"/>
      <c r="G35" s="68"/>
      <c r="H35" s="12"/>
      <c r="I35" s="30"/>
    </row>
    <row r="36" spans="1:9" ht="15.75" x14ac:dyDescent="0.25">
      <c r="A36" s="185"/>
      <c r="B36" s="186"/>
      <c r="C36" s="187"/>
      <c r="D36" s="188"/>
      <c r="E36" s="188"/>
      <c r="F36" s="189"/>
      <c r="G36" s="69"/>
      <c r="H36" s="12"/>
      <c r="I36" s="30"/>
    </row>
    <row r="37" spans="1:9" ht="15.75" x14ac:dyDescent="0.25">
      <c r="A37" s="39"/>
      <c r="B37" s="40"/>
      <c r="C37" s="176"/>
      <c r="D37" s="10"/>
      <c r="E37" s="69"/>
      <c r="F37" s="46"/>
      <c r="G37" s="190"/>
      <c r="H37" s="12"/>
      <c r="I37" s="30"/>
    </row>
    <row r="38" spans="1:9" ht="15.75" x14ac:dyDescent="0.25">
      <c r="A38" s="39"/>
      <c r="B38" s="40"/>
      <c r="C38" s="176"/>
      <c r="D38" s="44"/>
      <c r="E38" s="44"/>
      <c r="F38" s="46"/>
      <c r="G38" s="5"/>
      <c r="H38" s="5"/>
      <c r="I38" s="30"/>
    </row>
    <row r="39" spans="1:9" ht="15.75" thickBot="1" x14ac:dyDescent="0.3">
      <c r="A39" s="72"/>
      <c r="B39" s="73"/>
      <c r="C39" s="74"/>
      <c r="D39" s="74"/>
      <c r="E39" s="75"/>
      <c r="F39" s="76"/>
      <c r="G39" s="74"/>
      <c r="H39" s="74"/>
      <c r="I39" s="77"/>
    </row>
    <row r="40" spans="1:9" ht="15.75" thickBot="1" x14ac:dyDescent="0.3">
      <c r="A40" s="78"/>
      <c r="B40" s="79"/>
      <c r="C40" s="80"/>
      <c r="D40" s="81" t="s">
        <v>14</v>
      </c>
      <c r="E40" s="82" t="s">
        <v>13</v>
      </c>
      <c r="F40" s="83"/>
      <c r="G40" s="80"/>
      <c r="H40" s="80"/>
      <c r="I40" s="84"/>
    </row>
    <row r="41" spans="1:9" x14ac:dyDescent="0.25">
      <c r="A41" s="625" t="s">
        <v>12</v>
      </c>
      <c r="B41" s="626"/>
      <c r="C41" s="627"/>
      <c r="D41" s="174">
        <v>1000</v>
      </c>
      <c r="E41" s="86" t="s">
        <v>1</v>
      </c>
      <c r="F41" s="628" t="s">
        <v>11</v>
      </c>
      <c r="G41" s="628"/>
      <c r="H41" s="629"/>
      <c r="I41" s="630"/>
    </row>
    <row r="42" spans="1:9" x14ac:dyDescent="0.25">
      <c r="A42" s="604" t="s">
        <v>10</v>
      </c>
      <c r="B42" s="605"/>
      <c r="C42" s="606"/>
      <c r="D42" s="7">
        <v>7</v>
      </c>
      <c r="E42" s="7" t="s">
        <v>9</v>
      </c>
      <c r="F42" s="607" t="s">
        <v>8</v>
      </c>
      <c r="G42" s="607"/>
      <c r="H42" s="608"/>
      <c r="I42" s="609"/>
    </row>
    <row r="43" spans="1:9" x14ac:dyDescent="0.25">
      <c r="A43" s="604" t="s">
        <v>7</v>
      </c>
      <c r="B43" s="605"/>
      <c r="C43" s="606"/>
      <c r="D43" s="7">
        <v>1</v>
      </c>
      <c r="E43" s="7" t="s">
        <v>77</v>
      </c>
      <c r="F43" s="607" t="s">
        <v>5</v>
      </c>
      <c r="G43" s="607"/>
      <c r="H43" s="608"/>
      <c r="I43" s="609"/>
    </row>
    <row r="44" spans="1:9" x14ac:dyDescent="0.25">
      <c r="A44" s="604" t="s">
        <v>4</v>
      </c>
      <c r="B44" s="605"/>
      <c r="C44" s="606"/>
      <c r="D44" s="6">
        <v>1000</v>
      </c>
      <c r="E44" s="7" t="s">
        <v>1</v>
      </c>
      <c r="F44" s="610" t="s">
        <v>3</v>
      </c>
      <c r="G44" s="611"/>
      <c r="H44" s="612"/>
      <c r="I44" s="613"/>
    </row>
    <row r="45" spans="1:9" ht="15.75" thickBot="1" x14ac:dyDescent="0.3">
      <c r="A45" s="614" t="s">
        <v>2</v>
      </c>
      <c r="B45" s="615"/>
      <c r="C45" s="616"/>
      <c r="D45" s="87">
        <f>SUM(E10)-D41</f>
        <v>89.599999999999909</v>
      </c>
      <c r="E45" s="88" t="s">
        <v>1</v>
      </c>
      <c r="F45" s="617"/>
      <c r="G45" s="617"/>
      <c r="H45" s="608"/>
      <c r="I45" s="609"/>
    </row>
    <row r="46" spans="1:9" ht="15.75" thickBot="1" x14ac:dyDescent="0.3">
      <c r="A46" s="618" t="s">
        <v>0</v>
      </c>
      <c r="B46" s="619"/>
      <c r="C46" s="619"/>
      <c r="D46" s="619"/>
      <c r="E46" s="619"/>
      <c r="F46" s="619"/>
      <c r="G46" s="619"/>
      <c r="H46" s="619"/>
      <c r="I46" s="620"/>
    </row>
    <row r="47" spans="1:9" ht="18.399999999999999" customHeight="1" x14ac:dyDescent="0.25">
      <c r="A47" s="681" t="s">
        <v>78</v>
      </c>
      <c r="B47" s="682"/>
      <c r="C47" s="682"/>
      <c r="D47" s="682"/>
      <c r="E47" s="682"/>
      <c r="F47" s="682"/>
      <c r="G47" s="682"/>
      <c r="H47" s="682"/>
      <c r="I47" s="683"/>
    </row>
    <row r="48" spans="1:9" ht="14.65" customHeight="1" x14ac:dyDescent="0.25">
      <c r="A48" s="678" t="s">
        <v>79</v>
      </c>
      <c r="B48" s="679"/>
      <c r="C48" s="679"/>
      <c r="D48" s="679"/>
      <c r="E48" s="679"/>
      <c r="F48" s="679"/>
      <c r="G48" s="679"/>
      <c r="H48" s="679"/>
      <c r="I48" s="680"/>
    </row>
    <row r="49" spans="1:9" ht="14.65" customHeight="1" x14ac:dyDescent="0.25">
      <c r="A49" s="678" t="s">
        <v>80</v>
      </c>
      <c r="B49" s="679"/>
      <c r="C49" s="679"/>
      <c r="D49" s="679"/>
      <c r="E49" s="679"/>
      <c r="F49" s="679"/>
      <c r="G49" s="679"/>
      <c r="H49" s="679"/>
      <c r="I49" s="680"/>
    </row>
    <row r="50" spans="1:9" ht="14.65" customHeight="1" x14ac:dyDescent="0.25">
      <c r="A50" s="687" t="s">
        <v>81</v>
      </c>
      <c r="B50" s="688"/>
      <c r="C50" s="688"/>
      <c r="D50" s="688"/>
      <c r="E50" s="688"/>
      <c r="F50" s="688"/>
      <c r="G50" s="688"/>
      <c r="H50" s="688"/>
      <c r="I50" s="689"/>
    </row>
    <row r="51" spans="1:9" ht="14.65" customHeight="1" x14ac:dyDescent="0.25">
      <c r="A51" s="690"/>
      <c r="B51" s="691"/>
      <c r="C51" s="691"/>
      <c r="D51" s="691"/>
      <c r="E51" s="691"/>
      <c r="F51" s="691"/>
      <c r="G51" s="691"/>
      <c r="H51" s="691"/>
      <c r="I51" s="692"/>
    </row>
    <row r="52" spans="1:9" ht="14.65" customHeight="1" x14ac:dyDescent="0.25">
      <c r="A52" s="669"/>
      <c r="B52" s="670"/>
      <c r="C52" s="671"/>
      <c r="D52" s="671"/>
      <c r="E52" s="671"/>
      <c r="F52" s="671"/>
      <c r="G52" s="671"/>
      <c r="H52" s="671"/>
      <c r="I52" s="672"/>
    </row>
    <row r="53" spans="1:9" ht="18" customHeight="1" x14ac:dyDescent="0.25">
      <c r="A53" s="595"/>
      <c r="B53" s="580"/>
      <c r="C53" s="580"/>
      <c r="D53" s="580"/>
      <c r="E53" s="580"/>
      <c r="F53" s="580"/>
      <c r="G53" s="580"/>
      <c r="H53" s="580"/>
      <c r="I53" s="581"/>
    </row>
    <row r="54" spans="1:9" ht="15.75" thickBot="1" x14ac:dyDescent="0.3">
      <c r="A54" s="693"/>
      <c r="B54" s="694"/>
      <c r="C54" s="694"/>
      <c r="D54" s="694"/>
      <c r="E54" s="694"/>
      <c r="F54" s="694"/>
      <c r="G54" s="694"/>
      <c r="H54" s="694"/>
      <c r="I54" s="695"/>
    </row>
    <row r="55" spans="1:9" ht="15.75" thickBot="1" x14ac:dyDescent="0.3">
      <c r="A55" s="684"/>
      <c r="B55" s="685"/>
      <c r="C55" s="685"/>
      <c r="D55" s="685"/>
      <c r="E55" s="685"/>
      <c r="F55" s="685"/>
      <c r="G55" s="685"/>
      <c r="H55" s="685"/>
      <c r="I55" s="686"/>
    </row>
    <row r="56" spans="1:9" x14ac:dyDescent="0.25">
      <c r="A56" s="582" t="s">
        <v>36</v>
      </c>
      <c r="B56" s="583"/>
      <c r="C56" s="583"/>
      <c r="D56" s="583"/>
      <c r="E56" s="583"/>
      <c r="F56" s="583"/>
      <c r="G56" s="583"/>
      <c r="H56" s="583"/>
      <c r="I56" s="583"/>
    </row>
    <row r="57" spans="1:9" x14ac:dyDescent="0.25">
      <c r="A57" s="569"/>
      <c r="B57" s="570"/>
      <c r="C57" s="570"/>
      <c r="D57" s="570"/>
      <c r="E57" s="570"/>
      <c r="F57" s="570"/>
      <c r="G57" s="570"/>
      <c r="H57" s="570"/>
      <c r="I57" s="570"/>
    </row>
    <row r="58" spans="1:9" x14ac:dyDescent="0.25">
      <c r="A58" s="569"/>
      <c r="B58" s="570"/>
      <c r="C58" s="570"/>
      <c r="D58" s="570"/>
      <c r="E58" s="570"/>
      <c r="F58" s="570"/>
      <c r="G58" s="570"/>
      <c r="H58" s="570"/>
      <c r="I58" s="570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E066-9AC5-4AC6-AE59-4558E31EE2CC}">
  <dimension ref="A1:Q91"/>
  <sheetViews>
    <sheetView topLeftCell="A42" workbookViewId="0">
      <selection activeCell="A45" sqref="A45:XFD50"/>
    </sheetView>
  </sheetViews>
  <sheetFormatPr baseColWidth="10" defaultColWidth="8.42578125" defaultRowHeight="12.75" x14ac:dyDescent="0.25"/>
  <cols>
    <col min="1" max="1" width="10" style="220" bestFit="1" customWidth="1"/>
    <col min="2" max="2" width="44.28515625" style="220" bestFit="1" customWidth="1"/>
    <col min="3" max="3" width="10.42578125" style="220" bestFit="1" customWidth="1"/>
    <col min="4" max="4" width="10.42578125" style="220" customWidth="1"/>
    <col min="5" max="5" width="11" style="220" customWidth="1"/>
    <col min="6" max="6" width="9.5703125" style="220" bestFit="1" customWidth="1"/>
    <col min="7" max="7" width="10.85546875" style="302" customWidth="1"/>
    <col min="8" max="8" width="10.42578125" style="293" bestFit="1" customWidth="1"/>
    <col min="9" max="9" width="4.5703125" style="293" customWidth="1"/>
    <col min="10" max="10" width="1.85546875" style="219" customWidth="1"/>
    <col min="11" max="11" width="7" style="220" bestFit="1" customWidth="1"/>
    <col min="12" max="12" width="6.28515625" style="220" customWidth="1"/>
    <col min="13" max="13" width="20.42578125" style="220" customWidth="1"/>
    <col min="14" max="14" width="6.42578125" style="220" bestFit="1" customWidth="1"/>
    <col min="15" max="16" width="8.42578125" style="220"/>
    <col min="17" max="17" width="3.28515625" style="220" customWidth="1"/>
    <col min="18" max="16384" width="8.42578125" style="220"/>
  </cols>
  <sheetData>
    <row r="1" spans="1:10" ht="27.75" customHeight="1" x14ac:dyDescent="0.25">
      <c r="A1" s="215"/>
      <c r="B1" s="215"/>
      <c r="C1" s="215"/>
      <c r="D1" s="215"/>
      <c r="E1" s="216" t="s">
        <v>136</v>
      </c>
      <c r="F1" s="217" t="s">
        <v>137</v>
      </c>
      <c r="G1" s="217" t="s">
        <v>138</v>
      </c>
      <c r="H1" s="217" t="s">
        <v>139</v>
      </c>
      <c r="I1" s="218"/>
    </row>
    <row r="2" spans="1:10" ht="30.75" customHeight="1" x14ac:dyDescent="0.25">
      <c r="A2" s="215"/>
      <c r="B2" s="215"/>
      <c r="C2" s="215"/>
      <c r="D2" s="215"/>
      <c r="E2" s="221">
        <f>IFERROR(O62,"")</f>
        <v>3145.6170943722941</v>
      </c>
      <c r="F2" s="221">
        <f>IFERROR(H53,"")</f>
        <v>1423.84</v>
      </c>
      <c r="G2" s="221">
        <f>IFERROR(H54,"")</f>
        <v>27.938133333333337</v>
      </c>
      <c r="H2" s="221">
        <f>IFERROR(H56,"")</f>
        <v>815.16000000000008</v>
      </c>
      <c r="I2" s="222"/>
    </row>
    <row r="3" spans="1:10" ht="15" customHeight="1" x14ac:dyDescent="0.25">
      <c r="A3" s="215"/>
      <c r="B3" s="215"/>
      <c r="C3" s="215"/>
      <c r="D3" s="215"/>
      <c r="E3" s="215"/>
      <c r="F3" s="223"/>
      <c r="G3" s="223"/>
      <c r="H3" s="223"/>
      <c r="I3" s="223"/>
    </row>
    <row r="4" spans="1:10" ht="24.75" customHeight="1" thickBot="1" x14ac:dyDescent="0.3">
      <c r="A4" s="564"/>
      <c r="B4" s="564"/>
      <c r="C4" s="564"/>
      <c r="D4" s="564"/>
      <c r="E4" s="564"/>
      <c r="F4" s="564"/>
      <c r="G4" s="564"/>
      <c r="H4" s="564"/>
      <c r="I4" s="224"/>
    </row>
    <row r="5" spans="1:10" ht="19.5" customHeight="1" thickBot="1" x14ac:dyDescent="0.3">
      <c r="A5" s="565" t="s">
        <v>140</v>
      </c>
      <c r="B5" s="566"/>
      <c r="C5" s="566"/>
      <c r="D5" s="566"/>
      <c r="E5" s="566"/>
      <c r="F5" s="566"/>
      <c r="G5" s="566"/>
      <c r="H5" s="567"/>
      <c r="I5" s="225"/>
    </row>
    <row r="6" spans="1:10" ht="19.5" thickBot="1" x14ac:dyDescent="0.3">
      <c r="A6" s="225"/>
      <c r="B6" s="225"/>
      <c r="C6" s="225"/>
      <c r="D6" s="225"/>
      <c r="E6" s="225"/>
      <c r="F6" s="568" t="s">
        <v>141</v>
      </c>
      <c r="G6" s="568"/>
      <c r="H6" s="226">
        <f ca="1">TODAY()</f>
        <v>46063</v>
      </c>
      <c r="I6" s="226"/>
    </row>
    <row r="7" spans="1:10" ht="26.25" hidden="1" thickBot="1" x14ac:dyDescent="0.3">
      <c r="A7" s="227" t="s">
        <v>142</v>
      </c>
      <c r="B7" s="228" t="s">
        <v>143</v>
      </c>
      <c r="C7" s="228" t="s">
        <v>142</v>
      </c>
      <c r="D7" s="229" t="s">
        <v>144</v>
      </c>
      <c r="E7" s="229" t="s">
        <v>145</v>
      </c>
      <c r="F7" s="229" t="s">
        <v>146</v>
      </c>
      <c r="G7" s="229" t="s">
        <v>147</v>
      </c>
      <c r="H7" s="230" t="s">
        <v>148</v>
      </c>
      <c r="I7" s="231"/>
    </row>
    <row r="8" spans="1:10" ht="13.5" hidden="1" x14ac:dyDescent="0.25">
      <c r="A8" s="232"/>
      <c r="B8" s="220" t="str">
        <f>IFERROR(VLOOKUP(H8,'[1]Consolidado MP Planta'!$A$2:$M$823,3,0),"")</f>
        <v/>
      </c>
      <c r="C8" s="233">
        <f>+A8</f>
        <v>0</v>
      </c>
      <c r="D8" s="234" t="str">
        <f>IFERROR(VLOOKUP(H8,'[1]Consolidado MP Planta'!$A$2:$M$823,13,0),"")</f>
        <v/>
      </c>
      <c r="E8" s="234" t="str">
        <f>IFERROR(VLOOKUP(H8,'[1]Consolidado MP Planta'!$A$2:$M$823,12,0),"")</f>
        <v/>
      </c>
      <c r="F8" s="234" t="str">
        <f>IFERROR(C8*E8,"")</f>
        <v/>
      </c>
      <c r="G8" s="235" t="str">
        <f t="shared" ref="G8:G14" si="0">IFERROR(F8/$F$66,"")</f>
        <v/>
      </c>
      <c r="H8" s="236"/>
      <c r="I8" s="236"/>
      <c r="J8" s="237"/>
    </row>
    <row r="9" spans="1:10" ht="13.5" hidden="1" x14ac:dyDescent="0.25">
      <c r="A9" s="232"/>
      <c r="B9" s="220" t="str">
        <f>IFERROR(VLOOKUP(H9,'[1]Consolidado MP Planta'!$A$2:$M$823,3,0),"")</f>
        <v/>
      </c>
      <c r="C9" s="233">
        <f t="shared" ref="C9:C14" si="1">+A9</f>
        <v>0</v>
      </c>
      <c r="D9" s="234" t="str">
        <f>IFERROR(VLOOKUP(H9,'[1]Consolidado MP Planta'!$A$2:$M$823,13,0),"")</f>
        <v/>
      </c>
      <c r="E9" s="234" t="str">
        <f>IFERROR(VLOOKUP(H9,'[1]Consolidado MP Planta'!$A$2:$M$823,12,0),"")</f>
        <v/>
      </c>
      <c r="F9" s="234" t="str">
        <f t="shared" ref="F9:F14" si="2">IFERROR(C9*E9,"")</f>
        <v/>
      </c>
      <c r="G9" s="235" t="str">
        <f t="shared" si="0"/>
        <v/>
      </c>
      <c r="H9" s="236"/>
      <c r="I9" s="236"/>
      <c r="J9" s="237"/>
    </row>
    <row r="10" spans="1:10" ht="13.5" hidden="1" x14ac:dyDescent="0.25">
      <c r="A10" s="232"/>
      <c r="B10" s="220" t="str">
        <f>IFERROR(VLOOKUP(H10,'[1]Consolidado MP Planta'!$A$2:$M$823,3,0),"")</f>
        <v/>
      </c>
      <c r="C10" s="233">
        <f t="shared" si="1"/>
        <v>0</v>
      </c>
      <c r="D10" s="234" t="str">
        <f>IFERROR(VLOOKUP(H10,'[1]Consolidado MP Planta'!$A$2:$M$823,13,0),"")</f>
        <v/>
      </c>
      <c r="E10" s="234" t="str">
        <f>IFERROR(VLOOKUP(H10,'[1]Consolidado MP Planta'!$A$2:$M$823,12,0),"")</f>
        <v/>
      </c>
      <c r="F10" s="234" t="str">
        <f t="shared" si="2"/>
        <v/>
      </c>
      <c r="G10" s="235" t="str">
        <f t="shared" si="0"/>
        <v/>
      </c>
      <c r="H10" s="236"/>
      <c r="I10" s="236"/>
      <c r="J10" s="237"/>
    </row>
    <row r="11" spans="1:10" ht="13.5" hidden="1" x14ac:dyDescent="0.25">
      <c r="A11" s="232"/>
      <c r="B11" s="220" t="str">
        <f>IFERROR(VLOOKUP(H11,'[1]Consolidado MP Planta'!$A$2:$M$823,3,0),"")</f>
        <v/>
      </c>
      <c r="C11" s="233">
        <f t="shared" si="1"/>
        <v>0</v>
      </c>
      <c r="D11" s="234" t="str">
        <f>IFERROR(VLOOKUP(H11,'[1]Consolidado MP Planta'!$A$2:$M$823,13,0),"")</f>
        <v/>
      </c>
      <c r="E11" s="234" t="str">
        <f>IFERROR(VLOOKUP(H11,'[1]Consolidado MP Planta'!$A$2:$M$823,12,0),"")</f>
        <v/>
      </c>
      <c r="F11" s="234" t="str">
        <f t="shared" si="2"/>
        <v/>
      </c>
      <c r="G11" s="235" t="str">
        <f t="shared" si="0"/>
        <v/>
      </c>
      <c r="H11" s="236"/>
      <c r="I11" s="236"/>
      <c r="J11" s="237"/>
    </row>
    <row r="12" spans="1:10" ht="13.5" hidden="1" x14ac:dyDescent="0.25">
      <c r="A12" s="232"/>
      <c r="B12" s="220" t="str">
        <f>IFERROR(VLOOKUP(H12,'[1]Consolidado MP Planta'!$A$2:$M$823,3,0),"")</f>
        <v/>
      </c>
      <c r="C12" s="233">
        <f t="shared" si="1"/>
        <v>0</v>
      </c>
      <c r="D12" s="234" t="str">
        <f>IFERROR(VLOOKUP(H12,'[1]Consolidado MP Planta'!$A$2:$M$823,13,0),"")</f>
        <v/>
      </c>
      <c r="E12" s="234" t="str">
        <f>IFERROR(VLOOKUP(H12,'[1]Consolidado MP Planta'!$A$2:$M$823,12,0),"")</f>
        <v/>
      </c>
      <c r="F12" s="234" t="str">
        <f t="shared" si="2"/>
        <v/>
      </c>
      <c r="G12" s="235" t="str">
        <f t="shared" si="0"/>
        <v/>
      </c>
      <c r="H12" s="236"/>
      <c r="I12" s="236"/>
      <c r="J12" s="237"/>
    </row>
    <row r="13" spans="1:10" ht="13.5" hidden="1" x14ac:dyDescent="0.25">
      <c r="A13" s="232"/>
      <c r="B13" s="220" t="str">
        <f>IFERROR(VLOOKUP(H13,'[1]Consolidado MP Planta'!$A$2:$M$823,3,0),"")</f>
        <v/>
      </c>
      <c r="C13" s="233">
        <f t="shared" si="1"/>
        <v>0</v>
      </c>
      <c r="D13" s="234" t="str">
        <f>IFERROR(VLOOKUP(H13,'[1]Consolidado MP Planta'!$A$2:$M$823,13,0),"")</f>
        <v/>
      </c>
      <c r="E13" s="234" t="str">
        <f>IFERROR(VLOOKUP(H13,'[1]Consolidado MP Planta'!$A$2:$M$823,12,0),"")</f>
        <v/>
      </c>
      <c r="F13" s="234" t="str">
        <f t="shared" si="2"/>
        <v/>
      </c>
      <c r="G13" s="235" t="str">
        <f t="shared" si="0"/>
        <v/>
      </c>
      <c r="H13" s="236"/>
      <c r="I13" s="236"/>
      <c r="J13" s="237"/>
    </row>
    <row r="14" spans="1:10" ht="13.5" hidden="1" x14ac:dyDescent="0.25">
      <c r="A14" s="232"/>
      <c r="B14" s="220" t="str">
        <f>IFERROR(VLOOKUP(H14,'[1]Consolidado MP Planta'!$A$2:$M$823,3,0),"")</f>
        <v/>
      </c>
      <c r="C14" s="233">
        <f t="shared" si="1"/>
        <v>0</v>
      </c>
      <c r="D14" s="234" t="str">
        <f>IFERROR(VLOOKUP(H14,'[1]Consolidado MP Planta'!$A$2:$M$823,13,0),"")</f>
        <v/>
      </c>
      <c r="E14" s="234" t="str">
        <f>IFERROR(VLOOKUP(H14,'[1]Consolidado MP Planta'!$A$2:$M$823,12,0),"")</f>
        <v/>
      </c>
      <c r="F14" s="234" t="str">
        <f t="shared" si="2"/>
        <v/>
      </c>
      <c r="G14" s="235" t="str">
        <f t="shared" si="0"/>
        <v/>
      </c>
      <c r="H14" s="236"/>
      <c r="I14" s="236"/>
      <c r="J14" s="237"/>
    </row>
    <row r="15" spans="1:10" ht="14.25" hidden="1" thickBot="1" x14ac:dyDescent="0.3">
      <c r="A15" s="232"/>
      <c r="B15" s="220" t="str">
        <f>IFERROR(VLOOKUP(H15,[2]Hoja2!$A$2:$G$589,2,0),"")</f>
        <v/>
      </c>
      <c r="C15" s="233"/>
      <c r="D15" s="234"/>
      <c r="E15" s="234"/>
      <c r="F15" s="234"/>
      <c r="G15" s="235"/>
      <c r="H15" s="236"/>
      <c r="I15" s="236"/>
      <c r="J15" s="237"/>
    </row>
    <row r="16" spans="1:10" ht="26.25" thickBot="1" x14ac:dyDescent="0.3">
      <c r="A16" s="227" t="s">
        <v>142</v>
      </c>
      <c r="B16" s="228" t="s">
        <v>149</v>
      </c>
      <c r="C16" s="228" t="s">
        <v>142</v>
      </c>
      <c r="D16" s="229" t="s">
        <v>144</v>
      </c>
      <c r="E16" s="229" t="s">
        <v>145</v>
      </c>
      <c r="F16" s="229" t="s">
        <v>146</v>
      </c>
      <c r="G16" s="229" t="s">
        <v>147</v>
      </c>
      <c r="H16" s="230" t="s">
        <v>148</v>
      </c>
      <c r="I16" s="231"/>
      <c r="J16" s="237"/>
    </row>
    <row r="17" spans="1:12" ht="13.5" x14ac:dyDescent="0.25">
      <c r="A17" s="232">
        <v>4</v>
      </c>
      <c r="B17" s="220" t="s">
        <v>83</v>
      </c>
      <c r="C17" s="233">
        <f>+A17</f>
        <v>4</v>
      </c>
      <c r="D17" s="312" t="s">
        <v>191</v>
      </c>
      <c r="E17" s="234">
        <f>+'Costo Rosquete Zanahoria '!H53</f>
        <v>355.96</v>
      </c>
      <c r="F17" s="234">
        <f>IFERROR(E17*C17,"")</f>
        <v>1423.84</v>
      </c>
      <c r="G17" s="235">
        <f t="shared" ref="G17:G24" si="3">IFERROR(F17/$F$66,"")</f>
        <v>0.70513137122788261</v>
      </c>
      <c r="H17" s="236" t="s">
        <v>193</v>
      </c>
      <c r="I17" s="236"/>
      <c r="J17" s="237"/>
    </row>
    <row r="18" spans="1:12" ht="13.5" hidden="1" x14ac:dyDescent="0.25">
      <c r="A18" s="232"/>
      <c r="B18" s="220" t="str">
        <f>IFERROR(VLOOKUP(H18,[1]SEMIELABORADOS!$A$2:$M$6000,2,0),"")</f>
        <v/>
      </c>
      <c r="C18" s="233">
        <f t="shared" ref="C18:C24" si="4">+A18</f>
        <v>0</v>
      </c>
      <c r="D18" s="233" t="str">
        <f>IFERROR(VLOOKUP(H18,[1]SEMIELABORADOS!$A$2:$M$6000,6,0),"")</f>
        <v/>
      </c>
      <c r="E18" s="234" t="str">
        <f>IFERROR(VLOOKUP(H18,[1]SEMIELABORADOS!$A$2:$H$65536,8,0),"")</f>
        <v/>
      </c>
      <c r="F18" s="234" t="str">
        <f t="shared" ref="F18:F24" si="5">IFERROR(E18*C18,"")</f>
        <v/>
      </c>
      <c r="G18" s="235" t="str">
        <f t="shared" si="3"/>
        <v/>
      </c>
      <c r="H18" s="236"/>
      <c r="I18" s="236"/>
      <c r="J18" s="237"/>
    </row>
    <row r="19" spans="1:12" ht="13.5" hidden="1" x14ac:dyDescent="0.25">
      <c r="A19" s="232"/>
      <c r="B19" s="220" t="str">
        <f>IFERROR(VLOOKUP(H19,[1]SEMIELABORADOS!$A$2:$M$6000,2,0),"")</f>
        <v/>
      </c>
      <c r="C19" s="233">
        <f>+A19</f>
        <v>0</v>
      </c>
      <c r="D19" s="233" t="str">
        <f>IFERROR(VLOOKUP(H19,[1]SEMIELABORADOS!$A$2:$M$6000,6,0),"")</f>
        <v/>
      </c>
      <c r="E19" s="234" t="str">
        <f>IFERROR(VLOOKUP(H19,[1]SEMIELABORADOS!$A$2:$H$65536,8,0),"")</f>
        <v/>
      </c>
      <c r="F19" s="234" t="str">
        <f>IFERROR(E19*C19,"")</f>
        <v/>
      </c>
      <c r="G19" s="235" t="str">
        <f t="shared" si="3"/>
        <v/>
      </c>
      <c r="H19" s="236"/>
      <c r="I19" s="236"/>
      <c r="J19" s="237"/>
    </row>
    <row r="20" spans="1:12" ht="13.5" hidden="1" x14ac:dyDescent="0.25">
      <c r="A20" s="232"/>
      <c r="B20" s="220" t="str">
        <f>IFERROR(VLOOKUP(H20,[1]SEMIELABORADOS!$A$2:$M$6000,2,0),"")</f>
        <v/>
      </c>
      <c r="C20" s="233">
        <f>+A20</f>
        <v>0</v>
      </c>
      <c r="D20" s="233" t="str">
        <f>IFERROR(VLOOKUP(H20,[1]SEMIELABORADOS!$A$2:$M$6000,6,0),"")</f>
        <v/>
      </c>
      <c r="E20" s="234" t="str">
        <f>IFERROR(VLOOKUP(H20,[1]SEMIELABORADOS!$A$2:$H$65536,8,0),"")</f>
        <v/>
      </c>
      <c r="F20" s="234" t="str">
        <f>IFERROR(E20*C20,"")</f>
        <v/>
      </c>
      <c r="G20" s="235" t="str">
        <f t="shared" si="3"/>
        <v/>
      </c>
      <c r="H20" s="236"/>
      <c r="I20" s="236"/>
      <c r="J20" s="237"/>
    </row>
    <row r="21" spans="1:12" ht="13.5" hidden="1" x14ac:dyDescent="0.25">
      <c r="A21" s="232"/>
      <c r="B21" s="220" t="str">
        <f>IFERROR(VLOOKUP(H21,[1]SEMIELABORADOS!$A$2:$M$6000,2,0),"")</f>
        <v/>
      </c>
      <c r="C21" s="233">
        <f>+A21</f>
        <v>0</v>
      </c>
      <c r="D21" s="233" t="str">
        <f>IFERROR(VLOOKUP(H21,[1]SEMIELABORADOS!$A$2:$M$6000,6,0),"")</f>
        <v/>
      </c>
      <c r="E21" s="234" t="str">
        <f>IFERROR(VLOOKUP(H21,[1]SEMIELABORADOS!$A$2:$H$65536,8,0),"")</f>
        <v/>
      </c>
      <c r="F21" s="234" t="str">
        <f>IFERROR(E21*C21,"")</f>
        <v/>
      </c>
      <c r="G21" s="235" t="str">
        <f t="shared" si="3"/>
        <v/>
      </c>
      <c r="H21" s="236"/>
      <c r="I21" s="236"/>
      <c r="J21" s="237"/>
    </row>
    <row r="22" spans="1:12" ht="13.5" hidden="1" x14ac:dyDescent="0.25">
      <c r="A22" s="232"/>
      <c r="B22" s="220" t="str">
        <f>IFERROR(VLOOKUP(H22,[1]SEMIELABORADOS!$A$2:$M$6000,2,0),"")</f>
        <v/>
      </c>
      <c r="C22" s="233">
        <f t="shared" si="4"/>
        <v>0</v>
      </c>
      <c r="D22" s="233" t="str">
        <f>IFERROR(VLOOKUP(H22,[1]SEMIELABORADOS!$A$2:$M$6000,6,0),"")</f>
        <v/>
      </c>
      <c r="E22" s="234" t="str">
        <f>IFERROR(VLOOKUP(H22,[1]SEMIELABORADOS!$A$2:$H$65536,8,0),"")</f>
        <v/>
      </c>
      <c r="F22" s="234" t="str">
        <f t="shared" si="5"/>
        <v/>
      </c>
      <c r="G22" s="235" t="str">
        <f t="shared" si="3"/>
        <v/>
      </c>
      <c r="H22" s="236"/>
      <c r="I22" s="236"/>
      <c r="J22" s="237"/>
    </row>
    <row r="23" spans="1:12" ht="13.5" hidden="1" x14ac:dyDescent="0.25">
      <c r="A23" s="232"/>
      <c r="B23" s="220" t="str">
        <f>IFERROR(VLOOKUP(H23,[1]SEMIELABORADOS!$A$2:$M$6000,2,0),"")</f>
        <v/>
      </c>
      <c r="C23" s="233">
        <f t="shared" si="4"/>
        <v>0</v>
      </c>
      <c r="D23" s="233" t="str">
        <f>IFERROR(VLOOKUP(H23,[1]SEMIELABORADOS!$A$2:$M$6000,6,0),"")</f>
        <v/>
      </c>
      <c r="E23" s="234" t="str">
        <f>IFERROR(VLOOKUP(H23,[1]SEMIELABORADOS!$A$2:$H$65536,8,0),"")</f>
        <v/>
      </c>
      <c r="F23" s="234" t="str">
        <f t="shared" si="5"/>
        <v/>
      </c>
      <c r="G23" s="235" t="str">
        <f t="shared" si="3"/>
        <v/>
      </c>
      <c r="H23" s="236"/>
      <c r="I23" s="236"/>
      <c r="J23" s="237"/>
    </row>
    <row r="24" spans="1:12" ht="13.5" hidden="1" x14ac:dyDescent="0.25">
      <c r="A24" s="232"/>
      <c r="B24" s="220" t="str">
        <f>IFERROR(VLOOKUP(H24,[1]SEMIELABORADOS!$A$2:$M$6000,2,0),"")</f>
        <v/>
      </c>
      <c r="C24" s="233">
        <f t="shared" si="4"/>
        <v>0</v>
      </c>
      <c r="D24" s="233" t="str">
        <f>IFERROR(VLOOKUP(H24,[1]SEMIELABORADOS!$A$2:$M$6000,6,0),"")</f>
        <v/>
      </c>
      <c r="E24" s="234" t="str">
        <f>IFERROR(VLOOKUP(H24,[1]SEMIELABORADOS!$A$2:$H$65536,8,0),"")</f>
        <v/>
      </c>
      <c r="F24" s="234" t="str">
        <f t="shared" si="5"/>
        <v/>
      </c>
      <c r="G24" s="235" t="str">
        <f t="shared" si="3"/>
        <v/>
      </c>
      <c r="H24" s="236"/>
      <c r="I24" s="236"/>
      <c r="J24" s="237"/>
    </row>
    <row r="25" spans="1:12" ht="14.25" thickBot="1" x14ac:dyDescent="0.3">
      <c r="A25" s="232"/>
      <c r="C25" s="233"/>
      <c r="D25" s="233"/>
      <c r="E25" s="234"/>
      <c r="F25" s="234"/>
      <c r="G25" s="235"/>
      <c r="H25" s="236"/>
      <c r="I25" s="236"/>
      <c r="J25" s="237"/>
    </row>
    <row r="26" spans="1:12" ht="26.25" thickBot="1" x14ac:dyDescent="0.3">
      <c r="A26" s="227" t="s">
        <v>142</v>
      </c>
      <c r="B26" s="228" t="s">
        <v>37</v>
      </c>
      <c r="C26" s="228" t="s">
        <v>142</v>
      </c>
      <c r="D26" s="229" t="s">
        <v>144</v>
      </c>
      <c r="E26" s="229" t="s">
        <v>145</v>
      </c>
      <c r="F26" s="229" t="s">
        <v>146</v>
      </c>
      <c r="G26" s="229" t="s">
        <v>147</v>
      </c>
      <c r="H26" s="230" t="s">
        <v>148</v>
      </c>
      <c r="I26" s="231"/>
    </row>
    <row r="27" spans="1:12" ht="13.5" hidden="1" x14ac:dyDescent="0.25">
      <c r="A27" s="232">
        <v>0</v>
      </c>
      <c r="B27" s="238" t="str">
        <f>IFERROR(VLOOKUP(H27,'[1]Consolidado MP Planta'!$A$2:$M$823,3,0),"")</f>
        <v/>
      </c>
      <c r="C27" s="233">
        <f t="shared" ref="C27:C32" si="6">+A27</f>
        <v>0</v>
      </c>
      <c r="D27" s="234" t="str">
        <f>IFERROR(VLOOKUP(H27,'[1]Consolidado MP Planta'!$A$2:$M$823,13,0),"")</f>
        <v/>
      </c>
      <c r="E27" s="234" t="str">
        <f>IFERROR(VLOOKUP(H27,'[1]Consolidado MP Planta'!$A$2:$M$823,12,0),"")</f>
        <v/>
      </c>
      <c r="F27" s="234" t="str">
        <f t="shared" ref="F27:F32" si="7">IFERROR(C27*E27,"")</f>
        <v/>
      </c>
      <c r="G27" s="235" t="str">
        <f t="shared" ref="G27:G32" si="8">IFERROR(F27/$F$66,"")</f>
        <v/>
      </c>
      <c r="H27" s="239"/>
      <c r="I27" s="239"/>
      <c r="J27" s="237"/>
      <c r="K27" s="558"/>
      <c r="L27" s="558"/>
    </row>
    <row r="28" spans="1:12" ht="13.5" x14ac:dyDescent="0.25">
      <c r="A28" s="232">
        <v>1</v>
      </c>
      <c r="B28" s="238" t="str">
        <f>IFERROR(VLOOKUP(H28,'[1]Consolidado MP Planta'!$A$2:$M$823,3,0),"")</f>
        <v>ETIQUETA BLANCA 2 5/8X1 15/16 (UND)</v>
      </c>
      <c r="C28" s="233">
        <f t="shared" si="6"/>
        <v>1</v>
      </c>
      <c r="D28" s="234" t="str">
        <f>IFERROR(VLOOKUP(H28,'[1]Consolidado MP Planta'!$A$2:$M$823,13,0),"")</f>
        <v>Und</v>
      </c>
      <c r="E28" s="234">
        <f>IFERROR(VLOOKUP(H28,'[1]Consolidado MP Planta'!$A$2:$M$823,12,0),"")</f>
        <v>2.1280000000000001</v>
      </c>
      <c r="F28" s="234">
        <f t="shared" si="7"/>
        <v>2.1280000000000001</v>
      </c>
      <c r="G28" s="235">
        <f t="shared" si="8"/>
        <v>1.0538540552119159E-3</v>
      </c>
      <c r="H28" s="239" t="s">
        <v>194</v>
      </c>
      <c r="I28" s="239"/>
      <c r="J28" s="237"/>
      <c r="K28" s="558"/>
      <c r="L28" s="558"/>
    </row>
    <row r="29" spans="1:12" ht="13.5" x14ac:dyDescent="0.25">
      <c r="A29" s="232">
        <v>1</v>
      </c>
      <c r="B29" s="238" t="str">
        <f>IFERROR(VLOOKUP(H29,'[1]Consolidado MP Planta'!$A$2:$M$823,3,0),"")</f>
        <v>ETIQ.FECHA VENCIMIENTO BLANCO (ROLLO)</v>
      </c>
      <c r="C29" s="233">
        <f t="shared" si="6"/>
        <v>1</v>
      </c>
      <c r="D29" s="234" t="str">
        <f>IFERROR(VLOOKUP(H29,'[1]Consolidado MP Planta'!$A$2:$M$823,13,0),"")</f>
        <v>Gramos</v>
      </c>
      <c r="E29" s="234">
        <f>IFERROR(VLOOKUP(H29,'[1]Consolidado MP Planta'!$A$2:$M$823,12,0),"")</f>
        <v>0.33333333333333331</v>
      </c>
      <c r="F29" s="234">
        <f t="shared" si="7"/>
        <v>0.33333333333333331</v>
      </c>
      <c r="G29" s="235">
        <f t="shared" si="8"/>
        <v>1.6507738960086401E-4</v>
      </c>
      <c r="H29" s="239" t="s">
        <v>47</v>
      </c>
      <c r="I29" s="239"/>
      <c r="J29" s="237"/>
      <c r="K29" s="558"/>
      <c r="L29" s="558"/>
    </row>
    <row r="30" spans="1:12" ht="13.5" hidden="1" x14ac:dyDescent="0.25">
      <c r="A30" s="232"/>
      <c r="B30" s="238" t="str">
        <f>IFERROR(VLOOKUP(H30,'[1]Consolidado MP Planta'!$A$2:$M$823,3,0),"")</f>
        <v/>
      </c>
      <c r="C30" s="233">
        <f t="shared" si="6"/>
        <v>0</v>
      </c>
      <c r="D30" s="234" t="str">
        <f>IFERROR(VLOOKUP(H30,'[1]Consolidado MP Planta'!$A$2:$M$823,13,0),"")</f>
        <v/>
      </c>
      <c r="E30" s="234" t="str">
        <f>IFERROR(VLOOKUP(H30,'[1]Consolidado MP Planta'!$A$2:$M$823,12,0),"")</f>
        <v/>
      </c>
      <c r="F30" s="234" t="str">
        <f t="shared" si="7"/>
        <v/>
      </c>
      <c r="G30" s="235" t="str">
        <f t="shared" si="8"/>
        <v/>
      </c>
      <c r="H30" s="239"/>
      <c r="I30" s="239"/>
      <c r="J30" s="237"/>
      <c r="K30" s="558"/>
      <c r="L30" s="558"/>
    </row>
    <row r="31" spans="1:12" ht="13.5" hidden="1" x14ac:dyDescent="0.25">
      <c r="A31" s="232"/>
      <c r="B31" s="238" t="str">
        <f>IFERROR(VLOOKUP(H31,'[1]Consolidado MP Planta'!$A$2:$M$823,3,0),"")</f>
        <v/>
      </c>
      <c r="C31" s="233">
        <f t="shared" si="6"/>
        <v>0</v>
      </c>
      <c r="D31" s="234" t="str">
        <f>IFERROR(VLOOKUP(H31,'[1]Consolidado MP Planta'!$A$2:$M$823,13,0),"")</f>
        <v/>
      </c>
      <c r="E31" s="234" t="str">
        <f>IFERROR(VLOOKUP(H31,'[1]Consolidado MP Planta'!$A$2:$M$823,12,0),"")</f>
        <v/>
      </c>
      <c r="F31" s="234" t="str">
        <f t="shared" si="7"/>
        <v/>
      </c>
      <c r="G31" s="235" t="str">
        <f t="shared" si="8"/>
        <v/>
      </c>
      <c r="H31" s="239"/>
      <c r="I31" s="239"/>
      <c r="J31" s="237"/>
      <c r="K31" s="240"/>
      <c r="L31" s="241"/>
    </row>
    <row r="32" spans="1:12" ht="13.5" hidden="1" x14ac:dyDescent="0.25">
      <c r="A32" s="232"/>
      <c r="B32" s="238" t="str">
        <f>IFERROR(VLOOKUP(H32,'[1]Consolidado MP Planta'!$A$2:$M$823,3,0),"")</f>
        <v/>
      </c>
      <c r="C32" s="233">
        <f t="shared" si="6"/>
        <v>0</v>
      </c>
      <c r="D32" s="234" t="str">
        <f>IFERROR(VLOOKUP(H32,'[1]Consolidado MP Planta'!$A$2:$M$823,13,0),"")</f>
        <v/>
      </c>
      <c r="E32" s="234" t="str">
        <f>IFERROR(VLOOKUP(H32,'[1]Consolidado MP Planta'!$A$2:$M$823,12,0),"")</f>
        <v/>
      </c>
      <c r="F32" s="234" t="str">
        <f t="shared" si="7"/>
        <v/>
      </c>
      <c r="G32" s="235" t="str">
        <f t="shared" si="8"/>
        <v/>
      </c>
      <c r="H32" s="239"/>
      <c r="I32" s="239"/>
      <c r="J32" s="237"/>
    </row>
    <row r="33" spans="1:13" ht="14.25" thickBot="1" x14ac:dyDescent="0.3">
      <c r="A33" s="232"/>
      <c r="B33" s="238"/>
      <c r="C33" s="233"/>
      <c r="D33" s="234"/>
      <c r="E33" s="234"/>
      <c r="F33" s="234"/>
      <c r="G33" s="235"/>
      <c r="H33" s="239"/>
      <c r="I33" s="239"/>
      <c r="J33" s="237"/>
    </row>
    <row r="34" spans="1:13" ht="26.25" thickBot="1" x14ac:dyDescent="0.25">
      <c r="A34" s="227" t="s">
        <v>142</v>
      </c>
      <c r="B34" s="228" t="s">
        <v>150</v>
      </c>
      <c r="C34" s="228" t="s">
        <v>142</v>
      </c>
      <c r="D34" s="229" t="s">
        <v>144</v>
      </c>
      <c r="E34" s="229" t="s">
        <v>145</v>
      </c>
      <c r="F34" s="229" t="s">
        <v>146</v>
      </c>
      <c r="G34" s="229" t="s">
        <v>147</v>
      </c>
      <c r="H34" s="230" t="s">
        <v>148</v>
      </c>
      <c r="I34" s="239"/>
      <c r="J34" s="237"/>
    </row>
    <row r="35" spans="1:13" ht="13.5" x14ac:dyDescent="0.25">
      <c r="A35" s="232">
        <f>+A17</f>
        <v>4</v>
      </c>
      <c r="B35" s="238" t="s">
        <v>83</v>
      </c>
      <c r="C35" s="233">
        <f>+A35</f>
        <v>4</v>
      </c>
      <c r="D35" s="234" t="s">
        <v>192</v>
      </c>
      <c r="E35" s="234">
        <f>+'Costo Rosquete Zanahoria '!H54</f>
        <v>6.3692000000000011</v>
      </c>
      <c r="F35" s="234">
        <f>IFERROR(E35*C35,"")</f>
        <v>25.476800000000004</v>
      </c>
      <c r="G35" s="235">
        <f t="shared" ref="G35:G41" si="9">IFERROR(F35/$F$66,"")</f>
        <v>1.2616930918149879E-2</v>
      </c>
      <c r="H35" s="239" t="s">
        <v>193</v>
      </c>
      <c r="I35" s="239"/>
      <c r="J35" s="237"/>
    </row>
    <row r="36" spans="1:13" ht="13.5" hidden="1" x14ac:dyDescent="0.25">
      <c r="A36" s="232">
        <f t="shared" ref="A36:A41" si="10">+A18</f>
        <v>0</v>
      </c>
      <c r="B36" s="238" t="str">
        <f>IFERROR(VLOOKUP(H36,[1]SEMIELABORADOS!$A$2:$M$6000,2,0),"")</f>
        <v/>
      </c>
      <c r="C36" s="233">
        <f t="shared" ref="C36:C41" si="11">+A36</f>
        <v>0</v>
      </c>
      <c r="D36" s="234" t="str">
        <f>IFERROR(VLOOKUP(H36,[1]SEMIELABORADOS!$A$2:$M$6000,6,0),"")</f>
        <v/>
      </c>
      <c r="E36" s="234" t="str">
        <f>IFERROR(VLOOKUP(H36,[1]SEMIELABORADOS!$A$2:$M$65536,10,0),"")</f>
        <v/>
      </c>
      <c r="F36" s="234" t="str">
        <f t="shared" ref="F36:F41" si="12">IFERROR(E36*C36,"")</f>
        <v/>
      </c>
      <c r="G36" s="235" t="str">
        <f t="shared" si="9"/>
        <v/>
      </c>
      <c r="H36" s="239"/>
      <c r="I36" s="239"/>
      <c r="J36" s="237"/>
    </row>
    <row r="37" spans="1:13" ht="13.5" hidden="1" x14ac:dyDescent="0.25">
      <c r="A37" s="232">
        <f t="shared" si="10"/>
        <v>0</v>
      </c>
      <c r="B37" s="238" t="str">
        <f>IFERROR(VLOOKUP(H37,[1]SEMIELABORADOS!$A$2:$M$6000,2,0),"")</f>
        <v/>
      </c>
      <c r="C37" s="233">
        <f t="shared" si="11"/>
        <v>0</v>
      </c>
      <c r="D37" s="234" t="str">
        <f>IFERROR(VLOOKUP(H37,[1]SEMIELABORADOS!$A$2:$M$6000,6,0),"")</f>
        <v/>
      </c>
      <c r="E37" s="234" t="str">
        <f>IFERROR(VLOOKUP(H37,[1]SEMIELABORADOS!$A$2:$M$65536,10,0),"")</f>
        <v/>
      </c>
      <c r="F37" s="234" t="str">
        <f t="shared" si="12"/>
        <v/>
      </c>
      <c r="G37" s="235" t="str">
        <f t="shared" si="9"/>
        <v/>
      </c>
      <c r="H37" s="239"/>
      <c r="I37" s="239"/>
      <c r="J37" s="237"/>
    </row>
    <row r="38" spans="1:13" ht="13.5" hidden="1" x14ac:dyDescent="0.25">
      <c r="A38" s="232">
        <f t="shared" si="10"/>
        <v>0</v>
      </c>
      <c r="B38" s="238" t="str">
        <f>IFERROR(VLOOKUP(H38,[1]SEMIELABORADOS!$A$2:$M$6000,2,0),"")</f>
        <v/>
      </c>
      <c r="C38" s="233">
        <f>+A38</f>
        <v>0</v>
      </c>
      <c r="D38" s="234" t="str">
        <f>IFERROR(VLOOKUP(H38,[1]SEMIELABORADOS!$A$2:$M$6000,6,0),"")</f>
        <v/>
      </c>
      <c r="E38" s="234" t="str">
        <f>IFERROR(VLOOKUP(H38,[1]SEMIELABORADOS!$A$2:$M$65536,10,0),"")</f>
        <v/>
      </c>
      <c r="F38" s="234" t="str">
        <f>IFERROR(E38*C38,"")</f>
        <v/>
      </c>
      <c r="G38" s="235" t="str">
        <f t="shared" si="9"/>
        <v/>
      </c>
      <c r="H38" s="239"/>
      <c r="I38" s="239"/>
      <c r="J38" s="237"/>
    </row>
    <row r="39" spans="1:13" ht="13.5" hidden="1" x14ac:dyDescent="0.25">
      <c r="A39" s="232">
        <f t="shared" si="10"/>
        <v>0</v>
      </c>
      <c r="B39" s="238" t="str">
        <f>IFERROR(VLOOKUP(H39,[1]SEMIELABORADOS!$A$2:$M$6000,2,0),"")</f>
        <v/>
      </c>
      <c r="C39" s="233">
        <f>+A39</f>
        <v>0</v>
      </c>
      <c r="D39" s="234" t="str">
        <f>IFERROR(VLOOKUP(H39,[1]SEMIELABORADOS!$A$2:$M$6000,6,0),"")</f>
        <v/>
      </c>
      <c r="E39" s="234" t="str">
        <f>IFERROR(VLOOKUP(H39,[1]SEMIELABORADOS!$A$2:$M$65536,10,0),"")</f>
        <v/>
      </c>
      <c r="F39" s="234" t="str">
        <f>IFERROR(E39*C39,"")</f>
        <v/>
      </c>
      <c r="G39" s="235" t="str">
        <f t="shared" si="9"/>
        <v/>
      </c>
      <c r="H39" s="239"/>
      <c r="I39" s="239"/>
      <c r="J39" s="237"/>
    </row>
    <row r="40" spans="1:13" ht="13.5" hidden="1" x14ac:dyDescent="0.25">
      <c r="A40" s="232">
        <f t="shared" si="10"/>
        <v>0</v>
      </c>
      <c r="B40" s="238" t="str">
        <f>IFERROR(VLOOKUP(H40,[1]SEMIELABORADOS!$A$2:$M$6000,2,0),"")</f>
        <v/>
      </c>
      <c r="C40" s="233">
        <f t="shared" si="11"/>
        <v>0</v>
      </c>
      <c r="D40" s="234" t="str">
        <f>IFERROR(VLOOKUP(H40,[1]SEMIELABORADOS!$A$2:$M$6000,6,0),"")</f>
        <v/>
      </c>
      <c r="E40" s="234" t="str">
        <f>IFERROR(VLOOKUP(H40,[1]SEMIELABORADOS!$A$2:$M$65536,10,0),"")</f>
        <v/>
      </c>
      <c r="F40" s="234" t="str">
        <f t="shared" si="12"/>
        <v/>
      </c>
      <c r="G40" s="235" t="str">
        <f t="shared" si="9"/>
        <v/>
      </c>
      <c r="H40" s="239"/>
      <c r="I40" s="239"/>
      <c r="J40" s="237"/>
    </row>
    <row r="41" spans="1:13" ht="13.5" hidden="1" x14ac:dyDescent="0.25">
      <c r="A41" s="232">
        <f t="shared" si="10"/>
        <v>0</v>
      </c>
      <c r="B41" s="238" t="str">
        <f>IFERROR(VLOOKUP(H41,[1]SEMIELABORADOS!$A$2:$M$6000,2,0),"")</f>
        <v/>
      </c>
      <c r="C41" s="233">
        <f t="shared" si="11"/>
        <v>0</v>
      </c>
      <c r="D41" s="234" t="str">
        <f>IFERROR(VLOOKUP(H41,[1]SEMIELABORADOS!$A$2:$M$6000,6,0),"")</f>
        <v/>
      </c>
      <c r="E41" s="234" t="str">
        <f>IFERROR(VLOOKUP(H41,[1]SEMIELABORADOS!$A$2:$M$65536,10,0),"")</f>
        <v/>
      </c>
      <c r="F41" s="234" t="str">
        <f t="shared" si="12"/>
        <v/>
      </c>
      <c r="G41" s="235" t="str">
        <f t="shared" si="9"/>
        <v/>
      </c>
      <c r="H41" s="239"/>
      <c r="I41" s="239"/>
      <c r="J41" s="237"/>
    </row>
    <row r="42" spans="1:13" ht="14.25" thickBot="1" x14ac:dyDescent="0.3">
      <c r="A42" s="232"/>
      <c r="B42" s="238"/>
      <c r="C42" s="233"/>
      <c r="D42" s="234"/>
      <c r="E42" s="234"/>
      <c r="F42" s="234"/>
      <c r="G42" s="235"/>
      <c r="H42" s="239"/>
      <c r="I42" s="239"/>
      <c r="J42" s="237"/>
    </row>
    <row r="43" spans="1:13" ht="26.25" thickBot="1" x14ac:dyDescent="0.3">
      <c r="A43" s="227" t="s">
        <v>142</v>
      </c>
      <c r="B43" s="228" t="s">
        <v>151</v>
      </c>
      <c r="C43" s="228" t="s">
        <v>142</v>
      </c>
      <c r="D43" s="229" t="s">
        <v>144</v>
      </c>
      <c r="E43" s="229" t="s">
        <v>145</v>
      </c>
      <c r="F43" s="229" t="s">
        <v>146</v>
      </c>
      <c r="G43" s="229" t="s">
        <v>147</v>
      </c>
      <c r="H43" s="230" t="s">
        <v>148</v>
      </c>
      <c r="I43" s="231"/>
      <c r="J43" s="237"/>
    </row>
    <row r="44" spans="1:13" ht="13.5" x14ac:dyDescent="0.25">
      <c r="A44" s="232">
        <f>+A35</f>
        <v>4</v>
      </c>
      <c r="B44" s="238" t="s">
        <v>83</v>
      </c>
      <c r="C44" s="233">
        <f>+A44</f>
        <v>4</v>
      </c>
      <c r="D44" s="234" t="s">
        <v>192</v>
      </c>
      <c r="E44" s="234">
        <f>+'Costo Rosquete Zanahoria '!H56</f>
        <v>69.040000000000006</v>
      </c>
      <c r="F44" s="234">
        <f>IFERROR(E44*C44,"")</f>
        <v>276.16000000000003</v>
      </c>
      <c r="G44" s="235">
        <f>IFERROR(F44/$F$66,"")</f>
        <v>0.13676331573652384</v>
      </c>
      <c r="H44" s="239" t="s">
        <v>193</v>
      </c>
      <c r="I44" s="231"/>
      <c r="J44" s="237"/>
    </row>
    <row r="45" spans="1:13" ht="13.5" hidden="1" x14ac:dyDescent="0.25">
      <c r="A45" s="232">
        <f t="shared" ref="A45:A50" si="13">+A36</f>
        <v>0</v>
      </c>
      <c r="B45" s="238" t="str">
        <f>IFERROR(VLOOKUP(H45,[1]SEMIELABORADOS!$A$2:$M$6000,2,0),"")</f>
        <v/>
      </c>
      <c r="C45" s="233">
        <f t="shared" ref="C45:C50" si="14">+A45</f>
        <v>0</v>
      </c>
      <c r="D45" s="234" t="str">
        <f>IFERROR(VLOOKUP(H45,[1]SEMIELABORADOS!$A$2:$M$6000,6,0),"")</f>
        <v/>
      </c>
      <c r="E45" s="234" t="str">
        <f>IFERROR(VLOOKUP(H45,[1]SEMIELABORADOS!$A$2:$M$65536,12,0),"")</f>
        <v/>
      </c>
      <c r="F45" s="234" t="str">
        <f t="shared" ref="F45:F50" si="15">IFERROR(E45*C45,"")</f>
        <v/>
      </c>
      <c r="G45" s="235" t="str">
        <f t="shared" ref="G45:G50" si="16">IFERROR(F45/$F$66,"")</f>
        <v/>
      </c>
      <c r="H45" s="239"/>
      <c r="I45" s="231"/>
      <c r="J45" s="237"/>
      <c r="M45" s="242"/>
    </row>
    <row r="46" spans="1:13" ht="13.5" hidden="1" x14ac:dyDescent="0.25">
      <c r="A46" s="232">
        <f t="shared" si="13"/>
        <v>0</v>
      </c>
      <c r="B46" s="238" t="str">
        <f>IFERROR(VLOOKUP(H46,[1]SEMIELABORADOS!$A$2:$M$6000,2,0),"")</f>
        <v/>
      </c>
      <c r="C46" s="233">
        <f t="shared" si="14"/>
        <v>0</v>
      </c>
      <c r="D46" s="234" t="str">
        <f>IFERROR(VLOOKUP(H46,[1]SEMIELABORADOS!$A$2:$M$6000,6,0),"")</f>
        <v/>
      </c>
      <c r="E46" s="234" t="str">
        <f>IFERROR(VLOOKUP(H46,[1]SEMIELABORADOS!$A$2:$M$65536,12,0),"")</f>
        <v/>
      </c>
      <c r="F46" s="234" t="str">
        <f t="shared" si="15"/>
        <v/>
      </c>
      <c r="G46" s="235" t="str">
        <f t="shared" si="16"/>
        <v/>
      </c>
      <c r="H46" s="239"/>
      <c r="I46" s="231"/>
      <c r="J46" s="237"/>
    </row>
    <row r="47" spans="1:13" ht="13.5" hidden="1" x14ac:dyDescent="0.25">
      <c r="A47" s="232">
        <f t="shared" si="13"/>
        <v>0</v>
      </c>
      <c r="B47" s="238" t="str">
        <f>IFERROR(VLOOKUP(H47,[1]SEMIELABORADOS!$A$2:$M$6000,2,0),"")</f>
        <v/>
      </c>
      <c r="C47" s="233">
        <f t="shared" si="14"/>
        <v>0</v>
      </c>
      <c r="D47" s="234" t="str">
        <f>IFERROR(VLOOKUP(H47,[1]SEMIELABORADOS!$A$2:$M$6000,6,0),"")</f>
        <v/>
      </c>
      <c r="E47" s="234" t="str">
        <f>IFERROR(VLOOKUP(H47,[1]SEMIELABORADOS!$A$2:$M$65536,12,0),"")</f>
        <v/>
      </c>
      <c r="F47" s="234" t="str">
        <f t="shared" si="15"/>
        <v/>
      </c>
      <c r="G47" s="235" t="str">
        <f t="shared" si="16"/>
        <v/>
      </c>
      <c r="H47" s="239"/>
      <c r="I47" s="231"/>
      <c r="J47" s="237"/>
    </row>
    <row r="48" spans="1:13" ht="13.5" hidden="1" x14ac:dyDescent="0.25">
      <c r="A48" s="232">
        <f t="shared" si="13"/>
        <v>0</v>
      </c>
      <c r="B48" s="238" t="str">
        <f>IFERROR(VLOOKUP(H48,[1]SEMIELABORADOS!$A$2:$M$6000,2,0),"")</f>
        <v/>
      </c>
      <c r="C48" s="233">
        <f t="shared" si="14"/>
        <v>0</v>
      </c>
      <c r="D48" s="234" t="str">
        <f>IFERROR(VLOOKUP(H48,[1]SEMIELABORADOS!$A$2:$M$6000,6,0),"")</f>
        <v/>
      </c>
      <c r="E48" s="234" t="str">
        <f>IFERROR(VLOOKUP(H48,[1]SEMIELABORADOS!$A$2:$M$65536,12,0),"")</f>
        <v/>
      </c>
      <c r="F48" s="234" t="str">
        <f t="shared" si="15"/>
        <v/>
      </c>
      <c r="G48" s="235" t="str">
        <f t="shared" si="16"/>
        <v/>
      </c>
      <c r="H48" s="239"/>
      <c r="I48" s="231"/>
      <c r="J48" s="237"/>
    </row>
    <row r="49" spans="1:17" ht="13.5" hidden="1" x14ac:dyDescent="0.25">
      <c r="A49" s="232">
        <f t="shared" si="13"/>
        <v>0</v>
      </c>
      <c r="B49" s="238" t="str">
        <f>IFERROR(VLOOKUP(H49,[1]SEMIELABORADOS!$A$2:$M$6000,2,0),"")</f>
        <v/>
      </c>
      <c r="C49" s="233">
        <f t="shared" si="14"/>
        <v>0</v>
      </c>
      <c r="D49" s="234" t="str">
        <f>IFERROR(VLOOKUP(H49,[1]SEMIELABORADOS!$A$2:$M$6000,6,0),"")</f>
        <v/>
      </c>
      <c r="E49" s="234" t="str">
        <f>IFERROR(VLOOKUP(H49,[1]SEMIELABORADOS!$A$2:$M$65536,12,0),"")</f>
        <v/>
      </c>
      <c r="F49" s="234" t="str">
        <f t="shared" si="15"/>
        <v/>
      </c>
      <c r="G49" s="235" t="str">
        <f t="shared" si="16"/>
        <v/>
      </c>
      <c r="H49" s="239"/>
      <c r="I49" s="231"/>
      <c r="J49" s="237"/>
    </row>
    <row r="50" spans="1:17" ht="13.5" hidden="1" x14ac:dyDescent="0.25">
      <c r="A50" s="232">
        <f t="shared" si="13"/>
        <v>0</v>
      </c>
      <c r="B50" s="238" t="str">
        <f>IFERROR(VLOOKUP(H50,[1]SEMIELABORADOS!$A$2:$M$6000,2,0),"")</f>
        <v/>
      </c>
      <c r="C50" s="233">
        <f t="shared" si="14"/>
        <v>0</v>
      </c>
      <c r="D50" s="234" t="str">
        <f>IFERROR(VLOOKUP(H50,[1]SEMIELABORADOS!$A$2:$M$6000,6,0),"")</f>
        <v/>
      </c>
      <c r="E50" s="234" t="str">
        <f>IFERROR(VLOOKUP(H50,[1]SEMIELABORADOS!$A$2:$M$65536,12,0),"")</f>
        <v/>
      </c>
      <c r="F50" s="234" t="str">
        <f t="shared" si="15"/>
        <v/>
      </c>
      <c r="G50" s="235" t="str">
        <f t="shared" si="16"/>
        <v/>
      </c>
      <c r="H50" s="238"/>
      <c r="I50" s="231"/>
      <c r="J50" s="237"/>
    </row>
    <row r="51" spans="1:17" ht="13.5" x14ac:dyDescent="0.25">
      <c r="A51" s="232">
        <v>1</v>
      </c>
      <c r="B51" s="238" t="s">
        <v>152</v>
      </c>
      <c r="C51" s="233">
        <f>+A51</f>
        <v>1</v>
      </c>
      <c r="D51" s="233" t="s">
        <v>153</v>
      </c>
      <c r="E51" s="234">
        <f>+F65</f>
        <v>539</v>
      </c>
      <c r="F51" s="234">
        <f>IFERROR(C51*E51,"")</f>
        <v>539</v>
      </c>
      <c r="G51" s="235">
        <f>IFERROR(F51/$F$66,"")</f>
        <v>0.26693013898459711</v>
      </c>
      <c r="H51" s="243"/>
      <c r="I51" s="243"/>
      <c r="J51" s="237"/>
    </row>
    <row r="52" spans="1:17" ht="14.25" thickBot="1" x14ac:dyDescent="0.3">
      <c r="A52" s="232"/>
      <c r="B52" s="238"/>
      <c r="C52" s="233"/>
      <c r="D52" s="233"/>
      <c r="E52" s="234"/>
      <c r="F52" s="234"/>
      <c r="G52" s="235"/>
      <c r="H52" s="243"/>
      <c r="I52" s="243"/>
      <c r="J52" s="237"/>
    </row>
    <row r="53" spans="1:17" ht="13.5" thickBot="1" x14ac:dyDescent="0.3">
      <c r="A53" s="244"/>
      <c r="B53" s="559" t="s">
        <v>154</v>
      </c>
      <c r="C53" s="559"/>
      <c r="D53" s="559"/>
      <c r="E53" s="559"/>
      <c r="F53" s="246">
        <f>SUM(F8:F14,F17:F24)</f>
        <v>1423.84</v>
      </c>
      <c r="G53" s="235">
        <f>+F53/$F$66</f>
        <v>0.70513137122788261</v>
      </c>
      <c r="H53" s="247">
        <f>+F53/$D$60</f>
        <v>1423.84</v>
      </c>
      <c r="I53" s="247"/>
      <c r="J53" s="248"/>
      <c r="K53" s="249"/>
      <c r="L53" s="249"/>
      <c r="M53" s="249"/>
      <c r="N53" s="249"/>
      <c r="O53" s="249"/>
      <c r="P53" s="249"/>
      <c r="Q53" s="250"/>
    </row>
    <row r="54" spans="1:17" x14ac:dyDescent="0.2">
      <c r="A54" s="244"/>
      <c r="B54" s="559" t="s">
        <v>155</v>
      </c>
      <c r="C54" s="559"/>
      <c r="D54" s="559"/>
      <c r="E54" s="559"/>
      <c r="F54" s="246">
        <f>SUM(F27:F32,F35:F41)</f>
        <v>27.938133333333337</v>
      </c>
      <c r="G54" s="235">
        <f>+F54/$F$66</f>
        <v>1.3835862362962659E-2</v>
      </c>
      <c r="H54" s="247">
        <f>+F54/$D$60</f>
        <v>27.938133333333337</v>
      </c>
      <c r="I54" s="247"/>
      <c r="J54" s="251"/>
      <c r="K54" s="560" t="s">
        <v>156</v>
      </c>
      <c r="L54" s="561"/>
      <c r="M54" s="561"/>
      <c r="N54" s="561"/>
      <c r="O54" s="252">
        <f>+F55</f>
        <v>1451.7781333333332</v>
      </c>
      <c r="P54" s="252"/>
      <c r="Q54" s="253"/>
    </row>
    <row r="55" spans="1:17" x14ac:dyDescent="0.2">
      <c r="A55" s="244"/>
      <c r="B55" s="559" t="s">
        <v>157</v>
      </c>
      <c r="C55" s="559"/>
      <c r="D55" s="559"/>
      <c r="E55" s="559"/>
      <c r="F55" s="246">
        <f>+F53+F54</f>
        <v>1451.7781333333332</v>
      </c>
      <c r="G55" s="235">
        <f>+F55/$F$66</f>
        <v>0.71896723359084524</v>
      </c>
      <c r="H55" s="247">
        <f>+F55/$D$60</f>
        <v>1451.7781333333332</v>
      </c>
      <c r="I55" s="247"/>
      <c r="J55" s="254"/>
      <c r="K55" s="255"/>
      <c r="M55" s="256" t="s">
        <v>158</v>
      </c>
      <c r="N55" s="257"/>
      <c r="O55" s="252">
        <f>+H56</f>
        <v>815.16000000000008</v>
      </c>
      <c r="P55" s="252"/>
      <c r="Q55" s="253"/>
    </row>
    <row r="56" spans="1:17" ht="13.5" thickBot="1" x14ac:dyDescent="0.25">
      <c r="A56" s="244"/>
      <c r="B56" s="245"/>
      <c r="C56" s="559" t="s">
        <v>159</v>
      </c>
      <c r="D56" s="559"/>
      <c r="E56" s="559"/>
      <c r="F56" s="246">
        <f>SUM(F44:F51)</f>
        <v>815.16000000000008</v>
      </c>
      <c r="G56" s="235">
        <f>+F56/$F$66</f>
        <v>0.40369345472112095</v>
      </c>
      <c r="H56" s="247">
        <f>+F56/$D$60</f>
        <v>815.16000000000008</v>
      </c>
      <c r="I56" s="247"/>
      <c r="J56" s="254"/>
      <c r="K56" s="255"/>
      <c r="L56" s="255"/>
      <c r="M56" s="255" t="s">
        <v>160</v>
      </c>
      <c r="N56" s="258"/>
      <c r="O56" s="252">
        <f>O54*N56</f>
        <v>0</v>
      </c>
      <c r="P56" s="252"/>
      <c r="Q56" s="253"/>
    </row>
    <row r="57" spans="1:17" ht="13.5" thickBot="1" x14ac:dyDescent="0.25">
      <c r="A57" s="244"/>
      <c r="B57" s="259"/>
      <c r="C57" s="259"/>
      <c r="D57" s="259"/>
      <c r="E57" s="259"/>
      <c r="F57" s="260"/>
      <c r="G57" s="235"/>
      <c r="H57" s="261"/>
      <c r="I57" s="247"/>
      <c r="J57" s="254"/>
      <c r="K57" s="262"/>
      <c r="M57" s="263" t="s">
        <v>161</v>
      </c>
      <c r="N57" s="264"/>
      <c r="O57" s="265">
        <f>SUM(O54:O56)</f>
        <v>2266.9381333333331</v>
      </c>
      <c r="P57" s="266"/>
      <c r="Q57" s="253"/>
    </row>
    <row r="58" spans="1:17" x14ac:dyDescent="0.2">
      <c r="B58" s="562" t="s">
        <v>162</v>
      </c>
      <c r="C58" s="562"/>
      <c r="D58" s="267">
        <v>1000</v>
      </c>
      <c r="E58" s="268"/>
      <c r="G58" s="235"/>
      <c r="H58" s="261">
        <f>+H56/77</f>
        <v>10.586493506493508</v>
      </c>
      <c r="I58" s="269"/>
      <c r="J58" s="254"/>
      <c r="K58" s="262"/>
      <c r="L58" s="255"/>
      <c r="M58" s="255" t="s">
        <v>163</v>
      </c>
      <c r="N58" s="270"/>
      <c r="O58" s="252">
        <f>+H59</f>
        <v>878.67896103896112</v>
      </c>
      <c r="P58" s="252"/>
      <c r="Q58" s="253"/>
    </row>
    <row r="59" spans="1:17" x14ac:dyDescent="0.2">
      <c r="B59" s="562" t="s">
        <v>164</v>
      </c>
      <c r="C59" s="562"/>
      <c r="D59" s="271">
        <v>1000</v>
      </c>
      <c r="E59" s="268"/>
      <c r="G59" s="235"/>
      <c r="H59" s="261">
        <f>+H58*83</f>
        <v>878.67896103896112</v>
      </c>
      <c r="I59" s="269"/>
      <c r="J59" s="254"/>
      <c r="K59" s="262"/>
      <c r="L59" s="255"/>
      <c r="M59" s="563" t="s">
        <v>161</v>
      </c>
      <c r="N59" s="563"/>
      <c r="O59" s="252">
        <f>SUM(O57:O58)</f>
        <v>3145.6170943722941</v>
      </c>
      <c r="P59" s="252"/>
      <c r="Q59" s="253"/>
    </row>
    <row r="60" spans="1:17" ht="13.5" thickBot="1" x14ac:dyDescent="0.25">
      <c r="B60" s="554" t="s">
        <v>165</v>
      </c>
      <c r="C60" s="554"/>
      <c r="D60" s="267">
        <f>+D58/D59</f>
        <v>1</v>
      </c>
      <c r="E60" s="268"/>
      <c r="F60" s="272"/>
      <c r="G60" s="235"/>
      <c r="H60" s="261"/>
      <c r="I60" s="269"/>
      <c r="J60" s="254"/>
      <c r="K60" s="262"/>
      <c r="L60" s="563"/>
      <c r="M60" s="563"/>
      <c r="N60" s="270"/>
      <c r="O60" s="252">
        <f>+O59*N60</f>
        <v>0</v>
      </c>
      <c r="P60" s="252"/>
      <c r="Q60" s="253"/>
    </row>
    <row r="61" spans="1:17" ht="13.5" thickBot="1" x14ac:dyDescent="0.25">
      <c r="B61" s="554" t="s">
        <v>166</v>
      </c>
      <c r="C61" s="554"/>
      <c r="D61" s="273"/>
      <c r="E61" s="268"/>
      <c r="F61" s="272"/>
      <c r="G61" s="235"/>
      <c r="H61" s="261"/>
      <c r="I61" s="269"/>
      <c r="J61" s="254"/>
      <c r="K61" s="555" t="s">
        <v>167</v>
      </c>
      <c r="L61" s="556"/>
      <c r="M61" s="556"/>
      <c r="N61" s="557"/>
      <c r="O61" s="265">
        <f>SUM(O59:O60)</f>
        <v>3145.6170943722941</v>
      </c>
      <c r="P61" s="274" t="s">
        <v>168</v>
      </c>
      <c r="Q61" s="253"/>
    </row>
    <row r="62" spans="1:17" ht="13.5" thickBot="1" x14ac:dyDescent="0.25">
      <c r="C62" s="244" t="s">
        <v>169</v>
      </c>
      <c r="D62" s="275"/>
      <c r="E62" s="218" t="s">
        <v>170</v>
      </c>
      <c r="F62" s="276" t="s">
        <v>171</v>
      </c>
      <c r="G62" s="235"/>
      <c r="H62" s="261"/>
      <c r="I62" s="269"/>
      <c r="J62" s="277"/>
      <c r="K62" s="278"/>
      <c r="L62" s="543" t="s">
        <v>172</v>
      </c>
      <c r="M62" s="543"/>
      <c r="N62" s="543"/>
      <c r="O62" s="279">
        <f>+O61/D60</f>
        <v>3145.6170943722941</v>
      </c>
      <c r="P62" s="280">
        <f>+O62/D59</f>
        <v>3.1456170943722941</v>
      </c>
      <c r="Q62" s="281"/>
    </row>
    <row r="63" spans="1:17" ht="13.5" thickBot="1" x14ac:dyDescent="0.25">
      <c r="B63" s="544" t="s">
        <v>157</v>
      </c>
      <c r="C63" s="544"/>
      <c r="D63" s="544"/>
      <c r="E63" s="282">
        <f>+F63/F63</f>
        <v>1</v>
      </c>
      <c r="F63" s="283">
        <f>SUM(F55)</f>
        <v>1451.7781333333332</v>
      </c>
      <c r="G63" s="235">
        <f>+F63/$F$66</f>
        <v>0.71896723359084524</v>
      </c>
      <c r="H63" s="261"/>
      <c r="I63" s="269"/>
      <c r="K63" s="545"/>
      <c r="L63" s="546"/>
      <c r="M63" s="546"/>
      <c r="N63" s="546"/>
      <c r="O63" s="284"/>
      <c r="P63" s="285"/>
    </row>
    <row r="64" spans="1:17" ht="13.5" thickBot="1" x14ac:dyDescent="0.3">
      <c r="B64" s="547" t="s">
        <v>173</v>
      </c>
      <c r="C64" s="547"/>
      <c r="D64" s="547"/>
      <c r="E64" s="286">
        <v>0.02</v>
      </c>
      <c r="F64" s="283">
        <f>+F53*E64</f>
        <v>28.476799999999997</v>
      </c>
      <c r="G64" s="235">
        <f>+F64/$F$66</f>
        <v>1.4102627424557652E-2</v>
      </c>
      <c r="H64" s="247"/>
      <c r="I64" s="269"/>
      <c r="J64" s="287"/>
      <c r="O64" s="288"/>
      <c r="P64" s="245"/>
    </row>
    <row r="65" spans="2:13" ht="13.5" thickBot="1" x14ac:dyDescent="0.3">
      <c r="B65" s="548" t="s">
        <v>174</v>
      </c>
      <c r="C65" s="549"/>
      <c r="D65" s="289">
        <v>7</v>
      </c>
      <c r="E65" s="290">
        <v>77</v>
      </c>
      <c r="F65" s="283">
        <f>+E65*D65</f>
        <v>539</v>
      </c>
      <c r="G65" s="235">
        <f>+F65/$F$66</f>
        <v>0.26693013898459711</v>
      </c>
      <c r="H65" s="247"/>
      <c r="I65" s="247"/>
      <c r="J65" s="237"/>
    </row>
    <row r="66" spans="2:13" ht="13.5" thickBot="1" x14ac:dyDescent="0.3">
      <c r="B66" s="550" t="s">
        <v>175</v>
      </c>
      <c r="C66" s="551"/>
      <c r="D66" s="551"/>
      <c r="E66" s="552"/>
      <c r="F66" s="260">
        <f>SUM(F63:F65)</f>
        <v>2019.2549333333332</v>
      </c>
      <c r="G66" s="235">
        <f>+F66/$F$66</f>
        <v>1</v>
      </c>
      <c r="H66" s="553"/>
      <c r="I66" s="247"/>
      <c r="J66" s="237"/>
      <c r="M66" s="220" t="s">
        <v>176</v>
      </c>
    </row>
    <row r="67" spans="2:13" x14ac:dyDescent="0.25">
      <c r="C67" s="242"/>
      <c r="D67" s="242"/>
      <c r="E67" s="292"/>
      <c r="F67" s="283"/>
      <c r="G67" s="235"/>
      <c r="H67" s="553"/>
      <c r="I67" s="291"/>
      <c r="J67" s="220"/>
      <c r="M67" s="220" t="s">
        <v>177</v>
      </c>
    </row>
    <row r="68" spans="2:13" ht="13.5" thickBot="1" x14ac:dyDescent="0.3">
      <c r="B68" s="538" t="s">
        <v>178</v>
      </c>
      <c r="C68" s="538"/>
      <c r="D68" s="538"/>
      <c r="E68" s="538"/>
      <c r="F68" s="538"/>
      <c r="G68" s="235"/>
      <c r="H68" s="294"/>
      <c r="I68" s="291"/>
      <c r="J68" s="220"/>
      <c r="M68" s="220" t="s">
        <v>179</v>
      </c>
    </row>
    <row r="69" spans="2:13" ht="13.5" thickBot="1" x14ac:dyDescent="0.3">
      <c r="B69" s="295" t="s">
        <v>180</v>
      </c>
      <c r="C69" s="296">
        <f>+F53</f>
        <v>1423.84</v>
      </c>
      <c r="D69" s="296">
        <f>+D58</f>
        <v>1000</v>
      </c>
      <c r="E69" s="297">
        <f>+C69/D69</f>
        <v>1.42384</v>
      </c>
      <c r="F69" s="235"/>
      <c r="G69" s="294"/>
      <c r="H69" s="237"/>
      <c r="I69" s="294"/>
      <c r="J69" s="220"/>
    </row>
    <row r="70" spans="2:13" x14ac:dyDescent="0.25">
      <c r="B70" s="298"/>
      <c r="C70" s="299"/>
      <c r="D70" s="300"/>
      <c r="E70" s="283"/>
      <c r="F70" s="235"/>
      <c r="G70" s="294"/>
      <c r="H70" s="237"/>
      <c r="I70" s="237"/>
      <c r="J70" s="220"/>
    </row>
    <row r="71" spans="2:13" x14ac:dyDescent="0.25">
      <c r="B71" s="295" t="s">
        <v>181</v>
      </c>
      <c r="C71" s="296">
        <f>SUM(F63:F64)</f>
        <v>1480.2549333333332</v>
      </c>
      <c r="D71" s="296">
        <f>+D58</f>
        <v>1000</v>
      </c>
      <c r="E71" s="301">
        <f>+C71/D71</f>
        <v>1.4802549333333332</v>
      </c>
      <c r="F71" s="235"/>
      <c r="G71" s="294"/>
      <c r="H71" s="237"/>
      <c r="I71" s="237"/>
      <c r="J71" s="220"/>
    </row>
    <row r="72" spans="2:13" x14ac:dyDescent="0.25">
      <c r="B72" s="295"/>
      <c r="C72" s="296"/>
      <c r="D72" s="296"/>
      <c r="E72" s="301"/>
      <c r="F72" s="235"/>
      <c r="G72" s="294"/>
      <c r="H72" s="237"/>
      <c r="I72" s="237"/>
      <c r="J72" s="220"/>
    </row>
    <row r="73" spans="2:13" ht="13.5" thickBot="1" x14ac:dyDescent="0.3">
      <c r="B73" s="295" t="s">
        <v>182</v>
      </c>
      <c r="C73" s="296">
        <f>+F65</f>
        <v>539</v>
      </c>
      <c r="D73" s="296">
        <f>+D58</f>
        <v>1000</v>
      </c>
      <c r="E73" s="301">
        <f>+C73/D73</f>
        <v>0.53900000000000003</v>
      </c>
      <c r="F73" s="235"/>
      <c r="G73" s="294"/>
      <c r="H73" s="237"/>
      <c r="I73" s="237"/>
      <c r="J73" s="220"/>
    </row>
    <row r="74" spans="2:13" ht="13.5" thickBot="1" x14ac:dyDescent="0.3">
      <c r="B74" s="295" t="s">
        <v>183</v>
      </c>
      <c r="C74" s="296">
        <f>+F56</f>
        <v>815.16000000000008</v>
      </c>
      <c r="D74" s="296">
        <f>+D73</f>
        <v>1000</v>
      </c>
      <c r="E74" s="297">
        <f>+C74/D74</f>
        <v>0.81516000000000011</v>
      </c>
      <c r="F74" s="235"/>
      <c r="G74" s="294"/>
      <c r="H74" s="237"/>
      <c r="I74" s="237"/>
      <c r="J74" s="220"/>
    </row>
    <row r="75" spans="2:13" ht="13.5" thickBot="1" x14ac:dyDescent="0.3">
      <c r="B75" s="259"/>
      <c r="C75" s="260"/>
      <c r="D75" s="260"/>
      <c r="E75" s="301"/>
      <c r="F75" s="235"/>
      <c r="G75" s="294"/>
      <c r="H75" s="237"/>
      <c r="I75" s="237"/>
      <c r="J75" s="220"/>
    </row>
    <row r="76" spans="2:13" ht="13.5" thickBot="1" x14ac:dyDescent="0.3">
      <c r="B76" s="295" t="s">
        <v>184</v>
      </c>
      <c r="C76" s="296">
        <f>+F54</f>
        <v>27.938133333333337</v>
      </c>
      <c r="D76" s="296">
        <f>+D74</f>
        <v>1000</v>
      </c>
      <c r="E76" s="297">
        <f>+C76/D76</f>
        <v>2.7938133333333337E-2</v>
      </c>
      <c r="F76" s="235"/>
      <c r="G76" s="294"/>
      <c r="H76" s="237"/>
      <c r="I76" s="237"/>
      <c r="J76" s="237"/>
    </row>
    <row r="77" spans="2:13" ht="13.5" thickBot="1" x14ac:dyDescent="0.3">
      <c r="B77" s="259"/>
      <c r="C77" s="260"/>
      <c r="D77" s="260"/>
      <c r="E77" s="301"/>
      <c r="F77" s="235"/>
      <c r="G77" s="294"/>
      <c r="H77" s="237"/>
      <c r="I77" s="237"/>
    </row>
    <row r="78" spans="2:13" ht="13.5" thickBot="1" x14ac:dyDescent="0.3">
      <c r="B78" s="539" t="s">
        <v>185</v>
      </c>
      <c r="C78" s="540"/>
      <c r="D78" s="541"/>
      <c r="E78" s="297">
        <f>+E69+E74</f>
        <v>2.2389999999999999</v>
      </c>
      <c r="G78" s="235"/>
      <c r="H78" s="294"/>
      <c r="I78" s="237"/>
      <c r="J78" s="301"/>
    </row>
    <row r="79" spans="2:13" x14ac:dyDescent="0.25">
      <c r="I79" s="294"/>
      <c r="J79" s="220"/>
    </row>
    <row r="80" spans="2:13" ht="13.5" thickBot="1" x14ac:dyDescent="0.3">
      <c r="B80" s="538" t="s">
        <v>186</v>
      </c>
      <c r="C80" s="538"/>
      <c r="D80" s="538"/>
      <c r="E80" s="538"/>
      <c r="F80" s="538"/>
      <c r="G80" s="235"/>
      <c r="H80" s="294"/>
      <c r="J80" s="220"/>
    </row>
    <row r="81" spans="1:10" ht="13.5" thickBot="1" x14ac:dyDescent="0.3">
      <c r="B81" s="295" t="s">
        <v>180</v>
      </c>
      <c r="C81" s="296">
        <f>+C69</f>
        <v>1423.84</v>
      </c>
      <c r="D81" s="296">
        <f>+D60</f>
        <v>1</v>
      </c>
      <c r="E81" s="297">
        <f>+C81/D81</f>
        <v>1423.84</v>
      </c>
      <c r="F81" s="235"/>
      <c r="G81" s="294"/>
      <c r="H81" s="237"/>
      <c r="I81" s="294"/>
      <c r="J81" s="220"/>
    </row>
    <row r="82" spans="1:10" x14ac:dyDescent="0.25">
      <c r="B82" s="298"/>
      <c r="C82" s="299"/>
      <c r="D82" s="300"/>
      <c r="E82" s="283"/>
      <c r="F82" s="235"/>
      <c r="G82" s="294"/>
      <c r="H82" s="237"/>
      <c r="I82" s="237"/>
      <c r="J82" s="220"/>
    </row>
    <row r="83" spans="1:10" x14ac:dyDescent="0.25">
      <c r="B83" s="295" t="s">
        <v>181</v>
      </c>
      <c r="C83" s="296">
        <f>+C71</f>
        <v>1480.2549333333332</v>
      </c>
      <c r="D83" s="296">
        <f>+D60</f>
        <v>1</v>
      </c>
      <c r="E83" s="301">
        <f>+C83/D83</f>
        <v>1480.2549333333332</v>
      </c>
      <c r="F83" s="235"/>
      <c r="G83" s="294"/>
      <c r="H83" s="237"/>
      <c r="I83" s="237"/>
      <c r="J83" s="220"/>
    </row>
    <row r="84" spans="1:10" x14ac:dyDescent="0.25">
      <c r="B84" s="295"/>
      <c r="C84" s="296"/>
      <c r="D84" s="296"/>
      <c r="E84" s="301"/>
      <c r="F84" s="235"/>
      <c r="G84" s="294"/>
      <c r="H84" s="237"/>
      <c r="I84" s="237"/>
      <c r="J84" s="220"/>
    </row>
    <row r="85" spans="1:10" ht="13.5" thickBot="1" x14ac:dyDescent="0.3">
      <c r="B85" s="295" t="s">
        <v>183</v>
      </c>
      <c r="C85" s="296">
        <f>+C73</f>
        <v>539</v>
      </c>
      <c r="D85" s="296">
        <f>+D60</f>
        <v>1</v>
      </c>
      <c r="E85" s="301">
        <f>+C85/D85</f>
        <v>539</v>
      </c>
      <c r="F85" s="303"/>
      <c r="G85" s="293"/>
      <c r="H85" s="219"/>
      <c r="I85" s="237"/>
    </row>
    <row r="86" spans="1:10" ht="13.5" thickBot="1" x14ac:dyDescent="0.3">
      <c r="B86" s="295" t="s">
        <v>183</v>
      </c>
      <c r="C86" s="296">
        <f>+C74</f>
        <v>815.16000000000008</v>
      </c>
      <c r="D86" s="296">
        <f>+D85</f>
        <v>1</v>
      </c>
      <c r="E86" s="297">
        <f>+C86/D86</f>
        <v>815.16000000000008</v>
      </c>
      <c r="F86" s="302"/>
      <c r="G86" s="293"/>
      <c r="H86" s="219"/>
      <c r="I86" s="219"/>
    </row>
    <row r="87" spans="1:10" x14ac:dyDescent="0.25">
      <c r="I87" s="219"/>
    </row>
    <row r="88" spans="1:10" x14ac:dyDescent="0.2">
      <c r="A88" s="542"/>
      <c r="B88" s="542"/>
      <c r="C88" s="304"/>
      <c r="D88" s="304"/>
      <c r="E88" s="305"/>
      <c r="G88" s="306"/>
    </row>
    <row r="89" spans="1:10" x14ac:dyDescent="0.2">
      <c r="A89" s="238"/>
      <c r="B89" s="307"/>
      <c r="C89" s="308"/>
      <c r="D89" s="308"/>
      <c r="E89" s="309"/>
      <c r="G89" s="306"/>
    </row>
    <row r="90" spans="1:10" x14ac:dyDescent="0.2">
      <c r="A90" s="238"/>
      <c r="B90" s="307"/>
      <c r="C90" s="310"/>
      <c r="D90" s="310"/>
      <c r="E90" s="238"/>
      <c r="G90" s="306"/>
    </row>
    <row r="91" spans="1:10" x14ac:dyDescent="0.2">
      <c r="A91" s="238"/>
      <c r="B91" s="307"/>
      <c r="C91" s="311"/>
      <c r="D91" s="311"/>
      <c r="E91" s="238"/>
      <c r="G91" s="30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38D6-CDD7-4DAE-859C-AD5247BA9297}">
  <dimension ref="A1:I58"/>
  <sheetViews>
    <sheetView zoomScale="70" zoomScaleNormal="70" workbookViewId="0">
      <selection activeCell="C12" sqref="C12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52.140625" bestFit="1" customWidth="1"/>
    <col min="4" max="4" width="22.7109375" customWidth="1"/>
    <col min="7" max="7" width="21.42578125" customWidth="1"/>
    <col min="8" max="8" width="16.140625" customWidth="1"/>
    <col min="9" max="9" width="18.140625" bestFit="1" customWidth="1"/>
  </cols>
  <sheetData>
    <row r="1" spans="1:9" ht="15.75" x14ac:dyDescent="0.25">
      <c r="A1" s="646"/>
      <c r="B1" s="647"/>
      <c r="C1" s="652" t="s">
        <v>33</v>
      </c>
      <c r="D1" s="652"/>
      <c r="E1" s="652"/>
      <c r="F1" s="652"/>
      <c r="G1" s="652"/>
      <c r="H1" s="15" t="s">
        <v>32</v>
      </c>
      <c r="I1" s="16" t="s">
        <v>264</v>
      </c>
    </row>
    <row r="2" spans="1:9" ht="18" customHeight="1" thickBot="1" x14ac:dyDescent="0.3">
      <c r="A2" s="648"/>
      <c r="B2" s="649"/>
      <c r="C2" s="653" t="s">
        <v>31</v>
      </c>
      <c r="D2" s="654"/>
      <c r="E2" s="654"/>
      <c r="F2" s="654"/>
      <c r="G2" s="655"/>
      <c r="H2" s="17" t="s">
        <v>30</v>
      </c>
      <c r="I2" s="18" t="s">
        <v>228</v>
      </c>
    </row>
    <row r="3" spans="1:9" ht="33" customHeight="1" thickBot="1" x14ac:dyDescent="0.3">
      <c r="A3" s="648"/>
      <c r="B3" s="649"/>
      <c r="C3" s="696" t="s">
        <v>265</v>
      </c>
      <c r="D3" s="697"/>
      <c r="E3" s="697"/>
      <c r="F3" s="697"/>
      <c r="G3" s="698"/>
      <c r="H3" s="659" t="s">
        <v>29</v>
      </c>
      <c r="I3" s="637">
        <v>45617</v>
      </c>
    </row>
    <row r="4" spans="1:9" ht="18" customHeight="1" x14ac:dyDescent="0.25">
      <c r="A4" s="648"/>
      <c r="B4" s="649"/>
      <c r="C4" s="19" t="s">
        <v>28</v>
      </c>
      <c r="D4" s="640" t="s">
        <v>38</v>
      </c>
      <c r="E4" s="641"/>
      <c r="F4" s="641"/>
      <c r="G4" s="642"/>
      <c r="H4" s="660"/>
      <c r="I4" s="638"/>
    </row>
    <row r="5" spans="1:9" ht="15.75" thickBot="1" x14ac:dyDescent="0.3">
      <c r="A5" s="650"/>
      <c r="B5" s="651"/>
      <c r="C5" s="20" t="s">
        <v>27</v>
      </c>
      <c r="D5" s="643" t="s">
        <v>26</v>
      </c>
      <c r="E5" s="644"/>
      <c r="F5" s="644"/>
      <c r="G5" s="645"/>
      <c r="H5" s="661"/>
      <c r="I5" s="639"/>
    </row>
    <row r="6" spans="1:9" ht="18.75" thickBot="1" x14ac:dyDescent="0.3">
      <c r="A6" s="518" t="s">
        <v>25</v>
      </c>
      <c r="B6" s="518"/>
      <c r="C6" s="518"/>
      <c r="D6" s="699" t="s">
        <v>266</v>
      </c>
      <c r="E6" s="699"/>
      <c r="F6" s="699"/>
      <c r="G6" s="517" t="s">
        <v>24</v>
      </c>
      <c r="H6" s="517"/>
      <c r="I6" s="427" t="s">
        <v>266</v>
      </c>
    </row>
    <row r="7" spans="1:9" x14ac:dyDescent="0.25">
      <c r="A7" s="631" t="s">
        <v>23</v>
      </c>
      <c r="B7" s="633" t="s">
        <v>34</v>
      </c>
      <c r="C7" s="635" t="s">
        <v>22</v>
      </c>
      <c r="D7" s="635" t="s">
        <v>21</v>
      </c>
      <c r="E7" s="635" t="s">
        <v>20</v>
      </c>
      <c r="F7" s="635"/>
      <c r="G7" s="635" t="s">
        <v>19</v>
      </c>
      <c r="H7" s="635"/>
      <c r="I7" s="22" t="s">
        <v>18</v>
      </c>
    </row>
    <row r="8" spans="1:9" ht="27" thickBot="1" x14ac:dyDescent="0.3">
      <c r="A8" s="632"/>
      <c r="B8" s="634"/>
      <c r="C8" s="636"/>
      <c r="D8" s="636"/>
      <c r="E8" s="23" t="s">
        <v>14</v>
      </c>
      <c r="F8" s="24" t="s">
        <v>17</v>
      </c>
      <c r="G8" s="23" t="s">
        <v>14</v>
      </c>
      <c r="H8" s="24" t="s">
        <v>17</v>
      </c>
      <c r="I8" s="25" t="s">
        <v>16</v>
      </c>
    </row>
    <row r="9" spans="1:9" ht="18.600000000000001" customHeight="1" x14ac:dyDescent="0.3">
      <c r="A9" s="327"/>
      <c r="B9" s="328"/>
      <c r="C9" s="325" t="s">
        <v>35</v>
      </c>
      <c r="D9" s="326"/>
      <c r="E9" s="329"/>
      <c r="F9" s="330"/>
      <c r="G9" s="329"/>
      <c r="H9" s="330"/>
      <c r="I9" s="331"/>
    </row>
    <row r="10" spans="1:9" ht="20.25" x14ac:dyDescent="0.3">
      <c r="A10" s="428" t="s">
        <v>267</v>
      </c>
      <c r="B10" s="429" t="s">
        <v>268</v>
      </c>
      <c r="C10" s="430" t="s">
        <v>269</v>
      </c>
      <c r="D10" s="431" t="s">
        <v>270</v>
      </c>
      <c r="E10" s="352">
        <v>2275</v>
      </c>
      <c r="F10" s="348" t="s">
        <v>1</v>
      </c>
      <c r="G10" s="432"/>
      <c r="H10" s="433"/>
      <c r="I10" s="331"/>
    </row>
    <row r="11" spans="1:9" ht="20.25" x14ac:dyDescent="0.3">
      <c r="A11" s="428" t="s">
        <v>271</v>
      </c>
      <c r="B11" s="434" t="s">
        <v>272</v>
      </c>
      <c r="C11" s="430" t="s">
        <v>273</v>
      </c>
      <c r="D11" s="431" t="s">
        <v>274</v>
      </c>
      <c r="E11" s="352">
        <v>50</v>
      </c>
      <c r="F11" s="348" t="s">
        <v>1</v>
      </c>
      <c r="G11" s="432"/>
      <c r="H11" s="433"/>
      <c r="I11" s="331"/>
    </row>
    <row r="12" spans="1:9" ht="20.25" x14ac:dyDescent="0.3">
      <c r="A12" s="435" t="s">
        <v>275</v>
      </c>
      <c r="B12" s="436" t="s">
        <v>276</v>
      </c>
      <c r="C12" s="437" t="s">
        <v>277</v>
      </c>
      <c r="D12" s="346" t="s">
        <v>278</v>
      </c>
      <c r="E12" s="352">
        <v>50</v>
      </c>
      <c r="F12" s="348" t="s">
        <v>1</v>
      </c>
      <c r="G12" s="358"/>
      <c r="H12" s="433"/>
      <c r="I12" s="331"/>
    </row>
    <row r="13" spans="1:9" ht="20.25" x14ac:dyDescent="0.3">
      <c r="A13" s="434" t="s">
        <v>279</v>
      </c>
      <c r="B13" s="434" t="s">
        <v>280</v>
      </c>
      <c r="C13" s="438" t="s">
        <v>281</v>
      </c>
      <c r="D13" s="358" t="s">
        <v>282</v>
      </c>
      <c r="E13" s="358">
        <v>50</v>
      </c>
      <c r="F13" s="358" t="s">
        <v>1</v>
      </c>
      <c r="G13" s="358"/>
      <c r="H13" s="433"/>
      <c r="I13" s="331"/>
    </row>
    <row r="14" spans="1:9" ht="20.25" x14ac:dyDescent="0.3">
      <c r="A14" s="439" t="s">
        <v>283</v>
      </c>
      <c r="B14" s="439" t="s">
        <v>284</v>
      </c>
      <c r="C14" s="440" t="s">
        <v>285</v>
      </c>
      <c r="D14" s="358" t="s">
        <v>286</v>
      </c>
      <c r="E14" s="358">
        <v>50</v>
      </c>
      <c r="F14" s="358" t="s">
        <v>1</v>
      </c>
      <c r="G14" s="358"/>
      <c r="H14" s="433"/>
      <c r="I14" s="331"/>
    </row>
    <row r="15" spans="1:9" ht="20.25" x14ac:dyDescent="0.3">
      <c r="A15" s="439" t="s">
        <v>287</v>
      </c>
      <c r="B15" s="439" t="s">
        <v>288</v>
      </c>
      <c r="C15" s="440" t="s">
        <v>289</v>
      </c>
      <c r="D15" s="358" t="s">
        <v>290</v>
      </c>
      <c r="E15" s="358">
        <v>7</v>
      </c>
      <c r="F15" s="358" t="s">
        <v>1</v>
      </c>
      <c r="G15" s="358"/>
      <c r="H15" s="433"/>
      <c r="I15" s="331"/>
    </row>
    <row r="16" spans="1:9" ht="20.25" x14ac:dyDescent="0.3">
      <c r="A16" s="439" t="s">
        <v>291</v>
      </c>
      <c r="B16" s="439" t="s">
        <v>292</v>
      </c>
      <c r="C16" s="440" t="s">
        <v>293</v>
      </c>
      <c r="D16" s="358" t="s">
        <v>294</v>
      </c>
      <c r="E16" s="358">
        <v>7</v>
      </c>
      <c r="F16" s="358" t="s">
        <v>1</v>
      </c>
      <c r="G16" s="358"/>
      <c r="H16" s="433"/>
      <c r="I16" s="331"/>
    </row>
    <row r="17" spans="1:9" ht="20.25" x14ac:dyDescent="0.3">
      <c r="A17" s="439"/>
      <c r="B17" s="439"/>
      <c r="C17" s="440" t="s">
        <v>55</v>
      </c>
      <c r="D17" s="358" t="s">
        <v>55</v>
      </c>
      <c r="E17" s="358"/>
      <c r="F17" s="358"/>
      <c r="G17" s="358"/>
      <c r="H17" s="433"/>
      <c r="I17" s="331"/>
    </row>
    <row r="18" spans="1:9" ht="20.25" x14ac:dyDescent="0.3">
      <c r="A18" s="439" t="s">
        <v>295</v>
      </c>
      <c r="B18" s="439" t="s">
        <v>296</v>
      </c>
      <c r="C18" s="440" t="s">
        <v>297</v>
      </c>
      <c r="D18" s="358" t="s">
        <v>298</v>
      </c>
      <c r="E18" s="358">
        <v>1100</v>
      </c>
      <c r="F18" s="358" t="s">
        <v>1</v>
      </c>
      <c r="G18" s="358"/>
      <c r="H18" s="433"/>
      <c r="I18" s="331"/>
    </row>
    <row r="19" spans="1:9" ht="20.25" x14ac:dyDescent="0.3">
      <c r="A19" s="439" t="s">
        <v>299</v>
      </c>
      <c r="B19" s="439" t="s">
        <v>300</v>
      </c>
      <c r="C19" s="440" t="s">
        <v>301</v>
      </c>
      <c r="D19" s="358" t="s">
        <v>302</v>
      </c>
      <c r="E19" s="358">
        <v>1100</v>
      </c>
      <c r="F19" s="358" t="s">
        <v>1</v>
      </c>
      <c r="G19" s="358"/>
      <c r="H19" s="433"/>
      <c r="I19" s="331"/>
    </row>
    <row r="20" spans="1:9" ht="20.25" x14ac:dyDescent="0.3">
      <c r="A20" s="439"/>
      <c r="B20" s="439"/>
      <c r="C20" s="440" t="s">
        <v>55</v>
      </c>
      <c r="D20" s="358" t="s">
        <v>55</v>
      </c>
      <c r="E20" s="358"/>
      <c r="F20" s="358"/>
      <c r="G20" s="358"/>
      <c r="H20" s="433"/>
      <c r="I20" s="331"/>
    </row>
    <row r="21" spans="1:9" ht="20.25" x14ac:dyDescent="0.3">
      <c r="A21" s="439" t="s">
        <v>303</v>
      </c>
      <c r="B21" s="439" t="s">
        <v>304</v>
      </c>
      <c r="C21" s="440" t="s">
        <v>305</v>
      </c>
      <c r="D21" s="358" t="s">
        <v>306</v>
      </c>
      <c r="E21" s="358">
        <v>800</v>
      </c>
      <c r="F21" s="358" t="s">
        <v>1</v>
      </c>
      <c r="G21" s="358"/>
      <c r="H21" s="433"/>
      <c r="I21" s="331"/>
    </row>
    <row r="22" spans="1:9" ht="20.25" x14ac:dyDescent="0.3">
      <c r="A22" s="434"/>
      <c r="B22" s="434"/>
      <c r="C22" s="441"/>
      <c r="D22" s="358"/>
      <c r="E22" s="358"/>
      <c r="F22" s="358"/>
      <c r="G22" s="358"/>
      <c r="H22" s="433"/>
      <c r="I22" s="331"/>
    </row>
    <row r="23" spans="1:9" ht="20.25" x14ac:dyDescent="0.3">
      <c r="A23" s="434"/>
      <c r="B23" s="434"/>
      <c r="C23" s="441"/>
      <c r="D23" s="358"/>
      <c r="E23" s="358"/>
      <c r="F23" s="358"/>
      <c r="G23" s="358"/>
      <c r="H23" s="433"/>
      <c r="I23" s="331"/>
    </row>
    <row r="24" spans="1:9" ht="20.25" x14ac:dyDescent="0.3">
      <c r="A24" s="343"/>
      <c r="B24" s="344"/>
      <c r="C24" s="345" t="s">
        <v>40</v>
      </c>
      <c r="D24" s="358"/>
      <c r="E24" s="358"/>
      <c r="F24" s="358"/>
      <c r="G24" s="358"/>
      <c r="H24" s="433"/>
      <c r="I24" s="331"/>
    </row>
    <row r="25" spans="1:9" ht="20.25" x14ac:dyDescent="0.3">
      <c r="A25" s="442"/>
      <c r="B25" s="434"/>
      <c r="C25" s="441"/>
      <c r="D25" s="443"/>
      <c r="E25" s="443"/>
      <c r="F25" s="443"/>
      <c r="G25" s="329"/>
      <c r="H25" s="433"/>
      <c r="I25" s="331"/>
    </row>
    <row r="26" spans="1:9" ht="20.25" x14ac:dyDescent="0.3">
      <c r="A26" s="343"/>
      <c r="B26" s="344"/>
      <c r="C26" s="345"/>
      <c r="D26" s="346"/>
      <c r="E26" s="347"/>
      <c r="F26" s="348"/>
      <c r="G26" s="329"/>
      <c r="H26" s="433"/>
      <c r="I26" s="331"/>
    </row>
    <row r="27" spans="1:9" ht="20.25" x14ac:dyDescent="0.3">
      <c r="A27" s="444"/>
      <c r="B27" s="445"/>
      <c r="C27" s="446"/>
      <c r="D27" s="447"/>
      <c r="E27" s="335"/>
      <c r="F27" s="448"/>
      <c r="G27" s="329"/>
      <c r="H27" s="433"/>
      <c r="I27" s="331"/>
    </row>
    <row r="28" spans="1:9" ht="20.25" x14ac:dyDescent="0.3">
      <c r="A28" s="444"/>
      <c r="B28" s="445"/>
      <c r="C28" s="446"/>
      <c r="D28" s="447"/>
      <c r="E28" s="449"/>
      <c r="F28" s="448"/>
      <c r="G28" s="329"/>
      <c r="H28" s="330"/>
      <c r="I28" s="331"/>
    </row>
    <row r="29" spans="1:9" ht="20.25" x14ac:dyDescent="0.3">
      <c r="A29" s="444"/>
      <c r="B29" s="445"/>
      <c r="C29" s="446"/>
      <c r="D29" s="447"/>
      <c r="E29" s="335"/>
      <c r="F29" s="448"/>
      <c r="G29" s="329"/>
      <c r="H29" s="330"/>
      <c r="I29" s="331"/>
    </row>
    <row r="30" spans="1:9" ht="20.25" x14ac:dyDescent="0.3">
      <c r="A30" s="444"/>
      <c r="B30" s="445"/>
      <c r="C30" s="446"/>
      <c r="D30" s="447"/>
      <c r="E30" s="450"/>
      <c r="F30" s="451"/>
      <c r="G30" s="329"/>
      <c r="H30" s="330"/>
      <c r="I30" s="331"/>
    </row>
    <row r="31" spans="1:9" ht="20.25" x14ac:dyDescent="0.3">
      <c r="A31" s="434"/>
      <c r="B31" s="434"/>
      <c r="C31" s="441"/>
      <c r="D31" s="360"/>
      <c r="E31" s="357"/>
      <c r="F31" s="342"/>
      <c r="G31" s="329"/>
      <c r="H31" s="330"/>
      <c r="I31" s="331"/>
    </row>
    <row r="32" spans="1:9" ht="20.25" x14ac:dyDescent="0.3">
      <c r="A32" s="353"/>
      <c r="B32" s="354"/>
      <c r="C32" s="355" t="s">
        <v>41</v>
      </c>
      <c r="D32" s="356"/>
      <c r="E32" s="452"/>
      <c r="F32" s="330"/>
      <c r="G32" s="329"/>
      <c r="H32" s="453"/>
      <c r="I32" s="331"/>
    </row>
    <row r="33" spans="1:9" ht="20.25" x14ac:dyDescent="0.3">
      <c r="A33" s="454" t="s">
        <v>307</v>
      </c>
      <c r="B33" s="455" t="s">
        <v>308</v>
      </c>
      <c r="C33" s="456" t="s">
        <v>309</v>
      </c>
      <c r="D33" s="358" t="s">
        <v>46</v>
      </c>
      <c r="E33" s="357">
        <v>1</v>
      </c>
      <c r="F33" s="342" t="s">
        <v>6</v>
      </c>
      <c r="G33" s="457"/>
      <c r="H33" s="330"/>
      <c r="I33" s="331"/>
    </row>
    <row r="34" spans="1:9" ht="20.25" x14ac:dyDescent="0.3">
      <c r="A34" s="454" t="s">
        <v>310</v>
      </c>
      <c r="B34" s="455" t="s">
        <v>311</v>
      </c>
      <c r="C34" s="456" t="s">
        <v>312</v>
      </c>
      <c r="D34" s="358" t="s">
        <v>46</v>
      </c>
      <c r="E34" s="357">
        <v>2</v>
      </c>
      <c r="F34" s="342" t="s">
        <v>6</v>
      </c>
      <c r="G34" s="457"/>
      <c r="H34" s="330"/>
      <c r="I34" s="331"/>
    </row>
    <row r="35" spans="1:9" ht="20.25" x14ac:dyDescent="0.3">
      <c r="A35" s="458" t="s">
        <v>313</v>
      </c>
      <c r="B35" s="459" t="s">
        <v>314</v>
      </c>
      <c r="C35" s="460" t="s">
        <v>315</v>
      </c>
      <c r="D35" s="358" t="s">
        <v>50</v>
      </c>
      <c r="E35" s="357">
        <v>2</v>
      </c>
      <c r="F35" s="342" t="s">
        <v>6</v>
      </c>
      <c r="G35" s="457"/>
      <c r="H35" s="330"/>
      <c r="I35" s="331"/>
    </row>
    <row r="36" spans="1:9" ht="20.25" x14ac:dyDescent="0.3">
      <c r="A36" s="461" t="s">
        <v>194</v>
      </c>
      <c r="B36" s="461" t="s">
        <v>62</v>
      </c>
      <c r="C36" s="462" t="s">
        <v>316</v>
      </c>
      <c r="D36" s="358" t="s">
        <v>50</v>
      </c>
      <c r="E36" s="357">
        <v>2</v>
      </c>
      <c r="F36" s="342" t="s">
        <v>6</v>
      </c>
      <c r="G36" s="329"/>
      <c r="H36" s="330"/>
      <c r="I36" s="331"/>
    </row>
    <row r="37" spans="1:9" ht="20.25" x14ac:dyDescent="0.3">
      <c r="A37" s="461"/>
      <c r="B37" s="461"/>
      <c r="C37" s="462"/>
      <c r="D37" s="358"/>
      <c r="E37" s="357"/>
      <c r="F37" s="342"/>
      <c r="G37" s="329"/>
      <c r="H37" s="330"/>
      <c r="I37" s="331"/>
    </row>
    <row r="38" spans="1:9" ht="20.25" x14ac:dyDescent="0.3">
      <c r="A38" s="461"/>
      <c r="B38" s="461"/>
      <c r="C38" s="462"/>
      <c r="D38" s="358"/>
      <c r="E38" s="357"/>
      <c r="F38" s="342"/>
      <c r="G38" s="463"/>
      <c r="H38" s="330"/>
      <c r="I38" s="331"/>
    </row>
    <row r="39" spans="1:9" ht="20.25" x14ac:dyDescent="0.3">
      <c r="A39" s="461"/>
      <c r="B39" s="461"/>
      <c r="C39" s="462"/>
      <c r="D39" s="358"/>
      <c r="E39" s="357"/>
      <c r="F39" s="342"/>
      <c r="G39" s="352"/>
      <c r="H39" s="330"/>
      <c r="I39" s="331"/>
    </row>
    <row r="40" spans="1:9" ht="20.25" x14ac:dyDescent="0.3">
      <c r="A40" s="464"/>
      <c r="B40" s="464"/>
      <c r="C40" s="465"/>
      <c r="D40" s="358"/>
      <c r="E40" s="342"/>
      <c r="F40" s="342"/>
      <c r="G40" s="352"/>
      <c r="H40" s="330"/>
      <c r="I40" s="331"/>
    </row>
    <row r="41" spans="1:9" ht="20.25" x14ac:dyDescent="0.3">
      <c r="A41" s="361"/>
      <c r="B41" s="434"/>
      <c r="C41" s="466"/>
      <c r="D41" s="360"/>
      <c r="E41" s="357"/>
      <c r="F41" s="358"/>
      <c r="G41" s="352"/>
      <c r="H41" s="330"/>
      <c r="I41" s="331"/>
    </row>
    <row r="42" spans="1:9" ht="20.25" x14ac:dyDescent="0.3">
      <c r="A42" s="461"/>
      <c r="B42" s="461"/>
      <c r="C42" s="462"/>
      <c r="D42" s="358"/>
      <c r="E42" s="357"/>
      <c r="F42" s="358"/>
      <c r="G42" s="352"/>
      <c r="H42" s="330"/>
      <c r="I42" s="331"/>
    </row>
    <row r="43" spans="1:9" ht="20.25" x14ac:dyDescent="0.3">
      <c r="A43" s="343"/>
      <c r="B43" s="344"/>
      <c r="C43" s="365"/>
      <c r="D43" s="346"/>
      <c r="E43" s="346"/>
      <c r="F43" s="348"/>
      <c r="G43" s="346"/>
      <c r="H43" s="346"/>
      <c r="I43" s="331"/>
    </row>
    <row r="44" spans="1:9" ht="21" thickBot="1" x14ac:dyDescent="0.35">
      <c r="A44" s="366"/>
      <c r="B44" s="367"/>
      <c r="C44" s="368"/>
      <c r="D44" s="368"/>
      <c r="E44" s="369"/>
      <c r="F44" s="370"/>
      <c r="G44" s="368"/>
      <c r="H44" s="368"/>
      <c r="I44" s="371"/>
    </row>
    <row r="45" spans="1:9" ht="21" thickBot="1" x14ac:dyDescent="0.35">
      <c r="A45" s="374"/>
      <c r="B45" s="375"/>
      <c r="C45" s="376"/>
      <c r="D45" s="377" t="s">
        <v>14</v>
      </c>
      <c r="E45" s="378" t="s">
        <v>13</v>
      </c>
      <c r="F45" s="379"/>
      <c r="G45" s="376"/>
      <c r="H45" s="376"/>
      <c r="I45" s="380"/>
    </row>
    <row r="46" spans="1:9" ht="20.25" x14ac:dyDescent="0.3">
      <c r="A46" s="700" t="s">
        <v>12</v>
      </c>
      <c r="B46" s="701"/>
      <c r="C46" s="702"/>
      <c r="D46" s="381">
        <v>5400</v>
      </c>
      <c r="E46" s="382" t="s">
        <v>1</v>
      </c>
      <c r="F46" s="703" t="s">
        <v>11</v>
      </c>
      <c r="G46" s="703"/>
      <c r="H46" s="704"/>
      <c r="I46" s="705"/>
    </row>
    <row r="47" spans="1:9" ht="20.25" x14ac:dyDescent="0.3">
      <c r="A47" s="706" t="s">
        <v>10</v>
      </c>
      <c r="B47" s="707"/>
      <c r="C47" s="708"/>
      <c r="D47" s="357">
        <v>4</v>
      </c>
      <c r="E47" s="358" t="s">
        <v>9</v>
      </c>
      <c r="F47" s="709" t="s">
        <v>8</v>
      </c>
      <c r="G47" s="709"/>
      <c r="H47" s="710"/>
      <c r="I47" s="711"/>
    </row>
    <row r="48" spans="1:9" ht="20.25" x14ac:dyDescent="0.3">
      <c r="A48" s="706" t="s">
        <v>7</v>
      </c>
      <c r="B48" s="707"/>
      <c r="C48" s="708"/>
      <c r="D48" s="357">
        <v>1</v>
      </c>
      <c r="E48" s="358" t="s">
        <v>6</v>
      </c>
      <c r="F48" s="709" t="s">
        <v>5</v>
      </c>
      <c r="G48" s="709"/>
      <c r="H48" s="710"/>
      <c r="I48" s="711"/>
    </row>
    <row r="49" spans="1:9" ht="20.25" x14ac:dyDescent="0.3">
      <c r="A49" s="706" t="s">
        <v>4</v>
      </c>
      <c r="B49" s="707"/>
      <c r="C49" s="708"/>
      <c r="D49" s="357">
        <v>5400</v>
      </c>
      <c r="E49" s="358" t="s">
        <v>1</v>
      </c>
      <c r="F49" s="716" t="s">
        <v>3</v>
      </c>
      <c r="G49" s="717"/>
      <c r="H49" s="718"/>
      <c r="I49" s="719"/>
    </row>
    <row r="50" spans="1:9" ht="21" thickBot="1" x14ac:dyDescent="0.35">
      <c r="A50" s="720" t="s">
        <v>2</v>
      </c>
      <c r="B50" s="721"/>
      <c r="C50" s="722"/>
      <c r="D50" s="385">
        <v>89</v>
      </c>
      <c r="E50" s="386" t="s">
        <v>1</v>
      </c>
      <c r="F50" s="723"/>
      <c r="G50" s="723"/>
      <c r="H50" s="710"/>
      <c r="I50" s="711"/>
    </row>
    <row r="51" spans="1:9" ht="21" thickBot="1" x14ac:dyDescent="0.35">
      <c r="A51" s="724" t="s">
        <v>0</v>
      </c>
      <c r="B51" s="725"/>
      <c r="C51" s="725"/>
      <c r="D51" s="725"/>
      <c r="E51" s="725"/>
      <c r="F51" s="725"/>
      <c r="G51" s="725"/>
      <c r="H51" s="725"/>
      <c r="I51" s="726"/>
    </row>
    <row r="52" spans="1:9" ht="20.25" x14ac:dyDescent="0.3">
      <c r="A52" s="727" t="s">
        <v>317</v>
      </c>
      <c r="B52" s="728"/>
      <c r="C52" s="729"/>
      <c r="D52" s="729"/>
      <c r="E52" s="729"/>
      <c r="F52" s="729"/>
      <c r="G52" s="729"/>
      <c r="H52" s="729"/>
      <c r="I52" s="730"/>
    </row>
    <row r="53" spans="1:9" ht="20.25" x14ac:dyDescent="0.3">
      <c r="A53" s="712" t="s">
        <v>318</v>
      </c>
      <c r="B53" s="713"/>
      <c r="C53" s="714"/>
      <c r="D53" s="714"/>
      <c r="E53" s="714"/>
      <c r="F53" s="714"/>
      <c r="G53" s="714"/>
      <c r="H53" s="714"/>
      <c r="I53" s="715"/>
    </row>
    <row r="54" spans="1:9" ht="20.25" x14ac:dyDescent="0.3">
      <c r="A54" s="731" t="s">
        <v>319</v>
      </c>
      <c r="B54" s="732"/>
      <c r="C54" s="733"/>
      <c r="D54" s="733"/>
      <c r="E54" s="733"/>
      <c r="F54" s="733"/>
      <c r="G54" s="733"/>
      <c r="H54" s="733"/>
      <c r="I54" s="734"/>
    </row>
    <row r="55" spans="1:9" ht="21" thickBot="1" x14ac:dyDescent="0.3">
      <c r="A55" s="735"/>
      <c r="B55" s="736"/>
      <c r="C55" s="736"/>
      <c r="D55" s="736"/>
      <c r="E55" s="736"/>
      <c r="F55" s="736"/>
      <c r="G55" s="736"/>
      <c r="H55" s="736"/>
      <c r="I55" s="737"/>
    </row>
    <row r="56" spans="1:9" ht="20.25" x14ac:dyDescent="0.3">
      <c r="A56" s="738" t="s">
        <v>36</v>
      </c>
      <c r="B56" s="739"/>
      <c r="C56" s="739"/>
      <c r="D56" s="739"/>
      <c r="E56" s="739"/>
      <c r="F56" s="739"/>
      <c r="G56" s="739"/>
      <c r="H56" s="739"/>
      <c r="I56" s="739"/>
    </row>
    <row r="57" spans="1:9" ht="20.25" x14ac:dyDescent="0.3">
      <c r="A57" s="740"/>
      <c r="B57" s="740"/>
      <c r="C57" s="740"/>
      <c r="D57" s="740"/>
      <c r="E57" s="740"/>
      <c r="F57" s="740"/>
      <c r="G57" s="740"/>
      <c r="H57" s="740"/>
      <c r="I57" s="740"/>
    </row>
    <row r="58" spans="1:9" ht="20.25" x14ac:dyDescent="0.3">
      <c r="A58" s="740"/>
      <c r="B58" s="740"/>
      <c r="C58" s="740"/>
      <c r="D58" s="740"/>
      <c r="E58" s="740"/>
      <c r="F58" s="740"/>
      <c r="G58" s="740"/>
      <c r="H58" s="740"/>
      <c r="I58" s="740"/>
    </row>
  </sheetData>
  <mergeCells count="40">
    <mergeCell ref="A54:I54"/>
    <mergeCell ref="A55:I55"/>
    <mergeCell ref="A56:I56"/>
    <mergeCell ref="A57:I57"/>
    <mergeCell ref="A58:I58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C9F2-ECBA-470C-8F0E-336A3FBED4E5}">
  <dimension ref="A1:M37"/>
  <sheetViews>
    <sheetView workbookViewId="0">
      <selection sqref="A1:B5"/>
    </sheetView>
  </sheetViews>
  <sheetFormatPr baseColWidth="10" defaultColWidth="11.42578125" defaultRowHeight="12.75" x14ac:dyDescent="0.2"/>
  <cols>
    <col min="1" max="1" width="16.28515625" style="91" customWidth="1"/>
    <col min="2" max="2" width="14.5703125" style="91" customWidth="1"/>
    <col min="3" max="3" width="48.28515625" style="91" customWidth="1"/>
    <col min="4" max="4" width="15.5703125" style="91" customWidth="1"/>
    <col min="5" max="5" width="11.42578125" style="91"/>
    <col min="6" max="6" width="13.28515625" style="91" customWidth="1"/>
    <col min="7" max="7" width="12.5703125" style="91" customWidth="1"/>
    <col min="8" max="8" width="15.5703125" style="91" customWidth="1"/>
    <col min="9" max="9" width="16" style="91" customWidth="1"/>
    <col min="10" max="16384" width="11.42578125" style="91"/>
  </cols>
  <sheetData>
    <row r="1" spans="1:12" ht="18" x14ac:dyDescent="0.25">
      <c r="A1" s="504"/>
      <c r="B1" s="505"/>
      <c r="C1" s="510" t="s">
        <v>33</v>
      </c>
      <c r="D1" s="510"/>
      <c r="E1" s="510"/>
      <c r="F1" s="510"/>
      <c r="G1" s="510"/>
      <c r="H1" s="89" t="s">
        <v>32</v>
      </c>
      <c r="I1" s="467" t="s">
        <v>320</v>
      </c>
    </row>
    <row r="2" spans="1:12" ht="18" x14ac:dyDescent="0.25">
      <c r="A2" s="506"/>
      <c r="B2" s="507"/>
      <c r="C2" s="511" t="s">
        <v>31</v>
      </c>
      <c r="D2" s="511"/>
      <c r="E2" s="511"/>
      <c r="F2" s="511"/>
      <c r="G2" s="511"/>
      <c r="H2" s="92" t="s">
        <v>30</v>
      </c>
      <c r="I2" s="93" t="s">
        <v>321</v>
      </c>
    </row>
    <row r="3" spans="1:12" ht="15" x14ac:dyDescent="0.2">
      <c r="A3" s="506"/>
      <c r="B3" s="507"/>
      <c r="C3" s="512" t="s">
        <v>322</v>
      </c>
      <c r="D3" s="513"/>
      <c r="E3" s="513"/>
      <c r="F3" s="513"/>
      <c r="G3" s="514"/>
      <c r="H3" s="515" t="s">
        <v>29</v>
      </c>
      <c r="I3" s="499">
        <v>45783</v>
      </c>
    </row>
    <row r="4" spans="1:12" x14ac:dyDescent="0.2">
      <c r="A4" s="506"/>
      <c r="B4" s="507"/>
      <c r="C4" s="94" t="s">
        <v>28</v>
      </c>
      <c r="D4" s="502" t="s">
        <v>38</v>
      </c>
      <c r="E4" s="502"/>
      <c r="F4" s="502"/>
      <c r="G4" s="502"/>
      <c r="H4" s="515"/>
      <c r="I4" s="500"/>
    </row>
    <row r="5" spans="1:12" ht="13.5" thickBot="1" x14ac:dyDescent="0.25">
      <c r="A5" s="508"/>
      <c r="B5" s="509"/>
      <c r="C5" s="95" t="s">
        <v>27</v>
      </c>
      <c r="D5" s="503" t="s">
        <v>26</v>
      </c>
      <c r="E5" s="503"/>
      <c r="F5" s="503"/>
      <c r="G5" s="503"/>
      <c r="H5" s="516"/>
      <c r="I5" s="501"/>
    </row>
    <row r="6" spans="1:12" x14ac:dyDescent="0.2">
      <c r="A6" s="96"/>
      <c r="B6" s="96"/>
      <c r="C6" s="97"/>
      <c r="D6" s="98"/>
      <c r="E6" s="98"/>
      <c r="F6" s="98"/>
      <c r="G6" s="98"/>
      <c r="H6" s="99"/>
      <c r="I6" s="100"/>
    </row>
    <row r="7" spans="1:12" ht="18.75" thickBot="1" x14ac:dyDescent="0.3">
      <c r="A7" s="518" t="s">
        <v>25</v>
      </c>
      <c r="B7" s="518"/>
      <c r="C7" s="518"/>
      <c r="D7" s="519" t="s">
        <v>323</v>
      </c>
      <c r="E7" s="519"/>
      <c r="F7" s="519"/>
      <c r="G7" s="517" t="s">
        <v>24</v>
      </c>
      <c r="H7" s="517"/>
      <c r="I7" s="21" t="s">
        <v>323</v>
      </c>
    </row>
    <row r="8" spans="1:12" ht="25.5" x14ac:dyDescent="0.2">
      <c r="A8" s="520" t="s">
        <v>23</v>
      </c>
      <c r="B8" s="522" t="s">
        <v>58</v>
      </c>
      <c r="C8" s="524" t="s">
        <v>22</v>
      </c>
      <c r="D8" s="524" t="s">
        <v>21</v>
      </c>
      <c r="E8" s="524" t="s">
        <v>20</v>
      </c>
      <c r="F8" s="524"/>
      <c r="G8" s="524" t="s">
        <v>19</v>
      </c>
      <c r="H8" s="524"/>
      <c r="I8" s="101" t="s">
        <v>18</v>
      </c>
    </row>
    <row r="9" spans="1:12" ht="26.25" thickBot="1" x14ac:dyDescent="0.25">
      <c r="A9" s="742"/>
      <c r="B9" s="741"/>
      <c r="C9" s="526"/>
      <c r="D9" s="526"/>
      <c r="E9" s="102" t="s">
        <v>14</v>
      </c>
      <c r="F9" s="103" t="s">
        <v>17</v>
      </c>
      <c r="G9" s="102" t="s">
        <v>14</v>
      </c>
      <c r="H9" s="103" t="s">
        <v>17</v>
      </c>
      <c r="I9" s="207" t="s">
        <v>16</v>
      </c>
    </row>
    <row r="10" spans="1:12" ht="31.5" x14ac:dyDescent="0.25">
      <c r="A10" s="2" t="s">
        <v>304</v>
      </c>
      <c r="B10" s="2" t="s">
        <v>303</v>
      </c>
      <c r="C10" s="1" t="s">
        <v>324</v>
      </c>
      <c r="D10" s="205" t="s">
        <v>325</v>
      </c>
      <c r="E10" s="108">
        <v>10000</v>
      </c>
      <c r="F10" s="108" t="s">
        <v>1</v>
      </c>
      <c r="G10" s="204"/>
      <c r="H10" s="203"/>
      <c r="I10" s="202"/>
    </row>
    <row r="11" spans="1:12" ht="15.75" x14ac:dyDescent="0.25">
      <c r="A11" s="2"/>
      <c r="B11" s="2"/>
      <c r="C11" s="1"/>
      <c r="D11" s="205"/>
      <c r="E11" s="111"/>
      <c r="F11" s="111"/>
      <c r="G11" s="120"/>
      <c r="H11" s="121"/>
      <c r="I11" s="119"/>
    </row>
    <row r="12" spans="1:12" ht="15.75" x14ac:dyDescent="0.25">
      <c r="A12" s="2"/>
      <c r="B12" s="2"/>
      <c r="C12" s="1"/>
      <c r="D12" s="205"/>
      <c r="E12" s="111"/>
      <c r="F12" s="111"/>
      <c r="G12" s="120"/>
      <c r="H12" s="121"/>
      <c r="I12" s="119"/>
    </row>
    <row r="13" spans="1:12" ht="15.75" x14ac:dyDescent="0.25">
      <c r="A13" s="2"/>
      <c r="B13" s="2"/>
      <c r="C13" s="1"/>
      <c r="D13" s="205"/>
      <c r="E13" s="111"/>
      <c r="F13" s="111"/>
      <c r="G13" s="120"/>
      <c r="H13" s="121"/>
      <c r="I13" s="119"/>
    </row>
    <row r="14" spans="1:12" ht="15.75" x14ac:dyDescent="0.25">
      <c r="A14" s="2"/>
      <c r="B14" s="1"/>
      <c r="C14" s="1"/>
      <c r="D14" s="5"/>
      <c r="E14" s="114"/>
      <c r="F14" s="5"/>
      <c r="G14" s="743"/>
      <c r="H14" s="743"/>
      <c r="I14" s="744"/>
    </row>
    <row r="15" spans="1:12" ht="16.5" thickBot="1" x14ac:dyDescent="0.3">
      <c r="A15" s="2"/>
      <c r="B15" s="2"/>
      <c r="C15" s="1"/>
      <c r="D15" s="115"/>
      <c r="E15" s="115"/>
      <c r="F15" s="115"/>
      <c r="G15" s="112"/>
      <c r="H15" s="107"/>
      <c r="I15" s="122"/>
    </row>
    <row r="16" spans="1:12" ht="13.5" thickBot="1" x14ac:dyDescent="0.25">
      <c r="A16" s="206"/>
      <c r="B16" s="208"/>
      <c r="C16" s="209"/>
      <c r="D16" s="210" t="s">
        <v>14</v>
      </c>
      <c r="E16" s="211" t="s">
        <v>13</v>
      </c>
      <c r="F16" s="212"/>
      <c r="G16" s="209"/>
      <c r="H16" s="209"/>
      <c r="I16" s="213"/>
      <c r="L16" s="126"/>
    </row>
    <row r="17" spans="1:13" x14ac:dyDescent="0.2">
      <c r="A17" s="493" t="s">
        <v>12</v>
      </c>
      <c r="B17" s="494"/>
      <c r="C17" s="495"/>
      <c r="D17" s="142">
        <v>9800</v>
      </c>
      <c r="E17" s="143" t="s">
        <v>1</v>
      </c>
      <c r="F17" s="496"/>
      <c r="G17" s="496"/>
      <c r="H17" s="497"/>
      <c r="I17" s="498"/>
      <c r="L17" s="126"/>
    </row>
    <row r="18" spans="1:13" x14ac:dyDescent="0.2">
      <c r="A18" s="485" t="s">
        <v>10</v>
      </c>
      <c r="B18" s="486"/>
      <c r="C18" s="487"/>
      <c r="D18" s="144">
        <v>3</v>
      </c>
      <c r="E18" s="13" t="s">
        <v>9</v>
      </c>
      <c r="F18" s="488"/>
      <c r="G18" s="488"/>
      <c r="H18" s="489"/>
      <c r="I18" s="490"/>
      <c r="L18" s="126"/>
    </row>
    <row r="19" spans="1:13" x14ac:dyDescent="0.2">
      <c r="A19" s="485" t="s">
        <v>7</v>
      </c>
      <c r="B19" s="486"/>
      <c r="C19" s="487"/>
      <c r="D19" s="13">
        <v>1</v>
      </c>
      <c r="E19" s="13" t="s">
        <v>6</v>
      </c>
      <c r="F19" s="488"/>
      <c r="G19" s="488"/>
      <c r="H19" s="489"/>
      <c r="I19" s="490"/>
      <c r="L19" s="126"/>
    </row>
    <row r="20" spans="1:13" x14ac:dyDescent="0.2">
      <c r="A20" s="485" t="s">
        <v>4</v>
      </c>
      <c r="B20" s="486"/>
      <c r="C20" s="487"/>
      <c r="D20" s="145">
        <f>+D17</f>
        <v>9800</v>
      </c>
      <c r="E20" s="13" t="s">
        <v>1</v>
      </c>
      <c r="F20" s="491"/>
      <c r="G20" s="492"/>
      <c r="H20" s="489"/>
      <c r="I20" s="490"/>
      <c r="L20" s="126"/>
      <c r="M20" s="146"/>
    </row>
    <row r="21" spans="1:13" ht="13.5" thickBot="1" x14ac:dyDescent="0.25">
      <c r="A21" s="473" t="s">
        <v>2</v>
      </c>
      <c r="B21" s="474"/>
      <c r="C21" s="475"/>
      <c r="D21" s="147">
        <f>SUM(E10:E15)-D17</f>
        <v>200</v>
      </c>
      <c r="E21" s="148" t="s">
        <v>1</v>
      </c>
      <c r="F21" s="476"/>
      <c r="G21" s="476"/>
      <c r="H21" s="477"/>
      <c r="I21" s="478"/>
      <c r="L21" s="126"/>
    </row>
    <row r="22" spans="1:13" ht="13.5" thickBot="1" x14ac:dyDescent="0.25">
      <c r="A22" s="479" t="s">
        <v>0</v>
      </c>
      <c r="B22" s="480"/>
      <c r="C22" s="480"/>
      <c r="D22" s="480"/>
      <c r="E22" s="480"/>
      <c r="F22" s="480"/>
      <c r="G22" s="480"/>
      <c r="H22" s="480"/>
      <c r="I22" s="481"/>
    </row>
    <row r="23" spans="1:13" ht="15" x14ac:dyDescent="0.2">
      <c r="A23" s="746" t="s">
        <v>326</v>
      </c>
      <c r="B23" s="483"/>
      <c r="C23" s="483"/>
      <c r="D23" s="483"/>
      <c r="E23" s="483"/>
      <c r="F23" s="483"/>
      <c r="G23" s="483"/>
      <c r="H23" s="483"/>
      <c r="I23" s="484"/>
    </row>
    <row r="24" spans="1:13" ht="15" x14ac:dyDescent="0.25">
      <c r="A24" s="745" t="s">
        <v>327</v>
      </c>
      <c r="B24" s="536"/>
      <c r="C24" s="536"/>
      <c r="D24" s="536"/>
      <c r="E24" s="536"/>
      <c r="F24" s="536"/>
      <c r="G24" s="536"/>
      <c r="H24" s="536"/>
      <c r="I24" s="537"/>
    </row>
    <row r="25" spans="1:13" ht="15" x14ac:dyDescent="0.25">
      <c r="A25" s="745"/>
      <c r="B25" s="536"/>
      <c r="C25" s="536"/>
      <c r="D25" s="536"/>
      <c r="E25" s="536"/>
      <c r="F25" s="536"/>
      <c r="G25" s="536"/>
      <c r="H25" s="536"/>
      <c r="I25" s="537"/>
    </row>
    <row r="26" spans="1:13" ht="15" x14ac:dyDescent="0.25">
      <c r="A26" s="745"/>
      <c r="B26" s="536"/>
      <c r="C26" s="536"/>
      <c r="D26" s="536"/>
      <c r="E26" s="536"/>
      <c r="F26" s="536"/>
      <c r="G26" s="536"/>
      <c r="H26" s="536"/>
      <c r="I26" s="537"/>
    </row>
    <row r="27" spans="1:13" ht="15" x14ac:dyDescent="0.25">
      <c r="A27" s="745"/>
      <c r="B27" s="536"/>
      <c r="C27" s="536"/>
      <c r="D27" s="536"/>
      <c r="E27" s="536"/>
      <c r="F27" s="536"/>
      <c r="G27" s="536"/>
      <c r="H27" s="536"/>
      <c r="I27" s="537"/>
    </row>
    <row r="28" spans="1:13" ht="15" x14ac:dyDescent="0.25">
      <c r="A28" s="745"/>
      <c r="B28" s="536"/>
      <c r="C28" s="536"/>
      <c r="D28" s="536"/>
      <c r="E28" s="536"/>
      <c r="F28" s="536"/>
      <c r="G28" s="536"/>
      <c r="H28" s="536"/>
      <c r="I28" s="537"/>
    </row>
    <row r="29" spans="1:13" ht="14.25" x14ac:dyDescent="0.2">
      <c r="A29" s="533"/>
      <c r="B29" s="534"/>
      <c r="C29" s="534"/>
      <c r="D29" s="534"/>
      <c r="E29" s="534"/>
      <c r="F29" s="534"/>
      <c r="G29" s="534"/>
      <c r="H29" s="534"/>
      <c r="I29" s="535"/>
    </row>
    <row r="30" spans="1:13" ht="14.25" x14ac:dyDescent="0.2">
      <c r="A30" s="533"/>
      <c r="B30" s="534"/>
      <c r="C30" s="534"/>
      <c r="D30" s="534"/>
      <c r="E30" s="534"/>
      <c r="F30" s="534"/>
      <c r="G30" s="534"/>
      <c r="H30" s="534"/>
      <c r="I30" s="535"/>
    </row>
    <row r="31" spans="1:13" ht="15" thickBot="1" x14ac:dyDescent="0.25">
      <c r="A31" s="530"/>
      <c r="B31" s="531"/>
      <c r="C31" s="531"/>
      <c r="D31" s="531"/>
      <c r="E31" s="531"/>
      <c r="F31" s="531"/>
      <c r="G31" s="531"/>
      <c r="H31" s="531"/>
      <c r="I31" s="532"/>
    </row>
    <row r="32" spans="1:13" ht="13.5" thickBot="1" x14ac:dyDescent="0.25">
      <c r="A32" s="479" t="s">
        <v>65</v>
      </c>
      <c r="B32" s="480"/>
      <c r="C32" s="480"/>
      <c r="D32" s="480"/>
      <c r="E32" s="480"/>
      <c r="F32" s="480"/>
      <c r="G32" s="480"/>
      <c r="H32" s="480"/>
      <c r="I32" s="481"/>
    </row>
    <row r="33" spans="1:3" x14ac:dyDescent="0.2">
      <c r="A33" s="149" t="s">
        <v>328</v>
      </c>
      <c r="B33" s="149"/>
      <c r="C33" s="149"/>
    </row>
    <row r="34" spans="1:3" x14ac:dyDescent="0.2">
      <c r="A34" s="149" t="s">
        <v>329</v>
      </c>
      <c r="B34" s="149"/>
    </row>
    <row r="35" spans="1:3" ht="15" x14ac:dyDescent="0.25">
      <c r="A35" s="150" t="s">
        <v>330</v>
      </c>
      <c r="B35" s="150"/>
    </row>
    <row r="36" spans="1:3" ht="15" x14ac:dyDescent="0.25">
      <c r="A36" s="150" t="s">
        <v>331</v>
      </c>
      <c r="B36" s="150"/>
    </row>
    <row r="37" spans="1:3" ht="15" x14ac:dyDescent="0.25">
      <c r="A37" s="150" t="s">
        <v>332</v>
      </c>
      <c r="B37" s="150"/>
    </row>
  </sheetData>
  <mergeCells count="44">
    <mergeCell ref="A31:I31"/>
    <mergeCell ref="A32:I32"/>
    <mergeCell ref="A25:I25"/>
    <mergeCell ref="A26:I26"/>
    <mergeCell ref="A27:I27"/>
    <mergeCell ref="A28:I28"/>
    <mergeCell ref="A29:I29"/>
    <mergeCell ref="A30:I30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G14:I14"/>
    <mergeCell ref="A17:C17"/>
    <mergeCell ref="F17:G17"/>
    <mergeCell ref="H17:I17"/>
    <mergeCell ref="A18:C18"/>
    <mergeCell ref="F18:G18"/>
    <mergeCell ref="H18:I18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9AE8-F851-4A5A-8BF6-F7831A0C30B6}">
  <dimension ref="A1:Q91"/>
  <sheetViews>
    <sheetView topLeftCell="A51" workbookViewId="0">
      <selection activeCell="G71" sqref="G71"/>
    </sheetView>
  </sheetViews>
  <sheetFormatPr baseColWidth="10" defaultColWidth="8.42578125" defaultRowHeight="12.75" x14ac:dyDescent="0.25"/>
  <cols>
    <col min="1" max="1" width="10" style="220" bestFit="1" customWidth="1"/>
    <col min="2" max="2" width="44.28515625" style="220" bestFit="1" customWidth="1"/>
    <col min="3" max="3" width="10.42578125" style="220" bestFit="1" customWidth="1"/>
    <col min="4" max="4" width="10.42578125" style="220" customWidth="1"/>
    <col min="5" max="5" width="11" style="220" customWidth="1"/>
    <col min="6" max="6" width="9.5703125" style="220" bestFit="1" customWidth="1"/>
    <col min="7" max="7" width="10.85546875" style="302" customWidth="1"/>
    <col min="8" max="8" width="10.42578125" style="293" bestFit="1" customWidth="1"/>
    <col min="9" max="9" width="4.5703125" style="293" customWidth="1"/>
    <col min="10" max="10" width="1.85546875" style="219" customWidth="1"/>
    <col min="11" max="11" width="7" style="220" bestFit="1" customWidth="1"/>
    <col min="12" max="12" width="6.28515625" style="220" customWidth="1"/>
    <col min="13" max="13" width="20.42578125" style="220" customWidth="1"/>
    <col min="14" max="14" width="6.42578125" style="220" bestFit="1" customWidth="1"/>
    <col min="15" max="16" width="8.42578125" style="220"/>
    <col min="17" max="17" width="3.28515625" style="220" customWidth="1"/>
    <col min="18" max="16384" width="8.42578125" style="220"/>
  </cols>
  <sheetData>
    <row r="1" spans="1:10" ht="27.75" customHeight="1" x14ac:dyDescent="0.25">
      <c r="A1" s="215"/>
      <c r="B1" s="215"/>
      <c r="C1" s="215"/>
      <c r="D1" s="215"/>
      <c r="E1" s="216" t="s">
        <v>136</v>
      </c>
      <c r="F1" s="217" t="s">
        <v>137</v>
      </c>
      <c r="G1" s="217" t="s">
        <v>138</v>
      </c>
      <c r="H1" s="217" t="s">
        <v>139</v>
      </c>
      <c r="I1" s="218"/>
    </row>
    <row r="2" spans="1:10" ht="30.75" customHeight="1" x14ac:dyDescent="0.25">
      <c r="A2" s="215"/>
      <c r="B2" s="215"/>
      <c r="C2" s="215"/>
      <c r="D2" s="215"/>
      <c r="E2" s="221">
        <f>IFERROR(O62,"")</f>
        <v>10327.532467532468</v>
      </c>
      <c r="F2" s="221">
        <f>IFERROR(H53,"")</f>
        <v>8580</v>
      </c>
      <c r="G2" s="221">
        <f>IFERROR(H54,"")</f>
        <v>0</v>
      </c>
      <c r="H2" s="221">
        <f>IFERROR(H56,"")</f>
        <v>841</v>
      </c>
      <c r="I2" s="222"/>
    </row>
    <row r="3" spans="1:10" ht="15" customHeight="1" x14ac:dyDescent="0.25">
      <c r="A3" s="215"/>
      <c r="B3" s="215"/>
      <c r="C3" s="215"/>
      <c r="D3" s="215"/>
      <c r="E3" s="215"/>
      <c r="F3" s="223"/>
      <c r="G3" s="223"/>
      <c r="H3" s="223"/>
      <c r="I3" s="223"/>
    </row>
    <row r="4" spans="1:10" ht="24.75" customHeight="1" thickBot="1" x14ac:dyDescent="0.3">
      <c r="A4" s="564"/>
      <c r="B4" s="564"/>
      <c r="C4" s="564"/>
      <c r="D4" s="564"/>
      <c r="E4" s="564"/>
      <c r="F4" s="564"/>
      <c r="G4" s="564"/>
      <c r="H4" s="564"/>
      <c r="I4" s="224"/>
    </row>
    <row r="5" spans="1:10" ht="19.5" customHeight="1" thickBot="1" x14ac:dyDescent="0.3">
      <c r="A5" s="565" t="s">
        <v>140</v>
      </c>
      <c r="B5" s="566"/>
      <c r="C5" s="566"/>
      <c r="D5" s="566"/>
      <c r="E5" s="566"/>
      <c r="F5" s="566"/>
      <c r="G5" s="566"/>
      <c r="H5" s="567"/>
      <c r="I5" s="225"/>
    </row>
    <row r="6" spans="1:10" ht="19.5" thickBot="1" x14ac:dyDescent="0.3">
      <c r="A6" s="225"/>
      <c r="B6" s="225"/>
      <c r="C6" s="225"/>
      <c r="D6" s="225"/>
      <c r="E6" s="225"/>
      <c r="F6" s="568" t="s">
        <v>141</v>
      </c>
      <c r="G6" s="568"/>
      <c r="H6" s="226">
        <f ca="1">TODAY()</f>
        <v>46063</v>
      </c>
      <c r="I6" s="226"/>
    </row>
    <row r="7" spans="1:10" ht="26.25" hidden="1" thickBot="1" x14ac:dyDescent="0.3">
      <c r="A7" s="227" t="s">
        <v>142</v>
      </c>
      <c r="B7" s="228" t="s">
        <v>143</v>
      </c>
      <c r="C7" s="228" t="s">
        <v>142</v>
      </c>
      <c r="D7" s="229" t="s">
        <v>144</v>
      </c>
      <c r="E7" s="229" t="s">
        <v>145</v>
      </c>
      <c r="F7" s="229" t="s">
        <v>146</v>
      </c>
      <c r="G7" s="229" t="s">
        <v>147</v>
      </c>
      <c r="H7" s="230" t="s">
        <v>148</v>
      </c>
      <c r="I7" s="231"/>
    </row>
    <row r="8" spans="1:10" ht="13.5" hidden="1" x14ac:dyDescent="0.25">
      <c r="A8" s="232"/>
      <c r="B8" s="220" t="str">
        <f>IFERROR(VLOOKUP(H8,'[1]Consolidado MP Planta'!$A$2:$M$823,3,0),"")</f>
        <v/>
      </c>
      <c r="C8" s="233">
        <f>+A8</f>
        <v>0</v>
      </c>
      <c r="D8" s="234" t="str">
        <f>IFERROR(VLOOKUP(H8,'[1]Consolidado MP Planta'!$A$2:$M$823,13,0),"")</f>
        <v/>
      </c>
      <c r="E8" s="234" t="str">
        <f>IFERROR(VLOOKUP(H8,'[1]Consolidado MP Planta'!$A$2:$M$823,12,0),"")</f>
        <v/>
      </c>
      <c r="F8" s="234" t="str">
        <f>IFERROR(C8*E8,"")</f>
        <v/>
      </c>
      <c r="G8" s="235" t="str">
        <f t="shared" ref="G8:G14" si="0">IFERROR(F8/$F$66,"")</f>
        <v/>
      </c>
      <c r="H8" s="236"/>
      <c r="I8" s="236"/>
      <c r="J8" s="237"/>
    </row>
    <row r="9" spans="1:10" ht="13.5" hidden="1" x14ac:dyDescent="0.25">
      <c r="A9" s="232"/>
      <c r="B9" s="220" t="str">
        <f>IFERROR(VLOOKUP(H9,'[1]Consolidado MP Planta'!$A$2:$M$823,3,0),"")</f>
        <v/>
      </c>
      <c r="C9" s="233">
        <f t="shared" ref="C9:C14" si="1">+A9</f>
        <v>0</v>
      </c>
      <c r="D9" s="234" t="str">
        <f>IFERROR(VLOOKUP(H9,'[1]Consolidado MP Planta'!$A$2:$M$823,13,0),"")</f>
        <v/>
      </c>
      <c r="E9" s="234" t="str">
        <f>IFERROR(VLOOKUP(H9,'[1]Consolidado MP Planta'!$A$2:$M$823,12,0),"")</f>
        <v/>
      </c>
      <c r="F9" s="234" t="str">
        <f t="shared" ref="F9:F14" si="2">IFERROR(C9*E9,"")</f>
        <v/>
      </c>
      <c r="G9" s="235" t="str">
        <f t="shared" si="0"/>
        <v/>
      </c>
      <c r="H9" s="236"/>
      <c r="I9" s="236"/>
      <c r="J9" s="237"/>
    </row>
    <row r="10" spans="1:10" ht="13.5" hidden="1" x14ac:dyDescent="0.25">
      <c r="A10" s="232"/>
      <c r="B10" s="220" t="str">
        <f>IFERROR(VLOOKUP(H10,'[1]Consolidado MP Planta'!$A$2:$M$823,3,0),"")</f>
        <v/>
      </c>
      <c r="C10" s="233">
        <f t="shared" si="1"/>
        <v>0</v>
      </c>
      <c r="D10" s="234" t="str">
        <f>IFERROR(VLOOKUP(H10,'[1]Consolidado MP Planta'!$A$2:$M$823,13,0),"")</f>
        <v/>
      </c>
      <c r="E10" s="234" t="str">
        <f>IFERROR(VLOOKUP(H10,'[1]Consolidado MP Planta'!$A$2:$M$823,12,0),"")</f>
        <v/>
      </c>
      <c r="F10" s="234" t="str">
        <f t="shared" si="2"/>
        <v/>
      </c>
      <c r="G10" s="235" t="str">
        <f t="shared" si="0"/>
        <v/>
      </c>
      <c r="H10" s="236"/>
      <c r="I10" s="236"/>
      <c r="J10" s="237"/>
    </row>
    <row r="11" spans="1:10" ht="13.5" hidden="1" x14ac:dyDescent="0.25">
      <c r="A11" s="232"/>
      <c r="B11" s="220" t="str">
        <f>IFERROR(VLOOKUP(H11,'[1]Consolidado MP Planta'!$A$2:$M$823,3,0),"")</f>
        <v/>
      </c>
      <c r="C11" s="233">
        <f t="shared" si="1"/>
        <v>0</v>
      </c>
      <c r="D11" s="234" t="str">
        <f>IFERROR(VLOOKUP(H11,'[1]Consolidado MP Planta'!$A$2:$M$823,13,0),"")</f>
        <v/>
      </c>
      <c r="E11" s="234" t="str">
        <f>IFERROR(VLOOKUP(H11,'[1]Consolidado MP Planta'!$A$2:$M$823,12,0),"")</f>
        <v/>
      </c>
      <c r="F11" s="234" t="str">
        <f t="shared" si="2"/>
        <v/>
      </c>
      <c r="G11" s="235" t="str">
        <f t="shared" si="0"/>
        <v/>
      </c>
      <c r="H11" s="236"/>
      <c r="I11" s="236"/>
      <c r="J11" s="237"/>
    </row>
    <row r="12" spans="1:10" ht="13.5" hidden="1" x14ac:dyDescent="0.25">
      <c r="A12" s="232"/>
      <c r="B12" s="220" t="str">
        <f>IFERROR(VLOOKUP(H12,'[1]Consolidado MP Planta'!$A$2:$M$823,3,0),"")</f>
        <v/>
      </c>
      <c r="C12" s="233">
        <f t="shared" si="1"/>
        <v>0</v>
      </c>
      <c r="D12" s="234" t="str">
        <f>IFERROR(VLOOKUP(H12,'[1]Consolidado MP Planta'!$A$2:$M$823,13,0),"")</f>
        <v/>
      </c>
      <c r="E12" s="234" t="str">
        <f>IFERROR(VLOOKUP(H12,'[1]Consolidado MP Planta'!$A$2:$M$823,12,0),"")</f>
        <v/>
      </c>
      <c r="F12" s="234" t="str">
        <f t="shared" si="2"/>
        <v/>
      </c>
      <c r="G12" s="235" t="str">
        <f t="shared" si="0"/>
        <v/>
      </c>
      <c r="H12" s="236"/>
      <c r="I12" s="236"/>
      <c r="J12" s="237"/>
    </row>
    <row r="13" spans="1:10" ht="13.5" hidden="1" x14ac:dyDescent="0.25">
      <c r="A13" s="232"/>
      <c r="B13" s="220" t="str">
        <f>IFERROR(VLOOKUP(H13,'[1]Consolidado MP Planta'!$A$2:$M$823,3,0),"")</f>
        <v/>
      </c>
      <c r="C13" s="233">
        <f t="shared" si="1"/>
        <v>0</v>
      </c>
      <c r="D13" s="234" t="str">
        <f>IFERROR(VLOOKUP(H13,'[1]Consolidado MP Planta'!$A$2:$M$823,13,0),"")</f>
        <v/>
      </c>
      <c r="E13" s="234" t="str">
        <f>IFERROR(VLOOKUP(H13,'[1]Consolidado MP Planta'!$A$2:$M$823,12,0),"")</f>
        <v/>
      </c>
      <c r="F13" s="234" t="str">
        <f t="shared" si="2"/>
        <v/>
      </c>
      <c r="G13" s="235" t="str">
        <f t="shared" si="0"/>
        <v/>
      </c>
      <c r="H13" s="236"/>
      <c r="I13" s="236"/>
      <c r="J13" s="237"/>
    </row>
    <row r="14" spans="1:10" ht="13.5" hidden="1" x14ac:dyDescent="0.25">
      <c r="A14" s="232"/>
      <c r="B14" s="220" t="str">
        <f>IFERROR(VLOOKUP(H14,'[1]Consolidado MP Planta'!$A$2:$M$823,3,0),"")</f>
        <v/>
      </c>
      <c r="C14" s="233">
        <f t="shared" si="1"/>
        <v>0</v>
      </c>
      <c r="D14" s="234" t="str">
        <f>IFERROR(VLOOKUP(H14,'[1]Consolidado MP Planta'!$A$2:$M$823,13,0),"")</f>
        <v/>
      </c>
      <c r="E14" s="234" t="str">
        <f>IFERROR(VLOOKUP(H14,'[1]Consolidado MP Planta'!$A$2:$M$823,12,0),"")</f>
        <v/>
      </c>
      <c r="F14" s="234" t="str">
        <f t="shared" si="2"/>
        <v/>
      </c>
      <c r="G14" s="235" t="str">
        <f t="shared" si="0"/>
        <v/>
      </c>
      <c r="H14" s="236"/>
      <c r="I14" s="236"/>
      <c r="J14" s="237"/>
    </row>
    <row r="15" spans="1:10" ht="14.25" hidden="1" thickBot="1" x14ac:dyDescent="0.3">
      <c r="A15" s="232"/>
      <c r="B15" s="220" t="str">
        <f>IFERROR(VLOOKUP(H15,[2]Hoja2!$A$2:$G$589,2,0),"")</f>
        <v/>
      </c>
      <c r="C15" s="233"/>
      <c r="D15" s="234"/>
      <c r="E15" s="234"/>
      <c r="F15" s="234"/>
      <c r="G15" s="235"/>
      <c r="H15" s="236"/>
      <c r="I15" s="236"/>
      <c r="J15" s="237"/>
    </row>
    <row r="16" spans="1:10" ht="26.25" thickBot="1" x14ac:dyDescent="0.3">
      <c r="A16" s="227" t="s">
        <v>142</v>
      </c>
      <c r="B16" s="228" t="s">
        <v>149</v>
      </c>
      <c r="C16" s="228" t="s">
        <v>142</v>
      </c>
      <c r="D16" s="229" t="s">
        <v>144</v>
      </c>
      <c r="E16" s="229" t="s">
        <v>145</v>
      </c>
      <c r="F16" s="229" t="s">
        <v>146</v>
      </c>
      <c r="G16" s="229" t="s">
        <v>147</v>
      </c>
      <c r="H16" s="230" t="s">
        <v>148</v>
      </c>
      <c r="I16" s="231"/>
      <c r="J16" s="237"/>
    </row>
    <row r="17" spans="1:12" ht="13.5" x14ac:dyDescent="0.25">
      <c r="A17" s="232">
        <v>1000</v>
      </c>
      <c r="B17" s="220" t="s">
        <v>118</v>
      </c>
      <c r="C17" s="233">
        <f>+A17</f>
        <v>1000</v>
      </c>
      <c r="D17" s="233" t="s">
        <v>187</v>
      </c>
      <c r="E17" s="234">
        <v>8.58</v>
      </c>
      <c r="F17" s="234">
        <f>IFERROR(E17*C17,"")</f>
        <v>8580</v>
      </c>
      <c r="G17" s="235">
        <f t="shared" ref="G17:G24" si="3">IFERROR(F17/$F$66,"")</f>
        <v>0.95518001469507707</v>
      </c>
      <c r="H17" s="236" t="s">
        <v>108</v>
      </c>
      <c r="I17" s="236"/>
      <c r="J17" s="237"/>
    </row>
    <row r="18" spans="1:12" ht="13.5" hidden="1" x14ac:dyDescent="0.25">
      <c r="A18" s="232"/>
      <c r="B18" s="220" t="str">
        <f>IFERROR(VLOOKUP(H18,[1]SEMIELABORADOS!$A$2:$M$6000,2,0),"")</f>
        <v/>
      </c>
      <c r="C18" s="233">
        <f t="shared" ref="C18:C24" si="4">+A18</f>
        <v>0</v>
      </c>
      <c r="D18" s="233" t="str">
        <f>IFERROR(VLOOKUP(H18,[1]SEMIELABORADOS!$A$2:$M$6000,6,0),"")</f>
        <v/>
      </c>
      <c r="E18" s="234" t="str">
        <f>IFERROR(VLOOKUP(H18,[1]SEMIELABORADOS!$A$2:$H$65536,8,0),"")</f>
        <v/>
      </c>
      <c r="F18" s="234" t="str">
        <f t="shared" ref="F18:F24" si="5">IFERROR(E18*C18,"")</f>
        <v/>
      </c>
      <c r="G18" s="235" t="str">
        <f t="shared" si="3"/>
        <v/>
      </c>
      <c r="H18" s="236"/>
      <c r="I18" s="236"/>
      <c r="J18" s="237"/>
    </row>
    <row r="19" spans="1:12" ht="13.5" hidden="1" x14ac:dyDescent="0.25">
      <c r="A19" s="232"/>
      <c r="B19" s="220" t="str">
        <f>IFERROR(VLOOKUP(H19,[1]SEMIELABORADOS!$A$2:$M$6000,2,0),"")</f>
        <v/>
      </c>
      <c r="C19" s="233">
        <f>+A19</f>
        <v>0</v>
      </c>
      <c r="D19" s="233" t="str">
        <f>IFERROR(VLOOKUP(H19,[1]SEMIELABORADOS!$A$2:$M$6000,6,0),"")</f>
        <v/>
      </c>
      <c r="E19" s="234" t="str">
        <f>IFERROR(VLOOKUP(H19,[1]SEMIELABORADOS!$A$2:$H$65536,8,0),"")</f>
        <v/>
      </c>
      <c r="F19" s="234" t="str">
        <f>IFERROR(E19*C19,"")</f>
        <v/>
      </c>
      <c r="G19" s="235" t="str">
        <f t="shared" si="3"/>
        <v/>
      </c>
      <c r="H19" s="236"/>
      <c r="I19" s="236"/>
      <c r="J19" s="237"/>
    </row>
    <row r="20" spans="1:12" ht="13.5" hidden="1" x14ac:dyDescent="0.25">
      <c r="A20" s="232"/>
      <c r="B20" s="220" t="str">
        <f>IFERROR(VLOOKUP(H20,[1]SEMIELABORADOS!$A$2:$M$6000,2,0),"")</f>
        <v/>
      </c>
      <c r="C20" s="233">
        <f>+A20</f>
        <v>0</v>
      </c>
      <c r="D20" s="233" t="str">
        <f>IFERROR(VLOOKUP(H20,[1]SEMIELABORADOS!$A$2:$M$6000,6,0),"")</f>
        <v/>
      </c>
      <c r="E20" s="234" t="str">
        <f>IFERROR(VLOOKUP(H20,[1]SEMIELABORADOS!$A$2:$H$65536,8,0),"")</f>
        <v/>
      </c>
      <c r="F20" s="234" t="str">
        <f>IFERROR(E20*C20,"")</f>
        <v/>
      </c>
      <c r="G20" s="235" t="str">
        <f t="shared" si="3"/>
        <v/>
      </c>
      <c r="H20" s="236"/>
      <c r="I20" s="236"/>
      <c r="J20" s="237"/>
    </row>
    <row r="21" spans="1:12" ht="13.5" hidden="1" x14ac:dyDescent="0.25">
      <c r="A21" s="232"/>
      <c r="B21" s="220" t="str">
        <f>IFERROR(VLOOKUP(H21,[1]SEMIELABORADOS!$A$2:$M$6000,2,0),"")</f>
        <v/>
      </c>
      <c r="C21" s="233">
        <f>+A21</f>
        <v>0</v>
      </c>
      <c r="D21" s="233" t="str">
        <f>IFERROR(VLOOKUP(H21,[1]SEMIELABORADOS!$A$2:$M$6000,6,0),"")</f>
        <v/>
      </c>
      <c r="E21" s="234" t="str">
        <f>IFERROR(VLOOKUP(H21,[1]SEMIELABORADOS!$A$2:$H$65536,8,0),"")</f>
        <v/>
      </c>
      <c r="F21" s="234" t="str">
        <f>IFERROR(E21*C21,"")</f>
        <v/>
      </c>
      <c r="G21" s="235" t="str">
        <f t="shared" si="3"/>
        <v/>
      </c>
      <c r="H21" s="236"/>
      <c r="I21" s="236"/>
      <c r="J21" s="237"/>
    </row>
    <row r="22" spans="1:12" ht="13.5" hidden="1" x14ac:dyDescent="0.25">
      <c r="A22" s="232"/>
      <c r="B22" s="220" t="str">
        <f>IFERROR(VLOOKUP(H22,[1]SEMIELABORADOS!$A$2:$M$6000,2,0),"")</f>
        <v/>
      </c>
      <c r="C22" s="233">
        <f t="shared" si="4"/>
        <v>0</v>
      </c>
      <c r="D22" s="233" t="str">
        <f>IFERROR(VLOOKUP(H22,[1]SEMIELABORADOS!$A$2:$M$6000,6,0),"")</f>
        <v/>
      </c>
      <c r="E22" s="234" t="str">
        <f>IFERROR(VLOOKUP(H22,[1]SEMIELABORADOS!$A$2:$H$65536,8,0),"")</f>
        <v/>
      </c>
      <c r="F22" s="234" t="str">
        <f t="shared" si="5"/>
        <v/>
      </c>
      <c r="G22" s="235" t="str">
        <f t="shared" si="3"/>
        <v/>
      </c>
      <c r="H22" s="236"/>
      <c r="I22" s="236"/>
      <c r="J22" s="237"/>
    </row>
    <row r="23" spans="1:12" ht="13.5" hidden="1" x14ac:dyDescent="0.25">
      <c r="A23" s="232"/>
      <c r="B23" s="220" t="str">
        <f>IFERROR(VLOOKUP(H23,[1]SEMIELABORADOS!$A$2:$M$6000,2,0),"")</f>
        <v/>
      </c>
      <c r="C23" s="233">
        <f t="shared" si="4"/>
        <v>0</v>
      </c>
      <c r="D23" s="233" t="str">
        <f>IFERROR(VLOOKUP(H23,[1]SEMIELABORADOS!$A$2:$M$6000,6,0),"")</f>
        <v/>
      </c>
      <c r="E23" s="234" t="str">
        <f>IFERROR(VLOOKUP(H23,[1]SEMIELABORADOS!$A$2:$H$65536,8,0),"")</f>
        <v/>
      </c>
      <c r="F23" s="234" t="str">
        <f t="shared" si="5"/>
        <v/>
      </c>
      <c r="G23" s="235" t="str">
        <f t="shared" si="3"/>
        <v/>
      </c>
      <c r="H23" s="236"/>
      <c r="I23" s="236"/>
      <c r="J23" s="237"/>
    </row>
    <row r="24" spans="1:12" ht="13.5" hidden="1" x14ac:dyDescent="0.25">
      <c r="A24" s="232"/>
      <c r="B24" s="220" t="str">
        <f>IFERROR(VLOOKUP(H24,[1]SEMIELABORADOS!$A$2:$M$6000,2,0),"")</f>
        <v/>
      </c>
      <c r="C24" s="233">
        <f t="shared" si="4"/>
        <v>0</v>
      </c>
      <c r="D24" s="233" t="str">
        <f>IFERROR(VLOOKUP(H24,[1]SEMIELABORADOS!$A$2:$M$6000,6,0),"")</f>
        <v/>
      </c>
      <c r="E24" s="234" t="str">
        <f>IFERROR(VLOOKUP(H24,[1]SEMIELABORADOS!$A$2:$H$65536,8,0),"")</f>
        <v/>
      </c>
      <c r="F24" s="234" t="str">
        <f t="shared" si="5"/>
        <v/>
      </c>
      <c r="G24" s="235" t="str">
        <f t="shared" si="3"/>
        <v/>
      </c>
      <c r="H24" s="236"/>
      <c r="I24" s="236"/>
      <c r="J24" s="237"/>
    </row>
    <row r="25" spans="1:12" ht="14.25" thickBot="1" x14ac:dyDescent="0.3">
      <c r="A25" s="232"/>
      <c r="C25" s="233"/>
      <c r="D25" s="233"/>
      <c r="E25" s="234"/>
      <c r="F25" s="234"/>
      <c r="G25" s="235"/>
      <c r="H25" s="236"/>
      <c r="I25" s="236"/>
      <c r="J25" s="237"/>
    </row>
    <row r="26" spans="1:12" ht="26.25" hidden="1" thickBot="1" x14ac:dyDescent="0.3">
      <c r="A26" s="227" t="s">
        <v>142</v>
      </c>
      <c r="B26" s="228" t="s">
        <v>37</v>
      </c>
      <c r="C26" s="228" t="s">
        <v>142</v>
      </c>
      <c r="D26" s="229" t="s">
        <v>144</v>
      </c>
      <c r="E26" s="229" t="s">
        <v>145</v>
      </c>
      <c r="F26" s="229" t="s">
        <v>146</v>
      </c>
      <c r="G26" s="229" t="s">
        <v>147</v>
      </c>
      <c r="H26" s="230" t="s">
        <v>148</v>
      </c>
      <c r="I26" s="231"/>
    </row>
    <row r="27" spans="1:12" ht="13.5" hidden="1" x14ac:dyDescent="0.25">
      <c r="A27" s="232">
        <v>0</v>
      </c>
      <c r="B27" s="238" t="str">
        <f>IFERROR(VLOOKUP(H27,'[1]Consolidado MP Planta'!$A$2:$M$823,3,0),"")</f>
        <v/>
      </c>
      <c r="C27" s="233">
        <f t="shared" ref="C27:C32" si="6">+A27</f>
        <v>0</v>
      </c>
      <c r="D27" s="234" t="str">
        <f>IFERROR(VLOOKUP(H27,'[1]Consolidado MP Planta'!$A$2:$M$823,13,0),"")</f>
        <v/>
      </c>
      <c r="E27" s="234" t="str">
        <f>IFERROR(VLOOKUP(H27,'[1]Consolidado MP Planta'!$A$2:$M$823,12,0),"")</f>
        <v/>
      </c>
      <c r="F27" s="234" t="str">
        <f t="shared" ref="F27:F32" si="7">IFERROR(C27*E27,"")</f>
        <v/>
      </c>
      <c r="G27" s="235" t="str">
        <f t="shared" ref="G27:G32" si="8">IFERROR(F27/$F$66,"")</f>
        <v/>
      </c>
      <c r="H27" s="239"/>
      <c r="I27" s="239"/>
      <c r="J27" s="237"/>
      <c r="K27" s="558"/>
      <c r="L27" s="558"/>
    </row>
    <row r="28" spans="1:12" ht="13.5" hidden="1" x14ac:dyDescent="0.25">
      <c r="A28" s="232"/>
      <c r="B28" s="238" t="str">
        <f>IFERROR(VLOOKUP(H28,'[1]Consolidado MP Planta'!$A$2:$M$823,3,0),"")</f>
        <v/>
      </c>
      <c r="C28" s="233">
        <f t="shared" si="6"/>
        <v>0</v>
      </c>
      <c r="D28" s="234" t="str">
        <f>IFERROR(VLOOKUP(H28,'[1]Consolidado MP Planta'!$A$2:$M$823,13,0),"")</f>
        <v/>
      </c>
      <c r="E28" s="234" t="str">
        <f>IFERROR(VLOOKUP(H28,'[1]Consolidado MP Planta'!$A$2:$M$823,12,0),"")</f>
        <v/>
      </c>
      <c r="F28" s="234" t="str">
        <f t="shared" si="7"/>
        <v/>
      </c>
      <c r="G28" s="235" t="str">
        <f t="shared" si="8"/>
        <v/>
      </c>
      <c r="H28" s="239"/>
      <c r="I28" s="239"/>
      <c r="J28" s="237"/>
      <c r="K28" s="558"/>
      <c r="L28" s="558"/>
    </row>
    <row r="29" spans="1:12" ht="13.5" hidden="1" x14ac:dyDescent="0.25">
      <c r="A29" s="232"/>
      <c r="B29" s="238" t="str">
        <f>IFERROR(VLOOKUP(H29,'[1]Consolidado MP Planta'!$A$2:$M$823,3,0),"")</f>
        <v/>
      </c>
      <c r="C29" s="233">
        <f t="shared" si="6"/>
        <v>0</v>
      </c>
      <c r="D29" s="234" t="str">
        <f>IFERROR(VLOOKUP(H29,'[1]Consolidado MP Planta'!$A$2:$M$823,13,0),"")</f>
        <v/>
      </c>
      <c r="E29" s="234" t="str">
        <f>IFERROR(VLOOKUP(H29,'[1]Consolidado MP Planta'!$A$2:$M$823,12,0),"")</f>
        <v/>
      </c>
      <c r="F29" s="234" t="str">
        <f t="shared" si="7"/>
        <v/>
      </c>
      <c r="G29" s="235" t="str">
        <f t="shared" si="8"/>
        <v/>
      </c>
      <c r="H29" s="239"/>
      <c r="I29" s="239"/>
      <c r="J29" s="237"/>
      <c r="K29" s="558"/>
      <c r="L29" s="558"/>
    </row>
    <row r="30" spans="1:12" ht="13.5" hidden="1" x14ac:dyDescent="0.25">
      <c r="A30" s="232"/>
      <c r="B30" s="238" t="str">
        <f>IFERROR(VLOOKUP(H30,'[1]Consolidado MP Planta'!$A$2:$M$823,3,0),"")</f>
        <v/>
      </c>
      <c r="C30" s="233">
        <f t="shared" si="6"/>
        <v>0</v>
      </c>
      <c r="D30" s="234" t="str">
        <f>IFERROR(VLOOKUP(H30,'[1]Consolidado MP Planta'!$A$2:$M$823,13,0),"")</f>
        <v/>
      </c>
      <c r="E30" s="234" t="str">
        <f>IFERROR(VLOOKUP(H30,'[1]Consolidado MP Planta'!$A$2:$M$823,12,0),"")</f>
        <v/>
      </c>
      <c r="F30" s="234" t="str">
        <f t="shared" si="7"/>
        <v/>
      </c>
      <c r="G30" s="235" t="str">
        <f t="shared" si="8"/>
        <v/>
      </c>
      <c r="H30" s="239"/>
      <c r="I30" s="239"/>
      <c r="J30" s="237"/>
      <c r="K30" s="558"/>
      <c r="L30" s="558"/>
    </row>
    <row r="31" spans="1:12" ht="13.5" hidden="1" x14ac:dyDescent="0.25">
      <c r="A31" s="232"/>
      <c r="B31" s="238" t="str">
        <f>IFERROR(VLOOKUP(H31,'[1]Consolidado MP Planta'!$A$2:$M$823,3,0),"")</f>
        <v/>
      </c>
      <c r="C31" s="233">
        <f t="shared" si="6"/>
        <v>0</v>
      </c>
      <c r="D31" s="234" t="str">
        <f>IFERROR(VLOOKUP(H31,'[1]Consolidado MP Planta'!$A$2:$M$823,13,0),"")</f>
        <v/>
      </c>
      <c r="E31" s="234" t="str">
        <f>IFERROR(VLOOKUP(H31,'[1]Consolidado MP Planta'!$A$2:$M$823,12,0),"")</f>
        <v/>
      </c>
      <c r="F31" s="234" t="str">
        <f t="shared" si="7"/>
        <v/>
      </c>
      <c r="G31" s="235" t="str">
        <f t="shared" si="8"/>
        <v/>
      </c>
      <c r="H31" s="239"/>
      <c r="I31" s="239"/>
      <c r="J31" s="237"/>
      <c r="K31" s="240"/>
      <c r="L31" s="241"/>
    </row>
    <row r="32" spans="1:12" ht="13.5" hidden="1" x14ac:dyDescent="0.25">
      <c r="A32" s="232"/>
      <c r="B32" s="238" t="str">
        <f>IFERROR(VLOOKUP(H32,'[1]Consolidado MP Planta'!$A$2:$M$823,3,0),"")</f>
        <v/>
      </c>
      <c r="C32" s="233">
        <f t="shared" si="6"/>
        <v>0</v>
      </c>
      <c r="D32" s="234" t="str">
        <f>IFERROR(VLOOKUP(H32,'[1]Consolidado MP Planta'!$A$2:$M$823,13,0),"")</f>
        <v/>
      </c>
      <c r="E32" s="234" t="str">
        <f>IFERROR(VLOOKUP(H32,'[1]Consolidado MP Planta'!$A$2:$M$823,12,0),"")</f>
        <v/>
      </c>
      <c r="F32" s="234" t="str">
        <f t="shared" si="7"/>
        <v/>
      </c>
      <c r="G32" s="235" t="str">
        <f t="shared" si="8"/>
        <v/>
      </c>
      <c r="H32" s="239"/>
      <c r="I32" s="239"/>
      <c r="J32" s="237"/>
    </row>
    <row r="33" spans="1:13" ht="14.25" hidden="1" thickBot="1" x14ac:dyDescent="0.3">
      <c r="A33" s="232"/>
      <c r="B33" s="238"/>
      <c r="C33" s="233"/>
      <c r="D33" s="234"/>
      <c r="E33" s="234"/>
      <c r="F33" s="234"/>
      <c r="G33" s="235"/>
      <c r="H33" s="239"/>
      <c r="I33" s="239"/>
      <c r="J33" s="237"/>
    </row>
    <row r="34" spans="1:13" ht="26.25" thickBot="1" x14ac:dyDescent="0.25">
      <c r="A34" s="227" t="s">
        <v>142</v>
      </c>
      <c r="B34" s="228" t="s">
        <v>150</v>
      </c>
      <c r="C34" s="228" t="s">
        <v>142</v>
      </c>
      <c r="D34" s="229" t="s">
        <v>144</v>
      </c>
      <c r="E34" s="229" t="s">
        <v>145</v>
      </c>
      <c r="F34" s="229" t="s">
        <v>146</v>
      </c>
      <c r="G34" s="229" t="s">
        <v>147</v>
      </c>
      <c r="H34" s="230" t="s">
        <v>148</v>
      </c>
      <c r="I34" s="239"/>
      <c r="J34" s="237"/>
    </row>
    <row r="35" spans="1:13" ht="13.5" x14ac:dyDescent="0.25">
      <c r="A35" s="232">
        <f>+A17</f>
        <v>1000</v>
      </c>
      <c r="B35" s="238" t="s">
        <v>118</v>
      </c>
      <c r="C35" s="233">
        <f>+A35</f>
        <v>1000</v>
      </c>
      <c r="D35" s="234" t="s">
        <v>187</v>
      </c>
      <c r="E35" s="234">
        <v>0</v>
      </c>
      <c r="F35" s="234">
        <f>IFERROR(E35*C35,"")</f>
        <v>0</v>
      </c>
      <c r="G35" s="235">
        <f t="shared" ref="G35:G41" si="9">IFERROR(F35/$F$66,"")</f>
        <v>0</v>
      </c>
      <c r="H35" s="239" t="s">
        <v>108</v>
      </c>
      <c r="I35" s="239"/>
      <c r="J35" s="237"/>
    </row>
    <row r="36" spans="1:13" ht="13.5" hidden="1" x14ac:dyDescent="0.25">
      <c r="A36" s="232">
        <f t="shared" ref="A36:A41" si="10">+A18</f>
        <v>0</v>
      </c>
      <c r="B36" s="238" t="str">
        <f>IFERROR(VLOOKUP(H36,[1]SEMIELABORADOS!$A$2:$M$6000,2,0),"")</f>
        <v/>
      </c>
      <c r="C36" s="233">
        <f t="shared" ref="C36:C41" si="11">+A36</f>
        <v>0</v>
      </c>
      <c r="D36" s="234" t="str">
        <f>IFERROR(VLOOKUP(H36,[1]SEMIELABORADOS!$A$2:$M$6000,6,0),"")</f>
        <v/>
      </c>
      <c r="E36" s="234" t="str">
        <f>IFERROR(VLOOKUP(H36,[1]SEMIELABORADOS!$A$2:$M$65536,10,0),"")</f>
        <v/>
      </c>
      <c r="F36" s="234" t="str">
        <f t="shared" ref="F36:F41" si="12">IFERROR(E36*C36,"")</f>
        <v/>
      </c>
      <c r="G36" s="235" t="str">
        <f t="shared" si="9"/>
        <v/>
      </c>
      <c r="H36" s="239"/>
      <c r="I36" s="239"/>
      <c r="J36" s="237"/>
    </row>
    <row r="37" spans="1:13" ht="13.5" hidden="1" x14ac:dyDescent="0.25">
      <c r="A37" s="232">
        <f t="shared" si="10"/>
        <v>0</v>
      </c>
      <c r="B37" s="238" t="str">
        <f>IFERROR(VLOOKUP(H37,[1]SEMIELABORADOS!$A$2:$M$6000,2,0),"")</f>
        <v/>
      </c>
      <c r="C37" s="233">
        <f t="shared" si="11"/>
        <v>0</v>
      </c>
      <c r="D37" s="234" t="str">
        <f>IFERROR(VLOOKUP(H37,[1]SEMIELABORADOS!$A$2:$M$6000,6,0),"")</f>
        <v/>
      </c>
      <c r="E37" s="234" t="str">
        <f>IFERROR(VLOOKUP(H37,[1]SEMIELABORADOS!$A$2:$M$65536,10,0),"")</f>
        <v/>
      </c>
      <c r="F37" s="234" t="str">
        <f t="shared" si="12"/>
        <v/>
      </c>
      <c r="G37" s="235" t="str">
        <f t="shared" si="9"/>
        <v/>
      </c>
      <c r="H37" s="239"/>
      <c r="I37" s="239"/>
      <c r="J37" s="237"/>
    </row>
    <row r="38" spans="1:13" ht="13.5" hidden="1" x14ac:dyDescent="0.25">
      <c r="A38" s="232">
        <f t="shared" si="10"/>
        <v>0</v>
      </c>
      <c r="B38" s="238" t="str">
        <f>IFERROR(VLOOKUP(H38,[1]SEMIELABORADOS!$A$2:$M$6000,2,0),"")</f>
        <v/>
      </c>
      <c r="C38" s="233">
        <f>+A38</f>
        <v>0</v>
      </c>
      <c r="D38" s="234" t="str">
        <f>IFERROR(VLOOKUP(H38,[1]SEMIELABORADOS!$A$2:$M$6000,6,0),"")</f>
        <v/>
      </c>
      <c r="E38" s="234" t="str">
        <f>IFERROR(VLOOKUP(H38,[1]SEMIELABORADOS!$A$2:$M$65536,10,0),"")</f>
        <v/>
      </c>
      <c r="F38" s="234" t="str">
        <f>IFERROR(E38*C38,"")</f>
        <v/>
      </c>
      <c r="G38" s="235" t="str">
        <f t="shared" si="9"/>
        <v/>
      </c>
      <c r="H38" s="239"/>
      <c r="I38" s="239"/>
      <c r="J38" s="237"/>
    </row>
    <row r="39" spans="1:13" ht="13.5" hidden="1" x14ac:dyDescent="0.25">
      <c r="A39" s="232">
        <f t="shared" si="10"/>
        <v>0</v>
      </c>
      <c r="B39" s="238" t="str">
        <f>IFERROR(VLOOKUP(H39,[1]SEMIELABORADOS!$A$2:$M$6000,2,0),"")</f>
        <v/>
      </c>
      <c r="C39" s="233">
        <f>+A39</f>
        <v>0</v>
      </c>
      <c r="D39" s="234" t="str">
        <f>IFERROR(VLOOKUP(H39,[1]SEMIELABORADOS!$A$2:$M$6000,6,0),"")</f>
        <v/>
      </c>
      <c r="E39" s="234" t="str">
        <f>IFERROR(VLOOKUP(H39,[1]SEMIELABORADOS!$A$2:$M$65536,10,0),"")</f>
        <v/>
      </c>
      <c r="F39" s="234" t="str">
        <f>IFERROR(E39*C39,"")</f>
        <v/>
      </c>
      <c r="G39" s="235" t="str">
        <f t="shared" si="9"/>
        <v/>
      </c>
      <c r="H39" s="239"/>
      <c r="I39" s="239"/>
      <c r="J39" s="237"/>
    </row>
    <row r="40" spans="1:13" ht="13.5" hidden="1" x14ac:dyDescent="0.25">
      <c r="A40" s="232">
        <f t="shared" si="10"/>
        <v>0</v>
      </c>
      <c r="B40" s="238" t="str">
        <f>IFERROR(VLOOKUP(H40,[1]SEMIELABORADOS!$A$2:$M$6000,2,0),"")</f>
        <v/>
      </c>
      <c r="C40" s="233">
        <f t="shared" si="11"/>
        <v>0</v>
      </c>
      <c r="D40" s="234" t="str">
        <f>IFERROR(VLOOKUP(H40,[1]SEMIELABORADOS!$A$2:$M$6000,6,0),"")</f>
        <v/>
      </c>
      <c r="E40" s="234" t="str">
        <f>IFERROR(VLOOKUP(H40,[1]SEMIELABORADOS!$A$2:$M$65536,10,0),"")</f>
        <v/>
      </c>
      <c r="F40" s="234" t="str">
        <f t="shared" si="12"/>
        <v/>
      </c>
      <c r="G40" s="235" t="str">
        <f t="shared" si="9"/>
        <v/>
      </c>
      <c r="H40" s="239"/>
      <c r="I40" s="239"/>
      <c r="J40" s="237"/>
    </row>
    <row r="41" spans="1:13" ht="13.5" hidden="1" x14ac:dyDescent="0.25">
      <c r="A41" s="232">
        <f t="shared" si="10"/>
        <v>0</v>
      </c>
      <c r="B41" s="238" t="str">
        <f>IFERROR(VLOOKUP(H41,[1]SEMIELABORADOS!$A$2:$M$6000,2,0),"")</f>
        <v/>
      </c>
      <c r="C41" s="233">
        <f t="shared" si="11"/>
        <v>0</v>
      </c>
      <c r="D41" s="234" t="str">
        <f>IFERROR(VLOOKUP(H41,[1]SEMIELABORADOS!$A$2:$M$6000,6,0),"")</f>
        <v/>
      </c>
      <c r="E41" s="234" t="str">
        <f>IFERROR(VLOOKUP(H41,[1]SEMIELABORADOS!$A$2:$M$65536,10,0),"")</f>
        <v/>
      </c>
      <c r="F41" s="234" t="str">
        <f t="shared" si="12"/>
        <v/>
      </c>
      <c r="G41" s="235" t="str">
        <f t="shared" si="9"/>
        <v/>
      </c>
      <c r="H41" s="239"/>
      <c r="I41" s="239"/>
      <c r="J41" s="237"/>
    </row>
    <row r="42" spans="1:13" ht="14.25" thickBot="1" x14ac:dyDescent="0.3">
      <c r="A42" s="232"/>
      <c r="B42" s="238"/>
      <c r="C42" s="233"/>
      <c r="D42" s="234"/>
      <c r="E42" s="234"/>
      <c r="F42" s="234"/>
      <c r="G42" s="235"/>
      <c r="H42" s="239"/>
      <c r="I42" s="239"/>
      <c r="J42" s="237"/>
    </row>
    <row r="43" spans="1:13" ht="26.25" thickBot="1" x14ac:dyDescent="0.3">
      <c r="A43" s="227" t="s">
        <v>142</v>
      </c>
      <c r="B43" s="228" t="s">
        <v>151</v>
      </c>
      <c r="C43" s="228" t="s">
        <v>142</v>
      </c>
      <c r="D43" s="229" t="s">
        <v>144</v>
      </c>
      <c r="E43" s="229" t="s">
        <v>145</v>
      </c>
      <c r="F43" s="229" t="s">
        <v>146</v>
      </c>
      <c r="G43" s="229" t="s">
        <v>147</v>
      </c>
      <c r="H43" s="230" t="s">
        <v>148</v>
      </c>
      <c r="I43" s="231"/>
      <c r="J43" s="237"/>
    </row>
    <row r="44" spans="1:13" ht="13.5" x14ac:dyDescent="0.25">
      <c r="A44" s="232">
        <f>+A35</f>
        <v>1000</v>
      </c>
      <c r="B44" s="238" t="s">
        <v>118</v>
      </c>
      <c r="C44" s="233">
        <f>+A44</f>
        <v>1000</v>
      </c>
      <c r="D44" s="234" t="s">
        <v>187</v>
      </c>
      <c r="E44" s="234">
        <v>0.61</v>
      </c>
      <c r="F44" s="234">
        <f>IFERROR(E44*C44,"")</f>
        <v>610</v>
      </c>
      <c r="G44" s="235">
        <f>IFERROR(F44/$F$66,"")</f>
        <v>6.7909068643822498E-2</v>
      </c>
      <c r="H44" s="239" t="s">
        <v>108</v>
      </c>
      <c r="I44" s="231"/>
      <c r="J44" s="237"/>
    </row>
    <row r="45" spans="1:13" ht="13.5" hidden="1" x14ac:dyDescent="0.25">
      <c r="A45" s="232">
        <f t="shared" ref="A45:A50" si="13">+A36</f>
        <v>0</v>
      </c>
      <c r="B45" s="238" t="str">
        <f>IFERROR(VLOOKUP(H45,[1]SEMIELABORADOS!$A$2:$M$6000,2,0),"")</f>
        <v/>
      </c>
      <c r="C45" s="233">
        <f t="shared" ref="C45:C50" si="14">+A45</f>
        <v>0</v>
      </c>
      <c r="D45" s="234" t="str">
        <f>IFERROR(VLOOKUP(H45,[1]SEMIELABORADOS!$A$2:$M$6000,6,0),"")</f>
        <v/>
      </c>
      <c r="E45" s="234" t="str">
        <f>IFERROR(VLOOKUP(H45,[1]SEMIELABORADOS!$A$2:$M$65536,12,0),"")</f>
        <v/>
      </c>
      <c r="F45" s="234" t="str">
        <f t="shared" ref="F45:F50" si="15">IFERROR(E45*C45,"")</f>
        <v/>
      </c>
      <c r="G45" s="235" t="str">
        <f t="shared" ref="G45:G50" si="16">IFERROR(F45/$F$66,"")</f>
        <v/>
      </c>
      <c r="H45" s="239"/>
      <c r="I45" s="231"/>
      <c r="J45" s="237"/>
      <c r="M45" s="242"/>
    </row>
    <row r="46" spans="1:13" ht="13.5" hidden="1" x14ac:dyDescent="0.25">
      <c r="A46" s="232">
        <f t="shared" si="13"/>
        <v>0</v>
      </c>
      <c r="B46" s="238" t="str">
        <f>IFERROR(VLOOKUP(H46,[1]SEMIELABORADOS!$A$2:$M$6000,2,0),"")</f>
        <v/>
      </c>
      <c r="C46" s="233">
        <f t="shared" si="14"/>
        <v>0</v>
      </c>
      <c r="D46" s="234" t="str">
        <f>IFERROR(VLOOKUP(H46,[1]SEMIELABORADOS!$A$2:$M$6000,6,0),"")</f>
        <v/>
      </c>
      <c r="E46" s="234" t="str">
        <f>IFERROR(VLOOKUP(H46,[1]SEMIELABORADOS!$A$2:$M$65536,12,0),"")</f>
        <v/>
      </c>
      <c r="F46" s="234" t="str">
        <f t="shared" si="15"/>
        <v/>
      </c>
      <c r="G46" s="235" t="str">
        <f t="shared" si="16"/>
        <v/>
      </c>
      <c r="H46" s="239"/>
      <c r="I46" s="231"/>
      <c r="J46" s="237"/>
    </row>
    <row r="47" spans="1:13" ht="13.5" hidden="1" x14ac:dyDescent="0.25">
      <c r="A47" s="232">
        <f t="shared" si="13"/>
        <v>0</v>
      </c>
      <c r="B47" s="238" t="str">
        <f>IFERROR(VLOOKUP(H47,[1]SEMIELABORADOS!$A$2:$M$6000,2,0),"")</f>
        <v/>
      </c>
      <c r="C47" s="233">
        <f t="shared" si="14"/>
        <v>0</v>
      </c>
      <c r="D47" s="234" t="str">
        <f>IFERROR(VLOOKUP(H47,[1]SEMIELABORADOS!$A$2:$M$6000,6,0),"")</f>
        <v/>
      </c>
      <c r="E47" s="234" t="str">
        <f>IFERROR(VLOOKUP(H47,[1]SEMIELABORADOS!$A$2:$M$65536,12,0),"")</f>
        <v/>
      </c>
      <c r="F47" s="234" t="str">
        <f t="shared" si="15"/>
        <v/>
      </c>
      <c r="G47" s="235" t="str">
        <f t="shared" si="16"/>
        <v/>
      </c>
      <c r="H47" s="239"/>
      <c r="I47" s="231"/>
      <c r="J47" s="237"/>
    </row>
    <row r="48" spans="1:13" ht="13.5" hidden="1" x14ac:dyDescent="0.25">
      <c r="A48" s="232">
        <f t="shared" si="13"/>
        <v>0</v>
      </c>
      <c r="B48" s="238" t="str">
        <f>IFERROR(VLOOKUP(H48,[1]SEMIELABORADOS!$A$2:$M$6000,2,0),"")</f>
        <v/>
      </c>
      <c r="C48" s="233">
        <f t="shared" si="14"/>
        <v>0</v>
      </c>
      <c r="D48" s="234" t="str">
        <f>IFERROR(VLOOKUP(H48,[1]SEMIELABORADOS!$A$2:$M$6000,6,0),"")</f>
        <v/>
      </c>
      <c r="E48" s="234" t="str">
        <f>IFERROR(VLOOKUP(H48,[1]SEMIELABORADOS!$A$2:$M$65536,12,0),"")</f>
        <v/>
      </c>
      <c r="F48" s="234" t="str">
        <f t="shared" si="15"/>
        <v/>
      </c>
      <c r="G48" s="235" t="str">
        <f t="shared" si="16"/>
        <v/>
      </c>
      <c r="H48" s="239"/>
      <c r="I48" s="231"/>
      <c r="J48" s="237"/>
    </row>
    <row r="49" spans="1:17" ht="13.5" hidden="1" x14ac:dyDescent="0.25">
      <c r="A49" s="232">
        <f t="shared" si="13"/>
        <v>0</v>
      </c>
      <c r="B49" s="238" t="str">
        <f>IFERROR(VLOOKUP(H49,[1]SEMIELABORADOS!$A$2:$M$6000,2,0),"")</f>
        <v/>
      </c>
      <c r="C49" s="233">
        <f t="shared" si="14"/>
        <v>0</v>
      </c>
      <c r="D49" s="234" t="str">
        <f>IFERROR(VLOOKUP(H49,[1]SEMIELABORADOS!$A$2:$M$6000,6,0),"")</f>
        <v/>
      </c>
      <c r="E49" s="234" t="str">
        <f>IFERROR(VLOOKUP(H49,[1]SEMIELABORADOS!$A$2:$M$65536,12,0),"")</f>
        <v/>
      </c>
      <c r="F49" s="234" t="str">
        <f t="shared" si="15"/>
        <v/>
      </c>
      <c r="G49" s="235" t="str">
        <f t="shared" si="16"/>
        <v/>
      </c>
      <c r="H49" s="239"/>
      <c r="I49" s="231"/>
      <c r="J49" s="237"/>
    </row>
    <row r="50" spans="1:17" ht="13.5" hidden="1" x14ac:dyDescent="0.25">
      <c r="A50" s="232">
        <f t="shared" si="13"/>
        <v>0</v>
      </c>
      <c r="B50" s="238" t="str">
        <f>IFERROR(VLOOKUP(H50,[1]SEMIELABORADOS!$A$2:$M$6000,2,0),"")</f>
        <v/>
      </c>
      <c r="C50" s="233">
        <f t="shared" si="14"/>
        <v>0</v>
      </c>
      <c r="D50" s="234" t="str">
        <f>IFERROR(VLOOKUP(H50,[1]SEMIELABORADOS!$A$2:$M$6000,6,0),"")</f>
        <v/>
      </c>
      <c r="E50" s="234" t="str">
        <f>IFERROR(VLOOKUP(H50,[1]SEMIELABORADOS!$A$2:$M$65536,12,0),"")</f>
        <v/>
      </c>
      <c r="F50" s="234" t="str">
        <f t="shared" si="15"/>
        <v/>
      </c>
      <c r="G50" s="235" t="str">
        <f t="shared" si="16"/>
        <v/>
      </c>
      <c r="H50" s="238"/>
      <c r="I50" s="231"/>
      <c r="J50" s="237"/>
    </row>
    <row r="51" spans="1:17" ht="13.5" x14ac:dyDescent="0.25">
      <c r="A51" s="232">
        <v>1</v>
      </c>
      <c r="B51" s="238" t="s">
        <v>152</v>
      </c>
      <c r="C51" s="233">
        <f>+A51</f>
        <v>1</v>
      </c>
      <c r="D51" s="233" t="s">
        <v>153</v>
      </c>
      <c r="E51" s="234">
        <f>+F65</f>
        <v>231</v>
      </c>
      <c r="F51" s="234">
        <f>IFERROR(C51*E51,"")</f>
        <v>231</v>
      </c>
      <c r="G51" s="235">
        <f>IFERROR(F51/$F$66,"")</f>
        <v>2.5716385011021307E-2</v>
      </c>
      <c r="H51" s="243"/>
      <c r="I51" s="243"/>
      <c r="J51" s="237"/>
    </row>
    <row r="52" spans="1:17" ht="14.25" thickBot="1" x14ac:dyDescent="0.3">
      <c r="A52" s="232"/>
      <c r="B52" s="238"/>
      <c r="C52" s="233"/>
      <c r="D52" s="233"/>
      <c r="E52" s="234"/>
      <c r="F52" s="234"/>
      <c r="G52" s="235"/>
      <c r="H52" s="243"/>
      <c r="I52" s="243"/>
      <c r="J52" s="237"/>
    </row>
    <row r="53" spans="1:17" ht="13.5" thickBot="1" x14ac:dyDescent="0.3">
      <c r="A53" s="244"/>
      <c r="B53" s="559" t="s">
        <v>154</v>
      </c>
      <c r="C53" s="559"/>
      <c r="D53" s="559"/>
      <c r="E53" s="559"/>
      <c r="F53" s="246">
        <f>SUM(F8:F14,F17:F24)</f>
        <v>8580</v>
      </c>
      <c r="G53" s="235">
        <f>+F53/$F$66</f>
        <v>0.95518001469507707</v>
      </c>
      <c r="H53" s="247">
        <f>+F53/$D$60</f>
        <v>8580</v>
      </c>
      <c r="I53" s="247"/>
      <c r="J53" s="248"/>
      <c r="K53" s="249"/>
      <c r="L53" s="249"/>
      <c r="M53" s="249"/>
      <c r="N53" s="249"/>
      <c r="O53" s="249"/>
      <c r="P53" s="249"/>
      <c r="Q53" s="250"/>
    </row>
    <row r="54" spans="1:17" x14ac:dyDescent="0.2">
      <c r="A54" s="244"/>
      <c r="B54" s="559" t="s">
        <v>155</v>
      </c>
      <c r="C54" s="559"/>
      <c r="D54" s="559"/>
      <c r="E54" s="559"/>
      <c r="F54" s="246">
        <f>SUM(F27:F32,F35:F41)</f>
        <v>0</v>
      </c>
      <c r="G54" s="235">
        <f>+F54/$F$66</f>
        <v>0</v>
      </c>
      <c r="H54" s="247">
        <f>+F54/$D$60</f>
        <v>0</v>
      </c>
      <c r="I54" s="247"/>
      <c r="J54" s="251"/>
      <c r="K54" s="560" t="s">
        <v>156</v>
      </c>
      <c r="L54" s="561"/>
      <c r="M54" s="561"/>
      <c r="N54" s="561"/>
      <c r="O54" s="252">
        <f>+F55</f>
        <v>8580</v>
      </c>
      <c r="P54" s="252"/>
      <c r="Q54" s="253"/>
    </row>
    <row r="55" spans="1:17" x14ac:dyDescent="0.2">
      <c r="A55" s="244"/>
      <c r="B55" s="559" t="s">
        <v>157</v>
      </c>
      <c r="C55" s="559"/>
      <c r="D55" s="559"/>
      <c r="E55" s="559"/>
      <c r="F55" s="246">
        <f>+F53+F54</f>
        <v>8580</v>
      </c>
      <c r="G55" s="235">
        <f>+F55/$F$66</f>
        <v>0.95518001469507707</v>
      </c>
      <c r="H55" s="247">
        <f>+F55/$D$60</f>
        <v>8580</v>
      </c>
      <c r="I55" s="247"/>
      <c r="J55" s="254"/>
      <c r="K55" s="255"/>
      <c r="M55" s="256" t="s">
        <v>158</v>
      </c>
      <c r="N55" s="257"/>
      <c r="O55" s="252">
        <f>+H56</f>
        <v>841</v>
      </c>
      <c r="P55" s="252"/>
      <c r="Q55" s="253"/>
    </row>
    <row r="56" spans="1:17" ht="13.5" thickBot="1" x14ac:dyDescent="0.25">
      <c r="A56" s="244"/>
      <c r="B56" s="245"/>
      <c r="C56" s="559" t="s">
        <v>159</v>
      </c>
      <c r="D56" s="559"/>
      <c r="E56" s="559"/>
      <c r="F56" s="246">
        <f>SUM(F44:F51)</f>
        <v>841</v>
      </c>
      <c r="G56" s="235">
        <f>+F56/$F$66</f>
        <v>9.3625453654843802E-2</v>
      </c>
      <c r="H56" s="247">
        <f>+F56/$D$60</f>
        <v>841</v>
      </c>
      <c r="I56" s="247"/>
      <c r="J56" s="254"/>
      <c r="K56" s="255"/>
      <c r="L56" s="255"/>
      <c r="M56" s="255" t="s">
        <v>160</v>
      </c>
      <c r="N56" s="258"/>
      <c r="O56" s="252">
        <f>O54*N56</f>
        <v>0</v>
      </c>
      <c r="P56" s="252"/>
      <c r="Q56" s="253"/>
    </row>
    <row r="57" spans="1:17" ht="13.5" thickBot="1" x14ac:dyDescent="0.25">
      <c r="A57" s="244"/>
      <c r="B57" s="259"/>
      <c r="C57" s="259"/>
      <c r="D57" s="259"/>
      <c r="E57" s="259"/>
      <c r="F57" s="260"/>
      <c r="G57" s="235"/>
      <c r="H57" s="261"/>
      <c r="I57" s="247"/>
      <c r="J57" s="254"/>
      <c r="K57" s="262"/>
      <c r="M57" s="263" t="s">
        <v>161</v>
      </c>
      <c r="N57" s="264"/>
      <c r="O57" s="265">
        <f>SUM(O54:O56)</f>
        <v>9421</v>
      </c>
      <c r="P57" s="266"/>
      <c r="Q57" s="253"/>
    </row>
    <row r="58" spans="1:17" x14ac:dyDescent="0.2">
      <c r="B58" s="562" t="s">
        <v>162</v>
      </c>
      <c r="C58" s="562"/>
      <c r="D58" s="267">
        <v>980</v>
      </c>
      <c r="E58" s="268"/>
      <c r="G58" s="235"/>
      <c r="H58" s="261">
        <f>+H56/77</f>
        <v>10.922077922077921</v>
      </c>
      <c r="I58" s="269"/>
      <c r="J58" s="254"/>
      <c r="K58" s="262"/>
      <c r="L58" s="255"/>
      <c r="M58" s="255" t="s">
        <v>163</v>
      </c>
      <c r="N58" s="270"/>
      <c r="O58" s="252">
        <f>+H59</f>
        <v>906.53246753246742</v>
      </c>
      <c r="P58" s="252"/>
      <c r="Q58" s="253"/>
    </row>
    <row r="59" spans="1:17" x14ac:dyDescent="0.2">
      <c r="B59" s="562" t="s">
        <v>164</v>
      </c>
      <c r="C59" s="562"/>
      <c r="D59" s="271">
        <v>980</v>
      </c>
      <c r="E59" s="268"/>
      <c r="G59" s="235"/>
      <c r="H59" s="261">
        <f>+H58*83</f>
        <v>906.53246753246742</v>
      </c>
      <c r="I59" s="269"/>
      <c r="J59" s="254"/>
      <c r="K59" s="262"/>
      <c r="L59" s="255"/>
      <c r="M59" s="563" t="s">
        <v>161</v>
      </c>
      <c r="N59" s="563"/>
      <c r="O59" s="252">
        <f>SUM(O57:O58)</f>
        <v>10327.532467532468</v>
      </c>
      <c r="P59" s="252"/>
      <c r="Q59" s="253"/>
    </row>
    <row r="60" spans="1:17" ht="13.5" thickBot="1" x14ac:dyDescent="0.25">
      <c r="B60" s="554" t="s">
        <v>165</v>
      </c>
      <c r="C60" s="554"/>
      <c r="D60" s="267">
        <f>+D58/D59</f>
        <v>1</v>
      </c>
      <c r="E60" s="268"/>
      <c r="F60" s="272"/>
      <c r="G60" s="235"/>
      <c r="H60" s="261"/>
      <c r="I60" s="269"/>
      <c r="J60" s="254"/>
      <c r="K60" s="262"/>
      <c r="L60" s="563"/>
      <c r="M60" s="563"/>
      <c r="N60" s="270"/>
      <c r="O60" s="252">
        <f>+O59*N60</f>
        <v>0</v>
      </c>
      <c r="P60" s="252"/>
      <c r="Q60" s="253"/>
    </row>
    <row r="61" spans="1:17" ht="13.5" thickBot="1" x14ac:dyDescent="0.25">
      <c r="B61" s="554" t="s">
        <v>166</v>
      </c>
      <c r="C61" s="554"/>
      <c r="D61" s="273"/>
      <c r="E61" s="268"/>
      <c r="F61" s="272"/>
      <c r="G61" s="235"/>
      <c r="H61" s="261"/>
      <c r="I61" s="269"/>
      <c r="J61" s="254"/>
      <c r="K61" s="555" t="s">
        <v>167</v>
      </c>
      <c r="L61" s="556"/>
      <c r="M61" s="556"/>
      <c r="N61" s="557"/>
      <c r="O61" s="265">
        <f>SUM(O59:O60)</f>
        <v>10327.532467532468</v>
      </c>
      <c r="P61" s="274" t="s">
        <v>168</v>
      </c>
      <c r="Q61" s="253"/>
    </row>
    <row r="62" spans="1:17" ht="13.5" thickBot="1" x14ac:dyDescent="0.25">
      <c r="C62" s="244" t="s">
        <v>169</v>
      </c>
      <c r="D62" s="275"/>
      <c r="E62" s="218" t="s">
        <v>170</v>
      </c>
      <c r="F62" s="276" t="s">
        <v>171</v>
      </c>
      <c r="G62" s="235"/>
      <c r="H62" s="261"/>
      <c r="I62" s="269"/>
      <c r="J62" s="277"/>
      <c r="K62" s="278"/>
      <c r="L62" s="543" t="s">
        <v>172</v>
      </c>
      <c r="M62" s="543"/>
      <c r="N62" s="543"/>
      <c r="O62" s="279">
        <f>+O61/D60</f>
        <v>10327.532467532468</v>
      </c>
      <c r="P62" s="280">
        <f>+O62/D59</f>
        <v>10.538298436257621</v>
      </c>
      <c r="Q62" s="281"/>
    </row>
    <row r="63" spans="1:17" ht="13.5" thickBot="1" x14ac:dyDescent="0.25">
      <c r="B63" s="544" t="s">
        <v>157</v>
      </c>
      <c r="C63" s="544"/>
      <c r="D63" s="544"/>
      <c r="E63" s="282">
        <f>+F63/F63</f>
        <v>1</v>
      </c>
      <c r="F63" s="283">
        <f>SUM(F55)</f>
        <v>8580</v>
      </c>
      <c r="G63" s="235">
        <f>+F63/$F$66</f>
        <v>0.95518001469507707</v>
      </c>
      <c r="H63" s="261"/>
      <c r="I63" s="269"/>
      <c r="K63" s="545"/>
      <c r="L63" s="546"/>
      <c r="M63" s="546"/>
      <c r="N63" s="546"/>
      <c r="O63" s="284"/>
      <c r="P63" s="285"/>
    </row>
    <row r="64" spans="1:17" ht="13.5" thickBot="1" x14ac:dyDescent="0.3">
      <c r="B64" s="547" t="s">
        <v>173</v>
      </c>
      <c r="C64" s="547"/>
      <c r="D64" s="547"/>
      <c r="E64" s="286">
        <v>0.02</v>
      </c>
      <c r="F64" s="283">
        <f>+F53*E64</f>
        <v>171.6</v>
      </c>
      <c r="G64" s="235">
        <f>+F64/$F$66</f>
        <v>1.910360029390154E-2</v>
      </c>
      <c r="H64" s="247"/>
      <c r="I64" s="269"/>
      <c r="J64" s="287"/>
      <c r="O64" s="288"/>
      <c r="P64" s="245"/>
    </row>
    <row r="65" spans="2:13" ht="13.5" thickBot="1" x14ac:dyDescent="0.3">
      <c r="B65" s="548" t="s">
        <v>174</v>
      </c>
      <c r="C65" s="549"/>
      <c r="D65" s="289">
        <v>3</v>
      </c>
      <c r="E65" s="290">
        <v>77</v>
      </c>
      <c r="F65" s="283">
        <f>+E65*D65</f>
        <v>231</v>
      </c>
      <c r="G65" s="235">
        <f>+F65/$F$66</f>
        <v>2.5716385011021307E-2</v>
      </c>
      <c r="H65" s="247"/>
      <c r="I65" s="247"/>
      <c r="J65" s="237"/>
    </row>
    <row r="66" spans="2:13" ht="13.5" thickBot="1" x14ac:dyDescent="0.3">
      <c r="B66" s="550" t="s">
        <v>175</v>
      </c>
      <c r="C66" s="551"/>
      <c r="D66" s="551"/>
      <c r="E66" s="552"/>
      <c r="F66" s="260">
        <f>SUM(F63:F65)</f>
        <v>8982.6</v>
      </c>
      <c r="G66" s="235">
        <f>+F66/$F$66</f>
        <v>1</v>
      </c>
      <c r="H66" s="553"/>
      <c r="I66" s="247"/>
      <c r="J66" s="237"/>
      <c r="M66" s="220" t="s">
        <v>176</v>
      </c>
    </row>
    <row r="67" spans="2:13" x14ac:dyDescent="0.25">
      <c r="C67" s="242"/>
      <c r="D67" s="242"/>
      <c r="E67" s="292"/>
      <c r="F67" s="283"/>
      <c r="G67" s="235"/>
      <c r="H67" s="553"/>
      <c r="I67" s="291"/>
      <c r="J67" s="220"/>
      <c r="M67" s="220" t="s">
        <v>177</v>
      </c>
    </row>
    <row r="68" spans="2:13" ht="13.5" thickBot="1" x14ac:dyDescent="0.3">
      <c r="B68" s="538" t="s">
        <v>178</v>
      </c>
      <c r="C68" s="538"/>
      <c r="D68" s="538"/>
      <c r="E68" s="538"/>
      <c r="F68" s="538"/>
      <c r="G68" s="235"/>
      <c r="H68" s="294"/>
      <c r="I68" s="291"/>
      <c r="J68" s="220"/>
      <c r="M68" s="220" t="s">
        <v>179</v>
      </c>
    </row>
    <row r="69" spans="2:13" ht="13.5" thickBot="1" x14ac:dyDescent="0.3">
      <c r="B69" s="295" t="s">
        <v>180</v>
      </c>
      <c r="C69" s="296">
        <f>+F53</f>
        <v>8580</v>
      </c>
      <c r="D69" s="296">
        <f>+D58</f>
        <v>980</v>
      </c>
      <c r="E69" s="297">
        <f>+C69/D69</f>
        <v>8.7551020408163271</v>
      </c>
      <c r="F69" s="235"/>
      <c r="G69" s="294"/>
      <c r="H69" s="237"/>
      <c r="I69" s="294"/>
      <c r="J69" s="220"/>
    </row>
    <row r="70" spans="2:13" x14ac:dyDescent="0.25">
      <c r="B70" s="298"/>
      <c r="C70" s="299"/>
      <c r="D70" s="300"/>
      <c r="E70" s="283"/>
      <c r="F70" s="235"/>
      <c r="G70" s="294"/>
      <c r="H70" s="237"/>
      <c r="I70" s="237"/>
      <c r="J70" s="220"/>
    </row>
    <row r="71" spans="2:13" x14ac:dyDescent="0.25">
      <c r="B71" s="295" t="s">
        <v>181</v>
      </c>
      <c r="C71" s="296">
        <f>SUM(F63:F64)</f>
        <v>8751.6</v>
      </c>
      <c r="D71" s="296">
        <f>+D58</f>
        <v>980</v>
      </c>
      <c r="E71" s="301">
        <f>+C71/D71</f>
        <v>8.9302040816326542</v>
      </c>
      <c r="F71" s="235"/>
      <c r="G71" s="294"/>
      <c r="H71" s="237"/>
      <c r="I71" s="237"/>
      <c r="J71" s="220"/>
    </row>
    <row r="72" spans="2:13" x14ac:dyDescent="0.25">
      <c r="B72" s="295"/>
      <c r="C72" s="296"/>
      <c r="D72" s="296"/>
      <c r="E72" s="301"/>
      <c r="F72" s="235"/>
      <c r="G72" s="294"/>
      <c r="H72" s="237"/>
      <c r="I72" s="237"/>
      <c r="J72" s="220"/>
    </row>
    <row r="73" spans="2:13" ht="13.5" thickBot="1" x14ac:dyDescent="0.3">
      <c r="B73" s="295" t="s">
        <v>182</v>
      </c>
      <c r="C73" s="296">
        <f>+F65</f>
        <v>231</v>
      </c>
      <c r="D73" s="296">
        <f>+D58</f>
        <v>980</v>
      </c>
      <c r="E73" s="301">
        <f>+C73/D73</f>
        <v>0.23571428571428571</v>
      </c>
      <c r="F73" s="235"/>
      <c r="G73" s="294"/>
      <c r="H73" s="237"/>
      <c r="I73" s="237"/>
      <c r="J73" s="220"/>
    </row>
    <row r="74" spans="2:13" ht="13.5" thickBot="1" x14ac:dyDescent="0.3">
      <c r="B74" s="295" t="s">
        <v>183</v>
      </c>
      <c r="C74" s="296">
        <f>+F56</f>
        <v>841</v>
      </c>
      <c r="D74" s="296">
        <f>+D73</f>
        <v>980</v>
      </c>
      <c r="E74" s="297">
        <f>+C74/D74</f>
        <v>0.85816326530612241</v>
      </c>
      <c r="F74" s="235"/>
      <c r="G74" s="294"/>
      <c r="H74" s="237"/>
      <c r="I74" s="237"/>
      <c r="J74" s="220"/>
    </row>
    <row r="75" spans="2:13" ht="13.5" thickBot="1" x14ac:dyDescent="0.3">
      <c r="B75" s="259"/>
      <c r="C75" s="260"/>
      <c r="D75" s="260"/>
      <c r="E75" s="301"/>
      <c r="F75" s="235"/>
      <c r="G75" s="294"/>
      <c r="H75" s="237"/>
      <c r="I75" s="237"/>
      <c r="J75" s="220"/>
    </row>
    <row r="76" spans="2:13" ht="13.5" thickBot="1" x14ac:dyDescent="0.3">
      <c r="B76" s="295" t="s">
        <v>184</v>
      </c>
      <c r="C76" s="296">
        <f>+F54</f>
        <v>0</v>
      </c>
      <c r="D76" s="296">
        <f>+D74</f>
        <v>980</v>
      </c>
      <c r="E76" s="297">
        <f>+C76/D76</f>
        <v>0</v>
      </c>
      <c r="F76" s="235"/>
      <c r="G76" s="294"/>
      <c r="H76" s="237"/>
      <c r="I76" s="237"/>
      <c r="J76" s="237"/>
    </row>
    <row r="77" spans="2:13" ht="13.5" thickBot="1" x14ac:dyDescent="0.3">
      <c r="B77" s="259"/>
      <c r="C77" s="260"/>
      <c r="D77" s="260"/>
      <c r="E77" s="301"/>
      <c r="F77" s="235"/>
      <c r="G77" s="294"/>
      <c r="H77" s="237"/>
      <c r="I77" s="237"/>
    </row>
    <row r="78" spans="2:13" ht="13.5" thickBot="1" x14ac:dyDescent="0.3">
      <c r="B78" s="539" t="s">
        <v>185</v>
      </c>
      <c r="C78" s="540"/>
      <c r="D78" s="541"/>
      <c r="E78" s="297">
        <f>+E69+E74</f>
        <v>9.6132653061224502</v>
      </c>
      <c r="G78" s="235"/>
      <c r="H78" s="294"/>
      <c r="I78" s="237"/>
      <c r="J78" s="301"/>
    </row>
    <row r="79" spans="2:13" x14ac:dyDescent="0.25">
      <c r="I79" s="294"/>
      <c r="J79" s="220"/>
    </row>
    <row r="80" spans="2:13" ht="13.5" thickBot="1" x14ac:dyDescent="0.3">
      <c r="B80" s="538" t="s">
        <v>186</v>
      </c>
      <c r="C80" s="538"/>
      <c r="D80" s="538"/>
      <c r="E80" s="538"/>
      <c r="F80" s="538"/>
      <c r="G80" s="235"/>
      <c r="H80" s="294"/>
      <c r="J80" s="220"/>
    </row>
    <row r="81" spans="1:10" ht="13.5" thickBot="1" x14ac:dyDescent="0.3">
      <c r="B81" s="295" t="s">
        <v>180</v>
      </c>
      <c r="C81" s="296">
        <f>+C69</f>
        <v>8580</v>
      </c>
      <c r="D81" s="296">
        <f>+D60</f>
        <v>1</v>
      </c>
      <c r="E81" s="297">
        <f>+C81/D81</f>
        <v>8580</v>
      </c>
      <c r="F81" s="235"/>
      <c r="G81" s="294"/>
      <c r="H81" s="237"/>
      <c r="I81" s="294"/>
      <c r="J81" s="220"/>
    </row>
    <row r="82" spans="1:10" x14ac:dyDescent="0.25">
      <c r="B82" s="298"/>
      <c r="C82" s="299"/>
      <c r="D82" s="300"/>
      <c r="E82" s="283"/>
      <c r="F82" s="235"/>
      <c r="G82" s="294"/>
      <c r="H82" s="237"/>
      <c r="I82" s="237"/>
      <c r="J82" s="220"/>
    </row>
    <row r="83" spans="1:10" x14ac:dyDescent="0.25">
      <c r="B83" s="295" t="s">
        <v>181</v>
      </c>
      <c r="C83" s="296">
        <f>+C71</f>
        <v>8751.6</v>
      </c>
      <c r="D83" s="296">
        <f>+D60</f>
        <v>1</v>
      </c>
      <c r="E83" s="301">
        <f>+C83/D83</f>
        <v>8751.6</v>
      </c>
      <c r="F83" s="235"/>
      <c r="G83" s="294"/>
      <c r="H83" s="237"/>
      <c r="I83" s="237"/>
      <c r="J83" s="220"/>
    </row>
    <row r="84" spans="1:10" x14ac:dyDescent="0.25">
      <c r="B84" s="295"/>
      <c r="C84" s="296"/>
      <c r="D84" s="296"/>
      <c r="E84" s="301"/>
      <c r="F84" s="235"/>
      <c r="G84" s="294"/>
      <c r="H84" s="237"/>
      <c r="I84" s="237"/>
      <c r="J84" s="220"/>
    </row>
    <row r="85" spans="1:10" ht="13.5" thickBot="1" x14ac:dyDescent="0.3">
      <c r="B85" s="295" t="s">
        <v>183</v>
      </c>
      <c r="C85" s="296">
        <f>+C73</f>
        <v>231</v>
      </c>
      <c r="D85" s="296">
        <f>+D60</f>
        <v>1</v>
      </c>
      <c r="E85" s="301">
        <f>+C85/D85</f>
        <v>231</v>
      </c>
      <c r="F85" s="303"/>
      <c r="G85" s="293"/>
      <c r="H85" s="219"/>
      <c r="I85" s="237"/>
    </row>
    <row r="86" spans="1:10" ht="13.5" thickBot="1" x14ac:dyDescent="0.3">
      <c r="B86" s="295" t="s">
        <v>183</v>
      </c>
      <c r="C86" s="296">
        <f>+C74</f>
        <v>841</v>
      </c>
      <c r="D86" s="296">
        <f>+D85</f>
        <v>1</v>
      </c>
      <c r="E86" s="297">
        <f>+C86/D86</f>
        <v>841</v>
      </c>
      <c r="F86" s="302"/>
      <c r="G86" s="293"/>
      <c r="H86" s="219"/>
      <c r="I86" s="219"/>
    </row>
    <row r="87" spans="1:10" x14ac:dyDescent="0.25">
      <c r="I87" s="219"/>
    </row>
    <row r="88" spans="1:10" x14ac:dyDescent="0.2">
      <c r="A88" s="542"/>
      <c r="B88" s="542"/>
      <c r="C88" s="304"/>
      <c r="D88" s="304"/>
      <c r="E88" s="305"/>
      <c r="G88" s="306"/>
    </row>
    <row r="89" spans="1:10" x14ac:dyDescent="0.2">
      <c r="A89" s="238"/>
      <c r="B89" s="307"/>
      <c r="C89" s="308"/>
      <c r="D89" s="308"/>
      <c r="E89" s="309"/>
      <c r="G89" s="306"/>
    </row>
    <row r="90" spans="1:10" x14ac:dyDescent="0.2">
      <c r="A90" s="238"/>
      <c r="B90" s="307"/>
      <c r="C90" s="310"/>
      <c r="D90" s="310"/>
      <c r="E90" s="238"/>
      <c r="G90" s="306"/>
    </row>
    <row r="91" spans="1:10" x14ac:dyDescent="0.2">
      <c r="A91" s="238"/>
      <c r="B91" s="307"/>
      <c r="C91" s="311"/>
      <c r="D91" s="311"/>
      <c r="E91" s="238"/>
      <c r="G91" s="30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567C-6469-4814-9F24-DE09DC8838C2}">
  <sheetPr>
    <pageSetUpPr fitToPage="1"/>
  </sheetPr>
  <dimension ref="A1:K3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7.140625" customWidth="1"/>
    <col min="3" max="3" width="52" customWidth="1"/>
    <col min="4" max="4" width="19.140625" customWidth="1"/>
    <col min="5" max="5" width="12.7109375" customWidth="1"/>
    <col min="7" max="7" width="21.85546875" customWidth="1"/>
    <col min="8" max="8" width="15.85546875" customWidth="1"/>
    <col min="9" max="9" width="17.42578125" bestFit="1" customWidth="1"/>
  </cols>
  <sheetData>
    <row r="1" spans="1:9" ht="15.75" x14ac:dyDescent="0.25">
      <c r="A1" s="646"/>
      <c r="B1" s="647"/>
      <c r="C1" s="652" t="s">
        <v>33</v>
      </c>
      <c r="D1" s="652"/>
      <c r="E1" s="652"/>
      <c r="F1" s="652"/>
      <c r="G1" s="652"/>
      <c r="H1" s="15" t="s">
        <v>32</v>
      </c>
      <c r="I1" s="16" t="s">
        <v>337</v>
      </c>
    </row>
    <row r="2" spans="1:9" ht="18" customHeight="1" thickBot="1" x14ac:dyDescent="0.3">
      <c r="A2" s="648"/>
      <c r="B2" s="649"/>
      <c r="C2" s="653" t="s">
        <v>31</v>
      </c>
      <c r="D2" s="654"/>
      <c r="E2" s="654"/>
      <c r="F2" s="654"/>
      <c r="G2" s="655"/>
      <c r="H2" s="17" t="s">
        <v>30</v>
      </c>
      <c r="I2" s="18" t="s">
        <v>228</v>
      </c>
    </row>
    <row r="3" spans="1:9" ht="31.5" customHeight="1" thickBot="1" x14ac:dyDescent="0.3">
      <c r="A3" s="648"/>
      <c r="B3" s="649"/>
      <c r="C3" s="773" t="s">
        <v>336</v>
      </c>
      <c r="D3" s="773"/>
      <c r="E3" s="773"/>
      <c r="F3" s="773"/>
      <c r="G3" s="774"/>
      <c r="H3" s="659" t="s">
        <v>29</v>
      </c>
      <c r="I3" s="637">
        <v>46063</v>
      </c>
    </row>
    <row r="4" spans="1:9" ht="18" customHeight="1" x14ac:dyDescent="0.25">
      <c r="A4" s="648"/>
      <c r="B4" s="649"/>
      <c r="C4" s="19" t="s">
        <v>28</v>
      </c>
      <c r="D4" s="640" t="s">
        <v>38</v>
      </c>
      <c r="E4" s="641"/>
      <c r="F4" s="641"/>
      <c r="G4" s="642"/>
      <c r="H4" s="660"/>
      <c r="I4" s="638"/>
    </row>
    <row r="5" spans="1:9" ht="15.75" thickBot="1" x14ac:dyDescent="0.3">
      <c r="A5" s="650"/>
      <c r="B5" s="651"/>
      <c r="C5" s="20" t="s">
        <v>27</v>
      </c>
      <c r="D5" s="643" t="s">
        <v>26</v>
      </c>
      <c r="E5" s="644"/>
      <c r="F5" s="644"/>
      <c r="G5" s="645"/>
      <c r="H5" s="661"/>
      <c r="I5" s="639"/>
    </row>
    <row r="6" spans="1:9" ht="18.75" thickBot="1" x14ac:dyDescent="0.3">
      <c r="A6" s="518" t="s">
        <v>25</v>
      </c>
      <c r="B6" s="518"/>
      <c r="C6" s="518"/>
      <c r="D6" s="699" t="s">
        <v>84</v>
      </c>
      <c r="E6" s="699"/>
      <c r="F6" s="699"/>
      <c r="G6" s="517" t="s">
        <v>24</v>
      </c>
      <c r="H6" s="517"/>
      <c r="I6" s="427" t="s">
        <v>84</v>
      </c>
    </row>
    <row r="7" spans="1:9" ht="33" customHeight="1" x14ac:dyDescent="0.25">
      <c r="A7" s="631" t="s">
        <v>23</v>
      </c>
      <c r="B7" s="633" t="s">
        <v>34</v>
      </c>
      <c r="C7" s="635" t="s">
        <v>22</v>
      </c>
      <c r="D7" s="635" t="s">
        <v>21</v>
      </c>
      <c r="E7" s="635" t="s">
        <v>20</v>
      </c>
      <c r="F7" s="635"/>
      <c r="G7" s="635" t="s">
        <v>19</v>
      </c>
      <c r="H7" s="635"/>
      <c r="I7" s="22" t="s">
        <v>18</v>
      </c>
    </row>
    <row r="8" spans="1:9" ht="33" customHeight="1" thickBot="1" x14ac:dyDescent="0.3">
      <c r="A8" s="632"/>
      <c r="B8" s="747"/>
      <c r="C8" s="636"/>
      <c r="D8" s="636"/>
      <c r="E8" s="23" t="s">
        <v>14</v>
      </c>
      <c r="F8" s="24" t="s">
        <v>17</v>
      </c>
      <c r="G8" s="23" t="s">
        <v>14</v>
      </c>
      <c r="H8" s="24" t="s">
        <v>17</v>
      </c>
      <c r="I8" s="25" t="s">
        <v>16</v>
      </c>
    </row>
    <row r="9" spans="1:9" ht="20.25" x14ac:dyDescent="0.3">
      <c r="A9" s="327"/>
      <c r="B9" s="326"/>
      <c r="C9" s="325" t="s">
        <v>35</v>
      </c>
      <c r="D9" s="326"/>
      <c r="E9" s="329"/>
      <c r="F9" s="330"/>
      <c r="G9" s="329"/>
      <c r="H9" s="330"/>
      <c r="I9" s="331"/>
    </row>
    <row r="10" spans="1:9" ht="20.25" x14ac:dyDescent="0.3">
      <c r="A10" s="444"/>
      <c r="B10" s="434" t="s">
        <v>85</v>
      </c>
      <c r="C10" s="441" t="s">
        <v>86</v>
      </c>
      <c r="D10" s="447"/>
      <c r="E10" s="341">
        <f>760*10.63</f>
        <v>8078.8</v>
      </c>
      <c r="F10" s="775" t="s">
        <v>1</v>
      </c>
      <c r="G10" s="432"/>
      <c r="H10" s="433"/>
      <c r="I10" s="331"/>
    </row>
    <row r="11" spans="1:9" ht="20.25" x14ac:dyDescent="0.3">
      <c r="A11" s="444"/>
      <c r="B11" s="434" t="s">
        <v>87</v>
      </c>
      <c r="C11" s="441" t="s">
        <v>88</v>
      </c>
      <c r="D11" s="447" t="s">
        <v>89</v>
      </c>
      <c r="E11" s="335">
        <f>160*10.63</f>
        <v>1700.8000000000002</v>
      </c>
      <c r="F11" s="775" t="s">
        <v>1</v>
      </c>
      <c r="G11" s="432"/>
      <c r="H11" s="433"/>
      <c r="I11" s="331"/>
    </row>
    <row r="12" spans="1:9" ht="20.25" x14ac:dyDescent="0.3">
      <c r="A12" s="444"/>
      <c r="B12" s="434" t="s">
        <v>90</v>
      </c>
      <c r="C12" s="441" t="s">
        <v>91</v>
      </c>
      <c r="D12" s="447" t="s">
        <v>92</v>
      </c>
      <c r="E12" s="335">
        <f>40*10.63</f>
        <v>425.20000000000005</v>
      </c>
      <c r="F12" s="775" t="s">
        <v>1</v>
      </c>
      <c r="G12" s="358"/>
      <c r="H12" s="433"/>
      <c r="I12" s="331"/>
    </row>
    <row r="13" spans="1:9" ht="20.25" x14ac:dyDescent="0.3">
      <c r="A13" s="444"/>
      <c r="B13" s="434" t="s">
        <v>93</v>
      </c>
      <c r="C13" s="776" t="s">
        <v>94</v>
      </c>
      <c r="D13" s="447"/>
      <c r="E13" s="335">
        <f>1*10.63</f>
        <v>10.63</v>
      </c>
      <c r="F13" s="775" t="s">
        <v>1</v>
      </c>
      <c r="G13" s="358"/>
      <c r="H13" s="433"/>
      <c r="I13" s="331"/>
    </row>
    <row r="14" spans="1:9" ht="20.25" x14ac:dyDescent="0.3">
      <c r="A14" s="777"/>
      <c r="B14" s="778"/>
      <c r="C14" s="779"/>
      <c r="D14" s="358"/>
      <c r="E14" s="358"/>
      <c r="F14" s="780"/>
      <c r="G14" s="358"/>
      <c r="H14" s="433"/>
      <c r="I14" s="331"/>
    </row>
    <row r="15" spans="1:9" ht="20.25" x14ac:dyDescent="0.3">
      <c r="A15" s="434"/>
      <c r="B15" s="434"/>
      <c r="C15" s="441"/>
      <c r="D15" s="781"/>
      <c r="E15" s="357"/>
      <c r="F15" s="342"/>
      <c r="G15" s="329"/>
      <c r="H15" s="433"/>
      <c r="I15" s="331"/>
    </row>
    <row r="16" spans="1:9" ht="20.25" x14ac:dyDescent="0.3">
      <c r="A16" s="343"/>
      <c r="B16" s="344"/>
      <c r="C16" s="345" t="s">
        <v>40</v>
      </c>
      <c r="D16" s="346"/>
      <c r="E16" s="347"/>
      <c r="F16" s="348"/>
      <c r="G16" s="329"/>
      <c r="H16" s="330"/>
      <c r="I16" s="331"/>
    </row>
    <row r="17" spans="1:11" ht="20.25" x14ac:dyDescent="0.3">
      <c r="A17" s="434"/>
      <c r="B17" s="434"/>
      <c r="C17" s="441"/>
      <c r="D17" s="360"/>
      <c r="E17" s="357"/>
      <c r="F17" s="342"/>
      <c r="G17" s="329"/>
      <c r="H17" s="330"/>
      <c r="I17" s="331"/>
    </row>
    <row r="18" spans="1:11" ht="20.25" x14ac:dyDescent="0.3">
      <c r="A18" s="782"/>
      <c r="B18" s="782"/>
      <c r="C18" s="355" t="s">
        <v>41</v>
      </c>
      <c r="D18" s="356"/>
      <c r="E18" s="452"/>
      <c r="F18" s="330"/>
      <c r="G18" s="329"/>
      <c r="H18" s="453"/>
      <c r="I18" s="331"/>
    </row>
    <row r="19" spans="1:11" ht="20.25" x14ac:dyDescent="0.3">
      <c r="A19" s="361">
        <v>702067</v>
      </c>
      <c r="B19" s="361" t="s">
        <v>95</v>
      </c>
      <c r="C19" s="466" t="s">
        <v>96</v>
      </c>
      <c r="D19" s="358" t="s">
        <v>50</v>
      </c>
      <c r="E19" s="357">
        <v>2</v>
      </c>
      <c r="F19" s="342" t="s">
        <v>6</v>
      </c>
      <c r="G19" s="457"/>
      <c r="H19" s="330"/>
      <c r="I19" s="331"/>
      <c r="K19">
        <f>10000/940</f>
        <v>10.638297872340425</v>
      </c>
    </row>
    <row r="20" spans="1:11" ht="20.25" x14ac:dyDescent="0.3">
      <c r="A20" s="343"/>
      <c r="B20" s="344"/>
      <c r="C20" s="365"/>
      <c r="D20" s="358"/>
      <c r="E20" s="352"/>
      <c r="F20" s="348"/>
      <c r="G20" s="352"/>
      <c r="H20" s="330"/>
      <c r="I20" s="331"/>
    </row>
    <row r="21" spans="1:11" ht="20.25" x14ac:dyDescent="0.3">
      <c r="A21" s="343"/>
      <c r="B21" s="344"/>
      <c r="C21" s="365"/>
      <c r="D21" s="346"/>
      <c r="E21" s="346"/>
      <c r="F21" s="348"/>
      <c r="G21" s="346"/>
      <c r="H21" s="346"/>
      <c r="I21" s="331"/>
    </row>
    <row r="22" spans="1:11" ht="21" thickBot="1" x14ac:dyDescent="0.35">
      <c r="A22" s="366"/>
      <c r="B22" s="367"/>
      <c r="C22" s="368"/>
      <c r="D22" s="368"/>
      <c r="E22" s="369"/>
      <c r="F22" s="370"/>
      <c r="G22" s="368"/>
      <c r="H22" s="368"/>
      <c r="I22" s="371"/>
    </row>
    <row r="23" spans="1:11" ht="21" thickBot="1" x14ac:dyDescent="0.35">
      <c r="A23" s="374"/>
      <c r="B23" s="375"/>
      <c r="C23" s="376"/>
      <c r="D23" s="377" t="s">
        <v>14</v>
      </c>
      <c r="E23" s="378" t="s">
        <v>13</v>
      </c>
      <c r="F23" s="379"/>
      <c r="G23" s="376"/>
      <c r="H23" s="376"/>
      <c r="I23" s="380"/>
    </row>
    <row r="24" spans="1:11" ht="20.25" x14ac:dyDescent="0.3">
      <c r="A24" s="700" t="s">
        <v>12</v>
      </c>
      <c r="B24" s="701"/>
      <c r="C24" s="702"/>
      <c r="D24" s="381">
        <v>10000</v>
      </c>
      <c r="E24" s="382" t="s">
        <v>1</v>
      </c>
      <c r="F24" s="703" t="s">
        <v>11</v>
      </c>
      <c r="G24" s="703"/>
      <c r="H24" s="704"/>
      <c r="I24" s="705"/>
    </row>
    <row r="25" spans="1:11" ht="20.25" x14ac:dyDescent="0.3">
      <c r="A25" s="706" t="s">
        <v>10</v>
      </c>
      <c r="B25" s="707"/>
      <c r="C25" s="708"/>
      <c r="D25" s="358">
        <v>10</v>
      </c>
      <c r="E25" s="358" t="s">
        <v>9</v>
      </c>
      <c r="F25" s="709" t="s">
        <v>8</v>
      </c>
      <c r="G25" s="709"/>
      <c r="H25" s="710"/>
      <c r="I25" s="711"/>
    </row>
    <row r="26" spans="1:11" ht="20.25" x14ac:dyDescent="0.3">
      <c r="A26" s="706" t="s">
        <v>7</v>
      </c>
      <c r="B26" s="707"/>
      <c r="C26" s="708"/>
      <c r="D26" s="358">
        <v>1</v>
      </c>
      <c r="E26" s="358" t="s">
        <v>77</v>
      </c>
      <c r="F26" s="709" t="s">
        <v>5</v>
      </c>
      <c r="G26" s="709"/>
      <c r="H26" s="710"/>
      <c r="I26" s="711"/>
    </row>
    <row r="27" spans="1:11" ht="20.25" x14ac:dyDescent="0.3">
      <c r="A27" s="706" t="s">
        <v>4</v>
      </c>
      <c r="B27" s="707"/>
      <c r="C27" s="708"/>
      <c r="D27" s="357">
        <v>10000</v>
      </c>
      <c r="E27" s="358" t="s">
        <v>1</v>
      </c>
      <c r="F27" s="716" t="s">
        <v>3</v>
      </c>
      <c r="G27" s="717"/>
      <c r="H27" s="718"/>
      <c r="I27" s="719"/>
    </row>
    <row r="28" spans="1:11" ht="21" thickBot="1" x14ac:dyDescent="0.35">
      <c r="A28" s="720" t="s">
        <v>2</v>
      </c>
      <c r="B28" s="721"/>
      <c r="C28" s="722"/>
      <c r="D28" s="385">
        <f>SUM(E10:E13)-D24</f>
        <v>215.43000000000029</v>
      </c>
      <c r="E28" s="386" t="s">
        <v>1</v>
      </c>
      <c r="F28" s="723"/>
      <c r="G28" s="723"/>
      <c r="H28" s="710"/>
      <c r="I28" s="711"/>
    </row>
    <row r="29" spans="1:11" ht="23.25" customHeight="1" thickBot="1" x14ac:dyDescent="0.35">
      <c r="A29" s="724" t="s">
        <v>0</v>
      </c>
      <c r="B29" s="725"/>
      <c r="C29" s="725"/>
      <c r="D29" s="725"/>
      <c r="E29" s="725"/>
      <c r="F29" s="725"/>
      <c r="G29" s="725"/>
      <c r="H29" s="725"/>
      <c r="I29" s="726"/>
    </row>
    <row r="30" spans="1:11" ht="20.25" x14ac:dyDescent="0.25">
      <c r="A30" s="783" t="s">
        <v>97</v>
      </c>
      <c r="B30" s="784"/>
      <c r="C30" s="784"/>
      <c r="D30" s="784"/>
      <c r="E30" s="784"/>
      <c r="F30" s="784"/>
      <c r="G30" s="784"/>
      <c r="H30" s="784"/>
      <c r="I30" s="785"/>
    </row>
    <row r="31" spans="1:11" ht="20.25" x14ac:dyDescent="0.25">
      <c r="A31" s="786" t="s">
        <v>98</v>
      </c>
      <c r="B31" s="787"/>
      <c r="C31" s="787"/>
      <c r="D31" s="787"/>
      <c r="E31" s="787"/>
      <c r="F31" s="787"/>
      <c r="G31" s="787"/>
      <c r="H31" s="787"/>
      <c r="I31" s="788"/>
    </row>
    <row r="32" spans="1:11" ht="20.25" x14ac:dyDescent="0.25">
      <c r="A32" s="786" t="s">
        <v>99</v>
      </c>
      <c r="B32" s="787"/>
      <c r="C32" s="787"/>
      <c r="D32" s="787"/>
      <c r="E32" s="787"/>
      <c r="F32" s="787"/>
      <c r="G32" s="787"/>
      <c r="H32" s="787"/>
      <c r="I32" s="788"/>
    </row>
    <row r="33" spans="1:9" ht="20.25" x14ac:dyDescent="0.3">
      <c r="A33" s="789"/>
      <c r="B33" s="790"/>
      <c r="C33" s="790"/>
      <c r="D33" s="790"/>
      <c r="E33" s="790"/>
      <c r="F33" s="790"/>
      <c r="G33" s="790"/>
      <c r="H33" s="790"/>
      <c r="I33" s="791"/>
    </row>
    <row r="34" spans="1:9" ht="20.25" x14ac:dyDescent="0.3">
      <c r="A34" s="792" t="s">
        <v>36</v>
      </c>
      <c r="B34" s="792"/>
      <c r="C34" s="792"/>
      <c r="D34" s="792"/>
      <c r="E34" s="792"/>
      <c r="F34" s="792"/>
      <c r="G34" s="792"/>
      <c r="H34" s="792"/>
      <c r="I34" s="792"/>
    </row>
    <row r="35" spans="1:9" ht="20.25" x14ac:dyDescent="0.3">
      <c r="A35" s="740"/>
      <c r="B35" s="740"/>
      <c r="C35" s="740"/>
      <c r="D35" s="740"/>
      <c r="E35" s="740"/>
      <c r="F35" s="740"/>
      <c r="G35" s="740"/>
      <c r="H35" s="740"/>
      <c r="I35" s="740"/>
    </row>
    <row r="36" spans="1:9" ht="20.25" x14ac:dyDescent="0.3">
      <c r="A36" s="740"/>
      <c r="B36" s="740"/>
      <c r="C36" s="740"/>
      <c r="D36" s="740"/>
      <c r="E36" s="740"/>
      <c r="F36" s="740"/>
      <c r="G36" s="740"/>
      <c r="H36" s="740"/>
      <c r="I36" s="740"/>
    </row>
  </sheetData>
  <mergeCells count="40">
    <mergeCell ref="A33:I33"/>
    <mergeCell ref="A34:I34"/>
    <mergeCell ref="A35:I35"/>
    <mergeCell ref="A36:I36"/>
    <mergeCell ref="A32:I32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B3F6-559D-40C1-AC0B-7D13F50EF13C}">
  <dimension ref="A1:Q91"/>
  <sheetViews>
    <sheetView topLeftCell="A2" workbookViewId="0">
      <selection activeCell="A44" sqref="A44:XFD50"/>
    </sheetView>
  </sheetViews>
  <sheetFormatPr baseColWidth="10" defaultColWidth="8.42578125" defaultRowHeight="12.75" x14ac:dyDescent="0.25"/>
  <cols>
    <col min="1" max="1" width="10" style="220" bestFit="1" customWidth="1"/>
    <col min="2" max="2" width="44.28515625" style="220" bestFit="1" customWidth="1"/>
    <col min="3" max="3" width="10.42578125" style="220" bestFit="1" customWidth="1"/>
    <col min="4" max="4" width="10.42578125" style="220" customWidth="1"/>
    <col min="5" max="5" width="11" style="220" customWidth="1"/>
    <col min="6" max="6" width="9.5703125" style="220" bestFit="1" customWidth="1"/>
    <col min="7" max="7" width="10.85546875" style="302" customWidth="1"/>
    <col min="8" max="8" width="10.42578125" style="293" bestFit="1" customWidth="1"/>
    <col min="9" max="9" width="4.5703125" style="293" customWidth="1"/>
    <col min="10" max="10" width="1.85546875" style="219" customWidth="1"/>
    <col min="11" max="11" width="7" style="220" bestFit="1" customWidth="1"/>
    <col min="12" max="12" width="6.28515625" style="220" customWidth="1"/>
    <col min="13" max="13" width="20.42578125" style="220" customWidth="1"/>
    <col min="14" max="14" width="6.42578125" style="220" bestFit="1" customWidth="1"/>
    <col min="15" max="16" width="8.42578125" style="220"/>
    <col min="17" max="17" width="3.28515625" style="220" customWidth="1"/>
    <col min="18" max="16384" width="8.42578125" style="220"/>
  </cols>
  <sheetData>
    <row r="1" spans="1:10" ht="27.75" customHeight="1" x14ac:dyDescent="0.25">
      <c r="A1" s="215"/>
      <c r="B1" s="215"/>
      <c r="C1" s="215"/>
      <c r="D1" s="215"/>
      <c r="E1" s="216" t="s">
        <v>136</v>
      </c>
      <c r="F1" s="217" t="s">
        <v>137</v>
      </c>
      <c r="G1" s="217" t="s">
        <v>138</v>
      </c>
      <c r="H1" s="217" t="s">
        <v>139</v>
      </c>
      <c r="I1" s="218"/>
    </row>
    <row r="2" spans="1:10" ht="30.75" customHeight="1" x14ac:dyDescent="0.25">
      <c r="A2" s="215"/>
      <c r="B2" s="215"/>
      <c r="C2" s="215"/>
      <c r="D2" s="215"/>
      <c r="E2" s="221">
        <f>IFERROR(O62,"")</f>
        <v>31020.317900000002</v>
      </c>
      <c r="F2" s="221">
        <f>IFERROR(H53,"")</f>
        <v>29416.717900000003</v>
      </c>
      <c r="G2" s="221">
        <f>IFERROR(H54,"")</f>
        <v>3.6</v>
      </c>
      <c r="H2" s="221">
        <f>IFERROR(H56,"")</f>
        <v>770</v>
      </c>
      <c r="I2" s="222"/>
    </row>
    <row r="3" spans="1:10" ht="15" customHeight="1" x14ac:dyDescent="0.25">
      <c r="A3" s="215"/>
      <c r="B3" s="215"/>
      <c r="C3" s="215"/>
      <c r="D3" s="215"/>
      <c r="E3" s="215"/>
      <c r="F3" s="223"/>
      <c r="G3" s="223"/>
      <c r="H3" s="223"/>
      <c r="I3" s="223"/>
    </row>
    <row r="4" spans="1:10" ht="24.75" customHeight="1" thickBot="1" x14ac:dyDescent="0.3">
      <c r="A4" s="564"/>
      <c r="B4" s="564"/>
      <c r="C4" s="564"/>
      <c r="D4" s="564"/>
      <c r="E4" s="564"/>
      <c r="F4" s="564"/>
      <c r="G4" s="564"/>
      <c r="H4" s="564"/>
      <c r="I4" s="224"/>
    </row>
    <row r="5" spans="1:10" ht="19.5" customHeight="1" thickBot="1" x14ac:dyDescent="0.3">
      <c r="A5" s="565" t="s">
        <v>140</v>
      </c>
      <c r="B5" s="566"/>
      <c r="C5" s="566"/>
      <c r="D5" s="566"/>
      <c r="E5" s="566"/>
      <c r="F5" s="566"/>
      <c r="G5" s="566"/>
      <c r="H5" s="567"/>
      <c r="I5" s="225"/>
    </row>
    <row r="6" spans="1:10" ht="19.5" thickBot="1" x14ac:dyDescent="0.3">
      <c r="A6" s="225"/>
      <c r="B6" s="225"/>
      <c r="C6" s="225"/>
      <c r="D6" s="225"/>
      <c r="E6" s="225"/>
      <c r="F6" s="568" t="s">
        <v>141</v>
      </c>
      <c r="G6" s="568"/>
      <c r="H6" s="226">
        <f ca="1">TODAY()</f>
        <v>46063</v>
      </c>
      <c r="I6" s="226"/>
    </row>
    <row r="7" spans="1:10" ht="26.25" thickBot="1" x14ac:dyDescent="0.3">
      <c r="A7" s="227" t="s">
        <v>142</v>
      </c>
      <c r="B7" s="228" t="s">
        <v>143</v>
      </c>
      <c r="C7" s="228" t="s">
        <v>142</v>
      </c>
      <c r="D7" s="229" t="s">
        <v>144</v>
      </c>
      <c r="E7" s="229" t="s">
        <v>145</v>
      </c>
      <c r="F7" s="229" t="s">
        <v>146</v>
      </c>
      <c r="G7" s="229" t="s">
        <v>147</v>
      </c>
      <c r="H7" s="230" t="s">
        <v>148</v>
      </c>
      <c r="I7" s="231"/>
    </row>
    <row r="8" spans="1:10" ht="13.5" x14ac:dyDescent="0.25">
      <c r="A8" s="232">
        <v>8078.8</v>
      </c>
      <c r="B8" s="220" t="s">
        <v>86</v>
      </c>
      <c r="C8" s="233">
        <f>+A8</f>
        <v>8078.8</v>
      </c>
      <c r="D8" s="234" t="s">
        <v>187</v>
      </c>
      <c r="E8" s="234">
        <v>3.07</v>
      </c>
      <c r="F8" s="234">
        <f>IFERROR(C8*E8,"")</f>
        <v>24801.916000000001</v>
      </c>
      <c r="G8" s="235">
        <f t="shared" ref="G8:G14" si="0">IFERROR(F8/$F$66,"")</f>
        <v>0.8058155305859267</v>
      </c>
      <c r="H8" s="236" t="s">
        <v>85</v>
      </c>
      <c r="I8" s="236"/>
      <c r="J8" s="237"/>
    </row>
    <row r="9" spans="1:10" ht="13.5" x14ac:dyDescent="0.25">
      <c r="A9" s="232">
        <v>1700.8000000000002</v>
      </c>
      <c r="B9" s="220" t="s">
        <v>88</v>
      </c>
      <c r="C9" s="233">
        <f t="shared" ref="C9:C14" si="1">+A9</f>
        <v>1700.8000000000002</v>
      </c>
      <c r="D9" s="234" t="s">
        <v>187</v>
      </c>
      <c r="E9" s="234">
        <v>2.2200000000000002</v>
      </c>
      <c r="F9" s="234">
        <f t="shared" ref="F9:F14" si="2">IFERROR(C9*E9,"")</f>
        <v>3775.7760000000007</v>
      </c>
      <c r="G9" s="235">
        <f t="shared" si="0"/>
        <v>0.12267515706502709</v>
      </c>
      <c r="H9" s="236" t="s">
        <v>87</v>
      </c>
      <c r="I9" s="236"/>
      <c r="J9" s="237"/>
    </row>
    <row r="10" spans="1:10" ht="13.5" x14ac:dyDescent="0.25">
      <c r="A10" s="232">
        <v>425.20000000000005</v>
      </c>
      <c r="B10" s="220" t="s">
        <v>91</v>
      </c>
      <c r="C10" s="233">
        <f t="shared" si="1"/>
        <v>425.20000000000005</v>
      </c>
      <c r="D10" s="234" t="s">
        <v>187</v>
      </c>
      <c r="E10" s="234">
        <v>1.79</v>
      </c>
      <c r="F10" s="234">
        <f t="shared" si="2"/>
        <v>761.10800000000006</v>
      </c>
      <c r="G10" s="235">
        <f t="shared" si="0"/>
        <v>2.472843819216199E-2</v>
      </c>
      <c r="H10" s="236" t="s">
        <v>90</v>
      </c>
      <c r="I10" s="236"/>
      <c r="J10" s="237"/>
    </row>
    <row r="11" spans="1:10" ht="13.5" x14ac:dyDescent="0.25">
      <c r="A11" s="232">
        <v>10.63</v>
      </c>
      <c r="B11" s="220" t="s">
        <v>94</v>
      </c>
      <c r="C11" s="233">
        <f t="shared" si="1"/>
        <v>10.63</v>
      </c>
      <c r="D11" s="234" t="s">
        <v>187</v>
      </c>
      <c r="E11" s="234">
        <v>7.33</v>
      </c>
      <c r="F11" s="234">
        <f t="shared" si="2"/>
        <v>77.917900000000003</v>
      </c>
      <c r="G11" s="235">
        <f t="shared" si="0"/>
        <v>2.5315565914601585E-3</v>
      </c>
      <c r="H11" s="236" t="s">
        <v>93</v>
      </c>
      <c r="I11" s="236"/>
      <c r="J11" s="237"/>
    </row>
    <row r="12" spans="1:10" ht="13.5" hidden="1" x14ac:dyDescent="0.25">
      <c r="A12" s="232"/>
      <c r="B12" s="220" t="str">
        <f>IFERROR(VLOOKUP(H12,'[1]Consolidado MP Planta'!$A$2:$M$823,3,0),"")</f>
        <v/>
      </c>
      <c r="C12" s="233">
        <f t="shared" si="1"/>
        <v>0</v>
      </c>
      <c r="D12" s="234" t="str">
        <f>IFERROR(VLOOKUP(H12,'[1]Consolidado MP Planta'!$A$2:$M$823,13,0),"")</f>
        <v/>
      </c>
      <c r="E12" s="234" t="str">
        <f>IFERROR(VLOOKUP(H12,'[1]Consolidado MP Planta'!$A$2:$M$823,12,0),"")</f>
        <v/>
      </c>
      <c r="F12" s="234" t="str">
        <f t="shared" si="2"/>
        <v/>
      </c>
      <c r="G12" s="235" t="str">
        <f t="shared" si="0"/>
        <v/>
      </c>
      <c r="H12" s="236"/>
      <c r="I12" s="236"/>
      <c r="J12" s="237"/>
    </row>
    <row r="13" spans="1:10" ht="13.5" hidden="1" x14ac:dyDescent="0.25">
      <c r="A13" s="232"/>
      <c r="B13" s="220" t="str">
        <f>IFERROR(VLOOKUP(H13,'[1]Consolidado MP Planta'!$A$2:$M$823,3,0),"")</f>
        <v/>
      </c>
      <c r="C13" s="233">
        <f t="shared" si="1"/>
        <v>0</v>
      </c>
      <c r="D13" s="234" t="str">
        <f>IFERROR(VLOOKUP(H13,'[1]Consolidado MP Planta'!$A$2:$M$823,13,0),"")</f>
        <v/>
      </c>
      <c r="E13" s="234" t="str">
        <f>IFERROR(VLOOKUP(H13,'[1]Consolidado MP Planta'!$A$2:$M$823,12,0),"")</f>
        <v/>
      </c>
      <c r="F13" s="234" t="str">
        <f t="shared" si="2"/>
        <v/>
      </c>
      <c r="G13" s="235" t="str">
        <f t="shared" si="0"/>
        <v/>
      </c>
      <c r="H13" s="236"/>
      <c r="I13" s="236"/>
      <c r="J13" s="237"/>
    </row>
    <row r="14" spans="1:10" ht="13.5" hidden="1" x14ac:dyDescent="0.25">
      <c r="A14" s="232"/>
      <c r="B14" s="220" t="str">
        <f>IFERROR(VLOOKUP(H14,'[1]Consolidado MP Planta'!$A$2:$M$823,3,0),"")</f>
        <v/>
      </c>
      <c r="C14" s="233">
        <f t="shared" si="1"/>
        <v>0</v>
      </c>
      <c r="D14" s="234" t="str">
        <f>IFERROR(VLOOKUP(H14,'[1]Consolidado MP Planta'!$A$2:$M$823,13,0),"")</f>
        <v/>
      </c>
      <c r="E14" s="234" t="str">
        <f>IFERROR(VLOOKUP(H14,'[1]Consolidado MP Planta'!$A$2:$M$823,12,0),"")</f>
        <v/>
      </c>
      <c r="F14" s="234" t="str">
        <f t="shared" si="2"/>
        <v/>
      </c>
      <c r="G14" s="235" t="str">
        <f t="shared" si="0"/>
        <v/>
      </c>
      <c r="H14" s="236"/>
      <c r="I14" s="236"/>
      <c r="J14" s="237"/>
    </row>
    <row r="15" spans="1:10" ht="14.25" thickBot="1" x14ac:dyDescent="0.3">
      <c r="A15" s="232"/>
      <c r="B15" s="220" t="str">
        <f>IFERROR(VLOOKUP(H15,[2]Hoja2!$A$2:$G$589,2,0),"")</f>
        <v/>
      </c>
      <c r="C15" s="233"/>
      <c r="D15" s="234"/>
      <c r="E15" s="234"/>
      <c r="F15" s="234"/>
      <c r="G15" s="235"/>
      <c r="H15" s="236"/>
      <c r="I15" s="236"/>
      <c r="J15" s="237"/>
    </row>
    <row r="16" spans="1:10" ht="26.25" hidden="1" thickBot="1" x14ac:dyDescent="0.3">
      <c r="A16" s="227" t="s">
        <v>142</v>
      </c>
      <c r="B16" s="228" t="s">
        <v>149</v>
      </c>
      <c r="C16" s="228" t="s">
        <v>142</v>
      </c>
      <c r="D16" s="229" t="s">
        <v>144</v>
      </c>
      <c r="E16" s="229" t="s">
        <v>145</v>
      </c>
      <c r="F16" s="229" t="s">
        <v>146</v>
      </c>
      <c r="G16" s="229" t="s">
        <v>147</v>
      </c>
      <c r="H16" s="230" t="s">
        <v>148</v>
      </c>
      <c r="I16" s="231"/>
      <c r="J16" s="237"/>
    </row>
    <row r="17" spans="1:12" ht="13.5" hidden="1" x14ac:dyDescent="0.25">
      <c r="A17" s="232"/>
      <c r="B17" s="220" t="str">
        <f>IFERROR(VLOOKUP(H17,[1]SEMIELABORADOS!$A$2:$M$6000,2,0),"")</f>
        <v/>
      </c>
      <c r="C17" s="233">
        <f>+A17</f>
        <v>0</v>
      </c>
      <c r="D17" s="233" t="str">
        <f>IFERROR(VLOOKUP(H17,[1]SEMIELABORADOS!$A$2:$M$6000,6,0),"")</f>
        <v/>
      </c>
      <c r="E17" s="234" t="str">
        <f>IFERROR(VLOOKUP(H17,[1]SEMIELABORADOS!$A$2:$H$65536,8,0),"")</f>
        <v/>
      </c>
      <c r="F17" s="234" t="str">
        <f>IFERROR(E17*C17,"")</f>
        <v/>
      </c>
      <c r="G17" s="235" t="str">
        <f t="shared" ref="G17:G24" si="3">IFERROR(F17/$F$66,"")</f>
        <v/>
      </c>
      <c r="H17" s="236"/>
      <c r="I17" s="236"/>
      <c r="J17" s="237"/>
    </row>
    <row r="18" spans="1:12" ht="13.5" hidden="1" x14ac:dyDescent="0.25">
      <c r="A18" s="232"/>
      <c r="B18" s="220" t="str">
        <f>IFERROR(VLOOKUP(H18,[1]SEMIELABORADOS!$A$2:$M$6000,2,0),"")</f>
        <v/>
      </c>
      <c r="C18" s="233">
        <f t="shared" ref="C18:C24" si="4">+A18</f>
        <v>0</v>
      </c>
      <c r="D18" s="233" t="str">
        <f>IFERROR(VLOOKUP(H18,[1]SEMIELABORADOS!$A$2:$M$6000,6,0),"")</f>
        <v/>
      </c>
      <c r="E18" s="234" t="str">
        <f>IFERROR(VLOOKUP(H18,[1]SEMIELABORADOS!$A$2:$H$65536,8,0),"")</f>
        <v/>
      </c>
      <c r="F18" s="234" t="str">
        <f t="shared" ref="F18:F24" si="5">IFERROR(E18*C18,"")</f>
        <v/>
      </c>
      <c r="G18" s="235" t="str">
        <f t="shared" si="3"/>
        <v/>
      </c>
      <c r="H18" s="236"/>
      <c r="I18" s="236"/>
      <c r="J18" s="237"/>
    </row>
    <row r="19" spans="1:12" ht="13.5" hidden="1" x14ac:dyDescent="0.25">
      <c r="A19" s="232"/>
      <c r="B19" s="220" t="str">
        <f>IFERROR(VLOOKUP(H19,[1]SEMIELABORADOS!$A$2:$M$6000,2,0),"")</f>
        <v/>
      </c>
      <c r="C19" s="233">
        <f>+A19</f>
        <v>0</v>
      </c>
      <c r="D19" s="233" t="str">
        <f>IFERROR(VLOOKUP(H19,[1]SEMIELABORADOS!$A$2:$M$6000,6,0),"")</f>
        <v/>
      </c>
      <c r="E19" s="234" t="str">
        <f>IFERROR(VLOOKUP(H19,[1]SEMIELABORADOS!$A$2:$H$65536,8,0),"")</f>
        <v/>
      </c>
      <c r="F19" s="234" t="str">
        <f>IFERROR(E19*C19,"")</f>
        <v/>
      </c>
      <c r="G19" s="235" t="str">
        <f t="shared" si="3"/>
        <v/>
      </c>
      <c r="H19" s="236"/>
      <c r="I19" s="236"/>
      <c r="J19" s="237"/>
    </row>
    <row r="20" spans="1:12" ht="13.5" hidden="1" x14ac:dyDescent="0.25">
      <c r="A20" s="232"/>
      <c r="B20" s="220" t="str">
        <f>IFERROR(VLOOKUP(H20,[1]SEMIELABORADOS!$A$2:$M$6000,2,0),"")</f>
        <v/>
      </c>
      <c r="C20" s="233">
        <f>+A20</f>
        <v>0</v>
      </c>
      <c r="D20" s="233" t="str">
        <f>IFERROR(VLOOKUP(H20,[1]SEMIELABORADOS!$A$2:$M$6000,6,0),"")</f>
        <v/>
      </c>
      <c r="E20" s="234" t="str">
        <f>IFERROR(VLOOKUP(H20,[1]SEMIELABORADOS!$A$2:$H$65536,8,0),"")</f>
        <v/>
      </c>
      <c r="F20" s="234" t="str">
        <f>IFERROR(E20*C20,"")</f>
        <v/>
      </c>
      <c r="G20" s="235" t="str">
        <f t="shared" si="3"/>
        <v/>
      </c>
      <c r="H20" s="236"/>
      <c r="I20" s="236"/>
      <c r="J20" s="237"/>
    </row>
    <row r="21" spans="1:12" ht="13.5" hidden="1" x14ac:dyDescent="0.25">
      <c r="A21" s="232"/>
      <c r="B21" s="220" t="str">
        <f>IFERROR(VLOOKUP(H21,[1]SEMIELABORADOS!$A$2:$M$6000,2,0),"")</f>
        <v/>
      </c>
      <c r="C21" s="233">
        <f>+A21</f>
        <v>0</v>
      </c>
      <c r="D21" s="233" t="str">
        <f>IFERROR(VLOOKUP(H21,[1]SEMIELABORADOS!$A$2:$M$6000,6,0),"")</f>
        <v/>
      </c>
      <c r="E21" s="234" t="str">
        <f>IFERROR(VLOOKUP(H21,[1]SEMIELABORADOS!$A$2:$H$65536,8,0),"")</f>
        <v/>
      </c>
      <c r="F21" s="234" t="str">
        <f>IFERROR(E21*C21,"")</f>
        <v/>
      </c>
      <c r="G21" s="235" t="str">
        <f t="shared" si="3"/>
        <v/>
      </c>
      <c r="H21" s="236"/>
      <c r="I21" s="236"/>
      <c r="J21" s="237"/>
    </row>
    <row r="22" spans="1:12" ht="13.5" hidden="1" x14ac:dyDescent="0.25">
      <c r="A22" s="232"/>
      <c r="B22" s="220" t="str">
        <f>IFERROR(VLOOKUP(H22,[1]SEMIELABORADOS!$A$2:$M$6000,2,0),"")</f>
        <v/>
      </c>
      <c r="C22" s="233">
        <f t="shared" si="4"/>
        <v>0</v>
      </c>
      <c r="D22" s="233" t="str">
        <f>IFERROR(VLOOKUP(H22,[1]SEMIELABORADOS!$A$2:$M$6000,6,0),"")</f>
        <v/>
      </c>
      <c r="E22" s="234" t="str">
        <f>IFERROR(VLOOKUP(H22,[1]SEMIELABORADOS!$A$2:$H$65536,8,0),"")</f>
        <v/>
      </c>
      <c r="F22" s="234" t="str">
        <f t="shared" si="5"/>
        <v/>
      </c>
      <c r="G22" s="235" t="str">
        <f t="shared" si="3"/>
        <v/>
      </c>
      <c r="H22" s="236"/>
      <c r="I22" s="236"/>
      <c r="J22" s="237"/>
    </row>
    <row r="23" spans="1:12" ht="13.5" hidden="1" x14ac:dyDescent="0.25">
      <c r="A23" s="232"/>
      <c r="B23" s="220" t="str">
        <f>IFERROR(VLOOKUP(H23,[1]SEMIELABORADOS!$A$2:$M$6000,2,0),"")</f>
        <v/>
      </c>
      <c r="C23" s="233">
        <f t="shared" si="4"/>
        <v>0</v>
      </c>
      <c r="D23" s="233" t="str">
        <f>IFERROR(VLOOKUP(H23,[1]SEMIELABORADOS!$A$2:$M$6000,6,0),"")</f>
        <v/>
      </c>
      <c r="E23" s="234" t="str">
        <f>IFERROR(VLOOKUP(H23,[1]SEMIELABORADOS!$A$2:$H$65536,8,0),"")</f>
        <v/>
      </c>
      <c r="F23" s="234" t="str">
        <f t="shared" si="5"/>
        <v/>
      </c>
      <c r="G23" s="235" t="str">
        <f t="shared" si="3"/>
        <v/>
      </c>
      <c r="H23" s="236"/>
      <c r="I23" s="236"/>
      <c r="J23" s="237"/>
    </row>
    <row r="24" spans="1:12" ht="13.5" hidden="1" x14ac:dyDescent="0.25">
      <c r="A24" s="232"/>
      <c r="B24" s="220" t="str">
        <f>IFERROR(VLOOKUP(H24,[1]SEMIELABORADOS!$A$2:$M$6000,2,0),"")</f>
        <v/>
      </c>
      <c r="C24" s="233">
        <f t="shared" si="4"/>
        <v>0</v>
      </c>
      <c r="D24" s="233" t="str">
        <f>IFERROR(VLOOKUP(H24,[1]SEMIELABORADOS!$A$2:$M$6000,6,0),"")</f>
        <v/>
      </c>
      <c r="E24" s="234" t="str">
        <f>IFERROR(VLOOKUP(H24,[1]SEMIELABORADOS!$A$2:$H$65536,8,0),"")</f>
        <v/>
      </c>
      <c r="F24" s="234" t="str">
        <f t="shared" si="5"/>
        <v/>
      </c>
      <c r="G24" s="235" t="str">
        <f t="shared" si="3"/>
        <v/>
      </c>
      <c r="H24" s="236"/>
      <c r="I24" s="236"/>
      <c r="J24" s="237"/>
    </row>
    <row r="25" spans="1:12" ht="14.25" hidden="1" thickBot="1" x14ac:dyDescent="0.3">
      <c r="A25" s="232"/>
      <c r="C25" s="233"/>
      <c r="D25" s="233"/>
      <c r="E25" s="234"/>
      <c r="F25" s="234"/>
      <c r="G25" s="235"/>
      <c r="H25" s="236"/>
      <c r="I25" s="236"/>
      <c r="J25" s="237"/>
    </row>
    <row r="26" spans="1:12" ht="26.25" thickBot="1" x14ac:dyDescent="0.3">
      <c r="A26" s="227" t="s">
        <v>142</v>
      </c>
      <c r="B26" s="228" t="s">
        <v>37</v>
      </c>
      <c r="C26" s="228" t="s">
        <v>142</v>
      </c>
      <c r="D26" s="229" t="s">
        <v>144</v>
      </c>
      <c r="E26" s="229" t="s">
        <v>145</v>
      </c>
      <c r="F26" s="229" t="s">
        <v>146</v>
      </c>
      <c r="G26" s="229" t="s">
        <v>147</v>
      </c>
      <c r="H26" s="230" t="s">
        <v>148</v>
      </c>
      <c r="I26" s="231"/>
    </row>
    <row r="27" spans="1:12" ht="13.5" x14ac:dyDescent="0.25">
      <c r="A27" s="232">
        <v>2</v>
      </c>
      <c r="B27" s="238" t="str">
        <f>IFERROR(VLOOKUP(H27,'[1]Consolidado MP Planta'!$A$2:$M$823,3,0),"")</f>
        <v>ETIQ.BLANCA 1 13/16 * 1 7/8 (UND)</v>
      </c>
      <c r="C27" s="233">
        <f t="shared" ref="C27:C32" si="6">+A27</f>
        <v>2</v>
      </c>
      <c r="D27" s="234" t="str">
        <f>IFERROR(VLOOKUP(H27,'[1]Consolidado MP Planta'!$A$2:$M$823,13,0),"")</f>
        <v>Und</v>
      </c>
      <c r="E27" s="234">
        <v>1.8</v>
      </c>
      <c r="F27" s="234">
        <f t="shared" ref="F27:F32" si="7">IFERROR(C27*E27,"")</f>
        <v>3.6</v>
      </c>
      <c r="G27" s="235">
        <f t="shared" ref="G27:G32" si="8">IFERROR(F27/$F$66,"")</f>
        <v>1.1696418575521891E-4</v>
      </c>
      <c r="H27" s="239" t="s">
        <v>188</v>
      </c>
      <c r="I27" s="239"/>
      <c r="J27" s="237"/>
      <c r="K27" s="558"/>
      <c r="L27" s="558"/>
    </row>
    <row r="28" spans="1:12" ht="13.5" hidden="1" x14ac:dyDescent="0.25">
      <c r="A28" s="232"/>
      <c r="B28" s="238" t="str">
        <f>IFERROR(VLOOKUP(H28,'[1]Consolidado MP Planta'!$A$2:$M$823,3,0),"")</f>
        <v/>
      </c>
      <c r="C28" s="233">
        <f t="shared" si="6"/>
        <v>0</v>
      </c>
      <c r="D28" s="234" t="str">
        <f>IFERROR(VLOOKUP(H28,'[1]Consolidado MP Planta'!$A$2:$M$823,13,0),"")</f>
        <v/>
      </c>
      <c r="E28" s="234" t="str">
        <f>IFERROR(VLOOKUP(H28,'[1]Consolidado MP Planta'!$A$2:$M$823,12,0),"")</f>
        <v/>
      </c>
      <c r="F28" s="234" t="str">
        <f t="shared" si="7"/>
        <v/>
      </c>
      <c r="G28" s="235" t="str">
        <f t="shared" si="8"/>
        <v/>
      </c>
      <c r="H28" s="239"/>
      <c r="I28" s="239"/>
      <c r="J28" s="237"/>
      <c r="K28" s="558"/>
      <c r="L28" s="558"/>
    </row>
    <row r="29" spans="1:12" ht="13.5" hidden="1" x14ac:dyDescent="0.25">
      <c r="A29" s="232"/>
      <c r="B29" s="238" t="str">
        <f>IFERROR(VLOOKUP(H29,'[1]Consolidado MP Planta'!$A$2:$M$823,3,0),"")</f>
        <v/>
      </c>
      <c r="C29" s="233">
        <f t="shared" si="6"/>
        <v>0</v>
      </c>
      <c r="D29" s="234" t="str">
        <f>IFERROR(VLOOKUP(H29,'[1]Consolidado MP Planta'!$A$2:$M$823,13,0),"")</f>
        <v/>
      </c>
      <c r="E29" s="234" t="str">
        <f>IFERROR(VLOOKUP(H29,'[1]Consolidado MP Planta'!$A$2:$M$823,12,0),"")</f>
        <v/>
      </c>
      <c r="F29" s="234" t="str">
        <f t="shared" si="7"/>
        <v/>
      </c>
      <c r="G29" s="235" t="str">
        <f t="shared" si="8"/>
        <v/>
      </c>
      <c r="H29" s="239"/>
      <c r="I29" s="239"/>
      <c r="J29" s="237"/>
      <c r="K29" s="558"/>
      <c r="L29" s="558"/>
    </row>
    <row r="30" spans="1:12" ht="13.5" hidden="1" x14ac:dyDescent="0.25">
      <c r="A30" s="232"/>
      <c r="B30" s="238" t="str">
        <f>IFERROR(VLOOKUP(H30,'[1]Consolidado MP Planta'!$A$2:$M$823,3,0),"")</f>
        <v/>
      </c>
      <c r="C30" s="233">
        <f t="shared" si="6"/>
        <v>0</v>
      </c>
      <c r="D30" s="234" t="str">
        <f>IFERROR(VLOOKUP(H30,'[1]Consolidado MP Planta'!$A$2:$M$823,13,0),"")</f>
        <v/>
      </c>
      <c r="E30" s="234" t="str">
        <f>IFERROR(VLOOKUP(H30,'[1]Consolidado MP Planta'!$A$2:$M$823,12,0),"")</f>
        <v/>
      </c>
      <c r="F30" s="234" t="str">
        <f t="shared" si="7"/>
        <v/>
      </c>
      <c r="G30" s="235" t="str">
        <f t="shared" si="8"/>
        <v/>
      </c>
      <c r="H30" s="239"/>
      <c r="I30" s="239"/>
      <c r="J30" s="237"/>
      <c r="K30" s="558"/>
      <c r="L30" s="558"/>
    </row>
    <row r="31" spans="1:12" ht="13.5" hidden="1" x14ac:dyDescent="0.25">
      <c r="A31" s="232"/>
      <c r="B31" s="238" t="str">
        <f>IFERROR(VLOOKUP(H31,'[1]Consolidado MP Planta'!$A$2:$M$823,3,0),"")</f>
        <v/>
      </c>
      <c r="C31" s="233">
        <f t="shared" si="6"/>
        <v>0</v>
      </c>
      <c r="D31" s="234" t="str">
        <f>IFERROR(VLOOKUP(H31,'[1]Consolidado MP Planta'!$A$2:$M$823,13,0),"")</f>
        <v/>
      </c>
      <c r="E31" s="234" t="str">
        <f>IFERROR(VLOOKUP(H31,'[1]Consolidado MP Planta'!$A$2:$M$823,12,0),"")</f>
        <v/>
      </c>
      <c r="F31" s="234" t="str">
        <f t="shared" si="7"/>
        <v/>
      </c>
      <c r="G31" s="235" t="str">
        <f t="shared" si="8"/>
        <v/>
      </c>
      <c r="H31" s="239"/>
      <c r="I31" s="239"/>
      <c r="J31" s="237"/>
      <c r="K31" s="240"/>
      <c r="L31" s="241"/>
    </row>
    <row r="32" spans="1:12" ht="13.5" hidden="1" x14ac:dyDescent="0.25">
      <c r="A32" s="232"/>
      <c r="B32" s="238" t="str">
        <f>IFERROR(VLOOKUP(H32,'[1]Consolidado MP Planta'!$A$2:$M$823,3,0),"")</f>
        <v/>
      </c>
      <c r="C32" s="233">
        <f t="shared" si="6"/>
        <v>0</v>
      </c>
      <c r="D32" s="234" t="str">
        <f>IFERROR(VLOOKUP(H32,'[1]Consolidado MP Planta'!$A$2:$M$823,13,0),"")</f>
        <v/>
      </c>
      <c r="E32" s="234" t="str">
        <f>IFERROR(VLOOKUP(H32,'[1]Consolidado MP Planta'!$A$2:$M$823,12,0),"")</f>
        <v/>
      </c>
      <c r="F32" s="234" t="str">
        <f t="shared" si="7"/>
        <v/>
      </c>
      <c r="G32" s="235" t="str">
        <f t="shared" si="8"/>
        <v/>
      </c>
      <c r="H32" s="239"/>
      <c r="I32" s="239"/>
      <c r="J32" s="237"/>
    </row>
    <row r="33" spans="1:13" ht="14.25" thickBot="1" x14ac:dyDescent="0.3">
      <c r="A33" s="232"/>
      <c r="B33" s="238"/>
      <c r="C33" s="233"/>
      <c r="D33" s="234"/>
      <c r="E33" s="234"/>
      <c r="F33" s="234"/>
      <c r="G33" s="235"/>
      <c r="H33" s="239"/>
      <c r="I33" s="239"/>
      <c r="J33" s="237"/>
    </row>
    <row r="34" spans="1:13" ht="26.25" hidden="1" thickBot="1" x14ac:dyDescent="0.25">
      <c r="A34" s="227" t="s">
        <v>142</v>
      </c>
      <c r="B34" s="228" t="s">
        <v>150</v>
      </c>
      <c r="C34" s="228" t="s">
        <v>142</v>
      </c>
      <c r="D34" s="229" t="s">
        <v>144</v>
      </c>
      <c r="E34" s="229" t="s">
        <v>145</v>
      </c>
      <c r="F34" s="229" t="s">
        <v>146</v>
      </c>
      <c r="G34" s="229" t="s">
        <v>147</v>
      </c>
      <c r="H34" s="230" t="s">
        <v>148</v>
      </c>
      <c r="I34" s="239"/>
      <c r="J34" s="237"/>
    </row>
    <row r="35" spans="1:13" ht="13.5" hidden="1" x14ac:dyDescent="0.25">
      <c r="A35" s="232">
        <f>+A17</f>
        <v>0</v>
      </c>
      <c r="B35" s="238" t="str">
        <f>IFERROR(VLOOKUP(H35,[1]SEMIELABORADOS!$A$2:$M$6000,2,0),"")</f>
        <v/>
      </c>
      <c r="C35" s="233">
        <f>+A35</f>
        <v>0</v>
      </c>
      <c r="D35" s="234" t="str">
        <f>IFERROR(VLOOKUP(H35,[1]SEMIELABORADOS!$A$2:$M$6000,6,0),"")</f>
        <v/>
      </c>
      <c r="E35" s="234" t="str">
        <f>IFERROR(VLOOKUP(H35,[1]SEMIELABORADOS!$A$2:$M$65536,10,0),"")</f>
        <v/>
      </c>
      <c r="F35" s="234" t="str">
        <f>IFERROR(E35*C35,"")</f>
        <v/>
      </c>
      <c r="G35" s="235" t="str">
        <f t="shared" ref="G35:G41" si="9">IFERROR(F35/$F$66,"")</f>
        <v/>
      </c>
      <c r="H35" s="239"/>
      <c r="I35" s="239"/>
      <c r="J35" s="237"/>
    </row>
    <row r="36" spans="1:13" ht="13.5" hidden="1" x14ac:dyDescent="0.25">
      <c r="A36" s="232">
        <f t="shared" ref="A36:A41" si="10">+A18</f>
        <v>0</v>
      </c>
      <c r="B36" s="238" t="str">
        <f>IFERROR(VLOOKUP(H36,[1]SEMIELABORADOS!$A$2:$M$6000,2,0),"")</f>
        <v/>
      </c>
      <c r="C36" s="233">
        <f t="shared" ref="C36:C41" si="11">+A36</f>
        <v>0</v>
      </c>
      <c r="D36" s="234" t="str">
        <f>IFERROR(VLOOKUP(H36,[1]SEMIELABORADOS!$A$2:$M$6000,6,0),"")</f>
        <v/>
      </c>
      <c r="E36" s="234" t="str">
        <f>IFERROR(VLOOKUP(H36,[1]SEMIELABORADOS!$A$2:$M$65536,10,0),"")</f>
        <v/>
      </c>
      <c r="F36" s="234" t="str">
        <f t="shared" ref="F36:F41" si="12">IFERROR(E36*C36,"")</f>
        <v/>
      </c>
      <c r="G36" s="235" t="str">
        <f t="shared" si="9"/>
        <v/>
      </c>
      <c r="H36" s="239"/>
      <c r="I36" s="239"/>
      <c r="J36" s="237"/>
    </row>
    <row r="37" spans="1:13" ht="13.5" hidden="1" x14ac:dyDescent="0.25">
      <c r="A37" s="232">
        <f t="shared" si="10"/>
        <v>0</v>
      </c>
      <c r="B37" s="238" t="str">
        <f>IFERROR(VLOOKUP(H37,[1]SEMIELABORADOS!$A$2:$M$6000,2,0),"")</f>
        <v/>
      </c>
      <c r="C37" s="233">
        <f t="shared" si="11"/>
        <v>0</v>
      </c>
      <c r="D37" s="234" t="str">
        <f>IFERROR(VLOOKUP(H37,[1]SEMIELABORADOS!$A$2:$M$6000,6,0),"")</f>
        <v/>
      </c>
      <c r="E37" s="234" t="str">
        <f>IFERROR(VLOOKUP(H37,[1]SEMIELABORADOS!$A$2:$M$65536,10,0),"")</f>
        <v/>
      </c>
      <c r="F37" s="234" t="str">
        <f t="shared" si="12"/>
        <v/>
      </c>
      <c r="G37" s="235" t="str">
        <f t="shared" si="9"/>
        <v/>
      </c>
      <c r="H37" s="239"/>
      <c r="I37" s="239"/>
      <c r="J37" s="237"/>
    </row>
    <row r="38" spans="1:13" ht="13.5" hidden="1" x14ac:dyDescent="0.25">
      <c r="A38" s="232">
        <f t="shared" si="10"/>
        <v>0</v>
      </c>
      <c r="B38" s="238" t="str">
        <f>IFERROR(VLOOKUP(H38,[1]SEMIELABORADOS!$A$2:$M$6000,2,0),"")</f>
        <v/>
      </c>
      <c r="C38" s="233">
        <f>+A38</f>
        <v>0</v>
      </c>
      <c r="D38" s="234" t="str">
        <f>IFERROR(VLOOKUP(H38,[1]SEMIELABORADOS!$A$2:$M$6000,6,0),"")</f>
        <v/>
      </c>
      <c r="E38" s="234" t="str">
        <f>IFERROR(VLOOKUP(H38,[1]SEMIELABORADOS!$A$2:$M$65536,10,0),"")</f>
        <v/>
      </c>
      <c r="F38" s="234" t="str">
        <f>IFERROR(E38*C38,"")</f>
        <v/>
      </c>
      <c r="G38" s="235" t="str">
        <f t="shared" si="9"/>
        <v/>
      </c>
      <c r="H38" s="239"/>
      <c r="I38" s="239"/>
      <c r="J38" s="237"/>
    </row>
    <row r="39" spans="1:13" ht="13.5" hidden="1" x14ac:dyDescent="0.25">
      <c r="A39" s="232">
        <f t="shared" si="10"/>
        <v>0</v>
      </c>
      <c r="B39" s="238" t="str">
        <f>IFERROR(VLOOKUP(H39,[1]SEMIELABORADOS!$A$2:$M$6000,2,0),"")</f>
        <v/>
      </c>
      <c r="C39" s="233">
        <f>+A39</f>
        <v>0</v>
      </c>
      <c r="D39" s="234" t="str">
        <f>IFERROR(VLOOKUP(H39,[1]SEMIELABORADOS!$A$2:$M$6000,6,0),"")</f>
        <v/>
      </c>
      <c r="E39" s="234" t="str">
        <f>IFERROR(VLOOKUP(H39,[1]SEMIELABORADOS!$A$2:$M$65536,10,0),"")</f>
        <v/>
      </c>
      <c r="F39" s="234" t="str">
        <f>IFERROR(E39*C39,"")</f>
        <v/>
      </c>
      <c r="G39" s="235" t="str">
        <f t="shared" si="9"/>
        <v/>
      </c>
      <c r="H39" s="239"/>
      <c r="I39" s="239"/>
      <c r="J39" s="237"/>
    </row>
    <row r="40" spans="1:13" ht="13.5" hidden="1" x14ac:dyDescent="0.25">
      <c r="A40" s="232">
        <f t="shared" si="10"/>
        <v>0</v>
      </c>
      <c r="B40" s="238" t="str">
        <f>IFERROR(VLOOKUP(H40,[1]SEMIELABORADOS!$A$2:$M$6000,2,0),"")</f>
        <v/>
      </c>
      <c r="C40" s="233">
        <f t="shared" si="11"/>
        <v>0</v>
      </c>
      <c r="D40" s="234" t="str">
        <f>IFERROR(VLOOKUP(H40,[1]SEMIELABORADOS!$A$2:$M$6000,6,0),"")</f>
        <v/>
      </c>
      <c r="E40" s="234" t="str">
        <f>IFERROR(VLOOKUP(H40,[1]SEMIELABORADOS!$A$2:$M$65536,10,0),"")</f>
        <v/>
      </c>
      <c r="F40" s="234" t="str">
        <f t="shared" si="12"/>
        <v/>
      </c>
      <c r="G40" s="235" t="str">
        <f t="shared" si="9"/>
        <v/>
      </c>
      <c r="H40" s="239"/>
      <c r="I40" s="239"/>
      <c r="J40" s="237"/>
    </row>
    <row r="41" spans="1:13" ht="13.5" hidden="1" x14ac:dyDescent="0.25">
      <c r="A41" s="232">
        <f t="shared" si="10"/>
        <v>0</v>
      </c>
      <c r="B41" s="238" t="str">
        <f>IFERROR(VLOOKUP(H41,[1]SEMIELABORADOS!$A$2:$M$6000,2,0),"")</f>
        <v/>
      </c>
      <c r="C41" s="233">
        <f t="shared" si="11"/>
        <v>0</v>
      </c>
      <c r="D41" s="234" t="str">
        <f>IFERROR(VLOOKUP(H41,[1]SEMIELABORADOS!$A$2:$M$6000,6,0),"")</f>
        <v/>
      </c>
      <c r="E41" s="234" t="str">
        <f>IFERROR(VLOOKUP(H41,[1]SEMIELABORADOS!$A$2:$M$65536,10,0),"")</f>
        <v/>
      </c>
      <c r="F41" s="234" t="str">
        <f t="shared" si="12"/>
        <v/>
      </c>
      <c r="G41" s="235" t="str">
        <f t="shared" si="9"/>
        <v/>
      </c>
      <c r="H41" s="239"/>
      <c r="I41" s="239"/>
      <c r="J41" s="237"/>
    </row>
    <row r="42" spans="1:13" ht="14.25" hidden="1" thickBot="1" x14ac:dyDescent="0.3">
      <c r="A42" s="232"/>
      <c r="B42" s="238"/>
      <c r="C42" s="233"/>
      <c r="D42" s="234"/>
      <c r="E42" s="234"/>
      <c r="F42" s="234"/>
      <c r="G42" s="235"/>
      <c r="H42" s="239"/>
      <c r="I42" s="239"/>
      <c r="J42" s="237"/>
    </row>
    <row r="43" spans="1:13" ht="26.25" thickBot="1" x14ac:dyDescent="0.3">
      <c r="A43" s="227" t="s">
        <v>142</v>
      </c>
      <c r="B43" s="228" t="s">
        <v>151</v>
      </c>
      <c r="C43" s="228" t="s">
        <v>142</v>
      </c>
      <c r="D43" s="229" t="s">
        <v>144</v>
      </c>
      <c r="E43" s="229" t="s">
        <v>145</v>
      </c>
      <c r="F43" s="229" t="s">
        <v>146</v>
      </c>
      <c r="G43" s="229" t="s">
        <v>147</v>
      </c>
      <c r="H43" s="230" t="s">
        <v>148</v>
      </c>
      <c r="I43" s="231"/>
      <c r="J43" s="237"/>
    </row>
    <row r="44" spans="1:13" ht="13.5" hidden="1" x14ac:dyDescent="0.25">
      <c r="A44" s="232">
        <f>+A35</f>
        <v>0</v>
      </c>
      <c r="B44" s="238" t="str">
        <f>IFERROR(VLOOKUP(H44,[1]SEMIELABORADOS!$A$2:$M$6000,2,0),"")</f>
        <v/>
      </c>
      <c r="C44" s="233">
        <f>+A44</f>
        <v>0</v>
      </c>
      <c r="D44" s="234" t="str">
        <f>IFERROR(VLOOKUP(H44,[1]SEMIELABORADOS!$A$2:$M$6000,6,0),"")</f>
        <v/>
      </c>
      <c r="E44" s="234" t="str">
        <f>IFERROR(VLOOKUP(H44,[1]SEMIELABORADOS!$A$2:$M$65536,12,0),"")</f>
        <v/>
      </c>
      <c r="F44" s="234" t="str">
        <f>IFERROR(E44*C44,"")</f>
        <v/>
      </c>
      <c r="G44" s="235" t="str">
        <f>IFERROR(F44/$F$66,"")</f>
        <v/>
      </c>
      <c r="H44" s="239"/>
      <c r="I44" s="231"/>
      <c r="J44" s="237"/>
    </row>
    <row r="45" spans="1:13" ht="13.5" hidden="1" x14ac:dyDescent="0.25">
      <c r="A45" s="232">
        <f t="shared" ref="A45:A50" si="13">+A36</f>
        <v>0</v>
      </c>
      <c r="B45" s="238" t="str">
        <f>IFERROR(VLOOKUP(H45,[1]SEMIELABORADOS!$A$2:$M$6000,2,0),"")</f>
        <v/>
      </c>
      <c r="C45" s="233">
        <f t="shared" ref="C45:C50" si="14">+A45</f>
        <v>0</v>
      </c>
      <c r="D45" s="234" t="str">
        <f>IFERROR(VLOOKUP(H45,[1]SEMIELABORADOS!$A$2:$M$6000,6,0),"")</f>
        <v/>
      </c>
      <c r="E45" s="234" t="str">
        <f>IFERROR(VLOOKUP(H45,[1]SEMIELABORADOS!$A$2:$M$65536,12,0),"")</f>
        <v/>
      </c>
      <c r="F45" s="234" t="str">
        <f t="shared" ref="F45:F50" si="15">IFERROR(E45*C45,"")</f>
        <v/>
      </c>
      <c r="G45" s="235" t="str">
        <f t="shared" ref="G45:G50" si="16">IFERROR(F45/$F$66,"")</f>
        <v/>
      </c>
      <c r="H45" s="239"/>
      <c r="I45" s="231"/>
      <c r="J45" s="237"/>
      <c r="M45" s="242"/>
    </row>
    <row r="46" spans="1:13" ht="13.5" hidden="1" x14ac:dyDescent="0.25">
      <c r="A46" s="232">
        <f t="shared" si="13"/>
        <v>0</v>
      </c>
      <c r="B46" s="238" t="str">
        <f>IFERROR(VLOOKUP(H46,[1]SEMIELABORADOS!$A$2:$M$6000,2,0),"")</f>
        <v/>
      </c>
      <c r="C46" s="233">
        <f t="shared" si="14"/>
        <v>0</v>
      </c>
      <c r="D46" s="234" t="str">
        <f>IFERROR(VLOOKUP(H46,[1]SEMIELABORADOS!$A$2:$M$6000,6,0),"")</f>
        <v/>
      </c>
      <c r="E46" s="234" t="str">
        <f>IFERROR(VLOOKUP(H46,[1]SEMIELABORADOS!$A$2:$M$65536,12,0),"")</f>
        <v/>
      </c>
      <c r="F46" s="234" t="str">
        <f t="shared" si="15"/>
        <v/>
      </c>
      <c r="G46" s="235" t="str">
        <f t="shared" si="16"/>
        <v/>
      </c>
      <c r="H46" s="239"/>
      <c r="I46" s="231"/>
      <c r="J46" s="237"/>
    </row>
    <row r="47" spans="1:13" ht="13.5" hidden="1" x14ac:dyDescent="0.25">
      <c r="A47" s="232">
        <f t="shared" si="13"/>
        <v>0</v>
      </c>
      <c r="B47" s="238" t="str">
        <f>IFERROR(VLOOKUP(H47,[1]SEMIELABORADOS!$A$2:$M$6000,2,0),"")</f>
        <v/>
      </c>
      <c r="C47" s="233">
        <f t="shared" si="14"/>
        <v>0</v>
      </c>
      <c r="D47" s="234" t="str">
        <f>IFERROR(VLOOKUP(H47,[1]SEMIELABORADOS!$A$2:$M$6000,6,0),"")</f>
        <v/>
      </c>
      <c r="E47" s="234" t="str">
        <f>IFERROR(VLOOKUP(H47,[1]SEMIELABORADOS!$A$2:$M$65536,12,0),"")</f>
        <v/>
      </c>
      <c r="F47" s="234" t="str">
        <f t="shared" si="15"/>
        <v/>
      </c>
      <c r="G47" s="235" t="str">
        <f t="shared" si="16"/>
        <v/>
      </c>
      <c r="H47" s="239"/>
      <c r="I47" s="231"/>
      <c r="J47" s="237"/>
    </row>
    <row r="48" spans="1:13" ht="13.5" hidden="1" x14ac:dyDescent="0.25">
      <c r="A48" s="232">
        <f t="shared" si="13"/>
        <v>0</v>
      </c>
      <c r="B48" s="238" t="str">
        <f>IFERROR(VLOOKUP(H48,[1]SEMIELABORADOS!$A$2:$M$6000,2,0),"")</f>
        <v/>
      </c>
      <c r="C48" s="233">
        <f t="shared" si="14"/>
        <v>0</v>
      </c>
      <c r="D48" s="234" t="str">
        <f>IFERROR(VLOOKUP(H48,[1]SEMIELABORADOS!$A$2:$M$6000,6,0),"")</f>
        <v/>
      </c>
      <c r="E48" s="234" t="str">
        <f>IFERROR(VLOOKUP(H48,[1]SEMIELABORADOS!$A$2:$M$65536,12,0),"")</f>
        <v/>
      </c>
      <c r="F48" s="234" t="str">
        <f t="shared" si="15"/>
        <v/>
      </c>
      <c r="G48" s="235" t="str">
        <f t="shared" si="16"/>
        <v/>
      </c>
      <c r="H48" s="239"/>
      <c r="I48" s="231"/>
      <c r="J48" s="237"/>
    </row>
    <row r="49" spans="1:17" ht="13.5" hidden="1" x14ac:dyDescent="0.25">
      <c r="A49" s="232">
        <f t="shared" si="13"/>
        <v>0</v>
      </c>
      <c r="B49" s="238" t="str">
        <f>IFERROR(VLOOKUP(H49,[1]SEMIELABORADOS!$A$2:$M$6000,2,0),"")</f>
        <v/>
      </c>
      <c r="C49" s="233">
        <f t="shared" si="14"/>
        <v>0</v>
      </c>
      <c r="D49" s="234" t="str">
        <f>IFERROR(VLOOKUP(H49,[1]SEMIELABORADOS!$A$2:$M$6000,6,0),"")</f>
        <v/>
      </c>
      <c r="E49" s="234" t="str">
        <f>IFERROR(VLOOKUP(H49,[1]SEMIELABORADOS!$A$2:$M$65536,12,0),"")</f>
        <v/>
      </c>
      <c r="F49" s="234" t="str">
        <f t="shared" si="15"/>
        <v/>
      </c>
      <c r="G49" s="235" t="str">
        <f t="shared" si="16"/>
        <v/>
      </c>
      <c r="H49" s="239"/>
      <c r="I49" s="231"/>
      <c r="J49" s="237"/>
    </row>
    <row r="50" spans="1:17" ht="13.5" hidden="1" x14ac:dyDescent="0.25">
      <c r="A50" s="232">
        <f t="shared" si="13"/>
        <v>0</v>
      </c>
      <c r="B50" s="238" t="str">
        <f>IFERROR(VLOOKUP(H50,[1]SEMIELABORADOS!$A$2:$M$6000,2,0),"")</f>
        <v/>
      </c>
      <c r="C50" s="233">
        <f t="shared" si="14"/>
        <v>0</v>
      </c>
      <c r="D50" s="234" t="str">
        <f>IFERROR(VLOOKUP(H50,[1]SEMIELABORADOS!$A$2:$M$6000,6,0),"")</f>
        <v/>
      </c>
      <c r="E50" s="234" t="str">
        <f>IFERROR(VLOOKUP(H50,[1]SEMIELABORADOS!$A$2:$M$65536,12,0),"")</f>
        <v/>
      </c>
      <c r="F50" s="234" t="str">
        <f t="shared" si="15"/>
        <v/>
      </c>
      <c r="G50" s="235" t="str">
        <f t="shared" si="16"/>
        <v/>
      </c>
      <c r="H50" s="238"/>
      <c r="I50" s="231"/>
      <c r="J50" s="237"/>
    </row>
    <row r="51" spans="1:17" ht="13.5" x14ac:dyDescent="0.25">
      <c r="A51" s="232">
        <v>1</v>
      </c>
      <c r="B51" s="238" t="s">
        <v>152</v>
      </c>
      <c r="C51" s="233">
        <f>+A51</f>
        <v>1</v>
      </c>
      <c r="D51" s="233" t="s">
        <v>153</v>
      </c>
      <c r="E51" s="234">
        <f>+F65</f>
        <v>770</v>
      </c>
      <c r="F51" s="234">
        <f>IFERROR(C51*E51,"")</f>
        <v>770</v>
      </c>
      <c r="G51" s="235">
        <f>IFERROR(F51/$F$66,"")</f>
        <v>2.5017339730977375E-2</v>
      </c>
      <c r="H51" s="243"/>
      <c r="I51" s="243"/>
      <c r="J51" s="237"/>
    </row>
    <row r="52" spans="1:17" ht="14.25" thickBot="1" x14ac:dyDescent="0.3">
      <c r="A52" s="232"/>
      <c r="B52" s="238"/>
      <c r="C52" s="233"/>
      <c r="D52" s="233"/>
      <c r="E52" s="234"/>
      <c r="F52" s="234"/>
      <c r="G52" s="235"/>
      <c r="H52" s="243"/>
      <c r="I52" s="243"/>
      <c r="J52" s="237"/>
    </row>
    <row r="53" spans="1:17" ht="13.5" thickBot="1" x14ac:dyDescent="0.3">
      <c r="A53" s="244"/>
      <c r="B53" s="559" t="s">
        <v>154</v>
      </c>
      <c r="C53" s="559"/>
      <c r="D53" s="559"/>
      <c r="E53" s="559"/>
      <c r="F53" s="246">
        <f>SUM(F8:F14,F17:F24)</f>
        <v>29416.717900000003</v>
      </c>
      <c r="G53" s="235">
        <f>+F53/$F$66</f>
        <v>0.95575068243457595</v>
      </c>
      <c r="H53" s="247">
        <f>+F53/$D$60</f>
        <v>29416.717900000003</v>
      </c>
      <c r="I53" s="247"/>
      <c r="J53" s="248"/>
      <c r="K53" s="249"/>
      <c r="L53" s="249"/>
      <c r="M53" s="249"/>
      <c r="N53" s="249"/>
      <c r="O53" s="249"/>
      <c r="P53" s="249"/>
      <c r="Q53" s="250"/>
    </row>
    <row r="54" spans="1:17" x14ac:dyDescent="0.2">
      <c r="A54" s="244"/>
      <c r="B54" s="559" t="s">
        <v>155</v>
      </c>
      <c r="C54" s="559"/>
      <c r="D54" s="559"/>
      <c r="E54" s="559"/>
      <c r="F54" s="246">
        <f>SUM(F27:F32,F35:F41)</f>
        <v>3.6</v>
      </c>
      <c r="G54" s="235">
        <f>+F54/$F$66</f>
        <v>1.1696418575521891E-4</v>
      </c>
      <c r="H54" s="247">
        <f>+F54/$D$60</f>
        <v>3.6</v>
      </c>
      <c r="I54" s="247"/>
      <c r="J54" s="251"/>
      <c r="K54" s="560" t="s">
        <v>156</v>
      </c>
      <c r="L54" s="561"/>
      <c r="M54" s="561"/>
      <c r="N54" s="561"/>
      <c r="O54" s="252">
        <f>+F55</f>
        <v>29420.317900000002</v>
      </c>
      <c r="P54" s="252"/>
      <c r="Q54" s="253"/>
    </row>
    <row r="55" spans="1:17" x14ac:dyDescent="0.2">
      <c r="A55" s="244"/>
      <c r="B55" s="559" t="s">
        <v>157</v>
      </c>
      <c r="C55" s="559"/>
      <c r="D55" s="559"/>
      <c r="E55" s="559"/>
      <c r="F55" s="246">
        <f>+F53+F54</f>
        <v>29420.317900000002</v>
      </c>
      <c r="G55" s="235">
        <f>+F55/$F$66</f>
        <v>0.95586764662033108</v>
      </c>
      <c r="H55" s="247">
        <f>+F55/$D$60</f>
        <v>29420.317900000002</v>
      </c>
      <c r="I55" s="247"/>
      <c r="J55" s="254"/>
      <c r="K55" s="255"/>
      <c r="M55" s="256" t="s">
        <v>158</v>
      </c>
      <c r="N55" s="257"/>
      <c r="O55" s="252">
        <f>+H56</f>
        <v>770</v>
      </c>
      <c r="P55" s="252"/>
      <c r="Q55" s="253"/>
    </row>
    <row r="56" spans="1:17" ht="13.5" thickBot="1" x14ac:dyDescent="0.25">
      <c r="A56" s="244"/>
      <c r="B56" s="245"/>
      <c r="C56" s="559" t="s">
        <v>159</v>
      </c>
      <c r="D56" s="559"/>
      <c r="E56" s="559"/>
      <c r="F56" s="246">
        <f>SUM(F44:F51)</f>
        <v>770</v>
      </c>
      <c r="G56" s="235">
        <f>+F56/$F$66</f>
        <v>2.5017339730977375E-2</v>
      </c>
      <c r="H56" s="247">
        <f>+F56/$D$60</f>
        <v>770</v>
      </c>
      <c r="I56" s="247"/>
      <c r="J56" s="254"/>
      <c r="K56" s="255"/>
      <c r="L56" s="255"/>
      <c r="M56" s="255" t="s">
        <v>160</v>
      </c>
      <c r="N56" s="258"/>
      <c r="O56" s="252">
        <f>O54*N56</f>
        <v>0</v>
      </c>
      <c r="P56" s="252"/>
      <c r="Q56" s="253"/>
    </row>
    <row r="57" spans="1:17" ht="13.5" thickBot="1" x14ac:dyDescent="0.25">
      <c r="A57" s="244"/>
      <c r="B57" s="259"/>
      <c r="C57" s="259"/>
      <c r="D57" s="259"/>
      <c r="E57" s="259"/>
      <c r="F57" s="260"/>
      <c r="G57" s="235"/>
      <c r="H57" s="261"/>
      <c r="I57" s="247"/>
      <c r="J57" s="254"/>
      <c r="K57" s="262"/>
      <c r="M57" s="263" t="s">
        <v>161</v>
      </c>
      <c r="N57" s="264"/>
      <c r="O57" s="265">
        <f>SUM(O54:O56)</f>
        <v>30190.317900000002</v>
      </c>
      <c r="P57" s="266"/>
      <c r="Q57" s="253"/>
    </row>
    <row r="58" spans="1:17" x14ac:dyDescent="0.2">
      <c r="B58" s="562" t="s">
        <v>162</v>
      </c>
      <c r="C58" s="562"/>
      <c r="D58" s="267">
        <v>10000</v>
      </c>
      <c r="E58" s="268"/>
      <c r="G58" s="235"/>
      <c r="H58" s="261">
        <f>+H56/77</f>
        <v>10</v>
      </c>
      <c r="I58" s="269"/>
      <c r="J58" s="254"/>
      <c r="K58" s="262"/>
      <c r="L58" s="255"/>
      <c r="M58" s="255" t="s">
        <v>163</v>
      </c>
      <c r="N58" s="270"/>
      <c r="O58" s="252">
        <f>+H59</f>
        <v>830</v>
      </c>
      <c r="P58" s="252"/>
      <c r="Q58" s="253"/>
    </row>
    <row r="59" spans="1:17" x14ac:dyDescent="0.2">
      <c r="B59" s="562" t="s">
        <v>164</v>
      </c>
      <c r="C59" s="562"/>
      <c r="D59" s="271">
        <v>10000</v>
      </c>
      <c r="E59" s="268"/>
      <c r="G59" s="235"/>
      <c r="H59" s="261">
        <f>+H58*83</f>
        <v>830</v>
      </c>
      <c r="I59" s="269"/>
      <c r="J59" s="254"/>
      <c r="K59" s="262"/>
      <c r="L59" s="255"/>
      <c r="M59" s="563" t="s">
        <v>161</v>
      </c>
      <c r="N59" s="563"/>
      <c r="O59" s="252">
        <f>SUM(O57:O58)</f>
        <v>31020.317900000002</v>
      </c>
      <c r="P59" s="252"/>
      <c r="Q59" s="253"/>
    </row>
    <row r="60" spans="1:17" ht="13.5" thickBot="1" x14ac:dyDescent="0.25">
      <c r="B60" s="554" t="s">
        <v>165</v>
      </c>
      <c r="C60" s="554"/>
      <c r="D60" s="267">
        <f>+D58/D59</f>
        <v>1</v>
      </c>
      <c r="E60" s="268"/>
      <c r="F60" s="272"/>
      <c r="G60" s="235"/>
      <c r="H60" s="261"/>
      <c r="I60" s="269"/>
      <c r="J60" s="254"/>
      <c r="K60" s="262"/>
      <c r="L60" s="563"/>
      <c r="M60" s="563"/>
      <c r="N60" s="270"/>
      <c r="O60" s="252">
        <f>+O59*N60</f>
        <v>0</v>
      </c>
      <c r="P60" s="252"/>
      <c r="Q60" s="253"/>
    </row>
    <row r="61" spans="1:17" ht="13.5" thickBot="1" x14ac:dyDescent="0.25">
      <c r="B61" s="554" t="s">
        <v>166</v>
      </c>
      <c r="C61" s="554"/>
      <c r="D61" s="273"/>
      <c r="E61" s="268"/>
      <c r="F61" s="272"/>
      <c r="G61" s="235"/>
      <c r="H61" s="261"/>
      <c r="I61" s="269"/>
      <c r="J61" s="254"/>
      <c r="K61" s="555" t="s">
        <v>167</v>
      </c>
      <c r="L61" s="556"/>
      <c r="M61" s="556"/>
      <c r="N61" s="557"/>
      <c r="O61" s="265">
        <f>SUM(O59:O60)</f>
        <v>31020.317900000002</v>
      </c>
      <c r="P61" s="274" t="s">
        <v>168</v>
      </c>
      <c r="Q61" s="253"/>
    </row>
    <row r="62" spans="1:17" ht="13.5" thickBot="1" x14ac:dyDescent="0.25">
      <c r="C62" s="244" t="s">
        <v>169</v>
      </c>
      <c r="D62" s="275"/>
      <c r="E62" s="218" t="s">
        <v>170</v>
      </c>
      <c r="F62" s="276" t="s">
        <v>171</v>
      </c>
      <c r="G62" s="235"/>
      <c r="H62" s="261"/>
      <c r="I62" s="269"/>
      <c r="J62" s="277"/>
      <c r="K62" s="278"/>
      <c r="L62" s="543" t="s">
        <v>172</v>
      </c>
      <c r="M62" s="543"/>
      <c r="N62" s="543"/>
      <c r="O62" s="279">
        <f>+O61/D60</f>
        <v>31020.317900000002</v>
      </c>
      <c r="P62" s="280">
        <f>+O62/D59</f>
        <v>3.1020317900000003</v>
      </c>
      <c r="Q62" s="281"/>
    </row>
    <row r="63" spans="1:17" ht="13.5" thickBot="1" x14ac:dyDescent="0.25">
      <c r="B63" s="544" t="s">
        <v>157</v>
      </c>
      <c r="C63" s="544"/>
      <c r="D63" s="544"/>
      <c r="E63" s="282">
        <f>+F63/F63</f>
        <v>1</v>
      </c>
      <c r="F63" s="283">
        <f>SUM(F55)</f>
        <v>29420.317900000002</v>
      </c>
      <c r="G63" s="235">
        <f>+F63/$F$66</f>
        <v>0.95586764662033108</v>
      </c>
      <c r="H63" s="261"/>
      <c r="I63" s="269"/>
      <c r="K63" s="545"/>
      <c r="L63" s="546"/>
      <c r="M63" s="546"/>
      <c r="N63" s="546"/>
      <c r="O63" s="284"/>
      <c r="P63" s="285"/>
    </row>
    <row r="64" spans="1:17" ht="13.5" thickBot="1" x14ac:dyDescent="0.3">
      <c r="B64" s="547" t="s">
        <v>173</v>
      </c>
      <c r="C64" s="547"/>
      <c r="D64" s="547"/>
      <c r="E64" s="286">
        <v>0.02</v>
      </c>
      <c r="F64" s="283">
        <f>+F53*E64</f>
        <v>588.33435800000007</v>
      </c>
      <c r="G64" s="235">
        <f>+F64/$F$66</f>
        <v>1.9115013648691517E-2</v>
      </c>
      <c r="H64" s="247"/>
      <c r="I64" s="269"/>
      <c r="J64" s="287"/>
      <c r="O64" s="288"/>
      <c r="P64" s="245"/>
    </row>
    <row r="65" spans="2:13" ht="13.5" thickBot="1" x14ac:dyDescent="0.3">
      <c r="B65" s="548" t="s">
        <v>174</v>
      </c>
      <c r="C65" s="549"/>
      <c r="D65" s="289">
        <v>10</v>
      </c>
      <c r="E65" s="290">
        <v>77</v>
      </c>
      <c r="F65" s="283">
        <f>+E65*D65</f>
        <v>770</v>
      </c>
      <c r="G65" s="235">
        <f>+F65/$F$66</f>
        <v>2.5017339730977375E-2</v>
      </c>
      <c r="H65" s="247"/>
      <c r="I65" s="247"/>
      <c r="J65" s="237"/>
    </row>
    <row r="66" spans="2:13" ht="13.5" thickBot="1" x14ac:dyDescent="0.3">
      <c r="B66" s="550" t="s">
        <v>175</v>
      </c>
      <c r="C66" s="551"/>
      <c r="D66" s="551"/>
      <c r="E66" s="552"/>
      <c r="F66" s="260">
        <f>SUM(F63:F65)</f>
        <v>30778.652258000002</v>
      </c>
      <c r="G66" s="235">
        <f>+F66/$F$66</f>
        <v>1</v>
      </c>
      <c r="H66" s="553"/>
      <c r="I66" s="247"/>
      <c r="J66" s="237"/>
      <c r="M66" s="220" t="s">
        <v>176</v>
      </c>
    </row>
    <row r="67" spans="2:13" x14ac:dyDescent="0.25">
      <c r="C67" s="242"/>
      <c r="D67" s="242"/>
      <c r="E67" s="292"/>
      <c r="F67" s="283"/>
      <c r="G67" s="235"/>
      <c r="H67" s="553"/>
      <c r="I67" s="291"/>
      <c r="J67" s="220"/>
      <c r="M67" s="220" t="s">
        <v>177</v>
      </c>
    </row>
    <row r="68" spans="2:13" ht="13.5" thickBot="1" x14ac:dyDescent="0.3">
      <c r="B68" s="538" t="s">
        <v>178</v>
      </c>
      <c r="C68" s="538"/>
      <c r="D68" s="538"/>
      <c r="E68" s="538"/>
      <c r="F68" s="538"/>
      <c r="G68" s="235"/>
      <c r="H68" s="294"/>
      <c r="I68" s="291"/>
      <c r="J68" s="220"/>
      <c r="M68" s="220" t="s">
        <v>179</v>
      </c>
    </row>
    <row r="69" spans="2:13" ht="13.5" thickBot="1" x14ac:dyDescent="0.3">
      <c r="B69" s="295" t="s">
        <v>180</v>
      </c>
      <c r="C69" s="296">
        <f>+F53</f>
        <v>29416.717900000003</v>
      </c>
      <c r="D69" s="296">
        <f>+D58</f>
        <v>10000</v>
      </c>
      <c r="E69" s="297">
        <f>+C69/D69</f>
        <v>2.9416717900000005</v>
      </c>
      <c r="F69" s="235"/>
      <c r="G69" s="294"/>
      <c r="H69" s="237"/>
      <c r="I69" s="294"/>
      <c r="J69" s="220"/>
    </row>
    <row r="70" spans="2:13" x14ac:dyDescent="0.25">
      <c r="B70" s="298"/>
      <c r="C70" s="299"/>
      <c r="D70" s="300"/>
      <c r="E70" s="283"/>
      <c r="F70" s="235"/>
      <c r="G70" s="294"/>
      <c r="H70" s="237"/>
      <c r="I70" s="237"/>
      <c r="J70" s="220"/>
    </row>
    <row r="71" spans="2:13" x14ac:dyDescent="0.25">
      <c r="B71" s="295" t="s">
        <v>181</v>
      </c>
      <c r="C71" s="296">
        <f>SUM(F63:F64)</f>
        <v>30008.652258000002</v>
      </c>
      <c r="D71" s="296">
        <f>+D58</f>
        <v>10000</v>
      </c>
      <c r="E71" s="301">
        <f>+C71/D71</f>
        <v>3.0008652258000001</v>
      </c>
      <c r="F71" s="235"/>
      <c r="G71" s="294"/>
      <c r="H71" s="237"/>
      <c r="I71" s="237"/>
      <c r="J71" s="220"/>
    </row>
    <row r="72" spans="2:13" x14ac:dyDescent="0.25">
      <c r="B72" s="295"/>
      <c r="C72" s="296"/>
      <c r="D72" s="296"/>
      <c r="E72" s="301"/>
      <c r="F72" s="235"/>
      <c r="G72" s="294"/>
      <c r="H72" s="237"/>
      <c r="I72" s="237"/>
      <c r="J72" s="220"/>
    </row>
    <row r="73" spans="2:13" ht="13.5" thickBot="1" x14ac:dyDescent="0.3">
      <c r="B73" s="295" t="s">
        <v>182</v>
      </c>
      <c r="C73" s="296">
        <f>+F65</f>
        <v>770</v>
      </c>
      <c r="D73" s="296">
        <f>+D58</f>
        <v>10000</v>
      </c>
      <c r="E73" s="301">
        <f>+C73/D73</f>
        <v>7.6999999999999999E-2</v>
      </c>
      <c r="F73" s="235"/>
      <c r="G73" s="294"/>
      <c r="H73" s="237"/>
      <c r="I73" s="237"/>
      <c r="J73" s="220"/>
    </row>
    <row r="74" spans="2:13" ht="13.5" thickBot="1" x14ac:dyDescent="0.3">
      <c r="B74" s="295" t="s">
        <v>183</v>
      </c>
      <c r="C74" s="296">
        <f>+F56</f>
        <v>770</v>
      </c>
      <c r="D74" s="296">
        <f>+D73</f>
        <v>10000</v>
      </c>
      <c r="E74" s="297">
        <f>+C74/D74</f>
        <v>7.6999999999999999E-2</v>
      </c>
      <c r="F74" s="235"/>
      <c r="G74" s="294"/>
      <c r="H74" s="237"/>
      <c r="I74" s="237"/>
      <c r="J74" s="220"/>
    </row>
    <row r="75" spans="2:13" ht="13.5" thickBot="1" x14ac:dyDescent="0.3">
      <c r="B75" s="259"/>
      <c r="C75" s="260"/>
      <c r="D75" s="260"/>
      <c r="E75" s="301"/>
      <c r="F75" s="235"/>
      <c r="G75" s="294"/>
      <c r="H75" s="237"/>
      <c r="I75" s="237"/>
      <c r="J75" s="220"/>
    </row>
    <row r="76" spans="2:13" ht="13.5" thickBot="1" x14ac:dyDescent="0.3">
      <c r="B76" s="295" t="s">
        <v>184</v>
      </c>
      <c r="C76" s="296">
        <f>+F54</f>
        <v>3.6</v>
      </c>
      <c r="D76" s="296">
        <f>+D74</f>
        <v>10000</v>
      </c>
      <c r="E76" s="297">
        <f>+C76/D76</f>
        <v>3.6000000000000002E-4</v>
      </c>
      <c r="F76" s="235"/>
      <c r="G76" s="294"/>
      <c r="H76" s="237"/>
      <c r="I76" s="237"/>
      <c r="J76" s="237"/>
    </row>
    <row r="77" spans="2:13" ht="13.5" thickBot="1" x14ac:dyDescent="0.3">
      <c r="B77" s="259"/>
      <c r="C77" s="260"/>
      <c r="D77" s="260"/>
      <c r="E77" s="301"/>
      <c r="F77" s="235"/>
      <c r="G77" s="294"/>
      <c r="H77" s="237"/>
      <c r="I77" s="237"/>
    </row>
    <row r="78" spans="2:13" ht="13.5" thickBot="1" x14ac:dyDescent="0.3">
      <c r="B78" s="539" t="s">
        <v>185</v>
      </c>
      <c r="C78" s="540"/>
      <c r="D78" s="541"/>
      <c r="E78" s="297">
        <f>+E69+E74</f>
        <v>3.0186717900000004</v>
      </c>
      <c r="G78" s="235"/>
      <c r="H78" s="294"/>
      <c r="I78" s="237"/>
      <c r="J78" s="301"/>
    </row>
    <row r="79" spans="2:13" x14ac:dyDescent="0.25">
      <c r="I79" s="294"/>
      <c r="J79" s="220"/>
    </row>
    <row r="80" spans="2:13" ht="13.5" thickBot="1" x14ac:dyDescent="0.3">
      <c r="B80" s="538" t="s">
        <v>186</v>
      </c>
      <c r="C80" s="538"/>
      <c r="D80" s="538"/>
      <c r="E80" s="538"/>
      <c r="F80" s="538"/>
      <c r="G80" s="235"/>
      <c r="H80" s="294"/>
      <c r="J80" s="220"/>
    </row>
    <row r="81" spans="1:10" ht="13.5" thickBot="1" x14ac:dyDescent="0.3">
      <c r="B81" s="295" t="s">
        <v>180</v>
      </c>
      <c r="C81" s="296">
        <f>+C69</f>
        <v>29416.717900000003</v>
      </c>
      <c r="D81" s="296">
        <f>+D60</f>
        <v>1</v>
      </c>
      <c r="E81" s="297">
        <f>+C81/D81</f>
        <v>29416.717900000003</v>
      </c>
      <c r="F81" s="235"/>
      <c r="G81" s="294"/>
      <c r="H81" s="237"/>
      <c r="I81" s="294"/>
      <c r="J81" s="220"/>
    </row>
    <row r="82" spans="1:10" x14ac:dyDescent="0.25">
      <c r="B82" s="298"/>
      <c r="C82" s="299"/>
      <c r="D82" s="300"/>
      <c r="E82" s="283"/>
      <c r="F82" s="235"/>
      <c r="G82" s="294"/>
      <c r="H82" s="237"/>
      <c r="I82" s="237"/>
      <c r="J82" s="220"/>
    </row>
    <row r="83" spans="1:10" x14ac:dyDescent="0.25">
      <c r="B83" s="295" t="s">
        <v>181</v>
      </c>
      <c r="C83" s="296">
        <f>+C71</f>
        <v>30008.652258000002</v>
      </c>
      <c r="D83" s="296">
        <f>+D60</f>
        <v>1</v>
      </c>
      <c r="E83" s="301">
        <f>+C83/D83</f>
        <v>30008.652258000002</v>
      </c>
      <c r="F83" s="235"/>
      <c r="G83" s="294"/>
      <c r="H83" s="237"/>
      <c r="I83" s="237"/>
      <c r="J83" s="220"/>
    </row>
    <row r="84" spans="1:10" x14ac:dyDescent="0.25">
      <c r="B84" s="295"/>
      <c r="C84" s="296"/>
      <c r="D84" s="296"/>
      <c r="E84" s="301"/>
      <c r="F84" s="235"/>
      <c r="G84" s="294"/>
      <c r="H84" s="237"/>
      <c r="I84" s="237"/>
      <c r="J84" s="220"/>
    </row>
    <row r="85" spans="1:10" ht="13.5" thickBot="1" x14ac:dyDescent="0.3">
      <c r="B85" s="295" t="s">
        <v>183</v>
      </c>
      <c r="C85" s="296">
        <f>+C73</f>
        <v>770</v>
      </c>
      <c r="D85" s="296">
        <f>+D60</f>
        <v>1</v>
      </c>
      <c r="E85" s="301">
        <f>+C85/D85</f>
        <v>770</v>
      </c>
      <c r="F85" s="303"/>
      <c r="G85" s="293"/>
      <c r="H85" s="219"/>
      <c r="I85" s="237"/>
    </row>
    <row r="86" spans="1:10" ht="13.5" thickBot="1" x14ac:dyDescent="0.3">
      <c r="B86" s="295" t="s">
        <v>183</v>
      </c>
      <c r="C86" s="296">
        <f>+C74</f>
        <v>770</v>
      </c>
      <c r="D86" s="296">
        <f>+D85</f>
        <v>1</v>
      </c>
      <c r="E86" s="297">
        <f>+C86/D86</f>
        <v>770</v>
      </c>
      <c r="F86" s="302"/>
      <c r="G86" s="293"/>
      <c r="H86" s="219"/>
      <c r="I86" s="219"/>
    </row>
    <row r="87" spans="1:10" x14ac:dyDescent="0.25">
      <c r="I87" s="219"/>
    </row>
    <row r="88" spans="1:10" x14ac:dyDescent="0.2">
      <c r="A88" s="542"/>
      <c r="B88" s="542"/>
      <c r="C88" s="304"/>
      <c r="D88" s="304"/>
      <c r="E88" s="305"/>
      <c r="G88" s="306"/>
    </row>
    <row r="89" spans="1:10" x14ac:dyDescent="0.2">
      <c r="A89" s="238"/>
      <c r="B89" s="307"/>
      <c r="C89" s="308"/>
      <c r="D89" s="308"/>
      <c r="E89" s="309"/>
      <c r="G89" s="306"/>
    </row>
    <row r="90" spans="1:10" x14ac:dyDescent="0.2">
      <c r="A90" s="238"/>
      <c r="B90" s="307"/>
      <c r="C90" s="310"/>
      <c r="D90" s="310"/>
      <c r="E90" s="238"/>
      <c r="G90" s="306"/>
    </row>
    <row r="91" spans="1:10" x14ac:dyDescent="0.2">
      <c r="A91" s="238"/>
      <c r="B91" s="307"/>
      <c r="C91" s="311"/>
      <c r="D91" s="311"/>
      <c r="E91" s="238"/>
      <c r="G91" s="306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508-A740-4E7A-8B2A-421DB36B39E2}">
  <dimension ref="A1:J64"/>
  <sheetViews>
    <sheetView workbookViewId="0">
      <selection activeCell="D14" sqref="D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646"/>
      <c r="B1" s="647"/>
      <c r="C1" s="652" t="s">
        <v>33</v>
      </c>
      <c r="D1" s="652"/>
      <c r="E1" s="652"/>
      <c r="F1" s="652"/>
      <c r="G1" s="652"/>
      <c r="H1" s="15" t="s">
        <v>32</v>
      </c>
      <c r="I1" s="90" t="s">
        <v>227</v>
      </c>
    </row>
    <row r="2" spans="1:9" ht="15.75" x14ac:dyDescent="0.25">
      <c r="A2" s="648"/>
      <c r="B2" s="649"/>
      <c r="C2" s="748" t="s">
        <v>31</v>
      </c>
      <c r="D2" s="748"/>
      <c r="E2" s="748"/>
      <c r="F2" s="748"/>
      <c r="G2" s="748"/>
      <c r="H2" s="17" t="s">
        <v>30</v>
      </c>
      <c r="I2" s="18" t="s">
        <v>228</v>
      </c>
    </row>
    <row r="3" spans="1:9" ht="16.149999999999999" customHeight="1" thickBot="1" x14ac:dyDescent="0.3">
      <c r="A3" s="648"/>
      <c r="B3" s="649"/>
      <c r="C3" s="512" t="s">
        <v>229</v>
      </c>
      <c r="D3" s="513"/>
      <c r="E3" s="513"/>
      <c r="F3" s="513"/>
      <c r="G3" s="514"/>
      <c r="H3" s="659" t="s">
        <v>29</v>
      </c>
      <c r="I3" s="637">
        <v>45609</v>
      </c>
    </row>
    <row r="4" spans="1:9" x14ac:dyDescent="0.25">
      <c r="A4" s="648"/>
      <c r="B4" s="649"/>
      <c r="C4" s="19" t="s">
        <v>28</v>
      </c>
      <c r="D4" s="640" t="s">
        <v>38</v>
      </c>
      <c r="E4" s="641"/>
      <c r="F4" s="641"/>
      <c r="G4" s="642"/>
      <c r="H4" s="660"/>
      <c r="I4" s="638"/>
    </row>
    <row r="5" spans="1:9" ht="15.75" thickBot="1" x14ac:dyDescent="0.3">
      <c r="A5" s="650"/>
      <c r="B5" s="651"/>
      <c r="C5" s="20" t="s">
        <v>27</v>
      </c>
      <c r="D5" s="643" t="s">
        <v>26</v>
      </c>
      <c r="E5" s="644"/>
      <c r="F5" s="644"/>
      <c r="G5" s="645"/>
      <c r="H5" s="661"/>
      <c r="I5" s="639"/>
    </row>
    <row r="6" spans="1:9" ht="18.75" thickBot="1" x14ac:dyDescent="0.3">
      <c r="A6" s="518" t="s">
        <v>25</v>
      </c>
      <c r="B6" s="518"/>
      <c r="C6" s="518"/>
      <c r="D6" s="519" t="s">
        <v>201</v>
      </c>
      <c r="E6" s="519"/>
      <c r="F6" s="519"/>
      <c r="G6" s="517" t="s">
        <v>24</v>
      </c>
      <c r="H6" s="517"/>
      <c r="I6" s="21" t="s">
        <v>201</v>
      </c>
    </row>
    <row r="7" spans="1:9" x14ac:dyDescent="0.25">
      <c r="A7" s="631" t="s">
        <v>23</v>
      </c>
      <c r="B7" s="633" t="s">
        <v>34</v>
      </c>
      <c r="C7" s="635" t="s">
        <v>22</v>
      </c>
      <c r="D7" s="635" t="s">
        <v>21</v>
      </c>
      <c r="E7" s="635" t="s">
        <v>20</v>
      </c>
      <c r="F7" s="635"/>
      <c r="G7" s="635" t="s">
        <v>19</v>
      </c>
      <c r="H7" s="635"/>
      <c r="I7" s="22" t="s">
        <v>18</v>
      </c>
    </row>
    <row r="8" spans="1:9" ht="27" thickBot="1" x14ac:dyDescent="0.3">
      <c r="A8" s="632"/>
      <c r="B8" s="634"/>
      <c r="C8" s="636"/>
      <c r="D8" s="636"/>
      <c r="E8" s="23" t="s">
        <v>14</v>
      </c>
      <c r="F8" s="24" t="s">
        <v>17</v>
      </c>
      <c r="G8" s="23" t="s">
        <v>14</v>
      </c>
      <c r="H8" s="24" t="s">
        <v>17</v>
      </c>
      <c r="I8" s="25" t="s">
        <v>16</v>
      </c>
    </row>
    <row r="9" spans="1:9" x14ac:dyDescent="0.25">
      <c r="A9" s="26"/>
      <c r="B9" s="27"/>
      <c r="C9" s="28" t="s">
        <v>35</v>
      </c>
      <c r="D9" s="29"/>
      <c r="E9" s="11"/>
      <c r="F9" s="12"/>
      <c r="G9" s="11"/>
      <c r="H9" s="12"/>
      <c r="I9" s="30"/>
    </row>
    <row r="10" spans="1:9" ht="16.149999999999999" customHeight="1" x14ac:dyDescent="0.25">
      <c r="A10" s="59">
        <v>505605</v>
      </c>
      <c r="B10" s="60" t="s">
        <v>230</v>
      </c>
      <c r="C10" s="191" t="s">
        <v>231</v>
      </c>
      <c r="D10" s="387" t="s">
        <v>232</v>
      </c>
      <c r="E10" s="8">
        <v>204</v>
      </c>
      <c r="F10" s="9" t="s">
        <v>6</v>
      </c>
      <c r="G10" s="142"/>
      <c r="H10" s="121"/>
      <c r="I10" s="30"/>
    </row>
    <row r="11" spans="1:9" x14ac:dyDescent="0.25">
      <c r="A11" s="59" t="s">
        <v>202</v>
      </c>
      <c r="B11" s="60"/>
      <c r="C11" s="191" t="s">
        <v>203</v>
      </c>
      <c r="D11" s="387" t="s">
        <v>15</v>
      </c>
      <c r="E11" s="8">
        <v>60000</v>
      </c>
      <c r="F11" s="9" t="s">
        <v>1</v>
      </c>
      <c r="G11" s="142"/>
      <c r="H11" s="121"/>
      <c r="I11" s="30"/>
    </row>
    <row r="12" spans="1:9" x14ac:dyDescent="0.25">
      <c r="A12" s="59"/>
      <c r="B12" s="60"/>
      <c r="C12" s="191"/>
      <c r="D12" s="387"/>
      <c r="E12" s="8"/>
      <c r="F12" s="9"/>
      <c r="G12" s="142"/>
      <c r="H12" s="121"/>
      <c r="I12" s="30"/>
    </row>
    <row r="13" spans="1:9" ht="15.75" x14ac:dyDescent="0.25">
      <c r="A13" s="388"/>
      <c r="B13" s="388"/>
      <c r="C13" s="389"/>
      <c r="D13" s="390"/>
      <c r="E13" s="390"/>
      <c r="F13" s="390"/>
      <c r="G13" s="142"/>
      <c r="H13" s="121"/>
      <c r="I13" s="30"/>
    </row>
    <row r="14" spans="1:9" ht="15.75" x14ac:dyDescent="0.25">
      <c r="A14" s="391"/>
      <c r="B14" s="392"/>
      <c r="C14" s="389"/>
      <c r="D14" s="390"/>
      <c r="E14" s="390"/>
      <c r="F14" s="390"/>
      <c r="G14" s="142"/>
      <c r="H14" s="121"/>
      <c r="I14" s="30"/>
    </row>
    <row r="15" spans="1:9" ht="16.5" x14ac:dyDescent="0.3">
      <c r="A15" s="393"/>
      <c r="B15" s="393"/>
      <c r="C15" s="394"/>
      <c r="D15" s="395"/>
      <c r="E15" s="396"/>
      <c r="F15" s="390"/>
      <c r="G15" s="142"/>
      <c r="H15" s="121"/>
      <c r="I15" s="30"/>
    </row>
    <row r="16" spans="1:9" x14ac:dyDescent="0.25">
      <c r="A16" s="397"/>
      <c r="B16" s="398"/>
      <c r="C16" s="399"/>
      <c r="D16" s="400"/>
      <c r="E16" s="401"/>
      <c r="F16" s="401"/>
      <c r="G16" s="402"/>
      <c r="H16" s="121"/>
      <c r="I16" s="30"/>
    </row>
    <row r="17" spans="1:9" x14ac:dyDescent="0.25">
      <c r="A17" s="397"/>
      <c r="B17" s="398"/>
      <c r="C17" s="399"/>
      <c r="D17" s="400"/>
      <c r="E17" s="401"/>
      <c r="F17" s="401"/>
      <c r="G17" s="402"/>
      <c r="H17" s="121"/>
      <c r="I17" s="30"/>
    </row>
    <row r="18" spans="1:9" x14ac:dyDescent="0.25">
      <c r="A18" s="397"/>
      <c r="B18" s="398"/>
      <c r="C18" s="399"/>
      <c r="D18" s="400"/>
      <c r="E18" s="401"/>
      <c r="F18" s="401"/>
      <c r="G18" s="402"/>
      <c r="H18" s="121"/>
      <c r="I18" s="30"/>
    </row>
    <row r="19" spans="1:9" x14ac:dyDescent="0.25">
      <c r="A19" s="397"/>
      <c r="B19" s="398"/>
      <c r="C19" s="399"/>
      <c r="D19" s="400"/>
      <c r="E19" s="401"/>
      <c r="F19" s="401"/>
      <c r="G19" s="402"/>
      <c r="H19" s="121"/>
      <c r="I19" s="30"/>
    </row>
    <row r="20" spans="1:9" x14ac:dyDescent="0.25">
      <c r="A20" s="397"/>
      <c r="B20" s="398"/>
      <c r="C20" s="399"/>
      <c r="D20" s="400"/>
      <c r="E20" s="401"/>
      <c r="F20" s="401"/>
      <c r="G20" s="402"/>
      <c r="H20" s="121"/>
      <c r="I20" s="30"/>
    </row>
    <row r="21" spans="1:9" x14ac:dyDescent="0.25">
      <c r="A21" s="397"/>
      <c r="B21" s="398"/>
      <c r="C21" s="399"/>
      <c r="D21" s="400"/>
      <c r="E21" s="401"/>
      <c r="F21" s="401"/>
      <c r="G21" s="402"/>
      <c r="H21" s="121"/>
      <c r="I21" s="30"/>
    </row>
    <row r="22" spans="1:9" x14ac:dyDescent="0.25">
      <c r="A22" s="397"/>
      <c r="B22" s="398"/>
      <c r="C22" s="399"/>
      <c r="D22" s="400"/>
      <c r="E22" s="401"/>
      <c r="F22" s="401"/>
      <c r="G22" s="402"/>
      <c r="H22" s="121"/>
      <c r="I22" s="30"/>
    </row>
    <row r="23" spans="1:9" x14ac:dyDescent="0.25">
      <c r="A23" s="397"/>
      <c r="B23" s="398"/>
      <c r="C23" s="399"/>
      <c r="D23" s="400"/>
      <c r="E23" s="401"/>
      <c r="F23" s="401"/>
      <c r="G23" s="402"/>
      <c r="H23" s="121"/>
      <c r="I23" s="30"/>
    </row>
    <row r="24" spans="1:9" x14ac:dyDescent="0.25">
      <c r="A24" s="397"/>
      <c r="B24" s="398"/>
      <c r="C24" s="399"/>
      <c r="D24" s="400"/>
      <c r="E24" s="401"/>
      <c r="F24" s="401"/>
      <c r="G24" s="402"/>
      <c r="H24" s="121"/>
      <c r="I24" s="30"/>
    </row>
    <row r="25" spans="1:9" ht="15.75" x14ac:dyDescent="0.25">
      <c r="A25" s="170"/>
      <c r="B25" s="170"/>
      <c r="D25" s="69"/>
      <c r="E25" s="403"/>
      <c r="F25" s="403"/>
      <c r="G25" s="11"/>
      <c r="H25" s="121"/>
      <c r="I25" s="30"/>
    </row>
    <row r="26" spans="1:9" x14ac:dyDescent="0.25">
      <c r="A26" s="2"/>
      <c r="B26" s="2"/>
      <c r="C26" s="404"/>
      <c r="D26" s="69"/>
      <c r="E26" s="69"/>
      <c r="F26" s="46"/>
      <c r="G26" s="11"/>
      <c r="H26" s="121"/>
      <c r="I26" s="30"/>
    </row>
    <row r="27" spans="1:9" ht="15.75" x14ac:dyDescent="0.25">
      <c r="A27" s="39"/>
      <c r="B27" s="40"/>
      <c r="C27" s="41" t="s">
        <v>40</v>
      </c>
      <c r="D27" s="44" t="s">
        <v>55</v>
      </c>
      <c r="E27" s="45"/>
      <c r="F27" s="46"/>
      <c r="G27" s="11"/>
      <c r="H27" s="121"/>
      <c r="I27" s="30"/>
    </row>
    <row r="28" spans="1:9" x14ac:dyDescent="0.25">
      <c r="A28" s="405"/>
      <c r="B28" s="107"/>
      <c r="C28" s="406"/>
      <c r="D28" s="407" t="s">
        <v>55</v>
      </c>
      <c r="E28" s="69"/>
      <c r="F28" s="46"/>
      <c r="G28" s="11"/>
      <c r="H28" s="121"/>
      <c r="I28" s="30"/>
    </row>
    <row r="29" spans="1:9" x14ac:dyDescent="0.25">
      <c r="A29" s="2"/>
      <c r="B29" s="2"/>
      <c r="C29" s="404"/>
      <c r="D29" s="407" t="s">
        <v>55</v>
      </c>
      <c r="E29" s="69"/>
      <c r="F29" s="46"/>
      <c r="G29" s="11"/>
      <c r="H29" s="121"/>
      <c r="I29" s="30"/>
    </row>
    <row r="30" spans="1:9" x14ac:dyDescent="0.25">
      <c r="A30" s="408"/>
      <c r="B30" s="408"/>
      <c r="C30" s="406"/>
      <c r="D30" s="407" t="s">
        <v>55</v>
      </c>
      <c r="E30" s="69"/>
      <c r="F30" s="46"/>
      <c r="G30" s="11"/>
      <c r="H30" s="121"/>
      <c r="I30" s="30"/>
    </row>
    <row r="31" spans="1:9" x14ac:dyDescent="0.25">
      <c r="A31" s="2"/>
      <c r="B31" s="2"/>
      <c r="C31" s="404"/>
      <c r="D31" s="69" t="s">
        <v>55</v>
      </c>
      <c r="E31" s="44"/>
      <c r="F31" s="46"/>
      <c r="G31" s="11"/>
      <c r="H31" s="121"/>
      <c r="I31" s="30"/>
    </row>
    <row r="32" spans="1:9" x14ac:dyDescent="0.25">
      <c r="A32" s="2"/>
      <c r="B32" s="2"/>
      <c r="C32" s="404"/>
      <c r="D32" s="387" t="s">
        <v>55</v>
      </c>
      <c r="E32" s="409"/>
      <c r="F32" s="410"/>
      <c r="G32" s="11"/>
      <c r="H32" s="121"/>
      <c r="I32" s="30"/>
    </row>
    <row r="33" spans="1:10" ht="15.75" x14ac:dyDescent="0.25">
      <c r="A33" s="54"/>
      <c r="B33" s="55"/>
      <c r="C33" s="56" t="s">
        <v>41</v>
      </c>
      <c r="D33" s="57" t="s">
        <v>55</v>
      </c>
      <c r="E33" s="11"/>
      <c r="F33" s="12"/>
      <c r="G33" s="11"/>
      <c r="H33" s="121"/>
      <c r="I33" s="30"/>
    </row>
    <row r="34" spans="1:10" ht="15.75" x14ac:dyDescent="0.25">
      <c r="A34" s="411">
        <v>702069</v>
      </c>
      <c r="B34" s="412" t="s">
        <v>52</v>
      </c>
      <c r="C34" s="413" t="s">
        <v>53</v>
      </c>
      <c r="D34" s="414"/>
      <c r="E34" s="403">
        <v>208</v>
      </c>
      <c r="F34" s="403" t="s">
        <v>6</v>
      </c>
      <c r="G34" s="415"/>
      <c r="H34" s="121"/>
      <c r="I34" s="30"/>
    </row>
    <row r="35" spans="1:10" x14ac:dyDescent="0.25">
      <c r="A35" s="397"/>
      <c r="B35" s="398"/>
      <c r="C35" s="399"/>
      <c r="D35" s="400"/>
      <c r="E35" s="416"/>
      <c r="F35" s="416"/>
      <c r="G35" s="415"/>
      <c r="H35" s="121"/>
      <c r="I35" s="30"/>
    </row>
    <row r="36" spans="1:10" x14ac:dyDescent="0.25">
      <c r="A36" s="417"/>
      <c r="B36" s="418"/>
      <c r="C36" s="419"/>
      <c r="D36" s="420"/>
      <c r="E36" s="8"/>
      <c r="F36" s="9"/>
      <c r="G36" s="11"/>
      <c r="H36" s="121"/>
      <c r="I36" s="30"/>
    </row>
    <row r="37" spans="1:10" x14ac:dyDescent="0.25">
      <c r="A37" s="421"/>
      <c r="B37" s="421"/>
      <c r="C37" s="404"/>
      <c r="D37" s="44"/>
      <c r="E37" s="69"/>
      <c r="F37" s="46"/>
      <c r="G37" s="11"/>
      <c r="H37" s="12"/>
      <c r="I37" s="30"/>
    </row>
    <row r="38" spans="1:10" x14ac:dyDescent="0.25">
      <c r="A38" s="422"/>
      <c r="B38" s="423"/>
      <c r="C38" s="424"/>
      <c r="D38" s="44"/>
      <c r="E38" s="69"/>
      <c r="F38" s="46"/>
      <c r="G38" s="11"/>
      <c r="H38" s="12"/>
      <c r="I38" s="30"/>
    </row>
    <row r="39" spans="1:10" ht="15.75" x14ac:dyDescent="0.25">
      <c r="A39" s="422"/>
      <c r="B39" s="423"/>
      <c r="C39" s="424"/>
      <c r="D39" s="5"/>
      <c r="E39" s="69"/>
      <c r="F39" s="46"/>
      <c r="G39" s="68"/>
      <c r="H39" s="44"/>
      <c r="I39" s="30"/>
    </row>
    <row r="40" spans="1:10" ht="15.75" x14ac:dyDescent="0.25">
      <c r="A40" s="39"/>
      <c r="B40" s="40"/>
      <c r="C40" s="176"/>
      <c r="D40" s="5"/>
      <c r="E40" s="69"/>
      <c r="F40" s="46"/>
      <c r="G40" s="69"/>
      <c r="H40" s="44"/>
      <c r="I40" s="30"/>
    </row>
    <row r="41" spans="1:10" ht="15.75" x14ac:dyDescent="0.25">
      <c r="A41" s="39"/>
      <c r="B41" s="40"/>
      <c r="C41" s="176"/>
      <c r="D41" s="5"/>
      <c r="E41" s="69"/>
      <c r="F41" s="46"/>
      <c r="G41" s="190"/>
      <c r="H41" s="46"/>
      <c r="I41" s="30"/>
    </row>
    <row r="42" spans="1:10" ht="15.75" x14ac:dyDescent="0.25">
      <c r="A42" s="39"/>
      <c r="B42" s="40"/>
      <c r="C42" s="176"/>
      <c r="D42" s="44"/>
      <c r="E42" s="44"/>
      <c r="F42" s="46"/>
      <c r="G42" s="5"/>
      <c r="H42" s="5"/>
      <c r="I42" s="30"/>
    </row>
    <row r="43" spans="1:10" ht="15.75" thickBot="1" x14ac:dyDescent="0.3">
      <c r="A43" s="72"/>
      <c r="B43" s="73"/>
      <c r="C43" s="74"/>
      <c r="D43" s="74"/>
      <c r="E43" s="75"/>
      <c r="F43" s="76"/>
      <c r="G43" s="74"/>
      <c r="H43" s="74"/>
      <c r="I43" s="77"/>
    </row>
    <row r="44" spans="1:10" ht="15.75" thickBot="1" x14ac:dyDescent="0.3">
      <c r="A44" s="78"/>
      <c r="B44" s="79"/>
      <c r="C44" s="80"/>
      <c r="D44" s="81" t="s">
        <v>14</v>
      </c>
      <c r="E44" s="82" t="s">
        <v>13</v>
      </c>
      <c r="F44" s="83"/>
      <c r="G44" s="80"/>
      <c r="H44" s="80"/>
      <c r="I44" s="84"/>
    </row>
    <row r="45" spans="1:10" x14ac:dyDescent="0.25">
      <c r="A45" s="625" t="s">
        <v>12</v>
      </c>
      <c r="B45" s="626"/>
      <c r="C45" s="627"/>
      <c r="D45" s="142">
        <v>80580</v>
      </c>
      <c r="E45" s="143" t="s">
        <v>6</v>
      </c>
      <c r="F45" s="628" t="s">
        <v>11</v>
      </c>
      <c r="G45" s="628"/>
      <c r="H45" s="629"/>
      <c r="I45" s="630"/>
      <c r="J45">
        <f>+D46/D47</f>
        <v>17.647058823529413</v>
      </c>
    </row>
    <row r="46" spans="1:10" x14ac:dyDescent="0.25">
      <c r="A46" s="604" t="s">
        <v>10</v>
      </c>
      <c r="B46" s="605"/>
      <c r="C46" s="606"/>
      <c r="D46" s="144">
        <v>75</v>
      </c>
      <c r="E46" s="13" t="s">
        <v>9</v>
      </c>
      <c r="F46" s="607" t="s">
        <v>8</v>
      </c>
      <c r="G46" s="607"/>
      <c r="H46" s="608"/>
      <c r="I46" s="609"/>
    </row>
    <row r="47" spans="1:10" x14ac:dyDescent="0.25">
      <c r="A47" s="604" t="s">
        <v>7</v>
      </c>
      <c r="B47" s="605"/>
      <c r="C47" s="606"/>
      <c r="D47" s="13">
        <v>4.25</v>
      </c>
      <c r="E47" s="13" t="s">
        <v>233</v>
      </c>
      <c r="F47" s="607" t="s">
        <v>5</v>
      </c>
      <c r="G47" s="607"/>
      <c r="H47" s="608"/>
      <c r="I47" s="609"/>
    </row>
    <row r="48" spans="1:10" x14ac:dyDescent="0.25">
      <c r="A48" s="604" t="s">
        <v>4</v>
      </c>
      <c r="B48" s="605"/>
      <c r="C48" s="606"/>
      <c r="D48" s="13">
        <v>18960</v>
      </c>
      <c r="E48" s="13" t="s">
        <v>1</v>
      </c>
      <c r="F48" s="610" t="s">
        <v>3</v>
      </c>
      <c r="G48" s="611"/>
      <c r="H48" s="608"/>
      <c r="I48" s="609"/>
    </row>
    <row r="49" spans="1:9" ht="15.75" thickBot="1" x14ac:dyDescent="0.3">
      <c r="A49" s="614" t="s">
        <v>2</v>
      </c>
      <c r="B49" s="615"/>
      <c r="C49" s="616"/>
      <c r="D49" s="147">
        <v>60000</v>
      </c>
      <c r="E49" s="148" t="s">
        <v>1</v>
      </c>
      <c r="F49" s="617"/>
      <c r="G49" s="617"/>
      <c r="H49" s="749"/>
      <c r="I49" s="750"/>
    </row>
    <row r="50" spans="1:9" ht="15.75" thickBot="1" x14ac:dyDescent="0.3">
      <c r="A50" s="618" t="s">
        <v>0</v>
      </c>
      <c r="B50" s="619"/>
      <c r="C50" s="619"/>
      <c r="D50" s="619"/>
      <c r="E50" s="619"/>
      <c r="F50" s="619"/>
      <c r="G50" s="619"/>
      <c r="H50" s="619"/>
      <c r="I50" s="620"/>
    </row>
    <row r="51" spans="1:9" x14ac:dyDescent="0.25">
      <c r="A51" s="745" t="s">
        <v>234</v>
      </c>
      <c r="B51" s="536"/>
      <c r="C51" s="536"/>
      <c r="D51" s="536"/>
      <c r="E51" s="536"/>
      <c r="F51" s="536"/>
      <c r="G51" s="536"/>
      <c r="H51" s="536"/>
      <c r="I51" s="537"/>
    </row>
    <row r="52" spans="1:9" x14ac:dyDescent="0.25">
      <c r="A52" s="745" t="s">
        <v>235</v>
      </c>
      <c r="B52" s="536"/>
      <c r="C52" s="536"/>
      <c r="D52" s="536"/>
      <c r="E52" s="536"/>
      <c r="F52" s="536"/>
      <c r="G52" s="536"/>
      <c r="H52" s="536"/>
      <c r="I52" s="537"/>
    </row>
    <row r="53" spans="1:9" x14ac:dyDescent="0.25">
      <c r="A53" s="745" t="s">
        <v>236</v>
      </c>
      <c r="B53" s="536"/>
      <c r="C53" s="536"/>
      <c r="D53" s="536"/>
      <c r="E53" s="536"/>
      <c r="F53" s="536"/>
      <c r="G53" s="536"/>
      <c r="H53" s="536"/>
      <c r="I53" s="537"/>
    </row>
    <row r="54" spans="1:9" x14ac:dyDescent="0.25">
      <c r="A54" s="745" t="s">
        <v>237</v>
      </c>
      <c r="B54" s="536"/>
      <c r="C54" s="536"/>
      <c r="D54" s="536"/>
      <c r="E54" s="536"/>
      <c r="F54" s="536"/>
      <c r="G54" s="536"/>
      <c r="H54" s="536"/>
      <c r="I54" s="537"/>
    </row>
    <row r="55" spans="1:9" x14ac:dyDescent="0.25">
      <c r="A55" s="745" t="s">
        <v>238</v>
      </c>
      <c r="B55" s="536"/>
      <c r="C55" s="536"/>
      <c r="D55" s="536"/>
      <c r="E55" s="536"/>
      <c r="F55" s="536"/>
      <c r="G55" s="536"/>
      <c r="H55" s="536"/>
      <c r="I55" s="537"/>
    </row>
    <row r="56" spans="1:9" x14ac:dyDescent="0.25">
      <c r="A56" s="745" t="s">
        <v>239</v>
      </c>
      <c r="B56" s="536"/>
      <c r="C56" s="536"/>
      <c r="D56" s="536"/>
      <c r="E56" s="536"/>
      <c r="F56" s="536"/>
      <c r="G56" s="536"/>
      <c r="H56" s="536"/>
      <c r="I56" s="537"/>
    </row>
    <row r="57" spans="1:9" x14ac:dyDescent="0.25">
      <c r="A57" s="533"/>
      <c r="B57" s="534"/>
      <c r="C57" s="534"/>
      <c r="D57" s="534"/>
      <c r="E57" s="534"/>
      <c r="F57" s="534"/>
      <c r="G57" s="534"/>
      <c r="H57" s="534"/>
      <c r="I57" s="535"/>
    </row>
    <row r="58" spans="1:9" x14ac:dyDescent="0.25">
      <c r="A58" s="533"/>
      <c r="B58" s="534"/>
      <c r="C58" s="534"/>
      <c r="D58" s="534"/>
      <c r="E58" s="534"/>
      <c r="F58" s="534"/>
      <c r="G58" s="534"/>
      <c r="H58" s="534"/>
      <c r="I58" s="535"/>
    </row>
    <row r="59" spans="1:9" ht="18" customHeight="1" thickBot="1" x14ac:dyDescent="0.3">
      <c r="A59" s="530"/>
      <c r="B59" s="531"/>
      <c r="C59" s="531"/>
      <c r="D59" s="531"/>
      <c r="E59" s="531"/>
      <c r="F59" s="531"/>
      <c r="G59" s="531"/>
      <c r="H59" s="531"/>
      <c r="I59" s="532"/>
    </row>
    <row r="60" spans="1:9" x14ac:dyDescent="0.25">
      <c r="A60" s="425"/>
      <c r="B60" s="425"/>
      <c r="C60" s="425"/>
      <c r="D60" s="425"/>
      <c r="E60" s="425"/>
      <c r="F60" s="425"/>
      <c r="G60" s="425"/>
      <c r="H60" s="425"/>
      <c r="I60" s="425"/>
    </row>
    <row r="61" spans="1:9" ht="15.75" thickBot="1" x14ac:dyDescent="0.3">
      <c r="A61" s="751"/>
      <c r="B61" s="752"/>
      <c r="C61" s="752"/>
      <c r="D61" s="752"/>
      <c r="E61" s="752"/>
      <c r="F61" s="752"/>
      <c r="G61" s="752"/>
      <c r="H61" s="752"/>
      <c r="I61" s="753"/>
    </row>
    <row r="62" spans="1:9" x14ac:dyDescent="0.25">
      <c r="A62" s="582" t="s">
        <v>36</v>
      </c>
      <c r="B62" s="583"/>
      <c r="C62" s="583"/>
      <c r="D62" s="583"/>
      <c r="E62" s="583"/>
      <c r="F62" s="583"/>
      <c r="G62" s="583"/>
      <c r="H62" s="583"/>
      <c r="I62" s="583"/>
    </row>
    <row r="63" spans="1:9" x14ac:dyDescent="0.25">
      <c r="A63" s="569"/>
      <c r="B63" s="570"/>
      <c r="C63" s="570"/>
      <c r="D63" s="570"/>
      <c r="E63" s="570"/>
      <c r="F63" s="570"/>
      <c r="G63" s="570"/>
      <c r="H63" s="570"/>
      <c r="I63" s="570"/>
    </row>
    <row r="64" spans="1:9" x14ac:dyDescent="0.25">
      <c r="A64" s="569"/>
      <c r="B64" s="570"/>
      <c r="C64" s="570"/>
      <c r="D64" s="570"/>
      <c r="E64" s="570"/>
      <c r="F64" s="570"/>
      <c r="G64" s="570"/>
      <c r="H64" s="570"/>
      <c r="I64" s="570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EA55-DE9C-49A7-82C6-CD2995EE8A9F}">
  <dimension ref="A1:M42"/>
  <sheetViews>
    <sheetView workbookViewId="0">
      <selection activeCell="C12" sqref="C12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56.42578125" customWidth="1"/>
    <col min="4" max="4" width="19.5703125" customWidth="1"/>
    <col min="5" max="5" width="14.7109375" customWidth="1"/>
    <col min="7" max="7" width="22.140625" customWidth="1"/>
    <col min="8" max="8" width="15.28515625" customWidth="1"/>
    <col min="9" max="9" width="19.28515625" bestFit="1" customWidth="1"/>
  </cols>
  <sheetData>
    <row r="1" spans="1:9" ht="15.75" x14ac:dyDescent="0.25">
      <c r="A1" s="646"/>
      <c r="B1" s="647"/>
      <c r="C1" s="652" t="s">
        <v>33</v>
      </c>
      <c r="D1" s="652"/>
      <c r="E1" s="652"/>
      <c r="F1" s="652"/>
      <c r="G1" s="652"/>
      <c r="H1" s="15" t="s">
        <v>32</v>
      </c>
      <c r="I1" s="16" t="s">
        <v>198</v>
      </c>
    </row>
    <row r="2" spans="1:9" ht="16.5" thickBot="1" x14ac:dyDescent="0.3">
      <c r="A2" s="648"/>
      <c r="B2" s="649"/>
      <c r="C2" s="748" t="s">
        <v>31</v>
      </c>
      <c r="D2" s="748"/>
      <c r="E2" s="748"/>
      <c r="F2" s="748"/>
      <c r="G2" s="748"/>
      <c r="H2" s="17" t="s">
        <v>30</v>
      </c>
      <c r="I2" s="18" t="s">
        <v>199</v>
      </c>
    </row>
    <row r="3" spans="1:9" ht="21" thickBot="1" x14ac:dyDescent="0.3">
      <c r="A3" s="648"/>
      <c r="B3" s="649"/>
      <c r="C3" s="754" t="s">
        <v>200</v>
      </c>
      <c r="D3" s="755"/>
      <c r="E3" s="755"/>
      <c r="F3" s="755"/>
      <c r="G3" s="756"/>
      <c r="H3" s="659" t="s">
        <v>29</v>
      </c>
      <c r="I3" s="637">
        <v>45608</v>
      </c>
    </row>
    <row r="4" spans="1:9" x14ac:dyDescent="0.25">
      <c r="A4" s="648"/>
      <c r="B4" s="649"/>
      <c r="C4" s="19" t="s">
        <v>28</v>
      </c>
      <c r="D4" s="640" t="s">
        <v>38</v>
      </c>
      <c r="E4" s="641"/>
      <c r="F4" s="641"/>
      <c r="G4" s="642"/>
      <c r="H4" s="660"/>
      <c r="I4" s="638"/>
    </row>
    <row r="5" spans="1:9" ht="15.75" thickBot="1" x14ac:dyDescent="0.3">
      <c r="A5" s="650"/>
      <c r="B5" s="651"/>
      <c r="C5" s="20" t="s">
        <v>27</v>
      </c>
      <c r="D5" s="643" t="s">
        <v>26</v>
      </c>
      <c r="E5" s="644"/>
      <c r="F5" s="644"/>
      <c r="G5" s="645"/>
      <c r="H5" s="661"/>
      <c r="I5" s="639"/>
    </row>
    <row r="6" spans="1:9" ht="18.75" thickBot="1" x14ac:dyDescent="0.3">
      <c r="A6" s="518" t="s">
        <v>25</v>
      </c>
      <c r="B6" s="518"/>
      <c r="C6" s="518"/>
      <c r="D6" s="519" t="s">
        <v>201</v>
      </c>
      <c r="E6" s="519"/>
      <c r="F6" s="519"/>
      <c r="G6" s="517" t="s">
        <v>24</v>
      </c>
      <c r="H6" s="517"/>
      <c r="I6" s="21" t="s">
        <v>201</v>
      </c>
    </row>
    <row r="7" spans="1:9" x14ac:dyDescent="0.25">
      <c r="A7" s="631" t="s">
        <v>23</v>
      </c>
      <c r="B7" s="633" t="s">
        <v>34</v>
      </c>
      <c r="C7" s="635" t="s">
        <v>22</v>
      </c>
      <c r="D7" s="635" t="s">
        <v>21</v>
      </c>
      <c r="E7" s="635" t="s">
        <v>20</v>
      </c>
      <c r="F7" s="635"/>
      <c r="G7" s="635" t="s">
        <v>19</v>
      </c>
      <c r="H7" s="635"/>
      <c r="I7" s="22" t="s">
        <v>18</v>
      </c>
    </row>
    <row r="8" spans="1:9" ht="27" thickBot="1" x14ac:dyDescent="0.3">
      <c r="A8" s="632"/>
      <c r="B8" s="634"/>
      <c r="C8" s="636"/>
      <c r="D8" s="636"/>
      <c r="E8" s="23" t="s">
        <v>14</v>
      </c>
      <c r="F8" s="24" t="s">
        <v>17</v>
      </c>
      <c r="G8" s="23" t="s">
        <v>14</v>
      </c>
      <c r="H8" s="24" t="s">
        <v>17</v>
      </c>
      <c r="I8" s="25" t="s">
        <v>16</v>
      </c>
    </row>
    <row r="9" spans="1:9" ht="20.25" x14ac:dyDescent="0.3">
      <c r="A9" s="327"/>
      <c r="B9" s="328"/>
      <c r="C9" s="325" t="s">
        <v>35</v>
      </c>
      <c r="D9" s="326"/>
      <c r="E9" s="329"/>
      <c r="F9" s="330"/>
      <c r="G9" s="329"/>
      <c r="H9" s="330"/>
      <c r="I9" s="331"/>
    </row>
    <row r="10" spans="1:9" ht="20.25" x14ac:dyDescent="0.3">
      <c r="A10" s="332" t="s">
        <v>202</v>
      </c>
      <c r="B10" s="332"/>
      <c r="C10" s="333" t="s">
        <v>203</v>
      </c>
      <c r="D10" s="334" t="s">
        <v>15</v>
      </c>
      <c r="E10" s="335">
        <v>21400</v>
      </c>
      <c r="F10" s="336" t="s">
        <v>1</v>
      </c>
      <c r="G10" s="337"/>
      <c r="H10" s="330"/>
      <c r="I10" s="331"/>
    </row>
    <row r="11" spans="1:9" ht="20.25" x14ac:dyDescent="0.3">
      <c r="A11" s="338">
        <v>90100131</v>
      </c>
      <c r="B11" s="338" t="s">
        <v>204</v>
      </c>
      <c r="C11" s="339" t="s">
        <v>205</v>
      </c>
      <c r="D11" s="340" t="s">
        <v>15</v>
      </c>
      <c r="E11" s="341">
        <v>8000</v>
      </c>
      <c r="F11" s="342" t="s">
        <v>1</v>
      </c>
      <c r="G11" s="337"/>
      <c r="H11" s="330"/>
      <c r="I11" s="331"/>
    </row>
    <row r="12" spans="1:9" ht="20.25" x14ac:dyDescent="0.3">
      <c r="A12" s="338" t="s">
        <v>206</v>
      </c>
      <c r="B12" s="338" t="s">
        <v>207</v>
      </c>
      <c r="C12" s="339" t="s">
        <v>208</v>
      </c>
      <c r="D12" s="340" t="s">
        <v>209</v>
      </c>
      <c r="E12" s="341">
        <v>5</v>
      </c>
      <c r="F12" s="342" t="s">
        <v>1</v>
      </c>
      <c r="G12" s="337"/>
      <c r="H12" s="330"/>
      <c r="I12" s="331"/>
    </row>
    <row r="13" spans="1:9" ht="20.25" x14ac:dyDescent="0.3">
      <c r="A13" s="338" t="s">
        <v>210</v>
      </c>
      <c r="B13" s="338" t="s">
        <v>211</v>
      </c>
      <c r="C13" s="339" t="s">
        <v>212</v>
      </c>
      <c r="D13" s="340" t="s">
        <v>213</v>
      </c>
      <c r="E13" s="341">
        <v>2000</v>
      </c>
      <c r="F13" s="342" t="s">
        <v>1</v>
      </c>
      <c r="G13" s="337"/>
      <c r="H13" s="330"/>
      <c r="I13" s="331"/>
    </row>
    <row r="14" spans="1:9" ht="20.25" x14ac:dyDescent="0.3">
      <c r="A14" s="338" t="s">
        <v>214</v>
      </c>
      <c r="B14" s="338" t="s">
        <v>93</v>
      </c>
      <c r="C14" s="339" t="s">
        <v>215</v>
      </c>
      <c r="D14" s="340" t="s">
        <v>216</v>
      </c>
      <c r="E14" s="341">
        <v>66</v>
      </c>
      <c r="F14" s="342" t="s">
        <v>1</v>
      </c>
      <c r="G14" s="337"/>
      <c r="H14" s="330"/>
      <c r="I14" s="331"/>
    </row>
    <row r="15" spans="1:9" ht="20.25" x14ac:dyDescent="0.3">
      <c r="A15" s="338"/>
      <c r="B15" s="338"/>
      <c r="C15" s="339"/>
      <c r="D15" s="340"/>
      <c r="E15" s="341"/>
      <c r="F15" s="342"/>
      <c r="G15" s="337"/>
      <c r="H15" s="330"/>
      <c r="I15" s="331"/>
    </row>
    <row r="16" spans="1:9" ht="20.25" x14ac:dyDescent="0.3">
      <c r="A16" s="343"/>
      <c r="B16" s="344"/>
      <c r="C16" s="345" t="s">
        <v>40</v>
      </c>
      <c r="D16" s="346"/>
      <c r="E16" s="347"/>
      <c r="F16" s="348"/>
      <c r="G16" s="329"/>
      <c r="H16" s="330"/>
      <c r="I16" s="331"/>
    </row>
    <row r="17" spans="1:13" ht="20.25" x14ac:dyDescent="0.3">
      <c r="A17" s="349"/>
      <c r="B17" s="346"/>
      <c r="C17" s="350"/>
      <c r="D17" s="351"/>
      <c r="E17" s="352"/>
      <c r="F17" s="348"/>
      <c r="G17" s="329"/>
      <c r="H17" s="330"/>
      <c r="I17" s="331"/>
    </row>
    <row r="18" spans="1:13" ht="20.25" x14ac:dyDescent="0.3">
      <c r="A18" s="353"/>
      <c r="B18" s="354"/>
      <c r="C18" s="355" t="s">
        <v>41</v>
      </c>
      <c r="D18" s="356"/>
      <c r="E18" s="329"/>
      <c r="F18" s="330"/>
      <c r="G18" s="329"/>
      <c r="H18" s="330"/>
      <c r="I18" s="331"/>
    </row>
    <row r="19" spans="1:13" ht="20.25" x14ac:dyDescent="0.3">
      <c r="A19" s="357">
        <v>512000002</v>
      </c>
      <c r="B19" s="358" t="s">
        <v>217</v>
      </c>
      <c r="C19" s="359" t="s">
        <v>218</v>
      </c>
      <c r="D19" s="360" t="s">
        <v>219</v>
      </c>
      <c r="E19" s="361" t="s">
        <v>220</v>
      </c>
      <c r="F19" s="342" t="s">
        <v>221</v>
      </c>
      <c r="G19" s="337"/>
      <c r="H19" s="330"/>
      <c r="I19" s="331"/>
    </row>
    <row r="20" spans="1:13" ht="20.25" x14ac:dyDescent="0.3">
      <c r="A20" s="358" t="s">
        <v>194</v>
      </c>
      <c r="B20" s="358" t="s">
        <v>62</v>
      </c>
      <c r="C20" s="359" t="s">
        <v>63</v>
      </c>
      <c r="D20" s="360"/>
      <c r="E20" s="357">
        <v>2</v>
      </c>
      <c r="F20" s="342" t="s">
        <v>6</v>
      </c>
      <c r="G20" s="329"/>
      <c r="H20" s="330"/>
      <c r="I20" s="331"/>
    </row>
    <row r="21" spans="1:13" ht="20.25" x14ac:dyDescent="0.3">
      <c r="A21" s="362"/>
      <c r="B21" s="363"/>
      <c r="C21" s="364"/>
      <c r="D21" s="346"/>
      <c r="E21" s="352"/>
      <c r="F21" s="348"/>
      <c r="G21" s="329"/>
      <c r="H21" s="330"/>
      <c r="I21" s="331"/>
    </row>
    <row r="22" spans="1:13" ht="20.25" x14ac:dyDescent="0.3">
      <c r="A22" s="343"/>
      <c r="B22" s="344"/>
      <c r="C22" s="365"/>
      <c r="D22" s="346"/>
      <c r="E22" s="346"/>
      <c r="F22" s="348"/>
      <c r="G22" s="346"/>
      <c r="H22" s="346"/>
      <c r="I22" s="331"/>
    </row>
    <row r="23" spans="1:13" ht="21" thickBot="1" x14ac:dyDescent="0.35">
      <c r="A23" s="366"/>
      <c r="B23" s="367"/>
      <c r="C23" s="368"/>
      <c r="D23" s="368"/>
      <c r="E23" s="369"/>
      <c r="F23" s="370"/>
      <c r="G23" s="368"/>
      <c r="H23" s="368"/>
      <c r="I23" s="371"/>
      <c r="J23" s="372"/>
      <c r="K23" s="372"/>
      <c r="L23" s="373"/>
      <c r="M23" s="372"/>
    </row>
    <row r="24" spans="1:13" ht="21" thickBot="1" x14ac:dyDescent="0.35">
      <c r="A24" s="374"/>
      <c r="B24" s="375"/>
      <c r="C24" s="376"/>
      <c r="D24" s="377" t="s">
        <v>14</v>
      </c>
      <c r="E24" s="378" t="s">
        <v>13</v>
      </c>
      <c r="F24" s="379"/>
      <c r="G24" s="376"/>
      <c r="H24" s="376"/>
      <c r="I24" s="380"/>
      <c r="J24" s="372"/>
      <c r="K24" s="372"/>
      <c r="L24" s="373"/>
      <c r="M24" s="372"/>
    </row>
    <row r="25" spans="1:13" ht="20.25" x14ac:dyDescent="0.3">
      <c r="A25" s="700" t="s">
        <v>12</v>
      </c>
      <c r="B25" s="701"/>
      <c r="C25" s="702"/>
      <c r="D25" s="381">
        <v>28460</v>
      </c>
      <c r="E25" s="382" t="s">
        <v>1</v>
      </c>
      <c r="F25" s="703" t="s">
        <v>11</v>
      </c>
      <c r="G25" s="703"/>
      <c r="H25" s="704"/>
      <c r="I25" s="705"/>
      <c r="J25" s="372"/>
      <c r="K25" s="372"/>
      <c r="L25" s="373"/>
      <c r="M25" s="372"/>
    </row>
    <row r="26" spans="1:13" ht="20.25" x14ac:dyDescent="0.3">
      <c r="A26" s="706" t="s">
        <v>10</v>
      </c>
      <c r="B26" s="707"/>
      <c r="C26" s="708"/>
      <c r="D26" s="383">
        <v>15</v>
      </c>
      <c r="E26" s="358" t="s">
        <v>9</v>
      </c>
      <c r="F26" s="709" t="s">
        <v>8</v>
      </c>
      <c r="G26" s="709"/>
      <c r="H26" s="710"/>
      <c r="I26" s="711"/>
      <c r="J26" s="372"/>
      <c r="K26" s="372"/>
      <c r="L26" s="373"/>
      <c r="M26" s="372"/>
    </row>
    <row r="27" spans="1:13" ht="20.25" x14ac:dyDescent="0.3">
      <c r="A27" s="706" t="s">
        <v>7</v>
      </c>
      <c r="B27" s="707"/>
      <c r="C27" s="708"/>
      <c r="D27" s="358">
        <v>1</v>
      </c>
      <c r="E27" s="358" t="s">
        <v>222</v>
      </c>
      <c r="F27" s="709" t="s">
        <v>5</v>
      </c>
      <c r="G27" s="709"/>
      <c r="H27" s="710"/>
      <c r="I27" s="711"/>
      <c r="J27" s="372"/>
      <c r="K27" s="372"/>
      <c r="L27" s="373"/>
      <c r="M27" s="372"/>
    </row>
    <row r="28" spans="1:13" ht="20.25" x14ac:dyDescent="0.3">
      <c r="A28" s="706" t="s">
        <v>4</v>
      </c>
      <c r="B28" s="707"/>
      <c r="C28" s="708"/>
      <c r="D28" s="381">
        <v>28460</v>
      </c>
      <c r="E28" s="358" t="s">
        <v>1</v>
      </c>
      <c r="F28" s="716" t="s">
        <v>3</v>
      </c>
      <c r="G28" s="717"/>
      <c r="H28" s="710"/>
      <c r="I28" s="711"/>
      <c r="J28" s="372"/>
      <c r="K28" s="372"/>
      <c r="L28" s="373"/>
      <c r="M28" s="384"/>
    </row>
    <row r="29" spans="1:13" ht="21" thickBot="1" x14ac:dyDescent="0.35">
      <c r="A29" s="720" t="s">
        <v>2</v>
      </c>
      <c r="B29" s="721"/>
      <c r="C29" s="722"/>
      <c r="D29" s="385">
        <f>SUM(E10:E14)-D25</f>
        <v>3011</v>
      </c>
      <c r="E29" s="386" t="s">
        <v>1</v>
      </c>
      <c r="F29" s="723"/>
      <c r="G29" s="723"/>
      <c r="H29" s="757"/>
      <c r="I29" s="758"/>
      <c r="J29" s="74"/>
      <c r="K29" s="74"/>
      <c r="L29" s="373"/>
      <c r="M29" s="74"/>
    </row>
    <row r="30" spans="1:13" ht="21" thickBot="1" x14ac:dyDescent="0.35">
      <c r="A30" s="759" t="s">
        <v>0</v>
      </c>
      <c r="B30" s="760"/>
      <c r="C30" s="760"/>
      <c r="D30" s="760"/>
      <c r="E30" s="760"/>
      <c r="F30" s="760"/>
      <c r="G30" s="760"/>
      <c r="H30" s="760"/>
      <c r="I30" s="761"/>
      <c r="J30" s="372"/>
      <c r="K30" s="372"/>
      <c r="L30" s="372"/>
      <c r="M30" s="372"/>
    </row>
    <row r="31" spans="1:13" ht="20.25" x14ac:dyDescent="0.3">
      <c r="A31" s="733" t="s">
        <v>223</v>
      </c>
      <c r="B31" s="733"/>
      <c r="C31" s="733"/>
      <c r="D31" s="733"/>
      <c r="E31" s="733"/>
      <c r="F31" s="733"/>
      <c r="G31" s="733"/>
      <c r="H31" s="733"/>
      <c r="I31" s="733"/>
      <c r="J31" s="372"/>
      <c r="K31" s="372"/>
      <c r="L31" s="372"/>
      <c r="M31" s="372"/>
    </row>
    <row r="32" spans="1:13" ht="20.25" x14ac:dyDescent="0.3">
      <c r="A32" s="733" t="s">
        <v>224</v>
      </c>
      <c r="B32" s="733"/>
      <c r="C32" s="733"/>
      <c r="D32" s="733"/>
      <c r="E32" s="733"/>
      <c r="F32" s="733"/>
      <c r="G32" s="733"/>
      <c r="H32" s="733"/>
      <c r="I32" s="733"/>
      <c r="J32" s="372"/>
      <c r="K32" s="372"/>
      <c r="L32" s="372"/>
      <c r="M32" s="372"/>
    </row>
    <row r="33" spans="1:13" ht="20.25" x14ac:dyDescent="0.3">
      <c r="A33" s="714" t="s">
        <v>225</v>
      </c>
      <c r="B33" s="714"/>
      <c r="C33" s="714"/>
      <c r="D33" s="714"/>
      <c r="E33" s="714"/>
      <c r="F33" s="714"/>
      <c r="G33" s="714"/>
      <c r="H33" s="714"/>
      <c r="I33" s="714"/>
      <c r="J33" s="372"/>
      <c r="K33" s="372"/>
      <c r="L33" s="372"/>
      <c r="M33" s="372"/>
    </row>
    <row r="34" spans="1:13" ht="20.25" x14ac:dyDescent="0.3">
      <c r="A34" s="767"/>
      <c r="B34" s="767"/>
      <c r="C34" s="767"/>
      <c r="D34" s="767"/>
      <c r="E34" s="767"/>
      <c r="F34" s="767"/>
      <c r="G34" s="767"/>
      <c r="H34" s="767"/>
      <c r="I34" s="767"/>
      <c r="J34" s="372"/>
      <c r="K34" s="372"/>
      <c r="L34" s="372"/>
      <c r="M34" s="372"/>
    </row>
    <row r="35" spans="1:13" ht="20.25" x14ac:dyDescent="0.3">
      <c r="A35" s="767"/>
      <c r="B35" s="767"/>
      <c r="C35" s="767"/>
      <c r="D35" s="767"/>
      <c r="E35" s="767"/>
      <c r="F35" s="767"/>
      <c r="G35" s="767"/>
      <c r="H35" s="767"/>
      <c r="I35" s="767"/>
      <c r="J35" s="372"/>
      <c r="K35" s="372"/>
      <c r="L35" s="372"/>
      <c r="M35" s="372"/>
    </row>
    <row r="36" spans="1:13" ht="20.25" x14ac:dyDescent="0.3">
      <c r="A36" s="768"/>
      <c r="B36" s="767"/>
      <c r="C36" s="767"/>
      <c r="D36" s="767"/>
      <c r="E36" s="767"/>
      <c r="F36" s="767"/>
      <c r="G36" s="767"/>
      <c r="H36" s="767"/>
      <c r="I36" s="769"/>
      <c r="J36" s="372"/>
      <c r="K36" s="372"/>
      <c r="L36" s="372"/>
      <c r="M36" s="372"/>
    </row>
    <row r="37" spans="1:13" ht="20.25" x14ac:dyDescent="0.3">
      <c r="A37" s="768"/>
      <c r="B37" s="767"/>
      <c r="C37" s="767"/>
      <c r="D37" s="767"/>
      <c r="E37" s="767"/>
      <c r="F37" s="767"/>
      <c r="G37" s="767"/>
      <c r="H37" s="767"/>
      <c r="I37" s="769"/>
      <c r="J37" s="372"/>
      <c r="K37" s="372"/>
      <c r="L37" s="372"/>
      <c r="M37" s="372"/>
    </row>
    <row r="38" spans="1:13" ht="20.25" x14ac:dyDescent="0.3">
      <c r="A38" s="770"/>
      <c r="B38" s="771"/>
      <c r="C38" s="771"/>
      <c r="D38" s="771"/>
      <c r="E38" s="771"/>
      <c r="F38" s="771"/>
      <c r="G38" s="771"/>
      <c r="H38" s="771"/>
      <c r="I38" s="772"/>
      <c r="J38" s="372"/>
      <c r="K38" s="372"/>
      <c r="L38" s="372"/>
      <c r="M38" s="372"/>
    </row>
    <row r="39" spans="1:13" ht="21" thickBot="1" x14ac:dyDescent="0.35">
      <c r="A39" s="762"/>
      <c r="B39" s="763"/>
      <c r="C39" s="763"/>
      <c r="D39" s="763"/>
      <c r="E39" s="763"/>
      <c r="F39" s="763"/>
      <c r="G39" s="763"/>
      <c r="H39" s="763"/>
      <c r="I39" s="764"/>
      <c r="J39" s="372"/>
      <c r="K39" s="372"/>
      <c r="L39" s="372"/>
      <c r="M39" s="372"/>
    </row>
    <row r="40" spans="1:13" ht="20.25" x14ac:dyDescent="0.3">
      <c r="A40" s="738" t="s">
        <v>36</v>
      </c>
      <c r="B40" s="739"/>
      <c r="C40" s="739"/>
      <c r="D40" s="739"/>
      <c r="E40" s="739"/>
      <c r="F40" s="739"/>
      <c r="G40" s="739"/>
      <c r="H40" s="739"/>
      <c r="I40" s="739"/>
      <c r="J40" s="372"/>
      <c r="K40" s="372"/>
      <c r="L40" s="372"/>
      <c r="M40" s="372"/>
    </row>
    <row r="41" spans="1:13" ht="20.25" x14ac:dyDescent="0.3">
      <c r="A41" s="765" t="s">
        <v>226</v>
      </c>
      <c r="B41" s="766"/>
      <c r="C41" s="766"/>
      <c r="D41" s="766"/>
      <c r="E41" s="766"/>
      <c r="F41" s="766"/>
      <c r="G41" s="766"/>
      <c r="H41" s="766"/>
      <c r="I41" s="766"/>
      <c r="J41" s="372"/>
      <c r="K41" s="372"/>
      <c r="L41" s="372"/>
      <c r="M41" s="372"/>
    </row>
    <row r="42" spans="1:13" x14ac:dyDescent="0.25">
      <c r="A42" s="569"/>
      <c r="B42" s="570"/>
      <c r="C42" s="570"/>
      <c r="D42" s="570"/>
      <c r="E42" s="570"/>
      <c r="F42" s="570"/>
      <c r="G42" s="570"/>
      <c r="H42" s="570"/>
      <c r="I42" s="570"/>
    </row>
  </sheetData>
  <mergeCells count="45"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  <mergeCell ref="A38:I38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AB2C53-732D-4A67-87FB-84AA1BE4D7DD}"/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Torta Zanahoria Local</vt:lpstr>
      <vt:lpstr>Costo Torta Zanahoria </vt:lpstr>
      <vt:lpstr>Rosquete Zanahora 280g</vt:lpstr>
      <vt:lpstr>Batido QQ Zanahoria </vt:lpstr>
      <vt:lpstr>Costo Rosquete Zanahoria </vt:lpstr>
      <vt:lpstr>Procesado Borona de Zanahoria</vt:lpstr>
      <vt:lpstr>Costo procesado Borona</vt:lpstr>
      <vt:lpstr>Premezcla QQ Zanahoria </vt:lpstr>
      <vt:lpstr>Pecana Tostada</vt:lpstr>
      <vt:lpstr>costo procesado Pecana</vt:lpstr>
      <vt:lpstr>Relleno de Queso y Condensada</vt:lpstr>
      <vt:lpstr>costo relleno Queso </vt:lpstr>
      <vt:lpstr>Leche condensada Cocinada </vt:lpstr>
      <vt:lpstr>almibar </vt:lpstr>
      <vt:lpstr>'Relleno de Queso y Condensada'!Área_de_impresión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2026-02-10T17:46:26Z</cp:lastPrinted>
  <dcterms:created xsi:type="dcterms:W3CDTF">2025-01-06T20:55:42Z</dcterms:created>
  <dcterms:modified xsi:type="dcterms:W3CDTF">2026-02-10T17:47:43Z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
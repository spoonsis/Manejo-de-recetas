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4" documentId="8_{C7423BF0-780D-442A-94B2-B81E887F9EDB}" xr6:coauthVersionLast="47" xr6:coauthVersionMax="47" xr10:uidLastSave="{FC2C500D-2985-4CE0-9F68-A4B2CB6751DC}"/>
  <bookViews>
    <workbookView xWindow="-120" yWindow="-120" windowWidth="20730" windowHeight="11040" tabRatio="876" xr2:uid="{660170C5-78F9-4AA1-B8E5-18531BBD2222}"/>
  </bookViews>
  <sheets>
    <sheet name="Hoja1" sheetId="11" r:id="rId1"/>
    <sheet name="Costo Relleno" sheetId="8" state="hidden" r:id="rId2"/>
    <sheet name="costo Empanada " sheetId="9" state="hidden" r:id="rId3"/>
    <sheet name="Costo Empaque" sheetId="10" state="hidden" r:id="rId4"/>
  </sheets>
  <externalReferences>
    <externalReference r:id="rId5"/>
    <externalReference r:id="rId6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8" l="1"/>
  <c r="C14" i="8"/>
  <c r="B14" i="8"/>
  <c r="D13" i="8"/>
  <c r="C13" i="8"/>
  <c r="B13" i="8"/>
  <c r="D12" i="8"/>
  <c r="C12" i="8"/>
  <c r="F12" i="8"/>
  <c r="B12" i="8"/>
  <c r="E11" i="8"/>
  <c r="D11" i="8"/>
  <c r="C11" i="8"/>
  <c r="B11" i="8"/>
  <c r="D10" i="8"/>
  <c r="C10" i="8"/>
  <c r="B10" i="8"/>
  <c r="D73" i="10"/>
  <c r="D74" i="10"/>
  <c r="D76" i="10"/>
  <c r="D71" i="10"/>
  <c r="D69" i="10"/>
  <c r="F65" i="10"/>
  <c r="E51" i="10"/>
  <c r="F51" i="10"/>
  <c r="D60" i="10"/>
  <c r="D85" i="10"/>
  <c r="D86" i="10"/>
  <c r="C51" i="10"/>
  <c r="E50" i="10"/>
  <c r="D50" i="10"/>
  <c r="B50" i="10"/>
  <c r="E49" i="10"/>
  <c r="F49" i="10"/>
  <c r="D49" i="10"/>
  <c r="B49" i="10"/>
  <c r="E48" i="10"/>
  <c r="D48" i="10"/>
  <c r="B48" i="10"/>
  <c r="E47" i="10"/>
  <c r="D47" i="10"/>
  <c r="B47" i="10"/>
  <c r="E46" i="10"/>
  <c r="F46" i="10"/>
  <c r="D46" i="10"/>
  <c r="B46" i="10"/>
  <c r="E45" i="10"/>
  <c r="F45" i="10"/>
  <c r="D45" i="10"/>
  <c r="B45" i="10"/>
  <c r="E41" i="10"/>
  <c r="D41" i="10"/>
  <c r="B41" i="10"/>
  <c r="A41" i="10"/>
  <c r="A50" i="10"/>
  <c r="C50" i="10"/>
  <c r="F50" i="10"/>
  <c r="E40" i="10"/>
  <c r="F40" i="10"/>
  <c r="D40" i="10"/>
  <c r="C40" i="10"/>
  <c r="B40" i="10"/>
  <c r="A40" i="10"/>
  <c r="A49" i="10"/>
  <c r="C49" i="10"/>
  <c r="E39" i="10"/>
  <c r="D39" i="10"/>
  <c r="B39" i="10"/>
  <c r="A39" i="10"/>
  <c r="C39" i="10"/>
  <c r="E38" i="10"/>
  <c r="D38" i="10"/>
  <c r="B38" i="10"/>
  <c r="A38" i="10"/>
  <c r="C38" i="10"/>
  <c r="E37" i="10"/>
  <c r="F37" i="10"/>
  <c r="D37" i="10"/>
  <c r="C37" i="10"/>
  <c r="B37" i="10"/>
  <c r="A37" i="10"/>
  <c r="A46" i="10"/>
  <c r="C46" i="10"/>
  <c r="E36" i="10"/>
  <c r="D36" i="10"/>
  <c r="B36" i="10"/>
  <c r="A36" i="10"/>
  <c r="A45" i="10"/>
  <c r="C45" i="10"/>
  <c r="A35" i="10"/>
  <c r="C35" i="10"/>
  <c r="E32" i="10"/>
  <c r="F32" i="10"/>
  <c r="D32" i="10"/>
  <c r="C32" i="10"/>
  <c r="B32" i="10"/>
  <c r="E31" i="10"/>
  <c r="F31" i="10"/>
  <c r="D31" i="10"/>
  <c r="C31" i="10"/>
  <c r="B31" i="10"/>
  <c r="E30" i="10"/>
  <c r="D30" i="10"/>
  <c r="C30" i="10"/>
  <c r="B30" i="10"/>
  <c r="E29" i="10"/>
  <c r="D29" i="10"/>
  <c r="C29" i="10"/>
  <c r="B29" i="10"/>
  <c r="D28" i="10"/>
  <c r="C28" i="10"/>
  <c r="B28" i="10"/>
  <c r="D27" i="10"/>
  <c r="C27" i="10"/>
  <c r="B27" i="10"/>
  <c r="E24" i="10"/>
  <c r="F24" i="10"/>
  <c r="D24" i="10"/>
  <c r="C24" i="10"/>
  <c r="B24" i="10"/>
  <c r="E23" i="10"/>
  <c r="F23" i="10"/>
  <c r="D23" i="10"/>
  <c r="C23" i="10"/>
  <c r="B23" i="10"/>
  <c r="E22" i="10"/>
  <c r="F22" i="10"/>
  <c r="D22" i="10"/>
  <c r="C22" i="10"/>
  <c r="B22" i="10"/>
  <c r="E21" i="10"/>
  <c r="F21" i="10"/>
  <c r="D21" i="10"/>
  <c r="C21" i="10"/>
  <c r="B21" i="10"/>
  <c r="E20" i="10"/>
  <c r="F20" i="10"/>
  <c r="D20" i="10"/>
  <c r="C20" i="10"/>
  <c r="B20" i="10"/>
  <c r="E19" i="10"/>
  <c r="F19" i="10"/>
  <c r="D19" i="10"/>
  <c r="C19" i="10"/>
  <c r="B19" i="10"/>
  <c r="E18" i="10"/>
  <c r="D18" i="10"/>
  <c r="C18" i="10"/>
  <c r="B18" i="10"/>
  <c r="C17" i="10"/>
  <c r="B15" i="10"/>
  <c r="E14" i="10"/>
  <c r="F14" i="10"/>
  <c r="D14" i="10"/>
  <c r="C14" i="10"/>
  <c r="B14" i="10"/>
  <c r="E13" i="10"/>
  <c r="D13" i="10"/>
  <c r="C13" i="10"/>
  <c r="B13" i="10"/>
  <c r="E12" i="10"/>
  <c r="F12" i="10"/>
  <c r="D12" i="10"/>
  <c r="C12" i="10"/>
  <c r="B12" i="10"/>
  <c r="E11" i="10"/>
  <c r="F11" i="10"/>
  <c r="D11" i="10"/>
  <c r="C11" i="10"/>
  <c r="B11" i="10"/>
  <c r="E10" i="10"/>
  <c r="F10" i="10"/>
  <c r="D10" i="10"/>
  <c r="C10" i="10"/>
  <c r="B10" i="10"/>
  <c r="E9" i="10"/>
  <c r="F9" i="10"/>
  <c r="D9" i="10"/>
  <c r="C9" i="10"/>
  <c r="B9" i="10"/>
  <c r="E8" i="10"/>
  <c r="F8" i="10"/>
  <c r="D8" i="10"/>
  <c r="C8" i="10"/>
  <c r="B8" i="10"/>
  <c r="H6" i="10"/>
  <c r="D73" i="9"/>
  <c r="D74" i="9"/>
  <c r="D76" i="9"/>
  <c r="D71" i="9"/>
  <c r="D69" i="9"/>
  <c r="F65" i="9"/>
  <c r="E51" i="9"/>
  <c r="F51" i="9"/>
  <c r="D60" i="9"/>
  <c r="D85" i="9"/>
  <c r="D86" i="9"/>
  <c r="C51" i="9"/>
  <c r="E50" i="9"/>
  <c r="F50" i="9"/>
  <c r="D50" i="9"/>
  <c r="B50" i="9"/>
  <c r="E49" i="9"/>
  <c r="D49" i="9"/>
  <c r="B49" i="9"/>
  <c r="E48" i="9"/>
  <c r="D48" i="9"/>
  <c r="B48" i="9"/>
  <c r="E47" i="9"/>
  <c r="F47" i="9"/>
  <c r="D47" i="9"/>
  <c r="B47" i="9"/>
  <c r="E46" i="9"/>
  <c r="F46" i="9"/>
  <c r="D46" i="9"/>
  <c r="B46" i="9"/>
  <c r="D44" i="9"/>
  <c r="B44" i="9"/>
  <c r="E41" i="9"/>
  <c r="F41" i="9"/>
  <c r="D41" i="9"/>
  <c r="B41" i="9"/>
  <c r="A41" i="9"/>
  <c r="A50" i="9"/>
  <c r="C50" i="9"/>
  <c r="E40" i="9"/>
  <c r="F40" i="9"/>
  <c r="D40" i="9"/>
  <c r="B40" i="9"/>
  <c r="A40" i="9"/>
  <c r="C40" i="9"/>
  <c r="E39" i="9"/>
  <c r="F39" i="9"/>
  <c r="D39" i="9"/>
  <c r="B39" i="9"/>
  <c r="A39" i="9"/>
  <c r="A48" i="9"/>
  <c r="C48" i="9"/>
  <c r="F48" i="9"/>
  <c r="E38" i="9"/>
  <c r="F38" i="9"/>
  <c r="D38" i="9"/>
  <c r="B38" i="9"/>
  <c r="A38" i="9"/>
  <c r="C38" i="9"/>
  <c r="E37" i="9"/>
  <c r="F37" i="9"/>
  <c r="D37" i="9"/>
  <c r="B37" i="9"/>
  <c r="A37" i="9"/>
  <c r="A46" i="9"/>
  <c r="C46" i="9"/>
  <c r="A36" i="9"/>
  <c r="C36" i="9"/>
  <c r="D35" i="9"/>
  <c r="B35" i="9"/>
  <c r="A35" i="9"/>
  <c r="A44" i="9"/>
  <c r="C44" i="9"/>
  <c r="E32" i="9"/>
  <c r="F32" i="9"/>
  <c r="D32" i="9"/>
  <c r="C32" i="9"/>
  <c r="B32" i="9"/>
  <c r="E31" i="9"/>
  <c r="F31" i="9"/>
  <c r="D31" i="9"/>
  <c r="C31" i="9"/>
  <c r="B31" i="9"/>
  <c r="E30" i="9"/>
  <c r="F30" i="9"/>
  <c r="D30" i="9"/>
  <c r="C30" i="9"/>
  <c r="B30" i="9"/>
  <c r="E29" i="9"/>
  <c r="F29" i="9"/>
  <c r="D29" i="9"/>
  <c r="C29" i="9"/>
  <c r="B29" i="9"/>
  <c r="E28" i="9"/>
  <c r="F28" i="9"/>
  <c r="D28" i="9"/>
  <c r="C28" i="9"/>
  <c r="B28" i="9"/>
  <c r="F27" i="9"/>
  <c r="D27" i="9"/>
  <c r="C27" i="9"/>
  <c r="B27" i="9"/>
  <c r="E24" i="9"/>
  <c r="F24" i="9"/>
  <c r="D24" i="9"/>
  <c r="C24" i="9"/>
  <c r="B24" i="9"/>
  <c r="E23" i="9"/>
  <c r="F23" i="9"/>
  <c r="D23" i="9"/>
  <c r="C23" i="9"/>
  <c r="B23" i="9"/>
  <c r="E22" i="9"/>
  <c r="F22" i="9"/>
  <c r="D22" i="9"/>
  <c r="C22" i="9"/>
  <c r="B22" i="9"/>
  <c r="E21" i="9"/>
  <c r="F21" i="9"/>
  <c r="D21" i="9"/>
  <c r="C21" i="9"/>
  <c r="B21" i="9"/>
  <c r="E20" i="9"/>
  <c r="F20" i="9"/>
  <c r="D20" i="9"/>
  <c r="C20" i="9"/>
  <c r="B20" i="9"/>
  <c r="E19" i="9"/>
  <c r="F19" i="9"/>
  <c r="D19" i="9"/>
  <c r="C19" i="9"/>
  <c r="B19" i="9"/>
  <c r="C18" i="9"/>
  <c r="D17" i="9"/>
  <c r="C17" i="9"/>
  <c r="B17" i="9"/>
  <c r="B15" i="9"/>
  <c r="E14" i="9"/>
  <c r="F14" i="9"/>
  <c r="D14" i="9"/>
  <c r="C14" i="9"/>
  <c r="B14" i="9"/>
  <c r="E13" i="9"/>
  <c r="F13" i="9"/>
  <c r="D13" i="9"/>
  <c r="C13" i="9"/>
  <c r="B13" i="9"/>
  <c r="E12" i="9"/>
  <c r="F12" i="9"/>
  <c r="D12" i="9"/>
  <c r="C12" i="9"/>
  <c r="B12" i="9"/>
  <c r="E11" i="9"/>
  <c r="F11" i="9"/>
  <c r="D11" i="9"/>
  <c r="C11" i="9"/>
  <c r="B11" i="9"/>
  <c r="E10" i="9"/>
  <c r="D10" i="9"/>
  <c r="C10" i="9"/>
  <c r="B10" i="9"/>
  <c r="E9" i="9"/>
  <c r="F9" i="9"/>
  <c r="D9" i="9"/>
  <c r="C9" i="9"/>
  <c r="B9" i="9"/>
  <c r="D8" i="9"/>
  <c r="C8" i="9"/>
  <c r="B8" i="9"/>
  <c r="H6" i="9"/>
  <c r="D78" i="8"/>
  <c r="D79" i="8"/>
  <c r="D81" i="8"/>
  <c r="D76" i="8"/>
  <c r="D74" i="8"/>
  <c r="F70" i="8"/>
  <c r="C78" i="8"/>
  <c r="C90" i="8"/>
  <c r="D65" i="8"/>
  <c r="D90" i="8"/>
  <c r="D91" i="8"/>
  <c r="C56" i="8"/>
  <c r="E55" i="8"/>
  <c r="F55" i="8"/>
  <c r="D55" i="8"/>
  <c r="B55" i="8"/>
  <c r="E54" i="8"/>
  <c r="D54" i="8"/>
  <c r="B54" i="8"/>
  <c r="E53" i="8"/>
  <c r="F53" i="8"/>
  <c r="D53" i="8"/>
  <c r="B53" i="8"/>
  <c r="E52" i="8"/>
  <c r="F52" i="8"/>
  <c r="D52" i="8"/>
  <c r="B52" i="8"/>
  <c r="E51" i="8"/>
  <c r="F51" i="8"/>
  <c r="D51" i="8"/>
  <c r="B51" i="8"/>
  <c r="E49" i="8"/>
  <c r="F49" i="8"/>
  <c r="D49" i="8"/>
  <c r="B49" i="8"/>
  <c r="E46" i="8"/>
  <c r="F46" i="8"/>
  <c r="D46" i="8"/>
  <c r="B46" i="8"/>
  <c r="A46" i="8"/>
  <c r="A55" i="8"/>
  <c r="C55" i="8"/>
  <c r="E45" i="8"/>
  <c r="F45" i="8"/>
  <c r="D45" i="8"/>
  <c r="B45" i="8"/>
  <c r="A45" i="8"/>
  <c r="A54" i="8"/>
  <c r="C54" i="8"/>
  <c r="E44" i="8"/>
  <c r="F44" i="8"/>
  <c r="D44" i="8"/>
  <c r="B44" i="8"/>
  <c r="A44" i="8"/>
  <c r="C44" i="8"/>
  <c r="E43" i="8"/>
  <c r="D43" i="8"/>
  <c r="B43" i="8"/>
  <c r="A43" i="8"/>
  <c r="C43" i="8"/>
  <c r="E42" i="8"/>
  <c r="F42" i="8"/>
  <c r="D42" i="8"/>
  <c r="B42" i="8"/>
  <c r="A42" i="8"/>
  <c r="A51" i="8"/>
  <c r="C51" i="8"/>
  <c r="A41" i="8"/>
  <c r="A50" i="8"/>
  <c r="C50" i="8"/>
  <c r="E40" i="8"/>
  <c r="F40" i="8"/>
  <c r="D40" i="8"/>
  <c r="B40" i="8"/>
  <c r="A40" i="8"/>
  <c r="C40" i="8"/>
  <c r="E37" i="8"/>
  <c r="F37" i="8"/>
  <c r="D37" i="8"/>
  <c r="C37" i="8"/>
  <c r="B37" i="8"/>
  <c r="E36" i="8"/>
  <c r="F36" i="8"/>
  <c r="D36" i="8"/>
  <c r="C36" i="8"/>
  <c r="B36" i="8"/>
  <c r="E35" i="8"/>
  <c r="F35" i="8"/>
  <c r="D35" i="8"/>
  <c r="C35" i="8"/>
  <c r="B35" i="8"/>
  <c r="E34" i="8"/>
  <c r="F34" i="8"/>
  <c r="D34" i="8"/>
  <c r="C34" i="8"/>
  <c r="B34" i="8"/>
  <c r="E33" i="8"/>
  <c r="F33" i="8"/>
  <c r="D33" i="8"/>
  <c r="C33" i="8"/>
  <c r="B33" i="8"/>
  <c r="E32" i="8"/>
  <c r="F32" i="8"/>
  <c r="D32" i="8"/>
  <c r="C32" i="8"/>
  <c r="B32" i="8"/>
  <c r="E29" i="8"/>
  <c r="F29" i="8"/>
  <c r="D29" i="8"/>
  <c r="C29" i="8"/>
  <c r="B29" i="8"/>
  <c r="E28" i="8"/>
  <c r="F28" i="8"/>
  <c r="D28" i="8"/>
  <c r="C28" i="8"/>
  <c r="B28" i="8"/>
  <c r="E27" i="8"/>
  <c r="F27" i="8"/>
  <c r="D27" i="8"/>
  <c r="C27" i="8"/>
  <c r="B27" i="8"/>
  <c r="E26" i="8"/>
  <c r="F26" i="8"/>
  <c r="D26" i="8"/>
  <c r="C26" i="8"/>
  <c r="B26" i="8"/>
  <c r="E25" i="8"/>
  <c r="F25" i="8"/>
  <c r="D25" i="8"/>
  <c r="C25" i="8"/>
  <c r="B25" i="8"/>
  <c r="E24" i="8"/>
  <c r="F24" i="8"/>
  <c r="D24" i="8"/>
  <c r="C24" i="8"/>
  <c r="B24" i="8"/>
  <c r="C23" i="8"/>
  <c r="E22" i="8"/>
  <c r="F22" i="8"/>
  <c r="D22" i="8"/>
  <c r="C22" i="8"/>
  <c r="B22" i="8"/>
  <c r="B20" i="8"/>
  <c r="E19" i="8"/>
  <c r="F19" i="8"/>
  <c r="D19" i="8"/>
  <c r="C19" i="8"/>
  <c r="B19" i="8"/>
  <c r="E18" i="8"/>
  <c r="F18" i="8"/>
  <c r="D18" i="8"/>
  <c r="C18" i="8"/>
  <c r="B18" i="8"/>
  <c r="C17" i="8"/>
  <c r="E16" i="8"/>
  <c r="D16" i="8"/>
  <c r="C16" i="8"/>
  <c r="E15" i="8"/>
  <c r="F15" i="8"/>
  <c r="D15" i="8"/>
  <c r="C15" i="8"/>
  <c r="B15" i="8"/>
  <c r="D9" i="8"/>
  <c r="C9" i="8"/>
  <c r="B9" i="8"/>
  <c r="D8" i="8"/>
  <c r="C8" i="8"/>
  <c r="B8" i="8"/>
  <c r="H6" i="8"/>
  <c r="D81" i="10"/>
  <c r="D83" i="10"/>
  <c r="F18" i="10"/>
  <c r="C36" i="10"/>
  <c r="F36" i="10"/>
  <c r="F38" i="10"/>
  <c r="F39" i="10"/>
  <c r="C41" i="10"/>
  <c r="F41" i="10"/>
  <c r="F13" i="10"/>
  <c r="F29" i="10"/>
  <c r="F27" i="10"/>
  <c r="F28" i="10"/>
  <c r="F30" i="10"/>
  <c r="F10" i="9"/>
  <c r="D81" i="9"/>
  <c r="D83" i="9"/>
  <c r="F8" i="9"/>
  <c r="C39" i="9"/>
  <c r="A47" i="9"/>
  <c r="C47" i="9"/>
  <c r="F44" i="9"/>
  <c r="F17" i="9"/>
  <c r="C35" i="9"/>
  <c r="F35" i="9"/>
  <c r="F50" i="8"/>
  <c r="F11" i="8"/>
  <c r="F16" i="8"/>
  <c r="F10" i="8"/>
  <c r="F13" i="8"/>
  <c r="F9" i="8"/>
  <c r="F14" i="8"/>
  <c r="F23" i="8"/>
  <c r="C45" i="8"/>
  <c r="E56" i="8"/>
  <c r="F56" i="8"/>
  <c r="F8" i="8"/>
  <c r="F17" i="8"/>
  <c r="A49" i="8"/>
  <c r="C49" i="8"/>
  <c r="F43" i="8"/>
  <c r="C46" i="8"/>
  <c r="A53" i="8"/>
  <c r="C53" i="8"/>
  <c r="C41" i="8"/>
  <c r="F41" i="8"/>
  <c r="C42" i="8"/>
  <c r="A44" i="10"/>
  <c r="C44" i="10"/>
  <c r="A48" i="10"/>
  <c r="C48" i="10"/>
  <c r="F48" i="10"/>
  <c r="A47" i="10"/>
  <c r="C47" i="10"/>
  <c r="F47" i="10"/>
  <c r="C73" i="10"/>
  <c r="C37" i="9"/>
  <c r="C41" i="9"/>
  <c r="A45" i="9"/>
  <c r="C45" i="9"/>
  <c r="A49" i="9"/>
  <c r="C49" i="9"/>
  <c r="F49" i="9"/>
  <c r="C73" i="9"/>
  <c r="E90" i="8"/>
  <c r="F54" i="8"/>
  <c r="E78" i="8"/>
  <c r="D88" i="8"/>
  <c r="D86" i="8"/>
  <c r="A52" i="8"/>
  <c r="C52" i="8"/>
  <c r="C85" i="10"/>
  <c r="E85" i="10"/>
  <c r="E73" i="10"/>
  <c r="C85" i="9"/>
  <c r="E85" i="9"/>
  <c r="E73" i="9"/>
  <c r="F59" i="8"/>
  <c r="F61" i="8"/>
  <c r="F58" i="8"/>
  <c r="F60" i="8"/>
  <c r="H58" i="8"/>
  <c r="F2" i="8"/>
  <c r="F69" i="8"/>
  <c r="C74" i="8"/>
  <c r="C79" i="8"/>
  <c r="H61" i="8"/>
  <c r="C81" i="8"/>
  <c r="E81" i="8"/>
  <c r="E36" i="9"/>
  <c r="F36" i="9"/>
  <c r="H59" i="8"/>
  <c r="G2" i="8"/>
  <c r="F54" i="9"/>
  <c r="C91" i="8"/>
  <c r="E91" i="8"/>
  <c r="E79" i="8"/>
  <c r="E45" i="9"/>
  <c r="F45" i="9"/>
  <c r="H2" i="8"/>
  <c r="O60" i="8"/>
  <c r="H63" i="8"/>
  <c r="H64" i="8"/>
  <c r="O63" i="8"/>
  <c r="C86" i="8"/>
  <c r="E86" i="8"/>
  <c r="E74" i="8"/>
  <c r="H60" i="8"/>
  <c r="O59" i="8"/>
  <c r="F68" i="8"/>
  <c r="O61" i="8"/>
  <c r="O62" i="8"/>
  <c r="O64" i="8"/>
  <c r="H54" i="9"/>
  <c r="C76" i="9"/>
  <c r="E76" i="9"/>
  <c r="F71" i="8"/>
  <c r="G68" i="8"/>
  <c r="C76" i="8"/>
  <c r="E68" i="8"/>
  <c r="E18" i="9"/>
  <c r="F18" i="9"/>
  <c r="E83" i="8"/>
  <c r="F56" i="9"/>
  <c r="C74" i="9"/>
  <c r="H56" i="9"/>
  <c r="G2" i="9"/>
  <c r="E35" i="10"/>
  <c r="F35" i="10"/>
  <c r="E76" i="8"/>
  <c r="C88" i="8"/>
  <c r="E88" i="8"/>
  <c r="F53" i="9"/>
  <c r="G17" i="8"/>
  <c r="G50" i="8"/>
  <c r="G9" i="8"/>
  <c r="G45" i="8"/>
  <c r="G71" i="8"/>
  <c r="G55" i="8"/>
  <c r="G23" i="8"/>
  <c r="G56" i="8"/>
  <c r="G11" i="8"/>
  <c r="G15" i="8"/>
  <c r="G13" i="8"/>
  <c r="G52" i="8"/>
  <c r="G27" i="8"/>
  <c r="G34" i="8"/>
  <c r="G10" i="8"/>
  <c r="G14" i="8"/>
  <c r="G18" i="8"/>
  <c r="G41" i="8"/>
  <c r="G70" i="8"/>
  <c r="G51" i="8"/>
  <c r="G54" i="8"/>
  <c r="G37" i="8"/>
  <c r="G33" i="8"/>
  <c r="G12" i="8"/>
  <c r="G19" i="8"/>
  <c r="G8" i="8"/>
  <c r="G25" i="8"/>
  <c r="G16" i="8"/>
  <c r="G43" i="8"/>
  <c r="G22" i="8"/>
  <c r="G40" i="8"/>
  <c r="G49" i="8"/>
  <c r="G26" i="8"/>
  <c r="G46" i="8"/>
  <c r="G35" i="8"/>
  <c r="G28" i="8"/>
  <c r="G36" i="8"/>
  <c r="G44" i="8"/>
  <c r="G24" i="8"/>
  <c r="G53" i="8"/>
  <c r="G32" i="8"/>
  <c r="G29" i="8"/>
  <c r="G42" i="8"/>
  <c r="G58" i="8"/>
  <c r="G61" i="8"/>
  <c r="G59" i="8"/>
  <c r="G69" i="8"/>
  <c r="G60" i="8"/>
  <c r="O65" i="8"/>
  <c r="O66" i="8"/>
  <c r="O67" i="8"/>
  <c r="E2" i="8"/>
  <c r="P67" i="8"/>
  <c r="E44" i="10"/>
  <c r="F44" i="10"/>
  <c r="H58" i="9"/>
  <c r="H59" i="9"/>
  <c r="O58" i="9"/>
  <c r="H2" i="9"/>
  <c r="O55" i="9"/>
  <c r="F64" i="9"/>
  <c r="H53" i="9"/>
  <c r="C69" i="9"/>
  <c r="F55" i="9"/>
  <c r="F54" i="10"/>
  <c r="E74" i="9"/>
  <c r="C86" i="9"/>
  <c r="E86" i="9"/>
  <c r="H54" i="10"/>
  <c r="G2" i="10"/>
  <c r="C76" i="10"/>
  <c r="E76" i="10"/>
  <c r="O54" i="9"/>
  <c r="H55" i="9"/>
  <c r="F63" i="9"/>
  <c r="F56" i="10"/>
  <c r="C81" i="9"/>
  <c r="E81" i="9"/>
  <c r="E69" i="9"/>
  <c r="E78" i="9"/>
  <c r="F2" i="9"/>
  <c r="E17" i="10"/>
  <c r="F17" i="10"/>
  <c r="F53" i="10"/>
  <c r="C71" i="9"/>
  <c r="E63" i="9"/>
  <c r="F66" i="9"/>
  <c r="G63" i="9"/>
  <c r="C74" i="10"/>
  <c r="H56" i="10"/>
  <c r="O56" i="9"/>
  <c r="O57" i="9"/>
  <c r="O59" i="9"/>
  <c r="O60" i="9"/>
  <c r="O61" i="9"/>
  <c r="O62" i="9"/>
  <c r="C86" i="10"/>
  <c r="E86" i="10"/>
  <c r="E74" i="10"/>
  <c r="C83" i="9"/>
  <c r="E83" i="9"/>
  <c r="E71" i="9"/>
  <c r="H53" i="10"/>
  <c r="F2" i="10"/>
  <c r="F55" i="10"/>
  <c r="F64" i="10"/>
  <c r="C69" i="10"/>
  <c r="H2" i="10"/>
  <c r="H58" i="10"/>
  <c r="H59" i="10"/>
  <c r="O58" i="10"/>
  <c r="O55" i="10"/>
  <c r="G11" i="9"/>
  <c r="G65" i="9"/>
  <c r="G29" i="9"/>
  <c r="G37" i="9"/>
  <c r="G28" i="9"/>
  <c r="G14" i="9"/>
  <c r="G38" i="9"/>
  <c r="G31" i="9"/>
  <c r="G48" i="9"/>
  <c r="G46" i="9"/>
  <c r="G51" i="9"/>
  <c r="G44" i="9"/>
  <c r="G12" i="9"/>
  <c r="G8" i="9"/>
  <c r="G17" i="9"/>
  <c r="G30" i="9"/>
  <c r="G35" i="9"/>
  <c r="G66" i="9"/>
  <c r="G13" i="9"/>
  <c r="G27" i="9"/>
  <c r="G41" i="9"/>
  <c r="G32" i="9"/>
  <c r="G10" i="9"/>
  <c r="G19" i="9"/>
  <c r="G47" i="9"/>
  <c r="G23" i="9"/>
  <c r="G9" i="9"/>
  <c r="G21" i="9"/>
  <c r="G39" i="9"/>
  <c r="G40" i="9"/>
  <c r="G20" i="9"/>
  <c r="G22" i="9"/>
  <c r="G49" i="9"/>
  <c r="G50" i="9"/>
  <c r="G24" i="9"/>
  <c r="G36" i="9"/>
  <c r="G45" i="9"/>
  <c r="G54" i="9"/>
  <c r="G56" i="9"/>
  <c r="G18" i="9"/>
  <c r="G53" i="9"/>
  <c r="G55" i="9"/>
  <c r="G64" i="9"/>
  <c r="O54" i="10"/>
  <c r="F63" i="10"/>
  <c r="H55" i="10"/>
  <c r="E69" i="10"/>
  <c r="E78" i="10"/>
  <c r="C81" i="10"/>
  <c r="E81" i="10"/>
  <c r="P62" i="9"/>
  <c r="E2" i="9"/>
  <c r="F66" i="10"/>
  <c r="G63" i="10"/>
  <c r="C71" i="10"/>
  <c r="E63" i="10"/>
  <c r="O56" i="10"/>
  <c r="O57" i="10"/>
  <c r="O59" i="10"/>
  <c r="E71" i="10"/>
  <c r="C83" i="10"/>
  <c r="E83" i="10"/>
  <c r="O60" i="10"/>
  <c r="O61" i="10"/>
  <c r="O62" i="10"/>
  <c r="G40" i="10"/>
  <c r="G28" i="10"/>
  <c r="G48" i="10"/>
  <c r="G51" i="10"/>
  <c r="G23" i="10"/>
  <c r="G45" i="10"/>
  <c r="G46" i="10"/>
  <c r="G13" i="10"/>
  <c r="G8" i="10"/>
  <c r="G32" i="10"/>
  <c r="G50" i="10"/>
  <c r="G24" i="10"/>
  <c r="G9" i="10"/>
  <c r="G37" i="10"/>
  <c r="G19" i="10"/>
  <c r="G12" i="10"/>
  <c r="G66" i="10"/>
  <c r="G27" i="10"/>
  <c r="G14" i="10"/>
  <c r="G39" i="10"/>
  <c r="G41" i="10"/>
  <c r="G10" i="10"/>
  <c r="G49" i="10"/>
  <c r="G38" i="10"/>
  <c r="G18" i="10"/>
  <c r="G65" i="10"/>
  <c r="G11" i="10"/>
  <c r="G30" i="10"/>
  <c r="G20" i="10"/>
  <c r="G21" i="10"/>
  <c r="G31" i="10"/>
  <c r="G47" i="10"/>
  <c r="G36" i="10"/>
  <c r="G22" i="10"/>
  <c r="G29" i="10"/>
  <c r="G35" i="10"/>
  <c r="G44" i="10"/>
  <c r="G54" i="10"/>
  <c r="G17" i="10"/>
  <c r="G56" i="10"/>
  <c r="G53" i="10"/>
  <c r="G64" i="10"/>
  <c r="G55" i="10"/>
  <c r="E2" i="10"/>
  <c r="P62" i="10"/>
</calcChain>
</file>

<file path=xl/sharedStrings.xml><?xml version="1.0" encoding="utf-8"?>
<sst xmlns="http://schemas.openxmlformats.org/spreadsheetml/2006/main" count="410" uniqueCount="159">
  <si>
    <t>ESPECIFICACION DE RECETA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</si>
  <si>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</si>
  <si>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</si>
  <si>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</si>
  <si>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</si>
  <si>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</si>
  <si>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</si>
  <si>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</si>
  <si>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</si>
  <si>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</si>
  <si>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</si>
  <si>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</si>
  <si>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</si>
  <si>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</si>
  <si>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</si>
  <si>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</si>
  <si>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</si>
  <si>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</si>
  <si>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</si>
  <si>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</si>
  <si>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</si>
  <si>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</si>
  <si>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</si>
  <si>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</si>
  <si>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g</t>
  </si>
  <si>
    <t>ud</t>
  </si>
  <si>
    <t>min</t>
  </si>
  <si>
    <t>NUEVO</t>
  </si>
  <si>
    <t>FAS</t>
  </si>
  <si>
    <t>Pastas</t>
  </si>
  <si>
    <t>EMPAQUE</t>
  </si>
  <si>
    <t>0310107</t>
  </si>
  <si>
    <t>LACTOCREMA GRANEL (CAJA:25 KG)</t>
  </si>
  <si>
    <t>101035</t>
  </si>
  <si>
    <t>CEBOLLA PICADA (PAQ:KILO)</t>
  </si>
  <si>
    <t>0512319</t>
  </si>
  <si>
    <t>PASTA AJO (PAQ: 1 KILO)</t>
  </si>
  <si>
    <t>105000009</t>
  </si>
  <si>
    <t>101150</t>
  </si>
  <si>
    <t>10100125</t>
  </si>
  <si>
    <t>PASTA TOMATE OLD CALI (UND:3.14 K)</t>
  </si>
  <si>
    <t>90100142</t>
  </si>
  <si>
    <t>EMPAQUE SAL KILO</t>
  </si>
  <si>
    <t>610218</t>
  </si>
  <si>
    <t>COMINO (UND:454G)</t>
  </si>
  <si>
    <t>PAN CUADRADO BLANCO (PAQ=22 REBANADAS )</t>
  </si>
  <si>
    <t>908000040</t>
  </si>
  <si>
    <t>COCCION CARNE CECINA P/MECHAR (KILO)</t>
  </si>
  <si>
    <t>102000004</t>
  </si>
  <si>
    <t xml:space="preserve">VINO BLANCO (UND: 750 ML) </t>
  </si>
  <si>
    <t>10415</t>
  </si>
  <si>
    <t>AGUA POTABLE (PLANTA)</t>
  </si>
  <si>
    <t>1.- En la lactocrema y achiote saltear la cebolla, ajo y apio.</t>
  </si>
  <si>
    <t>3.- Cuando la preparacion toma temperatura agregar la carne y el pan molido y mezclar.</t>
  </si>
  <si>
    <t>4.- Dar temperatura y apagar.</t>
  </si>
  <si>
    <t>EMPANADA CARNE MECHADA TRADICIONAL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</si>
  <si>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</si>
  <si>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</si>
  <si>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</si>
  <si>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</si>
  <si>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</si>
  <si>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</si>
  <si>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</si>
  <si>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</si>
  <si>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</si>
  <si>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</si>
  <si>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</si>
  <si>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</si>
  <si>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</si>
  <si>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</si>
  <si>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</si>
  <si>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</si>
  <si>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</si>
  <si>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</si>
  <si>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</si>
  <si>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</si>
  <si>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</si>
  <si>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</si>
  <si>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</si>
  <si>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</si>
  <si>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</si>
  <si>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</si>
  <si>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</si>
  <si>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</si>
  <si>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</si>
  <si>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</si>
  <si>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</si>
  <si>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</si>
  <si>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</si>
  <si>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</si>
  <si>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</si>
  <si>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</si>
  <si>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</si>
  <si>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</si>
  <si>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</si>
  <si>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</si>
  <si>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</si>
  <si>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</si>
  <si>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</si>
  <si>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</si>
  <si>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</si>
  <si>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</si>
  <si>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</si>
  <si>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</si>
  <si>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</si>
  <si>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</si>
  <si>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105000029</t>
  </si>
  <si>
    <t>0710261</t>
  </si>
  <si>
    <t>Gramo</t>
  </si>
  <si>
    <t>Mililitros</t>
  </si>
  <si>
    <t>RELLENO CARNE MECHADA</t>
  </si>
  <si>
    <t>903000144</t>
  </si>
  <si>
    <t>Gramos</t>
  </si>
  <si>
    <t>1210443</t>
  </si>
  <si>
    <t>90100137</t>
  </si>
  <si>
    <t>0906036</t>
  </si>
  <si>
    <t xml:space="preserve">und </t>
  </si>
  <si>
    <t>und</t>
  </si>
  <si>
    <t>1950729</t>
  </si>
  <si>
    <t>1950772</t>
  </si>
  <si>
    <t>1950702</t>
  </si>
  <si>
    <t>0702069</t>
  </si>
  <si>
    <t>CARNE MECHADA EN COCCION</t>
  </si>
  <si>
    <t>MP10392</t>
  </si>
  <si>
    <t>MP10163</t>
  </si>
  <si>
    <t>MP10022</t>
  </si>
  <si>
    <t>MP10020</t>
  </si>
  <si>
    <t>MP10019</t>
  </si>
  <si>
    <t>MP10058</t>
  </si>
  <si>
    <t>MP10069</t>
  </si>
  <si>
    <t>MP10287</t>
  </si>
  <si>
    <t>SE00104</t>
  </si>
  <si>
    <t>MP10158</t>
  </si>
  <si>
    <t>MP10035</t>
  </si>
  <si>
    <t>SE00182</t>
  </si>
  <si>
    <t>CONTROL DE CAMBIOS</t>
  </si>
  <si>
    <t xml:space="preserve"> SE00543  Relleno carne mechada empanada</t>
  </si>
  <si>
    <t>MP10025</t>
  </si>
  <si>
    <t>2.- Luego deglasear la preparacion con el vino blanco, despues agregar el agua, pasta de tomate, consome, comino, preservante y sal.</t>
  </si>
  <si>
    <t>ESP-RE-COCS-067</t>
  </si>
  <si>
    <t>01</t>
  </si>
  <si>
    <t>Javier Tong, Chef</t>
  </si>
  <si>
    <t>Esteban Cartin, Gte Manufactura</t>
  </si>
  <si>
    <t>Cocina</t>
  </si>
  <si>
    <t xml:space="preserve"># Código </t>
  </si>
  <si>
    <t># Código Netsuite</t>
  </si>
  <si>
    <t>Ensamble</t>
  </si>
  <si>
    <t>ACHIOTE (UND:850G)</t>
  </si>
  <si>
    <t>APIO PICADO (PAQ:500GR)</t>
  </si>
  <si>
    <t>CONSOME CONCEN. DE RES (2000G)</t>
  </si>
  <si>
    <t>VINO BLANCO</t>
  </si>
  <si>
    <t>PRESERVANTE 1017S</t>
  </si>
  <si>
    <t>Decoración</t>
  </si>
  <si>
    <t/>
  </si>
  <si>
    <t>Empaque</t>
  </si>
  <si>
    <t>Tiempo de Horneo:</t>
  </si>
  <si>
    <t>Horno: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</si>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</sst>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000"/>
    <numFmt numFmtId="170" formatCode="0.0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</cellStyleXfs>
  <cellXfs count="260">
    <xf numFmtId="0" fontId="0" fillId="0" borderId="0" xfId="0"/>
    <xf numFmtId="0" fontId="2" fillId="2" borderId="2" xfId="4" applyFont="1" applyFill="1" applyBorder="1" applyAlignment="1">
      <alignment horizontal="center"/>
    </xf>
    <xf numFmtId="0" fontId="6" fillId="9" borderId="0" xfId="0" applyFont="1" applyFill="1" applyAlignment="1">
      <alignment vertical="center"/>
    </xf>
    <xf numFmtId="0" fontId="7" fillId="10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3" fontId="7" fillId="0" borderId="3" xfId="1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43" fontId="9" fillId="0" borderId="0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2" applyNumberFormat="1" applyFont="1" applyFill="1" applyAlignment="1">
      <alignment horizontal="center" vertical="center"/>
    </xf>
    <xf numFmtId="4" fontId="7" fillId="0" borderId="0" xfId="2" applyNumberFormat="1" applyFont="1" applyFill="1" applyAlignment="1">
      <alignment horizontal="center" vertical="center"/>
    </xf>
    <xf numFmtId="10" fontId="7" fillId="0" borderId="0" xfId="5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0" fontId="6" fillId="0" borderId="0" xfId="0" applyFont="1"/>
    <xf numFmtId="49" fontId="7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" fontId="7" fillId="0" borderId="0" xfId="1" applyNumberFormat="1" applyFont="1" applyFill="1" applyAlignment="1">
      <alignment vertical="center"/>
    </xf>
    <xf numFmtId="43" fontId="15" fillId="0" borderId="0" xfId="1" applyFont="1" applyFill="1" applyAlignment="1">
      <alignment horizontal="center" vertical="center"/>
    </xf>
    <xf numFmtId="10" fontId="8" fillId="4" borderId="19" xfId="5" applyNumberFormat="1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43" fontId="15" fillId="4" borderId="20" xfId="1" applyFont="1" applyFill="1" applyBorder="1" applyAlignment="1">
      <alignment horizontal="center" vertical="center"/>
    </xf>
    <xf numFmtId="43" fontId="17" fillId="0" borderId="0" xfId="1" applyFont="1" applyFill="1" applyBorder="1" applyAlignment="1">
      <alignment horizontal="right"/>
    </xf>
    <xf numFmtId="0" fontId="6" fillId="4" borderId="20" xfId="0" applyFont="1" applyFill="1" applyBorder="1" applyAlignment="1">
      <alignment vertical="center"/>
    </xf>
    <xf numFmtId="10" fontId="8" fillId="4" borderId="20" xfId="5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9" fontId="34" fillId="0" borderId="0" xfId="5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Fill="1" applyAlignment="1">
      <alignment vertical="center"/>
    </xf>
    <xf numFmtId="4" fontId="15" fillId="0" borderId="0" xfId="2" applyNumberFormat="1" applyFont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7" xfId="0" applyFont="1" applyBorder="1" applyAlignment="1">
      <alignment horizontal="right"/>
    </xf>
    <xf numFmtId="43" fontId="20" fillId="5" borderId="21" xfId="1" applyFont="1" applyFill="1" applyBorder="1" applyAlignment="1">
      <alignment horizontal="right"/>
    </xf>
    <xf numFmtId="43" fontId="20" fillId="0" borderId="0" xfId="1" applyFont="1" applyFill="1" applyBorder="1" applyAlignment="1">
      <alignment horizontal="right"/>
    </xf>
    <xf numFmtId="43" fontId="7" fillId="0" borderId="3" xfId="1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4" fontId="15" fillId="0" borderId="0" xfId="2" applyNumberFormat="1" applyFont="1" applyFill="1" applyAlignment="1">
      <alignment horizontal="center" vertical="center"/>
    </xf>
    <xf numFmtId="10" fontId="22" fillId="0" borderId="0" xfId="5" applyNumberFormat="1" applyFont="1" applyFill="1" applyAlignment="1">
      <alignment horizontal="right"/>
    </xf>
    <xf numFmtId="168" fontId="7" fillId="4" borderId="3" xfId="1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43" fontId="7" fillId="6" borderId="3" xfId="1" applyFont="1" applyFill="1" applyBorder="1" applyAlignment="1">
      <alignment vertical="center"/>
    </xf>
    <xf numFmtId="165" fontId="23" fillId="0" borderId="0" xfId="0" applyNumberFormat="1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4" borderId="22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2" fontId="22" fillId="0" borderId="0" xfId="1" applyNumberFormat="1" applyFont="1" applyFill="1" applyBorder="1" applyAlignment="1">
      <alignment horizontal="center"/>
    </xf>
    <xf numFmtId="2" fontId="19" fillId="0" borderId="0" xfId="1" applyNumberFormat="1" applyFont="1" applyFill="1" applyBorder="1" applyAlignment="1">
      <alignment horizontal="center"/>
    </xf>
    <xf numFmtId="0" fontId="6" fillId="4" borderId="22" xfId="0" applyFont="1" applyFill="1" applyBorder="1" applyAlignment="1">
      <alignment vertical="center"/>
    </xf>
    <xf numFmtId="10" fontId="6" fillId="0" borderId="0" xfId="5" applyNumberFormat="1" applyFont="1" applyFill="1" applyAlignment="1">
      <alignment vertical="center"/>
    </xf>
    <xf numFmtId="4" fontId="6" fillId="0" borderId="0" xfId="1" applyNumberFormat="1" applyFont="1" applyFill="1" applyAlignment="1">
      <alignment vertical="center"/>
    </xf>
    <xf numFmtId="43" fontId="20" fillId="4" borderId="9" xfId="1" applyFont="1" applyFill="1" applyBorder="1" applyAlignment="1">
      <alignment horizontal="right"/>
    </xf>
    <xf numFmtId="0" fontId="7" fillId="4" borderId="10" xfId="0" applyFont="1" applyFill="1" applyBorder="1" applyAlignment="1">
      <alignment horizontal="right" vertical="center"/>
    </xf>
    <xf numFmtId="10" fontId="26" fillId="0" borderId="0" xfId="1" applyNumberFormat="1" applyFont="1" applyFill="1" applyAlignment="1">
      <alignment vertical="center"/>
    </xf>
    <xf numFmtId="10" fontId="8" fillId="0" borderId="0" xfId="5" applyNumberFormat="1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43" fontId="28" fillId="0" borderId="0" xfId="1" applyFont="1" applyFill="1" applyAlignment="1">
      <alignment vertical="center"/>
    </xf>
    <xf numFmtId="4" fontId="29" fillId="0" borderId="0" xfId="2" applyNumberFormat="1" applyFont="1" applyFill="1" applyAlignment="1">
      <alignment horizontal="center" vertical="center" wrapText="1"/>
    </xf>
    <xf numFmtId="9" fontId="6" fillId="0" borderId="0" xfId="1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" fontId="7" fillId="7" borderId="21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43" fontId="30" fillId="0" borderId="0" xfId="1" applyFont="1" applyFill="1" applyAlignment="1">
      <alignment vertical="center"/>
    </xf>
    <xf numFmtId="9" fontId="30" fillId="0" borderId="0" xfId="1" applyNumberFormat="1" applyFont="1" applyFill="1" applyAlignment="1">
      <alignment vertical="center"/>
    </xf>
    <xf numFmtId="4" fontId="7" fillId="0" borderId="0" xfId="1" applyNumberFormat="1" applyFont="1" applyFill="1" applyAlignment="1">
      <alignment horizontal="center" vertical="center"/>
    </xf>
    <xf numFmtId="10" fontId="23" fillId="0" borderId="0" xfId="5" applyNumberFormat="1" applyFont="1" applyFill="1" applyAlignment="1">
      <alignment vertical="center"/>
    </xf>
    <xf numFmtId="43" fontId="23" fillId="0" borderId="0" xfId="1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43" fontId="6" fillId="0" borderId="0" xfId="1" applyFont="1" applyFill="1" applyBorder="1"/>
    <xf numFmtId="10" fontId="23" fillId="0" borderId="0" xfId="5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43" fontId="6" fillId="0" borderId="0" xfId="1" applyFont="1" applyFill="1" applyBorder="1" applyAlignment="1">
      <alignment horizontal="center"/>
    </xf>
    <xf numFmtId="9" fontId="33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5" fontId="7" fillId="0" borderId="0" xfId="0" applyNumberFormat="1" applyFont="1"/>
    <xf numFmtId="0" fontId="37" fillId="2" borderId="1" xfId="4" applyFont="1" applyFill="1" applyBorder="1" applyAlignment="1">
      <alignment horizontal="right"/>
    </xf>
    <xf numFmtId="0" fontId="37" fillId="2" borderId="3" xfId="4" applyFont="1" applyFill="1" applyBorder="1" applyAlignment="1">
      <alignment horizontal="right"/>
    </xf>
    <xf numFmtId="49" fontId="35" fillId="2" borderId="4" xfId="4" applyNumberFormat="1" applyFont="1" applyFill="1" applyBorder="1" applyAlignment="1">
      <alignment horizontal="center"/>
    </xf>
    <xf numFmtId="0" fontId="35" fillId="2" borderId="11" xfId="4" applyFont="1" applyFill="1" applyBorder="1" applyAlignment="1">
      <alignment horizontal="right"/>
    </xf>
    <xf numFmtId="0" fontId="35" fillId="2" borderId="3" xfId="4" applyFont="1" applyFill="1" applyBorder="1" applyAlignment="1">
      <alignment horizontal="right"/>
    </xf>
    <xf numFmtId="0" fontId="37" fillId="3" borderId="2" xfId="3" applyFont="1" applyFill="1" applyBorder="1" applyAlignment="1">
      <alignment horizontal="center" vertical="center" wrapText="1"/>
    </xf>
    <xf numFmtId="1" fontId="37" fillId="3" borderId="5" xfId="3" applyNumberFormat="1" applyFont="1" applyFill="1" applyBorder="1" applyAlignment="1">
      <alignment horizontal="center"/>
    </xf>
    <xf numFmtId="1" fontId="37" fillId="3" borderId="5" xfId="3" applyNumberFormat="1" applyFont="1" applyFill="1" applyBorder="1" applyAlignment="1">
      <alignment horizontal="center" wrapText="1"/>
    </xf>
    <xf numFmtId="0" fontId="37" fillId="3" borderId="14" xfId="3" applyFont="1" applyFill="1" applyBorder="1" applyAlignment="1">
      <alignment horizontal="center"/>
    </xf>
    <xf numFmtId="14" fontId="35" fillId="2" borderId="44" xfId="4" applyNumberFormat="1" applyFont="1" applyFill="1" applyBorder="1" applyAlignment="1">
      <alignment horizontal="center" vertical="center" wrapText="1"/>
    </xf>
    <xf numFmtId="14" fontId="35" fillId="2" borderId="48" xfId="4" applyNumberFormat="1" applyFont="1" applyFill="1" applyBorder="1" applyAlignment="1">
      <alignment horizontal="center" vertical="center" wrapText="1"/>
    </xf>
    <xf numFmtId="14" fontId="35" fillId="2" borderId="13" xfId="4" applyNumberFormat="1" applyFont="1" applyFill="1" applyBorder="1" applyAlignment="1">
      <alignment horizontal="center" vertical="center" wrapText="1"/>
    </xf>
    <xf numFmtId="0" fontId="35" fillId="2" borderId="45" xfId="4" applyFont="1" applyFill="1" applyBorder="1" applyAlignment="1">
      <alignment horizontal="left"/>
    </xf>
    <xf numFmtId="0" fontId="35" fillId="2" borderId="46" xfId="4" applyFont="1" applyFill="1" applyBorder="1" applyAlignment="1">
      <alignment horizontal="left"/>
    </xf>
    <xf numFmtId="0" fontId="35" fillId="2" borderId="47" xfId="4" applyFont="1" applyFill="1" applyBorder="1" applyAlignment="1">
      <alignment horizontal="left"/>
    </xf>
    <xf numFmtId="0" fontId="35" fillId="2" borderId="35" xfId="4" applyFont="1" applyFill="1" applyBorder="1" applyAlignment="1">
      <alignment horizontal="left"/>
    </xf>
    <xf numFmtId="0" fontId="35" fillId="2" borderId="34" xfId="4" applyFont="1" applyFill="1" applyBorder="1" applyAlignment="1">
      <alignment horizontal="left"/>
    </xf>
    <xf numFmtId="0" fontId="35" fillId="2" borderId="23" xfId="4" applyFont="1" applyFill="1" applyBorder="1" applyAlignment="1">
      <alignment horizontal="left"/>
    </xf>
    <xf numFmtId="0" fontId="35" fillId="2" borderId="25" xfId="4" applyFont="1" applyFill="1" applyBorder="1" applyAlignment="1">
      <alignment horizontal="center"/>
    </xf>
    <xf numFmtId="0" fontId="35" fillId="2" borderId="42" xfId="4" applyFont="1" applyFill="1" applyBorder="1" applyAlignment="1">
      <alignment horizontal="center"/>
    </xf>
    <xf numFmtId="0" fontId="35" fillId="2" borderId="6" xfId="4" applyFont="1" applyFill="1" applyBorder="1" applyAlignment="1">
      <alignment horizontal="center"/>
    </xf>
    <xf numFmtId="0" fontId="35" fillId="2" borderId="0" xfId="4" applyFont="1" applyFill="1" applyAlignment="1">
      <alignment horizontal="center"/>
    </xf>
    <xf numFmtId="0" fontId="35" fillId="2" borderId="28" xfId="4" applyFont="1" applyFill="1" applyBorder="1" applyAlignment="1">
      <alignment horizontal="center"/>
    </xf>
    <xf numFmtId="0" fontId="35" fillId="2" borderId="29" xfId="4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2" borderId="32" xfId="4" applyFont="1" applyFill="1" applyBorder="1" applyAlignment="1">
      <alignment horizontal="center"/>
    </xf>
    <xf numFmtId="0" fontId="37" fillId="2" borderId="43" xfId="4" applyFont="1" applyFill="1" applyBorder="1" applyAlignment="1">
      <alignment horizontal="right" vertical="top" wrapText="1"/>
    </xf>
    <xf numFmtId="0" fontId="37" fillId="2" borderId="26" xfId="4" applyFont="1" applyFill="1" applyBorder="1" applyAlignment="1">
      <alignment horizontal="right" vertical="top" wrapText="1"/>
    </xf>
    <xf numFmtId="0" fontId="37" fillId="2" borderId="27" xfId="4" applyFont="1" applyFill="1" applyBorder="1" applyAlignment="1">
      <alignment horizontal="right" vertical="top" wrapText="1"/>
    </xf>
    <xf numFmtId="0" fontId="4" fillId="2" borderId="0" xfId="4" applyFont="1" applyFill="1" applyAlignment="1">
      <alignment horizontal="right"/>
    </xf>
    <xf numFmtId="0" fontId="4" fillId="2" borderId="0" xfId="4" applyFont="1" applyFill="1"/>
    <xf numFmtId="0" fontId="37" fillId="3" borderId="31" xfId="3" applyFont="1" applyFill="1" applyBorder="1" applyAlignment="1">
      <alignment horizontal="center" vertical="center"/>
    </xf>
    <xf numFmtId="0" fontId="37" fillId="3" borderId="38" xfId="3" applyFont="1" applyFill="1" applyBorder="1" applyAlignment="1">
      <alignment horizontal="center" vertical="center"/>
    </xf>
    <xf numFmtId="0" fontId="37" fillId="3" borderId="31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0" fontId="37" fillId="3" borderId="1" xfId="3" applyFont="1" applyFill="1" applyBorder="1" applyAlignment="1">
      <alignment horizontal="center" vertical="center"/>
    </xf>
    <xf numFmtId="0" fontId="37" fillId="3" borderId="5" xfId="3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 vertical="center" wrapText="1"/>
    </xf>
    <xf numFmtId="0" fontId="23" fillId="0" borderId="3" xfId="0" applyFont="1" applyBorder="1" applyAlignment="1">
      <alignment horizontal="right" vertical="center"/>
    </xf>
    <xf numFmtId="0" fontId="24" fillId="0" borderId="6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7" xfId="0" applyFont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/>
    </xf>
    <xf numFmtId="0" fontId="16" fillId="0" borderId="42" xfId="0" applyFont="1" applyBorder="1" applyAlignment="1">
      <alignment horizontal="right"/>
    </xf>
    <xf numFmtId="0" fontId="6" fillId="0" borderId="3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31" fillId="0" borderId="8" xfId="0" applyFont="1" applyBorder="1" applyAlignment="1">
      <alignment horizontal="right" vertical="center"/>
    </xf>
    <xf numFmtId="0" fontId="31" fillId="0" borderId="9" xfId="0" applyFont="1" applyBorder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22" fillId="0" borderId="24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0" fillId="4" borderId="8" xfId="0" applyFont="1" applyFill="1" applyBorder="1" applyAlignment="1">
      <alignment horizontal="right"/>
    </xf>
    <xf numFmtId="0" fontId="20" fillId="4" borderId="9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7" fillId="0" borderId="24" xfId="0" applyFont="1" applyBorder="1" applyAlignment="1">
      <alignment horizontal="right" vertical="center"/>
    </xf>
    <xf numFmtId="0" fontId="7" fillId="0" borderId="37" xfId="0" applyFont="1" applyBorder="1" applyAlignment="1">
      <alignment horizontal="right" vertical="center"/>
    </xf>
    <xf numFmtId="0" fontId="7" fillId="8" borderId="8" xfId="0" applyFont="1" applyFill="1" applyBorder="1" applyAlignment="1">
      <alignment horizontal="right" vertical="center"/>
    </xf>
    <xf numFmtId="0" fontId="7" fillId="8" borderId="9" xfId="0" applyFont="1" applyFill="1" applyBorder="1" applyAlignment="1">
      <alignment horizontal="right" vertical="center"/>
    </xf>
    <xf numFmtId="0" fontId="7" fillId="8" borderId="10" xfId="0" applyFont="1" applyFill="1" applyBorder="1" applyAlignment="1">
      <alignment horizontal="right" vertical="center"/>
    </xf>
    <xf numFmtId="4" fontId="29" fillId="0" borderId="0" xfId="2" applyNumberFormat="1" applyFont="1" applyFill="1" applyAlignment="1">
      <alignment horizontal="center" vertical="center" wrapText="1"/>
    </xf>
    <xf numFmtId="0" fontId="38" fillId="5" borderId="3" xfId="4" applyFont="1" applyFill="1" applyBorder="1" applyAlignment="1">
      <alignment horizontal="center" vertical="center" wrapText="1"/>
    </xf>
    <xf numFmtId="0" fontId="39" fillId="2" borderId="24" xfId="4" applyFont="1" applyFill="1" applyBorder="1" applyAlignment="1">
      <alignment horizontal="center"/>
    </xf>
    <xf numFmtId="14" fontId="39" fillId="2" borderId="0" xfId="4" applyNumberFormat="1" applyFont="1" applyFill="1" applyAlignment="1">
      <alignment horizontal="center" vertical="center" wrapText="1"/>
    </xf>
    <xf numFmtId="0" fontId="40" fillId="0" borderId="49" xfId="3" applyFont="1" applyBorder="1" applyAlignment="1">
      <alignment horizontal="center" vertical="center"/>
    </xf>
    <xf numFmtId="0" fontId="40" fillId="0" borderId="23" xfId="3" applyFont="1" applyBorder="1" applyAlignment="1">
      <alignment horizontal="center" vertical="center"/>
    </xf>
    <xf numFmtId="0" fontId="41" fillId="0" borderId="3" xfId="3" applyFont="1" applyBorder="1" applyAlignment="1">
      <alignment vertical="center"/>
    </xf>
    <xf numFmtId="0" fontId="40" fillId="0" borderId="3" xfId="3" applyFont="1" applyBorder="1" applyAlignment="1">
      <alignment horizontal="center" vertical="center"/>
    </xf>
    <xf numFmtId="1" fontId="40" fillId="0" borderId="3" xfId="3" applyNumberFormat="1" applyFont="1" applyBorder="1" applyAlignment="1">
      <alignment horizontal="center"/>
    </xf>
    <xf numFmtId="1" fontId="40" fillId="0" borderId="3" xfId="3" applyNumberFormat="1" applyFont="1" applyBorder="1" applyAlignment="1">
      <alignment horizontal="center" wrapText="1"/>
    </xf>
    <xf numFmtId="0" fontId="42" fillId="0" borderId="4" xfId="3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2" fillId="0" borderId="3" xfId="0" applyFont="1" applyBorder="1"/>
    <xf numFmtId="0" fontId="42" fillId="0" borderId="15" xfId="0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43" fillId="0" borderId="3" xfId="6" applyFont="1" applyBorder="1" applyAlignment="1">
      <alignment horizontal="center"/>
    </xf>
    <xf numFmtId="0" fontId="42" fillId="0" borderId="3" xfId="6" applyFont="1" applyBorder="1" applyAlignment="1">
      <alignment horizontal="center"/>
    </xf>
    <xf numFmtId="169" fontId="42" fillId="0" borderId="11" xfId="0" applyNumberFormat="1" applyFont="1" applyBorder="1" applyAlignment="1">
      <alignment horizontal="center" wrapText="1"/>
    </xf>
    <xf numFmtId="0" fontId="42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16" fontId="42" fillId="0" borderId="3" xfId="3" applyNumberFormat="1" applyFont="1" applyBorder="1" applyAlignment="1">
      <alignment horizontal="center"/>
    </xf>
    <xf numFmtId="1" fontId="42" fillId="0" borderId="23" xfId="3" applyNumberFormat="1" applyFont="1" applyBorder="1" applyAlignment="1">
      <alignment horizontal="center"/>
    </xf>
    <xf numFmtId="1" fontId="42" fillId="0" borderId="3" xfId="3" applyNumberFormat="1" applyFont="1" applyBorder="1" applyAlignment="1">
      <alignment horizontal="center" wrapText="1"/>
    </xf>
    <xf numFmtId="0" fontId="42" fillId="0" borderId="0" xfId="0" applyFont="1"/>
    <xf numFmtId="2" fontId="42" fillId="0" borderId="11" xfId="3" applyNumberFormat="1" applyFont="1" applyBorder="1" applyAlignment="1">
      <alignment horizontal="center"/>
    </xf>
    <xf numFmtId="49" fontId="42" fillId="0" borderId="49" xfId="7" applyNumberFormat="1" applyFont="1" applyBorder="1" applyAlignment="1">
      <alignment horizontal="center"/>
    </xf>
    <xf numFmtId="49" fontId="42" fillId="0" borderId="23" xfId="7" applyNumberFormat="1" applyFont="1" applyBorder="1" applyAlignment="1">
      <alignment horizontal="center"/>
    </xf>
    <xf numFmtId="49" fontId="42" fillId="0" borderId="3" xfId="7" applyNumberFormat="1" applyFont="1" applyBorder="1"/>
    <xf numFmtId="0" fontId="42" fillId="0" borderId="3" xfId="7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11" xfId="3" applyFont="1" applyBorder="1" applyAlignment="1">
      <alignment horizontal="center"/>
    </xf>
    <xf numFmtId="1" fontId="42" fillId="0" borderId="3" xfId="3" applyNumberFormat="1" applyFont="1" applyBorder="1" applyAlignment="1">
      <alignment horizontal="center"/>
    </xf>
    <xf numFmtId="0" fontId="42" fillId="9" borderId="3" xfId="0" applyFont="1" applyFill="1" applyBorder="1"/>
    <xf numFmtId="49" fontId="42" fillId="0" borderId="49" xfId="3" applyNumberFormat="1" applyFont="1" applyBorder="1" applyAlignment="1">
      <alignment horizontal="center"/>
    </xf>
    <xf numFmtId="49" fontId="42" fillId="0" borderId="23" xfId="3" applyNumberFormat="1" applyFont="1" applyBorder="1" applyAlignment="1">
      <alignment horizontal="center"/>
    </xf>
    <xf numFmtId="0" fontId="40" fillId="9" borderId="3" xfId="3" applyFont="1" applyFill="1" applyBorder="1" applyAlignment="1">
      <alignment horizontal="left"/>
    </xf>
    <xf numFmtId="0" fontId="42" fillId="0" borderId="3" xfId="3" applyFont="1" applyBorder="1" applyAlignment="1">
      <alignment horizontal="center"/>
    </xf>
    <xf numFmtId="170" fontId="42" fillId="0" borderId="3" xfId="3" applyNumberFormat="1" applyFont="1" applyBorder="1" applyAlignment="1">
      <alignment horizontal="center"/>
    </xf>
    <xf numFmtId="16" fontId="42" fillId="0" borderId="3" xfId="0" applyNumberFormat="1" applyFont="1" applyBorder="1" applyAlignment="1">
      <alignment horizontal="center"/>
    </xf>
    <xf numFmtId="1" fontId="42" fillId="0" borderId="3" xfId="8" applyNumberFormat="1" applyFont="1" applyBorder="1" applyAlignment="1">
      <alignment horizontal="center"/>
    </xf>
    <xf numFmtId="1" fontId="42" fillId="0" borderId="3" xfId="8" applyNumberFormat="1" applyFont="1" applyBorder="1" applyAlignment="1">
      <alignment horizontal="center" wrapText="1"/>
    </xf>
    <xf numFmtId="0" fontId="41" fillId="9" borderId="3" xfId="3" applyFont="1" applyFill="1" applyBorder="1" applyAlignment="1">
      <alignment vertical="center"/>
    </xf>
    <xf numFmtId="0" fontId="40" fillId="0" borderId="23" xfId="3" applyFont="1" applyBorder="1" applyAlignment="1">
      <alignment horizontal="center"/>
    </xf>
    <xf numFmtId="49" fontId="42" fillId="0" borderId="3" xfId="3" applyNumberFormat="1" applyFont="1" applyBorder="1"/>
    <xf numFmtId="49" fontId="44" fillId="2" borderId="6" xfId="3" applyNumberFormat="1" applyFont="1" applyFill="1" applyBorder="1" applyAlignment="1">
      <alignment horizontal="center" vertical="center"/>
    </xf>
    <xf numFmtId="49" fontId="44" fillId="2" borderId="0" xfId="3" applyNumberFormat="1" applyFont="1" applyFill="1" applyAlignment="1">
      <alignment horizontal="center" vertical="center"/>
    </xf>
    <xf numFmtId="0" fontId="42" fillId="2" borderId="0" xfId="3" applyFont="1" applyFill="1"/>
    <xf numFmtId="1" fontId="42" fillId="2" borderId="0" xfId="3" applyNumberFormat="1" applyFont="1" applyFill="1" applyAlignment="1">
      <alignment horizontal="center"/>
    </xf>
    <xf numFmtId="164" fontId="42" fillId="2" borderId="0" xfId="3" applyNumberFormat="1" applyFont="1" applyFill="1" applyAlignment="1">
      <alignment horizontal="center" wrapText="1"/>
    </xf>
    <xf numFmtId="0" fontId="42" fillId="2" borderId="7" xfId="3" applyFont="1" applyFill="1" applyBorder="1" applyAlignment="1">
      <alignment horizontal="center"/>
    </xf>
    <xf numFmtId="0" fontId="42" fillId="3" borderId="8" xfId="3" applyFont="1" applyFill="1" applyBorder="1" applyAlignment="1">
      <alignment horizontal="center"/>
    </xf>
    <xf numFmtId="0" fontId="42" fillId="3" borderId="9" xfId="3" applyFont="1" applyFill="1" applyBorder="1" applyAlignment="1">
      <alignment horizontal="center"/>
    </xf>
    <xf numFmtId="0" fontId="42" fillId="3" borderId="9" xfId="3" applyFont="1" applyFill="1" applyBorder="1"/>
    <xf numFmtId="0" fontId="40" fillId="3" borderId="9" xfId="3" applyFont="1" applyFill="1" applyBorder="1" applyAlignment="1">
      <alignment horizontal="center"/>
    </xf>
    <xf numFmtId="1" fontId="40" fillId="3" borderId="9" xfId="3" applyNumberFormat="1" applyFont="1" applyFill="1" applyBorder="1" applyAlignment="1">
      <alignment horizontal="center"/>
    </xf>
    <xf numFmtId="164" fontId="42" fillId="3" borderId="9" xfId="3" applyNumberFormat="1" applyFont="1" applyFill="1" applyBorder="1" applyAlignment="1">
      <alignment horizontal="center" wrapText="1"/>
    </xf>
    <xf numFmtId="0" fontId="42" fillId="3" borderId="10" xfId="3" applyFont="1" applyFill="1" applyBorder="1" applyAlignment="1">
      <alignment horizontal="center"/>
    </xf>
    <xf numFmtId="0" fontId="40" fillId="0" borderId="28" xfId="3" applyFont="1" applyBorder="1" applyAlignment="1">
      <alignment horizontal="right"/>
    </xf>
    <xf numFmtId="0" fontId="40" fillId="0" borderId="29" xfId="3" applyFont="1" applyBorder="1" applyAlignment="1">
      <alignment horizontal="right"/>
    </xf>
    <xf numFmtId="0" fontId="40" fillId="0" borderId="15" xfId="3" applyFont="1" applyBorder="1" applyAlignment="1">
      <alignment horizontal="right"/>
    </xf>
    <xf numFmtId="1" fontId="42" fillId="0" borderId="11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164" fontId="42" fillId="0" borderId="11" xfId="3" applyNumberFormat="1" applyFont="1" applyBorder="1" applyAlignment="1">
      <alignment horizontal="right"/>
    </xf>
    <xf numFmtId="0" fontId="42" fillId="2" borderId="12" xfId="3" applyFont="1" applyFill="1" applyBorder="1" applyAlignment="1">
      <alignment horizontal="center"/>
    </xf>
    <xf numFmtId="0" fontId="42" fillId="2" borderId="30" xfId="3" applyFont="1" applyFill="1" applyBorder="1" applyAlignment="1">
      <alignment horizontal="center"/>
    </xf>
    <xf numFmtId="0" fontId="40" fillId="0" borderId="33" xfId="3" applyFont="1" applyBorder="1" applyAlignment="1">
      <alignment horizontal="right"/>
    </xf>
    <xf numFmtId="0" fontId="40" fillId="0" borderId="34" xfId="3" applyFont="1" applyBorder="1" applyAlignment="1">
      <alignment horizontal="right"/>
    </xf>
    <xf numFmtId="0" fontId="40" fillId="0" borderId="23" xfId="3" applyFont="1" applyBorder="1" applyAlignment="1">
      <alignment horizontal="right"/>
    </xf>
    <xf numFmtId="0" fontId="40" fillId="0" borderId="3" xfId="0" applyFont="1" applyBorder="1" applyAlignment="1">
      <alignment horizontal="center"/>
    </xf>
    <xf numFmtId="0" fontId="42" fillId="0" borderId="3" xfId="3" applyFont="1" applyBorder="1" applyAlignment="1">
      <alignment horizontal="right"/>
    </xf>
    <xf numFmtId="164" fontId="42" fillId="0" borderId="35" xfId="3" applyNumberFormat="1" applyFont="1" applyBorder="1" applyAlignment="1">
      <alignment horizontal="center"/>
    </xf>
    <xf numFmtId="164" fontId="42" fillId="0" borderId="36" xfId="3" applyNumberFormat="1" applyFont="1" applyBorder="1" applyAlignment="1">
      <alignment horizontal="center"/>
    </xf>
    <xf numFmtId="164" fontId="42" fillId="0" borderId="35" xfId="3" applyNumberFormat="1" applyFont="1" applyBorder="1" applyAlignment="1">
      <alignment horizontal="right" wrapText="1"/>
    </xf>
    <xf numFmtId="164" fontId="42" fillId="0" borderId="23" xfId="3" applyNumberFormat="1" applyFont="1" applyBorder="1" applyAlignment="1">
      <alignment horizontal="right" wrapText="1"/>
    </xf>
    <xf numFmtId="0" fontId="40" fillId="0" borderId="38" xfId="3" applyFont="1" applyBorder="1" applyAlignment="1">
      <alignment horizontal="right"/>
    </xf>
    <xf numFmtId="0" fontId="40" fillId="0" borderId="39" xfId="3" applyFont="1" applyBorder="1" applyAlignment="1">
      <alignment horizontal="right"/>
    </xf>
    <xf numFmtId="0" fontId="40" fillId="0" borderId="5" xfId="3" applyFont="1" applyBorder="1" applyAlignment="1">
      <alignment horizontal="right"/>
    </xf>
    <xf numFmtId="1" fontId="42" fillId="0" borderId="5" xfId="0" applyNumberFormat="1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5" xfId="3" applyFont="1" applyBorder="1" applyAlignment="1">
      <alignment horizontal="right"/>
    </xf>
    <xf numFmtId="164" fontId="42" fillId="0" borderId="40" xfId="3" applyNumberFormat="1" applyFont="1" applyBorder="1" applyAlignment="1">
      <alignment horizontal="center"/>
    </xf>
    <xf numFmtId="164" fontId="42" fillId="0" borderId="41" xfId="3" applyNumberFormat="1" applyFont="1" applyBorder="1" applyAlignment="1">
      <alignment horizontal="center"/>
    </xf>
    <xf numFmtId="0" fontId="40" fillId="0" borderId="28" xfId="3" applyFont="1" applyBorder="1" applyAlignment="1">
      <alignment horizontal="left" wrapText="1"/>
    </xf>
    <xf numFmtId="0" fontId="40" fillId="0" borderId="29" xfId="3" applyFont="1" applyBorder="1" applyAlignment="1">
      <alignment horizontal="left" wrapText="1"/>
    </xf>
    <xf numFmtId="0" fontId="40" fillId="0" borderId="30" xfId="3" applyFont="1" applyBorder="1" applyAlignment="1">
      <alignment horizontal="left" wrapText="1"/>
    </xf>
    <xf numFmtId="0" fontId="40" fillId="3" borderId="8" xfId="3" applyFont="1" applyFill="1" applyBorder="1" applyAlignment="1">
      <alignment horizontal="center"/>
    </xf>
    <xf numFmtId="0" fontId="40" fillId="3" borderId="9" xfId="3" applyFont="1" applyFill="1" applyBorder="1" applyAlignment="1">
      <alignment horizontal="center"/>
    </xf>
    <xf numFmtId="0" fontId="40" fillId="3" borderId="10" xfId="3" applyFont="1" applyFill="1" applyBorder="1" applyAlignment="1">
      <alignment horizontal="center"/>
    </xf>
    <xf numFmtId="0" fontId="42" fillId="0" borderId="50" xfId="3" applyFont="1" applyBorder="1" applyAlignment="1">
      <alignment horizontal="left"/>
    </xf>
    <xf numFmtId="0" fontId="42" fillId="0" borderId="51" xfId="3" applyFont="1" applyBorder="1" applyAlignment="1">
      <alignment horizontal="left"/>
    </xf>
    <xf numFmtId="0" fontId="42" fillId="0" borderId="52" xfId="3" applyFont="1" applyBorder="1" applyAlignment="1">
      <alignment horizontal="left"/>
    </xf>
    <xf numFmtId="0" fontId="40" fillId="11" borderId="3" xfId="4" applyFont="1" applyFill="1" applyBorder="1" applyAlignment="1">
      <alignment horizontal="center"/>
    </xf>
    <xf numFmtId="0" fontId="42" fillId="2" borderId="3" xfId="4" applyFont="1" applyFill="1" applyBorder="1" applyAlignment="1">
      <alignment horizontal="left"/>
    </xf>
    <xf numFmtId="49" fontId="40" fillId="0" borderId="3" xfId="3" applyNumberFormat="1" applyFont="1" applyBorder="1" applyAlignment="1">
      <alignment horizontal="center"/>
    </xf>
  </cellXfs>
  <cellStyles count="10">
    <cellStyle name="Millares" xfId="1" builtinId="3"/>
    <cellStyle name="Millares [0]" xfId="2" builtinId="6"/>
    <cellStyle name="Normal" xfId="0" builtinId="0"/>
    <cellStyle name="Normal 2" xfId="3" xr:uid="{0181BBFA-21FC-4D45-9F27-20DB5DAB2B1E}"/>
    <cellStyle name="Normal 3" xfId="9" xr:uid="{D134DC8B-A67A-471F-AECB-377EFA12B8C2}"/>
    <cellStyle name="Normal 3 2" xfId="8" xr:uid="{07CF10AE-2446-40B7-A7BA-2AF6B8D26BFC}"/>
    <cellStyle name="Normal 4" xfId="7" xr:uid="{0C0B7B8A-BA57-4FA4-A9FE-90B25D2CF671}"/>
    <cellStyle name="Normal 5" xfId="6" xr:uid="{8ED6CEC6-D5E4-41ED-B125-D2C93776972D}"/>
    <cellStyle name="Normal_CRITERIOS DE EVALUACION PT DE GB 2" xfId="4" xr:uid="{A4C4D35A-3232-41DE-8E43-206F11421748}"/>
    <cellStyle name="Porcentaje 2" xfId="5" xr:uid="{A0A7BBF1-8B16-43F7-8C36-36F9CD1F13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154781</xdr:colOff>
      <xdr:row>0</xdr:row>
      <xdr:rowOff>71438</xdr:rowOff>
    </xdr:from>
    <xdr:to>
      <xdr:col>1</xdr:col>
      <xdr:colOff>992105</xdr:colOff>
      <xdr:row>4</xdr:row>
      <xdr:rowOff>35719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589B695-BF9F-4BBF-BF7E-CC2567D60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" y="71438"/>
          <a:ext cx="1956512" cy="88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72E-E709-4AE2-9F6B-1CADB454BA72}">
  <sheetPr>
    <pageSetUpPr fitToPage="1"/>
  </sheetPr>
  <dimension ref="A1:I4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28515625" customWidth="1"/>
    <col min="3" max="3" width="72.28515625" customWidth="1"/>
    <col min="4" max="4" width="16.28515625" customWidth="1"/>
    <col min="5" max="5" width="14.5703125" customWidth="1"/>
    <col min="6" max="6" width="13.85546875" customWidth="1"/>
    <col min="7" max="7" width="19" customWidth="1"/>
    <col min="8" max="8" width="16" customWidth="1"/>
    <col min="9" max="9" width="20.42578125" bestFit="1" customWidth="1"/>
  </cols>
  <sheetData>
    <row r="1" spans="1:9" ht="15" x14ac:dyDescent="0.2">
      <c r="A1" s="117"/>
      <c r="B1" s="118"/>
      <c r="C1" s="123" t="s">
        <v>21</v>
      </c>
      <c r="D1" s="123"/>
      <c r="E1" s="123"/>
      <c r="F1" s="123"/>
      <c r="G1" s="123"/>
      <c r="H1" s="99" t="s">
        <v>20</v>
      </c>
      <c r="I1" s="1" t="s">
        <v>139</v>
      </c>
    </row>
    <row r="2" spans="1:9" ht="15.75" x14ac:dyDescent="0.25">
      <c r="A2" s="119"/>
      <c r="B2" s="120"/>
      <c r="C2" s="124" t="s">
        <v>0</v>
      </c>
      <c r="D2" s="124"/>
      <c r="E2" s="124"/>
      <c r="F2" s="124"/>
      <c r="G2" s="124"/>
      <c r="H2" s="100" t="s">
        <v>19</v>
      </c>
      <c r="I2" s="101" t="s">
        <v>140</v>
      </c>
    </row>
    <row r="3" spans="1:9" ht="28.5" customHeight="1" thickBot="1" x14ac:dyDescent="0.25">
      <c r="A3" s="119"/>
      <c r="B3" s="120"/>
      <c r="C3" s="167" t="s">
        <v>136</v>
      </c>
      <c r="D3" s="167"/>
      <c r="E3" s="167"/>
      <c r="F3" s="167"/>
      <c r="G3" s="167"/>
      <c r="H3" s="125" t="s">
        <v>18</v>
      </c>
      <c r="I3" s="108">
        <v>45609</v>
      </c>
    </row>
    <row r="4" spans="1:9" ht="13.5" x14ac:dyDescent="0.25">
      <c r="A4" s="119"/>
      <c r="B4" s="120"/>
      <c r="C4" s="102" t="s">
        <v>17</v>
      </c>
      <c r="D4" s="111" t="s">
        <v>141</v>
      </c>
      <c r="E4" s="112"/>
      <c r="F4" s="112"/>
      <c r="G4" s="113"/>
      <c r="H4" s="126"/>
      <c r="I4" s="109"/>
    </row>
    <row r="5" spans="1:9" ht="14.25" thickBot="1" x14ac:dyDescent="0.3">
      <c r="A5" s="121"/>
      <c r="B5" s="122"/>
      <c r="C5" s="103" t="s">
        <v>16</v>
      </c>
      <c r="D5" s="114" t="s">
        <v>142</v>
      </c>
      <c r="E5" s="115"/>
      <c r="F5" s="115"/>
      <c r="G5" s="116"/>
      <c r="H5" s="127"/>
      <c r="I5" s="110"/>
    </row>
    <row r="6" spans="1:9" ht="18.75" thickBot="1" x14ac:dyDescent="0.3">
      <c r="A6" s="128" t="s">
        <v>22</v>
      </c>
      <c r="B6" s="128"/>
      <c r="C6" s="128"/>
      <c r="D6" s="168" t="s">
        <v>143</v>
      </c>
      <c r="E6" s="168"/>
      <c r="F6" s="168"/>
      <c r="G6" s="129" t="s">
        <v>23</v>
      </c>
      <c r="H6" s="129"/>
      <c r="I6" s="169" t="s">
        <v>29</v>
      </c>
    </row>
    <row r="7" spans="1:9" ht="20.25" customHeight="1" x14ac:dyDescent="0.2">
      <c r="A7" s="130" t="s">
        <v>144</v>
      </c>
      <c r="B7" s="132" t="s">
        <v>145</v>
      </c>
      <c r="C7" s="134" t="s">
        <v>1</v>
      </c>
      <c r="D7" s="134" t="s">
        <v>2</v>
      </c>
      <c r="E7" s="134" t="s">
        <v>3</v>
      </c>
      <c r="F7" s="134"/>
      <c r="G7" s="134" t="s">
        <v>15</v>
      </c>
      <c r="H7" s="134"/>
      <c r="I7" s="104" t="s">
        <v>4</v>
      </c>
    </row>
    <row r="8" spans="1:9" ht="29.25" customHeight="1" thickBot="1" x14ac:dyDescent="0.25">
      <c r="A8" s="131"/>
      <c r="B8" s="133"/>
      <c r="C8" s="135"/>
      <c r="D8" s="135"/>
      <c r="E8" s="105" t="s">
        <v>5</v>
      </c>
      <c r="F8" s="106" t="s">
        <v>6</v>
      </c>
      <c r="G8" s="105" t="s">
        <v>5</v>
      </c>
      <c r="H8" s="106" t="s">
        <v>6</v>
      </c>
      <c r="I8" s="107" t="s">
        <v>7</v>
      </c>
    </row>
    <row r="9" spans="1:9" ht="20.25" x14ac:dyDescent="0.3">
      <c r="A9" s="170"/>
      <c r="B9" s="171"/>
      <c r="C9" s="172" t="s">
        <v>146</v>
      </c>
      <c r="D9" s="173"/>
      <c r="E9" s="174"/>
      <c r="F9" s="175"/>
      <c r="G9" s="174"/>
      <c r="H9" s="175"/>
      <c r="I9" s="176"/>
    </row>
    <row r="10" spans="1:9" ht="20.25" x14ac:dyDescent="0.3">
      <c r="A10" s="177">
        <v>310107</v>
      </c>
      <c r="B10" s="177" t="s">
        <v>125</v>
      </c>
      <c r="C10" s="178" t="s">
        <v>32</v>
      </c>
      <c r="D10" s="177" t="s">
        <v>28</v>
      </c>
      <c r="E10" s="179">
        <v>90</v>
      </c>
      <c r="F10" s="180" t="s">
        <v>24</v>
      </c>
      <c r="G10" s="181"/>
      <c r="H10" s="182"/>
      <c r="I10" s="176"/>
    </row>
    <row r="11" spans="1:9" ht="20.25" x14ac:dyDescent="0.3">
      <c r="A11" s="177">
        <v>101035</v>
      </c>
      <c r="B11" s="177" t="s">
        <v>126</v>
      </c>
      <c r="C11" s="178" t="s">
        <v>34</v>
      </c>
      <c r="D11" s="177"/>
      <c r="E11" s="179">
        <v>250</v>
      </c>
      <c r="F11" s="180" t="s">
        <v>24</v>
      </c>
      <c r="G11" s="183"/>
      <c r="H11" s="182"/>
      <c r="I11" s="176"/>
    </row>
    <row r="12" spans="1:9" ht="20.25" x14ac:dyDescent="0.3">
      <c r="A12" s="177">
        <v>512319</v>
      </c>
      <c r="B12" s="177" t="s">
        <v>127</v>
      </c>
      <c r="C12" s="178" t="s">
        <v>36</v>
      </c>
      <c r="D12" s="177"/>
      <c r="E12" s="179">
        <v>20</v>
      </c>
      <c r="F12" s="180" t="s">
        <v>24</v>
      </c>
      <c r="G12" s="183"/>
      <c r="H12" s="182"/>
      <c r="I12" s="176"/>
    </row>
    <row r="13" spans="1:9" ht="20.25" x14ac:dyDescent="0.3">
      <c r="A13" s="177">
        <v>105000009</v>
      </c>
      <c r="B13" s="177" t="s">
        <v>128</v>
      </c>
      <c r="C13" s="178" t="s">
        <v>147</v>
      </c>
      <c r="D13" s="177"/>
      <c r="E13" s="179">
        <v>30</v>
      </c>
      <c r="F13" s="180" t="s">
        <v>24</v>
      </c>
      <c r="G13" s="183"/>
      <c r="H13" s="182"/>
      <c r="I13" s="176"/>
    </row>
    <row r="14" spans="1:9" ht="20.25" x14ac:dyDescent="0.3">
      <c r="A14" s="177">
        <v>101150</v>
      </c>
      <c r="B14" s="177" t="s">
        <v>129</v>
      </c>
      <c r="C14" s="178" t="s">
        <v>148</v>
      </c>
      <c r="D14" s="177"/>
      <c r="E14" s="179">
        <v>60</v>
      </c>
      <c r="F14" s="180" t="s">
        <v>24</v>
      </c>
      <c r="G14" s="183"/>
      <c r="H14" s="182"/>
      <c r="I14" s="176"/>
    </row>
    <row r="15" spans="1:9" ht="20.25" x14ac:dyDescent="0.3">
      <c r="A15" s="177">
        <v>10100125</v>
      </c>
      <c r="B15" s="177" t="s">
        <v>130</v>
      </c>
      <c r="C15" s="178" t="s">
        <v>40</v>
      </c>
      <c r="D15" s="177"/>
      <c r="E15" s="179">
        <v>100</v>
      </c>
      <c r="F15" s="180" t="s">
        <v>24</v>
      </c>
      <c r="G15" s="183"/>
      <c r="H15" s="182"/>
      <c r="I15" s="176"/>
    </row>
    <row r="16" spans="1:9" ht="20.25" x14ac:dyDescent="0.3">
      <c r="A16" s="177">
        <v>105000058</v>
      </c>
      <c r="B16" s="177" t="s">
        <v>124</v>
      </c>
      <c r="C16" s="178" t="s">
        <v>149</v>
      </c>
      <c r="D16" s="177" t="s">
        <v>28</v>
      </c>
      <c r="E16" s="179">
        <v>20</v>
      </c>
      <c r="F16" s="180" t="s">
        <v>24</v>
      </c>
      <c r="G16" s="183"/>
      <c r="H16" s="182"/>
      <c r="I16" s="176"/>
    </row>
    <row r="17" spans="1:9" ht="20.25" x14ac:dyDescent="0.3">
      <c r="A17" s="177">
        <v>90100142</v>
      </c>
      <c r="B17" s="177" t="s">
        <v>131</v>
      </c>
      <c r="C17" s="178" t="s">
        <v>42</v>
      </c>
      <c r="D17" s="177"/>
      <c r="E17" s="179">
        <v>10</v>
      </c>
      <c r="F17" s="180" t="s">
        <v>24</v>
      </c>
      <c r="G17" s="183"/>
      <c r="H17" s="182"/>
      <c r="I17" s="176"/>
    </row>
    <row r="18" spans="1:9" ht="20.25" x14ac:dyDescent="0.3">
      <c r="A18" s="177">
        <v>610218</v>
      </c>
      <c r="B18" s="177" t="s">
        <v>132</v>
      </c>
      <c r="C18" s="178" t="s">
        <v>44</v>
      </c>
      <c r="D18" s="177"/>
      <c r="E18" s="179">
        <v>2</v>
      </c>
      <c r="F18" s="180" t="s">
        <v>24</v>
      </c>
      <c r="G18" s="183"/>
      <c r="H18" s="182"/>
      <c r="I18" s="176"/>
    </row>
    <row r="19" spans="1:9" ht="20.25" x14ac:dyDescent="0.3">
      <c r="A19" s="184">
        <v>710261</v>
      </c>
      <c r="B19" s="177" t="s">
        <v>133</v>
      </c>
      <c r="C19" s="185" t="s">
        <v>45</v>
      </c>
      <c r="D19" s="186"/>
      <c r="E19" s="187">
        <v>100</v>
      </c>
      <c r="F19" s="188" t="s">
        <v>24</v>
      </c>
      <c r="G19" s="183"/>
      <c r="H19" s="182"/>
      <c r="I19" s="176"/>
    </row>
    <row r="20" spans="1:9" ht="20.25" x14ac:dyDescent="0.3">
      <c r="A20" s="177">
        <v>95460</v>
      </c>
      <c r="B20" s="177" t="s">
        <v>134</v>
      </c>
      <c r="C20" s="178" t="s">
        <v>122</v>
      </c>
      <c r="D20" s="186"/>
      <c r="E20" s="187">
        <v>500</v>
      </c>
      <c r="F20" s="188" t="s">
        <v>24</v>
      </c>
      <c r="G20" s="183"/>
      <c r="H20" s="182"/>
      <c r="I20" s="176"/>
    </row>
    <row r="21" spans="1:9" ht="20.25" x14ac:dyDescent="0.3">
      <c r="A21" s="177">
        <v>102000062</v>
      </c>
      <c r="B21" s="177" t="s">
        <v>123</v>
      </c>
      <c r="C21" s="178" t="s">
        <v>150</v>
      </c>
      <c r="D21" s="186"/>
      <c r="E21" s="197">
        <v>150</v>
      </c>
      <c r="F21" s="188" t="s">
        <v>24</v>
      </c>
      <c r="G21" s="183"/>
      <c r="H21" s="182"/>
      <c r="I21" s="176"/>
    </row>
    <row r="22" spans="1:9" ht="20.25" x14ac:dyDescent="0.3">
      <c r="A22" s="177"/>
      <c r="B22" s="189" t="s">
        <v>137</v>
      </c>
      <c r="C22" s="189" t="s">
        <v>151</v>
      </c>
      <c r="D22" s="186"/>
      <c r="E22" s="197">
        <v>2</v>
      </c>
      <c r="F22" s="188" t="s">
        <v>24</v>
      </c>
      <c r="G22" s="190"/>
      <c r="H22" s="182"/>
      <c r="I22" s="176"/>
    </row>
    <row r="23" spans="1:9" ht="20.25" x14ac:dyDescent="0.3">
      <c r="A23" s="177">
        <v>10415</v>
      </c>
      <c r="B23" s="177"/>
      <c r="C23" s="178" t="s">
        <v>51</v>
      </c>
      <c r="D23" s="186"/>
      <c r="E23" s="197">
        <v>200</v>
      </c>
      <c r="F23" s="188" t="s">
        <v>24</v>
      </c>
      <c r="G23" s="190"/>
      <c r="H23" s="182"/>
      <c r="I23" s="176"/>
    </row>
    <row r="24" spans="1:9" ht="20.25" x14ac:dyDescent="0.3">
      <c r="A24" s="191"/>
      <c r="B24" s="192"/>
      <c r="C24" s="193"/>
      <c r="D24" s="194"/>
      <c r="E24" s="195"/>
      <c r="F24" s="195"/>
      <c r="G24" s="190"/>
      <c r="H24" s="196"/>
      <c r="I24" s="176"/>
    </row>
    <row r="25" spans="1:9" ht="20.25" x14ac:dyDescent="0.3">
      <c r="A25" s="177"/>
      <c r="B25" s="177"/>
      <c r="C25" s="198"/>
      <c r="D25" s="197"/>
      <c r="E25" s="197"/>
      <c r="F25" s="188"/>
      <c r="G25" s="174"/>
      <c r="H25" s="196"/>
      <c r="I25" s="176"/>
    </row>
    <row r="26" spans="1:9" ht="20.25" x14ac:dyDescent="0.3">
      <c r="A26" s="199"/>
      <c r="B26" s="200"/>
      <c r="C26" s="201" t="s">
        <v>152</v>
      </c>
      <c r="D26" s="202" t="s">
        <v>153</v>
      </c>
      <c r="E26" s="203"/>
      <c r="F26" s="188"/>
      <c r="G26" s="174"/>
      <c r="H26" s="196"/>
      <c r="I26" s="176"/>
    </row>
    <row r="27" spans="1:9" ht="21" customHeight="1" x14ac:dyDescent="0.3">
      <c r="A27" s="177"/>
      <c r="B27" s="177"/>
      <c r="C27" s="198"/>
      <c r="D27" s="204" t="s">
        <v>153</v>
      </c>
      <c r="E27" s="205"/>
      <c r="F27" s="206"/>
      <c r="G27" s="174"/>
      <c r="H27" s="196"/>
      <c r="I27" s="176"/>
    </row>
    <row r="28" spans="1:9" ht="21" customHeight="1" x14ac:dyDescent="0.3">
      <c r="A28" s="259"/>
      <c r="B28" s="259"/>
      <c r="C28" s="207" t="s">
        <v>154</v>
      </c>
      <c r="D28" s="208" t="s">
        <v>153</v>
      </c>
      <c r="E28" s="174"/>
      <c r="F28" s="175"/>
      <c r="G28" s="174"/>
      <c r="H28" s="196"/>
      <c r="I28" s="176"/>
    </row>
    <row r="29" spans="1:9" ht="20.25" x14ac:dyDescent="0.3">
      <c r="A29" s="199"/>
      <c r="B29" s="200"/>
      <c r="C29" s="209"/>
      <c r="D29" s="202"/>
      <c r="E29" s="202"/>
      <c r="F29" s="188"/>
      <c r="G29" s="202"/>
      <c r="H29" s="202"/>
      <c r="I29" s="176"/>
    </row>
    <row r="30" spans="1:9" ht="21" thickBot="1" x14ac:dyDescent="0.35">
      <c r="A30" s="210"/>
      <c r="B30" s="211"/>
      <c r="C30" s="212"/>
      <c r="D30" s="212"/>
      <c r="E30" s="213"/>
      <c r="F30" s="214"/>
      <c r="G30" s="212"/>
      <c r="H30" s="212"/>
      <c r="I30" s="215"/>
    </row>
    <row r="31" spans="1:9" ht="21" thickBot="1" x14ac:dyDescent="0.35">
      <c r="A31" s="216"/>
      <c r="B31" s="217"/>
      <c r="C31" s="218"/>
      <c r="D31" s="219" t="s">
        <v>5</v>
      </c>
      <c r="E31" s="220" t="s">
        <v>14</v>
      </c>
      <c r="F31" s="221"/>
      <c r="G31" s="218"/>
      <c r="H31" s="218"/>
      <c r="I31" s="222"/>
    </row>
    <row r="32" spans="1:9" ht="20.25" x14ac:dyDescent="0.3">
      <c r="A32" s="223" t="s">
        <v>9</v>
      </c>
      <c r="B32" s="224"/>
      <c r="C32" s="225"/>
      <c r="D32" s="226">
        <v>1400</v>
      </c>
      <c r="E32" s="227" t="s">
        <v>24</v>
      </c>
      <c r="F32" s="228" t="s">
        <v>155</v>
      </c>
      <c r="G32" s="228"/>
      <c r="H32" s="229"/>
      <c r="I32" s="230"/>
    </row>
    <row r="33" spans="1:9" ht="20.25" x14ac:dyDescent="0.3">
      <c r="A33" s="231" t="s">
        <v>8</v>
      </c>
      <c r="B33" s="232"/>
      <c r="C33" s="233"/>
      <c r="D33" s="234">
        <v>6</v>
      </c>
      <c r="E33" s="177" t="s">
        <v>26</v>
      </c>
      <c r="F33" s="235" t="s">
        <v>156</v>
      </c>
      <c r="G33" s="235"/>
      <c r="H33" s="236"/>
      <c r="I33" s="237"/>
    </row>
    <row r="34" spans="1:9" ht="20.25" x14ac:dyDescent="0.3">
      <c r="A34" s="231" t="s">
        <v>13</v>
      </c>
      <c r="B34" s="232"/>
      <c r="C34" s="233"/>
      <c r="D34" s="177">
        <v>1</v>
      </c>
      <c r="E34" s="177" t="s">
        <v>25</v>
      </c>
      <c r="F34" s="235" t="s">
        <v>157</v>
      </c>
      <c r="G34" s="235"/>
      <c r="H34" s="236"/>
      <c r="I34" s="237"/>
    </row>
    <row r="35" spans="1:9" ht="20.25" x14ac:dyDescent="0.3">
      <c r="A35" s="231" t="s">
        <v>12</v>
      </c>
      <c r="B35" s="232"/>
      <c r="C35" s="233"/>
      <c r="D35" s="177">
        <v>1400</v>
      </c>
      <c r="E35" s="177" t="s">
        <v>24</v>
      </c>
      <c r="F35" s="238" t="s">
        <v>158</v>
      </c>
      <c r="G35" s="239"/>
      <c r="H35" s="236"/>
      <c r="I35" s="237"/>
    </row>
    <row r="36" spans="1:9" ht="21" thickBot="1" x14ac:dyDescent="0.35">
      <c r="A36" s="240" t="s">
        <v>11</v>
      </c>
      <c r="B36" s="241"/>
      <c r="C36" s="242"/>
      <c r="D36" s="243">
        <v>134</v>
      </c>
      <c r="E36" s="244" t="s">
        <v>24</v>
      </c>
      <c r="F36" s="245"/>
      <c r="G36" s="245"/>
      <c r="H36" s="246"/>
      <c r="I36" s="247"/>
    </row>
    <row r="37" spans="1:9" ht="21" thickBot="1" x14ac:dyDescent="0.35">
      <c r="A37" s="251" t="s">
        <v>10</v>
      </c>
      <c r="B37" s="252"/>
      <c r="C37" s="252"/>
      <c r="D37" s="252"/>
      <c r="E37" s="252"/>
      <c r="F37" s="252"/>
      <c r="G37" s="252"/>
      <c r="H37" s="252"/>
      <c r="I37" s="253"/>
    </row>
    <row r="38" spans="1:9" ht="20.25" x14ac:dyDescent="0.3">
      <c r="A38" s="248" t="s">
        <v>52</v>
      </c>
      <c r="B38" s="249"/>
      <c r="C38" s="249"/>
      <c r="D38" s="249"/>
      <c r="E38" s="249"/>
      <c r="F38" s="249"/>
      <c r="G38" s="249"/>
      <c r="H38" s="249"/>
      <c r="I38" s="250"/>
    </row>
    <row r="39" spans="1:9" ht="20.25" x14ac:dyDescent="0.3">
      <c r="A39" s="248" t="s">
        <v>138</v>
      </c>
      <c r="B39" s="249"/>
      <c r="C39" s="249"/>
      <c r="D39" s="249"/>
      <c r="E39" s="249"/>
      <c r="F39" s="249"/>
      <c r="G39" s="249"/>
      <c r="H39" s="249"/>
      <c r="I39" s="250"/>
    </row>
    <row r="40" spans="1:9" ht="20.25" x14ac:dyDescent="0.3">
      <c r="A40" s="248" t="s">
        <v>53</v>
      </c>
      <c r="B40" s="249"/>
      <c r="C40" s="249"/>
      <c r="D40" s="249"/>
      <c r="E40" s="249"/>
      <c r="F40" s="249"/>
      <c r="G40" s="249"/>
      <c r="H40" s="249"/>
      <c r="I40" s="250"/>
    </row>
    <row r="41" spans="1:9" ht="20.25" x14ac:dyDescent="0.3">
      <c r="A41" s="248" t="s">
        <v>54</v>
      </c>
      <c r="B41" s="249"/>
      <c r="C41" s="249"/>
      <c r="D41" s="249"/>
      <c r="E41" s="249"/>
      <c r="F41" s="249"/>
      <c r="G41" s="249"/>
      <c r="H41" s="249"/>
      <c r="I41" s="250"/>
    </row>
    <row r="42" spans="1:9" ht="20.25" x14ac:dyDescent="0.3">
      <c r="A42" s="254"/>
      <c r="B42" s="255"/>
      <c r="C42" s="255"/>
      <c r="D42" s="255"/>
      <c r="E42" s="255"/>
      <c r="F42" s="255"/>
      <c r="G42" s="255"/>
      <c r="H42" s="255"/>
      <c r="I42" s="256"/>
    </row>
    <row r="43" spans="1:9" ht="20.25" x14ac:dyDescent="0.3">
      <c r="A43" s="257" t="s">
        <v>135</v>
      </c>
      <c r="B43" s="257"/>
      <c r="C43" s="257"/>
      <c r="D43" s="257"/>
      <c r="E43" s="257"/>
      <c r="F43" s="257"/>
      <c r="G43" s="257"/>
      <c r="H43" s="257"/>
      <c r="I43" s="257"/>
    </row>
    <row r="44" spans="1:9" ht="20.25" x14ac:dyDescent="0.3">
      <c r="A44" s="258"/>
      <c r="B44" s="258"/>
      <c r="C44" s="258"/>
      <c r="D44" s="258"/>
      <c r="E44" s="258"/>
      <c r="F44" s="258"/>
      <c r="G44" s="258"/>
      <c r="H44" s="258"/>
      <c r="I44" s="258"/>
    </row>
    <row r="45" spans="1:9" ht="20.25" x14ac:dyDescent="0.3">
      <c r="A45" s="258"/>
      <c r="B45" s="258"/>
      <c r="C45" s="258"/>
      <c r="D45" s="258"/>
      <c r="E45" s="258"/>
      <c r="F45" s="258"/>
      <c r="G45" s="258"/>
      <c r="H45" s="258"/>
      <c r="I45" s="258"/>
    </row>
  </sheetData>
  <mergeCells count="41">
    <mergeCell ref="A42:I42"/>
    <mergeCell ref="A43:I43"/>
    <mergeCell ref="A44:I44"/>
    <mergeCell ref="A45:I45"/>
    <mergeCell ref="A36:C36"/>
    <mergeCell ref="F36:G36"/>
    <mergeCell ref="H36:I36"/>
    <mergeCell ref="A37:I37"/>
    <mergeCell ref="A38:I38"/>
    <mergeCell ref="A39:I39"/>
    <mergeCell ref="A40:I40"/>
    <mergeCell ref="A41:I41"/>
    <mergeCell ref="A34:C34"/>
    <mergeCell ref="F34:G34"/>
    <mergeCell ref="H34:I34"/>
    <mergeCell ref="A35:C35"/>
    <mergeCell ref="F35:G35"/>
    <mergeCell ref="H35:I35"/>
    <mergeCell ref="A32:C32"/>
    <mergeCell ref="F32:G32"/>
    <mergeCell ref="H32:I32"/>
    <mergeCell ref="A33:C33"/>
    <mergeCell ref="F33:G33"/>
    <mergeCell ref="H33:I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84A3-0387-498C-B063-DAB39EFE6B88}">
  <dimension ref="A1:Q96"/>
  <sheetViews>
    <sheetView topLeftCell="A5" workbookViewId="0">
      <selection activeCell="E23" sqref="E23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56</v>
      </c>
      <c r="F1" s="4" t="s">
        <v>57</v>
      </c>
      <c r="G1" s="4" t="s">
        <v>58</v>
      </c>
      <c r="H1" s="4" t="s">
        <v>59</v>
      </c>
      <c r="I1" s="5"/>
    </row>
    <row r="2" spans="1:10" ht="30.75" customHeight="1" x14ac:dyDescent="0.2">
      <c r="A2" s="2"/>
      <c r="B2" s="2"/>
      <c r="C2" s="2"/>
      <c r="D2" s="2"/>
      <c r="E2" s="8">
        <f>IFERROR(O67,"")</f>
        <v>7486.30730105781</v>
      </c>
      <c r="F2" s="8">
        <f>IFERROR(H58,"")</f>
        <v>6576.0790808033835</v>
      </c>
      <c r="G2" s="8">
        <f>IFERROR(H59,"")</f>
        <v>3.6256000000000004E-2</v>
      </c>
      <c r="H2" s="8">
        <f>IFERROR(H61,"")</f>
        <v>466.56899007999999</v>
      </c>
      <c r="I2" s="9"/>
    </row>
    <row r="3" spans="1:10" ht="15" customHeight="1" x14ac:dyDescent="0.2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25">
      <c r="A4" s="137"/>
      <c r="B4" s="137"/>
      <c r="C4" s="137"/>
      <c r="D4" s="137"/>
      <c r="E4" s="137"/>
      <c r="F4" s="137"/>
      <c r="G4" s="137"/>
      <c r="H4" s="137"/>
      <c r="I4" s="11"/>
    </row>
    <row r="5" spans="1:10" ht="19.5" customHeight="1" thickBot="1" x14ac:dyDescent="0.25">
      <c r="A5" s="138" t="s">
        <v>60</v>
      </c>
      <c r="B5" s="139"/>
      <c r="C5" s="139"/>
      <c r="D5" s="139"/>
      <c r="E5" s="139"/>
      <c r="F5" s="139"/>
      <c r="G5" s="139"/>
      <c r="H5" s="140"/>
      <c r="I5" s="12"/>
    </row>
    <row r="6" spans="1:10" ht="19.5" thickBot="1" x14ac:dyDescent="0.25">
      <c r="A6" s="12"/>
      <c r="B6" s="12"/>
      <c r="C6" s="12"/>
      <c r="D6" s="12"/>
      <c r="E6" s="12"/>
      <c r="F6" s="141" t="s">
        <v>61</v>
      </c>
      <c r="G6" s="141"/>
      <c r="H6" s="13">
        <f ca="1">TODAY()</f>
        <v>46078</v>
      </c>
      <c r="I6" s="13"/>
    </row>
    <row r="7" spans="1:10" ht="26.25" thickBot="1" x14ac:dyDescent="0.25">
      <c r="A7" s="14" t="s">
        <v>62</v>
      </c>
      <c r="B7" s="15" t="s">
        <v>63</v>
      </c>
      <c r="C7" s="15" t="s">
        <v>62</v>
      </c>
      <c r="D7" s="16" t="s">
        <v>64</v>
      </c>
      <c r="E7" s="16" t="s">
        <v>65</v>
      </c>
      <c r="F7" s="16" t="s">
        <v>66</v>
      </c>
      <c r="G7" s="16" t="s">
        <v>67</v>
      </c>
      <c r="H7" s="17" t="s">
        <v>68</v>
      </c>
      <c r="I7" s="18"/>
    </row>
    <row r="8" spans="1:10" ht="13.5" x14ac:dyDescent="0.25">
      <c r="A8" s="19">
        <v>90</v>
      </c>
      <c r="B8" s="7" t="str">
        <f>IFERROR(VLOOKUP(H8,'[1]Consolidado MP Planta'!$A$2:$M$823,3,0),"")</f>
        <v>LACTOCREMA GRANEL (CAJA:25 KG)</v>
      </c>
      <c r="C8" s="20">
        <f>+A8</f>
        <v>90</v>
      </c>
      <c r="D8" s="21" t="str">
        <f>IFERROR(VLOOKUP(H8,'[1]Consolidado MP Planta'!$A$2:$M$823,13,0),"")</f>
        <v>Gramos</v>
      </c>
      <c r="E8" s="21">
        <v>3.49</v>
      </c>
      <c r="F8" s="21">
        <f>IFERROR(C8*E8,"")</f>
        <v>314.10000000000002</v>
      </c>
      <c r="G8" s="22">
        <f t="shared" ref="G8:G19" si="0">IFERROR(F8/$F$71,"")</f>
        <v>4.4404314728410346E-2</v>
      </c>
      <c r="H8" s="23" t="s">
        <v>31</v>
      </c>
      <c r="I8" s="23"/>
      <c r="J8" s="24"/>
    </row>
    <row r="9" spans="1:10" ht="13.5" x14ac:dyDescent="0.25">
      <c r="A9" s="19">
        <v>250</v>
      </c>
      <c r="B9" s="7" t="str">
        <f>IFERROR(VLOOKUP(H9,'[1]Consolidado MP Planta'!$A$2:$M$823,3,0),"")</f>
        <v>CEBOLLA PICADA (PAQ:KILO)</v>
      </c>
      <c r="C9" s="20">
        <f t="shared" ref="C9:C19" si="1">+A9</f>
        <v>250</v>
      </c>
      <c r="D9" s="21" t="str">
        <f>IFERROR(VLOOKUP(H9,'[1]Consolidado MP Planta'!$A$2:$M$823,13,0),"")</f>
        <v>Gramos</v>
      </c>
      <c r="E9" s="21">
        <v>1.98</v>
      </c>
      <c r="F9" s="21">
        <f t="shared" ref="F9:F19" si="2">IFERROR(C9*E9,"")</f>
        <v>495</v>
      </c>
      <c r="G9" s="22">
        <f t="shared" si="0"/>
        <v>6.9978146420130907E-2</v>
      </c>
      <c r="H9" s="23" t="s">
        <v>33</v>
      </c>
      <c r="I9" s="23"/>
      <c r="J9" s="24"/>
    </row>
    <row r="10" spans="1:10" ht="13.5" x14ac:dyDescent="0.25">
      <c r="A10" s="19">
        <v>20</v>
      </c>
      <c r="B10" s="7" t="str">
        <f>IFERROR(VLOOKUP(H10,'[1]Consolidado MP Planta'!$A$2:$M$823,3,0),"")</f>
        <v>PASTA AJO (PAQ: 1 KILO)</v>
      </c>
      <c r="C10" s="20">
        <f>+A10</f>
        <v>20</v>
      </c>
      <c r="D10" s="21" t="str">
        <f>IFERROR(VLOOKUP(H10,'[1]Consolidado MP Planta'!$A$2:$M$823,13,0),"")</f>
        <v>Gramos</v>
      </c>
      <c r="E10" s="21">
        <v>4.75</v>
      </c>
      <c r="F10" s="21">
        <f>IFERROR(C10*E10,"")</f>
        <v>95</v>
      </c>
      <c r="G10" s="22">
        <f t="shared" si="0"/>
        <v>1.3430149312954416E-2</v>
      </c>
      <c r="H10" s="23" t="s">
        <v>35</v>
      </c>
      <c r="I10" s="23"/>
      <c r="J10" s="24"/>
    </row>
    <row r="11" spans="1:10" ht="13.5" x14ac:dyDescent="0.25">
      <c r="A11" s="19">
        <v>30</v>
      </c>
      <c r="B11" s="7" t="str">
        <f>IFERROR(VLOOKUP(H11,'[1]Consolidado MP Planta'!$A$2:$M$823,3,0),"")</f>
        <v>ACHIOTE (UND:850g)</v>
      </c>
      <c r="C11" s="20">
        <f>+A11</f>
        <v>30</v>
      </c>
      <c r="D11" s="21" t="str">
        <f>IFERROR(VLOOKUP(H11,'[1]Consolidado MP Planta'!$A$2:$M$823,13,0),"")</f>
        <v>Gramos</v>
      </c>
      <c r="E11" s="21">
        <f>IFERROR(VLOOKUP(H11,'[1]Consolidado MP Planta'!$A$2:$M$823,12,0),"")</f>
        <v>4.4447058823529408</v>
      </c>
      <c r="F11" s="21">
        <f>IFERROR(C11*E11,"")</f>
        <v>133.34117647058824</v>
      </c>
      <c r="G11" s="22">
        <f t="shared" si="0"/>
        <v>1.8850441153315835E-2</v>
      </c>
      <c r="H11" s="23" t="s">
        <v>37</v>
      </c>
      <c r="I11" s="23"/>
      <c r="J11" s="24"/>
    </row>
    <row r="12" spans="1:10" ht="13.5" x14ac:dyDescent="0.25">
      <c r="A12" s="19">
        <v>60</v>
      </c>
      <c r="B12" s="7" t="str">
        <f>IFERROR(VLOOKUP(H12,'[1]Consolidado MP Planta'!$A$2:$M$823,3,0),"")</f>
        <v>APIO PICADO (PAQ:500gr)</v>
      </c>
      <c r="C12" s="20">
        <f>+A12</f>
        <v>60</v>
      </c>
      <c r="D12" s="21" t="str">
        <f>IFERROR(VLOOKUP(H12,'[1]Consolidado MP Planta'!$A$2:$M$823,13,0),"")</f>
        <v>Gramos</v>
      </c>
      <c r="E12" s="21">
        <v>1.99</v>
      </c>
      <c r="F12" s="21">
        <f>IFERROR(C12*E12,"")</f>
        <v>119.4</v>
      </c>
      <c r="G12" s="22">
        <f t="shared" si="0"/>
        <v>1.6879577136492185E-2</v>
      </c>
      <c r="H12" s="23" t="s">
        <v>38</v>
      </c>
      <c r="I12" s="23"/>
      <c r="J12" s="24"/>
    </row>
    <row r="13" spans="1:10" ht="13.5" x14ac:dyDescent="0.25">
      <c r="A13" s="19">
        <v>100</v>
      </c>
      <c r="B13" s="7" t="str">
        <f>IFERROR(VLOOKUP(H13,'[1]Consolidado MP Planta'!$A$2:$M$823,3,0),"")</f>
        <v>PASTA TOMATE OLD CALI (UND:3.14 K)</v>
      </c>
      <c r="C13" s="20">
        <f>+A13</f>
        <v>100</v>
      </c>
      <c r="D13" s="21" t="str">
        <f>IFERROR(VLOOKUP(H13,'[1]Consolidado MP Planta'!$A$2:$M$823,13,0),"")</f>
        <v>Gramos</v>
      </c>
      <c r="E13" s="21">
        <v>1.84</v>
      </c>
      <c r="F13" s="21">
        <f>IFERROR(C13*E13,"")</f>
        <v>184</v>
      </c>
      <c r="G13" s="22">
        <f t="shared" si="0"/>
        <v>2.6012078669301185E-2</v>
      </c>
      <c r="H13" s="23" t="s">
        <v>39</v>
      </c>
      <c r="I13" s="23"/>
      <c r="J13" s="24"/>
    </row>
    <row r="14" spans="1:10" ht="13.5" x14ac:dyDescent="0.25">
      <c r="A14" s="19">
        <v>20</v>
      </c>
      <c r="B14" s="7" t="str">
        <f>IFERROR(VLOOKUP(H14,'[1]Consolidado MP Planta'!$A$2:$M$823,3,0),"")</f>
        <v>CONSOME CONCEN. DE RES (UND:2 K)</v>
      </c>
      <c r="C14" s="20">
        <f>+A14</f>
        <v>20</v>
      </c>
      <c r="D14" s="21" t="str">
        <f>IFERROR(VLOOKUP(H14,'[1]Consolidado MP Planta'!$A$2:$M$823,13,0),"")</f>
        <v>Gramos</v>
      </c>
      <c r="E14" s="21">
        <v>4.03</v>
      </c>
      <c r="F14" s="21">
        <f>IFERROR(C14*E14,"")</f>
        <v>80.600000000000009</v>
      </c>
      <c r="G14" s="22">
        <f t="shared" si="0"/>
        <v>1.1394421417096064E-2</v>
      </c>
      <c r="H14" s="23" t="s">
        <v>106</v>
      </c>
      <c r="I14" s="23"/>
      <c r="J14" s="24"/>
    </row>
    <row r="15" spans="1:10" ht="13.5" x14ac:dyDescent="0.25">
      <c r="A15" s="19">
        <v>2</v>
      </c>
      <c r="B15" s="7" t="str">
        <f>IFERROR(VLOOKUP(H15,'[1]Consolidado MP Planta'!$A$2:$M$823,3,0),"")</f>
        <v>COMINO (UND:454G)</v>
      </c>
      <c r="C15" s="20">
        <f t="shared" si="1"/>
        <v>2</v>
      </c>
      <c r="D15" s="21" t="str">
        <f>IFERROR(VLOOKUP(H15,'[1]Consolidado MP Planta'!$A$2:$M$823,13,0),"")</f>
        <v>Gramos</v>
      </c>
      <c r="E15" s="21">
        <f>IFERROR(VLOOKUP(H15,'[1]Consolidado MP Planta'!$A$2:$M$823,12,0),"")</f>
        <v>6.9052863436123344</v>
      </c>
      <c r="F15" s="21">
        <f t="shared" si="2"/>
        <v>13.810572687224669</v>
      </c>
      <c r="G15" s="22">
        <f t="shared" si="0"/>
        <v>1.9524005609140782E-3</v>
      </c>
      <c r="H15" s="23" t="s">
        <v>43</v>
      </c>
      <c r="I15" s="23"/>
      <c r="J15" s="24"/>
    </row>
    <row r="16" spans="1:10" ht="13.5" x14ac:dyDescent="0.25">
      <c r="A16" s="19">
        <v>100</v>
      </c>
      <c r="B16" s="7" t="s">
        <v>45</v>
      </c>
      <c r="C16" s="20">
        <f t="shared" si="1"/>
        <v>100</v>
      </c>
      <c r="D16" s="21" t="str">
        <f>IFERROR(VLOOKUP(H16,'[1]Consolidado MP Planta'!$A$2:$M$823,13,0),"")</f>
        <v>Gramos</v>
      </c>
      <c r="E16" s="21">
        <f>IFERROR(VLOOKUP(H16,'[1]Consolidado MP Planta'!$A$2:$M$823,12,0),"")</f>
        <v>1.3820253164556962</v>
      </c>
      <c r="F16" s="21">
        <f t="shared" si="2"/>
        <v>138.20253164556962</v>
      </c>
      <c r="G16" s="22">
        <f t="shared" si="0"/>
        <v>1.9537690899245345E-2</v>
      </c>
      <c r="H16" s="23" t="s">
        <v>107</v>
      </c>
      <c r="I16" s="23"/>
      <c r="J16" s="24"/>
    </row>
    <row r="17" spans="1:12" ht="13.5" x14ac:dyDescent="0.25">
      <c r="A17" s="19">
        <v>150</v>
      </c>
      <c r="B17" s="7" t="s">
        <v>49</v>
      </c>
      <c r="C17" s="20">
        <f t="shared" si="1"/>
        <v>150</v>
      </c>
      <c r="D17" s="21" t="s">
        <v>109</v>
      </c>
      <c r="E17" s="21">
        <v>3.73</v>
      </c>
      <c r="F17" s="21">
        <f t="shared" si="2"/>
        <v>559.5</v>
      </c>
      <c r="G17" s="22">
        <f t="shared" si="0"/>
        <v>7.9096510953663116E-2</v>
      </c>
      <c r="H17" s="23" t="s">
        <v>48</v>
      </c>
      <c r="I17" s="23"/>
      <c r="J17" s="24"/>
    </row>
    <row r="18" spans="1:12" ht="13.5" x14ac:dyDescent="0.25">
      <c r="A18" s="19">
        <v>200</v>
      </c>
      <c r="B18" s="7" t="str">
        <f>IFERROR(VLOOKUP(H18,'[1]Consolidado MP Planta'!$A$2:$M$823,3,0),"")</f>
        <v>AGUA PLANTA</v>
      </c>
      <c r="C18" s="20">
        <f t="shared" si="1"/>
        <v>200</v>
      </c>
      <c r="D18" s="21" t="str">
        <f>IFERROR(VLOOKUP(H18,'[1]Consolidado MP Planta'!$A$2:$M$823,13,0),"")</f>
        <v>Mililitros</v>
      </c>
      <c r="E18" s="21">
        <f>IFERROR(VLOOKUP(H18,'[1]Consolidado MP Planta'!$A$2:$M$823,12,0),"")</f>
        <v>0.1</v>
      </c>
      <c r="F18" s="21">
        <f t="shared" si="2"/>
        <v>20</v>
      </c>
      <c r="G18" s="22">
        <f t="shared" si="0"/>
        <v>2.8273998553588245E-3</v>
      </c>
      <c r="H18" s="23" t="s">
        <v>50</v>
      </c>
      <c r="I18" s="23"/>
      <c r="J18" s="24"/>
    </row>
    <row r="19" spans="1:12" ht="13.5" x14ac:dyDescent="0.25">
      <c r="A19" s="19"/>
      <c r="B19" s="7" t="str">
        <f>IFERROR(VLOOKUP(H19,'[1]Consolidado MP Planta'!$A$2:$M$823,3,0),"")</f>
        <v/>
      </c>
      <c r="C19" s="20">
        <f t="shared" si="1"/>
        <v>0</v>
      </c>
      <c r="D19" s="21" t="str">
        <f>IFERROR(VLOOKUP(H19,'[1]Consolidado MP Planta'!$A$2:$M$823,13,0),"")</f>
        <v/>
      </c>
      <c r="E19" s="21" t="str">
        <f>IFERROR(VLOOKUP(H19,'[1]Consolidado MP Planta'!$A$2:$M$823,12,0),"")</f>
        <v/>
      </c>
      <c r="F19" s="21" t="str">
        <f t="shared" si="2"/>
        <v/>
      </c>
      <c r="G19" s="22" t="str">
        <f t="shared" si="0"/>
        <v/>
      </c>
      <c r="H19" s="23"/>
      <c r="I19" s="23"/>
      <c r="J19" s="24"/>
    </row>
    <row r="20" spans="1:12" ht="14.25" thickBot="1" x14ac:dyDescent="0.3">
      <c r="A20" s="19"/>
      <c r="B20" s="7" t="str">
        <f>IFERROR(VLOOKUP(H20,'[2]ARTICULOS MP PLANTA'!$A$2:$G$589,2,0),"")</f>
        <v/>
      </c>
      <c r="C20" s="20"/>
      <c r="D20" s="21"/>
      <c r="E20" s="21"/>
      <c r="F20" s="21"/>
      <c r="G20" s="22"/>
      <c r="H20" s="23"/>
      <c r="I20" s="23"/>
      <c r="J20" s="24"/>
    </row>
    <row r="21" spans="1:12" ht="26.25" thickBot="1" x14ac:dyDescent="0.25">
      <c r="A21" s="14" t="s">
        <v>62</v>
      </c>
      <c r="B21" s="15" t="s">
        <v>69</v>
      </c>
      <c r="C21" s="15" t="s">
        <v>62</v>
      </c>
      <c r="D21" s="16" t="s">
        <v>64</v>
      </c>
      <c r="E21" s="16" t="s">
        <v>65</v>
      </c>
      <c r="F21" s="16" t="s">
        <v>66</v>
      </c>
      <c r="G21" s="16" t="s">
        <v>67</v>
      </c>
      <c r="H21" s="17" t="s">
        <v>68</v>
      </c>
      <c r="I21" s="18"/>
      <c r="J21" s="24"/>
    </row>
    <row r="22" spans="1:12" ht="13.5" x14ac:dyDescent="0.25">
      <c r="A22" s="19">
        <v>10</v>
      </c>
      <c r="B22" s="7" t="str">
        <f>IFERROR(VLOOKUP(H22,[1]SEMIELABORADOS!$A$2:$M$6000,2,0),"")</f>
        <v>EMPAQUE SAL KILO</v>
      </c>
      <c r="C22" s="20">
        <f>+A22</f>
        <v>10</v>
      </c>
      <c r="D22" s="20" t="str">
        <f>IFERROR(VLOOKUP(H22,[1]SEMIELABORADOS!$A$2:$M$6000,6,0),"")</f>
        <v>Gramo</v>
      </c>
      <c r="E22" s="21">
        <f>IFERROR(VLOOKUP(H22,[1]SEMIELABORADOS!$A$2:$H$65536,8,0),"")</f>
        <v>0.31247999999999998</v>
      </c>
      <c r="F22" s="21">
        <f>IFERROR(E22*C22,"")</f>
        <v>3.1247999999999996</v>
      </c>
      <c r="G22" s="22">
        <f t="shared" ref="G22:G29" si="3">IFERROR(F22/$F$71,"")</f>
        <v>4.4175295340126268E-4</v>
      </c>
      <c r="H22" s="23" t="s">
        <v>41</v>
      </c>
      <c r="I22" s="23"/>
      <c r="J22" s="24"/>
    </row>
    <row r="23" spans="1:12" ht="13.5" x14ac:dyDescent="0.25">
      <c r="A23" s="19">
        <v>500</v>
      </c>
      <c r="B23" s="7" t="s">
        <v>47</v>
      </c>
      <c r="C23" s="20">
        <f t="shared" ref="C23:C29" si="4">+A23</f>
        <v>500</v>
      </c>
      <c r="D23" s="20" t="s">
        <v>108</v>
      </c>
      <c r="E23" s="21">
        <v>8.84</v>
      </c>
      <c r="F23" s="21">
        <f t="shared" ref="F23:F29" si="5">IFERROR(E23*C23,"")</f>
        <v>4420</v>
      </c>
      <c r="G23" s="22">
        <f t="shared" si="3"/>
        <v>0.6248553680343002</v>
      </c>
      <c r="H23" s="23" t="s">
        <v>46</v>
      </c>
      <c r="I23" s="23"/>
      <c r="J23" s="24"/>
    </row>
    <row r="24" spans="1:12" ht="13.5" hidden="1" x14ac:dyDescent="0.25">
      <c r="A24" s="19"/>
      <c r="B24" s="7" t="str">
        <f>IFERROR(VLOOKUP(H24,[1]SEMIELABORADOS!$A$2:$M$6000,2,0),"")</f>
        <v/>
      </c>
      <c r="C24" s="20">
        <f>+A24</f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>IFERROR(E24*C24,"")</f>
        <v/>
      </c>
      <c r="G24" s="22" t="str">
        <f t="shared" si="3"/>
        <v/>
      </c>
      <c r="H24" s="23"/>
      <c r="I24" s="23"/>
      <c r="J24" s="24"/>
    </row>
    <row r="25" spans="1:12" ht="13.5" hidden="1" x14ac:dyDescent="0.25">
      <c r="A25" s="19"/>
      <c r="B25" s="7" t="str">
        <f>IFERROR(VLOOKUP(H25,[1]SEMIELABORADOS!$A$2:$M$6000,2,0),"")</f>
        <v/>
      </c>
      <c r="C25" s="20">
        <f>+A25</f>
        <v>0</v>
      </c>
      <c r="D25" s="20" t="str">
        <f>IFERROR(VLOOKUP(H25,[1]SEMIELABORADOS!$A$2:$M$6000,6,0),"")</f>
        <v/>
      </c>
      <c r="E25" s="21" t="str">
        <f>IFERROR(VLOOKUP(H25,[1]SEMIELABORADOS!$A$2:$H$65536,8,0),"")</f>
        <v/>
      </c>
      <c r="F25" s="21" t="str">
        <f>IFERROR(E25*C25,"")</f>
        <v/>
      </c>
      <c r="G25" s="22" t="str">
        <f t="shared" si="3"/>
        <v/>
      </c>
      <c r="H25" s="23"/>
      <c r="I25" s="23"/>
      <c r="J25" s="24"/>
    </row>
    <row r="26" spans="1:12" ht="13.5" hidden="1" x14ac:dyDescent="0.25">
      <c r="A26" s="19"/>
      <c r="B26" s="7" t="str">
        <f>IFERROR(VLOOKUP(H26,[1]SEMIELABORADOS!$A$2:$M$6000,2,0),"")</f>
        <v/>
      </c>
      <c r="C26" s="20">
        <f>+A26</f>
        <v>0</v>
      </c>
      <c r="D26" s="20" t="str">
        <f>IFERROR(VLOOKUP(H26,[1]SEMIELABORADOS!$A$2:$M$6000,6,0),"")</f>
        <v/>
      </c>
      <c r="E26" s="21" t="str">
        <f>IFERROR(VLOOKUP(H26,[1]SEMIELABORADOS!$A$2:$H$65536,8,0),"")</f>
        <v/>
      </c>
      <c r="F26" s="21" t="str">
        <f>IFERROR(E26*C26,"")</f>
        <v/>
      </c>
      <c r="G26" s="22" t="str">
        <f t="shared" si="3"/>
        <v/>
      </c>
      <c r="H26" s="23"/>
      <c r="I26" s="23"/>
      <c r="J26" s="24"/>
    </row>
    <row r="27" spans="1:12" ht="13.5" hidden="1" x14ac:dyDescent="0.25">
      <c r="A27" s="19"/>
      <c r="B27" s="7" t="str">
        <f>IFERROR(VLOOKUP(H27,[1]SEMIELABORADOS!$A$2:$M$6000,2,0),"")</f>
        <v/>
      </c>
      <c r="C27" s="20">
        <f t="shared" si="4"/>
        <v>0</v>
      </c>
      <c r="D27" s="20" t="str">
        <f>IFERROR(VLOOKUP(H27,[1]SEMIELABORADOS!$A$2:$M$6000,6,0),"")</f>
        <v/>
      </c>
      <c r="E27" s="21" t="str">
        <f>IFERROR(VLOOKUP(H27,[1]SEMIELABORADOS!$A$2:$H$65536,8,0),"")</f>
        <v/>
      </c>
      <c r="F27" s="21" t="str">
        <f t="shared" si="5"/>
        <v/>
      </c>
      <c r="G27" s="22" t="str">
        <f t="shared" si="3"/>
        <v/>
      </c>
      <c r="H27" s="23"/>
      <c r="I27" s="23"/>
      <c r="J27" s="24"/>
    </row>
    <row r="28" spans="1:12" ht="13.5" hidden="1" x14ac:dyDescent="0.25">
      <c r="A28" s="19"/>
      <c r="B28" s="7" t="str">
        <f>IFERROR(VLOOKUP(H28,[1]SEMIELABORADOS!$A$2:$M$6000,2,0),"")</f>
        <v/>
      </c>
      <c r="C28" s="20">
        <f t="shared" si="4"/>
        <v>0</v>
      </c>
      <c r="D28" s="20" t="str">
        <f>IFERROR(VLOOKUP(H28,[1]SEMIELABORADOS!$A$2:$M$6000,6,0),"")</f>
        <v/>
      </c>
      <c r="E28" s="21" t="str">
        <f>IFERROR(VLOOKUP(H28,[1]SEMIELABORADOS!$A$2:$H$65536,8,0),"")</f>
        <v/>
      </c>
      <c r="F28" s="21" t="str">
        <f t="shared" si="5"/>
        <v/>
      </c>
      <c r="G28" s="22" t="str">
        <f t="shared" si="3"/>
        <v/>
      </c>
      <c r="H28" s="23"/>
      <c r="I28" s="23"/>
      <c r="J28" s="24"/>
    </row>
    <row r="29" spans="1:12" ht="13.5" hidden="1" x14ac:dyDescent="0.25">
      <c r="A29" s="19"/>
      <c r="B29" s="7" t="str">
        <f>IFERROR(VLOOKUP(H29,[1]SEMIELABORADOS!$A$2:$M$6000,2,0),"")</f>
        <v/>
      </c>
      <c r="C29" s="20">
        <f t="shared" si="4"/>
        <v>0</v>
      </c>
      <c r="D29" s="20" t="str">
        <f>IFERROR(VLOOKUP(H29,[1]SEMIELABORADOS!$A$2:$M$6000,6,0),"")</f>
        <v/>
      </c>
      <c r="E29" s="21" t="str">
        <f>IFERROR(VLOOKUP(H29,[1]SEMIELABORADOS!$A$2:$H$65536,8,0),"")</f>
        <v/>
      </c>
      <c r="F29" s="21" t="str">
        <f t="shared" si="5"/>
        <v/>
      </c>
      <c r="G29" s="22" t="str">
        <f t="shared" si="3"/>
        <v/>
      </c>
      <c r="H29" s="23"/>
      <c r="I29" s="23"/>
      <c r="J29" s="24"/>
    </row>
    <row r="30" spans="1:12" ht="14.25" thickBot="1" x14ac:dyDescent="0.3">
      <c r="A30" s="19"/>
      <c r="C30" s="20"/>
      <c r="D30" s="20"/>
      <c r="E30" s="21"/>
      <c r="F30" s="21"/>
      <c r="G30" s="22"/>
      <c r="H30" s="23"/>
      <c r="I30" s="23"/>
      <c r="J30" s="24"/>
    </row>
    <row r="31" spans="1:12" ht="26.25" hidden="1" thickBot="1" x14ac:dyDescent="0.25">
      <c r="A31" s="14" t="s">
        <v>62</v>
      </c>
      <c r="B31" s="15" t="s">
        <v>30</v>
      </c>
      <c r="C31" s="15" t="s">
        <v>62</v>
      </c>
      <c r="D31" s="16" t="s">
        <v>64</v>
      </c>
      <c r="E31" s="16" t="s">
        <v>65</v>
      </c>
      <c r="F31" s="16" t="s">
        <v>66</v>
      </c>
      <c r="G31" s="16" t="s">
        <v>67</v>
      </c>
      <c r="H31" s="17" t="s">
        <v>68</v>
      </c>
      <c r="I31" s="18"/>
    </row>
    <row r="32" spans="1:12" ht="13.5" hidden="1" x14ac:dyDescent="0.25">
      <c r="A32" s="19">
        <v>0</v>
      </c>
      <c r="B32" s="25" t="str">
        <f>IFERROR(VLOOKUP(H32,'[1]Consolidado MP Planta'!$A$2:$M$823,3,0),"")</f>
        <v/>
      </c>
      <c r="C32" s="20">
        <f t="shared" ref="C32:C37" si="6">+A32</f>
        <v>0</v>
      </c>
      <c r="D32" s="21" t="str">
        <f>IFERROR(VLOOKUP(H32,'[1]Consolidado MP Planta'!$A$2:$M$823,13,0),"")</f>
        <v/>
      </c>
      <c r="E32" s="21" t="str">
        <f>IFERROR(VLOOKUP(H32,'[1]Consolidado MP Planta'!$A$2:$M$823,12,0),"")</f>
        <v/>
      </c>
      <c r="F32" s="21" t="str">
        <f t="shared" ref="F32:F37" si="7">IFERROR(C32*E32,"")</f>
        <v/>
      </c>
      <c r="G32" s="22" t="str">
        <f t="shared" ref="G32:G37" si="8">IFERROR(F32/$F$71,"")</f>
        <v/>
      </c>
      <c r="H32" s="26"/>
      <c r="I32" s="26"/>
      <c r="J32" s="24"/>
      <c r="K32" s="136"/>
      <c r="L32" s="136"/>
    </row>
    <row r="33" spans="1:12" ht="13.5" hidden="1" x14ac:dyDescent="0.25">
      <c r="A33" s="19"/>
      <c r="B33" s="25" t="str">
        <f>IFERROR(VLOOKUP(H33,'[1]Consolidado MP Planta'!$A$2:$M$823,3,0),"")</f>
        <v/>
      </c>
      <c r="C33" s="20">
        <f t="shared" si="6"/>
        <v>0</v>
      </c>
      <c r="D33" s="21" t="str">
        <f>IFERROR(VLOOKUP(H33,'[1]Consolidado MP Planta'!$A$2:$M$823,13,0),"")</f>
        <v/>
      </c>
      <c r="E33" s="21" t="str">
        <f>IFERROR(VLOOKUP(H33,'[1]Consolidado MP Planta'!$A$2:$M$823,12,0),"")</f>
        <v/>
      </c>
      <c r="F33" s="21" t="str">
        <f t="shared" si="7"/>
        <v/>
      </c>
      <c r="G33" s="22" t="str">
        <f t="shared" si="8"/>
        <v/>
      </c>
      <c r="H33" s="26"/>
      <c r="I33" s="26"/>
      <c r="J33" s="24"/>
      <c r="K33" s="136"/>
      <c r="L33" s="136"/>
    </row>
    <row r="34" spans="1:12" ht="13.5" hidden="1" x14ac:dyDescent="0.25">
      <c r="A34" s="19"/>
      <c r="B34" s="25" t="str">
        <f>IFERROR(VLOOKUP(H34,'[1]Consolidado MP Planta'!$A$2:$M$823,3,0),"")</f>
        <v/>
      </c>
      <c r="C34" s="20">
        <f t="shared" si="6"/>
        <v>0</v>
      </c>
      <c r="D34" s="21" t="str">
        <f>IFERROR(VLOOKUP(H34,'[1]Consolidado MP Planta'!$A$2:$M$823,13,0),"")</f>
        <v/>
      </c>
      <c r="E34" s="21" t="str">
        <f>IFERROR(VLOOKUP(H34,'[1]Consolidado MP Planta'!$A$2:$M$823,12,0),"")</f>
        <v/>
      </c>
      <c r="F34" s="21" t="str">
        <f t="shared" si="7"/>
        <v/>
      </c>
      <c r="G34" s="22" t="str">
        <f t="shared" si="8"/>
        <v/>
      </c>
      <c r="H34" s="26"/>
      <c r="I34" s="26"/>
      <c r="J34" s="24"/>
      <c r="K34" s="136"/>
      <c r="L34" s="136"/>
    </row>
    <row r="35" spans="1:12" ht="13.5" hidden="1" x14ac:dyDescent="0.25">
      <c r="A35" s="19"/>
      <c r="B35" s="25" t="str">
        <f>IFERROR(VLOOKUP(H35,'[1]Consolidado MP Planta'!$A$2:$M$823,3,0),"")</f>
        <v/>
      </c>
      <c r="C35" s="20">
        <f t="shared" si="6"/>
        <v>0</v>
      </c>
      <c r="D35" s="21" t="str">
        <f>IFERROR(VLOOKUP(H35,'[1]Consolidado MP Planta'!$A$2:$M$823,13,0),"")</f>
        <v/>
      </c>
      <c r="E35" s="21" t="str">
        <f>IFERROR(VLOOKUP(H35,'[1]Consolidado MP Planta'!$A$2:$M$823,12,0),"")</f>
        <v/>
      </c>
      <c r="F35" s="21" t="str">
        <f t="shared" si="7"/>
        <v/>
      </c>
      <c r="G35" s="22" t="str">
        <f t="shared" si="8"/>
        <v/>
      </c>
      <c r="H35" s="26"/>
      <c r="I35" s="26"/>
      <c r="J35" s="24"/>
      <c r="K35" s="136"/>
      <c r="L35" s="136"/>
    </row>
    <row r="36" spans="1:12" ht="13.5" hidden="1" x14ac:dyDescent="0.25">
      <c r="A36" s="19"/>
      <c r="B36" s="25" t="str">
        <f>IFERROR(VLOOKUP(H36,'[1]Consolidado MP Planta'!$A$2:$M$823,3,0),"")</f>
        <v/>
      </c>
      <c r="C36" s="20">
        <f t="shared" si="6"/>
        <v>0</v>
      </c>
      <c r="D36" s="21" t="str">
        <f>IFERROR(VLOOKUP(H36,'[1]Consolidado MP Planta'!$A$2:$M$823,13,0),"")</f>
        <v/>
      </c>
      <c r="E36" s="21" t="str">
        <f>IFERROR(VLOOKUP(H36,'[1]Consolidado MP Planta'!$A$2:$M$823,12,0),"")</f>
        <v/>
      </c>
      <c r="F36" s="21" t="str">
        <f t="shared" si="7"/>
        <v/>
      </c>
      <c r="G36" s="22" t="str">
        <f t="shared" si="8"/>
        <v/>
      </c>
      <c r="H36" s="26"/>
      <c r="I36" s="26"/>
      <c r="J36" s="24"/>
      <c r="K36" s="27"/>
      <c r="L36" s="28"/>
    </row>
    <row r="37" spans="1:12" ht="13.5" hidden="1" x14ac:dyDescent="0.25">
      <c r="A37" s="19"/>
      <c r="B37" s="25" t="str">
        <f>IFERROR(VLOOKUP(H37,'[1]Consolidado MP Planta'!$A$2:$M$823,3,0),"")</f>
        <v/>
      </c>
      <c r="C37" s="20">
        <f t="shared" si="6"/>
        <v>0</v>
      </c>
      <c r="D37" s="21" t="str">
        <f>IFERROR(VLOOKUP(H37,'[1]Consolidado MP Planta'!$A$2:$M$823,13,0),"")</f>
        <v/>
      </c>
      <c r="E37" s="21" t="str">
        <f>IFERROR(VLOOKUP(H37,'[1]Consolidado MP Planta'!$A$2:$M$823,12,0),"")</f>
        <v/>
      </c>
      <c r="F37" s="21" t="str">
        <f t="shared" si="7"/>
        <v/>
      </c>
      <c r="G37" s="22" t="str">
        <f t="shared" si="8"/>
        <v/>
      </c>
      <c r="H37" s="26"/>
      <c r="I37" s="26"/>
      <c r="J37" s="24"/>
    </row>
    <row r="38" spans="1:12" ht="14.25" hidden="1" thickBot="1" x14ac:dyDescent="0.3">
      <c r="A38" s="19"/>
      <c r="B38" s="25"/>
      <c r="C38" s="20"/>
      <c r="D38" s="21"/>
      <c r="E38" s="21"/>
      <c r="F38" s="21"/>
      <c r="G38" s="22"/>
      <c r="H38" s="26"/>
      <c r="I38" s="26"/>
      <c r="J38" s="24"/>
    </row>
    <row r="39" spans="1:12" ht="26.25" thickBot="1" x14ac:dyDescent="0.25">
      <c r="A39" s="14" t="s">
        <v>62</v>
      </c>
      <c r="B39" s="15" t="s">
        <v>70</v>
      </c>
      <c r="C39" s="15" t="s">
        <v>62</v>
      </c>
      <c r="D39" s="16" t="s">
        <v>64</v>
      </c>
      <c r="E39" s="16" t="s">
        <v>65</v>
      </c>
      <c r="F39" s="16" t="s">
        <v>66</v>
      </c>
      <c r="G39" s="16" t="s">
        <v>67</v>
      </c>
      <c r="H39" s="17" t="s">
        <v>68</v>
      </c>
      <c r="I39" s="26"/>
      <c r="J39" s="24"/>
    </row>
    <row r="40" spans="1:12" ht="13.5" x14ac:dyDescent="0.25">
      <c r="A40" s="19">
        <f>+A22</f>
        <v>10</v>
      </c>
      <c r="B40" s="25" t="str">
        <f>IFERROR(VLOOKUP(H40,[1]SEMIELABORADOS!$A$2:$M$6000,2,0),"")</f>
        <v>EMPAQUE SAL KILO</v>
      </c>
      <c r="C40" s="20">
        <f>+A40</f>
        <v>10</v>
      </c>
      <c r="D40" s="21" t="str">
        <f>IFERROR(VLOOKUP(H40,[1]SEMIELABORADOS!$A$2:$M$6000,6,0),"")</f>
        <v>Gramo</v>
      </c>
      <c r="E40" s="21">
        <f>IFERROR(VLOOKUP(H40,[1]SEMIELABORADOS!$A$2:$M$65536,10,0),"")</f>
        <v>3.6256000000000005E-3</v>
      </c>
      <c r="F40" s="21">
        <f>IFERROR(E40*C40,"")</f>
        <v>3.6256000000000004E-2</v>
      </c>
      <c r="G40" s="22">
        <f t="shared" ref="G40:G46" si="9">IFERROR(F40/$F$71,"")</f>
        <v>5.1255104577944775E-6</v>
      </c>
      <c r="H40" s="26" t="s">
        <v>41</v>
      </c>
      <c r="I40" s="26"/>
      <c r="J40" s="24"/>
    </row>
    <row r="41" spans="1:12" ht="13.5" x14ac:dyDescent="0.25">
      <c r="A41" s="19">
        <f t="shared" ref="A41:A46" si="10">+A23</f>
        <v>500</v>
      </c>
      <c r="B41" s="25" t="s">
        <v>47</v>
      </c>
      <c r="C41" s="20">
        <f t="shared" ref="C41:C46" si="11">+A41</f>
        <v>500</v>
      </c>
      <c r="D41" s="21" t="s">
        <v>108</v>
      </c>
      <c r="E41" s="21">
        <v>0</v>
      </c>
      <c r="F41" s="21">
        <f t="shared" ref="F41:F46" si="12">IFERROR(E41*C41,"")</f>
        <v>0</v>
      </c>
      <c r="G41" s="22">
        <f t="shared" si="9"/>
        <v>0</v>
      </c>
      <c r="H41" s="26" t="s">
        <v>46</v>
      </c>
      <c r="I41" s="26"/>
      <c r="J41" s="24"/>
    </row>
    <row r="42" spans="1:12" ht="13.5" hidden="1" x14ac:dyDescent="0.25">
      <c r="A42" s="19">
        <f t="shared" si="10"/>
        <v>0</v>
      </c>
      <c r="B42" s="25" t="str">
        <f>IFERROR(VLOOKUP(H42,[1]SEMIELABORADOS!$A$2:$M$6000,2,0),"")</f>
        <v/>
      </c>
      <c r="C42" s="20">
        <f t="shared" si="11"/>
        <v>0</v>
      </c>
      <c r="D42" s="21" t="str">
        <f>IFERROR(VLOOKUP(H42,[1]SEMIELABORADOS!$A$2:$M$6000,6,0),"")</f>
        <v/>
      </c>
      <c r="E42" s="21" t="str">
        <f>IFERROR(VLOOKUP(H42,[1]SEMIELABORADOS!$A$2:$M$65536,10,0),"")</f>
        <v/>
      </c>
      <c r="F42" s="21" t="str">
        <f t="shared" si="12"/>
        <v/>
      </c>
      <c r="G42" s="22" t="str">
        <f t="shared" si="9"/>
        <v/>
      </c>
      <c r="H42" s="26"/>
      <c r="I42" s="26"/>
      <c r="J42" s="24"/>
    </row>
    <row r="43" spans="1:12" ht="13.5" hidden="1" x14ac:dyDescent="0.25">
      <c r="A43" s="19">
        <f t="shared" si="10"/>
        <v>0</v>
      </c>
      <c r="B43" s="25" t="str">
        <f>IFERROR(VLOOKUP(H43,[1]SEMIELABORADOS!$A$2:$M$6000,2,0),"")</f>
        <v/>
      </c>
      <c r="C43" s="20">
        <f>+A43</f>
        <v>0</v>
      </c>
      <c r="D43" s="21" t="str">
        <f>IFERROR(VLOOKUP(H43,[1]SEMIELABORADOS!$A$2:$M$6000,6,0),"")</f>
        <v/>
      </c>
      <c r="E43" s="21" t="str">
        <f>IFERROR(VLOOKUP(H43,[1]SEMIELABORADOS!$A$2:$M$65536,10,0),"")</f>
        <v/>
      </c>
      <c r="F43" s="21" t="str">
        <f>IFERROR(E43*C43,"")</f>
        <v/>
      </c>
      <c r="G43" s="22" t="str">
        <f t="shared" si="9"/>
        <v/>
      </c>
      <c r="H43" s="26"/>
      <c r="I43" s="26"/>
      <c r="J43" s="24"/>
    </row>
    <row r="44" spans="1:12" ht="13.5" hidden="1" x14ac:dyDescent="0.25">
      <c r="A44" s="19">
        <f t="shared" si="10"/>
        <v>0</v>
      </c>
      <c r="B44" s="25" t="str">
        <f>IFERROR(VLOOKUP(H44,[1]SEMIELABORADOS!$A$2:$M$6000,2,0),"")</f>
        <v/>
      </c>
      <c r="C44" s="20">
        <f>+A44</f>
        <v>0</v>
      </c>
      <c r="D44" s="21" t="str">
        <f>IFERROR(VLOOKUP(H44,[1]SEMIELABORADOS!$A$2:$M$6000,6,0),"")</f>
        <v/>
      </c>
      <c r="E44" s="21" t="str">
        <f>IFERROR(VLOOKUP(H44,[1]SEMIELABORADOS!$A$2:$M$65536,10,0),"")</f>
        <v/>
      </c>
      <c r="F44" s="21" t="str">
        <f>IFERROR(E44*C44,"")</f>
        <v/>
      </c>
      <c r="G44" s="22" t="str">
        <f t="shared" si="9"/>
        <v/>
      </c>
      <c r="H44" s="26"/>
      <c r="I44" s="26"/>
      <c r="J44" s="24"/>
    </row>
    <row r="45" spans="1:12" ht="13.5" hidden="1" x14ac:dyDescent="0.25">
      <c r="A45" s="19">
        <f t="shared" si="10"/>
        <v>0</v>
      </c>
      <c r="B45" s="25" t="str">
        <f>IFERROR(VLOOKUP(H45,[1]SEMIELABORADOS!$A$2:$M$6000,2,0),"")</f>
        <v/>
      </c>
      <c r="C45" s="20">
        <f t="shared" si="11"/>
        <v>0</v>
      </c>
      <c r="D45" s="21" t="str">
        <f>IFERROR(VLOOKUP(H45,[1]SEMIELABORADOS!$A$2:$M$6000,6,0),"")</f>
        <v/>
      </c>
      <c r="E45" s="21" t="str">
        <f>IFERROR(VLOOKUP(H45,[1]SEMIELABORADOS!$A$2:$M$65536,10,0),"")</f>
        <v/>
      </c>
      <c r="F45" s="21" t="str">
        <f t="shared" si="12"/>
        <v/>
      </c>
      <c r="G45" s="22" t="str">
        <f t="shared" si="9"/>
        <v/>
      </c>
      <c r="H45" s="26"/>
      <c r="I45" s="26"/>
      <c r="J45" s="24"/>
    </row>
    <row r="46" spans="1:12" ht="13.5" hidden="1" x14ac:dyDescent="0.25">
      <c r="A46" s="19">
        <f t="shared" si="10"/>
        <v>0</v>
      </c>
      <c r="B46" s="25" t="str">
        <f>IFERROR(VLOOKUP(H46,[1]SEMIELABORADOS!$A$2:$M$6000,2,0),"")</f>
        <v/>
      </c>
      <c r="C46" s="20">
        <f t="shared" si="11"/>
        <v>0</v>
      </c>
      <c r="D46" s="21" t="str">
        <f>IFERROR(VLOOKUP(H46,[1]SEMIELABORADOS!$A$2:$M$6000,6,0),"")</f>
        <v/>
      </c>
      <c r="E46" s="21" t="str">
        <f>IFERROR(VLOOKUP(H46,[1]SEMIELABORADOS!$A$2:$M$65536,10,0),"")</f>
        <v/>
      </c>
      <c r="F46" s="21" t="str">
        <f t="shared" si="12"/>
        <v/>
      </c>
      <c r="G46" s="22" t="str">
        <f t="shared" si="9"/>
        <v/>
      </c>
      <c r="H46" s="26"/>
      <c r="I46" s="26"/>
      <c r="J46" s="24"/>
    </row>
    <row r="47" spans="1:12" ht="14.25" thickBot="1" x14ac:dyDescent="0.3">
      <c r="A47" s="19"/>
      <c r="B47" s="25"/>
      <c r="C47" s="20"/>
      <c r="D47" s="21"/>
      <c r="E47" s="21"/>
      <c r="F47" s="21"/>
      <c r="G47" s="22"/>
      <c r="H47" s="26"/>
      <c r="I47" s="26"/>
      <c r="J47" s="24"/>
    </row>
    <row r="48" spans="1:12" ht="26.25" thickBot="1" x14ac:dyDescent="0.25">
      <c r="A48" s="14" t="s">
        <v>62</v>
      </c>
      <c r="B48" s="15" t="s">
        <v>71</v>
      </c>
      <c r="C48" s="15" t="s">
        <v>62</v>
      </c>
      <c r="D48" s="16" t="s">
        <v>64</v>
      </c>
      <c r="E48" s="16" t="s">
        <v>65</v>
      </c>
      <c r="F48" s="16" t="s">
        <v>66</v>
      </c>
      <c r="G48" s="16" t="s">
        <v>67</v>
      </c>
      <c r="H48" s="17" t="s">
        <v>68</v>
      </c>
      <c r="I48" s="18"/>
      <c r="J48" s="24"/>
    </row>
    <row r="49" spans="1:17" ht="13.5" x14ac:dyDescent="0.25">
      <c r="A49" s="19">
        <f>+A40</f>
        <v>10</v>
      </c>
      <c r="B49" s="25" t="str">
        <f>IFERROR(VLOOKUP(H49,[1]SEMIELABORADOS!$A$2:$M$6000,2,0),"")</f>
        <v>EMPAQUE SAL KILO</v>
      </c>
      <c r="C49" s="20">
        <f>+A49</f>
        <v>10</v>
      </c>
      <c r="D49" s="21" t="str">
        <f>IFERROR(VLOOKUP(H49,[1]SEMIELABORADOS!$A$2:$M$6000,6,0),"")</f>
        <v>Gramo</v>
      </c>
      <c r="E49" s="21">
        <f>IFERROR(VLOOKUP(H49,[1]SEMIELABORADOS!$A$2:$M$65536,12,0),"")</f>
        <v>5.6899007999999994E-2</v>
      </c>
      <c r="F49" s="21">
        <f>IFERROR(E49*C49,"")</f>
        <v>0.56899007999999995</v>
      </c>
      <c r="G49" s="22">
        <f>IFERROR(F49/$F$71,"")</f>
        <v>8.0438123494630298E-5</v>
      </c>
      <c r="H49" s="26" t="s">
        <v>41</v>
      </c>
      <c r="I49" s="18"/>
      <c r="J49" s="24"/>
    </row>
    <row r="50" spans="1:17" ht="13.5" x14ac:dyDescent="0.25">
      <c r="A50" s="19">
        <f t="shared" ref="A50:A55" si="13">+A41</f>
        <v>500</v>
      </c>
      <c r="B50" s="25" t="s">
        <v>47</v>
      </c>
      <c r="C50" s="20">
        <f t="shared" ref="C50:C55" si="14">+A50</f>
        <v>500</v>
      </c>
      <c r="D50" s="21" t="s">
        <v>108</v>
      </c>
      <c r="E50" s="21">
        <v>0.2</v>
      </c>
      <c r="F50" s="21">
        <f t="shared" ref="F50:F55" si="15">IFERROR(E50*C50,"")</f>
        <v>100</v>
      </c>
      <c r="G50" s="22">
        <f t="shared" ref="G50:G55" si="16">IFERROR(F50/$F$71,"")</f>
        <v>1.4136999276794123E-2</v>
      </c>
      <c r="H50" s="26" t="s">
        <v>46</v>
      </c>
      <c r="I50" s="18"/>
      <c r="J50" s="24"/>
      <c r="M50" s="29"/>
    </row>
    <row r="51" spans="1:17" ht="13.5" hidden="1" x14ac:dyDescent="0.25">
      <c r="A51" s="19">
        <f t="shared" si="13"/>
        <v>0</v>
      </c>
      <c r="B51" s="25" t="str">
        <f>IFERROR(VLOOKUP(H51,[1]SEMIELABORADOS!$A$2:$M$6000,2,0),"")</f>
        <v/>
      </c>
      <c r="C51" s="20">
        <f t="shared" si="14"/>
        <v>0</v>
      </c>
      <c r="D51" s="21" t="str">
        <f>IFERROR(VLOOKUP(H51,[1]SEMIELABORADOS!$A$2:$M$6000,6,0),"")</f>
        <v/>
      </c>
      <c r="E51" s="21" t="str">
        <f>IFERROR(VLOOKUP(H51,[1]SEMIELABORADOS!$A$2:$M$65536,12,0),"")</f>
        <v/>
      </c>
      <c r="F51" s="21" t="str">
        <f t="shared" si="15"/>
        <v/>
      </c>
      <c r="G51" s="22" t="str">
        <f t="shared" si="16"/>
        <v/>
      </c>
      <c r="H51" s="26"/>
      <c r="I51" s="18"/>
      <c r="J51" s="24"/>
    </row>
    <row r="52" spans="1:17" ht="13.5" hidden="1" x14ac:dyDescent="0.25">
      <c r="A52" s="19">
        <f t="shared" si="13"/>
        <v>0</v>
      </c>
      <c r="B52" s="25" t="str">
        <f>IFERROR(VLOOKUP(H52,[1]SEMIELABORADOS!$A$2:$M$6000,2,0),"")</f>
        <v/>
      </c>
      <c r="C52" s="20">
        <f t="shared" si="14"/>
        <v>0</v>
      </c>
      <c r="D52" s="21" t="str">
        <f>IFERROR(VLOOKUP(H52,[1]SEMIELABORADOS!$A$2:$M$6000,6,0),"")</f>
        <v/>
      </c>
      <c r="E52" s="21" t="str">
        <f>IFERROR(VLOOKUP(H52,[1]SEMIELABORADOS!$A$2:$M$65536,12,0),"")</f>
        <v/>
      </c>
      <c r="F52" s="21" t="str">
        <f t="shared" si="15"/>
        <v/>
      </c>
      <c r="G52" s="22" t="str">
        <f t="shared" si="16"/>
        <v/>
      </c>
      <c r="H52" s="26"/>
      <c r="I52" s="18"/>
      <c r="J52" s="24"/>
    </row>
    <row r="53" spans="1:17" ht="13.5" hidden="1" x14ac:dyDescent="0.25">
      <c r="A53" s="19">
        <f t="shared" si="13"/>
        <v>0</v>
      </c>
      <c r="B53" s="25" t="str">
        <f>IFERROR(VLOOKUP(H53,[1]SEMIELABORADOS!$A$2:$M$6000,2,0),"")</f>
        <v/>
      </c>
      <c r="C53" s="20">
        <f t="shared" si="14"/>
        <v>0</v>
      </c>
      <c r="D53" s="21" t="str">
        <f>IFERROR(VLOOKUP(H53,[1]SEMIELABORADOS!$A$2:$M$6000,6,0),"")</f>
        <v/>
      </c>
      <c r="E53" s="21" t="str">
        <f>IFERROR(VLOOKUP(H53,[1]SEMIELABORADOS!$A$2:$M$65536,12,0),"")</f>
        <v/>
      </c>
      <c r="F53" s="21" t="str">
        <f t="shared" si="15"/>
        <v/>
      </c>
      <c r="G53" s="22" t="str">
        <f t="shared" si="16"/>
        <v/>
      </c>
      <c r="H53" s="26"/>
      <c r="I53" s="18"/>
      <c r="J53" s="24"/>
    </row>
    <row r="54" spans="1:17" ht="13.5" hidden="1" x14ac:dyDescent="0.25">
      <c r="A54" s="19">
        <f t="shared" si="13"/>
        <v>0</v>
      </c>
      <c r="B54" s="25" t="str">
        <f>IFERROR(VLOOKUP(H54,[1]SEMIELABORADOS!$A$2:$M$6000,2,0),"")</f>
        <v/>
      </c>
      <c r="C54" s="20">
        <f t="shared" si="14"/>
        <v>0</v>
      </c>
      <c r="D54" s="21" t="str">
        <f>IFERROR(VLOOKUP(H54,[1]SEMIELABORADOS!$A$2:$M$6000,6,0),"")</f>
        <v/>
      </c>
      <c r="E54" s="21" t="str">
        <f>IFERROR(VLOOKUP(H54,[1]SEMIELABORADOS!$A$2:$M$65536,12,0),"")</f>
        <v/>
      </c>
      <c r="F54" s="21" t="str">
        <f t="shared" si="15"/>
        <v/>
      </c>
      <c r="G54" s="22" t="str">
        <f t="shared" si="16"/>
        <v/>
      </c>
      <c r="H54" s="26"/>
      <c r="I54" s="18"/>
      <c r="J54" s="24"/>
    </row>
    <row r="55" spans="1:17" ht="13.5" hidden="1" x14ac:dyDescent="0.25">
      <c r="A55" s="19">
        <f t="shared" si="13"/>
        <v>0</v>
      </c>
      <c r="B55" s="25" t="str">
        <f>IFERROR(VLOOKUP(H55,[1]SEMIELABORADOS!$A$2:$M$6000,2,0),"")</f>
        <v/>
      </c>
      <c r="C55" s="20">
        <f t="shared" si="14"/>
        <v>0</v>
      </c>
      <c r="D55" s="21" t="str">
        <f>IFERROR(VLOOKUP(H55,[1]SEMIELABORADOS!$A$2:$M$6000,6,0),"")</f>
        <v/>
      </c>
      <c r="E55" s="21" t="str">
        <f>IFERROR(VLOOKUP(H55,[1]SEMIELABORADOS!$A$2:$M$65536,12,0),"")</f>
        <v/>
      </c>
      <c r="F55" s="21" t="str">
        <f t="shared" si="15"/>
        <v/>
      </c>
      <c r="G55" s="22" t="str">
        <f t="shared" si="16"/>
        <v/>
      </c>
      <c r="H55" s="25"/>
      <c r="I55" s="18"/>
      <c r="J55" s="24"/>
    </row>
    <row r="56" spans="1:17" ht="13.5" x14ac:dyDescent="0.25">
      <c r="A56" s="19">
        <v>1</v>
      </c>
      <c r="B56" s="25" t="s">
        <v>72</v>
      </c>
      <c r="C56" s="20">
        <f>+A56</f>
        <v>1</v>
      </c>
      <c r="D56" s="20" t="s">
        <v>73</v>
      </c>
      <c r="E56" s="21">
        <f>+F70</f>
        <v>366</v>
      </c>
      <c r="F56" s="21">
        <f>IFERROR(C56*E56,"")</f>
        <v>366</v>
      </c>
      <c r="G56" s="22">
        <f>IFERROR(F56/$F$71,"")</f>
        <v>5.1741417353066491E-2</v>
      </c>
      <c r="H56" s="30"/>
      <c r="I56" s="30"/>
      <c r="J56" s="24"/>
    </row>
    <row r="57" spans="1:17" ht="14.25" thickBot="1" x14ac:dyDescent="0.3">
      <c r="A57" s="19"/>
      <c r="B57" s="25"/>
      <c r="C57" s="20"/>
      <c r="D57" s="20"/>
      <c r="E57" s="21"/>
      <c r="F57" s="21"/>
      <c r="G57" s="22"/>
      <c r="H57" s="30"/>
      <c r="I57" s="30"/>
      <c r="J57" s="24"/>
    </row>
    <row r="58" spans="1:17" ht="13.5" thickBot="1" x14ac:dyDescent="0.25">
      <c r="A58" s="31"/>
      <c r="B58" s="146" t="s">
        <v>74</v>
      </c>
      <c r="C58" s="146"/>
      <c r="D58" s="146"/>
      <c r="E58" s="146"/>
      <c r="F58" s="33">
        <f>SUM(F8:F19,F22:F29)</f>
        <v>6576.0790808033835</v>
      </c>
      <c r="G58" s="22">
        <f>+F58/$F$71</f>
        <v>0.92966025209458392</v>
      </c>
      <c r="H58" s="34">
        <f>+F58/$D$65</f>
        <v>6576.0790808033835</v>
      </c>
      <c r="I58" s="34"/>
      <c r="J58" s="35"/>
      <c r="K58" s="36"/>
      <c r="L58" s="36"/>
      <c r="M58" s="36"/>
      <c r="N58" s="36"/>
      <c r="O58" s="36"/>
      <c r="P58" s="36"/>
      <c r="Q58" s="37"/>
    </row>
    <row r="59" spans="1:17" x14ac:dyDescent="0.2">
      <c r="A59" s="31"/>
      <c r="B59" s="146" t="s">
        <v>75</v>
      </c>
      <c r="C59" s="146"/>
      <c r="D59" s="146"/>
      <c r="E59" s="146"/>
      <c r="F59" s="33">
        <f>SUM(F32:F37,F40:F46)</f>
        <v>3.6256000000000004E-2</v>
      </c>
      <c r="G59" s="22">
        <f>+F59/$F$71</f>
        <v>5.1255104577944775E-6</v>
      </c>
      <c r="H59" s="34">
        <f>+F59/$D$65</f>
        <v>3.6256000000000004E-2</v>
      </c>
      <c r="I59" s="34"/>
      <c r="J59" s="38"/>
      <c r="K59" s="147" t="s">
        <v>76</v>
      </c>
      <c r="L59" s="148"/>
      <c r="M59" s="148"/>
      <c r="N59" s="148"/>
      <c r="O59" s="39">
        <f>+F60</f>
        <v>6576.1153368033838</v>
      </c>
      <c r="P59" s="39"/>
      <c r="Q59" s="40"/>
    </row>
    <row r="60" spans="1:17" x14ac:dyDescent="0.2">
      <c r="A60" s="31"/>
      <c r="B60" s="146" t="s">
        <v>77</v>
      </c>
      <c r="C60" s="146"/>
      <c r="D60" s="146"/>
      <c r="E60" s="146"/>
      <c r="F60" s="33">
        <f>+F58+F59</f>
        <v>6576.1153368033838</v>
      </c>
      <c r="G60" s="22">
        <f>+F60/$F$71</f>
        <v>0.92966537760504175</v>
      </c>
      <c r="H60" s="34">
        <f>+F60/$D$65</f>
        <v>6576.1153368033838</v>
      </c>
      <c r="I60" s="34"/>
      <c r="J60" s="41"/>
      <c r="K60" s="42"/>
      <c r="M60" s="43" t="s">
        <v>78</v>
      </c>
      <c r="N60" s="44"/>
      <c r="O60" s="39">
        <f>+H61</f>
        <v>466.56899007999999</v>
      </c>
      <c r="P60" s="39"/>
      <c r="Q60" s="40"/>
    </row>
    <row r="61" spans="1:17" ht="13.5" thickBot="1" x14ac:dyDescent="0.25">
      <c r="A61" s="31"/>
      <c r="B61" s="32"/>
      <c r="C61" s="146" t="s">
        <v>79</v>
      </c>
      <c r="D61" s="146"/>
      <c r="E61" s="146"/>
      <c r="F61" s="33">
        <f>SUM(F49:F56)</f>
        <v>466.56899007999999</v>
      </c>
      <c r="G61" s="22">
        <f>+F61/$F$71</f>
        <v>6.5958854753355237E-2</v>
      </c>
      <c r="H61" s="34">
        <f>+F61/$D$65</f>
        <v>466.56899007999999</v>
      </c>
      <c r="I61" s="34"/>
      <c r="J61" s="41"/>
      <c r="K61" s="42"/>
      <c r="L61" s="42"/>
      <c r="M61" s="42" t="s">
        <v>80</v>
      </c>
      <c r="N61" s="45"/>
      <c r="O61" s="39">
        <f>O59*N61</f>
        <v>0</v>
      </c>
      <c r="P61" s="39"/>
      <c r="Q61" s="40"/>
    </row>
    <row r="62" spans="1:17" ht="13.5" thickBot="1" x14ac:dyDescent="0.25">
      <c r="A62" s="31"/>
      <c r="B62" s="46"/>
      <c r="C62" s="46"/>
      <c r="D62" s="46"/>
      <c r="E62" s="46"/>
      <c r="F62" s="47"/>
      <c r="G62" s="22"/>
      <c r="H62" s="48"/>
      <c r="I62" s="34"/>
      <c r="J62" s="41"/>
      <c r="K62" s="49"/>
      <c r="M62" s="50" t="s">
        <v>81</v>
      </c>
      <c r="N62" s="51"/>
      <c r="O62" s="52">
        <f>SUM(O59:O61)</f>
        <v>7042.6843268833836</v>
      </c>
      <c r="P62" s="53"/>
      <c r="Q62" s="40"/>
    </row>
    <row r="63" spans="1:17" x14ac:dyDescent="0.2">
      <c r="B63" s="149" t="s">
        <v>82</v>
      </c>
      <c r="C63" s="149"/>
      <c r="D63" s="54">
        <v>1200</v>
      </c>
      <c r="E63" s="55"/>
      <c r="G63" s="22"/>
      <c r="H63" s="48">
        <f>+H61/61</f>
        <v>7.6486719685245896</v>
      </c>
      <c r="I63" s="56"/>
      <c r="J63" s="41"/>
      <c r="K63" s="49"/>
      <c r="L63" s="42"/>
      <c r="M63" s="42" t="s">
        <v>83</v>
      </c>
      <c r="N63" s="57"/>
      <c r="O63" s="39">
        <f>+H64</f>
        <v>443.62297417442619</v>
      </c>
      <c r="P63" s="39"/>
      <c r="Q63" s="40"/>
    </row>
    <row r="64" spans="1:17" x14ac:dyDescent="0.2">
      <c r="B64" s="149" t="s">
        <v>84</v>
      </c>
      <c r="C64" s="149"/>
      <c r="D64" s="58">
        <v>1200</v>
      </c>
      <c r="E64" s="55"/>
      <c r="G64" s="22"/>
      <c r="H64" s="48">
        <f>+H63*58</f>
        <v>443.62297417442619</v>
      </c>
      <c r="I64" s="56"/>
      <c r="J64" s="41"/>
      <c r="K64" s="49"/>
      <c r="L64" s="42"/>
      <c r="M64" s="150" t="s">
        <v>81</v>
      </c>
      <c r="N64" s="150"/>
      <c r="O64" s="39">
        <f>SUM(O62:O63)</f>
        <v>7486.30730105781</v>
      </c>
      <c r="P64" s="39"/>
      <c r="Q64" s="40"/>
    </row>
    <row r="65" spans="2:17" ht="13.5" thickBot="1" x14ac:dyDescent="0.25">
      <c r="B65" s="142" t="s">
        <v>85</v>
      </c>
      <c r="C65" s="142"/>
      <c r="D65" s="54">
        <f>+D63/D64</f>
        <v>1</v>
      </c>
      <c r="E65" s="55"/>
      <c r="F65" s="59"/>
      <c r="G65" s="22"/>
      <c r="H65" s="48"/>
      <c r="I65" s="56"/>
      <c r="J65" s="41"/>
      <c r="K65" s="49"/>
      <c r="L65" s="150"/>
      <c r="M65" s="150"/>
      <c r="N65" s="57"/>
      <c r="O65" s="39">
        <f>+O64*N65</f>
        <v>0</v>
      </c>
      <c r="P65" s="39"/>
      <c r="Q65" s="40"/>
    </row>
    <row r="66" spans="2:17" ht="13.5" thickBot="1" x14ac:dyDescent="0.25">
      <c r="B66" s="142" t="s">
        <v>86</v>
      </c>
      <c r="C66" s="142"/>
      <c r="D66" s="60"/>
      <c r="E66" s="55"/>
      <c r="F66" s="59"/>
      <c r="G66" s="22"/>
      <c r="H66" s="48"/>
      <c r="I66" s="56"/>
      <c r="J66" s="41"/>
      <c r="K66" s="143" t="s">
        <v>87</v>
      </c>
      <c r="L66" s="144"/>
      <c r="M66" s="144"/>
      <c r="N66" s="145"/>
      <c r="O66" s="52">
        <f>SUM(O64:O65)</f>
        <v>7486.30730105781</v>
      </c>
      <c r="P66" s="61" t="s">
        <v>88</v>
      </c>
      <c r="Q66" s="40"/>
    </row>
    <row r="67" spans="2:17" ht="13.5" thickBot="1" x14ac:dyDescent="0.25">
      <c r="C67" s="31" t="s">
        <v>89</v>
      </c>
      <c r="D67" s="62"/>
      <c r="E67" s="5" t="s">
        <v>90</v>
      </c>
      <c r="F67" s="63" t="s">
        <v>91</v>
      </c>
      <c r="G67" s="22"/>
      <c r="H67" s="48"/>
      <c r="I67" s="56"/>
      <c r="J67" s="64"/>
      <c r="K67" s="65"/>
      <c r="L67" s="156" t="s">
        <v>92</v>
      </c>
      <c r="M67" s="156"/>
      <c r="N67" s="156"/>
      <c r="O67" s="66">
        <f>+O66/D65</f>
        <v>7486.30730105781</v>
      </c>
      <c r="P67" s="67">
        <f>+O67/D64</f>
        <v>6.2385894175481749</v>
      </c>
      <c r="Q67" s="68"/>
    </row>
    <row r="68" spans="2:17" ht="13.5" thickBot="1" x14ac:dyDescent="0.25">
      <c r="B68" s="157" t="s">
        <v>77</v>
      </c>
      <c r="C68" s="157"/>
      <c r="D68" s="157"/>
      <c r="E68" s="69">
        <f>+F68/F68</f>
        <v>1</v>
      </c>
      <c r="F68" s="70">
        <f>SUM(F60)</f>
        <v>6576.1153368033838</v>
      </c>
      <c r="G68" s="22">
        <f>+F68/$F$71</f>
        <v>0.92966537760504175</v>
      </c>
      <c r="H68" s="48"/>
      <c r="I68" s="56"/>
      <c r="K68" s="158"/>
      <c r="L68" s="159"/>
      <c r="M68" s="159"/>
      <c r="N68" s="159"/>
      <c r="O68" s="71"/>
      <c r="P68" s="72"/>
    </row>
    <row r="69" spans="2:17" ht="13.5" thickBot="1" x14ac:dyDescent="0.25">
      <c r="B69" s="160" t="s">
        <v>93</v>
      </c>
      <c r="C69" s="160"/>
      <c r="D69" s="160"/>
      <c r="E69" s="73">
        <v>0.02</v>
      </c>
      <c r="F69" s="70">
        <f>+F58*E69</f>
        <v>131.52158161606766</v>
      </c>
      <c r="G69" s="22">
        <f>+F69/$F$71</f>
        <v>1.8593205041891679E-2</v>
      </c>
      <c r="H69" s="34"/>
      <c r="I69" s="56"/>
      <c r="J69" s="74"/>
      <c r="O69" s="75"/>
      <c r="P69" s="32"/>
    </row>
    <row r="70" spans="2:17" ht="13.5" thickBot="1" x14ac:dyDescent="0.25">
      <c r="B70" s="161" t="s">
        <v>94</v>
      </c>
      <c r="C70" s="162"/>
      <c r="D70" s="76">
        <v>6</v>
      </c>
      <c r="E70" s="77">
        <v>61</v>
      </c>
      <c r="F70" s="70">
        <f>+E70*D70</f>
        <v>366</v>
      </c>
      <c r="G70" s="22">
        <f>+F70/$F$71</f>
        <v>5.1741417353066491E-2</v>
      </c>
      <c r="H70" s="34"/>
      <c r="I70" s="34"/>
      <c r="J70" s="24"/>
    </row>
    <row r="71" spans="2:17" ht="13.5" thickBot="1" x14ac:dyDescent="0.25">
      <c r="B71" s="163" t="s">
        <v>95</v>
      </c>
      <c r="C71" s="164"/>
      <c r="D71" s="164"/>
      <c r="E71" s="165"/>
      <c r="F71" s="47">
        <f>SUM(F68:F70)</f>
        <v>7073.6369184194518</v>
      </c>
      <c r="G71" s="22">
        <f>+F71/$F$71</f>
        <v>1</v>
      </c>
      <c r="H71" s="166"/>
      <c r="I71" s="34"/>
      <c r="J71" s="24"/>
      <c r="M71" s="7" t="s">
        <v>96</v>
      </c>
    </row>
    <row r="72" spans="2:17" x14ac:dyDescent="0.2">
      <c r="C72" s="29"/>
      <c r="D72" s="29"/>
      <c r="E72" s="79"/>
      <c r="F72" s="70"/>
      <c r="G72" s="22"/>
      <c r="H72" s="166"/>
      <c r="I72" s="78"/>
      <c r="J72" s="7"/>
      <c r="M72" s="7" t="s">
        <v>97</v>
      </c>
    </row>
    <row r="73" spans="2:17" ht="13.5" thickBot="1" x14ac:dyDescent="0.25">
      <c r="B73" s="151" t="s">
        <v>98</v>
      </c>
      <c r="C73" s="151"/>
      <c r="D73" s="151"/>
      <c r="E73" s="151"/>
      <c r="F73" s="151"/>
      <c r="G73" s="22"/>
      <c r="H73" s="81"/>
      <c r="I73" s="78"/>
      <c r="J73" s="7"/>
    </row>
    <row r="74" spans="2:17" ht="13.5" thickBot="1" x14ac:dyDescent="0.25">
      <c r="B74" s="82" t="s">
        <v>99</v>
      </c>
      <c r="C74" s="83">
        <f>+F58</f>
        <v>6576.0790808033835</v>
      </c>
      <c r="D74" s="83">
        <f>+D63</f>
        <v>1200</v>
      </c>
      <c r="E74" s="84">
        <f>+C74/D74</f>
        <v>5.4800659006694863</v>
      </c>
      <c r="F74" s="22"/>
      <c r="G74" s="81"/>
      <c r="H74" s="24"/>
      <c r="I74" s="81"/>
      <c r="J74" s="7"/>
    </row>
    <row r="75" spans="2:17" x14ac:dyDescent="0.2">
      <c r="B75" s="85"/>
      <c r="C75" s="86"/>
      <c r="D75" s="87"/>
      <c r="E75" s="70"/>
      <c r="F75" s="22"/>
      <c r="G75" s="81"/>
      <c r="H75" s="24"/>
      <c r="I75" s="24"/>
      <c r="J75" s="7"/>
    </row>
    <row r="76" spans="2:17" x14ac:dyDescent="0.2">
      <c r="B76" s="82" t="s">
        <v>100</v>
      </c>
      <c r="C76" s="83">
        <f>SUM(F68:F69)</f>
        <v>6707.6369184194518</v>
      </c>
      <c r="D76" s="83">
        <f>+D63</f>
        <v>1200</v>
      </c>
      <c r="E76" s="88">
        <f>+C76/D76</f>
        <v>5.5896974320162096</v>
      </c>
      <c r="F76" s="22"/>
      <c r="G76" s="81"/>
      <c r="H76" s="24"/>
      <c r="I76" s="24"/>
      <c r="J76" s="7"/>
    </row>
    <row r="77" spans="2:17" x14ac:dyDescent="0.2">
      <c r="B77" s="82"/>
      <c r="C77" s="83"/>
      <c r="D77" s="83"/>
      <c r="E77" s="88"/>
      <c r="F77" s="22"/>
      <c r="G77" s="81"/>
      <c r="H77" s="24"/>
      <c r="I77" s="24"/>
      <c r="J77" s="7"/>
    </row>
    <row r="78" spans="2:17" ht="13.5" thickBot="1" x14ac:dyDescent="0.25">
      <c r="B78" s="82" t="s">
        <v>101</v>
      </c>
      <c r="C78" s="83">
        <f>+F70</f>
        <v>366</v>
      </c>
      <c r="D78" s="83">
        <f>+D63</f>
        <v>1200</v>
      </c>
      <c r="E78" s="88">
        <f>+C78/D78</f>
        <v>0.30499999999999999</v>
      </c>
      <c r="F78" s="22"/>
      <c r="G78" s="81"/>
      <c r="H78" s="24"/>
      <c r="I78" s="24"/>
      <c r="J78" s="7"/>
    </row>
    <row r="79" spans="2:17" ht="13.5" thickBot="1" x14ac:dyDescent="0.25">
      <c r="B79" s="82" t="s">
        <v>102</v>
      </c>
      <c r="C79" s="83">
        <f>+F61</f>
        <v>466.56899007999999</v>
      </c>
      <c r="D79" s="83">
        <f>+D78</f>
        <v>1200</v>
      </c>
      <c r="E79" s="84">
        <f>+C79/D79</f>
        <v>0.38880749173333334</v>
      </c>
      <c r="F79" s="22"/>
      <c r="G79" s="81"/>
      <c r="H79" s="24"/>
      <c r="I79" s="24"/>
      <c r="J79" s="7"/>
    </row>
    <row r="80" spans="2:17" ht="13.5" thickBot="1" x14ac:dyDescent="0.25">
      <c r="B80" s="46"/>
      <c r="C80" s="47"/>
      <c r="D80" s="47"/>
      <c r="E80" s="88"/>
      <c r="F80" s="22"/>
      <c r="G80" s="81"/>
      <c r="H80" s="24"/>
      <c r="I80" s="24"/>
      <c r="J80" s="7"/>
    </row>
    <row r="81" spans="1:10" ht="13.5" thickBot="1" x14ac:dyDescent="0.25">
      <c r="B81" s="82" t="s">
        <v>103</v>
      </c>
      <c r="C81" s="83">
        <f>+F59</f>
        <v>3.6256000000000004E-2</v>
      </c>
      <c r="D81" s="83">
        <f>+D79</f>
        <v>1200</v>
      </c>
      <c r="E81" s="84">
        <f>+C81/D81</f>
        <v>3.0213333333333338E-5</v>
      </c>
      <c r="F81" s="22"/>
      <c r="G81" s="81"/>
      <c r="H81" s="24"/>
      <c r="I81" s="24"/>
      <c r="J81" s="24"/>
    </row>
    <row r="82" spans="1:10" ht="13.5" thickBot="1" x14ac:dyDescent="0.25">
      <c r="B82" s="46"/>
      <c r="C82" s="47"/>
      <c r="D82" s="47"/>
      <c r="E82" s="88"/>
      <c r="F82" s="22"/>
      <c r="G82" s="81"/>
      <c r="H82" s="24"/>
      <c r="I82" s="24"/>
    </row>
    <row r="83" spans="1:10" ht="13.5" thickBot="1" x14ac:dyDescent="0.25">
      <c r="B83" s="152" t="s">
        <v>104</v>
      </c>
      <c r="C83" s="153"/>
      <c r="D83" s="154"/>
      <c r="E83" s="84">
        <f>+E74+E79</f>
        <v>5.8688733924028194</v>
      </c>
      <c r="G83" s="22"/>
      <c r="H83" s="81"/>
      <c r="I83" s="24"/>
      <c r="J83" s="88"/>
    </row>
    <row r="84" spans="1:10" x14ac:dyDescent="0.2">
      <c r="I84" s="81"/>
      <c r="J84" s="7"/>
    </row>
    <row r="85" spans="1:10" ht="13.5" thickBot="1" x14ac:dyDescent="0.25">
      <c r="B85" s="151" t="s">
        <v>105</v>
      </c>
      <c r="C85" s="151"/>
      <c r="D85" s="151"/>
      <c r="E85" s="151"/>
      <c r="F85" s="151"/>
      <c r="G85" s="22"/>
      <c r="H85" s="81"/>
      <c r="J85" s="7"/>
    </row>
    <row r="86" spans="1:10" ht="13.5" thickBot="1" x14ac:dyDescent="0.25">
      <c r="B86" s="82" t="s">
        <v>99</v>
      </c>
      <c r="C86" s="83">
        <f>+C74</f>
        <v>6576.0790808033835</v>
      </c>
      <c r="D86" s="83">
        <f>+D65</f>
        <v>1</v>
      </c>
      <c r="E86" s="84">
        <f>+C86/D86</f>
        <v>6576.0790808033835</v>
      </c>
      <c r="F86" s="22"/>
      <c r="G86" s="81"/>
      <c r="H86" s="24"/>
      <c r="I86" s="81"/>
      <c r="J86" s="7"/>
    </row>
    <row r="87" spans="1:10" x14ac:dyDescent="0.2">
      <c r="B87" s="85"/>
      <c r="C87" s="86"/>
      <c r="D87" s="87"/>
      <c r="E87" s="70"/>
      <c r="F87" s="22"/>
      <c r="G87" s="81"/>
      <c r="H87" s="24"/>
      <c r="I87" s="24"/>
      <c r="J87" s="7"/>
    </row>
    <row r="88" spans="1:10" x14ac:dyDescent="0.2">
      <c r="B88" s="82" t="s">
        <v>100</v>
      </c>
      <c r="C88" s="83">
        <f>+C76</f>
        <v>6707.6369184194518</v>
      </c>
      <c r="D88" s="83">
        <f>+D65</f>
        <v>1</v>
      </c>
      <c r="E88" s="88">
        <f>+C88/D88</f>
        <v>6707.6369184194518</v>
      </c>
      <c r="F88" s="22"/>
      <c r="G88" s="81"/>
      <c r="H88" s="24"/>
      <c r="I88" s="24"/>
      <c r="J88" s="7"/>
    </row>
    <row r="89" spans="1:10" x14ac:dyDescent="0.2">
      <c r="B89" s="82"/>
      <c r="C89" s="83"/>
      <c r="D89" s="83"/>
      <c r="E89" s="88"/>
      <c r="F89" s="22"/>
      <c r="G89" s="81"/>
      <c r="H89" s="24"/>
      <c r="I89" s="24"/>
      <c r="J89" s="7"/>
    </row>
    <row r="90" spans="1:10" ht="13.5" thickBot="1" x14ac:dyDescent="0.25">
      <c r="B90" s="82" t="s">
        <v>102</v>
      </c>
      <c r="C90" s="83">
        <f>+C78</f>
        <v>366</v>
      </c>
      <c r="D90" s="83">
        <f>+D65</f>
        <v>1</v>
      </c>
      <c r="E90" s="88">
        <f>+C90/D90</f>
        <v>366</v>
      </c>
      <c r="F90" s="90"/>
      <c r="G90" s="80"/>
      <c r="H90" s="6"/>
      <c r="I90" s="24"/>
    </row>
    <row r="91" spans="1:10" ht="13.5" thickBot="1" x14ac:dyDescent="0.25">
      <c r="B91" s="82" t="s">
        <v>102</v>
      </c>
      <c r="C91" s="83">
        <f>+C79</f>
        <v>466.56899007999999</v>
      </c>
      <c r="D91" s="83">
        <f>+D90</f>
        <v>1</v>
      </c>
      <c r="E91" s="84">
        <f>+C91/D91</f>
        <v>466.56899007999999</v>
      </c>
      <c r="F91" s="89"/>
      <c r="G91" s="80"/>
      <c r="H91" s="6"/>
      <c r="I91" s="6"/>
    </row>
    <row r="92" spans="1:10" x14ac:dyDescent="0.2">
      <c r="I92" s="6"/>
    </row>
    <row r="93" spans="1:10" x14ac:dyDescent="0.2">
      <c r="A93" s="155"/>
      <c r="B93" s="155"/>
      <c r="C93" s="91"/>
      <c r="D93" s="91"/>
      <c r="E93" s="92"/>
      <c r="G93" s="93"/>
    </row>
    <row r="94" spans="1:10" x14ac:dyDescent="0.2">
      <c r="A94" s="25"/>
      <c r="B94" s="94"/>
      <c r="C94" s="95"/>
      <c r="D94" s="95"/>
      <c r="E94" s="96"/>
      <c r="G94" s="93"/>
    </row>
    <row r="95" spans="1:10" x14ac:dyDescent="0.2">
      <c r="A95" s="25"/>
      <c r="B95" s="94"/>
      <c r="C95" s="97"/>
      <c r="D95" s="97"/>
      <c r="E95" s="25"/>
      <c r="G95" s="93"/>
    </row>
    <row r="96" spans="1:10" x14ac:dyDescent="0.2">
      <c r="A96" s="25"/>
      <c r="B96" s="94"/>
      <c r="C96" s="98"/>
      <c r="D96" s="98"/>
      <c r="E96" s="25"/>
      <c r="G96" s="93"/>
    </row>
  </sheetData>
  <mergeCells count="30">
    <mergeCell ref="B73:F73"/>
    <mergeCell ref="B83:D83"/>
    <mergeCell ref="B85:F85"/>
    <mergeCell ref="A93:B93"/>
    <mergeCell ref="L67:N67"/>
    <mergeCell ref="B68:D68"/>
    <mergeCell ref="K68:N68"/>
    <mergeCell ref="B69:D69"/>
    <mergeCell ref="B70:C70"/>
    <mergeCell ref="B71:E71"/>
    <mergeCell ref="H71:H72"/>
    <mergeCell ref="B66:C66"/>
    <mergeCell ref="K66:N66"/>
    <mergeCell ref="K35:L35"/>
    <mergeCell ref="B58:E58"/>
    <mergeCell ref="B59:E59"/>
    <mergeCell ref="K59:N59"/>
    <mergeCell ref="B60:E60"/>
    <mergeCell ref="C61:E61"/>
    <mergeCell ref="B63:C63"/>
    <mergeCell ref="B64:C64"/>
    <mergeCell ref="M64:N64"/>
    <mergeCell ref="B65:C65"/>
    <mergeCell ref="L65:M65"/>
    <mergeCell ref="K34:L34"/>
    <mergeCell ref="A4:H4"/>
    <mergeCell ref="A5:H5"/>
    <mergeCell ref="F6:G6"/>
    <mergeCell ref="K32:L32"/>
    <mergeCell ref="K33:L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F1C8-6578-4A66-96A8-3AF7916460CF}">
  <dimension ref="A1:Q91"/>
  <sheetViews>
    <sheetView topLeftCell="A45" workbookViewId="0">
      <selection activeCell="A47" sqref="A47:IV50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56</v>
      </c>
      <c r="F1" s="4" t="s">
        <v>57</v>
      </c>
      <c r="G1" s="4" t="s">
        <v>58</v>
      </c>
      <c r="H1" s="4" t="s">
        <v>59</v>
      </c>
      <c r="I1" s="5"/>
    </row>
    <row r="2" spans="1:10" ht="30.75" customHeight="1" x14ac:dyDescent="0.2">
      <c r="A2" s="2"/>
      <c r="B2" s="2"/>
      <c r="C2" s="2"/>
      <c r="D2" s="2"/>
      <c r="E2" s="8">
        <f>IFERROR(O62,"")</f>
        <v>339.24280147442971</v>
      </c>
      <c r="F2" s="8">
        <f>IFERROR(H53,"")</f>
        <v>337.5125150868077</v>
      </c>
      <c r="G2" s="8">
        <f>IFERROR(H54,"")</f>
        <v>0.62105184126984125</v>
      </c>
      <c r="H2" s="8">
        <f>IFERROR(H56,"")</f>
        <v>34.1159532743619</v>
      </c>
      <c r="I2" s="9"/>
    </row>
    <row r="3" spans="1:10" ht="15" customHeight="1" x14ac:dyDescent="0.2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25">
      <c r="A4" s="137"/>
      <c r="B4" s="137"/>
      <c r="C4" s="137"/>
      <c r="D4" s="137"/>
      <c r="E4" s="137"/>
      <c r="F4" s="137"/>
      <c r="G4" s="137"/>
      <c r="H4" s="137"/>
      <c r="I4" s="11"/>
    </row>
    <row r="5" spans="1:10" ht="19.5" customHeight="1" thickBot="1" x14ac:dyDescent="0.25">
      <c r="A5" s="138" t="s">
        <v>60</v>
      </c>
      <c r="B5" s="139"/>
      <c r="C5" s="139"/>
      <c r="D5" s="139"/>
      <c r="E5" s="139"/>
      <c r="F5" s="139"/>
      <c r="G5" s="139"/>
      <c r="H5" s="140"/>
      <c r="I5" s="12"/>
    </row>
    <row r="6" spans="1:10" ht="19.5" thickBot="1" x14ac:dyDescent="0.25">
      <c r="A6" s="12"/>
      <c r="B6" s="12"/>
      <c r="C6" s="12"/>
      <c r="D6" s="12"/>
      <c r="E6" s="12"/>
      <c r="F6" s="141" t="s">
        <v>61</v>
      </c>
      <c r="G6" s="141"/>
      <c r="H6" s="13">
        <f ca="1">TODAY()</f>
        <v>46078</v>
      </c>
      <c r="I6" s="13"/>
    </row>
    <row r="7" spans="1:10" ht="26.25" thickBot="1" x14ac:dyDescent="0.25">
      <c r="A7" s="14" t="s">
        <v>62</v>
      </c>
      <c r="B7" s="15" t="s">
        <v>63</v>
      </c>
      <c r="C7" s="15" t="s">
        <v>62</v>
      </c>
      <c r="D7" s="16" t="s">
        <v>64</v>
      </c>
      <c r="E7" s="16" t="s">
        <v>65</v>
      </c>
      <c r="F7" s="16" t="s">
        <v>66</v>
      </c>
      <c r="G7" s="16" t="s">
        <v>67</v>
      </c>
      <c r="H7" s="17" t="s">
        <v>68</v>
      </c>
      <c r="I7" s="18"/>
    </row>
    <row r="8" spans="1:10" ht="13.5" x14ac:dyDescent="0.25">
      <c r="A8" s="19">
        <v>16</v>
      </c>
      <c r="B8" s="7" t="str">
        <f>IFERROR(VLOOKUP(H8,'[1]Consolidado MP Planta'!$A$2:$M$823,3,0),"")</f>
        <v>YEMA DE HUEVO PASTEURIZADA (CAJA:2 Kg)</v>
      </c>
      <c r="C8" s="20">
        <f>+A8</f>
        <v>16</v>
      </c>
      <c r="D8" s="21" t="str">
        <f>IFERROR(VLOOKUP(H8,'[1]Consolidado MP Planta'!$A$2:$M$823,13,0),"")</f>
        <v>Gramos</v>
      </c>
      <c r="E8" s="21">
        <v>2.73</v>
      </c>
      <c r="F8" s="21">
        <f>IFERROR(C8*E8,"")</f>
        <v>43.68</v>
      </c>
      <c r="G8" s="22">
        <f t="shared" ref="G8:G14" si="0">IFERROR(F8/$F$66,"")</f>
        <v>2.1046515801286733E-3</v>
      </c>
      <c r="H8" s="23" t="s">
        <v>113</v>
      </c>
      <c r="I8" s="23"/>
      <c r="J8" s="24"/>
    </row>
    <row r="9" spans="1:10" ht="13.5" hidden="1" x14ac:dyDescent="0.25">
      <c r="A9" s="19"/>
      <c r="B9" s="7" t="str">
        <f>IFERROR(VLOOKUP(H9,'[1]Consolidado MP Planta'!$A$2:$M$823,3,0),"")</f>
        <v/>
      </c>
      <c r="C9" s="20">
        <f t="shared" ref="C9:C14" si="1">+A9</f>
        <v>0</v>
      </c>
      <c r="D9" s="21" t="str">
        <f>IFERROR(VLOOKUP(H9,'[1]Consolidado MP Planta'!$A$2:$M$823,13,0),"")</f>
        <v/>
      </c>
      <c r="E9" s="21" t="str">
        <f>IFERROR(VLOOKUP(H9,'[1]Consolidado MP Planta'!$A$2:$M$823,12,0),"")</f>
        <v/>
      </c>
      <c r="F9" s="21" t="str">
        <f t="shared" ref="F9:F14" si="2">IFERROR(C9*E9,"")</f>
        <v/>
      </c>
      <c r="G9" s="22" t="str">
        <f t="shared" si="0"/>
        <v/>
      </c>
      <c r="H9" s="23"/>
      <c r="I9" s="23"/>
      <c r="J9" s="24"/>
    </row>
    <row r="10" spans="1:10" ht="13.5" hidden="1" x14ac:dyDescent="0.25">
      <c r="A10" s="19"/>
      <c r="B10" s="7" t="str">
        <f>IFERROR(VLOOKUP(H10,'[1]Consolidado MP Planta'!$A$2:$M$823,3,0),"")</f>
        <v/>
      </c>
      <c r="C10" s="20">
        <f t="shared" si="1"/>
        <v>0</v>
      </c>
      <c r="D10" s="21" t="str">
        <f>IFERROR(VLOOKUP(H10,'[1]Consolidado MP Planta'!$A$2:$M$823,13,0),"")</f>
        <v/>
      </c>
      <c r="E10" s="21" t="str">
        <f>IFERROR(VLOOKUP(H10,'[1]Consolidado MP Planta'!$A$2:$M$823,12,0),"")</f>
        <v/>
      </c>
      <c r="F10" s="21" t="str">
        <f t="shared" si="2"/>
        <v/>
      </c>
      <c r="G10" s="22" t="str">
        <f t="shared" si="0"/>
        <v/>
      </c>
      <c r="H10" s="23"/>
      <c r="I10" s="23"/>
      <c r="J10" s="24"/>
    </row>
    <row r="11" spans="1:10" ht="13.5" hidden="1" x14ac:dyDescent="0.25">
      <c r="A11" s="19"/>
      <c r="B11" s="7" t="str">
        <f>IFERROR(VLOOKUP(H11,'[1]Consolidado MP Planta'!$A$2:$M$823,3,0),"")</f>
        <v/>
      </c>
      <c r="C11" s="20">
        <f t="shared" si="1"/>
        <v>0</v>
      </c>
      <c r="D11" s="21" t="str">
        <f>IFERROR(VLOOKUP(H11,'[1]Consolidado MP Planta'!$A$2:$M$823,13,0),"")</f>
        <v/>
      </c>
      <c r="E11" s="21" t="str">
        <f>IFERROR(VLOOKUP(H11,'[1]Consolidado MP Planta'!$A$2:$M$823,12,0),"")</f>
        <v/>
      </c>
      <c r="F11" s="21" t="str">
        <f t="shared" si="2"/>
        <v/>
      </c>
      <c r="G11" s="22" t="str">
        <f t="shared" si="0"/>
        <v/>
      </c>
      <c r="H11" s="23"/>
      <c r="I11" s="23"/>
      <c r="J11" s="24"/>
    </row>
    <row r="12" spans="1:10" ht="13.5" hidden="1" x14ac:dyDescent="0.25">
      <c r="A12" s="19"/>
      <c r="B12" s="7" t="str">
        <f>IFERROR(VLOOKUP(H12,'[1]Consolidado MP Planta'!$A$2:$M$823,3,0),"")</f>
        <v/>
      </c>
      <c r="C12" s="20">
        <f t="shared" si="1"/>
        <v>0</v>
      </c>
      <c r="D12" s="21" t="str">
        <f>IFERROR(VLOOKUP(H12,'[1]Consolidado MP Planta'!$A$2:$M$823,13,0),"")</f>
        <v/>
      </c>
      <c r="E12" s="21" t="str">
        <f>IFERROR(VLOOKUP(H12,'[1]Consolidado MP Planta'!$A$2:$M$823,12,0),"")</f>
        <v/>
      </c>
      <c r="F12" s="21" t="str">
        <f t="shared" si="2"/>
        <v/>
      </c>
      <c r="G12" s="22" t="str">
        <f t="shared" si="0"/>
        <v/>
      </c>
      <c r="H12" s="23"/>
      <c r="I12" s="23"/>
      <c r="J12" s="24"/>
    </row>
    <row r="13" spans="1:10" ht="13.5" hidden="1" x14ac:dyDescent="0.25">
      <c r="A13" s="19"/>
      <c r="B13" s="7" t="str">
        <f>IFERROR(VLOOKUP(H13,'[1]Consolidado MP Planta'!$A$2:$M$823,3,0),"")</f>
        <v/>
      </c>
      <c r="C13" s="20">
        <f t="shared" si="1"/>
        <v>0</v>
      </c>
      <c r="D13" s="21" t="str">
        <f>IFERROR(VLOOKUP(H13,'[1]Consolidado MP Planta'!$A$2:$M$823,13,0),"")</f>
        <v/>
      </c>
      <c r="E13" s="21" t="str">
        <f>IFERROR(VLOOKUP(H13,'[1]Consolidado MP Planta'!$A$2:$M$823,12,0),"")</f>
        <v/>
      </c>
      <c r="F13" s="21" t="str">
        <f t="shared" si="2"/>
        <v/>
      </c>
      <c r="G13" s="22" t="str">
        <f t="shared" si="0"/>
        <v/>
      </c>
      <c r="H13" s="23"/>
      <c r="I13" s="23"/>
      <c r="J13" s="24"/>
    </row>
    <row r="14" spans="1:10" ht="13.5" hidden="1" x14ac:dyDescent="0.25">
      <c r="A14" s="19"/>
      <c r="B14" s="7" t="str">
        <f>IFERROR(VLOOKUP(H14,'[1]Consolidado MP Planta'!$A$2:$M$823,3,0),"")</f>
        <v/>
      </c>
      <c r="C14" s="20">
        <f t="shared" si="1"/>
        <v>0</v>
      </c>
      <c r="D14" s="21" t="str">
        <f>IFERROR(VLOOKUP(H14,'[1]Consolidado MP Planta'!$A$2:$M$823,13,0),"")</f>
        <v/>
      </c>
      <c r="E14" s="21" t="str">
        <f>IFERROR(VLOOKUP(H14,'[1]Consolidado MP Planta'!$A$2:$M$823,12,0),"")</f>
        <v/>
      </c>
      <c r="F14" s="21" t="str">
        <f t="shared" si="2"/>
        <v/>
      </c>
      <c r="G14" s="22" t="str">
        <f t="shared" si="0"/>
        <v/>
      </c>
      <c r="H14" s="23"/>
      <c r="I14" s="23"/>
      <c r="J14" s="24"/>
    </row>
    <row r="15" spans="1:10" ht="14.25" thickBot="1" x14ac:dyDescent="0.3">
      <c r="A15" s="19"/>
      <c r="B15" s="7" t="str">
        <f>IFERROR(VLOOKUP(H15,'[2]ARTICULOS MP PLANTA'!$A$2:$G$589,2,0),"")</f>
        <v/>
      </c>
      <c r="C15" s="20"/>
      <c r="D15" s="21"/>
      <c r="E15" s="21"/>
      <c r="F15" s="21"/>
      <c r="G15" s="22"/>
      <c r="H15" s="23"/>
      <c r="I15" s="23"/>
      <c r="J15" s="24"/>
    </row>
    <row r="16" spans="1:10" ht="26.25" thickBot="1" x14ac:dyDescent="0.25">
      <c r="A16" s="14" t="s">
        <v>62</v>
      </c>
      <c r="B16" s="15" t="s">
        <v>69</v>
      </c>
      <c r="C16" s="15" t="s">
        <v>62</v>
      </c>
      <c r="D16" s="16" t="s">
        <v>64</v>
      </c>
      <c r="E16" s="16" t="s">
        <v>65</v>
      </c>
      <c r="F16" s="16" t="s">
        <v>66</v>
      </c>
      <c r="G16" s="16" t="s">
        <v>67</v>
      </c>
      <c r="H16" s="17" t="s">
        <v>68</v>
      </c>
      <c r="I16" s="18"/>
      <c r="J16" s="24"/>
    </row>
    <row r="17" spans="1:12" ht="13.5" x14ac:dyDescent="0.25">
      <c r="A17" s="19">
        <v>60</v>
      </c>
      <c r="B17" s="7" t="str">
        <f>IFERROR(VLOOKUP(H17,[1]SEMIELABORADOS!$A$2:$M$6000,2,0),"")</f>
        <v>RUEDA FROLA 14 CM</v>
      </c>
      <c r="C17" s="20">
        <f>+A17</f>
        <v>60</v>
      </c>
      <c r="D17" s="20" t="str">
        <f>IFERROR(VLOOKUP(H17,[1]SEMIELABORADOS!$A$2:$M$6000,6,0),"")</f>
        <v>Und</v>
      </c>
      <c r="E17" s="21">
        <v>62.24</v>
      </c>
      <c r="F17" s="21">
        <f>IFERROR(E17*C17,"")</f>
        <v>3734.4</v>
      </c>
      <c r="G17" s="22">
        <f t="shared" ref="G17:G24" si="3">IFERROR(F17/$F$66,"")</f>
        <v>0.17993614608133054</v>
      </c>
      <c r="H17" s="23" t="s">
        <v>111</v>
      </c>
      <c r="I17" s="23"/>
      <c r="J17" s="24"/>
    </row>
    <row r="18" spans="1:12" ht="13.5" x14ac:dyDescent="0.25">
      <c r="A18" s="19">
        <v>3000</v>
      </c>
      <c r="B18" s="7" t="s">
        <v>110</v>
      </c>
      <c r="C18" s="20">
        <f t="shared" ref="C18:C24" si="4">+A18</f>
        <v>3000</v>
      </c>
      <c r="D18" s="20" t="s">
        <v>112</v>
      </c>
      <c r="E18" s="21">
        <f>+'Costo Relleno'!E74</f>
        <v>5.4800659006694863</v>
      </c>
      <c r="F18" s="21">
        <f t="shared" ref="F18:F24" si="5">IFERROR(E18*C18,"")</f>
        <v>16440.19770200846</v>
      </c>
      <c r="G18" s="22">
        <f t="shared" si="3"/>
        <v>0.79214487342399009</v>
      </c>
      <c r="H18" s="23" t="s">
        <v>27</v>
      </c>
      <c r="I18" s="23"/>
      <c r="J18" s="24"/>
    </row>
    <row r="19" spans="1:12" ht="13.5" x14ac:dyDescent="0.25">
      <c r="A19" s="19">
        <v>50</v>
      </c>
      <c r="B19" s="7" t="str">
        <f>IFERROR(VLOOKUP(H19,[1]SEMIELABORADOS!$A$2:$M$6000,2,0),"")</f>
        <v>EMPAQUE HARINA ESTANDAR (KILO)</v>
      </c>
      <c r="C19" s="20">
        <f>+A19</f>
        <v>50</v>
      </c>
      <c r="D19" s="20" t="str">
        <f>IFERROR(VLOOKUP(H19,[1]SEMIELABORADOS!$A$2:$M$6000,6,0),"")</f>
        <v>Gramo</v>
      </c>
      <c r="E19" s="21">
        <f>IFERROR(VLOOKUP(H19,[1]SEMIELABORADOS!$A$2:$H$65536,8,0),"")</f>
        <v>0.64946406400000001</v>
      </c>
      <c r="F19" s="21">
        <f>IFERROR(E19*C19,"")</f>
        <v>32.4732032</v>
      </c>
      <c r="G19" s="22">
        <f t="shared" si="3"/>
        <v>1.5646698357765451E-3</v>
      </c>
      <c r="H19" s="23" t="s">
        <v>114</v>
      </c>
      <c r="I19" s="23"/>
      <c r="J19" s="24"/>
    </row>
    <row r="20" spans="1:12" ht="13.5" hidden="1" x14ac:dyDescent="0.25">
      <c r="A20" s="19"/>
      <c r="B20" s="7" t="str">
        <f>IFERROR(VLOOKUP(H20,[1]SEMIELABORADOS!$A$2:$M$6000,2,0),"")</f>
        <v/>
      </c>
      <c r="C20" s="20">
        <f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>IFERROR(E20*C20,"")</f>
        <v/>
      </c>
      <c r="G20" s="22" t="str">
        <f t="shared" si="3"/>
        <v/>
      </c>
      <c r="H20" s="23"/>
      <c r="I20" s="23"/>
      <c r="J20" s="24"/>
    </row>
    <row r="21" spans="1:12" ht="13.5" hidden="1" x14ac:dyDescent="0.25">
      <c r="A21" s="19"/>
      <c r="B21" s="7" t="str">
        <f>IFERROR(VLOOKUP(H21,[1]SEMIELABORADOS!$A$2:$M$6000,2,0),"")</f>
        <v/>
      </c>
      <c r="C21" s="20">
        <f>+A21</f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>IFERROR(E21*C21,"")</f>
        <v/>
      </c>
      <c r="G21" s="22" t="str">
        <f t="shared" si="3"/>
        <v/>
      </c>
      <c r="H21" s="23"/>
      <c r="I21" s="23"/>
      <c r="J21" s="24"/>
    </row>
    <row r="22" spans="1:12" ht="13.5" hidden="1" x14ac:dyDescent="0.25">
      <c r="A22" s="19"/>
      <c r="B22" s="7" t="str">
        <f>IFERROR(VLOOKUP(H22,[1]SEMIELABORADOS!$A$2:$M$6000,2,0),"")</f>
        <v/>
      </c>
      <c r="C22" s="20">
        <f t="shared" si="4"/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 t="shared" si="5"/>
        <v/>
      </c>
      <c r="G22" s="22" t="str">
        <f t="shared" si="3"/>
        <v/>
      </c>
      <c r="H22" s="23"/>
      <c r="I22" s="23"/>
      <c r="J22" s="24"/>
    </row>
    <row r="23" spans="1:12" ht="13.5" hidden="1" x14ac:dyDescent="0.25">
      <c r="A23" s="19"/>
      <c r="B23" s="7" t="str">
        <f>IFERROR(VLOOKUP(H23,[1]SEMIELABORADOS!$A$2:$M$6000,2,0),"")</f>
        <v/>
      </c>
      <c r="C23" s="20">
        <f t="shared" si="4"/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 t="shared" si="5"/>
        <v/>
      </c>
      <c r="G23" s="22" t="str">
        <f t="shared" si="3"/>
        <v/>
      </c>
      <c r="H23" s="23"/>
      <c r="I23" s="23"/>
      <c r="J23" s="24"/>
    </row>
    <row r="24" spans="1:12" ht="13.5" hidden="1" x14ac:dyDescent="0.25">
      <c r="A24" s="19"/>
      <c r="B24" s="7" t="str">
        <f>IFERROR(VLOOKUP(H24,[1]SEMIELABORADOS!$A$2:$M$6000,2,0),"")</f>
        <v/>
      </c>
      <c r="C24" s="20">
        <f t="shared" si="4"/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 t="shared" si="5"/>
        <v/>
      </c>
      <c r="G24" s="22" t="str">
        <f t="shared" si="3"/>
        <v/>
      </c>
      <c r="H24" s="23"/>
      <c r="I24" s="23"/>
      <c r="J24" s="24"/>
    </row>
    <row r="25" spans="1:12" ht="14.25" thickBot="1" x14ac:dyDescent="0.3">
      <c r="A25" s="19"/>
      <c r="C25" s="20"/>
      <c r="D25" s="20"/>
      <c r="E25" s="21"/>
      <c r="F25" s="21"/>
      <c r="G25" s="22"/>
      <c r="H25" s="23"/>
      <c r="I25" s="23"/>
      <c r="J25" s="24"/>
    </row>
    <row r="26" spans="1:12" ht="26.25" thickBot="1" x14ac:dyDescent="0.25">
      <c r="A26" s="14" t="s">
        <v>62</v>
      </c>
      <c r="B26" s="15" t="s">
        <v>30</v>
      </c>
      <c r="C26" s="15" t="s">
        <v>62</v>
      </c>
      <c r="D26" s="16" t="s">
        <v>64</v>
      </c>
      <c r="E26" s="16" t="s">
        <v>65</v>
      </c>
      <c r="F26" s="16" t="s">
        <v>66</v>
      </c>
      <c r="G26" s="16" t="s">
        <v>67</v>
      </c>
      <c r="H26" s="17" t="s">
        <v>68</v>
      </c>
      <c r="I26" s="18"/>
    </row>
    <row r="27" spans="1:12" ht="13.5" x14ac:dyDescent="0.25">
      <c r="A27" s="19">
        <v>0.25</v>
      </c>
      <c r="B27" s="25" t="str">
        <f>IFERROR(VLOOKUP(H27,'[1]Consolidado MP Planta'!$A$2:$M$823,3,0),"")</f>
        <v>PAPEL MANTEQUILLA (CAJA= 1000 UND)</v>
      </c>
      <c r="C27" s="20">
        <f t="shared" ref="C27:C32" si="6">+A27</f>
        <v>0.25</v>
      </c>
      <c r="D27" s="21" t="str">
        <f>IFERROR(VLOOKUP(H27,'[1]Consolidado MP Planta'!$A$2:$M$823,13,0),"")</f>
        <v>Und</v>
      </c>
      <c r="E27" s="21">
        <v>43.5</v>
      </c>
      <c r="F27" s="21">
        <f t="shared" ref="F27:F32" si="7">IFERROR(C27*E27,"")</f>
        <v>10.875</v>
      </c>
      <c r="G27" s="22">
        <f t="shared" ref="G27:G32" si="8">IFERROR(F27/$F$66,"")</f>
        <v>5.2399464134384897E-4</v>
      </c>
      <c r="H27" s="26" t="s">
        <v>115</v>
      </c>
      <c r="I27" s="26"/>
      <c r="J27" s="24"/>
      <c r="K27" s="136"/>
      <c r="L27" s="136"/>
    </row>
    <row r="28" spans="1:12" ht="13.5" hidden="1" x14ac:dyDescent="0.25">
      <c r="A28" s="19"/>
      <c r="B28" s="25" t="str">
        <f>IFERROR(VLOOKUP(H28,'[1]Consolidado MP Planta'!$A$2:$M$823,3,0),"")</f>
        <v/>
      </c>
      <c r="C28" s="20">
        <f t="shared" si="6"/>
        <v>0</v>
      </c>
      <c r="D28" s="21" t="str">
        <f>IFERROR(VLOOKUP(H28,'[1]Consolidado MP Planta'!$A$2:$M$823,13,0),"")</f>
        <v/>
      </c>
      <c r="E28" s="21" t="str">
        <f>IFERROR(VLOOKUP(H28,'[1]Consolidado MP Planta'!$A$2:$M$823,12,0),"")</f>
        <v/>
      </c>
      <c r="F28" s="21" t="str">
        <f t="shared" si="7"/>
        <v/>
      </c>
      <c r="G28" s="22" t="str">
        <f t="shared" si="8"/>
        <v/>
      </c>
      <c r="H28" s="26"/>
      <c r="I28" s="26"/>
      <c r="J28" s="24"/>
      <c r="K28" s="136"/>
      <c r="L28" s="136"/>
    </row>
    <row r="29" spans="1:12" ht="13.5" hidden="1" x14ac:dyDescent="0.25">
      <c r="A29" s="19"/>
      <c r="B29" s="25" t="str">
        <f>IFERROR(VLOOKUP(H29,'[1]Consolidado MP Planta'!$A$2:$M$823,3,0),"")</f>
        <v/>
      </c>
      <c r="C29" s="20">
        <f t="shared" si="6"/>
        <v>0</v>
      </c>
      <c r="D29" s="21" t="str">
        <f>IFERROR(VLOOKUP(H29,'[1]Consolidado MP Planta'!$A$2:$M$823,13,0),"")</f>
        <v/>
      </c>
      <c r="E29" s="21" t="str">
        <f>IFERROR(VLOOKUP(H29,'[1]Consolidado MP Planta'!$A$2:$M$823,12,0),"")</f>
        <v/>
      </c>
      <c r="F29" s="21" t="str">
        <f t="shared" si="7"/>
        <v/>
      </c>
      <c r="G29" s="22" t="str">
        <f t="shared" si="8"/>
        <v/>
      </c>
      <c r="H29" s="26"/>
      <c r="I29" s="26"/>
      <c r="J29" s="24"/>
      <c r="K29" s="136"/>
      <c r="L29" s="136"/>
    </row>
    <row r="30" spans="1:12" ht="13.5" hidden="1" x14ac:dyDescent="0.25">
      <c r="A30" s="19"/>
      <c r="B30" s="25" t="str">
        <f>IFERROR(VLOOKUP(H30,'[1]Consolidado MP Planta'!$A$2:$M$823,3,0),"")</f>
        <v/>
      </c>
      <c r="C30" s="20">
        <f t="shared" si="6"/>
        <v>0</v>
      </c>
      <c r="D30" s="21" t="str">
        <f>IFERROR(VLOOKUP(H30,'[1]Consolidado MP Planta'!$A$2:$M$823,13,0),"")</f>
        <v/>
      </c>
      <c r="E30" s="21" t="str">
        <f>IFERROR(VLOOKUP(H30,'[1]Consolidado MP Planta'!$A$2:$M$823,12,0),"")</f>
        <v/>
      </c>
      <c r="F30" s="21" t="str">
        <f t="shared" si="7"/>
        <v/>
      </c>
      <c r="G30" s="22" t="str">
        <f t="shared" si="8"/>
        <v/>
      </c>
      <c r="H30" s="26"/>
      <c r="I30" s="26"/>
      <c r="J30" s="24"/>
      <c r="K30" s="136"/>
      <c r="L30" s="136"/>
    </row>
    <row r="31" spans="1:12" ht="13.5" hidden="1" x14ac:dyDescent="0.25">
      <c r="A31" s="19"/>
      <c r="B31" s="25" t="str">
        <f>IFERROR(VLOOKUP(H31,'[1]Consolidado MP Planta'!$A$2:$M$823,3,0),"")</f>
        <v/>
      </c>
      <c r="C31" s="20">
        <f t="shared" si="6"/>
        <v>0</v>
      </c>
      <c r="D31" s="21" t="str">
        <f>IFERROR(VLOOKUP(H31,'[1]Consolidado MP Planta'!$A$2:$M$823,13,0),"")</f>
        <v/>
      </c>
      <c r="E31" s="21" t="str">
        <f>IFERROR(VLOOKUP(H31,'[1]Consolidado MP Planta'!$A$2:$M$823,12,0),"")</f>
        <v/>
      </c>
      <c r="F31" s="21" t="str">
        <f t="shared" si="7"/>
        <v/>
      </c>
      <c r="G31" s="22" t="str">
        <f t="shared" si="8"/>
        <v/>
      </c>
      <c r="H31" s="26"/>
      <c r="I31" s="26"/>
      <c r="J31" s="24"/>
      <c r="K31" s="27"/>
      <c r="L31" s="28"/>
    </row>
    <row r="32" spans="1:12" ht="13.5" hidden="1" x14ac:dyDescent="0.25">
      <c r="A32" s="19"/>
      <c r="B32" s="25" t="str">
        <f>IFERROR(VLOOKUP(H32,'[1]Consolidado MP Planta'!$A$2:$M$823,3,0),"")</f>
        <v/>
      </c>
      <c r="C32" s="20">
        <f t="shared" si="6"/>
        <v>0</v>
      </c>
      <c r="D32" s="21" t="str">
        <f>IFERROR(VLOOKUP(H32,'[1]Consolidado MP Planta'!$A$2:$M$823,13,0),"")</f>
        <v/>
      </c>
      <c r="E32" s="21" t="str">
        <f>IFERROR(VLOOKUP(H32,'[1]Consolidado MP Planta'!$A$2:$M$823,12,0),"")</f>
        <v/>
      </c>
      <c r="F32" s="21" t="str">
        <f t="shared" si="7"/>
        <v/>
      </c>
      <c r="G32" s="22" t="str">
        <f t="shared" si="8"/>
        <v/>
      </c>
      <c r="H32" s="26"/>
      <c r="I32" s="26"/>
      <c r="J32" s="24"/>
    </row>
    <row r="33" spans="1:13" ht="14.25" thickBot="1" x14ac:dyDescent="0.3">
      <c r="A33" s="19"/>
      <c r="B33" s="25"/>
      <c r="C33" s="20"/>
      <c r="D33" s="21"/>
      <c r="E33" s="21"/>
      <c r="F33" s="21"/>
      <c r="G33" s="22"/>
      <c r="H33" s="26"/>
      <c r="I33" s="26"/>
      <c r="J33" s="24"/>
    </row>
    <row r="34" spans="1:13" ht="26.25" thickBot="1" x14ac:dyDescent="0.25">
      <c r="A34" s="14" t="s">
        <v>62</v>
      </c>
      <c r="B34" s="15" t="s">
        <v>70</v>
      </c>
      <c r="C34" s="15" t="s">
        <v>62</v>
      </c>
      <c r="D34" s="16" t="s">
        <v>64</v>
      </c>
      <c r="E34" s="16" t="s">
        <v>65</v>
      </c>
      <c r="F34" s="16" t="s">
        <v>66</v>
      </c>
      <c r="G34" s="16" t="s">
        <v>67</v>
      </c>
      <c r="H34" s="17" t="s">
        <v>68</v>
      </c>
      <c r="I34" s="26"/>
      <c r="J34" s="24"/>
    </row>
    <row r="35" spans="1:13" ht="13.5" x14ac:dyDescent="0.25">
      <c r="A35" s="19">
        <f>+A17</f>
        <v>60</v>
      </c>
      <c r="B35" s="25" t="str">
        <f>IFERROR(VLOOKUP(H35,[1]SEMIELABORADOS!$A$2:$M$6000,2,0),"")</f>
        <v>RUEDA FROLA 14 CM</v>
      </c>
      <c r="C35" s="20">
        <f>+A35</f>
        <v>60</v>
      </c>
      <c r="D35" s="21" t="str">
        <f>IFERROR(VLOOKUP(H35,[1]SEMIELABORADOS!$A$2:$M$6000,6,0),"")</f>
        <v>Und</v>
      </c>
      <c r="E35" s="21">
        <v>0.43</v>
      </c>
      <c r="F35" s="21">
        <f>IFERROR(E35*C35,"")</f>
        <v>25.8</v>
      </c>
      <c r="G35" s="22">
        <f t="shared" ref="G35:G41" si="9">IFERROR(F35/$F$66,"")</f>
        <v>1.2431321146364417E-3</v>
      </c>
      <c r="H35" s="26" t="s">
        <v>111</v>
      </c>
      <c r="I35" s="26"/>
      <c r="J35" s="24"/>
    </row>
    <row r="36" spans="1:13" ht="13.5" x14ac:dyDescent="0.25">
      <c r="A36" s="19">
        <f t="shared" ref="A36:A41" si="10">+A18</f>
        <v>3000</v>
      </c>
      <c r="B36" s="25" t="s">
        <v>110</v>
      </c>
      <c r="C36" s="20">
        <f t="shared" ref="C36:C41" si="11">+A36</f>
        <v>3000</v>
      </c>
      <c r="D36" s="21" t="s">
        <v>112</v>
      </c>
      <c r="E36" s="21">
        <f>+'Costo Relleno'!E81</f>
        <v>3.0213333333333338E-5</v>
      </c>
      <c r="F36" s="21">
        <f t="shared" ref="F36:F41" si="12">IFERROR(E36*C36,"")</f>
        <v>9.0640000000000012E-2</v>
      </c>
      <c r="G36" s="22">
        <f t="shared" si="9"/>
        <v>4.367344762428182E-6</v>
      </c>
      <c r="H36" s="26" t="s">
        <v>27</v>
      </c>
      <c r="I36" s="26"/>
      <c r="J36" s="24"/>
    </row>
    <row r="37" spans="1:13" ht="13.5" x14ac:dyDescent="0.25">
      <c r="A37" s="19">
        <f t="shared" si="10"/>
        <v>50</v>
      </c>
      <c r="B37" s="25" t="str">
        <f>IFERROR(VLOOKUP(H37,[1]SEMIELABORADOS!$A$2:$M$6000,2,0),"")</f>
        <v>EMPAQUE HARINA ESTANDAR (KILO)</v>
      </c>
      <c r="C37" s="20">
        <f t="shared" si="11"/>
        <v>50</v>
      </c>
      <c r="D37" s="21" t="str">
        <f>IFERROR(VLOOKUP(H37,[1]SEMIELABORADOS!$A$2:$M$6000,6,0),"")</f>
        <v>Gramo</v>
      </c>
      <c r="E37" s="21">
        <f>IFERROR(VLOOKUP(H37,[1]SEMIELABORADOS!$A$2:$M$65536,10,0),"")</f>
        <v>9.9494095238095229E-3</v>
      </c>
      <c r="F37" s="21">
        <f t="shared" si="12"/>
        <v>0.49747047619047613</v>
      </c>
      <c r="G37" s="22">
        <f t="shared" si="9"/>
        <v>2.3969826551777682E-5</v>
      </c>
      <c r="H37" s="26" t="s">
        <v>114</v>
      </c>
      <c r="I37" s="26"/>
      <c r="J37" s="24"/>
    </row>
    <row r="38" spans="1:13" ht="13.5" hidden="1" x14ac:dyDescent="0.25">
      <c r="A38" s="19">
        <f t="shared" si="10"/>
        <v>0</v>
      </c>
      <c r="B38" s="25" t="str">
        <f>IFERROR(VLOOKUP(H38,[1]SEMIELABORADOS!$A$2:$M$6000,2,0),"")</f>
        <v/>
      </c>
      <c r="C38" s="20">
        <f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>IFERROR(E38*C38,"")</f>
        <v/>
      </c>
      <c r="G38" s="22" t="str">
        <f t="shared" si="9"/>
        <v/>
      </c>
      <c r="H38" s="26"/>
      <c r="I38" s="26"/>
      <c r="J38" s="24"/>
    </row>
    <row r="39" spans="1:13" ht="13.5" hidden="1" x14ac:dyDescent="0.25">
      <c r="A39" s="19">
        <f t="shared" si="10"/>
        <v>0</v>
      </c>
      <c r="B39" s="25" t="str">
        <f>IFERROR(VLOOKUP(H39,[1]SEMIELABORADOS!$A$2:$M$6000,2,0),"")</f>
        <v/>
      </c>
      <c r="C39" s="20">
        <f>+A39</f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>IFERROR(E39*C39,"")</f>
        <v/>
      </c>
      <c r="G39" s="22" t="str">
        <f t="shared" si="9"/>
        <v/>
      </c>
      <c r="H39" s="26"/>
      <c r="I39" s="26"/>
      <c r="J39" s="24"/>
    </row>
    <row r="40" spans="1:13" ht="13.5" hidden="1" x14ac:dyDescent="0.25">
      <c r="A40" s="19">
        <f t="shared" si="10"/>
        <v>0</v>
      </c>
      <c r="B40" s="25" t="str">
        <f>IFERROR(VLOOKUP(H40,[1]SEMIELABORADOS!$A$2:$M$6000,2,0),"")</f>
        <v/>
      </c>
      <c r="C40" s="20">
        <f t="shared" si="11"/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 t="shared" si="12"/>
        <v/>
      </c>
      <c r="G40" s="22" t="str">
        <f t="shared" si="9"/>
        <v/>
      </c>
      <c r="H40" s="26"/>
      <c r="I40" s="26"/>
      <c r="J40" s="24"/>
    </row>
    <row r="41" spans="1:13" ht="13.5" hidden="1" x14ac:dyDescent="0.25">
      <c r="A41" s="19">
        <f t="shared" si="10"/>
        <v>0</v>
      </c>
      <c r="B41" s="25" t="str">
        <f>IFERROR(VLOOKUP(H41,[1]SEMIELABORADOS!$A$2:$M$6000,2,0),"")</f>
        <v/>
      </c>
      <c r="C41" s="20">
        <f t="shared" si="11"/>
        <v>0</v>
      </c>
      <c r="D41" s="21" t="str">
        <f>IFERROR(VLOOKUP(H41,[1]SEMIELABORADOS!$A$2:$M$6000,6,0),"")</f>
        <v/>
      </c>
      <c r="E41" s="21" t="str">
        <f>IFERROR(VLOOKUP(H41,[1]SEMIELABORADOS!$A$2:$M$65536,10,0),"")</f>
        <v/>
      </c>
      <c r="F41" s="21" t="str">
        <f t="shared" si="12"/>
        <v/>
      </c>
      <c r="G41" s="22" t="str">
        <f t="shared" si="9"/>
        <v/>
      </c>
      <c r="H41" s="26"/>
      <c r="I41" s="26"/>
      <c r="J41" s="24"/>
    </row>
    <row r="42" spans="1:13" ht="14.25" thickBot="1" x14ac:dyDescent="0.3">
      <c r="A42" s="19"/>
      <c r="B42" s="25"/>
      <c r="C42" s="20"/>
      <c r="D42" s="21"/>
      <c r="E42" s="21"/>
      <c r="F42" s="21"/>
      <c r="G42" s="22"/>
      <c r="H42" s="26"/>
      <c r="I42" s="26"/>
      <c r="J42" s="24"/>
    </row>
    <row r="43" spans="1:13" ht="26.25" thickBot="1" x14ac:dyDescent="0.25">
      <c r="A43" s="14" t="s">
        <v>62</v>
      </c>
      <c r="B43" s="15" t="s">
        <v>71</v>
      </c>
      <c r="C43" s="15" t="s">
        <v>62</v>
      </c>
      <c r="D43" s="16" t="s">
        <v>64</v>
      </c>
      <c r="E43" s="16" t="s">
        <v>65</v>
      </c>
      <c r="F43" s="16" t="s">
        <v>66</v>
      </c>
      <c r="G43" s="16" t="s">
        <v>67</v>
      </c>
      <c r="H43" s="17" t="s">
        <v>68</v>
      </c>
      <c r="I43" s="18"/>
      <c r="J43" s="24"/>
    </row>
    <row r="44" spans="1:13" ht="13.5" x14ac:dyDescent="0.25">
      <c r="A44" s="19">
        <f>+A35</f>
        <v>60</v>
      </c>
      <c r="B44" s="25" t="str">
        <f>IFERROR(VLOOKUP(H44,[1]SEMIELABORADOS!$A$2:$M$6000,2,0),"")</f>
        <v>RUEDA FROLA 14 CM</v>
      </c>
      <c r="C44" s="20">
        <f>+A44</f>
        <v>60</v>
      </c>
      <c r="D44" s="21" t="str">
        <f>IFERROR(VLOOKUP(H44,[1]SEMIELABORADOS!$A$2:$M$6000,6,0),"")</f>
        <v>Und</v>
      </c>
      <c r="E44" s="21">
        <v>13.56</v>
      </c>
      <c r="F44" s="21">
        <f>IFERROR(E44*C44,"")</f>
        <v>813.6</v>
      </c>
      <c r="G44" s="22">
        <f>IFERROR(F44/$F$66,"")</f>
        <v>3.9202026684814303E-2</v>
      </c>
      <c r="H44" s="26" t="s">
        <v>111</v>
      </c>
      <c r="I44" s="18"/>
      <c r="J44" s="24"/>
    </row>
    <row r="45" spans="1:13" ht="13.5" x14ac:dyDescent="0.25">
      <c r="A45" s="19">
        <f t="shared" ref="A45:A50" si="13">+A36</f>
        <v>3000</v>
      </c>
      <c r="B45" s="25" t="s">
        <v>110</v>
      </c>
      <c r="C45" s="20">
        <f t="shared" ref="C45:C50" si="14">+A45</f>
        <v>3000</v>
      </c>
      <c r="D45" s="21" t="s">
        <v>112</v>
      </c>
      <c r="E45" s="21">
        <f>+'Costo Relleno'!E79</f>
        <v>0.38880749173333334</v>
      </c>
      <c r="F45" s="21">
        <f t="shared" ref="F45:F50" si="15">IFERROR(E45*C45,"")</f>
        <v>1166.4224752</v>
      </c>
      <c r="G45" s="22">
        <f t="shared" ref="G45:G50" si="16">IFERROR(F45/$F$66,"")</f>
        <v>5.620221853313366E-2</v>
      </c>
      <c r="H45" s="26" t="s">
        <v>27</v>
      </c>
      <c r="I45" s="18"/>
      <c r="J45" s="24"/>
      <c r="M45" s="29"/>
    </row>
    <row r="46" spans="1:13" ht="13.5" x14ac:dyDescent="0.25">
      <c r="A46" s="19">
        <f t="shared" si="13"/>
        <v>50</v>
      </c>
      <c r="B46" s="25" t="str">
        <f>IFERROR(VLOOKUP(H46,[1]SEMIELABORADOS!$A$2:$M$6000,2,0),"")</f>
        <v>EMPAQUE HARINA ESTANDAR (KILO)</v>
      </c>
      <c r="C46" s="20">
        <f t="shared" si="14"/>
        <v>50</v>
      </c>
      <c r="D46" s="21" t="str">
        <f>IFERROR(VLOOKUP(H46,[1]SEMIELABORADOS!$A$2:$M$6000,6,0),"")</f>
        <v>Gramo</v>
      </c>
      <c r="E46" s="21">
        <f>IFERROR(VLOOKUP(H46,[1]SEMIELABORADOS!$A$2:$M$65536,12,0),"")</f>
        <v>0.11869442523428572</v>
      </c>
      <c r="F46" s="21">
        <f t="shared" si="15"/>
        <v>5.9347212617142864</v>
      </c>
      <c r="G46" s="22">
        <f t="shared" si="16"/>
        <v>2.8595513921909812E-4</v>
      </c>
      <c r="H46" s="26" t="s">
        <v>114</v>
      </c>
      <c r="I46" s="18"/>
      <c r="J46" s="24"/>
    </row>
    <row r="47" spans="1:13" ht="13.5" hidden="1" x14ac:dyDescent="0.25">
      <c r="A47" s="19">
        <f t="shared" si="13"/>
        <v>0</v>
      </c>
      <c r="B47" s="25" t="str">
        <f>IFERROR(VLOOKUP(H47,[1]SEMIELABORADOS!$A$2:$M$6000,2,0),"")</f>
        <v/>
      </c>
      <c r="C47" s="20">
        <f t="shared" si="14"/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si="15"/>
        <v/>
      </c>
      <c r="G47" s="22" t="str">
        <f t="shared" si="16"/>
        <v/>
      </c>
      <c r="H47" s="26"/>
      <c r="I47" s="18"/>
      <c r="J47" s="24"/>
    </row>
    <row r="48" spans="1:13" ht="13.5" hidden="1" x14ac:dyDescent="0.25">
      <c r="A48" s="19">
        <f t="shared" si="13"/>
        <v>0</v>
      </c>
      <c r="B48" s="25" t="str">
        <f>IFERROR(VLOOKUP(H48,[1]SEMIELABORADOS!$A$2:$M$6000,2,0),"")</f>
        <v/>
      </c>
      <c r="C48" s="20">
        <f t="shared" si="14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5"/>
        <v/>
      </c>
      <c r="G48" s="22" t="str">
        <f t="shared" si="16"/>
        <v/>
      </c>
      <c r="H48" s="26"/>
      <c r="I48" s="18"/>
      <c r="J48" s="24"/>
    </row>
    <row r="49" spans="1:17" ht="13.5" hidden="1" x14ac:dyDescent="0.25">
      <c r="A49" s="19">
        <f t="shared" si="13"/>
        <v>0</v>
      </c>
      <c r="B49" s="25" t="str">
        <f>IFERROR(VLOOKUP(H49,[1]SEMIELABORADOS!$A$2:$M$6000,2,0),"")</f>
        <v/>
      </c>
      <c r="C49" s="20">
        <f t="shared" si="14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5"/>
        <v/>
      </c>
      <c r="G49" s="22" t="str">
        <f t="shared" si="16"/>
        <v/>
      </c>
      <c r="H49" s="26"/>
      <c r="I49" s="18"/>
      <c r="J49" s="24"/>
    </row>
    <row r="50" spans="1:17" ht="13.5" hidden="1" x14ac:dyDescent="0.25">
      <c r="A50" s="19">
        <f t="shared" si="13"/>
        <v>0</v>
      </c>
      <c r="B50" s="25" t="str">
        <f>IFERROR(VLOOKUP(H50,[1]SEMIELABORADOS!$A$2:$M$6000,2,0),"")</f>
        <v/>
      </c>
      <c r="C50" s="20">
        <f t="shared" si="14"/>
        <v>0</v>
      </c>
      <c r="D50" s="21" t="str">
        <f>IFERROR(VLOOKUP(H50,[1]SEMIELABORADOS!$A$2:$M$6000,6,0),"")</f>
        <v/>
      </c>
      <c r="E50" s="21" t="str">
        <f>IFERROR(VLOOKUP(H50,[1]SEMIELABORADOS!$A$2:$M$65536,12,0),"")</f>
        <v/>
      </c>
      <c r="F50" s="21" t="str">
        <f t="shared" si="15"/>
        <v/>
      </c>
      <c r="G50" s="22" t="str">
        <f t="shared" si="16"/>
        <v/>
      </c>
      <c r="H50" s="25"/>
      <c r="I50" s="18"/>
      <c r="J50" s="24"/>
    </row>
    <row r="51" spans="1:17" ht="13.5" x14ac:dyDescent="0.25">
      <c r="A51" s="19">
        <v>1</v>
      </c>
      <c r="B51" s="25" t="s">
        <v>72</v>
      </c>
      <c r="C51" s="20">
        <f>+A51</f>
        <v>1</v>
      </c>
      <c r="D51" s="20" t="s">
        <v>73</v>
      </c>
      <c r="E51" s="21">
        <f>+F65</f>
        <v>61</v>
      </c>
      <c r="F51" s="21">
        <f>IFERROR(C51*E51,"")</f>
        <v>61</v>
      </c>
      <c r="G51" s="22">
        <f>IFERROR(F51/$F$66,"")</f>
        <v>2.9391883330551526E-3</v>
      </c>
      <c r="H51" s="30"/>
      <c r="I51" s="30"/>
      <c r="J51" s="24"/>
    </row>
    <row r="52" spans="1:17" ht="14.25" thickBot="1" x14ac:dyDescent="0.3">
      <c r="A52" s="19"/>
      <c r="B52" s="25"/>
      <c r="C52" s="20"/>
      <c r="D52" s="20"/>
      <c r="E52" s="21"/>
      <c r="F52" s="21"/>
      <c r="G52" s="22"/>
      <c r="H52" s="30"/>
      <c r="I52" s="30"/>
      <c r="J52" s="24"/>
    </row>
    <row r="53" spans="1:17" ht="13.5" thickBot="1" x14ac:dyDescent="0.25">
      <c r="A53" s="31"/>
      <c r="B53" s="146" t="s">
        <v>74</v>
      </c>
      <c r="C53" s="146"/>
      <c r="D53" s="146"/>
      <c r="E53" s="146"/>
      <c r="F53" s="33">
        <f>SUM(F8:F14,F17:F24)</f>
        <v>20250.750905208461</v>
      </c>
      <c r="G53" s="22">
        <f>+F53/$F$66</f>
        <v>0.97575034092122592</v>
      </c>
      <c r="H53" s="34">
        <f>+F53/$D$60</f>
        <v>337.5125150868077</v>
      </c>
      <c r="I53" s="34"/>
      <c r="J53" s="35"/>
      <c r="K53" s="36"/>
      <c r="L53" s="36"/>
      <c r="M53" s="36"/>
      <c r="N53" s="36"/>
      <c r="O53" s="36"/>
      <c r="P53" s="36"/>
      <c r="Q53" s="37"/>
    </row>
    <row r="54" spans="1:17" x14ac:dyDescent="0.2">
      <c r="A54" s="31"/>
      <c r="B54" s="146" t="s">
        <v>75</v>
      </c>
      <c r="C54" s="146"/>
      <c r="D54" s="146"/>
      <c r="E54" s="146"/>
      <c r="F54" s="33">
        <f>SUM(F27:F32,F35:F41)</f>
        <v>37.263110476190477</v>
      </c>
      <c r="G54" s="22">
        <f>+F54/$F$66</f>
        <v>1.7954639272944966E-3</v>
      </c>
      <c r="H54" s="34">
        <f>+F54/$D$60</f>
        <v>0.62105184126984125</v>
      </c>
      <c r="I54" s="34"/>
      <c r="J54" s="38"/>
      <c r="K54" s="147" t="s">
        <v>76</v>
      </c>
      <c r="L54" s="148"/>
      <c r="M54" s="148"/>
      <c r="N54" s="148"/>
      <c r="O54" s="39">
        <f>+F55</f>
        <v>20288.01401568465</v>
      </c>
      <c r="P54" s="39"/>
      <c r="Q54" s="40"/>
    </row>
    <row r="55" spans="1:17" x14ac:dyDescent="0.2">
      <c r="A55" s="31"/>
      <c r="B55" s="146" t="s">
        <v>77</v>
      </c>
      <c r="C55" s="146"/>
      <c r="D55" s="146"/>
      <c r="E55" s="146"/>
      <c r="F55" s="33">
        <f>+F53+F54</f>
        <v>20288.01401568465</v>
      </c>
      <c r="G55" s="22">
        <f>+F55/$F$66</f>
        <v>0.97754580484852038</v>
      </c>
      <c r="H55" s="34">
        <f>+F55/$D$60</f>
        <v>338.13356692807753</v>
      </c>
      <c r="I55" s="34"/>
      <c r="J55" s="41"/>
      <c r="K55" s="42"/>
      <c r="M55" s="43" t="s">
        <v>78</v>
      </c>
      <c r="N55" s="44"/>
      <c r="O55" s="39">
        <f>+H56</f>
        <v>34.1159532743619</v>
      </c>
      <c r="P55" s="39"/>
      <c r="Q55" s="40"/>
    </row>
    <row r="56" spans="1:17" ht="13.5" thickBot="1" x14ac:dyDescent="0.25">
      <c r="A56" s="31"/>
      <c r="B56" s="32"/>
      <c r="C56" s="146" t="s">
        <v>79</v>
      </c>
      <c r="D56" s="146"/>
      <c r="E56" s="146"/>
      <c r="F56" s="33">
        <f>SUM(F44:F51)</f>
        <v>2046.9571964617141</v>
      </c>
      <c r="G56" s="22">
        <f>+F56/$F$66</f>
        <v>9.8629388690222211E-2</v>
      </c>
      <c r="H56" s="34">
        <f>+F56/$D$60</f>
        <v>34.1159532743619</v>
      </c>
      <c r="I56" s="34"/>
      <c r="J56" s="41"/>
      <c r="K56" s="42"/>
      <c r="L56" s="42"/>
      <c r="M56" s="42" t="s">
        <v>80</v>
      </c>
      <c r="N56" s="45"/>
      <c r="O56" s="39">
        <f>O54*N56</f>
        <v>0</v>
      </c>
      <c r="P56" s="39"/>
      <c r="Q56" s="40"/>
    </row>
    <row r="57" spans="1:17" ht="13.5" thickBot="1" x14ac:dyDescent="0.25">
      <c r="A57" s="31"/>
      <c r="B57" s="46"/>
      <c r="C57" s="46"/>
      <c r="D57" s="46"/>
      <c r="E57" s="46"/>
      <c r="F57" s="47"/>
      <c r="G57" s="22"/>
      <c r="H57" s="48"/>
      <c r="I57" s="34"/>
      <c r="J57" s="41"/>
      <c r="K57" s="49"/>
      <c r="M57" s="50" t="s">
        <v>81</v>
      </c>
      <c r="N57" s="51"/>
      <c r="O57" s="52">
        <f>SUM(O54:O56)</f>
        <v>20322.129968959012</v>
      </c>
      <c r="P57" s="53"/>
      <c r="Q57" s="40"/>
    </row>
    <row r="58" spans="1:17" x14ac:dyDescent="0.2">
      <c r="B58" s="149" t="s">
        <v>82</v>
      </c>
      <c r="C58" s="149"/>
      <c r="D58" s="54">
        <v>6900</v>
      </c>
      <c r="E58" s="55"/>
      <c r="G58" s="22"/>
      <c r="H58" s="48">
        <f>+H56/61</f>
        <v>0.559277922530523</v>
      </c>
      <c r="I58" s="56"/>
      <c r="J58" s="41"/>
      <c r="K58" s="49"/>
      <c r="L58" s="42"/>
      <c r="M58" s="42" t="s">
        <v>83</v>
      </c>
      <c r="N58" s="57"/>
      <c r="O58" s="39">
        <f>+H59</f>
        <v>32.438119506770335</v>
      </c>
      <c r="P58" s="39"/>
      <c r="Q58" s="40"/>
    </row>
    <row r="59" spans="1:17" x14ac:dyDescent="0.2">
      <c r="B59" s="149" t="s">
        <v>84</v>
      </c>
      <c r="C59" s="149"/>
      <c r="D59" s="58">
        <v>115</v>
      </c>
      <c r="E59" s="55"/>
      <c r="G59" s="22"/>
      <c r="H59" s="48">
        <f>+H58*58</f>
        <v>32.438119506770335</v>
      </c>
      <c r="I59" s="56"/>
      <c r="J59" s="41"/>
      <c r="K59" s="49"/>
      <c r="L59" s="42"/>
      <c r="M59" s="150" t="s">
        <v>81</v>
      </c>
      <c r="N59" s="150"/>
      <c r="O59" s="39">
        <f>SUM(O57:O58)</f>
        <v>20354.568088465781</v>
      </c>
      <c r="P59" s="39"/>
      <c r="Q59" s="40"/>
    </row>
    <row r="60" spans="1:17" ht="13.5" thickBot="1" x14ac:dyDescent="0.25">
      <c r="B60" s="142" t="s">
        <v>85</v>
      </c>
      <c r="C60" s="142"/>
      <c r="D60" s="54">
        <f>+D58/D59</f>
        <v>60</v>
      </c>
      <c r="E60" s="55"/>
      <c r="F60" s="59"/>
      <c r="G60" s="22"/>
      <c r="H60" s="48"/>
      <c r="I60" s="56"/>
      <c r="J60" s="41"/>
      <c r="K60" s="49"/>
      <c r="L60" s="150"/>
      <c r="M60" s="150"/>
      <c r="N60" s="57"/>
      <c r="O60" s="39">
        <f>+O59*N60</f>
        <v>0</v>
      </c>
      <c r="P60" s="39"/>
      <c r="Q60" s="40"/>
    </row>
    <row r="61" spans="1:17" ht="13.5" thickBot="1" x14ac:dyDescent="0.25">
      <c r="B61" s="142" t="s">
        <v>86</v>
      </c>
      <c r="C61" s="142"/>
      <c r="D61" s="60"/>
      <c r="E61" s="55"/>
      <c r="F61" s="59"/>
      <c r="G61" s="22"/>
      <c r="H61" s="48"/>
      <c r="I61" s="56"/>
      <c r="J61" s="41"/>
      <c r="K61" s="143" t="s">
        <v>87</v>
      </c>
      <c r="L61" s="144"/>
      <c r="M61" s="144"/>
      <c r="N61" s="145"/>
      <c r="O61" s="52">
        <f>SUM(O59:O60)</f>
        <v>20354.568088465781</v>
      </c>
      <c r="P61" s="61" t="s">
        <v>88</v>
      </c>
      <c r="Q61" s="40"/>
    </row>
    <row r="62" spans="1:17" ht="13.5" thickBot="1" x14ac:dyDescent="0.25">
      <c r="C62" s="31" t="s">
        <v>89</v>
      </c>
      <c r="D62" s="62"/>
      <c r="E62" s="5" t="s">
        <v>90</v>
      </c>
      <c r="F62" s="63" t="s">
        <v>91</v>
      </c>
      <c r="G62" s="22"/>
      <c r="H62" s="48"/>
      <c r="I62" s="56"/>
      <c r="J62" s="64"/>
      <c r="K62" s="65"/>
      <c r="L62" s="156" t="s">
        <v>92</v>
      </c>
      <c r="M62" s="156"/>
      <c r="N62" s="156"/>
      <c r="O62" s="66">
        <f>+O61/D60</f>
        <v>339.24280147442971</v>
      </c>
      <c r="P62" s="67">
        <f>+O62/D59</f>
        <v>2.9499374041254756</v>
      </c>
      <c r="Q62" s="68"/>
    </row>
    <row r="63" spans="1:17" ht="13.5" thickBot="1" x14ac:dyDescent="0.25">
      <c r="B63" s="157" t="s">
        <v>77</v>
      </c>
      <c r="C63" s="157"/>
      <c r="D63" s="157"/>
      <c r="E63" s="69">
        <f>+F63/F63</f>
        <v>1</v>
      </c>
      <c r="F63" s="70">
        <f>SUM(F55)</f>
        <v>20288.01401568465</v>
      </c>
      <c r="G63" s="22">
        <f>+F63/$F$66</f>
        <v>0.97754580484852038</v>
      </c>
      <c r="H63" s="48"/>
      <c r="I63" s="56"/>
      <c r="K63" s="158"/>
      <c r="L63" s="159"/>
      <c r="M63" s="159"/>
      <c r="N63" s="159"/>
      <c r="O63" s="71"/>
      <c r="P63" s="72"/>
    </row>
    <row r="64" spans="1:17" ht="13.5" thickBot="1" x14ac:dyDescent="0.25">
      <c r="B64" s="160" t="s">
        <v>93</v>
      </c>
      <c r="C64" s="160"/>
      <c r="D64" s="160"/>
      <c r="E64" s="73">
        <v>0.02</v>
      </c>
      <c r="F64" s="70">
        <f>+F53*E64</f>
        <v>405.0150181041692</v>
      </c>
      <c r="G64" s="22">
        <f>+F64/$F$66</f>
        <v>1.9515006818424517E-2</v>
      </c>
      <c r="H64" s="34"/>
      <c r="I64" s="56"/>
      <c r="J64" s="74"/>
      <c r="O64" s="75"/>
      <c r="P64" s="32"/>
    </row>
    <row r="65" spans="2:13" ht="13.5" thickBot="1" x14ac:dyDescent="0.25">
      <c r="B65" s="161" t="s">
        <v>94</v>
      </c>
      <c r="C65" s="162"/>
      <c r="D65" s="76">
        <v>1</v>
      </c>
      <c r="E65" s="77">
        <v>61</v>
      </c>
      <c r="F65" s="70">
        <f>+E65*D65</f>
        <v>61</v>
      </c>
      <c r="G65" s="22">
        <f>+F65/$F$66</f>
        <v>2.9391883330551526E-3</v>
      </c>
      <c r="H65" s="34"/>
      <c r="I65" s="34"/>
      <c r="J65" s="24"/>
    </row>
    <row r="66" spans="2:13" ht="13.5" thickBot="1" x14ac:dyDescent="0.25">
      <c r="B66" s="163" t="s">
        <v>95</v>
      </c>
      <c r="C66" s="164"/>
      <c r="D66" s="164"/>
      <c r="E66" s="165"/>
      <c r="F66" s="47">
        <f>SUM(F63:F65)</f>
        <v>20754.029033788818</v>
      </c>
      <c r="G66" s="22">
        <f>+F66/$F$66</f>
        <v>1</v>
      </c>
      <c r="H66" s="166"/>
      <c r="I66" s="34"/>
      <c r="J66" s="24"/>
      <c r="M66" s="7" t="s">
        <v>96</v>
      </c>
    </row>
    <row r="67" spans="2:13" x14ac:dyDescent="0.2">
      <c r="C67" s="29"/>
      <c r="D67" s="29"/>
      <c r="E67" s="79"/>
      <c r="F67" s="70"/>
      <c r="G67" s="22"/>
      <c r="H67" s="166"/>
      <c r="I67" s="78"/>
      <c r="J67" s="7"/>
      <c r="M67" s="7" t="s">
        <v>97</v>
      </c>
    </row>
    <row r="68" spans="2:13" ht="13.5" thickBot="1" x14ac:dyDescent="0.25">
      <c r="B68" s="151" t="s">
        <v>98</v>
      </c>
      <c r="C68" s="151"/>
      <c r="D68" s="151"/>
      <c r="E68" s="151"/>
      <c r="F68" s="151"/>
      <c r="G68" s="22"/>
      <c r="H68" s="81"/>
      <c r="I68" s="78"/>
      <c r="J68" s="7"/>
    </row>
    <row r="69" spans="2:13" ht="13.5" thickBot="1" x14ac:dyDescent="0.25">
      <c r="B69" s="82" t="s">
        <v>99</v>
      </c>
      <c r="C69" s="83">
        <f>+F53</f>
        <v>20250.750905208461</v>
      </c>
      <c r="D69" s="83">
        <f>+D58</f>
        <v>6900</v>
      </c>
      <c r="E69" s="84">
        <f>+C69/D69</f>
        <v>2.934891435537458</v>
      </c>
      <c r="F69" s="22"/>
      <c r="G69" s="81"/>
      <c r="H69" s="24"/>
      <c r="I69" s="81"/>
      <c r="J69" s="7"/>
    </row>
    <row r="70" spans="2:13" x14ac:dyDescent="0.2">
      <c r="B70" s="85"/>
      <c r="C70" s="86"/>
      <c r="D70" s="87"/>
      <c r="E70" s="70"/>
      <c r="F70" s="22"/>
      <c r="G70" s="81"/>
      <c r="H70" s="24"/>
      <c r="I70" s="24"/>
      <c r="J70" s="7"/>
    </row>
    <row r="71" spans="2:13" x14ac:dyDescent="0.2">
      <c r="B71" s="82" t="s">
        <v>100</v>
      </c>
      <c r="C71" s="83">
        <f>SUM(F63:F64)</f>
        <v>20693.029033788818</v>
      </c>
      <c r="D71" s="83">
        <f>+D58</f>
        <v>6900</v>
      </c>
      <c r="E71" s="88">
        <f>+C71/D71</f>
        <v>2.9989897150418576</v>
      </c>
      <c r="F71" s="22"/>
      <c r="G71" s="81"/>
      <c r="H71" s="24"/>
      <c r="I71" s="24"/>
      <c r="J71" s="7"/>
    </row>
    <row r="72" spans="2:13" x14ac:dyDescent="0.2">
      <c r="B72" s="82"/>
      <c r="C72" s="83"/>
      <c r="D72" s="83"/>
      <c r="E72" s="88"/>
      <c r="F72" s="22"/>
      <c r="G72" s="81"/>
      <c r="H72" s="24"/>
      <c r="I72" s="24"/>
      <c r="J72" s="7"/>
    </row>
    <row r="73" spans="2:13" ht="13.5" thickBot="1" x14ac:dyDescent="0.25">
      <c r="B73" s="82" t="s">
        <v>101</v>
      </c>
      <c r="C73" s="83">
        <f>+F65</f>
        <v>61</v>
      </c>
      <c r="D73" s="83">
        <f>+D58</f>
        <v>6900</v>
      </c>
      <c r="E73" s="88">
        <f>+C73/D73</f>
        <v>8.8405797101449267E-3</v>
      </c>
      <c r="F73" s="22"/>
      <c r="G73" s="81"/>
      <c r="H73" s="24"/>
      <c r="I73" s="24"/>
      <c r="J73" s="7"/>
    </row>
    <row r="74" spans="2:13" ht="13.5" thickBot="1" x14ac:dyDescent="0.25">
      <c r="B74" s="82" t="s">
        <v>102</v>
      </c>
      <c r="C74" s="83">
        <f>+F56</f>
        <v>2046.9571964617141</v>
      </c>
      <c r="D74" s="83">
        <f>+D73</f>
        <v>6900</v>
      </c>
      <c r="E74" s="84">
        <f>+C74/D74</f>
        <v>0.29666046325532092</v>
      </c>
      <c r="F74" s="22"/>
      <c r="G74" s="81"/>
      <c r="H74" s="24"/>
      <c r="I74" s="24"/>
      <c r="J74" s="7"/>
    </row>
    <row r="75" spans="2:13" ht="13.5" thickBot="1" x14ac:dyDescent="0.25">
      <c r="B75" s="46"/>
      <c r="C75" s="47"/>
      <c r="D75" s="47"/>
      <c r="E75" s="88"/>
      <c r="F75" s="22"/>
      <c r="G75" s="81"/>
      <c r="H75" s="24"/>
      <c r="I75" s="24"/>
      <c r="J75" s="7"/>
    </row>
    <row r="76" spans="2:13" ht="13.5" thickBot="1" x14ac:dyDescent="0.25">
      <c r="B76" s="82" t="s">
        <v>103</v>
      </c>
      <c r="C76" s="83">
        <f>+F54</f>
        <v>37.263110476190477</v>
      </c>
      <c r="D76" s="83">
        <f>+D74</f>
        <v>6900</v>
      </c>
      <c r="E76" s="84">
        <f>+C76/D76</f>
        <v>5.4004507936507937E-3</v>
      </c>
      <c r="F76" s="22"/>
      <c r="G76" s="81"/>
      <c r="H76" s="24"/>
      <c r="I76" s="24"/>
      <c r="J76" s="24"/>
    </row>
    <row r="77" spans="2:13" ht="13.5" thickBot="1" x14ac:dyDescent="0.25">
      <c r="B77" s="46"/>
      <c r="C77" s="47"/>
      <c r="D77" s="47"/>
      <c r="E77" s="88"/>
      <c r="F77" s="22"/>
      <c r="G77" s="81"/>
      <c r="H77" s="24"/>
      <c r="I77" s="24"/>
    </row>
    <row r="78" spans="2:13" ht="13.5" thickBot="1" x14ac:dyDescent="0.25">
      <c r="B78" s="152" t="s">
        <v>104</v>
      </c>
      <c r="C78" s="153"/>
      <c r="D78" s="154"/>
      <c r="E78" s="84">
        <f>+E69+E74</f>
        <v>3.2315518987927789</v>
      </c>
      <c r="G78" s="22"/>
      <c r="H78" s="81"/>
      <c r="I78" s="24"/>
      <c r="J78" s="88"/>
    </row>
    <row r="79" spans="2:13" x14ac:dyDescent="0.2">
      <c r="I79" s="81"/>
      <c r="J79" s="7"/>
    </row>
    <row r="80" spans="2:13" ht="13.5" thickBot="1" x14ac:dyDescent="0.25">
      <c r="B80" s="151" t="s">
        <v>105</v>
      </c>
      <c r="C80" s="151"/>
      <c r="D80" s="151"/>
      <c r="E80" s="151"/>
      <c r="F80" s="151"/>
      <c r="G80" s="22"/>
      <c r="H80" s="81"/>
      <c r="J80" s="7"/>
    </row>
    <row r="81" spans="1:10" ht="13.5" thickBot="1" x14ac:dyDescent="0.25">
      <c r="B81" s="82" t="s">
        <v>99</v>
      </c>
      <c r="C81" s="83">
        <f>+C69</f>
        <v>20250.750905208461</v>
      </c>
      <c r="D81" s="83">
        <f>+D60</f>
        <v>60</v>
      </c>
      <c r="E81" s="84">
        <f>+C81/D81</f>
        <v>337.5125150868077</v>
      </c>
      <c r="F81" s="22"/>
      <c r="G81" s="81"/>
      <c r="H81" s="24"/>
      <c r="I81" s="81"/>
      <c r="J81" s="7"/>
    </row>
    <row r="82" spans="1:10" x14ac:dyDescent="0.2">
      <c r="B82" s="85"/>
      <c r="C82" s="86"/>
      <c r="D82" s="87"/>
      <c r="E82" s="70"/>
      <c r="F82" s="22"/>
      <c r="G82" s="81"/>
      <c r="H82" s="24"/>
      <c r="I82" s="24"/>
      <c r="J82" s="7"/>
    </row>
    <row r="83" spans="1:10" x14ac:dyDescent="0.2">
      <c r="B83" s="82" t="s">
        <v>100</v>
      </c>
      <c r="C83" s="83">
        <f>+C71</f>
        <v>20693.029033788818</v>
      </c>
      <c r="D83" s="83">
        <f>+D60</f>
        <v>60</v>
      </c>
      <c r="E83" s="88">
        <f>+C83/D83</f>
        <v>344.88381722981364</v>
      </c>
      <c r="F83" s="22"/>
      <c r="G83" s="81"/>
      <c r="H83" s="24"/>
      <c r="I83" s="24"/>
      <c r="J83" s="7"/>
    </row>
    <row r="84" spans="1:10" x14ac:dyDescent="0.2">
      <c r="B84" s="82"/>
      <c r="C84" s="83"/>
      <c r="D84" s="83"/>
      <c r="E84" s="88"/>
      <c r="F84" s="22"/>
      <c r="G84" s="81"/>
      <c r="H84" s="24"/>
      <c r="I84" s="24"/>
      <c r="J84" s="7"/>
    </row>
    <row r="85" spans="1:10" ht="13.5" thickBot="1" x14ac:dyDescent="0.25">
      <c r="B85" s="82" t="s">
        <v>102</v>
      </c>
      <c r="C85" s="83">
        <f>+C73</f>
        <v>61</v>
      </c>
      <c r="D85" s="83">
        <f>+D60</f>
        <v>60</v>
      </c>
      <c r="E85" s="88">
        <f>+C85/D85</f>
        <v>1.0166666666666666</v>
      </c>
      <c r="F85" s="90"/>
      <c r="G85" s="80"/>
      <c r="H85" s="6"/>
      <c r="I85" s="24"/>
    </row>
    <row r="86" spans="1:10" ht="13.5" thickBot="1" x14ac:dyDescent="0.25">
      <c r="B86" s="82" t="s">
        <v>102</v>
      </c>
      <c r="C86" s="83">
        <f>+C74</f>
        <v>2046.9571964617141</v>
      </c>
      <c r="D86" s="83">
        <f>+D85</f>
        <v>60</v>
      </c>
      <c r="E86" s="84">
        <f>+C86/D86</f>
        <v>34.1159532743619</v>
      </c>
      <c r="F86" s="89"/>
      <c r="G86" s="80"/>
      <c r="H86" s="6"/>
      <c r="I86" s="6"/>
    </row>
    <row r="87" spans="1:10" x14ac:dyDescent="0.2">
      <c r="I87" s="6"/>
    </row>
    <row r="88" spans="1:10" x14ac:dyDescent="0.2">
      <c r="A88" s="155"/>
      <c r="B88" s="155"/>
      <c r="C88" s="91"/>
      <c r="D88" s="91"/>
      <c r="E88" s="92"/>
      <c r="G88" s="93"/>
    </row>
    <row r="89" spans="1:10" x14ac:dyDescent="0.2">
      <c r="A89" s="25"/>
      <c r="B89" s="94"/>
      <c r="C89" s="95"/>
      <c r="D89" s="95"/>
      <c r="E89" s="96"/>
      <c r="G89" s="93"/>
    </row>
    <row r="90" spans="1:10" x14ac:dyDescent="0.2">
      <c r="A90" s="25"/>
      <c r="B90" s="94"/>
      <c r="C90" s="97"/>
      <c r="D90" s="97"/>
      <c r="E90" s="25"/>
      <c r="G90" s="93"/>
    </row>
    <row r="91" spans="1:10" x14ac:dyDescent="0.2">
      <c r="A91" s="25"/>
      <c r="B91" s="94"/>
      <c r="C91" s="98"/>
      <c r="D91" s="98"/>
      <c r="E91" s="25"/>
      <c r="G91" s="9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54E2-435B-4227-A90A-6A0FE440D040}">
  <dimension ref="A1:Q91"/>
  <sheetViews>
    <sheetView topLeftCell="A6" workbookViewId="0">
      <selection activeCell="O62" sqref="O62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89" bestFit="1" customWidth="1"/>
    <col min="8" max="8" width="10.42578125" style="80" bestFit="1" customWidth="1"/>
    <col min="9" max="9" width="4.5703125" style="80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56</v>
      </c>
      <c r="F1" s="4" t="s">
        <v>57</v>
      </c>
      <c r="G1" s="4" t="s">
        <v>58</v>
      </c>
      <c r="H1" s="4" t="s">
        <v>59</v>
      </c>
      <c r="I1" s="5"/>
    </row>
    <row r="2" spans="1:10" ht="30.75" customHeight="1" x14ac:dyDescent="0.2">
      <c r="A2" s="2"/>
      <c r="B2" s="2"/>
      <c r="C2" s="2"/>
      <c r="D2" s="2"/>
      <c r="E2" s="8">
        <f>IFERROR(O62,"")</f>
        <v>402.21708512336056</v>
      </c>
      <c r="F2" s="8">
        <f>IFERROR(H53,"")</f>
        <v>337.5125150868077</v>
      </c>
      <c r="G2" s="8">
        <f>IFERROR(H54,"")</f>
        <v>33.191051841269839</v>
      </c>
      <c r="H2" s="8">
        <f>IFERROR(H56,"")</f>
        <v>64.6159532743619</v>
      </c>
      <c r="I2" s="9"/>
    </row>
    <row r="3" spans="1:10" ht="15" customHeight="1" x14ac:dyDescent="0.2">
      <c r="A3" s="2"/>
      <c r="B3" s="2"/>
      <c r="C3" s="2"/>
      <c r="D3" s="2"/>
      <c r="E3" s="2"/>
      <c r="F3" s="10"/>
      <c r="G3" s="10"/>
      <c r="H3" s="10"/>
      <c r="I3" s="10"/>
    </row>
    <row r="4" spans="1:10" ht="24.75" customHeight="1" thickBot="1" x14ac:dyDescent="0.25">
      <c r="A4" s="137"/>
      <c r="B4" s="137"/>
      <c r="C4" s="137"/>
      <c r="D4" s="137"/>
      <c r="E4" s="137"/>
      <c r="F4" s="137"/>
      <c r="G4" s="137"/>
      <c r="H4" s="137"/>
      <c r="I4" s="11"/>
    </row>
    <row r="5" spans="1:10" ht="19.5" customHeight="1" thickBot="1" x14ac:dyDescent="0.25">
      <c r="A5" s="138" t="s">
        <v>60</v>
      </c>
      <c r="B5" s="139"/>
      <c r="C5" s="139"/>
      <c r="D5" s="139"/>
      <c r="E5" s="139"/>
      <c r="F5" s="139"/>
      <c r="G5" s="139"/>
      <c r="H5" s="140"/>
      <c r="I5" s="12"/>
    </row>
    <row r="6" spans="1:10" ht="19.5" thickBot="1" x14ac:dyDescent="0.25">
      <c r="A6" s="12"/>
      <c r="B6" s="12"/>
      <c r="C6" s="12"/>
      <c r="D6" s="12"/>
      <c r="E6" s="12"/>
      <c r="F6" s="141" t="s">
        <v>61</v>
      </c>
      <c r="G6" s="141"/>
      <c r="H6" s="13">
        <f ca="1">TODAY()</f>
        <v>46078</v>
      </c>
      <c r="I6" s="13"/>
    </row>
    <row r="7" spans="1:10" ht="26.25" hidden="1" thickBot="1" x14ac:dyDescent="0.25">
      <c r="A7" s="14" t="s">
        <v>62</v>
      </c>
      <c r="B7" s="15" t="s">
        <v>63</v>
      </c>
      <c r="C7" s="15" t="s">
        <v>62</v>
      </c>
      <c r="D7" s="16" t="s">
        <v>64</v>
      </c>
      <c r="E7" s="16" t="s">
        <v>65</v>
      </c>
      <c r="F7" s="16" t="s">
        <v>66</v>
      </c>
      <c r="G7" s="16" t="s">
        <v>67</v>
      </c>
      <c r="H7" s="17" t="s">
        <v>68</v>
      </c>
      <c r="I7" s="18"/>
    </row>
    <row r="8" spans="1:10" ht="13.5" hidden="1" x14ac:dyDescent="0.25">
      <c r="A8" s="19"/>
      <c r="B8" s="7" t="str">
        <f>IFERROR(VLOOKUP(H8,'[1]Consolidado MP Planta'!$A$2:$M$823,3,0),"")</f>
        <v/>
      </c>
      <c r="C8" s="20">
        <f>+A8</f>
        <v>0</v>
      </c>
      <c r="D8" s="21" t="str">
        <f>IFERROR(VLOOKUP(H8,'[1]Consolidado MP Planta'!$A$2:$M$823,13,0),"")</f>
        <v/>
      </c>
      <c r="E8" s="21" t="str">
        <f>IFERROR(VLOOKUP(H8,'[1]Consolidado MP Planta'!$A$2:$M$823,12,0),"")</f>
        <v/>
      </c>
      <c r="F8" s="21" t="str">
        <f>IFERROR(C8*E8,"")</f>
        <v/>
      </c>
      <c r="G8" s="22" t="str">
        <f t="shared" ref="G8:G14" si="0">IFERROR(F8/$F$66,"")</f>
        <v/>
      </c>
      <c r="H8" s="23"/>
      <c r="I8" s="23"/>
      <c r="J8" s="24"/>
    </row>
    <row r="9" spans="1:10" ht="13.5" hidden="1" x14ac:dyDescent="0.25">
      <c r="A9" s="19"/>
      <c r="B9" s="7" t="str">
        <f>IFERROR(VLOOKUP(H9,'[1]Consolidado MP Planta'!$A$2:$M$823,3,0),"")</f>
        <v/>
      </c>
      <c r="C9" s="20">
        <f t="shared" ref="C9:C14" si="1">+A9</f>
        <v>0</v>
      </c>
      <c r="D9" s="21" t="str">
        <f>IFERROR(VLOOKUP(H9,'[1]Consolidado MP Planta'!$A$2:$M$823,13,0),"")</f>
        <v/>
      </c>
      <c r="E9" s="21" t="str">
        <f>IFERROR(VLOOKUP(H9,'[1]Consolidado MP Planta'!$A$2:$M$823,12,0),"")</f>
        <v/>
      </c>
      <c r="F9" s="21" t="str">
        <f t="shared" ref="F9:F14" si="2">IFERROR(C9*E9,"")</f>
        <v/>
      </c>
      <c r="G9" s="22" t="str">
        <f t="shared" si="0"/>
        <v/>
      </c>
      <c r="H9" s="23"/>
      <c r="I9" s="23"/>
      <c r="J9" s="24"/>
    </row>
    <row r="10" spans="1:10" ht="13.5" hidden="1" x14ac:dyDescent="0.25">
      <c r="A10" s="19"/>
      <c r="B10" s="7" t="str">
        <f>IFERROR(VLOOKUP(H10,'[1]Consolidado MP Planta'!$A$2:$M$823,3,0),"")</f>
        <v/>
      </c>
      <c r="C10" s="20">
        <f t="shared" si="1"/>
        <v>0</v>
      </c>
      <c r="D10" s="21" t="str">
        <f>IFERROR(VLOOKUP(H10,'[1]Consolidado MP Planta'!$A$2:$M$823,13,0),"")</f>
        <v/>
      </c>
      <c r="E10" s="21" t="str">
        <f>IFERROR(VLOOKUP(H10,'[1]Consolidado MP Planta'!$A$2:$M$823,12,0),"")</f>
        <v/>
      </c>
      <c r="F10" s="21" t="str">
        <f t="shared" si="2"/>
        <v/>
      </c>
      <c r="G10" s="22" t="str">
        <f t="shared" si="0"/>
        <v/>
      </c>
      <c r="H10" s="23"/>
      <c r="I10" s="23"/>
      <c r="J10" s="24"/>
    </row>
    <row r="11" spans="1:10" ht="13.5" hidden="1" x14ac:dyDescent="0.25">
      <c r="A11" s="19"/>
      <c r="B11" s="7" t="str">
        <f>IFERROR(VLOOKUP(H11,'[1]Consolidado MP Planta'!$A$2:$M$823,3,0),"")</f>
        <v/>
      </c>
      <c r="C11" s="20">
        <f t="shared" si="1"/>
        <v>0</v>
      </c>
      <c r="D11" s="21" t="str">
        <f>IFERROR(VLOOKUP(H11,'[1]Consolidado MP Planta'!$A$2:$M$823,13,0),"")</f>
        <v/>
      </c>
      <c r="E11" s="21" t="str">
        <f>IFERROR(VLOOKUP(H11,'[1]Consolidado MP Planta'!$A$2:$M$823,12,0),"")</f>
        <v/>
      </c>
      <c r="F11" s="21" t="str">
        <f t="shared" si="2"/>
        <v/>
      </c>
      <c r="G11" s="22" t="str">
        <f t="shared" si="0"/>
        <v/>
      </c>
      <c r="H11" s="23"/>
      <c r="I11" s="23"/>
      <c r="J11" s="24"/>
    </row>
    <row r="12" spans="1:10" ht="13.5" hidden="1" x14ac:dyDescent="0.25">
      <c r="A12" s="19"/>
      <c r="B12" s="7" t="str">
        <f>IFERROR(VLOOKUP(H12,'[1]Consolidado MP Planta'!$A$2:$M$823,3,0),"")</f>
        <v/>
      </c>
      <c r="C12" s="20">
        <f t="shared" si="1"/>
        <v>0</v>
      </c>
      <c r="D12" s="21" t="str">
        <f>IFERROR(VLOOKUP(H12,'[1]Consolidado MP Planta'!$A$2:$M$823,13,0),"")</f>
        <v/>
      </c>
      <c r="E12" s="21" t="str">
        <f>IFERROR(VLOOKUP(H12,'[1]Consolidado MP Planta'!$A$2:$M$823,12,0),"")</f>
        <v/>
      </c>
      <c r="F12" s="21" t="str">
        <f t="shared" si="2"/>
        <v/>
      </c>
      <c r="G12" s="22" t="str">
        <f t="shared" si="0"/>
        <v/>
      </c>
      <c r="H12" s="23"/>
      <c r="I12" s="23"/>
      <c r="J12" s="24"/>
    </row>
    <row r="13" spans="1:10" ht="13.5" hidden="1" x14ac:dyDescent="0.25">
      <c r="A13" s="19"/>
      <c r="B13" s="7" t="str">
        <f>IFERROR(VLOOKUP(H13,'[1]Consolidado MP Planta'!$A$2:$M$823,3,0),"")</f>
        <v/>
      </c>
      <c r="C13" s="20">
        <f t="shared" si="1"/>
        <v>0</v>
      </c>
      <c r="D13" s="21" t="str">
        <f>IFERROR(VLOOKUP(H13,'[1]Consolidado MP Planta'!$A$2:$M$823,13,0),"")</f>
        <v/>
      </c>
      <c r="E13" s="21" t="str">
        <f>IFERROR(VLOOKUP(H13,'[1]Consolidado MP Planta'!$A$2:$M$823,12,0),"")</f>
        <v/>
      </c>
      <c r="F13" s="21" t="str">
        <f t="shared" si="2"/>
        <v/>
      </c>
      <c r="G13" s="22" t="str">
        <f t="shared" si="0"/>
        <v/>
      </c>
      <c r="H13" s="23"/>
      <c r="I13" s="23"/>
      <c r="J13" s="24"/>
    </row>
    <row r="14" spans="1:10" ht="13.5" hidden="1" x14ac:dyDescent="0.25">
      <c r="A14" s="19"/>
      <c r="B14" s="7" t="str">
        <f>IFERROR(VLOOKUP(H14,'[1]Consolidado MP Planta'!$A$2:$M$823,3,0),"")</f>
        <v/>
      </c>
      <c r="C14" s="20">
        <f t="shared" si="1"/>
        <v>0</v>
      </c>
      <c r="D14" s="21" t="str">
        <f>IFERROR(VLOOKUP(H14,'[1]Consolidado MP Planta'!$A$2:$M$823,13,0),"")</f>
        <v/>
      </c>
      <c r="E14" s="21" t="str">
        <f>IFERROR(VLOOKUP(H14,'[1]Consolidado MP Planta'!$A$2:$M$823,12,0),"")</f>
        <v/>
      </c>
      <c r="F14" s="21" t="str">
        <f t="shared" si="2"/>
        <v/>
      </c>
      <c r="G14" s="22" t="str">
        <f t="shared" si="0"/>
        <v/>
      </c>
      <c r="H14" s="23"/>
      <c r="I14" s="23"/>
      <c r="J14" s="24"/>
    </row>
    <row r="15" spans="1:10" ht="14.25" hidden="1" thickBot="1" x14ac:dyDescent="0.3">
      <c r="A15" s="19"/>
      <c r="B15" s="7" t="str">
        <f>IFERROR(VLOOKUP(H15,'[2]ARTICULOS MP PLANTA'!$A$2:$G$589,2,0),"")</f>
        <v/>
      </c>
      <c r="C15" s="20"/>
      <c r="D15" s="21"/>
      <c r="E15" s="21"/>
      <c r="F15" s="21"/>
      <c r="G15" s="22"/>
      <c r="H15" s="23"/>
      <c r="I15" s="23"/>
      <c r="J15" s="24"/>
    </row>
    <row r="16" spans="1:10" ht="26.25" thickBot="1" x14ac:dyDescent="0.25">
      <c r="A16" s="14" t="s">
        <v>62</v>
      </c>
      <c r="B16" s="15" t="s">
        <v>69</v>
      </c>
      <c r="C16" s="15" t="s">
        <v>62</v>
      </c>
      <c r="D16" s="16" t="s">
        <v>64</v>
      </c>
      <c r="E16" s="16" t="s">
        <v>65</v>
      </c>
      <c r="F16" s="16" t="s">
        <v>66</v>
      </c>
      <c r="G16" s="16" t="s">
        <v>67</v>
      </c>
      <c r="H16" s="17" t="s">
        <v>68</v>
      </c>
      <c r="I16" s="18"/>
      <c r="J16" s="24"/>
    </row>
    <row r="17" spans="1:12" ht="13.5" x14ac:dyDescent="0.25">
      <c r="A17" s="19">
        <v>4</v>
      </c>
      <c r="B17" s="7" t="s">
        <v>55</v>
      </c>
      <c r="C17" s="20">
        <f>+A17</f>
        <v>4</v>
      </c>
      <c r="D17" s="20" t="s">
        <v>116</v>
      </c>
      <c r="E17" s="21">
        <f>+'costo Empanada '!H53</f>
        <v>337.5125150868077</v>
      </c>
      <c r="F17" s="21">
        <f>IFERROR(E17*C17,"")</f>
        <v>1350.0500603472308</v>
      </c>
      <c r="G17" s="22">
        <f t="shared" ref="G17:G24" si="3">IFERROR(F17/$F$66,"")</f>
        <v>0.82733020462626505</v>
      </c>
      <c r="H17" s="23"/>
      <c r="I17" s="23"/>
      <c r="J17" s="24"/>
    </row>
    <row r="18" spans="1:12" ht="13.5" hidden="1" x14ac:dyDescent="0.25">
      <c r="A18" s="19"/>
      <c r="B18" s="7" t="str">
        <f>IFERROR(VLOOKUP(H18,[1]SEMIELABORADOS!$A$2:$M$6000,2,0),"")</f>
        <v/>
      </c>
      <c r="C18" s="20">
        <f t="shared" ref="C18:C24" si="4">+A18</f>
        <v>0</v>
      </c>
      <c r="D18" s="20" t="str">
        <f>IFERROR(VLOOKUP(H18,[1]SEMIELABORADOS!$A$2:$M$6000,6,0),"")</f>
        <v/>
      </c>
      <c r="E18" s="21" t="str">
        <f>IFERROR(VLOOKUP(H18,[1]SEMIELABORADOS!$A$2:$H$65536,8,0),"")</f>
        <v/>
      </c>
      <c r="F18" s="21" t="str">
        <f t="shared" ref="F18:F24" si="5">IFERROR(E18*C18,"")</f>
        <v/>
      </c>
      <c r="G18" s="22" t="str">
        <f t="shared" si="3"/>
        <v/>
      </c>
      <c r="H18" s="23"/>
      <c r="I18" s="23"/>
      <c r="J18" s="24"/>
    </row>
    <row r="19" spans="1:12" ht="13.5" hidden="1" x14ac:dyDescent="0.25">
      <c r="A19" s="19"/>
      <c r="B19" s="7" t="str">
        <f>IFERROR(VLOOKUP(H19,[1]SEMIELABORADOS!$A$2:$M$6000,2,0),"")</f>
        <v/>
      </c>
      <c r="C19" s="20">
        <f>+A19</f>
        <v>0</v>
      </c>
      <c r="D19" s="20" t="str">
        <f>IFERROR(VLOOKUP(H19,[1]SEMIELABORADOS!$A$2:$M$6000,6,0),"")</f>
        <v/>
      </c>
      <c r="E19" s="21" t="str">
        <f>IFERROR(VLOOKUP(H19,[1]SEMIELABORADOS!$A$2:$H$65536,8,0),"")</f>
        <v/>
      </c>
      <c r="F19" s="21" t="str">
        <f>IFERROR(E19*C19,"")</f>
        <v/>
      </c>
      <c r="G19" s="22" t="str">
        <f t="shared" si="3"/>
        <v/>
      </c>
      <c r="H19" s="23"/>
      <c r="I19" s="23"/>
      <c r="J19" s="24"/>
    </row>
    <row r="20" spans="1:12" ht="13.5" hidden="1" x14ac:dyDescent="0.25">
      <c r="A20" s="19"/>
      <c r="B20" s="7" t="str">
        <f>IFERROR(VLOOKUP(H20,[1]SEMIELABORADOS!$A$2:$M$6000,2,0),"")</f>
        <v/>
      </c>
      <c r="C20" s="20">
        <f>+A20</f>
        <v>0</v>
      </c>
      <c r="D20" s="20" t="str">
        <f>IFERROR(VLOOKUP(H20,[1]SEMIELABORADOS!$A$2:$M$6000,6,0),"")</f>
        <v/>
      </c>
      <c r="E20" s="21" t="str">
        <f>IFERROR(VLOOKUP(H20,[1]SEMIELABORADOS!$A$2:$H$65536,8,0),"")</f>
        <v/>
      </c>
      <c r="F20" s="21" t="str">
        <f>IFERROR(E20*C20,"")</f>
        <v/>
      </c>
      <c r="G20" s="22" t="str">
        <f t="shared" si="3"/>
        <v/>
      </c>
      <c r="H20" s="23"/>
      <c r="I20" s="23"/>
      <c r="J20" s="24"/>
    </row>
    <row r="21" spans="1:12" ht="13.5" hidden="1" x14ac:dyDescent="0.25">
      <c r="A21" s="19"/>
      <c r="B21" s="7" t="str">
        <f>IFERROR(VLOOKUP(H21,[1]SEMIELABORADOS!$A$2:$M$6000,2,0),"")</f>
        <v/>
      </c>
      <c r="C21" s="20">
        <f>+A21</f>
        <v>0</v>
      </c>
      <c r="D21" s="20" t="str">
        <f>IFERROR(VLOOKUP(H21,[1]SEMIELABORADOS!$A$2:$M$6000,6,0),"")</f>
        <v/>
      </c>
      <c r="E21" s="21" t="str">
        <f>IFERROR(VLOOKUP(H21,[1]SEMIELABORADOS!$A$2:$H$65536,8,0),"")</f>
        <v/>
      </c>
      <c r="F21" s="21" t="str">
        <f>IFERROR(E21*C21,"")</f>
        <v/>
      </c>
      <c r="G21" s="22" t="str">
        <f t="shared" si="3"/>
        <v/>
      </c>
      <c r="H21" s="23"/>
      <c r="I21" s="23"/>
      <c r="J21" s="24"/>
    </row>
    <row r="22" spans="1:12" ht="13.5" hidden="1" x14ac:dyDescent="0.25">
      <c r="A22" s="19"/>
      <c r="B22" s="7" t="str">
        <f>IFERROR(VLOOKUP(H22,[1]SEMIELABORADOS!$A$2:$M$6000,2,0),"")</f>
        <v/>
      </c>
      <c r="C22" s="20">
        <f t="shared" si="4"/>
        <v>0</v>
      </c>
      <c r="D22" s="20" t="str">
        <f>IFERROR(VLOOKUP(H22,[1]SEMIELABORADOS!$A$2:$M$6000,6,0),"")</f>
        <v/>
      </c>
      <c r="E22" s="21" t="str">
        <f>IFERROR(VLOOKUP(H22,[1]SEMIELABORADOS!$A$2:$H$65536,8,0),"")</f>
        <v/>
      </c>
      <c r="F22" s="21" t="str">
        <f t="shared" si="5"/>
        <v/>
      </c>
      <c r="G22" s="22" t="str">
        <f t="shared" si="3"/>
        <v/>
      </c>
      <c r="H22" s="23"/>
      <c r="I22" s="23"/>
      <c r="J22" s="24"/>
    </row>
    <row r="23" spans="1:12" ht="13.5" hidden="1" x14ac:dyDescent="0.25">
      <c r="A23" s="19"/>
      <c r="B23" s="7" t="str">
        <f>IFERROR(VLOOKUP(H23,[1]SEMIELABORADOS!$A$2:$M$6000,2,0),"")</f>
        <v/>
      </c>
      <c r="C23" s="20">
        <f t="shared" si="4"/>
        <v>0</v>
      </c>
      <c r="D23" s="20" t="str">
        <f>IFERROR(VLOOKUP(H23,[1]SEMIELABORADOS!$A$2:$M$6000,6,0),"")</f>
        <v/>
      </c>
      <c r="E23" s="21" t="str">
        <f>IFERROR(VLOOKUP(H23,[1]SEMIELABORADOS!$A$2:$H$65536,8,0),"")</f>
        <v/>
      </c>
      <c r="F23" s="21" t="str">
        <f t="shared" si="5"/>
        <v/>
      </c>
      <c r="G23" s="22" t="str">
        <f t="shared" si="3"/>
        <v/>
      </c>
      <c r="H23" s="23"/>
      <c r="I23" s="23"/>
      <c r="J23" s="24"/>
    </row>
    <row r="24" spans="1:12" ht="13.5" hidden="1" x14ac:dyDescent="0.25">
      <c r="A24" s="19"/>
      <c r="B24" s="7" t="str">
        <f>IFERROR(VLOOKUP(H24,[1]SEMIELABORADOS!$A$2:$M$6000,2,0),"")</f>
        <v/>
      </c>
      <c r="C24" s="20">
        <f t="shared" si="4"/>
        <v>0</v>
      </c>
      <c r="D24" s="20" t="str">
        <f>IFERROR(VLOOKUP(H24,[1]SEMIELABORADOS!$A$2:$M$6000,6,0),"")</f>
        <v/>
      </c>
      <c r="E24" s="21" t="str">
        <f>IFERROR(VLOOKUP(H24,[1]SEMIELABORADOS!$A$2:$H$65536,8,0),"")</f>
        <v/>
      </c>
      <c r="F24" s="21" t="str">
        <f t="shared" si="5"/>
        <v/>
      </c>
      <c r="G24" s="22" t="str">
        <f t="shared" si="3"/>
        <v/>
      </c>
      <c r="H24" s="23"/>
      <c r="I24" s="23"/>
      <c r="J24" s="24"/>
    </row>
    <row r="25" spans="1:12" ht="14.25" thickBot="1" x14ac:dyDescent="0.3">
      <c r="A25" s="19"/>
      <c r="C25" s="20"/>
      <c r="D25" s="20"/>
      <c r="E25" s="21"/>
      <c r="F25" s="21"/>
      <c r="G25" s="22"/>
      <c r="H25" s="23"/>
      <c r="I25" s="23"/>
      <c r="J25" s="24"/>
    </row>
    <row r="26" spans="1:12" ht="26.25" thickBot="1" x14ac:dyDescent="0.25">
      <c r="A26" s="14" t="s">
        <v>62</v>
      </c>
      <c r="B26" s="15" t="s">
        <v>30</v>
      </c>
      <c r="C26" s="15" t="s">
        <v>62</v>
      </c>
      <c r="D26" s="16" t="s">
        <v>64</v>
      </c>
      <c r="E26" s="16" t="s">
        <v>65</v>
      </c>
      <c r="F26" s="16" t="s">
        <v>66</v>
      </c>
      <c r="G26" s="16" t="s">
        <v>67</v>
      </c>
      <c r="H26" s="17" t="s">
        <v>68</v>
      </c>
      <c r="I26" s="18"/>
    </row>
    <row r="27" spans="1:12" ht="13.5" x14ac:dyDescent="0.25">
      <c r="A27" s="19">
        <v>2</v>
      </c>
      <c r="B27" s="25" t="str">
        <f>IFERROR(VLOOKUP(H27,'[1]Consolidado MP Planta'!$A$2:$M$823,3,0),"")</f>
        <v>CAJA BLANCA MEDIANA (PAQ:100 UND)</v>
      </c>
      <c r="C27" s="20">
        <f t="shared" ref="C27:C32" si="6">+A27</f>
        <v>2</v>
      </c>
      <c r="D27" s="21" t="str">
        <f>IFERROR(VLOOKUP(H27,'[1]Consolidado MP Planta'!$A$2:$M$823,13,0),"")</f>
        <v>Und</v>
      </c>
      <c r="E27" s="21">
        <v>49.75</v>
      </c>
      <c r="F27" s="21">
        <f t="shared" ref="F27:F32" si="7">IFERROR(C27*E27,"")</f>
        <v>99.5</v>
      </c>
      <c r="G27" s="22">
        <f t="shared" ref="G27:G32" si="8">IFERROR(F27/$F$66,"")</f>
        <v>6.0975039206428362E-2</v>
      </c>
      <c r="H27" s="26" t="s">
        <v>118</v>
      </c>
      <c r="I27" s="26"/>
      <c r="J27" s="24"/>
      <c r="K27" s="136"/>
      <c r="L27" s="136"/>
    </row>
    <row r="28" spans="1:12" ht="13.5" x14ac:dyDescent="0.25">
      <c r="A28" s="19">
        <v>1</v>
      </c>
      <c r="B28" s="25" t="str">
        <f>IFERROR(VLOOKUP(H28,'[1]Consolidado MP Planta'!$A$2:$M$823,3,0),"")</f>
        <v>PAPEL ENCERADO 10X10 (CAJA)</v>
      </c>
      <c r="C28" s="20">
        <f t="shared" si="6"/>
        <v>1</v>
      </c>
      <c r="D28" s="21" t="str">
        <f>IFERROR(VLOOKUP(H28,'[1]Consolidado MP Planta'!$A$2:$M$823,13,0),"")</f>
        <v>Und</v>
      </c>
      <c r="E28" s="21">
        <v>14.2</v>
      </c>
      <c r="F28" s="21">
        <f t="shared" si="7"/>
        <v>14.2</v>
      </c>
      <c r="G28" s="22">
        <f t="shared" si="8"/>
        <v>8.7019653942842484E-3</v>
      </c>
      <c r="H28" s="26" t="s">
        <v>119</v>
      </c>
      <c r="I28" s="26"/>
      <c r="J28" s="24"/>
      <c r="K28" s="136"/>
      <c r="L28" s="136"/>
    </row>
    <row r="29" spans="1:12" ht="13.5" x14ac:dyDescent="0.25">
      <c r="A29" s="19">
        <v>1</v>
      </c>
      <c r="B29" s="25" t="str">
        <f>IFERROR(VLOOKUP(H29,'[1]Consolidado MP Planta'!$A$2:$M$823,3,0),"")</f>
        <v>ETIQ.BLANCA 1 1/4 * 3/4 (UND)</v>
      </c>
      <c r="C29" s="20">
        <f t="shared" si="6"/>
        <v>1</v>
      </c>
      <c r="D29" s="21" t="str">
        <f>IFERROR(VLOOKUP(H29,'[1]Consolidado MP Planta'!$A$2:$M$823,13,0),"")</f>
        <v>Und</v>
      </c>
      <c r="E29" s="21">
        <f>IFERROR(VLOOKUP(H29,'[1]Consolidado MP Planta'!$A$2:$M$823,12,0),"")</f>
        <v>0.57999999999999996</v>
      </c>
      <c r="F29" s="21">
        <f t="shared" si="7"/>
        <v>0.57999999999999996</v>
      </c>
      <c r="G29" s="22">
        <f t="shared" si="8"/>
        <v>3.554323893440045E-4</v>
      </c>
      <c r="H29" s="26" t="s">
        <v>121</v>
      </c>
      <c r="I29" s="26"/>
      <c r="J29" s="24"/>
      <c r="K29" s="136"/>
      <c r="L29" s="136"/>
    </row>
    <row r="30" spans="1:12" ht="13.5" x14ac:dyDescent="0.25">
      <c r="A30" s="19">
        <v>1</v>
      </c>
      <c r="B30" s="25" t="str">
        <f>IFERROR(VLOOKUP(H30,'[1]Consolidado MP Planta'!$A$2:$M$823,3,0),"")</f>
        <v>BOLSA 12x18 TRANSP KILO</v>
      </c>
      <c r="C30" s="20">
        <f t="shared" si="6"/>
        <v>1</v>
      </c>
      <c r="D30" s="21" t="str">
        <f>IFERROR(VLOOKUP(H30,'[1]Consolidado MP Planta'!$A$2:$M$823,13,0),"")</f>
        <v>Und</v>
      </c>
      <c r="E30" s="21">
        <f>IFERROR(VLOOKUP(H30,'[1]Consolidado MP Planta'!$A$2:$M$823,12,0),"")</f>
        <v>16</v>
      </c>
      <c r="F30" s="21">
        <f t="shared" si="7"/>
        <v>16</v>
      </c>
      <c r="G30" s="22">
        <f t="shared" si="8"/>
        <v>9.8050314301794343E-3</v>
      </c>
      <c r="H30" s="26" t="s">
        <v>120</v>
      </c>
      <c r="I30" s="26"/>
      <c r="J30" s="24"/>
      <c r="K30" s="136"/>
      <c r="L30" s="136"/>
    </row>
    <row r="31" spans="1:12" ht="13.5" hidden="1" x14ac:dyDescent="0.25">
      <c r="A31" s="19"/>
      <c r="B31" s="25" t="str">
        <f>IFERROR(VLOOKUP(H31,'[1]Consolidado MP Planta'!$A$2:$M$823,3,0),"")</f>
        <v/>
      </c>
      <c r="C31" s="20">
        <f t="shared" si="6"/>
        <v>0</v>
      </c>
      <c r="D31" s="21" t="str">
        <f>IFERROR(VLOOKUP(H31,'[1]Consolidado MP Planta'!$A$2:$M$823,13,0),"")</f>
        <v/>
      </c>
      <c r="E31" s="21" t="str">
        <f>IFERROR(VLOOKUP(H31,'[1]Consolidado MP Planta'!$A$2:$M$823,12,0),"")</f>
        <v/>
      </c>
      <c r="F31" s="21" t="str">
        <f t="shared" si="7"/>
        <v/>
      </c>
      <c r="G31" s="22" t="str">
        <f t="shared" si="8"/>
        <v/>
      </c>
      <c r="H31" s="26"/>
      <c r="I31" s="26"/>
      <c r="J31" s="24"/>
      <c r="K31" s="27"/>
      <c r="L31" s="28"/>
    </row>
    <row r="32" spans="1:12" ht="13.5" hidden="1" x14ac:dyDescent="0.25">
      <c r="A32" s="19"/>
      <c r="B32" s="25" t="str">
        <f>IFERROR(VLOOKUP(H32,'[1]Consolidado MP Planta'!$A$2:$M$823,3,0),"")</f>
        <v/>
      </c>
      <c r="C32" s="20">
        <f t="shared" si="6"/>
        <v>0</v>
      </c>
      <c r="D32" s="21" t="str">
        <f>IFERROR(VLOOKUP(H32,'[1]Consolidado MP Planta'!$A$2:$M$823,13,0),"")</f>
        <v/>
      </c>
      <c r="E32" s="21" t="str">
        <f>IFERROR(VLOOKUP(H32,'[1]Consolidado MP Planta'!$A$2:$M$823,12,0),"")</f>
        <v/>
      </c>
      <c r="F32" s="21" t="str">
        <f t="shared" si="7"/>
        <v/>
      </c>
      <c r="G32" s="22" t="str">
        <f t="shared" si="8"/>
        <v/>
      </c>
      <c r="H32" s="26"/>
      <c r="I32" s="26"/>
      <c r="J32" s="24"/>
    </row>
    <row r="33" spans="1:13" ht="14.25" thickBot="1" x14ac:dyDescent="0.3">
      <c r="A33" s="19"/>
      <c r="B33" s="25"/>
      <c r="C33" s="20"/>
      <c r="D33" s="21"/>
      <c r="E33" s="21"/>
      <c r="F33" s="21"/>
      <c r="G33" s="22"/>
      <c r="H33" s="26"/>
      <c r="I33" s="26"/>
      <c r="J33" s="24"/>
    </row>
    <row r="34" spans="1:13" ht="26.25" thickBot="1" x14ac:dyDescent="0.25">
      <c r="A34" s="14" t="s">
        <v>62</v>
      </c>
      <c r="B34" s="15" t="s">
        <v>70</v>
      </c>
      <c r="C34" s="15" t="s">
        <v>62</v>
      </c>
      <c r="D34" s="16" t="s">
        <v>64</v>
      </c>
      <c r="E34" s="16" t="s">
        <v>65</v>
      </c>
      <c r="F34" s="16" t="s">
        <v>66</v>
      </c>
      <c r="G34" s="16" t="s">
        <v>67</v>
      </c>
      <c r="H34" s="17" t="s">
        <v>68</v>
      </c>
      <c r="I34" s="26"/>
      <c r="J34" s="24"/>
    </row>
    <row r="35" spans="1:13" ht="13.5" x14ac:dyDescent="0.25">
      <c r="A35" s="19">
        <f>+A17</f>
        <v>4</v>
      </c>
      <c r="B35" s="25" t="s">
        <v>55</v>
      </c>
      <c r="C35" s="20">
        <f>+A35</f>
        <v>4</v>
      </c>
      <c r="D35" s="21" t="s">
        <v>117</v>
      </c>
      <c r="E35" s="21">
        <f>+'costo Empanada '!H54</f>
        <v>0.62105184126984125</v>
      </c>
      <c r="F35" s="21">
        <f>IFERROR(E35*C35,"")</f>
        <v>2.484207365079365</v>
      </c>
      <c r="G35" s="22">
        <f t="shared" ref="G35:G41" si="9">IFERROR(F35/$F$66,"")</f>
        <v>1.5223582058554008E-3</v>
      </c>
      <c r="H35" s="26"/>
      <c r="I35" s="26"/>
      <c r="J35" s="24"/>
    </row>
    <row r="36" spans="1:13" ht="13.5" hidden="1" x14ac:dyDescent="0.25">
      <c r="A36" s="19">
        <f t="shared" ref="A36:A41" si="10">+A18</f>
        <v>0</v>
      </c>
      <c r="B36" s="25" t="str">
        <f>IFERROR(VLOOKUP(H36,[1]SEMIELABORADOS!$A$2:$M$6000,2,0),"")</f>
        <v/>
      </c>
      <c r="C36" s="20">
        <f t="shared" ref="C36:C41" si="11">+A36</f>
        <v>0</v>
      </c>
      <c r="D36" s="21" t="str">
        <f>IFERROR(VLOOKUP(H36,[1]SEMIELABORADOS!$A$2:$M$6000,6,0),"")</f>
        <v/>
      </c>
      <c r="E36" s="21" t="str">
        <f>IFERROR(VLOOKUP(H36,[1]SEMIELABORADOS!$A$2:$M$65536,10,0),"")</f>
        <v/>
      </c>
      <c r="F36" s="21" t="str">
        <f t="shared" ref="F36:F41" si="12">IFERROR(E36*C36,"")</f>
        <v/>
      </c>
      <c r="G36" s="22" t="str">
        <f t="shared" si="9"/>
        <v/>
      </c>
      <c r="H36" s="26"/>
      <c r="I36" s="26"/>
      <c r="J36" s="24"/>
    </row>
    <row r="37" spans="1:13" ht="13.5" hidden="1" x14ac:dyDescent="0.25">
      <c r="A37" s="19">
        <f t="shared" si="10"/>
        <v>0</v>
      </c>
      <c r="B37" s="25" t="str">
        <f>IFERROR(VLOOKUP(H37,[1]SEMIELABORADOS!$A$2:$M$6000,2,0),"")</f>
        <v/>
      </c>
      <c r="C37" s="20">
        <f t="shared" si="11"/>
        <v>0</v>
      </c>
      <c r="D37" s="21" t="str">
        <f>IFERROR(VLOOKUP(H37,[1]SEMIELABORADOS!$A$2:$M$6000,6,0),"")</f>
        <v/>
      </c>
      <c r="E37" s="21" t="str">
        <f>IFERROR(VLOOKUP(H37,[1]SEMIELABORADOS!$A$2:$M$65536,10,0),"")</f>
        <v/>
      </c>
      <c r="F37" s="21" t="str">
        <f t="shared" si="12"/>
        <v/>
      </c>
      <c r="G37" s="22" t="str">
        <f t="shared" si="9"/>
        <v/>
      </c>
      <c r="H37" s="26"/>
      <c r="I37" s="26"/>
      <c r="J37" s="24"/>
    </row>
    <row r="38" spans="1:13" ht="13.5" hidden="1" x14ac:dyDescent="0.25">
      <c r="A38" s="19">
        <f t="shared" si="10"/>
        <v>0</v>
      </c>
      <c r="B38" s="25" t="str">
        <f>IFERROR(VLOOKUP(H38,[1]SEMIELABORADOS!$A$2:$M$6000,2,0),"")</f>
        <v/>
      </c>
      <c r="C38" s="20">
        <f>+A38</f>
        <v>0</v>
      </c>
      <c r="D38" s="21" t="str">
        <f>IFERROR(VLOOKUP(H38,[1]SEMIELABORADOS!$A$2:$M$6000,6,0),"")</f>
        <v/>
      </c>
      <c r="E38" s="21" t="str">
        <f>IFERROR(VLOOKUP(H38,[1]SEMIELABORADOS!$A$2:$M$65536,10,0),"")</f>
        <v/>
      </c>
      <c r="F38" s="21" t="str">
        <f>IFERROR(E38*C38,"")</f>
        <v/>
      </c>
      <c r="G38" s="22" t="str">
        <f t="shared" si="9"/>
        <v/>
      </c>
      <c r="H38" s="26"/>
      <c r="I38" s="26"/>
      <c r="J38" s="24"/>
    </row>
    <row r="39" spans="1:13" ht="13.5" hidden="1" x14ac:dyDescent="0.25">
      <c r="A39" s="19">
        <f t="shared" si="10"/>
        <v>0</v>
      </c>
      <c r="B39" s="25" t="str">
        <f>IFERROR(VLOOKUP(H39,[1]SEMIELABORADOS!$A$2:$M$6000,2,0),"")</f>
        <v/>
      </c>
      <c r="C39" s="20">
        <f>+A39</f>
        <v>0</v>
      </c>
      <c r="D39" s="21" t="str">
        <f>IFERROR(VLOOKUP(H39,[1]SEMIELABORADOS!$A$2:$M$6000,6,0),"")</f>
        <v/>
      </c>
      <c r="E39" s="21" t="str">
        <f>IFERROR(VLOOKUP(H39,[1]SEMIELABORADOS!$A$2:$M$65536,10,0),"")</f>
        <v/>
      </c>
      <c r="F39" s="21" t="str">
        <f>IFERROR(E39*C39,"")</f>
        <v/>
      </c>
      <c r="G39" s="22" t="str">
        <f t="shared" si="9"/>
        <v/>
      </c>
      <c r="H39" s="26"/>
      <c r="I39" s="26"/>
      <c r="J39" s="24"/>
    </row>
    <row r="40" spans="1:13" ht="13.5" hidden="1" x14ac:dyDescent="0.25">
      <c r="A40" s="19">
        <f t="shared" si="10"/>
        <v>0</v>
      </c>
      <c r="B40" s="25" t="str">
        <f>IFERROR(VLOOKUP(H40,[1]SEMIELABORADOS!$A$2:$M$6000,2,0),"")</f>
        <v/>
      </c>
      <c r="C40" s="20">
        <f t="shared" si="11"/>
        <v>0</v>
      </c>
      <c r="D40" s="21" t="str">
        <f>IFERROR(VLOOKUP(H40,[1]SEMIELABORADOS!$A$2:$M$6000,6,0),"")</f>
        <v/>
      </c>
      <c r="E40" s="21" t="str">
        <f>IFERROR(VLOOKUP(H40,[1]SEMIELABORADOS!$A$2:$M$65536,10,0),"")</f>
        <v/>
      </c>
      <c r="F40" s="21" t="str">
        <f t="shared" si="12"/>
        <v/>
      </c>
      <c r="G40" s="22" t="str">
        <f t="shared" si="9"/>
        <v/>
      </c>
      <c r="H40" s="26"/>
      <c r="I40" s="26"/>
      <c r="J40" s="24"/>
    </row>
    <row r="41" spans="1:13" ht="13.5" hidden="1" x14ac:dyDescent="0.25">
      <c r="A41" s="19">
        <f t="shared" si="10"/>
        <v>0</v>
      </c>
      <c r="B41" s="25" t="str">
        <f>IFERROR(VLOOKUP(H41,[1]SEMIELABORADOS!$A$2:$M$6000,2,0),"")</f>
        <v/>
      </c>
      <c r="C41" s="20">
        <f t="shared" si="11"/>
        <v>0</v>
      </c>
      <c r="D41" s="21" t="str">
        <f>IFERROR(VLOOKUP(H41,[1]SEMIELABORADOS!$A$2:$M$6000,6,0),"")</f>
        <v/>
      </c>
      <c r="E41" s="21" t="str">
        <f>IFERROR(VLOOKUP(H41,[1]SEMIELABORADOS!$A$2:$M$65536,10,0),"")</f>
        <v/>
      </c>
      <c r="F41" s="21" t="str">
        <f t="shared" si="12"/>
        <v/>
      </c>
      <c r="G41" s="22" t="str">
        <f t="shared" si="9"/>
        <v/>
      </c>
      <c r="H41" s="26"/>
      <c r="I41" s="26"/>
      <c r="J41" s="24"/>
    </row>
    <row r="42" spans="1:13" ht="14.25" thickBot="1" x14ac:dyDescent="0.3">
      <c r="A42" s="19"/>
      <c r="B42" s="25"/>
      <c r="C42" s="20"/>
      <c r="D42" s="21"/>
      <c r="E42" s="21"/>
      <c r="F42" s="21"/>
      <c r="G42" s="22"/>
      <c r="H42" s="26"/>
      <c r="I42" s="26"/>
      <c r="J42" s="24"/>
    </row>
    <row r="43" spans="1:13" ht="26.25" thickBot="1" x14ac:dyDescent="0.25">
      <c r="A43" s="14" t="s">
        <v>62</v>
      </c>
      <c r="B43" s="15" t="s">
        <v>71</v>
      </c>
      <c r="C43" s="15" t="s">
        <v>62</v>
      </c>
      <c r="D43" s="16" t="s">
        <v>64</v>
      </c>
      <c r="E43" s="16" t="s">
        <v>65</v>
      </c>
      <c r="F43" s="16" t="s">
        <v>66</v>
      </c>
      <c r="G43" s="16" t="s">
        <v>67</v>
      </c>
      <c r="H43" s="17" t="s">
        <v>68</v>
      </c>
      <c r="I43" s="18"/>
      <c r="J43" s="24"/>
    </row>
    <row r="44" spans="1:13" ht="13.5" x14ac:dyDescent="0.25">
      <c r="A44" s="19">
        <f>+A35</f>
        <v>4</v>
      </c>
      <c r="B44" s="25" t="s">
        <v>55</v>
      </c>
      <c r="C44" s="20">
        <f>+A44</f>
        <v>4</v>
      </c>
      <c r="D44" s="21" t="s">
        <v>117</v>
      </c>
      <c r="E44" s="21">
        <f>+'costo Empanada '!H56</f>
        <v>34.1159532743619</v>
      </c>
      <c r="F44" s="21">
        <f>IFERROR(E44*C44,"")</f>
        <v>136.4638130974476</v>
      </c>
      <c r="G44" s="22">
        <f>IFERROR(F44/$F$66,"")</f>
        <v>8.3626998531412852E-2</v>
      </c>
      <c r="H44" s="26"/>
      <c r="I44" s="18"/>
      <c r="J44" s="24"/>
    </row>
    <row r="45" spans="1:13" ht="13.5" hidden="1" x14ac:dyDescent="0.25">
      <c r="A45" s="19">
        <f t="shared" ref="A45:A50" si="13">+A36</f>
        <v>0</v>
      </c>
      <c r="B45" s="25" t="str">
        <f>IFERROR(VLOOKUP(H45,[1]SEMIELABORADOS!$A$2:$M$6000,2,0),"")</f>
        <v/>
      </c>
      <c r="C45" s="20">
        <f t="shared" ref="C45:C50" si="14">+A45</f>
        <v>0</v>
      </c>
      <c r="D45" s="21" t="str">
        <f>IFERROR(VLOOKUP(H45,[1]SEMIELABORADOS!$A$2:$M$6000,6,0),"")</f>
        <v/>
      </c>
      <c r="E45" s="21" t="str">
        <f>IFERROR(VLOOKUP(H45,[1]SEMIELABORADOS!$A$2:$M$65536,12,0),"")</f>
        <v/>
      </c>
      <c r="F45" s="21" t="str">
        <f t="shared" ref="F45:F50" si="15">IFERROR(E45*C45,"")</f>
        <v/>
      </c>
      <c r="G45" s="22" t="str">
        <f t="shared" ref="G45:G50" si="16">IFERROR(F45/$F$66,"")</f>
        <v/>
      </c>
      <c r="H45" s="26"/>
      <c r="I45" s="18"/>
      <c r="J45" s="24"/>
      <c r="M45" s="29"/>
    </row>
    <row r="46" spans="1:13" ht="13.5" hidden="1" x14ac:dyDescent="0.25">
      <c r="A46" s="19">
        <f t="shared" si="13"/>
        <v>0</v>
      </c>
      <c r="B46" s="25" t="str">
        <f>IFERROR(VLOOKUP(H46,[1]SEMIELABORADOS!$A$2:$M$6000,2,0),"")</f>
        <v/>
      </c>
      <c r="C46" s="20">
        <f t="shared" si="14"/>
        <v>0</v>
      </c>
      <c r="D46" s="21" t="str">
        <f>IFERROR(VLOOKUP(H46,[1]SEMIELABORADOS!$A$2:$M$6000,6,0),"")</f>
        <v/>
      </c>
      <c r="E46" s="21" t="str">
        <f>IFERROR(VLOOKUP(H46,[1]SEMIELABORADOS!$A$2:$M$65536,12,0),"")</f>
        <v/>
      </c>
      <c r="F46" s="21" t="str">
        <f t="shared" si="15"/>
        <v/>
      </c>
      <c r="G46" s="22" t="str">
        <f t="shared" si="16"/>
        <v/>
      </c>
      <c r="H46" s="26"/>
      <c r="I46" s="18"/>
      <c r="J46" s="24"/>
    </row>
    <row r="47" spans="1:13" ht="13.5" hidden="1" x14ac:dyDescent="0.25">
      <c r="A47" s="19">
        <f t="shared" si="13"/>
        <v>0</v>
      </c>
      <c r="B47" s="25" t="str">
        <f>IFERROR(VLOOKUP(H47,[1]SEMIELABORADOS!$A$2:$M$6000,2,0),"")</f>
        <v/>
      </c>
      <c r="C47" s="20">
        <f t="shared" si="14"/>
        <v>0</v>
      </c>
      <c r="D47" s="21" t="str">
        <f>IFERROR(VLOOKUP(H47,[1]SEMIELABORADOS!$A$2:$M$6000,6,0),"")</f>
        <v/>
      </c>
      <c r="E47" s="21" t="str">
        <f>IFERROR(VLOOKUP(H47,[1]SEMIELABORADOS!$A$2:$M$65536,12,0),"")</f>
        <v/>
      </c>
      <c r="F47" s="21" t="str">
        <f t="shared" si="15"/>
        <v/>
      </c>
      <c r="G47" s="22" t="str">
        <f t="shared" si="16"/>
        <v/>
      </c>
      <c r="H47" s="26"/>
      <c r="I47" s="18"/>
      <c r="J47" s="24"/>
    </row>
    <row r="48" spans="1:13" ht="13.5" hidden="1" x14ac:dyDescent="0.25">
      <c r="A48" s="19">
        <f t="shared" si="13"/>
        <v>0</v>
      </c>
      <c r="B48" s="25" t="str">
        <f>IFERROR(VLOOKUP(H48,[1]SEMIELABORADOS!$A$2:$M$6000,2,0),"")</f>
        <v/>
      </c>
      <c r="C48" s="20">
        <f t="shared" si="14"/>
        <v>0</v>
      </c>
      <c r="D48" s="21" t="str">
        <f>IFERROR(VLOOKUP(H48,[1]SEMIELABORADOS!$A$2:$M$6000,6,0),"")</f>
        <v/>
      </c>
      <c r="E48" s="21" t="str">
        <f>IFERROR(VLOOKUP(H48,[1]SEMIELABORADOS!$A$2:$M$65536,12,0),"")</f>
        <v/>
      </c>
      <c r="F48" s="21" t="str">
        <f t="shared" si="15"/>
        <v/>
      </c>
      <c r="G48" s="22" t="str">
        <f t="shared" si="16"/>
        <v/>
      </c>
      <c r="H48" s="26"/>
      <c r="I48" s="18"/>
      <c r="J48" s="24"/>
    </row>
    <row r="49" spans="1:17" ht="13.5" hidden="1" x14ac:dyDescent="0.25">
      <c r="A49" s="19">
        <f t="shared" si="13"/>
        <v>0</v>
      </c>
      <c r="B49" s="25" t="str">
        <f>IFERROR(VLOOKUP(H49,[1]SEMIELABORADOS!$A$2:$M$6000,2,0),"")</f>
        <v/>
      </c>
      <c r="C49" s="20">
        <f t="shared" si="14"/>
        <v>0</v>
      </c>
      <c r="D49" s="21" t="str">
        <f>IFERROR(VLOOKUP(H49,[1]SEMIELABORADOS!$A$2:$M$6000,6,0),"")</f>
        <v/>
      </c>
      <c r="E49" s="21" t="str">
        <f>IFERROR(VLOOKUP(H49,[1]SEMIELABORADOS!$A$2:$M$65536,12,0),"")</f>
        <v/>
      </c>
      <c r="F49" s="21" t="str">
        <f t="shared" si="15"/>
        <v/>
      </c>
      <c r="G49" s="22" t="str">
        <f t="shared" si="16"/>
        <v/>
      </c>
      <c r="H49" s="26"/>
      <c r="I49" s="18"/>
      <c r="J49" s="24"/>
    </row>
    <row r="50" spans="1:17" ht="13.5" hidden="1" x14ac:dyDescent="0.25">
      <c r="A50" s="19">
        <f t="shared" si="13"/>
        <v>0</v>
      </c>
      <c r="B50" s="25" t="str">
        <f>IFERROR(VLOOKUP(H50,[1]SEMIELABORADOS!$A$2:$M$6000,2,0),"")</f>
        <v/>
      </c>
      <c r="C50" s="20">
        <f t="shared" si="14"/>
        <v>0</v>
      </c>
      <c r="D50" s="21" t="str">
        <f>IFERROR(VLOOKUP(H50,[1]SEMIELABORADOS!$A$2:$M$6000,6,0),"")</f>
        <v/>
      </c>
      <c r="E50" s="21" t="str">
        <f>IFERROR(VLOOKUP(H50,[1]SEMIELABORADOS!$A$2:$M$65536,12,0),"")</f>
        <v/>
      </c>
      <c r="F50" s="21" t="str">
        <f t="shared" si="15"/>
        <v/>
      </c>
      <c r="G50" s="22" t="str">
        <f t="shared" si="16"/>
        <v/>
      </c>
      <c r="H50" s="25"/>
      <c r="I50" s="18"/>
      <c r="J50" s="24"/>
    </row>
    <row r="51" spans="1:17" ht="13.5" x14ac:dyDescent="0.25">
      <c r="A51" s="19">
        <v>1</v>
      </c>
      <c r="B51" s="25" t="s">
        <v>72</v>
      </c>
      <c r="C51" s="20">
        <f>+A51</f>
        <v>1</v>
      </c>
      <c r="D51" s="20" t="s">
        <v>73</v>
      </c>
      <c r="E51" s="21">
        <f>+F65</f>
        <v>122</v>
      </c>
      <c r="F51" s="21">
        <f>IFERROR(C51*E51,"")</f>
        <v>122</v>
      </c>
      <c r="G51" s="22">
        <f>IFERROR(F51/$F$66,"")</f>
        <v>7.4763364655118195E-2</v>
      </c>
      <c r="H51" s="30"/>
      <c r="I51" s="30"/>
      <c r="J51" s="24"/>
    </row>
    <row r="52" spans="1:17" ht="14.25" thickBot="1" x14ac:dyDescent="0.3">
      <c r="A52" s="19"/>
      <c r="B52" s="25"/>
      <c r="C52" s="20"/>
      <c r="D52" s="20"/>
      <c r="E52" s="21"/>
      <c r="F52" s="21"/>
      <c r="G52" s="22"/>
      <c r="H52" s="30"/>
      <c r="I52" s="30"/>
      <c r="J52" s="24"/>
    </row>
    <row r="53" spans="1:17" ht="13.5" thickBot="1" x14ac:dyDescent="0.25">
      <c r="A53" s="31"/>
      <c r="B53" s="146" t="s">
        <v>74</v>
      </c>
      <c r="C53" s="146"/>
      <c r="D53" s="146"/>
      <c r="E53" s="146"/>
      <c r="F53" s="33">
        <f>SUM(F8:F14,F17:F24)</f>
        <v>1350.0500603472308</v>
      </c>
      <c r="G53" s="22">
        <f>+F53/$F$66</f>
        <v>0.82733020462626505</v>
      </c>
      <c r="H53" s="34">
        <f>+F53/$D$60</f>
        <v>337.5125150868077</v>
      </c>
      <c r="I53" s="34"/>
      <c r="J53" s="35"/>
      <c r="K53" s="36"/>
      <c r="L53" s="36"/>
      <c r="M53" s="36"/>
      <c r="N53" s="36"/>
      <c r="O53" s="36"/>
      <c r="P53" s="36"/>
      <c r="Q53" s="37"/>
    </row>
    <row r="54" spans="1:17" x14ac:dyDescent="0.2">
      <c r="A54" s="31"/>
      <c r="B54" s="146" t="s">
        <v>75</v>
      </c>
      <c r="C54" s="146"/>
      <c r="D54" s="146"/>
      <c r="E54" s="146"/>
      <c r="F54" s="33">
        <f>SUM(F27:F32,F35:F41)</f>
        <v>132.76420736507936</v>
      </c>
      <c r="G54" s="22">
        <f>+F54/$F$66</f>
        <v>8.1359826626091453E-2</v>
      </c>
      <c r="H54" s="34">
        <f>+F54/$D$60</f>
        <v>33.191051841269839</v>
      </c>
      <c r="I54" s="34"/>
      <c r="J54" s="38"/>
      <c r="K54" s="147" t="s">
        <v>76</v>
      </c>
      <c r="L54" s="148"/>
      <c r="M54" s="148"/>
      <c r="N54" s="148"/>
      <c r="O54" s="39">
        <f>+F55</f>
        <v>1482.8142677123101</v>
      </c>
      <c r="P54" s="39"/>
      <c r="Q54" s="40"/>
    </row>
    <row r="55" spans="1:17" x14ac:dyDescent="0.2">
      <c r="A55" s="31"/>
      <c r="B55" s="146" t="s">
        <v>77</v>
      </c>
      <c r="C55" s="146"/>
      <c r="D55" s="146"/>
      <c r="E55" s="146"/>
      <c r="F55" s="33">
        <f>+F53+F54</f>
        <v>1482.8142677123101</v>
      </c>
      <c r="G55" s="22">
        <f>+F55/$F$66</f>
        <v>0.90869003125235648</v>
      </c>
      <c r="H55" s="34">
        <f>+F55/$D$60</f>
        <v>370.70356692807752</v>
      </c>
      <c r="I55" s="34"/>
      <c r="J55" s="41"/>
      <c r="K55" s="42"/>
      <c r="M55" s="43" t="s">
        <v>78</v>
      </c>
      <c r="N55" s="44"/>
      <c r="O55" s="39">
        <f>+H56</f>
        <v>64.6159532743619</v>
      </c>
      <c r="P55" s="39"/>
      <c r="Q55" s="40"/>
    </row>
    <row r="56" spans="1:17" ht="13.5" thickBot="1" x14ac:dyDescent="0.25">
      <c r="A56" s="31"/>
      <c r="B56" s="32"/>
      <c r="C56" s="146" t="s">
        <v>79</v>
      </c>
      <c r="D56" s="146"/>
      <c r="E56" s="146"/>
      <c r="F56" s="33">
        <f>SUM(F44:F51)</f>
        <v>258.4638130974476</v>
      </c>
      <c r="G56" s="22">
        <f>+F56/$F$66</f>
        <v>0.15839036318653105</v>
      </c>
      <c r="H56" s="34">
        <f>+F56/$D$60</f>
        <v>64.6159532743619</v>
      </c>
      <c r="I56" s="34"/>
      <c r="J56" s="41"/>
      <c r="K56" s="42"/>
      <c r="L56" s="42"/>
      <c r="M56" s="42" t="s">
        <v>80</v>
      </c>
      <c r="N56" s="45"/>
      <c r="O56" s="39">
        <f>O54*N56</f>
        <v>0</v>
      </c>
      <c r="P56" s="39"/>
      <c r="Q56" s="40"/>
    </row>
    <row r="57" spans="1:17" ht="13.5" thickBot="1" x14ac:dyDescent="0.25">
      <c r="A57" s="31"/>
      <c r="B57" s="46"/>
      <c r="C57" s="46"/>
      <c r="D57" s="46"/>
      <c r="E57" s="46"/>
      <c r="F57" s="47"/>
      <c r="G57" s="22"/>
      <c r="H57" s="48"/>
      <c r="I57" s="34"/>
      <c r="J57" s="41"/>
      <c r="K57" s="49"/>
      <c r="M57" s="50" t="s">
        <v>81</v>
      </c>
      <c r="N57" s="51"/>
      <c r="O57" s="52">
        <f>SUM(O54:O56)</f>
        <v>1547.4302209866719</v>
      </c>
      <c r="P57" s="53"/>
      <c r="Q57" s="40"/>
    </row>
    <row r="58" spans="1:17" x14ac:dyDescent="0.2">
      <c r="B58" s="149" t="s">
        <v>82</v>
      </c>
      <c r="C58" s="149"/>
      <c r="D58" s="54">
        <v>440</v>
      </c>
      <c r="E58" s="55"/>
      <c r="G58" s="22"/>
      <c r="H58" s="48">
        <f>+H56/61</f>
        <v>1.0592779225305229</v>
      </c>
      <c r="I58" s="56"/>
      <c r="J58" s="41"/>
      <c r="K58" s="49"/>
      <c r="L58" s="42"/>
      <c r="M58" s="42" t="s">
        <v>83</v>
      </c>
      <c r="N58" s="57"/>
      <c r="O58" s="39">
        <f>+H59</f>
        <v>61.438119506770327</v>
      </c>
      <c r="P58" s="39"/>
      <c r="Q58" s="40"/>
    </row>
    <row r="59" spans="1:17" x14ac:dyDescent="0.2">
      <c r="B59" s="149" t="s">
        <v>84</v>
      </c>
      <c r="C59" s="149"/>
      <c r="D59" s="58">
        <v>110</v>
      </c>
      <c r="E59" s="55"/>
      <c r="G59" s="22"/>
      <c r="H59" s="48">
        <f>+H58*58</f>
        <v>61.438119506770327</v>
      </c>
      <c r="I59" s="56"/>
      <c r="J59" s="41"/>
      <c r="K59" s="49"/>
      <c r="L59" s="42"/>
      <c r="M59" s="150" t="s">
        <v>81</v>
      </c>
      <c r="N59" s="150"/>
      <c r="O59" s="39">
        <f>SUM(O57:O58)</f>
        <v>1608.8683404934422</v>
      </c>
      <c r="P59" s="39"/>
      <c r="Q59" s="40"/>
    </row>
    <row r="60" spans="1:17" ht="13.5" thickBot="1" x14ac:dyDescent="0.25">
      <c r="B60" s="142" t="s">
        <v>85</v>
      </c>
      <c r="C60" s="142"/>
      <c r="D60" s="54">
        <f>+D58/D59</f>
        <v>4</v>
      </c>
      <c r="E60" s="55"/>
      <c r="F60" s="59"/>
      <c r="G60" s="22"/>
      <c r="H60" s="48"/>
      <c r="I60" s="56"/>
      <c r="J60" s="41"/>
      <c r="K60" s="49"/>
      <c r="L60" s="150"/>
      <c r="M60" s="150"/>
      <c r="N60" s="57"/>
      <c r="O60" s="39">
        <f>+O59*N60</f>
        <v>0</v>
      </c>
      <c r="P60" s="39"/>
      <c r="Q60" s="40"/>
    </row>
    <row r="61" spans="1:17" ht="13.5" thickBot="1" x14ac:dyDescent="0.25">
      <c r="B61" s="142" t="s">
        <v>86</v>
      </c>
      <c r="C61" s="142"/>
      <c r="D61" s="60"/>
      <c r="E61" s="55"/>
      <c r="F61" s="59"/>
      <c r="G61" s="22"/>
      <c r="H61" s="48"/>
      <c r="I61" s="56"/>
      <c r="J61" s="41"/>
      <c r="K61" s="143" t="s">
        <v>87</v>
      </c>
      <c r="L61" s="144"/>
      <c r="M61" s="144"/>
      <c r="N61" s="145"/>
      <c r="O61" s="52">
        <f>SUM(O59:O60)</f>
        <v>1608.8683404934422</v>
      </c>
      <c r="P61" s="61" t="s">
        <v>88</v>
      </c>
      <c r="Q61" s="40"/>
    </row>
    <row r="62" spans="1:17" ht="13.5" thickBot="1" x14ac:dyDescent="0.25">
      <c r="C62" s="31" t="s">
        <v>89</v>
      </c>
      <c r="D62" s="62"/>
      <c r="E62" s="5" t="s">
        <v>90</v>
      </c>
      <c r="F62" s="63" t="s">
        <v>91</v>
      </c>
      <c r="G62" s="22"/>
      <c r="H62" s="48"/>
      <c r="I62" s="56"/>
      <c r="J62" s="64"/>
      <c r="K62" s="65"/>
      <c r="L62" s="156" t="s">
        <v>92</v>
      </c>
      <c r="M62" s="156"/>
      <c r="N62" s="156"/>
      <c r="O62" s="66">
        <f>+O61/D60</f>
        <v>402.21708512336056</v>
      </c>
      <c r="P62" s="67">
        <f>+O62/D59</f>
        <v>3.6565189556669142</v>
      </c>
      <c r="Q62" s="68"/>
    </row>
    <row r="63" spans="1:17" ht="13.5" thickBot="1" x14ac:dyDescent="0.25">
      <c r="B63" s="157" t="s">
        <v>77</v>
      </c>
      <c r="C63" s="157"/>
      <c r="D63" s="157"/>
      <c r="E63" s="69">
        <f>+F63/F63</f>
        <v>1</v>
      </c>
      <c r="F63" s="70">
        <f>SUM(F55)</f>
        <v>1482.8142677123101</v>
      </c>
      <c r="G63" s="22">
        <f>+F63/$F$66</f>
        <v>0.90869003125235648</v>
      </c>
      <c r="H63" s="48"/>
      <c r="I63" s="56"/>
      <c r="K63" s="158"/>
      <c r="L63" s="159"/>
      <c r="M63" s="159"/>
      <c r="N63" s="159"/>
      <c r="O63" s="71"/>
      <c r="P63" s="72"/>
    </row>
    <row r="64" spans="1:17" ht="13.5" thickBot="1" x14ac:dyDescent="0.25">
      <c r="B64" s="160" t="s">
        <v>93</v>
      </c>
      <c r="C64" s="160"/>
      <c r="D64" s="160"/>
      <c r="E64" s="73">
        <v>0.02</v>
      </c>
      <c r="F64" s="70">
        <f>+F53*E64</f>
        <v>27.001001206944615</v>
      </c>
      <c r="G64" s="22">
        <f>+F64/$F$66</f>
        <v>1.6546604092525299E-2</v>
      </c>
      <c r="H64" s="34"/>
      <c r="I64" s="56"/>
      <c r="J64" s="74"/>
      <c r="O64" s="75"/>
      <c r="P64" s="32"/>
    </row>
    <row r="65" spans="2:13" ht="13.5" thickBot="1" x14ac:dyDescent="0.25">
      <c r="B65" s="161" t="s">
        <v>94</v>
      </c>
      <c r="C65" s="162"/>
      <c r="D65" s="76">
        <v>2</v>
      </c>
      <c r="E65" s="77">
        <v>61</v>
      </c>
      <c r="F65" s="70">
        <f>+E65*D65</f>
        <v>122</v>
      </c>
      <c r="G65" s="22">
        <f>+F65/$F$66</f>
        <v>7.4763364655118195E-2</v>
      </c>
      <c r="H65" s="34"/>
      <c r="I65" s="34"/>
      <c r="J65" s="24"/>
    </row>
    <row r="66" spans="2:13" ht="13.5" thickBot="1" x14ac:dyDescent="0.25">
      <c r="B66" s="163" t="s">
        <v>95</v>
      </c>
      <c r="C66" s="164"/>
      <c r="D66" s="164"/>
      <c r="E66" s="165"/>
      <c r="F66" s="47">
        <f>SUM(F63:F65)</f>
        <v>1631.8152689192548</v>
      </c>
      <c r="G66" s="22">
        <f>+F66/$F$66</f>
        <v>1</v>
      </c>
      <c r="H66" s="166"/>
      <c r="I66" s="34"/>
      <c r="J66" s="24"/>
      <c r="M66" s="7" t="s">
        <v>96</v>
      </c>
    </row>
    <row r="67" spans="2:13" x14ac:dyDescent="0.2">
      <c r="C67" s="29"/>
      <c r="D67" s="29"/>
      <c r="E67" s="79"/>
      <c r="F67" s="70"/>
      <c r="G67" s="22"/>
      <c r="H67" s="166"/>
      <c r="I67" s="78"/>
      <c r="J67" s="7"/>
      <c r="M67" s="7" t="s">
        <v>97</v>
      </c>
    </row>
    <row r="68" spans="2:13" ht="13.5" thickBot="1" x14ac:dyDescent="0.25">
      <c r="B68" s="151" t="s">
        <v>98</v>
      </c>
      <c r="C68" s="151"/>
      <c r="D68" s="151"/>
      <c r="E68" s="151"/>
      <c r="F68" s="151"/>
      <c r="G68" s="22"/>
      <c r="H68" s="81"/>
      <c r="I68" s="78"/>
      <c r="J68" s="7"/>
    </row>
    <row r="69" spans="2:13" ht="13.5" thickBot="1" x14ac:dyDescent="0.25">
      <c r="B69" s="82" t="s">
        <v>99</v>
      </c>
      <c r="C69" s="83">
        <f>+F53</f>
        <v>1350.0500603472308</v>
      </c>
      <c r="D69" s="83">
        <f>+D58</f>
        <v>440</v>
      </c>
      <c r="E69" s="84">
        <f>+C69/D69</f>
        <v>3.0682955916982517</v>
      </c>
      <c r="F69" s="22"/>
      <c r="G69" s="81"/>
      <c r="H69" s="24"/>
      <c r="I69" s="81"/>
      <c r="J69" s="7"/>
    </row>
    <row r="70" spans="2:13" x14ac:dyDescent="0.2">
      <c r="B70" s="85"/>
      <c r="C70" s="86"/>
      <c r="D70" s="87"/>
      <c r="E70" s="70"/>
      <c r="F70" s="22"/>
      <c r="G70" s="81"/>
      <c r="H70" s="24"/>
      <c r="I70" s="24"/>
      <c r="J70" s="7"/>
    </row>
    <row r="71" spans="2:13" x14ac:dyDescent="0.2">
      <c r="B71" s="82" t="s">
        <v>100</v>
      </c>
      <c r="C71" s="83">
        <f>SUM(F63:F64)</f>
        <v>1509.8152689192548</v>
      </c>
      <c r="D71" s="83">
        <f>+D58</f>
        <v>440</v>
      </c>
      <c r="E71" s="88">
        <f>+C71/D71</f>
        <v>3.4313983384528517</v>
      </c>
      <c r="F71" s="22"/>
      <c r="G71" s="81"/>
      <c r="H71" s="24"/>
      <c r="I71" s="24"/>
      <c r="J71" s="7"/>
    </row>
    <row r="72" spans="2:13" x14ac:dyDescent="0.2">
      <c r="B72" s="82"/>
      <c r="C72" s="83"/>
      <c r="D72" s="83"/>
      <c r="E72" s="88"/>
      <c r="F72" s="22"/>
      <c r="G72" s="81"/>
      <c r="H72" s="24"/>
      <c r="I72" s="24"/>
      <c r="J72" s="7"/>
    </row>
    <row r="73" spans="2:13" ht="13.5" thickBot="1" x14ac:dyDescent="0.25">
      <c r="B73" s="82" t="s">
        <v>101</v>
      </c>
      <c r="C73" s="83">
        <f>+F65</f>
        <v>122</v>
      </c>
      <c r="D73" s="83">
        <f>+D58</f>
        <v>440</v>
      </c>
      <c r="E73" s="88">
        <f>+C73/D73</f>
        <v>0.27727272727272728</v>
      </c>
      <c r="F73" s="22"/>
      <c r="G73" s="81"/>
      <c r="H73" s="24"/>
      <c r="I73" s="24"/>
      <c r="J73" s="7"/>
    </row>
    <row r="74" spans="2:13" ht="13.5" thickBot="1" x14ac:dyDescent="0.25">
      <c r="B74" s="82" t="s">
        <v>102</v>
      </c>
      <c r="C74" s="83">
        <f>+F56</f>
        <v>258.4638130974476</v>
      </c>
      <c r="D74" s="83">
        <f>+D73</f>
        <v>440</v>
      </c>
      <c r="E74" s="84">
        <f>+C74/D74</f>
        <v>0.5874177570396536</v>
      </c>
      <c r="F74" s="22"/>
      <c r="G74" s="81"/>
      <c r="H74" s="24"/>
      <c r="I74" s="24"/>
      <c r="J74" s="7"/>
    </row>
    <row r="75" spans="2:13" ht="13.5" thickBot="1" x14ac:dyDescent="0.25">
      <c r="B75" s="46"/>
      <c r="C75" s="47"/>
      <c r="D75" s="47"/>
      <c r="E75" s="88"/>
      <c r="F75" s="22"/>
      <c r="G75" s="81"/>
      <c r="H75" s="24"/>
      <c r="I75" s="24"/>
      <c r="J75" s="7"/>
    </row>
    <row r="76" spans="2:13" ht="13.5" thickBot="1" x14ac:dyDescent="0.25">
      <c r="B76" s="82" t="s">
        <v>103</v>
      </c>
      <c r="C76" s="83">
        <f>+F54</f>
        <v>132.76420736507936</v>
      </c>
      <c r="D76" s="83">
        <f>+D74</f>
        <v>440</v>
      </c>
      <c r="E76" s="84">
        <f>+C76/D76</f>
        <v>0.30173683492063491</v>
      </c>
      <c r="F76" s="22"/>
      <c r="G76" s="81"/>
      <c r="H76" s="24"/>
      <c r="I76" s="24"/>
      <c r="J76" s="24"/>
    </row>
    <row r="77" spans="2:13" ht="13.5" thickBot="1" x14ac:dyDescent="0.25">
      <c r="B77" s="46"/>
      <c r="C77" s="47"/>
      <c r="D77" s="47"/>
      <c r="E77" s="88"/>
      <c r="F77" s="22"/>
      <c r="G77" s="81"/>
      <c r="H77" s="24"/>
      <c r="I77" s="24"/>
    </row>
    <row r="78" spans="2:13" ht="13.5" thickBot="1" x14ac:dyDescent="0.25">
      <c r="B78" s="152" t="s">
        <v>104</v>
      </c>
      <c r="C78" s="153"/>
      <c r="D78" s="154"/>
      <c r="E78" s="84">
        <f>+E69+E74</f>
        <v>3.6557133487379052</v>
      </c>
      <c r="G78" s="22"/>
      <c r="H78" s="81"/>
      <c r="I78" s="24"/>
      <c r="J78" s="88"/>
    </row>
    <row r="79" spans="2:13" x14ac:dyDescent="0.2">
      <c r="I79" s="81"/>
      <c r="J79" s="7"/>
    </row>
    <row r="80" spans="2:13" ht="13.5" thickBot="1" x14ac:dyDescent="0.25">
      <c r="B80" s="151" t="s">
        <v>105</v>
      </c>
      <c r="C80" s="151"/>
      <c r="D80" s="151"/>
      <c r="E80" s="151"/>
      <c r="F80" s="151"/>
      <c r="G80" s="22"/>
      <c r="H80" s="81"/>
      <c r="J80" s="7"/>
    </row>
    <row r="81" spans="1:10" ht="13.5" thickBot="1" x14ac:dyDescent="0.25">
      <c r="B81" s="82" t="s">
        <v>99</v>
      </c>
      <c r="C81" s="83">
        <f>+C69</f>
        <v>1350.0500603472308</v>
      </c>
      <c r="D81" s="83">
        <f>+D60</f>
        <v>4</v>
      </c>
      <c r="E81" s="84">
        <f>+C81/D81</f>
        <v>337.5125150868077</v>
      </c>
      <c r="F81" s="22"/>
      <c r="G81" s="81"/>
      <c r="H81" s="24"/>
      <c r="I81" s="81"/>
      <c r="J81" s="7"/>
    </row>
    <row r="82" spans="1:10" x14ac:dyDescent="0.2">
      <c r="B82" s="85"/>
      <c r="C82" s="86"/>
      <c r="D82" s="87"/>
      <c r="E82" s="70"/>
      <c r="F82" s="22"/>
      <c r="G82" s="81"/>
      <c r="H82" s="24"/>
      <c r="I82" s="24"/>
      <c r="J82" s="7"/>
    </row>
    <row r="83" spans="1:10" x14ac:dyDescent="0.2">
      <c r="B83" s="82" t="s">
        <v>100</v>
      </c>
      <c r="C83" s="83">
        <f>+C71</f>
        <v>1509.8152689192548</v>
      </c>
      <c r="D83" s="83">
        <f>+D60</f>
        <v>4</v>
      </c>
      <c r="E83" s="88">
        <f>+C83/D83</f>
        <v>377.45381722981369</v>
      </c>
      <c r="F83" s="22"/>
      <c r="G83" s="81"/>
      <c r="H83" s="24"/>
      <c r="I83" s="24"/>
      <c r="J83" s="7"/>
    </row>
    <row r="84" spans="1:10" x14ac:dyDescent="0.2">
      <c r="B84" s="82"/>
      <c r="C84" s="83"/>
      <c r="D84" s="83"/>
      <c r="E84" s="88"/>
      <c r="F84" s="22"/>
      <c r="G84" s="81"/>
      <c r="H84" s="24"/>
      <c r="I84" s="24"/>
      <c r="J84" s="7"/>
    </row>
    <row r="85" spans="1:10" ht="13.5" thickBot="1" x14ac:dyDescent="0.25">
      <c r="B85" s="82" t="s">
        <v>102</v>
      </c>
      <c r="C85" s="83">
        <f>+C73</f>
        <v>122</v>
      </c>
      <c r="D85" s="83">
        <f>+D60</f>
        <v>4</v>
      </c>
      <c r="E85" s="88">
        <f>+C85/D85</f>
        <v>30.5</v>
      </c>
      <c r="F85" s="90"/>
      <c r="G85" s="80"/>
      <c r="H85" s="6"/>
      <c r="I85" s="24"/>
    </row>
    <row r="86" spans="1:10" ht="13.5" thickBot="1" x14ac:dyDescent="0.25">
      <c r="B86" s="82" t="s">
        <v>102</v>
      </c>
      <c r="C86" s="83">
        <f>+C74</f>
        <v>258.4638130974476</v>
      </c>
      <c r="D86" s="83">
        <f>+D85</f>
        <v>4</v>
      </c>
      <c r="E86" s="84">
        <f>+C86/D86</f>
        <v>64.6159532743619</v>
      </c>
      <c r="F86" s="89"/>
      <c r="G86" s="80"/>
      <c r="H86" s="6"/>
      <c r="I86" s="6"/>
    </row>
    <row r="87" spans="1:10" x14ac:dyDescent="0.2">
      <c r="I87" s="6"/>
    </row>
    <row r="88" spans="1:10" x14ac:dyDescent="0.2">
      <c r="A88" s="155"/>
      <c r="B88" s="155"/>
      <c r="C88" s="91"/>
      <c r="D88" s="91"/>
      <c r="E88" s="92"/>
      <c r="G88" s="93"/>
    </row>
    <row r="89" spans="1:10" x14ac:dyDescent="0.2">
      <c r="A89" s="25"/>
      <c r="B89" s="94"/>
      <c r="C89" s="95"/>
      <c r="D89" s="95"/>
      <c r="E89" s="96"/>
      <c r="G89" s="93"/>
    </row>
    <row r="90" spans="1:10" x14ac:dyDescent="0.2">
      <c r="A90" s="25"/>
      <c r="B90" s="94"/>
      <c r="C90" s="97"/>
      <c r="D90" s="97"/>
      <c r="E90" s="25"/>
      <c r="G90" s="93"/>
    </row>
    <row r="91" spans="1:10" x14ac:dyDescent="0.2">
      <c r="A91" s="25"/>
      <c r="B91" s="94"/>
      <c r="C91" s="98"/>
      <c r="D91" s="98"/>
      <c r="E91" s="25"/>
      <c r="G91" s="9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C04F9E29-67D9-458E-9F81-C49A3695594D}"/>
</file>

<file path=customXml/itemProps2.xml><?xml version="1.0" encoding="utf-8"?>
<ds:datastoreItem xmlns:ds="http://schemas.openxmlformats.org/officeDocument/2006/customXml" ds:itemID="{3F5797ED-25B8-4E41-B6BE-AF7790FC64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D40FB4-344D-4E50-A38D-9466AA52F7F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Relleno</vt:lpstr>
      <vt:lpstr>costo Empanada </vt:lpstr>
      <vt:lpstr>Costo Empaque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2026-02-25T16:24:35Z</cp:lastPrinted>
  <dcterms:created xsi:type="dcterms:W3CDTF">2009-03-11T22:07:15Z</dcterms:created>
  <dcterms:modified xsi:type="dcterms:W3CDTF">2026-02-25T16:24:38Z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100179600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
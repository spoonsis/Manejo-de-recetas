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8613F28F-45BA-4263-8853-AD5B57C79191}" xr6:coauthVersionLast="47" xr6:coauthVersionMax="47" xr10:uidLastSave="{EE81FECE-813B-4514-B0DC-BC1ED17A8213}"/>
  <bookViews>
    <workbookView xWindow="-120" yWindow="-120" windowWidth="29040" windowHeight="15840" tabRatio="876" xr2:uid="{00000000-000D-0000-FFFF-FFFF00000000}"/>
  </bookViews>
  <sheets>
    <sheet name="Hoja1" sheetId="10" r:id="rId1"/>
    <sheet name="Costo empaque" sheetId="8" state="hidden" r:id="rId2"/>
    <sheet name="PRECIO," sheetId="9" state="hidden" r:id="rId3"/>
  </sheets>
  <externalReferences>
    <externalReference r:id="rId4"/>
    <externalReference r:id="rId5"/>
    <externalReference r:id="rId6"/>
  </externalReferenc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I54" i="9"/>
  <c r="F38" i="9"/>
  <c r="G38" i="9"/>
  <c r="E38" i="9"/>
  <c r="D38" i="9"/>
  <c r="C38" i="9"/>
  <c r="F37" i="9"/>
  <c r="G37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3" i="9"/>
  <c r="G33" i="9"/>
  <c r="F34" i="9"/>
  <c r="G34" i="9"/>
  <c r="F35" i="9"/>
  <c r="G35" i="9"/>
  <c r="F36" i="9"/>
  <c r="G36" i="9"/>
  <c r="G43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83" i="8"/>
  <c r="D73" i="8"/>
  <c r="D74" i="8"/>
  <c r="D76" i="8"/>
  <c r="D71" i="8"/>
  <c r="D69" i="8"/>
  <c r="F65" i="8"/>
  <c r="C73" i="8"/>
  <c r="D60" i="8"/>
  <c r="D85" i="8"/>
  <c r="D86" i="8"/>
  <c r="C51" i="8"/>
  <c r="E50" i="8"/>
  <c r="F50" i="8"/>
  <c r="D50" i="8"/>
  <c r="B50" i="8"/>
  <c r="E49" i="8"/>
  <c r="D49" i="8"/>
  <c r="B49" i="8"/>
  <c r="E48" i="8"/>
  <c r="F48" i="8"/>
  <c r="D48" i="8"/>
  <c r="B48" i="8"/>
  <c r="E47" i="8"/>
  <c r="F47" i="8"/>
  <c r="D47" i="8"/>
  <c r="B47" i="8"/>
  <c r="E46" i="8"/>
  <c r="F46" i="8"/>
  <c r="D46" i="8"/>
  <c r="B46" i="8"/>
  <c r="E45" i="8"/>
  <c r="F45" i="8"/>
  <c r="D45" i="8"/>
  <c r="B45" i="8"/>
  <c r="E44" i="8"/>
  <c r="F44" i="8"/>
  <c r="D44" i="8"/>
  <c r="E42" i="8"/>
  <c r="F42" i="8"/>
  <c r="D42" i="8"/>
  <c r="B42" i="8"/>
  <c r="E41" i="8"/>
  <c r="F41" i="8"/>
  <c r="D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C39" i="8"/>
  <c r="B39" i="8"/>
  <c r="A39" i="8"/>
  <c r="A48" i="8"/>
  <c r="C48" i="8"/>
  <c r="E38" i="8"/>
  <c r="D38" i="8"/>
  <c r="C38" i="8"/>
  <c r="B38" i="8"/>
  <c r="A38" i="8"/>
  <c r="A47" i="8"/>
  <c r="C47" i="8"/>
  <c r="E37" i="8"/>
  <c r="F37" i="8"/>
  <c r="D37" i="8"/>
  <c r="B37" i="8"/>
  <c r="A37" i="8"/>
  <c r="A46" i="8"/>
  <c r="C46" i="8"/>
  <c r="E36" i="8"/>
  <c r="F36" i="8"/>
  <c r="D36" i="8"/>
  <c r="B36" i="8"/>
  <c r="A36" i="8"/>
  <c r="C36" i="8"/>
  <c r="E35" i="8"/>
  <c r="F35" i="8"/>
  <c r="D35" i="8"/>
  <c r="B35" i="8"/>
  <c r="A35" i="8"/>
  <c r="A44" i="8"/>
  <c r="C44" i="8"/>
  <c r="E32" i="8"/>
  <c r="D32" i="8"/>
  <c r="C32" i="8"/>
  <c r="B32" i="8"/>
  <c r="E31" i="8"/>
  <c r="F31" i="8"/>
  <c r="D31" i="8"/>
  <c r="C31" i="8"/>
  <c r="B31" i="8"/>
  <c r="C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F38" i="8"/>
  <c r="F49" i="8"/>
  <c r="A45" i="8"/>
  <c r="C45" i="8"/>
  <c r="F27" i="8"/>
  <c r="F17" i="8"/>
  <c r="C35" i="8"/>
  <c r="C37" i="8"/>
  <c r="C41" i="8"/>
  <c r="C40" i="8"/>
  <c r="E51" i="8"/>
  <c r="F51" i="8"/>
  <c r="D81" i="8"/>
  <c r="F30" i="8"/>
  <c r="F32" i="8"/>
  <c r="E73" i="8"/>
  <c r="C85" i="8"/>
  <c r="E85" i="8"/>
  <c r="G41" i="9"/>
  <c r="F41" i="9"/>
  <c r="F53" i="8"/>
  <c r="F54" i="8"/>
  <c r="F56" i="8"/>
  <c r="G49" i="9"/>
  <c r="H54" i="8"/>
  <c r="G2" i="8"/>
  <c r="C76" i="8"/>
  <c r="E76" i="8"/>
  <c r="C74" i="8"/>
  <c r="H56" i="8"/>
  <c r="H2" i="8"/>
  <c r="H53" i="8"/>
  <c r="F2" i="8"/>
  <c r="C69" i="8"/>
  <c r="F55" i="8"/>
  <c r="F64" i="8"/>
  <c r="F63" i="8"/>
  <c r="H55" i="8"/>
  <c r="O54" i="8"/>
  <c r="C86" i="8"/>
  <c r="E86" i="8"/>
  <c r="E74" i="8"/>
  <c r="C81" i="8"/>
  <c r="E81" i="8"/>
  <c r="E69" i="8"/>
  <c r="O58" i="8"/>
  <c r="O56" i="8"/>
  <c r="O55" i="8"/>
  <c r="O57" i="8"/>
  <c r="O59" i="8"/>
  <c r="E63" i="8"/>
  <c r="C71" i="8"/>
  <c r="F66" i="8"/>
  <c r="G63" i="8"/>
  <c r="E78" i="8"/>
  <c r="O60" i="8"/>
  <c r="O61" i="8"/>
  <c r="O62" i="8"/>
  <c r="G9" i="8"/>
  <c r="G38" i="8"/>
  <c r="G21" i="8"/>
  <c r="G65" i="8"/>
  <c r="G17" i="8"/>
  <c r="G66" i="8"/>
  <c r="G36" i="8"/>
  <c r="G27" i="8"/>
  <c r="G11" i="8"/>
  <c r="G51" i="8"/>
  <c r="G30" i="8"/>
  <c r="G32" i="8"/>
  <c r="G8" i="8"/>
  <c r="G14" i="8"/>
  <c r="G13" i="8"/>
  <c r="G50" i="8"/>
  <c r="G44" i="8"/>
  <c r="G23" i="8"/>
  <c r="G31" i="8"/>
  <c r="G28" i="8"/>
  <c r="G20" i="8"/>
  <c r="G39" i="8"/>
  <c r="G47" i="8"/>
  <c r="G18" i="8"/>
  <c r="G42" i="8"/>
  <c r="G41" i="8"/>
  <c r="G48" i="8"/>
  <c r="G46" i="8"/>
  <c r="G12" i="8"/>
  <c r="G10" i="8"/>
  <c r="G35" i="8"/>
  <c r="G37" i="8"/>
  <c r="G49" i="8"/>
  <c r="G29" i="8"/>
  <c r="G24" i="8"/>
  <c r="G40" i="8"/>
  <c r="G22" i="8"/>
  <c r="G19" i="8"/>
  <c r="G45" i="8"/>
  <c r="G53" i="8"/>
  <c r="G54" i="8"/>
  <c r="G56" i="8"/>
  <c r="G64" i="8"/>
  <c r="G55" i="8"/>
  <c r="C83" i="8"/>
  <c r="E83" i="8"/>
  <c r="E71" i="8"/>
  <c r="P62" i="8"/>
  <c r="F9" i="9"/>
  <c r="G9" i="9"/>
  <c r="E2" i="8"/>
  <c r="G40" i="9"/>
  <c r="G42" i="9"/>
  <c r="G48" i="9"/>
  <c r="G44" i="9"/>
  <c r="G50" i="9"/>
  <c r="G51" i="9"/>
  <c r="I1" i="9"/>
  <c r="G52" i="9"/>
  <c r="G53" i="9"/>
  <c r="J53" i="9"/>
  <c r="H25" i="9"/>
  <c r="H19" i="9"/>
  <c r="H34" i="9"/>
  <c r="H14" i="9"/>
  <c r="H31" i="9"/>
  <c r="H12" i="9"/>
  <c r="H20" i="9"/>
  <c r="H36" i="9"/>
  <c r="H35" i="9"/>
  <c r="H30" i="9"/>
  <c r="H27" i="9"/>
  <c r="H13" i="9"/>
  <c r="H10" i="9"/>
  <c r="H26" i="9"/>
  <c r="G54" i="9"/>
  <c r="H29" i="9"/>
  <c r="H28" i="9"/>
  <c r="G55" i="9"/>
  <c r="H11" i="9"/>
  <c r="H37" i="9"/>
  <c r="H33" i="9"/>
  <c r="H18" i="9"/>
  <c r="H43" i="9"/>
  <c r="H24" i="9"/>
  <c r="H17" i="9"/>
  <c r="H38" i="9"/>
  <c r="H41" i="9"/>
  <c r="H49" i="9"/>
  <c r="H9" i="9"/>
  <c r="H40" i="9"/>
  <c r="H42" i="9"/>
  <c r="H44" i="9"/>
  <c r="H48" i="9"/>
  <c r="H50" i="9"/>
  <c r="H51" i="9"/>
</calcChain>
</file>

<file path=xl/sharedStrings.xml><?xml version="1.0" encoding="utf-8"?>
<sst xmlns="http://schemas.openxmlformats.org/spreadsheetml/2006/main" count="227" uniqueCount="150">
  <si>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</si>
  <si>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</si>
  <si>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</si>
  <si>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</si>
  <si>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</si>
  <si>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</si>
  <si>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</si>
  <si>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</si>
  <si>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</si>
  <si>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</si>
  <si>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</si>
  <si>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</si>
  <si>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</si>
  <si>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</si>
  <si>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</si>
  <si>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</si>
  <si>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</si>
  <si>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</si>
  <si>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</si>
  <si>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</si>
  <si>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</si>
  <si>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</si>
  <si>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</si>
  <si>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</si>
  <si>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</si>
  <si>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</si>
  <si>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</si>
  <si>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</si>
  <si>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</si>
  <si>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</si>
  <si>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</si>
  <si>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</si>
  <si>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</si>
  <si>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</si>
  <si>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</si>
  <si>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</si>
  <si>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</si>
  <si>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</si>
  <si>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</si>
  <si>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</si>
  <si>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</si>
  <si>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</si>
  <si>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</si>
  <si>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</si>
  <si>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</si>
  <si>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</si>
  <si>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</si>
  <si>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</si>
  <si>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</si>
  <si>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</si>
  <si>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</si>
  <si>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</si>
  <si>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</si>
  <si>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</si>
  <si>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</si>
  <si>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</si>
  <si>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</si>
  <si>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</si>
  <si>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</si>
  <si>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</si>
  <si>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</si>
  <si>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</si>
  <si>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</si>
  <si>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</si>
  <si>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</si>
  <si>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</si>
  <si>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</si>
  <si>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</si>
  <si>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</si>
  <si>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</si>
  <si>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</si>
  <si>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</si>
  <si>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</si>
  <si>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</si>
  <si>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</si>
  <si>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</si>
  <si>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</si>
  <si>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</si>
  <si>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</si>
  <si>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</si>
  <si>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</si>
  <si>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</si>
  <si>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</si>
  <si>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</si>
  <si>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</si>
  <si>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</si>
  <si>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</si>
  <si>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</si>
  <si>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</si>
  <si>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</si>
  <si>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</si>
  <si>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</si>
  <si>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</si>
  <si>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</si>
  <si>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</si>
  <si>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</si>
  <si>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</si>
  <si>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</si>
  <si>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</si>
  <si>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</si>
  <si>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</si>
  <si>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</si>
  <si>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</si>
  <si>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ETIQUETA BLANCA 2 5/8X1 15/16 (UND)</t>
  </si>
  <si>
    <t>ETIPLAST</t>
  </si>
  <si>
    <t>0702123</t>
  </si>
  <si>
    <t>GALLETA MEDIA LUNA BAÑADO CHOCOLATE OSCURO</t>
  </si>
  <si>
    <t>GIF</t>
  </si>
  <si>
    <t>904000050</t>
  </si>
  <si>
    <t>904000030</t>
  </si>
  <si>
    <t>NUEVO</t>
  </si>
  <si>
    <t>BOLSITA CON VENTANA KRAFT</t>
  </si>
  <si>
    <t>Und</t>
  </si>
  <si>
    <t>BOLSA MEDIA LUNA DARK</t>
  </si>
  <si>
    <t>60100062</t>
  </si>
  <si>
    <t>ETIQUETA GALLETA MEDIA LUNA DARK ( UND)</t>
  </si>
  <si>
    <t>und</t>
  </si>
  <si>
    <t>4, Mantener en temp ambiente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</si>
  <si>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</si>
  <si>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</si>
  <si>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</si>
  <si>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3, Etiquetar con fecha de vencimiento en un costado; y etiqueta con nombre y descripción de ingredientes en la parte trasera</t>
  </si>
  <si>
    <t>20200076(PTL00069) Media Luna Chocolate Dark Und Bolsita 100g</t>
  </si>
  <si>
    <t>SE00326</t>
  </si>
  <si>
    <t>EM10190</t>
  </si>
  <si>
    <t>EM10071</t>
  </si>
  <si>
    <t>EM10005</t>
  </si>
  <si>
    <t>EM10011</t>
  </si>
  <si>
    <t>01</t>
  </si>
  <si>
    <t>Javier Tong, Chef</t>
  </si>
  <si>
    <t>Esteban Cartin, Gte Manufactura</t>
  </si>
  <si>
    <t>Pastas</t>
  </si>
  <si>
    <t># Código Netsuite</t>
  </si>
  <si>
    <t>Ensamble</t>
  </si>
  <si>
    <t>UND</t>
  </si>
  <si>
    <t>Decoración</t>
  </si>
  <si>
    <t/>
  </si>
  <si>
    <t>Empaque</t>
  </si>
  <si>
    <t>0702169</t>
  </si>
  <si>
    <t xml:space="preserve">CARTULINA KRAFT 2.5 X 31 -8 </t>
  </si>
  <si>
    <t>CENTINELA</t>
  </si>
  <si>
    <t>ETIQ.FECHA VENCIMIENTO VERDE</t>
  </si>
  <si>
    <t>EM10247</t>
  </si>
  <si>
    <t>ETIQ MEDIA LUNA CHOCOLATE LECHE RECT</t>
  </si>
  <si>
    <t>Tiempo de Horneo:</t>
  </si>
  <si>
    <t>Horno:</t>
  </si>
  <si>
    <t>Temperatura de Horneo:</t>
  </si>
  <si>
    <t>Otros</t>
  </si>
  <si>
    <t>CONTROL DE CAMBIOS</t>
  </si>
  <si>
    <t>ESP-RE-FIF-014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</si>
</sst>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1"/>
      <color rgb="FF000000"/>
      <name val="Calibri"/>
      <family val="2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3" fillId="0" borderId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402">
    <xf numFmtId="0" fontId="0" fillId="0" borderId="0" xfId="0"/>
    <xf numFmtId="0" fontId="2" fillId="2" borderId="2" xfId="6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6" fillId="0" borderId="6" xfId="5" applyNumberFormat="1" applyFont="1" applyBorder="1" applyAlignment="1">
      <alignment horizontal="center"/>
    </xf>
    <xf numFmtId="16" fontId="6" fillId="0" borderId="3" xfId="5" applyNumberFormat="1" applyFont="1" applyBorder="1" applyAlignment="1">
      <alignment horizontal="center"/>
    </xf>
    <xf numFmtId="1" fontId="6" fillId="0" borderId="3" xfId="5" applyNumberFormat="1" applyFont="1" applyBorder="1" applyAlignment="1">
      <alignment horizontal="center"/>
    </xf>
    <xf numFmtId="1" fontId="6" fillId="0" borderId="3" xfId="5" applyNumberFormat="1" applyFont="1" applyBorder="1" applyAlignment="1">
      <alignment horizontal="center" wrapText="1"/>
    </xf>
    <xf numFmtId="1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53" fillId="2" borderId="0" xfId="6" applyNumberFormat="1" applyFont="1" applyFill="1" applyAlignment="1">
      <alignment horizontal="center" vertical="center" wrapText="1"/>
    </xf>
    <xf numFmtId="49" fontId="10" fillId="0" borderId="3" xfId="5" applyNumberFormat="1" applyFont="1" applyBorder="1" applyAlignment="1">
      <alignment horizontal="center"/>
    </xf>
    <xf numFmtId="49" fontId="11" fillId="0" borderId="3" xfId="5" applyNumberFormat="1" applyFont="1" applyBorder="1"/>
    <xf numFmtId="1" fontId="12" fillId="0" borderId="12" xfId="5" applyNumberFormat="1" applyFont="1" applyBorder="1" applyAlignment="1">
      <alignment horizontal="center"/>
    </xf>
    <xf numFmtId="1" fontId="12" fillId="0" borderId="12" xfId="5" applyNumberFormat="1" applyFont="1" applyBorder="1" applyAlignment="1">
      <alignment horizontal="center" wrapText="1"/>
    </xf>
    <xf numFmtId="0" fontId="11" fillId="10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1" fillId="0" borderId="0" xfId="0" applyFont="1"/>
    <xf numFmtId="49" fontId="14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/>
    <xf numFmtId="49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10" fontId="15" fillId="4" borderId="19" xfId="8" applyNumberFormat="1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165" fontId="22" fillId="4" borderId="20" xfId="1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vertical="center"/>
    </xf>
    <xf numFmtId="10" fontId="15" fillId="4" borderId="20" xfId="8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165" fontId="27" fillId="5" borderId="21" xfId="1" applyFont="1" applyFill="1" applyBorder="1" applyAlignment="1">
      <alignment horizontal="right"/>
    </xf>
    <xf numFmtId="0" fontId="28" fillId="0" borderId="0" xfId="0" applyFont="1" applyAlignment="1">
      <alignment horizontal="left" vertical="center"/>
    </xf>
    <xf numFmtId="169" fontId="14" fillId="4" borderId="3" xfId="1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165" fontId="14" fillId="6" borderId="3" xfId="1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4" borderId="22" xfId="0" applyFont="1" applyFill="1" applyBorder="1" applyAlignment="1">
      <alignment vertical="center"/>
    </xf>
    <xf numFmtId="165" fontId="27" fillId="4" borderId="10" xfId="1" applyFont="1" applyFill="1" applyBorder="1" applyAlignment="1">
      <alignment horizontal="right"/>
    </xf>
    <xf numFmtId="0" fontId="14" fillId="4" borderId="11" xfId="0" applyFont="1" applyFill="1" applyBorder="1" applyAlignment="1">
      <alignment horizontal="right" vertical="center"/>
    </xf>
    <xf numFmtId="165" fontId="34" fillId="0" borderId="0" xfId="0" applyNumberFormat="1" applyFont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14" fillId="7" borderId="2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" fontId="11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28" fillId="0" borderId="0" xfId="0" applyFont="1"/>
    <xf numFmtId="0" fontId="28" fillId="0" borderId="0" xfId="0" applyFont="1" applyAlignment="1">
      <alignment horizontal="center"/>
    </xf>
    <xf numFmtId="0" fontId="42" fillId="0" borderId="0" xfId="0" applyFont="1"/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5" fontId="14" fillId="0" borderId="0" xfId="1" applyFont="1" applyAlignment="1">
      <alignment vertical="top"/>
    </xf>
    <xf numFmtId="4" fontId="14" fillId="0" borderId="0" xfId="1" applyNumberFormat="1" applyFont="1" applyAlignment="1">
      <alignment vertical="top"/>
    </xf>
    <xf numFmtId="49" fontId="14" fillId="0" borderId="0" xfId="2" applyNumberFormat="1" applyFont="1" applyAlignment="1">
      <alignment horizontal="center"/>
    </xf>
    <xf numFmtId="0" fontId="14" fillId="12" borderId="21" xfId="0" applyFont="1" applyFill="1" applyBorder="1" applyAlignment="1">
      <alignment horizontal="center" vertical="center"/>
    </xf>
    <xf numFmtId="0" fontId="24" fillId="0" borderId="0" xfId="0" applyFont="1"/>
    <xf numFmtId="0" fontId="46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4" fillId="4" borderId="10" xfId="0" applyFont="1" applyFill="1" applyBorder="1"/>
    <xf numFmtId="0" fontId="11" fillId="0" borderId="23" xfId="0" applyFont="1" applyBorder="1"/>
    <xf numFmtId="0" fontId="22" fillId="0" borderId="0" xfId="0" applyFont="1" applyAlignment="1">
      <alignment horizontal="center"/>
    </xf>
    <xf numFmtId="165" fontId="14" fillId="3" borderId="21" xfId="1" applyFont="1" applyFill="1" applyBorder="1" applyAlignment="1">
      <alignment horizontal="center"/>
    </xf>
    <xf numFmtId="0" fontId="49" fillId="0" borderId="0" xfId="0" applyFont="1"/>
    <xf numFmtId="0" fontId="50" fillId="0" borderId="0" xfId="0" applyFont="1" applyAlignment="1">
      <alignment horizontal="right"/>
    </xf>
    <xf numFmtId="2" fontId="5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3" fontId="14" fillId="8" borderId="21" xfId="0" applyNumberFormat="1" applyFont="1" applyFill="1" applyBorder="1" applyAlignment="1">
      <alignment horizontal="center"/>
    </xf>
    <xf numFmtId="0" fontId="28" fillId="4" borderId="10" xfId="0" applyFont="1" applyFill="1" applyBorder="1"/>
    <xf numFmtId="3" fontId="35" fillId="9" borderId="21" xfId="0" applyNumberFormat="1" applyFont="1" applyFill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16" fontId="12" fillId="0" borderId="12" xfId="5" applyNumberFormat="1" applyFont="1" applyBorder="1" applyAlignment="1">
      <alignment horizontal="center" vertical="center"/>
    </xf>
    <xf numFmtId="1" fontId="12" fillId="0" borderId="12" xfId="5" applyNumberFormat="1" applyFont="1" applyBorder="1" applyAlignment="1">
      <alignment horizontal="center" vertical="center"/>
    </xf>
    <xf numFmtId="1" fontId="12" fillId="0" borderId="12" xfId="5" applyNumberFormat="1" applyFont="1" applyBorder="1" applyAlignment="1">
      <alignment horizontal="center" vertical="center" wrapText="1"/>
    </xf>
    <xf numFmtId="49" fontId="10" fillId="0" borderId="6" xfId="5" applyNumberFormat="1" applyFont="1" applyBorder="1" applyAlignment="1">
      <alignment horizontal="center"/>
    </xf>
    <xf numFmtId="16" fontId="12" fillId="0" borderId="12" xfId="5" applyNumberFormat="1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14" fillId="0" borderId="3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165" fontId="16" fillId="0" borderId="0" xfId="1" applyFont="1" applyFill="1" applyBorder="1" applyAlignment="1">
      <alignment horizontal="center" vertic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8" applyNumberFormat="1" applyFont="1" applyFill="1" applyAlignment="1">
      <alignment vertical="center"/>
    </xf>
    <xf numFmtId="10" fontId="15" fillId="0" borderId="0" xfId="8" applyNumberFormat="1" applyFont="1" applyFill="1" applyAlignment="1">
      <alignment vertical="center"/>
    </xf>
    <xf numFmtId="165" fontId="11" fillId="0" borderId="0" xfId="1" applyFont="1" applyFill="1" applyAlignment="1">
      <alignment vertical="center"/>
    </xf>
    <xf numFmtId="4" fontId="14" fillId="0" borderId="0" xfId="1" applyNumberFormat="1" applyFont="1" applyFill="1" applyAlignment="1">
      <alignment vertical="center"/>
    </xf>
    <xf numFmtId="165" fontId="22" fillId="0" borderId="0" xfId="1" applyFont="1" applyFill="1" applyAlignment="1">
      <alignment horizontal="center" vertical="center"/>
    </xf>
    <xf numFmtId="165" fontId="24" fillId="0" borderId="0" xfId="1" applyFont="1" applyFill="1" applyBorder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54" fillId="0" borderId="0" xfId="8" applyFont="1" applyFill="1" applyAlignment="1">
      <alignment horizontal="center"/>
    </xf>
    <xf numFmtId="4" fontId="22" fillId="0" borderId="0" xfId="1" applyNumberFormat="1" applyFont="1" applyFill="1" applyAlignment="1">
      <alignment vertical="center"/>
    </xf>
    <xf numFmtId="165" fontId="27" fillId="0" borderId="0" xfId="1" applyFont="1" applyFill="1" applyBorder="1" applyAlignment="1">
      <alignment horizontal="right"/>
    </xf>
    <xf numFmtId="165" fontId="14" fillId="0" borderId="3" xfId="1" applyFont="1" applyFill="1" applyBorder="1" applyAlignment="1">
      <alignment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8" applyNumberFormat="1" applyFont="1" applyFill="1" applyAlignment="1">
      <alignment horizontal="right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10" fontId="11" fillId="0" borderId="0" xfId="8" applyNumberFormat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0" fontId="33" fillId="0" borderId="0" xfId="1" applyNumberFormat="1" applyFont="1" applyFill="1" applyAlignment="1">
      <alignment vertical="center"/>
    </xf>
    <xf numFmtId="10" fontId="15" fillId="0" borderId="0" xfId="8" applyNumberFormat="1" applyFont="1" applyFill="1" applyBorder="1" applyAlignment="1">
      <alignment vertical="center"/>
    </xf>
    <xf numFmtId="165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11" fillId="0" borderId="0" xfId="1" applyNumberFormat="1" applyFont="1" applyFill="1" applyAlignment="1">
      <alignment vertical="center"/>
    </xf>
    <xf numFmtId="4" fontId="21" fillId="0" borderId="0" xfId="1" applyNumberFormat="1" applyFont="1" applyFill="1" applyAlignment="1">
      <alignment vertical="center"/>
    </xf>
    <xf numFmtId="165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8" applyNumberFormat="1" applyFont="1" applyFill="1" applyAlignment="1">
      <alignment vertical="center"/>
    </xf>
    <xf numFmtId="165" fontId="30" fillId="0" borderId="0" xfId="1" applyFont="1" applyFill="1" applyBorder="1" applyAlignment="1">
      <alignment vertical="center"/>
    </xf>
    <xf numFmtId="165" fontId="11" fillId="0" borderId="0" xfId="1" applyFont="1" applyFill="1" applyBorder="1"/>
    <xf numFmtId="10" fontId="30" fillId="0" borderId="0" xfId="8" applyNumberFormat="1" applyFont="1" applyFill="1" applyBorder="1" applyAlignment="1">
      <alignment vertical="center"/>
    </xf>
    <xf numFmtId="165" fontId="11" fillId="0" borderId="0" xfId="1" applyFont="1" applyFill="1" applyBorder="1" applyAlignment="1">
      <alignment horizontal="center"/>
    </xf>
    <xf numFmtId="10" fontId="43" fillId="0" borderId="0" xfId="8" applyNumberFormat="1" applyFont="1" applyFill="1"/>
    <xf numFmtId="10" fontId="14" fillId="0" borderId="0" xfId="8" applyNumberFormat="1" applyFont="1" applyFill="1" applyAlignment="1">
      <alignment horizontal="right" vertical="center"/>
    </xf>
    <xf numFmtId="165" fontId="24" fillId="0" borderId="0" xfId="1" applyFont="1" applyFill="1" applyBorder="1" applyAlignment="1">
      <alignment vertical="center"/>
    </xf>
    <xf numFmtId="4" fontId="20" fillId="0" borderId="0" xfId="2" applyNumberFormat="1" applyFont="1" applyFill="1" applyBorder="1" applyAlignment="1">
      <alignment horizontal="center" vertical="center"/>
    </xf>
    <xf numFmtId="4" fontId="14" fillId="0" borderId="0" xfId="2" applyNumberFormat="1" applyFont="1" applyFill="1" applyBorder="1" applyAlignment="1">
      <alignment horizontal="center" vertical="center"/>
    </xf>
    <xf numFmtId="10" fontId="14" fillId="0" borderId="0" xfId="8" applyNumberFormat="1" applyFont="1" applyFill="1" applyAlignment="1">
      <alignment horizontal="right" vertical="top"/>
    </xf>
    <xf numFmtId="9" fontId="14" fillId="0" borderId="0" xfId="8" applyFont="1" applyFill="1" applyAlignment="1">
      <alignment horizontal="right" vertical="center"/>
    </xf>
    <xf numFmtId="165" fontId="46" fillId="0" borderId="0" xfId="1" applyFont="1" applyFill="1" applyBorder="1" applyAlignment="1">
      <alignment horizontal="center"/>
    </xf>
    <xf numFmtId="4" fontId="46" fillId="0" borderId="0" xfId="2" applyNumberFormat="1" applyFont="1" applyFill="1" applyBorder="1"/>
    <xf numFmtId="10" fontId="46" fillId="0" borderId="0" xfId="8" applyNumberFormat="1" applyFont="1" applyFill="1" applyAlignment="1">
      <alignment vertical="center"/>
    </xf>
    <xf numFmtId="49" fontId="46" fillId="0" borderId="0" xfId="2" applyNumberFormat="1" applyFont="1" applyFill="1" applyBorder="1" applyAlignment="1">
      <alignment horizontal="center"/>
    </xf>
    <xf numFmtId="49" fontId="47" fillId="0" borderId="0" xfId="2" applyNumberFormat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/>
    </xf>
    <xf numFmtId="165" fontId="14" fillId="0" borderId="25" xfId="1" applyFont="1" applyFill="1" applyBorder="1" applyAlignment="1">
      <alignment horizontal="center"/>
    </xf>
    <xf numFmtId="165" fontId="38" fillId="0" borderId="0" xfId="1" applyFont="1" applyFill="1" applyBorder="1" applyAlignment="1">
      <alignment horizontal="center"/>
    </xf>
    <xf numFmtId="9" fontId="22" fillId="0" borderId="0" xfId="1" applyNumberFormat="1" applyFont="1" applyFill="1" applyBorder="1" applyAlignment="1">
      <alignment vertical="top"/>
    </xf>
    <xf numFmtId="4" fontId="22" fillId="0" borderId="0" xfId="1" applyNumberFormat="1" applyFont="1" applyFill="1" applyBorder="1" applyAlignment="1">
      <alignment horizontal="center"/>
    </xf>
    <xf numFmtId="10" fontId="14" fillId="0" borderId="0" xfId="8" applyNumberFormat="1" applyFont="1" applyFill="1" applyBorder="1" applyAlignment="1">
      <alignment horizontal="right" vertical="top"/>
    </xf>
    <xf numFmtId="10" fontId="30" fillId="0" borderId="0" xfId="8" applyNumberFormat="1" applyFont="1" applyFill="1" applyBorder="1" applyAlignment="1">
      <alignment horizontal="right" vertical="top"/>
    </xf>
    <xf numFmtId="10" fontId="14" fillId="0" borderId="0" xfId="8" applyNumberFormat="1" applyFont="1" applyFill="1" applyAlignment="1">
      <alignment horizontal="right"/>
    </xf>
    <xf numFmtId="170" fontId="35" fillId="0" borderId="0" xfId="1" applyNumberFormat="1" applyFont="1" applyFill="1" applyAlignment="1">
      <alignment vertical="top"/>
    </xf>
    <xf numFmtId="10" fontId="35" fillId="0" borderId="0" xfId="8" applyNumberFormat="1" applyFont="1" applyFill="1" applyAlignment="1">
      <alignment horizontal="right"/>
    </xf>
    <xf numFmtId="10" fontId="52" fillId="0" borderId="0" xfId="8" applyNumberFormat="1" applyFont="1" applyFill="1" applyAlignment="1">
      <alignment horizontal="right"/>
    </xf>
    <xf numFmtId="165" fontId="28" fillId="0" borderId="0" xfId="1" applyFont="1" applyFill="1" applyBorder="1"/>
    <xf numFmtId="10" fontId="38" fillId="0" borderId="0" xfId="8" applyNumberFormat="1" applyFont="1" applyFill="1" applyAlignment="1">
      <alignment horizontal="right"/>
    </xf>
    <xf numFmtId="9" fontId="28" fillId="0" borderId="0" xfId="7" applyFont="1"/>
    <xf numFmtId="0" fontId="55" fillId="0" borderId="0" xfId="0" applyFont="1" applyAlignment="1">
      <alignment horizontal="center"/>
    </xf>
    <xf numFmtId="0" fontId="0" fillId="0" borderId="42" xfId="0" applyBorder="1" applyAlignment="1">
      <alignment horizontal="center" vertical="center"/>
    </xf>
    <xf numFmtId="49" fontId="10" fillId="0" borderId="36" xfId="5" applyNumberFormat="1" applyFont="1" applyBorder="1" applyAlignment="1">
      <alignment horizontal="center"/>
    </xf>
    <xf numFmtId="49" fontId="6" fillId="0" borderId="36" xfId="5" applyNumberFormat="1" applyFont="1" applyBorder="1" applyAlignment="1">
      <alignment horizontal="center"/>
    </xf>
    <xf numFmtId="0" fontId="58" fillId="2" borderId="1" xfId="6" applyFont="1" applyFill="1" applyBorder="1" applyAlignment="1">
      <alignment horizontal="right"/>
    </xf>
    <xf numFmtId="0" fontId="58" fillId="2" borderId="3" xfId="6" applyFont="1" applyFill="1" applyBorder="1" applyAlignment="1">
      <alignment horizontal="right"/>
    </xf>
    <xf numFmtId="49" fontId="12" fillId="2" borderId="4" xfId="6" applyNumberFormat="1" applyFont="1" applyFill="1" applyBorder="1" applyAlignment="1">
      <alignment horizontal="center"/>
    </xf>
    <xf numFmtId="0" fontId="12" fillId="2" borderId="12" xfId="6" applyFont="1" applyFill="1" applyBorder="1" applyAlignment="1">
      <alignment horizontal="right"/>
    </xf>
    <xf numFmtId="0" fontId="12" fillId="2" borderId="3" xfId="6" applyFont="1" applyFill="1" applyBorder="1" applyAlignment="1">
      <alignment horizontal="right"/>
    </xf>
    <xf numFmtId="0" fontId="58" fillId="3" borderId="2" xfId="5" applyFont="1" applyFill="1" applyBorder="1" applyAlignment="1">
      <alignment horizontal="center" vertical="center" wrapText="1"/>
    </xf>
    <xf numFmtId="1" fontId="58" fillId="3" borderId="5" xfId="5" applyNumberFormat="1" applyFont="1" applyFill="1" applyBorder="1" applyAlignment="1">
      <alignment horizontal="center"/>
    </xf>
    <xf numFmtId="1" fontId="58" fillId="3" borderId="5" xfId="5" applyNumberFormat="1" applyFont="1" applyFill="1" applyBorder="1" applyAlignment="1">
      <alignment horizontal="center" wrapText="1"/>
    </xf>
    <xf numFmtId="0" fontId="58" fillId="3" borderId="15" xfId="5" applyFont="1" applyFill="1" applyBorder="1" applyAlignment="1">
      <alignment horizontal="center"/>
    </xf>
    <xf numFmtId="0" fontId="59" fillId="0" borderId="6" xfId="5" applyFont="1" applyBorder="1" applyAlignment="1">
      <alignment horizontal="center" vertical="center"/>
    </xf>
    <xf numFmtId="0" fontId="59" fillId="0" borderId="36" xfId="5" applyFont="1" applyBorder="1" applyAlignment="1">
      <alignment horizontal="center" vertical="center"/>
    </xf>
    <xf numFmtId="0" fontId="60" fillId="0" borderId="3" xfId="5" applyFont="1" applyBorder="1" applyAlignment="1">
      <alignment vertical="center"/>
    </xf>
    <xf numFmtId="0" fontId="59" fillId="0" borderId="3" xfId="5" applyFont="1" applyBorder="1" applyAlignment="1">
      <alignment horizontal="center" vertical="center"/>
    </xf>
    <xf numFmtId="1" fontId="59" fillId="0" borderId="3" xfId="5" applyNumberFormat="1" applyFont="1" applyBorder="1" applyAlignment="1">
      <alignment horizontal="center"/>
    </xf>
    <xf numFmtId="1" fontId="59" fillId="0" borderId="3" xfId="5" applyNumberFormat="1" applyFont="1" applyBorder="1" applyAlignment="1">
      <alignment horizontal="center" wrapText="1"/>
    </xf>
    <xf numFmtId="0" fontId="10" fillId="0" borderId="4" xfId="5" applyFont="1" applyBorder="1" applyAlignment="1">
      <alignment horizontal="center"/>
    </xf>
    <xf numFmtId="1" fontId="58" fillId="0" borderId="3" xfId="0" applyNumberFormat="1" applyFont="1" applyBorder="1" applyAlignment="1">
      <alignment horizontal="center"/>
    </xf>
    <xf numFmtId="0" fontId="0" fillId="0" borderId="3" xfId="9" applyFont="1" applyBorder="1" applyAlignment="1">
      <alignment horizontal="center"/>
    </xf>
    <xf numFmtId="49" fontId="14" fillId="0" borderId="3" xfId="5" applyNumberFormat="1" applyFont="1" applyBorder="1"/>
    <xf numFmtId="1" fontId="12" fillId="0" borderId="3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0" fillId="0" borderId="36" xfId="0" applyNumberFormat="1" applyFont="1" applyBorder="1" applyAlignment="1">
      <alignment horizontal="center"/>
    </xf>
    <xf numFmtId="49" fontId="28" fillId="0" borderId="3" xfId="0" applyNumberFormat="1" applyFont="1" applyBorder="1"/>
    <xf numFmtId="0" fontId="10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71" fontId="2" fillId="0" borderId="12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9" fillId="0" borderId="3" xfId="0" applyFont="1" applyBorder="1" applyAlignment="1">
      <alignment horizontal="center"/>
    </xf>
    <xf numFmtId="1" fontId="59" fillId="0" borderId="3" xfId="0" applyNumberFormat="1" applyFont="1" applyBorder="1" applyAlignment="1">
      <alignment horizontal="center"/>
    </xf>
    <xf numFmtId="1" fontId="59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" fontId="2" fillId="0" borderId="3" xfId="5" applyNumberFormat="1" applyBorder="1" applyAlignment="1">
      <alignment horizontal="center"/>
    </xf>
    <xf numFmtId="1" fontId="2" fillId="0" borderId="0" xfId="5" applyNumberFormat="1" applyAlignment="1">
      <alignment horizontal="center"/>
    </xf>
    <xf numFmtId="1" fontId="2" fillId="0" borderId="0" xfId="5" applyNumberFormat="1" applyAlignment="1">
      <alignment horizontal="center" wrapText="1"/>
    </xf>
    <xf numFmtId="2" fontId="12" fillId="0" borderId="12" xfId="5" applyNumberFormat="1" applyFont="1" applyBorder="1" applyAlignment="1">
      <alignment horizontal="center"/>
    </xf>
    <xf numFmtId="0" fontId="0" fillId="10" borderId="3" xfId="0" applyFill="1" applyBorder="1"/>
    <xf numFmtId="1" fontId="10" fillId="0" borderId="3" xfId="5" applyNumberFormat="1" applyFont="1" applyBorder="1" applyAlignment="1">
      <alignment horizontal="center"/>
    </xf>
    <xf numFmtId="1" fontId="10" fillId="0" borderId="3" xfId="5" applyNumberFormat="1" applyFont="1" applyBorder="1" applyAlignment="1">
      <alignment horizontal="center" wrapText="1"/>
    </xf>
    <xf numFmtId="0" fontId="2" fillId="0" borderId="12" xfId="5" applyBorder="1" applyAlignment="1">
      <alignment horizontal="center"/>
    </xf>
    <xf numFmtId="0" fontId="45" fillId="10" borderId="3" xfId="5" applyFont="1" applyFill="1" applyBorder="1" applyAlignment="1">
      <alignment horizontal="left"/>
    </xf>
    <xf numFmtId="0" fontId="10" fillId="0" borderId="3" xfId="5" applyFont="1" applyBorder="1" applyAlignment="1">
      <alignment horizontal="center"/>
    </xf>
    <xf numFmtId="172" fontId="10" fillId="0" borderId="3" xfId="5" applyNumberFormat="1" applyFon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" fillId="10" borderId="3" xfId="10" applyFill="1" applyBorder="1" applyAlignment="1">
      <alignment horizontal="center"/>
    </xf>
    <xf numFmtId="0" fontId="1" fillId="10" borderId="3" xfId="10" applyFill="1" applyBorder="1"/>
    <xf numFmtId="49" fontId="10" fillId="10" borderId="6" xfId="0" applyNumberFormat="1" applyFont="1" applyFill="1" applyBorder="1" applyAlignment="1">
      <alignment horizontal="center" vertical="center"/>
    </xf>
    <xf numFmtId="49" fontId="11" fillId="10" borderId="3" xfId="0" applyNumberFormat="1" applyFont="1" applyFill="1" applyBorder="1" applyAlignment="1">
      <alignment vertical="center"/>
    </xf>
    <xf numFmtId="16" fontId="10" fillId="0" borderId="3" xfId="0" applyNumberFormat="1" applyFont="1" applyBorder="1" applyAlignment="1">
      <alignment horizontal="center"/>
    </xf>
    <xf numFmtId="1" fontId="10" fillId="0" borderId="3" xfId="11" applyNumberFormat="1" applyFont="1" applyBorder="1" applyAlignment="1">
      <alignment horizontal="center"/>
    </xf>
    <xf numFmtId="1" fontId="10" fillId="0" borderId="3" xfId="11" applyNumberFormat="1" applyFont="1" applyBorder="1" applyAlignment="1">
      <alignment horizontal="center" wrapText="1"/>
    </xf>
    <xf numFmtId="49" fontId="59" fillId="0" borderId="37" xfId="5" applyNumberFormat="1" applyFont="1" applyBorder="1" applyAlignment="1">
      <alignment horizontal="center"/>
    </xf>
    <xf numFmtId="49" fontId="59" fillId="0" borderId="27" xfId="5" applyNumberFormat="1" applyFont="1" applyBorder="1" applyAlignment="1">
      <alignment horizontal="center"/>
    </xf>
    <xf numFmtId="0" fontId="61" fillId="10" borderId="3" xfId="5" applyFont="1" applyFill="1" applyBorder="1" applyAlignment="1">
      <alignment vertical="center"/>
    </xf>
    <xf numFmtId="0" fontId="59" fillId="0" borderId="36" xfId="5" applyFont="1" applyBorder="1" applyAlignment="1">
      <alignment horizontal="center"/>
    </xf>
    <xf numFmtId="2" fontId="10" fillId="0" borderId="3" xfId="5" applyNumberFormat="1" applyFont="1" applyBorder="1" applyAlignment="1">
      <alignment horizontal="center"/>
    </xf>
    <xf numFmtId="12" fontId="10" fillId="0" borderId="3" xfId="5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wrapText="1"/>
    </xf>
    <xf numFmtId="0" fontId="62" fillId="0" borderId="3" xfId="0" applyFont="1" applyBorder="1"/>
    <xf numFmtId="0" fontId="62" fillId="0" borderId="3" xfId="0" applyFont="1" applyBorder="1" applyAlignment="1">
      <alignment horizontal="center"/>
    </xf>
    <xf numFmtId="0" fontId="12" fillId="0" borderId="3" xfId="0" quotePrefix="1" applyFont="1" applyBorder="1"/>
    <xf numFmtId="0" fontId="10" fillId="0" borderId="3" xfId="0" applyFont="1" applyBorder="1"/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13" fillId="0" borderId="3" xfId="5" applyFont="1" applyBorder="1" applyAlignment="1">
      <alignment horizontal="center"/>
    </xf>
    <xf numFmtId="49" fontId="63" fillId="2" borderId="7" xfId="5" applyNumberFormat="1" applyFont="1" applyFill="1" applyBorder="1" applyAlignment="1">
      <alignment horizontal="center" vertical="center"/>
    </xf>
    <xf numFmtId="49" fontId="63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7" fontId="12" fillId="2" borderId="0" xfId="5" applyNumberFormat="1" applyFont="1" applyFill="1" applyAlignment="1">
      <alignment horizontal="center" wrapText="1"/>
    </xf>
    <xf numFmtId="0" fontId="12" fillId="2" borderId="8" xfId="5" applyFont="1" applyFill="1" applyBorder="1" applyAlignment="1">
      <alignment horizontal="center"/>
    </xf>
    <xf numFmtId="0" fontId="12" fillId="3" borderId="9" xfId="5" applyFont="1" applyFill="1" applyBorder="1" applyAlignment="1">
      <alignment horizontal="center"/>
    </xf>
    <xf numFmtId="0" fontId="12" fillId="3" borderId="10" xfId="5" applyFont="1" applyFill="1" applyBorder="1" applyAlignment="1">
      <alignment horizontal="center"/>
    </xf>
    <xf numFmtId="0" fontId="12" fillId="3" borderId="10" xfId="5" applyFont="1" applyFill="1" applyBorder="1"/>
    <xf numFmtId="0" fontId="58" fillId="3" borderId="10" xfId="5" applyFont="1" applyFill="1" applyBorder="1" applyAlignment="1">
      <alignment horizontal="center"/>
    </xf>
    <xf numFmtId="1" fontId="58" fillId="3" borderId="10" xfId="5" applyNumberFormat="1" applyFont="1" applyFill="1" applyBorder="1" applyAlignment="1">
      <alignment horizontal="center"/>
    </xf>
    <xf numFmtId="167" fontId="12" fillId="3" borderId="10" xfId="5" applyNumberFormat="1" applyFont="1" applyFill="1" applyBorder="1" applyAlignment="1">
      <alignment horizontal="center" wrapText="1"/>
    </xf>
    <xf numFmtId="0" fontId="12" fillId="3" borderId="11" xfId="5" applyFont="1" applyFill="1" applyBorder="1" applyAlignment="1">
      <alignment horizontal="center"/>
    </xf>
    <xf numFmtId="14" fontId="12" fillId="2" borderId="48" xfId="6" applyNumberFormat="1" applyFont="1" applyFill="1" applyBorder="1" applyAlignment="1">
      <alignment horizontal="center" vertical="center" wrapText="1"/>
    </xf>
    <xf numFmtId="14" fontId="12" fillId="2" borderId="51" xfId="6" applyNumberFormat="1" applyFont="1" applyFill="1" applyBorder="1" applyAlignment="1">
      <alignment horizontal="center" vertical="center" wrapText="1"/>
    </xf>
    <xf numFmtId="14" fontId="12" fillId="2" borderId="14" xfId="6" applyNumberFormat="1" applyFont="1" applyFill="1" applyBorder="1" applyAlignment="1">
      <alignment horizontal="center" vertical="center" wrapText="1"/>
    </xf>
    <xf numFmtId="0" fontId="12" fillId="2" borderId="49" xfId="6" applyFont="1" applyFill="1" applyBorder="1" applyAlignment="1">
      <alignment horizontal="left"/>
    </xf>
    <xf numFmtId="0" fontId="12" fillId="2" borderId="50" xfId="6" applyFont="1" applyFill="1" applyBorder="1" applyAlignment="1">
      <alignment horizontal="left"/>
    </xf>
    <xf numFmtId="0" fontId="12" fillId="2" borderId="42" xfId="6" applyFont="1" applyFill="1" applyBorder="1" applyAlignment="1">
      <alignment horizontal="left"/>
    </xf>
    <xf numFmtId="0" fontId="12" fillId="2" borderId="26" xfId="6" applyFont="1" applyFill="1" applyBorder="1" applyAlignment="1">
      <alignment horizontal="left"/>
    </xf>
    <xf numFmtId="0" fontId="12" fillId="2" borderId="27" xfId="6" applyFont="1" applyFill="1" applyBorder="1" applyAlignment="1">
      <alignment horizontal="left"/>
    </xf>
    <xf numFmtId="0" fontId="12" fillId="2" borderId="36" xfId="6" applyFont="1" applyFill="1" applyBorder="1" applyAlignment="1">
      <alignment horizontal="left"/>
    </xf>
    <xf numFmtId="0" fontId="12" fillId="2" borderId="40" xfId="6" applyFont="1" applyFill="1" applyBorder="1" applyAlignment="1">
      <alignment horizontal="center"/>
    </xf>
    <xf numFmtId="0" fontId="12" fillId="2" borderId="23" xfId="6" applyFont="1" applyFill="1" applyBorder="1" applyAlignment="1">
      <alignment horizontal="center"/>
    </xf>
    <xf numFmtId="0" fontId="12" fillId="2" borderId="7" xfId="6" applyFont="1" applyFill="1" applyBorder="1" applyAlignment="1">
      <alignment horizontal="center"/>
    </xf>
    <xf numFmtId="0" fontId="12" fillId="2" borderId="0" xfId="6" applyFont="1" applyFill="1" applyAlignment="1">
      <alignment horizontal="center"/>
    </xf>
    <xf numFmtId="0" fontId="12" fillId="2" borderId="31" xfId="6" applyFont="1" applyFill="1" applyBorder="1" applyAlignment="1">
      <alignment horizontal="center"/>
    </xf>
    <xf numFmtId="0" fontId="12" fillId="2" borderId="34" xfId="6" applyFont="1" applyFill="1" applyBorder="1" applyAlignment="1">
      <alignment horizontal="center"/>
    </xf>
    <xf numFmtId="0" fontId="57" fillId="2" borderId="1" xfId="6" applyFont="1" applyFill="1" applyBorder="1" applyAlignment="1">
      <alignment horizontal="center"/>
    </xf>
    <xf numFmtId="0" fontId="57" fillId="2" borderId="46" xfId="6" applyFont="1" applyFill="1" applyBorder="1" applyAlignment="1">
      <alignment horizontal="center"/>
    </xf>
    <xf numFmtId="0" fontId="8" fillId="5" borderId="26" xfId="6" applyFont="1" applyFill="1" applyBorder="1" applyAlignment="1">
      <alignment horizontal="center" vertical="center" wrapText="1"/>
    </xf>
    <xf numFmtId="0" fontId="8" fillId="5" borderId="27" xfId="6" applyFont="1" applyFill="1" applyBorder="1" applyAlignment="1">
      <alignment horizontal="center" vertical="center" wrapText="1"/>
    </xf>
    <xf numFmtId="0" fontId="8" fillId="5" borderId="36" xfId="6" applyFont="1" applyFill="1" applyBorder="1" applyAlignment="1">
      <alignment horizontal="center" vertical="center" wrapText="1"/>
    </xf>
    <xf numFmtId="0" fontId="58" fillId="2" borderId="47" xfId="6" applyFont="1" applyFill="1" applyBorder="1" applyAlignment="1">
      <alignment horizontal="right" vertical="top" wrapText="1"/>
    </xf>
    <xf numFmtId="0" fontId="58" fillId="2" borderId="44" xfId="6" applyFont="1" applyFill="1" applyBorder="1" applyAlignment="1">
      <alignment horizontal="right" vertical="top" wrapText="1"/>
    </xf>
    <xf numFmtId="0" fontId="58" fillId="2" borderId="45" xfId="6" applyFont="1" applyFill="1" applyBorder="1" applyAlignment="1">
      <alignment horizontal="right" vertical="top" wrapText="1"/>
    </xf>
    <xf numFmtId="0" fontId="5" fillId="2" borderId="0" xfId="6" applyFont="1" applyFill="1" applyAlignment="1">
      <alignment horizontal="right"/>
    </xf>
    <xf numFmtId="0" fontId="53" fillId="2" borderId="30" xfId="6" applyFont="1" applyFill="1" applyBorder="1" applyAlignment="1">
      <alignment horizontal="center"/>
    </xf>
    <xf numFmtId="0" fontId="5" fillId="2" borderId="0" xfId="6" applyFont="1" applyFill="1"/>
    <xf numFmtId="0" fontId="58" fillId="3" borderId="24" xfId="5" applyFont="1" applyFill="1" applyBorder="1" applyAlignment="1">
      <alignment horizontal="center" vertical="center"/>
    </xf>
    <xf numFmtId="0" fontId="58" fillId="3" borderId="29" xfId="5" applyFont="1" applyFill="1" applyBorder="1" applyAlignment="1">
      <alignment horizontal="center" vertical="center"/>
    </xf>
    <xf numFmtId="0" fontId="58" fillId="3" borderId="24" xfId="5" applyFont="1" applyFill="1" applyBorder="1" applyAlignment="1">
      <alignment horizontal="center" vertical="center" wrapText="1"/>
    </xf>
    <xf numFmtId="0" fontId="58" fillId="3" borderId="29" xfId="5" applyFont="1" applyFill="1" applyBorder="1" applyAlignment="1">
      <alignment horizontal="center" vertical="center" wrapText="1"/>
    </xf>
    <xf numFmtId="0" fontId="58" fillId="3" borderId="1" xfId="5" applyFont="1" applyFill="1" applyBorder="1" applyAlignment="1">
      <alignment horizontal="center" vertical="center"/>
    </xf>
    <xf numFmtId="0" fontId="58" fillId="3" borderId="5" xfId="5" applyFont="1" applyFill="1" applyBorder="1" applyAlignment="1">
      <alignment horizontal="center" vertical="center"/>
    </xf>
    <xf numFmtId="0" fontId="58" fillId="0" borderId="31" xfId="5" applyFont="1" applyBorder="1" applyAlignment="1">
      <alignment horizontal="right"/>
    </xf>
    <xf numFmtId="0" fontId="58" fillId="0" borderId="34" xfId="5" applyFont="1" applyBorder="1" applyAlignment="1">
      <alignment horizontal="right"/>
    </xf>
    <xf numFmtId="0" fontId="58" fillId="0" borderId="32" xfId="5" applyFont="1" applyBorder="1" applyAlignment="1">
      <alignment horizontal="right"/>
    </xf>
    <xf numFmtId="167" fontId="12" fillId="0" borderId="12" xfId="5" applyNumberFormat="1" applyFont="1" applyBorder="1" applyAlignment="1">
      <alignment horizontal="right"/>
    </xf>
    <xf numFmtId="0" fontId="12" fillId="2" borderId="13" xfId="5" applyFont="1" applyFill="1" applyBorder="1" applyAlignment="1">
      <alignment horizontal="center"/>
    </xf>
    <xf numFmtId="0" fontId="12" fillId="2" borderId="33" xfId="5" applyFont="1" applyFill="1" applyBorder="1" applyAlignment="1">
      <alignment horizontal="center"/>
    </xf>
    <xf numFmtId="0" fontId="58" fillId="0" borderId="37" xfId="5" applyFont="1" applyBorder="1" applyAlignment="1">
      <alignment horizontal="right"/>
    </xf>
    <xf numFmtId="0" fontId="58" fillId="0" borderId="27" xfId="5" applyFont="1" applyBorder="1" applyAlignment="1">
      <alignment horizontal="right"/>
    </xf>
    <xf numFmtId="0" fontId="58" fillId="0" borderId="36" xfId="5" applyFont="1" applyBorder="1" applyAlignment="1">
      <alignment horizontal="right"/>
    </xf>
    <xf numFmtId="0" fontId="12" fillId="0" borderId="3" xfId="5" applyFont="1" applyBorder="1" applyAlignment="1">
      <alignment horizontal="right"/>
    </xf>
    <xf numFmtId="167" fontId="12" fillId="0" borderId="26" xfId="5" applyNumberFormat="1" applyFont="1" applyBorder="1" applyAlignment="1">
      <alignment horizontal="center"/>
    </xf>
    <xf numFmtId="167" fontId="12" fillId="0" borderId="28" xfId="5" applyNumberFormat="1" applyFont="1" applyBorder="1" applyAlignment="1">
      <alignment horizontal="center"/>
    </xf>
    <xf numFmtId="0" fontId="7" fillId="0" borderId="31" xfId="5" applyFont="1" applyBorder="1" applyAlignment="1">
      <alignment horizontal="left" wrapText="1"/>
    </xf>
    <xf numFmtId="0" fontId="7" fillId="0" borderId="34" xfId="5" applyFont="1" applyBorder="1" applyAlignment="1">
      <alignment horizontal="left" wrapText="1"/>
    </xf>
    <xf numFmtId="0" fontId="7" fillId="0" borderId="33" xfId="5" applyFont="1" applyBorder="1" applyAlignment="1">
      <alignment horizontal="left" wrapText="1"/>
    </xf>
    <xf numFmtId="167" fontId="12" fillId="0" borderId="26" xfId="5" applyNumberFormat="1" applyFont="1" applyBorder="1" applyAlignment="1">
      <alignment horizontal="right" wrapText="1"/>
    </xf>
    <xf numFmtId="167" fontId="12" fillId="0" borderId="36" xfId="5" applyNumberFormat="1" applyFont="1" applyBorder="1" applyAlignment="1">
      <alignment horizontal="right" wrapText="1"/>
    </xf>
    <xf numFmtId="0" fontId="58" fillId="0" borderId="29" xfId="5" applyFont="1" applyBorder="1" applyAlignment="1">
      <alignment horizontal="right"/>
    </xf>
    <xf numFmtId="0" fontId="58" fillId="0" borderId="43" xfId="5" applyFont="1" applyBorder="1" applyAlignment="1">
      <alignment horizontal="right"/>
    </xf>
    <xf numFmtId="0" fontId="58" fillId="0" borderId="5" xfId="5" applyFont="1" applyBorder="1" applyAlignment="1">
      <alignment horizontal="right"/>
    </xf>
    <xf numFmtId="0" fontId="12" fillId="0" borderId="5" xfId="5" applyFont="1" applyBorder="1" applyAlignment="1">
      <alignment horizontal="right"/>
    </xf>
    <xf numFmtId="167" fontId="12" fillId="0" borderId="38" xfId="5" applyNumberFormat="1" applyFont="1" applyBorder="1" applyAlignment="1">
      <alignment horizontal="center"/>
    </xf>
    <xf numFmtId="167" fontId="12" fillId="0" borderId="39" xfId="5" applyNumberFormat="1" applyFont="1" applyBorder="1" applyAlignment="1">
      <alignment horizontal="center"/>
    </xf>
    <xf numFmtId="0" fontId="58" fillId="3" borderId="9" xfId="5" applyFont="1" applyFill="1" applyBorder="1" applyAlignment="1">
      <alignment horizontal="left"/>
    </xf>
    <xf numFmtId="0" fontId="58" fillId="3" borderId="10" xfId="5" applyFont="1" applyFill="1" applyBorder="1" applyAlignment="1">
      <alignment horizontal="left"/>
    </xf>
    <xf numFmtId="0" fontId="58" fillId="3" borderId="11" xfId="5" applyFont="1" applyFill="1" applyBorder="1" applyAlignment="1">
      <alignment horizontal="left"/>
    </xf>
    <xf numFmtId="0" fontId="12" fillId="2" borderId="57" xfId="6" applyFont="1" applyFill="1" applyBorder="1" applyAlignment="1">
      <alignment horizontal="left"/>
    </xf>
    <xf numFmtId="0" fontId="12" fillId="2" borderId="0" xfId="6" applyFont="1" applyFill="1" applyAlignment="1">
      <alignment horizontal="left"/>
    </xf>
    <xf numFmtId="0" fontId="7" fillId="0" borderId="37" xfId="5" applyFont="1" applyBorder="1" applyAlignment="1">
      <alignment horizontal="left" wrapText="1"/>
    </xf>
    <xf numFmtId="0" fontId="7" fillId="0" borderId="27" xfId="5" applyFont="1" applyBorder="1" applyAlignment="1">
      <alignment horizontal="left" wrapText="1"/>
    </xf>
    <xf numFmtId="0" fontId="7" fillId="0" borderId="28" xfId="5" applyFont="1" applyBorder="1" applyAlignment="1">
      <alignment horizontal="left" wrapText="1"/>
    </xf>
    <xf numFmtId="0" fontId="12" fillId="0" borderId="37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37" xfId="0" applyFont="1" applyBorder="1" applyAlignment="1">
      <alignment horizontal="left" wrapText="1"/>
    </xf>
    <xf numFmtId="0" fontId="12" fillId="0" borderId="27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2" fillId="0" borderId="54" xfId="5" applyFont="1" applyBorder="1" applyAlignment="1">
      <alignment horizontal="left"/>
    </xf>
    <xf numFmtId="0" fontId="12" fillId="0" borderId="55" xfId="5" applyFont="1" applyBorder="1" applyAlignment="1">
      <alignment horizontal="left"/>
    </xf>
    <xf numFmtId="0" fontId="12" fillId="0" borderId="39" xfId="5" applyFont="1" applyBorder="1" applyAlignment="1">
      <alignment horizontal="left"/>
    </xf>
    <xf numFmtId="0" fontId="58" fillId="14" borderId="56" xfId="6" applyFont="1" applyFill="1" applyBorder="1" applyAlignment="1">
      <alignment horizontal="center"/>
    </xf>
    <xf numFmtId="0" fontId="58" fillId="14" borderId="23" xfId="6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30" fillId="0" borderId="3" xfId="0" applyFont="1" applyBorder="1" applyAlignment="1">
      <alignment horizontal="right" vertical="center"/>
    </xf>
    <xf numFmtId="0" fontId="31" fillId="0" borderId="7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8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23" fillId="0" borderId="40" xfId="0" applyFont="1" applyBorder="1" applyAlignment="1">
      <alignment horizontal="right"/>
    </xf>
    <xf numFmtId="0" fontId="23" fillId="0" borderId="23" xfId="0" applyFont="1" applyBorder="1" applyAlignment="1">
      <alignment horizontal="right"/>
    </xf>
    <xf numFmtId="0" fontId="11" fillId="0" borderId="3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38" fillId="0" borderId="9" xfId="0" applyFont="1" applyBorder="1" applyAlignment="1">
      <alignment horizontal="right" vertical="center"/>
    </xf>
    <xf numFmtId="0" fontId="38" fillId="0" borderId="10" xfId="0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30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9" xfId="0" applyFont="1" applyFill="1" applyBorder="1" applyAlignment="1">
      <alignment horizontal="right"/>
    </xf>
    <xf numFmtId="0" fontId="27" fillId="4" borderId="10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4" fillId="0" borderId="30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/>
    </xf>
    <xf numFmtId="0" fontId="14" fillId="8" borderId="9" xfId="0" applyFont="1" applyFill="1" applyBorder="1" applyAlignment="1">
      <alignment horizontal="right" vertical="center"/>
    </xf>
    <xf numFmtId="0" fontId="14" fillId="8" borderId="10" xfId="0" applyFont="1" applyFill="1" applyBorder="1" applyAlignment="1">
      <alignment horizontal="right" vertical="center"/>
    </xf>
    <xf numFmtId="0" fontId="14" fillId="8" borderId="11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13" fillId="4" borderId="9" xfId="0" applyFont="1" applyFill="1" applyBorder="1" applyAlignment="1">
      <alignment horizontal="right"/>
    </xf>
    <xf numFmtId="0" fontId="13" fillId="4" borderId="10" xfId="0" applyFont="1" applyFill="1" applyBorder="1" applyAlignment="1">
      <alignment horizontal="right"/>
    </xf>
    <xf numFmtId="10" fontId="56" fillId="13" borderId="19" xfId="8" applyNumberFormat="1" applyFont="1" applyFill="1" applyBorder="1" applyAlignment="1">
      <alignment horizontal="center" vertical="center" wrapText="1"/>
    </xf>
    <xf numFmtId="10" fontId="56" fillId="13" borderId="22" xfId="8" applyNumberFormat="1" applyFont="1" applyFill="1" applyBorder="1" applyAlignment="1">
      <alignment horizontal="center" vertical="center"/>
    </xf>
    <xf numFmtId="165" fontId="41" fillId="0" borderId="19" xfId="1" applyFont="1" applyFill="1" applyBorder="1" applyAlignment="1">
      <alignment horizontal="center" vertical="center"/>
    </xf>
    <xf numFmtId="165" fontId="41" fillId="0" borderId="22" xfId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44" fillId="0" borderId="41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8" xfId="0" applyFont="1" applyBorder="1" applyAlignment="1">
      <alignment horizontal="right"/>
    </xf>
  </cellXfs>
  <cellStyles count="12">
    <cellStyle name="Millares" xfId="1" builtinId="3"/>
    <cellStyle name="Millares [0]" xfId="2" builtinId="6"/>
    <cellStyle name="Millares [0] 2" xfId="3" xr:uid="{00000000-0005-0000-0000-000002000000}"/>
    <cellStyle name="Millares 2" xfId="4" xr:uid="{00000000-0005-0000-0000-000003000000}"/>
    <cellStyle name="Normal" xfId="0" builtinId="0"/>
    <cellStyle name="Normal 2" xfId="5" xr:uid="{00000000-0005-0000-0000-000005000000}"/>
    <cellStyle name="Normal 3" xfId="10" xr:uid="{28FCB1A5-AAEB-4C0C-87F9-6D55F3C97920}"/>
    <cellStyle name="Normal 3 2" xfId="11" xr:uid="{DEC85CDF-2B94-4450-8344-035AFDCBF6DA}"/>
    <cellStyle name="Normal 5" xfId="9" xr:uid="{2D7372EC-839E-424F-8F15-51FD1B702470}"/>
    <cellStyle name="Normal_CRITERIOS DE EVALUACION PT DE GB 2" xfId="6" xr:uid="{00000000-0005-0000-0000-000006000000}"/>
    <cellStyle name="Porcentaje" xfId="7" builtinId="5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8" name="Picture 1">
          <a:extLst>
            <a:ext uri="{FF2B5EF4-FFF2-40B4-BE49-F238E27FC236}">
              <a16:creationId xmlns:a16="http://schemas.microsoft.com/office/drawing/2014/main" id="{765E50B2-EE19-60EB-C525-FA21569E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9" name="Picture 2">
          <a:extLst>
            <a:ext uri="{FF2B5EF4-FFF2-40B4-BE49-F238E27FC236}">
              <a16:creationId xmlns:a16="http://schemas.microsoft.com/office/drawing/2014/main" id="{EB70836A-7401-E111-B022-C509CFD1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0" name="Picture 3">
          <a:extLst>
            <a:ext uri="{FF2B5EF4-FFF2-40B4-BE49-F238E27FC236}">
              <a16:creationId xmlns:a16="http://schemas.microsoft.com/office/drawing/2014/main" id="{B7C3B054-F6C1-0F74-D443-4568C6E3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1" name="Picture 4">
          <a:extLst>
            <a:ext uri="{FF2B5EF4-FFF2-40B4-BE49-F238E27FC236}">
              <a16:creationId xmlns:a16="http://schemas.microsoft.com/office/drawing/2014/main" id="{96012E29-FE64-987C-100A-A430197B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2" name="Picture 5">
          <a:extLst>
            <a:ext uri="{FF2B5EF4-FFF2-40B4-BE49-F238E27FC236}">
              <a16:creationId xmlns:a16="http://schemas.microsoft.com/office/drawing/2014/main" id="{6D0AA9AF-9C12-88BF-CD37-A3FC523F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3" name="Picture 6">
          <a:extLst>
            <a:ext uri="{FF2B5EF4-FFF2-40B4-BE49-F238E27FC236}">
              <a16:creationId xmlns:a16="http://schemas.microsoft.com/office/drawing/2014/main" id="{0417BE99-4939-E8D2-A11F-9EF8233A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4" name="Picture 7">
          <a:extLst>
            <a:ext uri="{FF2B5EF4-FFF2-40B4-BE49-F238E27FC236}">
              <a16:creationId xmlns:a16="http://schemas.microsoft.com/office/drawing/2014/main" id="{B8B1D157-4A72-6E80-098C-D269479D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5" name="Picture 8">
          <a:extLst>
            <a:ext uri="{FF2B5EF4-FFF2-40B4-BE49-F238E27FC236}">
              <a16:creationId xmlns:a16="http://schemas.microsoft.com/office/drawing/2014/main" id="{BDBC08BA-DB5C-6050-4B0A-0F39BA79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6" name="Picture 9">
          <a:extLst>
            <a:ext uri="{FF2B5EF4-FFF2-40B4-BE49-F238E27FC236}">
              <a16:creationId xmlns:a16="http://schemas.microsoft.com/office/drawing/2014/main" id="{880BE296-0DE1-F57A-2907-2CDBD9A6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7" name="Picture 10">
          <a:extLst>
            <a:ext uri="{FF2B5EF4-FFF2-40B4-BE49-F238E27FC236}">
              <a16:creationId xmlns:a16="http://schemas.microsoft.com/office/drawing/2014/main" id="{9CD1AA18-6709-2DAD-8167-0F94DD4B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8" name="Picture 11">
          <a:extLst>
            <a:ext uri="{FF2B5EF4-FFF2-40B4-BE49-F238E27FC236}">
              <a16:creationId xmlns:a16="http://schemas.microsoft.com/office/drawing/2014/main" id="{43F0FCB8-1602-BC42-CACA-172773F2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9" name="Picture 12">
          <a:extLst>
            <a:ext uri="{FF2B5EF4-FFF2-40B4-BE49-F238E27FC236}">
              <a16:creationId xmlns:a16="http://schemas.microsoft.com/office/drawing/2014/main" id="{62599621-06F9-20AA-27F4-4A2A5A41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0" name="Picture 13">
          <a:extLst>
            <a:ext uri="{FF2B5EF4-FFF2-40B4-BE49-F238E27FC236}">
              <a16:creationId xmlns:a16="http://schemas.microsoft.com/office/drawing/2014/main" id="{1C77289F-6DF0-3BFF-871D-B61F451F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1" name="Picture 14">
          <a:extLst>
            <a:ext uri="{FF2B5EF4-FFF2-40B4-BE49-F238E27FC236}">
              <a16:creationId xmlns:a16="http://schemas.microsoft.com/office/drawing/2014/main" id="{85FB19E1-4ACA-2E9C-E434-2429A853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2" name="Picture 15">
          <a:extLst>
            <a:ext uri="{FF2B5EF4-FFF2-40B4-BE49-F238E27FC236}">
              <a16:creationId xmlns:a16="http://schemas.microsoft.com/office/drawing/2014/main" id="{DA732535-2283-8589-98B5-B5416D36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3" name="Picture 16">
          <a:extLst>
            <a:ext uri="{FF2B5EF4-FFF2-40B4-BE49-F238E27FC236}">
              <a16:creationId xmlns:a16="http://schemas.microsoft.com/office/drawing/2014/main" id="{752659BB-9DBB-D5D4-0E37-32CDD567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4" name="Picture 17">
          <a:extLst>
            <a:ext uri="{FF2B5EF4-FFF2-40B4-BE49-F238E27FC236}">
              <a16:creationId xmlns:a16="http://schemas.microsoft.com/office/drawing/2014/main" id="{C4A544AE-ECC6-536F-5FF7-78FB5271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5" name="Picture 18">
          <a:extLst>
            <a:ext uri="{FF2B5EF4-FFF2-40B4-BE49-F238E27FC236}">
              <a16:creationId xmlns:a16="http://schemas.microsoft.com/office/drawing/2014/main" id="{75CDE107-E8EC-A74C-EE98-596554F8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6" name="Picture 19">
          <a:extLst>
            <a:ext uri="{FF2B5EF4-FFF2-40B4-BE49-F238E27FC236}">
              <a16:creationId xmlns:a16="http://schemas.microsoft.com/office/drawing/2014/main" id="{190CE57D-B611-783B-0601-5E4AD570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7" name="Picture 20">
          <a:extLst>
            <a:ext uri="{FF2B5EF4-FFF2-40B4-BE49-F238E27FC236}">
              <a16:creationId xmlns:a16="http://schemas.microsoft.com/office/drawing/2014/main" id="{9CD4CAE5-89EE-2EE2-AE7C-FBE4EC89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8" name="Picture 21">
          <a:extLst>
            <a:ext uri="{FF2B5EF4-FFF2-40B4-BE49-F238E27FC236}">
              <a16:creationId xmlns:a16="http://schemas.microsoft.com/office/drawing/2014/main" id="{F2AA8231-5EAE-432E-FF15-8A20A66E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9" name="Picture 22">
          <a:extLst>
            <a:ext uri="{FF2B5EF4-FFF2-40B4-BE49-F238E27FC236}">
              <a16:creationId xmlns:a16="http://schemas.microsoft.com/office/drawing/2014/main" id="{71CCFC61-9808-DCC0-3FA8-16CA92DC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0" name="Picture 23">
          <a:extLst>
            <a:ext uri="{FF2B5EF4-FFF2-40B4-BE49-F238E27FC236}">
              <a16:creationId xmlns:a16="http://schemas.microsoft.com/office/drawing/2014/main" id="{4666AAC8-01F6-F3EE-3F46-A37A898A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1" name="Picture 24">
          <a:extLst>
            <a:ext uri="{FF2B5EF4-FFF2-40B4-BE49-F238E27FC236}">
              <a16:creationId xmlns:a16="http://schemas.microsoft.com/office/drawing/2014/main" id="{5A6C5838-5272-DE38-09CB-2272E31D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2" name="Picture 25">
          <a:extLst>
            <a:ext uri="{FF2B5EF4-FFF2-40B4-BE49-F238E27FC236}">
              <a16:creationId xmlns:a16="http://schemas.microsoft.com/office/drawing/2014/main" id="{8227DC2C-0DFF-0920-47AD-AB11587D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3" name="Picture 26">
          <a:extLst>
            <a:ext uri="{FF2B5EF4-FFF2-40B4-BE49-F238E27FC236}">
              <a16:creationId xmlns:a16="http://schemas.microsoft.com/office/drawing/2014/main" id="{119DE55F-F8F2-8A73-2A56-E6A39D98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4" name="Picture 27">
          <a:extLst>
            <a:ext uri="{FF2B5EF4-FFF2-40B4-BE49-F238E27FC236}">
              <a16:creationId xmlns:a16="http://schemas.microsoft.com/office/drawing/2014/main" id="{A9FEE2EF-7E5A-7927-A522-73102331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5" name="Picture 28">
          <a:extLst>
            <a:ext uri="{FF2B5EF4-FFF2-40B4-BE49-F238E27FC236}">
              <a16:creationId xmlns:a16="http://schemas.microsoft.com/office/drawing/2014/main" id="{4449CA2C-B91E-65FF-698B-F212D74A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6" name="Picture 29">
          <a:extLst>
            <a:ext uri="{FF2B5EF4-FFF2-40B4-BE49-F238E27FC236}">
              <a16:creationId xmlns:a16="http://schemas.microsoft.com/office/drawing/2014/main" id="{39A039FA-B455-A43A-6FF8-A18E5179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7" name="Picture 30">
          <a:extLst>
            <a:ext uri="{FF2B5EF4-FFF2-40B4-BE49-F238E27FC236}">
              <a16:creationId xmlns:a16="http://schemas.microsoft.com/office/drawing/2014/main" id="{BD5841F5-36C1-F3E2-44F5-B6A26F4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8" name="Picture 31">
          <a:extLst>
            <a:ext uri="{FF2B5EF4-FFF2-40B4-BE49-F238E27FC236}">
              <a16:creationId xmlns:a16="http://schemas.microsoft.com/office/drawing/2014/main" id="{A880CB8B-1062-D68E-BF15-13F001F7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9" name="Picture 32">
          <a:extLst>
            <a:ext uri="{FF2B5EF4-FFF2-40B4-BE49-F238E27FC236}">
              <a16:creationId xmlns:a16="http://schemas.microsoft.com/office/drawing/2014/main" id="{15F27B46-2E81-B459-B4F6-2E6BAB55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0" name="Picture 33">
          <a:extLst>
            <a:ext uri="{FF2B5EF4-FFF2-40B4-BE49-F238E27FC236}">
              <a16:creationId xmlns:a16="http://schemas.microsoft.com/office/drawing/2014/main" id="{BC30A580-9798-C836-A2FD-BD9D3138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1" name="Picture 34">
          <a:extLst>
            <a:ext uri="{FF2B5EF4-FFF2-40B4-BE49-F238E27FC236}">
              <a16:creationId xmlns:a16="http://schemas.microsoft.com/office/drawing/2014/main" id="{FDE76485-BCF0-5FD8-BC69-B92E9428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2" name="Picture 35">
          <a:extLst>
            <a:ext uri="{FF2B5EF4-FFF2-40B4-BE49-F238E27FC236}">
              <a16:creationId xmlns:a16="http://schemas.microsoft.com/office/drawing/2014/main" id="{C3B8BF18-53CF-8749-1377-584BCBA4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3" name="Picture 36">
          <a:extLst>
            <a:ext uri="{FF2B5EF4-FFF2-40B4-BE49-F238E27FC236}">
              <a16:creationId xmlns:a16="http://schemas.microsoft.com/office/drawing/2014/main" id="{25E69617-33DF-9B68-D777-7F4CCBF5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4" name="Picture 37">
          <a:extLst>
            <a:ext uri="{FF2B5EF4-FFF2-40B4-BE49-F238E27FC236}">
              <a16:creationId xmlns:a16="http://schemas.microsoft.com/office/drawing/2014/main" id="{F2AEDE9E-A07A-99B8-034E-3B042614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5" name="Picture 38">
          <a:extLst>
            <a:ext uri="{FF2B5EF4-FFF2-40B4-BE49-F238E27FC236}">
              <a16:creationId xmlns:a16="http://schemas.microsoft.com/office/drawing/2014/main" id="{4A53C532-72B1-24C2-3B69-AE6F623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6" name="Picture 39">
          <a:extLst>
            <a:ext uri="{FF2B5EF4-FFF2-40B4-BE49-F238E27FC236}">
              <a16:creationId xmlns:a16="http://schemas.microsoft.com/office/drawing/2014/main" id="{D0A62B91-3D42-987A-3810-1D0FA2E6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7" name="Picture 40">
          <a:extLst>
            <a:ext uri="{FF2B5EF4-FFF2-40B4-BE49-F238E27FC236}">
              <a16:creationId xmlns:a16="http://schemas.microsoft.com/office/drawing/2014/main" id="{580ECAF5-8D85-2E45-10E0-829ECD62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8" name="Picture 41">
          <a:extLst>
            <a:ext uri="{FF2B5EF4-FFF2-40B4-BE49-F238E27FC236}">
              <a16:creationId xmlns:a16="http://schemas.microsoft.com/office/drawing/2014/main" id="{ACF45547-9916-4958-9C66-1BD603EA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9" name="Picture 42">
          <a:extLst>
            <a:ext uri="{FF2B5EF4-FFF2-40B4-BE49-F238E27FC236}">
              <a16:creationId xmlns:a16="http://schemas.microsoft.com/office/drawing/2014/main" id="{DDE48B7F-7999-13F2-DD67-AE69820F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0" name="Picture 43">
          <a:extLst>
            <a:ext uri="{FF2B5EF4-FFF2-40B4-BE49-F238E27FC236}">
              <a16:creationId xmlns:a16="http://schemas.microsoft.com/office/drawing/2014/main" id="{497B85EC-8410-A826-6034-A7AFB5DF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1" name="Picture 44">
          <a:extLst>
            <a:ext uri="{FF2B5EF4-FFF2-40B4-BE49-F238E27FC236}">
              <a16:creationId xmlns:a16="http://schemas.microsoft.com/office/drawing/2014/main" id="{B945A66E-5927-3607-13C8-07493850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2" name="Picture 45">
          <a:extLst>
            <a:ext uri="{FF2B5EF4-FFF2-40B4-BE49-F238E27FC236}">
              <a16:creationId xmlns:a16="http://schemas.microsoft.com/office/drawing/2014/main" id="{03003689-49F9-1C63-BE1A-E832FF9F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3" name="Picture 46">
          <a:extLst>
            <a:ext uri="{FF2B5EF4-FFF2-40B4-BE49-F238E27FC236}">
              <a16:creationId xmlns:a16="http://schemas.microsoft.com/office/drawing/2014/main" id="{A2F8D115-2C11-6317-F60E-97728C04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4" name="Picture 47">
          <a:extLst>
            <a:ext uri="{FF2B5EF4-FFF2-40B4-BE49-F238E27FC236}">
              <a16:creationId xmlns:a16="http://schemas.microsoft.com/office/drawing/2014/main" id="{D9C66026-BD66-C945-D4AF-B814AE12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5" name="Picture 48">
          <a:extLst>
            <a:ext uri="{FF2B5EF4-FFF2-40B4-BE49-F238E27FC236}">
              <a16:creationId xmlns:a16="http://schemas.microsoft.com/office/drawing/2014/main" id="{A774C8AC-DC6B-2E5E-416A-1D244492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6" name="Picture 49">
          <a:extLst>
            <a:ext uri="{FF2B5EF4-FFF2-40B4-BE49-F238E27FC236}">
              <a16:creationId xmlns:a16="http://schemas.microsoft.com/office/drawing/2014/main" id="{7F89093D-CC23-F8E5-3980-C8C9AA03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7" name="Picture 50">
          <a:extLst>
            <a:ext uri="{FF2B5EF4-FFF2-40B4-BE49-F238E27FC236}">
              <a16:creationId xmlns:a16="http://schemas.microsoft.com/office/drawing/2014/main" id="{B79FA4FD-D0F5-D40C-C3FA-4D297E66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8" name="Picture 51">
          <a:extLst>
            <a:ext uri="{FF2B5EF4-FFF2-40B4-BE49-F238E27FC236}">
              <a16:creationId xmlns:a16="http://schemas.microsoft.com/office/drawing/2014/main" id="{3C7AFAAD-9711-36B9-08EB-912A6E99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9" name="Picture 52">
          <a:extLst>
            <a:ext uri="{FF2B5EF4-FFF2-40B4-BE49-F238E27FC236}">
              <a16:creationId xmlns:a16="http://schemas.microsoft.com/office/drawing/2014/main" id="{B65FEA14-2C01-A324-FB64-874DF2B3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0" name="Picture 53">
          <a:extLst>
            <a:ext uri="{FF2B5EF4-FFF2-40B4-BE49-F238E27FC236}">
              <a16:creationId xmlns:a16="http://schemas.microsoft.com/office/drawing/2014/main" id="{0613D008-7190-42C4-EB6E-16CBE3D21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1" name="Picture 54">
          <a:extLst>
            <a:ext uri="{FF2B5EF4-FFF2-40B4-BE49-F238E27FC236}">
              <a16:creationId xmlns:a16="http://schemas.microsoft.com/office/drawing/2014/main" id="{33E51AA1-D9BA-6B0D-3F62-88C66462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2" name="Picture 55">
          <a:extLst>
            <a:ext uri="{FF2B5EF4-FFF2-40B4-BE49-F238E27FC236}">
              <a16:creationId xmlns:a16="http://schemas.microsoft.com/office/drawing/2014/main" id="{7DB6D902-03F4-F570-D898-6ECD7F42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3" name="Picture 56">
          <a:extLst>
            <a:ext uri="{FF2B5EF4-FFF2-40B4-BE49-F238E27FC236}">
              <a16:creationId xmlns:a16="http://schemas.microsoft.com/office/drawing/2014/main" id="{82E1396F-1774-E5A3-5499-8FF296D1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4" name="Picture 57">
          <a:extLst>
            <a:ext uri="{FF2B5EF4-FFF2-40B4-BE49-F238E27FC236}">
              <a16:creationId xmlns:a16="http://schemas.microsoft.com/office/drawing/2014/main" id="{77FBBEDA-7C23-A0BF-B1C8-6DE737FB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5" name="Picture 58">
          <a:extLst>
            <a:ext uri="{FF2B5EF4-FFF2-40B4-BE49-F238E27FC236}">
              <a16:creationId xmlns:a16="http://schemas.microsoft.com/office/drawing/2014/main" id="{8A935716-FE2F-9BAD-C5EA-447BB56C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6" name="Picture 59">
          <a:extLst>
            <a:ext uri="{FF2B5EF4-FFF2-40B4-BE49-F238E27FC236}">
              <a16:creationId xmlns:a16="http://schemas.microsoft.com/office/drawing/2014/main" id="{DA3F5A48-7D1F-7A73-6FC5-D7AD9CDE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7" name="Picture 60">
          <a:extLst>
            <a:ext uri="{FF2B5EF4-FFF2-40B4-BE49-F238E27FC236}">
              <a16:creationId xmlns:a16="http://schemas.microsoft.com/office/drawing/2014/main" id="{A7A747A5-AB99-6FC0-BC95-A265A7FC0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8" name="Picture 61">
          <a:extLst>
            <a:ext uri="{FF2B5EF4-FFF2-40B4-BE49-F238E27FC236}">
              <a16:creationId xmlns:a16="http://schemas.microsoft.com/office/drawing/2014/main" id="{233F43A2-CDE9-6023-F34F-626B2348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9" name="Picture 62">
          <a:extLst>
            <a:ext uri="{FF2B5EF4-FFF2-40B4-BE49-F238E27FC236}">
              <a16:creationId xmlns:a16="http://schemas.microsoft.com/office/drawing/2014/main" id="{3C36EB90-CE0F-D203-37F2-55E7C0292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0" name="Picture 63">
          <a:extLst>
            <a:ext uri="{FF2B5EF4-FFF2-40B4-BE49-F238E27FC236}">
              <a16:creationId xmlns:a16="http://schemas.microsoft.com/office/drawing/2014/main" id="{154F597E-4317-2BFE-F9BA-C4D38A27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1" name="Picture 64">
          <a:extLst>
            <a:ext uri="{FF2B5EF4-FFF2-40B4-BE49-F238E27FC236}">
              <a16:creationId xmlns:a16="http://schemas.microsoft.com/office/drawing/2014/main" id="{6577335E-B1EE-6999-69B0-E6C08866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2" name="Picture 65">
          <a:extLst>
            <a:ext uri="{FF2B5EF4-FFF2-40B4-BE49-F238E27FC236}">
              <a16:creationId xmlns:a16="http://schemas.microsoft.com/office/drawing/2014/main" id="{98796CC6-DC90-BEEC-AE2D-46D0B998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3" name="Picture 66">
          <a:extLst>
            <a:ext uri="{FF2B5EF4-FFF2-40B4-BE49-F238E27FC236}">
              <a16:creationId xmlns:a16="http://schemas.microsoft.com/office/drawing/2014/main" id="{D3F932A4-E5DC-4A1C-53EB-53F8FD7E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4" name="Picture 67">
          <a:extLst>
            <a:ext uri="{FF2B5EF4-FFF2-40B4-BE49-F238E27FC236}">
              <a16:creationId xmlns:a16="http://schemas.microsoft.com/office/drawing/2014/main" id="{750D7D01-3066-ADF1-D36A-8AAABC12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5" name="Picture 68">
          <a:extLst>
            <a:ext uri="{FF2B5EF4-FFF2-40B4-BE49-F238E27FC236}">
              <a16:creationId xmlns:a16="http://schemas.microsoft.com/office/drawing/2014/main" id="{A1A2AAF5-126D-1BBA-7848-6B8CA713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6" name="Picture 69">
          <a:extLst>
            <a:ext uri="{FF2B5EF4-FFF2-40B4-BE49-F238E27FC236}">
              <a16:creationId xmlns:a16="http://schemas.microsoft.com/office/drawing/2014/main" id="{E606EFCC-45BE-688F-14D6-D9E3746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7" name="Picture 70">
          <a:extLst>
            <a:ext uri="{FF2B5EF4-FFF2-40B4-BE49-F238E27FC236}">
              <a16:creationId xmlns:a16="http://schemas.microsoft.com/office/drawing/2014/main" id="{CF4A3F86-D8F9-C600-8595-F5B8C4A1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8" name="Picture 71">
          <a:extLst>
            <a:ext uri="{FF2B5EF4-FFF2-40B4-BE49-F238E27FC236}">
              <a16:creationId xmlns:a16="http://schemas.microsoft.com/office/drawing/2014/main" id="{F72D95CA-08E1-170C-6FCB-D76D1467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9" name="Picture 72">
          <a:extLst>
            <a:ext uri="{FF2B5EF4-FFF2-40B4-BE49-F238E27FC236}">
              <a16:creationId xmlns:a16="http://schemas.microsoft.com/office/drawing/2014/main" id="{B3A74C27-3FA1-FA70-15BA-A8E15177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0" name="Picture 73">
          <a:extLst>
            <a:ext uri="{FF2B5EF4-FFF2-40B4-BE49-F238E27FC236}">
              <a16:creationId xmlns:a16="http://schemas.microsoft.com/office/drawing/2014/main" id="{DBE2492F-CD0B-74A6-0A07-57A639BA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1" name="Picture 74">
          <a:extLst>
            <a:ext uri="{FF2B5EF4-FFF2-40B4-BE49-F238E27FC236}">
              <a16:creationId xmlns:a16="http://schemas.microsoft.com/office/drawing/2014/main" id="{880F48FB-519B-CF36-8976-CEA2241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2" name="Picture 75">
          <a:extLst>
            <a:ext uri="{FF2B5EF4-FFF2-40B4-BE49-F238E27FC236}">
              <a16:creationId xmlns:a16="http://schemas.microsoft.com/office/drawing/2014/main" id="{04ED540E-E69E-82B0-4ABC-26E61C30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3" name="Picture 76">
          <a:extLst>
            <a:ext uri="{FF2B5EF4-FFF2-40B4-BE49-F238E27FC236}">
              <a16:creationId xmlns:a16="http://schemas.microsoft.com/office/drawing/2014/main" id="{182B5789-7D4A-715B-4E0C-56320072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4" name="Picture 77">
          <a:extLst>
            <a:ext uri="{FF2B5EF4-FFF2-40B4-BE49-F238E27FC236}">
              <a16:creationId xmlns:a16="http://schemas.microsoft.com/office/drawing/2014/main" id="{C984C725-DC7C-0214-D398-35220D7B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5" name="Picture 78">
          <a:extLst>
            <a:ext uri="{FF2B5EF4-FFF2-40B4-BE49-F238E27FC236}">
              <a16:creationId xmlns:a16="http://schemas.microsoft.com/office/drawing/2014/main" id="{531E54E4-E66A-50E2-BE3F-3795FD073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6" name="Picture 79">
          <a:extLst>
            <a:ext uri="{FF2B5EF4-FFF2-40B4-BE49-F238E27FC236}">
              <a16:creationId xmlns:a16="http://schemas.microsoft.com/office/drawing/2014/main" id="{E0481D53-AE01-87F1-A305-5A049458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7" name="Picture 80">
          <a:extLst>
            <a:ext uri="{FF2B5EF4-FFF2-40B4-BE49-F238E27FC236}">
              <a16:creationId xmlns:a16="http://schemas.microsoft.com/office/drawing/2014/main" id="{E92C79DD-CE0F-4FBF-9397-F779CADE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8" name="Picture 81">
          <a:extLst>
            <a:ext uri="{FF2B5EF4-FFF2-40B4-BE49-F238E27FC236}">
              <a16:creationId xmlns:a16="http://schemas.microsoft.com/office/drawing/2014/main" id="{5CA17B82-2CB0-7796-1159-20897855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9" name="Picture 82">
          <a:extLst>
            <a:ext uri="{FF2B5EF4-FFF2-40B4-BE49-F238E27FC236}">
              <a16:creationId xmlns:a16="http://schemas.microsoft.com/office/drawing/2014/main" id="{9D582D2C-A991-9AC7-7DFA-5D7B65BC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0" name="Picture 83">
          <a:extLst>
            <a:ext uri="{FF2B5EF4-FFF2-40B4-BE49-F238E27FC236}">
              <a16:creationId xmlns:a16="http://schemas.microsoft.com/office/drawing/2014/main" id="{A685FE4A-BE5A-174A-9B74-3C600B92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1" name="Picture 84">
          <a:extLst>
            <a:ext uri="{FF2B5EF4-FFF2-40B4-BE49-F238E27FC236}">
              <a16:creationId xmlns:a16="http://schemas.microsoft.com/office/drawing/2014/main" id="{3EACE047-9418-DA01-A056-80260618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2" name="Picture 85">
          <a:extLst>
            <a:ext uri="{FF2B5EF4-FFF2-40B4-BE49-F238E27FC236}">
              <a16:creationId xmlns:a16="http://schemas.microsoft.com/office/drawing/2014/main" id="{2B34F844-38CC-BA72-1924-E9E77A3E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3" name="Picture 86">
          <a:extLst>
            <a:ext uri="{FF2B5EF4-FFF2-40B4-BE49-F238E27FC236}">
              <a16:creationId xmlns:a16="http://schemas.microsoft.com/office/drawing/2014/main" id="{67EB2881-F631-B62D-3C8F-DB910480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4" name="Picture 87">
          <a:extLst>
            <a:ext uri="{FF2B5EF4-FFF2-40B4-BE49-F238E27FC236}">
              <a16:creationId xmlns:a16="http://schemas.microsoft.com/office/drawing/2014/main" id="{83DF01FB-1024-8710-0292-349D23F1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5" name="Picture 88">
          <a:extLst>
            <a:ext uri="{FF2B5EF4-FFF2-40B4-BE49-F238E27FC236}">
              <a16:creationId xmlns:a16="http://schemas.microsoft.com/office/drawing/2014/main" id="{064FCF4D-67F0-1BD7-33C2-12380E32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6" name="Picture 89">
          <a:extLst>
            <a:ext uri="{FF2B5EF4-FFF2-40B4-BE49-F238E27FC236}">
              <a16:creationId xmlns:a16="http://schemas.microsoft.com/office/drawing/2014/main" id="{90D9B37F-90D7-F61A-6648-546E69F3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7" name="Picture 90">
          <a:extLst>
            <a:ext uri="{FF2B5EF4-FFF2-40B4-BE49-F238E27FC236}">
              <a16:creationId xmlns:a16="http://schemas.microsoft.com/office/drawing/2014/main" id="{F0D74EA9-1396-6B34-2F5B-4FC4CAE1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8" name="Picture 91">
          <a:extLst>
            <a:ext uri="{FF2B5EF4-FFF2-40B4-BE49-F238E27FC236}">
              <a16:creationId xmlns:a16="http://schemas.microsoft.com/office/drawing/2014/main" id="{D9EBF130-210A-A067-54BF-C67150D2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9" name="Picture 92">
          <a:extLst>
            <a:ext uri="{FF2B5EF4-FFF2-40B4-BE49-F238E27FC236}">
              <a16:creationId xmlns:a16="http://schemas.microsoft.com/office/drawing/2014/main" id="{F898DD6A-16A2-751D-D6D7-D16A25C9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0" name="Picture 93">
          <a:extLst>
            <a:ext uri="{FF2B5EF4-FFF2-40B4-BE49-F238E27FC236}">
              <a16:creationId xmlns:a16="http://schemas.microsoft.com/office/drawing/2014/main" id="{49B913D3-EF25-3812-8AAB-8B1F0670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1" name="Picture 94">
          <a:extLst>
            <a:ext uri="{FF2B5EF4-FFF2-40B4-BE49-F238E27FC236}">
              <a16:creationId xmlns:a16="http://schemas.microsoft.com/office/drawing/2014/main" id="{C886BF95-2C7C-539A-2235-5D7848E0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2" name="Picture 95">
          <a:extLst>
            <a:ext uri="{FF2B5EF4-FFF2-40B4-BE49-F238E27FC236}">
              <a16:creationId xmlns:a16="http://schemas.microsoft.com/office/drawing/2014/main" id="{339E7D6C-F461-F365-85DD-8F4ADD3A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3" name="Picture 96">
          <a:extLst>
            <a:ext uri="{FF2B5EF4-FFF2-40B4-BE49-F238E27FC236}">
              <a16:creationId xmlns:a16="http://schemas.microsoft.com/office/drawing/2014/main" id="{42DD4417-3896-D6B7-25B0-FF1B6350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4" name="Picture 97">
          <a:extLst>
            <a:ext uri="{FF2B5EF4-FFF2-40B4-BE49-F238E27FC236}">
              <a16:creationId xmlns:a16="http://schemas.microsoft.com/office/drawing/2014/main" id="{73C62B7C-00E5-DEF1-7CE2-83F2D749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5" name="Picture 98">
          <a:extLst>
            <a:ext uri="{FF2B5EF4-FFF2-40B4-BE49-F238E27FC236}">
              <a16:creationId xmlns:a16="http://schemas.microsoft.com/office/drawing/2014/main" id="{89DD3DBF-FFDB-C49E-CAFB-388BBEBA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6" name="Picture 99">
          <a:extLst>
            <a:ext uri="{FF2B5EF4-FFF2-40B4-BE49-F238E27FC236}">
              <a16:creationId xmlns:a16="http://schemas.microsoft.com/office/drawing/2014/main" id="{53D594A2-EA2F-7BD9-4511-B07ADD45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7" name="Picture 100">
          <a:extLst>
            <a:ext uri="{FF2B5EF4-FFF2-40B4-BE49-F238E27FC236}">
              <a16:creationId xmlns:a16="http://schemas.microsoft.com/office/drawing/2014/main" id="{AA11702D-B336-DEE7-608F-A870B1B0B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8" name="Picture 101">
          <a:extLst>
            <a:ext uri="{FF2B5EF4-FFF2-40B4-BE49-F238E27FC236}">
              <a16:creationId xmlns:a16="http://schemas.microsoft.com/office/drawing/2014/main" id="{B2250AB5-C528-3412-B9C3-2D8E3CBC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9" name="Picture 102">
          <a:extLst>
            <a:ext uri="{FF2B5EF4-FFF2-40B4-BE49-F238E27FC236}">
              <a16:creationId xmlns:a16="http://schemas.microsoft.com/office/drawing/2014/main" id="{C3B0FD01-9E07-DCD7-6A98-2596DC6C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0" name="Picture 103">
          <a:extLst>
            <a:ext uri="{FF2B5EF4-FFF2-40B4-BE49-F238E27FC236}">
              <a16:creationId xmlns:a16="http://schemas.microsoft.com/office/drawing/2014/main" id="{2A6D52EC-D743-8F5C-B675-798A6632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1" name="Picture 104">
          <a:extLst>
            <a:ext uri="{FF2B5EF4-FFF2-40B4-BE49-F238E27FC236}">
              <a16:creationId xmlns:a16="http://schemas.microsoft.com/office/drawing/2014/main" id="{A6467802-AD0F-7072-89C3-09D93D67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2" name="Picture 105">
          <a:extLst>
            <a:ext uri="{FF2B5EF4-FFF2-40B4-BE49-F238E27FC236}">
              <a16:creationId xmlns:a16="http://schemas.microsoft.com/office/drawing/2014/main" id="{A251EE8C-5401-BD18-5D8A-31E6400C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3" name="Picture 106">
          <a:extLst>
            <a:ext uri="{FF2B5EF4-FFF2-40B4-BE49-F238E27FC236}">
              <a16:creationId xmlns:a16="http://schemas.microsoft.com/office/drawing/2014/main" id="{E842EAA2-2C80-695C-F36B-D303DEB5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4" name="Picture 107">
          <a:extLst>
            <a:ext uri="{FF2B5EF4-FFF2-40B4-BE49-F238E27FC236}">
              <a16:creationId xmlns:a16="http://schemas.microsoft.com/office/drawing/2014/main" id="{D2A5288E-87EC-A003-A948-1B0EA4DE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5" name="Picture 108">
          <a:extLst>
            <a:ext uri="{FF2B5EF4-FFF2-40B4-BE49-F238E27FC236}">
              <a16:creationId xmlns:a16="http://schemas.microsoft.com/office/drawing/2014/main" id="{EAA435A2-35E0-F957-EAF6-F760DA51D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6" name="Picture 109">
          <a:extLst>
            <a:ext uri="{FF2B5EF4-FFF2-40B4-BE49-F238E27FC236}">
              <a16:creationId xmlns:a16="http://schemas.microsoft.com/office/drawing/2014/main" id="{78C21600-D365-30A4-BBC4-8CB61D5B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7" name="Picture 110">
          <a:extLst>
            <a:ext uri="{FF2B5EF4-FFF2-40B4-BE49-F238E27FC236}">
              <a16:creationId xmlns:a16="http://schemas.microsoft.com/office/drawing/2014/main" id="{1604D795-7124-FAFA-A49E-9D3EE58C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8" name="Picture 111">
          <a:extLst>
            <a:ext uri="{FF2B5EF4-FFF2-40B4-BE49-F238E27FC236}">
              <a16:creationId xmlns:a16="http://schemas.microsoft.com/office/drawing/2014/main" id="{9DE1C3A5-948A-EC6C-CF10-F38A4E6F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9" name="Picture 112">
          <a:extLst>
            <a:ext uri="{FF2B5EF4-FFF2-40B4-BE49-F238E27FC236}">
              <a16:creationId xmlns:a16="http://schemas.microsoft.com/office/drawing/2014/main" id="{C1BE8458-55F3-79A2-FB9B-4486922A9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0" name="Picture 113">
          <a:extLst>
            <a:ext uri="{FF2B5EF4-FFF2-40B4-BE49-F238E27FC236}">
              <a16:creationId xmlns:a16="http://schemas.microsoft.com/office/drawing/2014/main" id="{C6889147-F6E7-3571-2E7F-B9138531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1" name="Picture 114">
          <a:extLst>
            <a:ext uri="{FF2B5EF4-FFF2-40B4-BE49-F238E27FC236}">
              <a16:creationId xmlns:a16="http://schemas.microsoft.com/office/drawing/2014/main" id="{9F5C43D0-97ED-32F3-57C5-5DA011C4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2" name="Picture 115">
          <a:extLst>
            <a:ext uri="{FF2B5EF4-FFF2-40B4-BE49-F238E27FC236}">
              <a16:creationId xmlns:a16="http://schemas.microsoft.com/office/drawing/2014/main" id="{922F327A-A577-79A8-3A73-0E89A5065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3" name="Picture 116">
          <a:extLst>
            <a:ext uri="{FF2B5EF4-FFF2-40B4-BE49-F238E27FC236}">
              <a16:creationId xmlns:a16="http://schemas.microsoft.com/office/drawing/2014/main" id="{5CA061BD-EFFD-26EB-A8B0-4F787059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4" name="Picture 117">
          <a:extLst>
            <a:ext uri="{FF2B5EF4-FFF2-40B4-BE49-F238E27FC236}">
              <a16:creationId xmlns:a16="http://schemas.microsoft.com/office/drawing/2014/main" id="{051810D9-DA02-57C9-E340-3A85DEA6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5" name="Picture 118">
          <a:extLst>
            <a:ext uri="{FF2B5EF4-FFF2-40B4-BE49-F238E27FC236}">
              <a16:creationId xmlns:a16="http://schemas.microsoft.com/office/drawing/2014/main" id="{9E7306EB-D8A6-AD47-F894-615A495B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6" name="Picture 119">
          <a:extLst>
            <a:ext uri="{FF2B5EF4-FFF2-40B4-BE49-F238E27FC236}">
              <a16:creationId xmlns:a16="http://schemas.microsoft.com/office/drawing/2014/main" id="{A022E373-2EEF-555C-D012-BCB9436A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7" name="Picture 120">
          <a:extLst>
            <a:ext uri="{FF2B5EF4-FFF2-40B4-BE49-F238E27FC236}">
              <a16:creationId xmlns:a16="http://schemas.microsoft.com/office/drawing/2014/main" id="{2D18EEC9-E3C1-7AB7-C176-E7A7D663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8" name="Picture 121">
          <a:extLst>
            <a:ext uri="{FF2B5EF4-FFF2-40B4-BE49-F238E27FC236}">
              <a16:creationId xmlns:a16="http://schemas.microsoft.com/office/drawing/2014/main" id="{7DB87C3F-DEDD-3AB0-487E-BB0D64A5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9" name="Picture 122">
          <a:extLst>
            <a:ext uri="{FF2B5EF4-FFF2-40B4-BE49-F238E27FC236}">
              <a16:creationId xmlns:a16="http://schemas.microsoft.com/office/drawing/2014/main" id="{D3038B1C-57AD-C919-1889-BCB25624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0" name="Picture 123">
          <a:extLst>
            <a:ext uri="{FF2B5EF4-FFF2-40B4-BE49-F238E27FC236}">
              <a16:creationId xmlns:a16="http://schemas.microsoft.com/office/drawing/2014/main" id="{EFBBD14A-5855-B738-E198-F03FDA8A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1" name="Picture 124">
          <a:extLst>
            <a:ext uri="{FF2B5EF4-FFF2-40B4-BE49-F238E27FC236}">
              <a16:creationId xmlns:a16="http://schemas.microsoft.com/office/drawing/2014/main" id="{3CD8CEAB-F059-7F76-D273-AE02EB2D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2" name="Picture 125">
          <a:extLst>
            <a:ext uri="{FF2B5EF4-FFF2-40B4-BE49-F238E27FC236}">
              <a16:creationId xmlns:a16="http://schemas.microsoft.com/office/drawing/2014/main" id="{5D40CB26-5326-9D7E-2548-EA4D4EDA2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3" name="Picture 126">
          <a:extLst>
            <a:ext uri="{FF2B5EF4-FFF2-40B4-BE49-F238E27FC236}">
              <a16:creationId xmlns:a16="http://schemas.microsoft.com/office/drawing/2014/main" id="{7F531891-07D1-3D5D-47E9-1362CEB3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4" name="Picture 127">
          <a:extLst>
            <a:ext uri="{FF2B5EF4-FFF2-40B4-BE49-F238E27FC236}">
              <a16:creationId xmlns:a16="http://schemas.microsoft.com/office/drawing/2014/main" id="{F6D683D5-F827-EF0F-9813-72E77A83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5" name="Picture 128">
          <a:extLst>
            <a:ext uri="{FF2B5EF4-FFF2-40B4-BE49-F238E27FC236}">
              <a16:creationId xmlns:a16="http://schemas.microsoft.com/office/drawing/2014/main" id="{B452E7C2-FCE2-53DB-ACF1-D82CDAE2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6" name="Picture 129">
          <a:extLst>
            <a:ext uri="{FF2B5EF4-FFF2-40B4-BE49-F238E27FC236}">
              <a16:creationId xmlns:a16="http://schemas.microsoft.com/office/drawing/2014/main" id="{EF03936A-753F-782B-A2DF-9AD365B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7" name="Picture 130">
          <a:extLst>
            <a:ext uri="{FF2B5EF4-FFF2-40B4-BE49-F238E27FC236}">
              <a16:creationId xmlns:a16="http://schemas.microsoft.com/office/drawing/2014/main" id="{2884EC79-992C-864C-37DD-4A01B15C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8" name="Picture 131">
          <a:extLst>
            <a:ext uri="{FF2B5EF4-FFF2-40B4-BE49-F238E27FC236}">
              <a16:creationId xmlns:a16="http://schemas.microsoft.com/office/drawing/2014/main" id="{A7DD6DDB-008B-48C1-0280-2CF6F939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9" name="Picture 132">
          <a:extLst>
            <a:ext uri="{FF2B5EF4-FFF2-40B4-BE49-F238E27FC236}">
              <a16:creationId xmlns:a16="http://schemas.microsoft.com/office/drawing/2014/main" id="{D6DCE837-4A4D-67BC-8E93-397F5DD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0" name="Picture 133">
          <a:extLst>
            <a:ext uri="{FF2B5EF4-FFF2-40B4-BE49-F238E27FC236}">
              <a16:creationId xmlns:a16="http://schemas.microsoft.com/office/drawing/2014/main" id="{A286736D-20AC-EF72-590D-610EAB8E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1" name="Picture 134">
          <a:extLst>
            <a:ext uri="{FF2B5EF4-FFF2-40B4-BE49-F238E27FC236}">
              <a16:creationId xmlns:a16="http://schemas.microsoft.com/office/drawing/2014/main" id="{88952404-08E9-10DB-E0A0-A77F303D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2" name="Picture 135">
          <a:extLst>
            <a:ext uri="{FF2B5EF4-FFF2-40B4-BE49-F238E27FC236}">
              <a16:creationId xmlns:a16="http://schemas.microsoft.com/office/drawing/2014/main" id="{5E0A4224-CF9C-3E6C-5D3F-E6CBFEAD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3" name="Picture 136">
          <a:extLst>
            <a:ext uri="{FF2B5EF4-FFF2-40B4-BE49-F238E27FC236}">
              <a16:creationId xmlns:a16="http://schemas.microsoft.com/office/drawing/2014/main" id="{F8C690F9-5540-C630-46BE-35ACD705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4" name="Picture 137">
          <a:extLst>
            <a:ext uri="{FF2B5EF4-FFF2-40B4-BE49-F238E27FC236}">
              <a16:creationId xmlns:a16="http://schemas.microsoft.com/office/drawing/2014/main" id="{2A3A4D3D-1DA9-C775-E50B-194FB984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5" name="Picture 138">
          <a:extLst>
            <a:ext uri="{FF2B5EF4-FFF2-40B4-BE49-F238E27FC236}">
              <a16:creationId xmlns:a16="http://schemas.microsoft.com/office/drawing/2014/main" id="{4B0E58A1-7792-9F32-AC15-04218959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6" name="Picture 139">
          <a:extLst>
            <a:ext uri="{FF2B5EF4-FFF2-40B4-BE49-F238E27FC236}">
              <a16:creationId xmlns:a16="http://schemas.microsoft.com/office/drawing/2014/main" id="{C184E229-AA86-C464-E1BD-27812D38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7" name="Picture 140">
          <a:extLst>
            <a:ext uri="{FF2B5EF4-FFF2-40B4-BE49-F238E27FC236}">
              <a16:creationId xmlns:a16="http://schemas.microsoft.com/office/drawing/2014/main" id="{6B379226-776D-901B-58EE-ECA24BE1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8" name="Picture 141">
          <a:extLst>
            <a:ext uri="{FF2B5EF4-FFF2-40B4-BE49-F238E27FC236}">
              <a16:creationId xmlns:a16="http://schemas.microsoft.com/office/drawing/2014/main" id="{1B511BA5-2747-1928-C546-6E519A91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9" name="Picture 142">
          <a:extLst>
            <a:ext uri="{FF2B5EF4-FFF2-40B4-BE49-F238E27FC236}">
              <a16:creationId xmlns:a16="http://schemas.microsoft.com/office/drawing/2014/main" id="{CDE2C720-1730-EFDC-20BD-5054883F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0" name="Picture 143">
          <a:extLst>
            <a:ext uri="{FF2B5EF4-FFF2-40B4-BE49-F238E27FC236}">
              <a16:creationId xmlns:a16="http://schemas.microsoft.com/office/drawing/2014/main" id="{D10889BF-D231-45D8-D4DE-4BE5DDBB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1" name="Picture 144">
          <a:extLst>
            <a:ext uri="{FF2B5EF4-FFF2-40B4-BE49-F238E27FC236}">
              <a16:creationId xmlns:a16="http://schemas.microsoft.com/office/drawing/2014/main" id="{6AB7913E-3209-3AD0-96B6-61D89CC3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2" name="Picture 145">
          <a:extLst>
            <a:ext uri="{FF2B5EF4-FFF2-40B4-BE49-F238E27FC236}">
              <a16:creationId xmlns:a16="http://schemas.microsoft.com/office/drawing/2014/main" id="{334F43A2-C390-5610-8FF3-6BC625A1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3" name="Picture 146">
          <a:extLst>
            <a:ext uri="{FF2B5EF4-FFF2-40B4-BE49-F238E27FC236}">
              <a16:creationId xmlns:a16="http://schemas.microsoft.com/office/drawing/2014/main" id="{71EAA964-B3CD-186C-60CC-FB43CAB9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4" name="Picture 147">
          <a:extLst>
            <a:ext uri="{FF2B5EF4-FFF2-40B4-BE49-F238E27FC236}">
              <a16:creationId xmlns:a16="http://schemas.microsoft.com/office/drawing/2014/main" id="{44D7ADCD-D5BC-0585-F694-769CC4AE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5" name="Picture 148">
          <a:extLst>
            <a:ext uri="{FF2B5EF4-FFF2-40B4-BE49-F238E27FC236}">
              <a16:creationId xmlns:a16="http://schemas.microsoft.com/office/drawing/2014/main" id="{315A1216-1F0D-C509-80B8-4910D62A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6" name="Picture 149">
          <a:extLst>
            <a:ext uri="{FF2B5EF4-FFF2-40B4-BE49-F238E27FC236}">
              <a16:creationId xmlns:a16="http://schemas.microsoft.com/office/drawing/2014/main" id="{DD7A0AA1-F831-1195-BF14-4A42351C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7" name="Picture 150">
          <a:extLst>
            <a:ext uri="{FF2B5EF4-FFF2-40B4-BE49-F238E27FC236}">
              <a16:creationId xmlns:a16="http://schemas.microsoft.com/office/drawing/2014/main" id="{16C8F28B-C53D-0263-B3A0-D8238B06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8" name="Picture 151">
          <a:extLst>
            <a:ext uri="{FF2B5EF4-FFF2-40B4-BE49-F238E27FC236}">
              <a16:creationId xmlns:a16="http://schemas.microsoft.com/office/drawing/2014/main" id="{D3843D73-5875-9576-86BD-3AA6F664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9" name="Picture 152">
          <a:extLst>
            <a:ext uri="{FF2B5EF4-FFF2-40B4-BE49-F238E27FC236}">
              <a16:creationId xmlns:a16="http://schemas.microsoft.com/office/drawing/2014/main" id="{15D53A23-8AF4-A7EB-79A6-CFEB564D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0" name="Picture 153">
          <a:extLst>
            <a:ext uri="{FF2B5EF4-FFF2-40B4-BE49-F238E27FC236}">
              <a16:creationId xmlns:a16="http://schemas.microsoft.com/office/drawing/2014/main" id="{7B2386C9-E2C4-12EC-B76B-238AC47E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1" name="Picture 154">
          <a:extLst>
            <a:ext uri="{FF2B5EF4-FFF2-40B4-BE49-F238E27FC236}">
              <a16:creationId xmlns:a16="http://schemas.microsoft.com/office/drawing/2014/main" id="{CD00F9DF-EC77-8925-0168-7E1EDA94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2" name="Picture 155">
          <a:extLst>
            <a:ext uri="{FF2B5EF4-FFF2-40B4-BE49-F238E27FC236}">
              <a16:creationId xmlns:a16="http://schemas.microsoft.com/office/drawing/2014/main" id="{3A82B608-8A98-DDAB-1AB6-476C8672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3" name="Picture 156">
          <a:extLst>
            <a:ext uri="{FF2B5EF4-FFF2-40B4-BE49-F238E27FC236}">
              <a16:creationId xmlns:a16="http://schemas.microsoft.com/office/drawing/2014/main" id="{A2BCA88B-EEAE-CBB5-A8E2-FF98923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4" name="Picture 157">
          <a:extLst>
            <a:ext uri="{FF2B5EF4-FFF2-40B4-BE49-F238E27FC236}">
              <a16:creationId xmlns:a16="http://schemas.microsoft.com/office/drawing/2014/main" id="{EFB0D4DB-03E2-59AA-8410-AE71DA40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5" name="Picture 158">
          <a:extLst>
            <a:ext uri="{FF2B5EF4-FFF2-40B4-BE49-F238E27FC236}">
              <a16:creationId xmlns:a16="http://schemas.microsoft.com/office/drawing/2014/main" id="{1EA77278-9A39-58B0-5FDA-EB19F22A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6" name="Picture 159">
          <a:extLst>
            <a:ext uri="{FF2B5EF4-FFF2-40B4-BE49-F238E27FC236}">
              <a16:creationId xmlns:a16="http://schemas.microsoft.com/office/drawing/2014/main" id="{E84DD5F0-15DE-19DA-5397-766C8BE7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7" name="Picture 160">
          <a:extLst>
            <a:ext uri="{FF2B5EF4-FFF2-40B4-BE49-F238E27FC236}">
              <a16:creationId xmlns:a16="http://schemas.microsoft.com/office/drawing/2014/main" id="{29ABAEDE-11A9-4D0E-E281-E9DE8D86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8" name="Picture 161">
          <a:extLst>
            <a:ext uri="{FF2B5EF4-FFF2-40B4-BE49-F238E27FC236}">
              <a16:creationId xmlns:a16="http://schemas.microsoft.com/office/drawing/2014/main" id="{2A004C08-5DA8-0BB5-D0A1-680D02B3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9" name="Picture 162">
          <a:extLst>
            <a:ext uri="{FF2B5EF4-FFF2-40B4-BE49-F238E27FC236}">
              <a16:creationId xmlns:a16="http://schemas.microsoft.com/office/drawing/2014/main" id="{06BF83BB-9D19-D620-183A-4BC5D81E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0" name="Picture 163">
          <a:extLst>
            <a:ext uri="{FF2B5EF4-FFF2-40B4-BE49-F238E27FC236}">
              <a16:creationId xmlns:a16="http://schemas.microsoft.com/office/drawing/2014/main" id="{195AB5F5-E40E-2E52-7369-43B8000A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1" name="Picture 164">
          <a:extLst>
            <a:ext uri="{FF2B5EF4-FFF2-40B4-BE49-F238E27FC236}">
              <a16:creationId xmlns:a16="http://schemas.microsoft.com/office/drawing/2014/main" id="{DF875AFB-4E69-5F63-DD01-522E2BF4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2" name="Picture 165">
          <a:extLst>
            <a:ext uri="{FF2B5EF4-FFF2-40B4-BE49-F238E27FC236}">
              <a16:creationId xmlns:a16="http://schemas.microsoft.com/office/drawing/2014/main" id="{5F5176F4-04EA-24F5-B41B-14CFD1F1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3" name="Picture 166">
          <a:extLst>
            <a:ext uri="{FF2B5EF4-FFF2-40B4-BE49-F238E27FC236}">
              <a16:creationId xmlns:a16="http://schemas.microsoft.com/office/drawing/2014/main" id="{4AB15222-1CC7-2990-8AE3-672F03FB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4" name="Picture 167">
          <a:extLst>
            <a:ext uri="{FF2B5EF4-FFF2-40B4-BE49-F238E27FC236}">
              <a16:creationId xmlns:a16="http://schemas.microsoft.com/office/drawing/2014/main" id="{618FC1D3-E280-56F4-DE6C-50D8DDD2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5" name="Picture 168">
          <a:extLst>
            <a:ext uri="{FF2B5EF4-FFF2-40B4-BE49-F238E27FC236}">
              <a16:creationId xmlns:a16="http://schemas.microsoft.com/office/drawing/2014/main" id="{2AA075EF-27CB-29E4-B0B4-D1B1DF16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6" name="Picture 169">
          <a:extLst>
            <a:ext uri="{FF2B5EF4-FFF2-40B4-BE49-F238E27FC236}">
              <a16:creationId xmlns:a16="http://schemas.microsoft.com/office/drawing/2014/main" id="{D2F632E3-0AA2-DC15-F6AC-8ECA6A5E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7" name="Picture 170">
          <a:extLst>
            <a:ext uri="{FF2B5EF4-FFF2-40B4-BE49-F238E27FC236}">
              <a16:creationId xmlns:a16="http://schemas.microsoft.com/office/drawing/2014/main" id="{B5608F9E-3F0F-8D81-7D99-24920D42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8" name="Picture 171">
          <a:extLst>
            <a:ext uri="{FF2B5EF4-FFF2-40B4-BE49-F238E27FC236}">
              <a16:creationId xmlns:a16="http://schemas.microsoft.com/office/drawing/2014/main" id="{F484B840-732A-B396-7547-69D4772C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9" name="Picture 172">
          <a:extLst>
            <a:ext uri="{FF2B5EF4-FFF2-40B4-BE49-F238E27FC236}">
              <a16:creationId xmlns:a16="http://schemas.microsoft.com/office/drawing/2014/main" id="{E03B432D-ADC2-C17D-6190-0F983DE7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0" name="Picture 173">
          <a:extLst>
            <a:ext uri="{FF2B5EF4-FFF2-40B4-BE49-F238E27FC236}">
              <a16:creationId xmlns:a16="http://schemas.microsoft.com/office/drawing/2014/main" id="{390320F3-E6B8-07E4-B8C6-DCD41A3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1" name="Picture 174">
          <a:extLst>
            <a:ext uri="{FF2B5EF4-FFF2-40B4-BE49-F238E27FC236}">
              <a16:creationId xmlns:a16="http://schemas.microsoft.com/office/drawing/2014/main" id="{7B901864-C38C-7C29-1C3C-7AAA2E8A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2" name="Picture 175">
          <a:extLst>
            <a:ext uri="{FF2B5EF4-FFF2-40B4-BE49-F238E27FC236}">
              <a16:creationId xmlns:a16="http://schemas.microsoft.com/office/drawing/2014/main" id="{9C2D98ED-1DA3-947A-34D6-1C0ED5A4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3" name="Picture 176">
          <a:extLst>
            <a:ext uri="{FF2B5EF4-FFF2-40B4-BE49-F238E27FC236}">
              <a16:creationId xmlns:a16="http://schemas.microsoft.com/office/drawing/2014/main" id="{10E1F915-12B1-3034-E0AE-B3F54EF3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4" name="Picture 177">
          <a:extLst>
            <a:ext uri="{FF2B5EF4-FFF2-40B4-BE49-F238E27FC236}">
              <a16:creationId xmlns:a16="http://schemas.microsoft.com/office/drawing/2014/main" id="{56EBBB00-C7E9-237D-432B-8974587B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5" name="Picture 178">
          <a:extLst>
            <a:ext uri="{FF2B5EF4-FFF2-40B4-BE49-F238E27FC236}">
              <a16:creationId xmlns:a16="http://schemas.microsoft.com/office/drawing/2014/main" id="{FB47EF00-30EE-464D-51C0-97644E23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6" name="Picture 179">
          <a:extLst>
            <a:ext uri="{FF2B5EF4-FFF2-40B4-BE49-F238E27FC236}">
              <a16:creationId xmlns:a16="http://schemas.microsoft.com/office/drawing/2014/main" id="{AED262E7-60CE-129E-7886-89B06580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7" name="Picture 180">
          <a:extLst>
            <a:ext uri="{FF2B5EF4-FFF2-40B4-BE49-F238E27FC236}">
              <a16:creationId xmlns:a16="http://schemas.microsoft.com/office/drawing/2014/main" id="{23BF3890-5E52-CB11-D9A0-89D9E9B6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8" name="Picture 181">
          <a:extLst>
            <a:ext uri="{FF2B5EF4-FFF2-40B4-BE49-F238E27FC236}">
              <a16:creationId xmlns:a16="http://schemas.microsoft.com/office/drawing/2014/main" id="{67BFC874-211A-0707-A49B-4AE25919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9" name="Picture 182">
          <a:extLst>
            <a:ext uri="{FF2B5EF4-FFF2-40B4-BE49-F238E27FC236}">
              <a16:creationId xmlns:a16="http://schemas.microsoft.com/office/drawing/2014/main" id="{CF5D8878-E28F-8F92-4022-D12C728A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0" name="Picture 183">
          <a:extLst>
            <a:ext uri="{FF2B5EF4-FFF2-40B4-BE49-F238E27FC236}">
              <a16:creationId xmlns:a16="http://schemas.microsoft.com/office/drawing/2014/main" id="{995983CC-D5F7-AC63-1589-94B1129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1" name="Picture 184">
          <a:extLst>
            <a:ext uri="{FF2B5EF4-FFF2-40B4-BE49-F238E27FC236}">
              <a16:creationId xmlns:a16="http://schemas.microsoft.com/office/drawing/2014/main" id="{F78725BA-A6DB-DB74-394E-CE0BE23BF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2" name="Picture 185">
          <a:extLst>
            <a:ext uri="{FF2B5EF4-FFF2-40B4-BE49-F238E27FC236}">
              <a16:creationId xmlns:a16="http://schemas.microsoft.com/office/drawing/2014/main" id="{495F4089-1149-3543-118F-30191F66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3" name="Picture 186">
          <a:extLst>
            <a:ext uri="{FF2B5EF4-FFF2-40B4-BE49-F238E27FC236}">
              <a16:creationId xmlns:a16="http://schemas.microsoft.com/office/drawing/2014/main" id="{C5D4276A-A9FD-F864-F533-24273B5F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4" name="Picture 187">
          <a:extLst>
            <a:ext uri="{FF2B5EF4-FFF2-40B4-BE49-F238E27FC236}">
              <a16:creationId xmlns:a16="http://schemas.microsoft.com/office/drawing/2014/main" id="{FCA9ECAD-A5AB-BB8E-DB0D-B7B5132C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5" name="Picture 188">
          <a:extLst>
            <a:ext uri="{FF2B5EF4-FFF2-40B4-BE49-F238E27FC236}">
              <a16:creationId xmlns:a16="http://schemas.microsoft.com/office/drawing/2014/main" id="{2CED65FF-5A2D-22DF-9706-EAB43F1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6" name="Picture 189">
          <a:extLst>
            <a:ext uri="{FF2B5EF4-FFF2-40B4-BE49-F238E27FC236}">
              <a16:creationId xmlns:a16="http://schemas.microsoft.com/office/drawing/2014/main" id="{20409440-13B8-99BA-E3BA-260268ED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7" name="Picture 190">
          <a:extLst>
            <a:ext uri="{FF2B5EF4-FFF2-40B4-BE49-F238E27FC236}">
              <a16:creationId xmlns:a16="http://schemas.microsoft.com/office/drawing/2014/main" id="{036CD37F-047D-2803-C5AB-604D3AC9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8" name="Picture 191">
          <a:extLst>
            <a:ext uri="{FF2B5EF4-FFF2-40B4-BE49-F238E27FC236}">
              <a16:creationId xmlns:a16="http://schemas.microsoft.com/office/drawing/2014/main" id="{4B026557-532E-BBE6-7DFD-99A63308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9" name="Picture 192">
          <a:extLst>
            <a:ext uri="{FF2B5EF4-FFF2-40B4-BE49-F238E27FC236}">
              <a16:creationId xmlns:a16="http://schemas.microsoft.com/office/drawing/2014/main" id="{24C2CB8D-7F61-7411-E322-291D5F774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0" name="Picture 193">
          <a:extLst>
            <a:ext uri="{FF2B5EF4-FFF2-40B4-BE49-F238E27FC236}">
              <a16:creationId xmlns:a16="http://schemas.microsoft.com/office/drawing/2014/main" id="{E9FCC9B0-93BA-DF5B-2CDF-54B974DA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1" name="Picture 194">
          <a:extLst>
            <a:ext uri="{FF2B5EF4-FFF2-40B4-BE49-F238E27FC236}">
              <a16:creationId xmlns:a16="http://schemas.microsoft.com/office/drawing/2014/main" id="{50F2EC28-C5E9-C351-88E6-EFFBA785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2" name="Picture 195">
          <a:extLst>
            <a:ext uri="{FF2B5EF4-FFF2-40B4-BE49-F238E27FC236}">
              <a16:creationId xmlns:a16="http://schemas.microsoft.com/office/drawing/2014/main" id="{0DB449BE-1EF1-F58E-D722-7A0572E7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3" name="Picture 196">
          <a:extLst>
            <a:ext uri="{FF2B5EF4-FFF2-40B4-BE49-F238E27FC236}">
              <a16:creationId xmlns:a16="http://schemas.microsoft.com/office/drawing/2014/main" id="{4131A0E2-5B3A-05F9-1985-14E2D7CA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4" name="Picture 197">
          <a:extLst>
            <a:ext uri="{FF2B5EF4-FFF2-40B4-BE49-F238E27FC236}">
              <a16:creationId xmlns:a16="http://schemas.microsoft.com/office/drawing/2014/main" id="{F596B2FC-0E35-90C7-4954-822A3C96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5" name="Picture 198">
          <a:extLst>
            <a:ext uri="{FF2B5EF4-FFF2-40B4-BE49-F238E27FC236}">
              <a16:creationId xmlns:a16="http://schemas.microsoft.com/office/drawing/2014/main" id="{E690163E-7588-E002-5F68-A023C2A0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6" name="Picture 199">
          <a:extLst>
            <a:ext uri="{FF2B5EF4-FFF2-40B4-BE49-F238E27FC236}">
              <a16:creationId xmlns:a16="http://schemas.microsoft.com/office/drawing/2014/main" id="{323CCBBF-9356-6D6E-00D1-C89B9B8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7" name="Picture 200">
          <a:extLst>
            <a:ext uri="{FF2B5EF4-FFF2-40B4-BE49-F238E27FC236}">
              <a16:creationId xmlns:a16="http://schemas.microsoft.com/office/drawing/2014/main" id="{0DFCB0CB-6C45-D069-A881-D69EC4D2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8" name="Picture 201">
          <a:extLst>
            <a:ext uri="{FF2B5EF4-FFF2-40B4-BE49-F238E27FC236}">
              <a16:creationId xmlns:a16="http://schemas.microsoft.com/office/drawing/2014/main" id="{94B14A24-E347-CFE7-EFC2-FC0DC9BF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9" name="Picture 202">
          <a:extLst>
            <a:ext uri="{FF2B5EF4-FFF2-40B4-BE49-F238E27FC236}">
              <a16:creationId xmlns:a16="http://schemas.microsoft.com/office/drawing/2014/main" id="{CC254E07-CEB0-0C05-2D2A-C8BDE3F9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0" name="Picture 203">
          <a:extLst>
            <a:ext uri="{FF2B5EF4-FFF2-40B4-BE49-F238E27FC236}">
              <a16:creationId xmlns:a16="http://schemas.microsoft.com/office/drawing/2014/main" id="{6C2E1E6C-8019-809A-D0C1-7B94888B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1" name="Picture 204">
          <a:extLst>
            <a:ext uri="{FF2B5EF4-FFF2-40B4-BE49-F238E27FC236}">
              <a16:creationId xmlns:a16="http://schemas.microsoft.com/office/drawing/2014/main" id="{395E01B0-E006-3E5F-DEFB-811F8C68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2" name="Picture 205">
          <a:extLst>
            <a:ext uri="{FF2B5EF4-FFF2-40B4-BE49-F238E27FC236}">
              <a16:creationId xmlns:a16="http://schemas.microsoft.com/office/drawing/2014/main" id="{A529E781-8535-5331-D6F3-3E439398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3" name="Picture 206">
          <a:extLst>
            <a:ext uri="{FF2B5EF4-FFF2-40B4-BE49-F238E27FC236}">
              <a16:creationId xmlns:a16="http://schemas.microsoft.com/office/drawing/2014/main" id="{5431C2F9-0E0E-83D2-6D81-8D803158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4" name="Picture 207">
          <a:extLst>
            <a:ext uri="{FF2B5EF4-FFF2-40B4-BE49-F238E27FC236}">
              <a16:creationId xmlns:a16="http://schemas.microsoft.com/office/drawing/2014/main" id="{A8CEA90A-E794-658D-C1C1-6CABAA05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5" name="Picture 208">
          <a:extLst>
            <a:ext uri="{FF2B5EF4-FFF2-40B4-BE49-F238E27FC236}">
              <a16:creationId xmlns:a16="http://schemas.microsoft.com/office/drawing/2014/main" id="{C6129059-FC96-0F59-AC7D-BF59D1CA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6" name="Picture 209">
          <a:extLst>
            <a:ext uri="{FF2B5EF4-FFF2-40B4-BE49-F238E27FC236}">
              <a16:creationId xmlns:a16="http://schemas.microsoft.com/office/drawing/2014/main" id="{A243D0A0-FCDB-BDCC-0B51-C2F43334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7" name="Picture 210">
          <a:extLst>
            <a:ext uri="{FF2B5EF4-FFF2-40B4-BE49-F238E27FC236}">
              <a16:creationId xmlns:a16="http://schemas.microsoft.com/office/drawing/2014/main" id="{6AB8300F-CA51-CC0E-F4B7-53DC3253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8" name="Picture 211">
          <a:extLst>
            <a:ext uri="{FF2B5EF4-FFF2-40B4-BE49-F238E27FC236}">
              <a16:creationId xmlns:a16="http://schemas.microsoft.com/office/drawing/2014/main" id="{0D3C1595-48C3-3FAE-680B-A5FCC355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9" name="Picture 212">
          <a:extLst>
            <a:ext uri="{FF2B5EF4-FFF2-40B4-BE49-F238E27FC236}">
              <a16:creationId xmlns:a16="http://schemas.microsoft.com/office/drawing/2014/main" id="{C67867A4-E9C4-4348-564A-0C27EF39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0" name="Picture 213">
          <a:extLst>
            <a:ext uri="{FF2B5EF4-FFF2-40B4-BE49-F238E27FC236}">
              <a16:creationId xmlns:a16="http://schemas.microsoft.com/office/drawing/2014/main" id="{DAAD69C1-526B-96A8-7212-1BB8E713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1" name="Picture 214">
          <a:extLst>
            <a:ext uri="{FF2B5EF4-FFF2-40B4-BE49-F238E27FC236}">
              <a16:creationId xmlns:a16="http://schemas.microsoft.com/office/drawing/2014/main" id="{39FDD165-9547-8D0B-5504-6F2F140E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2" name="Picture 215">
          <a:extLst>
            <a:ext uri="{FF2B5EF4-FFF2-40B4-BE49-F238E27FC236}">
              <a16:creationId xmlns:a16="http://schemas.microsoft.com/office/drawing/2014/main" id="{CC922E09-81F0-607F-18A6-3ACC6B4C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3" name="Picture 216">
          <a:extLst>
            <a:ext uri="{FF2B5EF4-FFF2-40B4-BE49-F238E27FC236}">
              <a16:creationId xmlns:a16="http://schemas.microsoft.com/office/drawing/2014/main" id="{0E5A5D9C-A93E-44AF-4BF7-5E5A0AFC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4" name="Picture 217">
          <a:extLst>
            <a:ext uri="{FF2B5EF4-FFF2-40B4-BE49-F238E27FC236}">
              <a16:creationId xmlns:a16="http://schemas.microsoft.com/office/drawing/2014/main" id="{3645CAA3-178B-796A-D7CA-24A015AE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5" name="Picture 218">
          <a:extLst>
            <a:ext uri="{FF2B5EF4-FFF2-40B4-BE49-F238E27FC236}">
              <a16:creationId xmlns:a16="http://schemas.microsoft.com/office/drawing/2014/main" id="{2CD903D3-1A28-5421-2083-213DE028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6" name="Picture 219">
          <a:extLst>
            <a:ext uri="{FF2B5EF4-FFF2-40B4-BE49-F238E27FC236}">
              <a16:creationId xmlns:a16="http://schemas.microsoft.com/office/drawing/2014/main" id="{34D61F86-2901-BF7E-5240-A7BF4C49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7" name="Picture 220">
          <a:extLst>
            <a:ext uri="{FF2B5EF4-FFF2-40B4-BE49-F238E27FC236}">
              <a16:creationId xmlns:a16="http://schemas.microsoft.com/office/drawing/2014/main" id="{5BC636C3-E287-7A57-61DD-AB0C633E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8" name="Picture 221">
          <a:extLst>
            <a:ext uri="{FF2B5EF4-FFF2-40B4-BE49-F238E27FC236}">
              <a16:creationId xmlns:a16="http://schemas.microsoft.com/office/drawing/2014/main" id="{10B20114-E45D-95EF-0BB2-3F805874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9" name="Picture 222">
          <a:extLst>
            <a:ext uri="{FF2B5EF4-FFF2-40B4-BE49-F238E27FC236}">
              <a16:creationId xmlns:a16="http://schemas.microsoft.com/office/drawing/2014/main" id="{62DE6947-A3FD-C59D-7251-07FCDB8D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0" name="Picture 223">
          <a:extLst>
            <a:ext uri="{FF2B5EF4-FFF2-40B4-BE49-F238E27FC236}">
              <a16:creationId xmlns:a16="http://schemas.microsoft.com/office/drawing/2014/main" id="{8C09799A-D94C-8727-3011-5CE739384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1" name="Picture 224">
          <a:extLst>
            <a:ext uri="{FF2B5EF4-FFF2-40B4-BE49-F238E27FC236}">
              <a16:creationId xmlns:a16="http://schemas.microsoft.com/office/drawing/2014/main" id="{F623D17D-7CF5-61AA-AFEA-B7D7678F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2" name="Picture 225">
          <a:extLst>
            <a:ext uri="{FF2B5EF4-FFF2-40B4-BE49-F238E27FC236}">
              <a16:creationId xmlns:a16="http://schemas.microsoft.com/office/drawing/2014/main" id="{5ABF2CB5-615F-40BC-479A-CAEEAFAB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3" name="Picture 226">
          <a:extLst>
            <a:ext uri="{FF2B5EF4-FFF2-40B4-BE49-F238E27FC236}">
              <a16:creationId xmlns:a16="http://schemas.microsoft.com/office/drawing/2014/main" id="{A8A82CF5-E39F-95EF-CF83-39FECF63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4" name="Picture 227">
          <a:extLst>
            <a:ext uri="{FF2B5EF4-FFF2-40B4-BE49-F238E27FC236}">
              <a16:creationId xmlns:a16="http://schemas.microsoft.com/office/drawing/2014/main" id="{3EFE9B4F-8871-FF60-5142-C7A4EA8D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5" name="Picture 228">
          <a:extLst>
            <a:ext uri="{FF2B5EF4-FFF2-40B4-BE49-F238E27FC236}">
              <a16:creationId xmlns:a16="http://schemas.microsoft.com/office/drawing/2014/main" id="{6D43B470-62A2-C1C9-50C3-2E47E2A8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6" name="Picture 229">
          <a:extLst>
            <a:ext uri="{FF2B5EF4-FFF2-40B4-BE49-F238E27FC236}">
              <a16:creationId xmlns:a16="http://schemas.microsoft.com/office/drawing/2014/main" id="{A621D2EE-A215-0121-6CE0-E7FBE218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7" name="Picture 230">
          <a:extLst>
            <a:ext uri="{FF2B5EF4-FFF2-40B4-BE49-F238E27FC236}">
              <a16:creationId xmlns:a16="http://schemas.microsoft.com/office/drawing/2014/main" id="{A539C3EF-9453-E5BB-C679-7DD0D581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8" name="Picture 231">
          <a:extLst>
            <a:ext uri="{FF2B5EF4-FFF2-40B4-BE49-F238E27FC236}">
              <a16:creationId xmlns:a16="http://schemas.microsoft.com/office/drawing/2014/main" id="{1A4EDB1C-BB04-8D54-2A1E-6C67177E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9" name="Picture 232">
          <a:extLst>
            <a:ext uri="{FF2B5EF4-FFF2-40B4-BE49-F238E27FC236}">
              <a16:creationId xmlns:a16="http://schemas.microsoft.com/office/drawing/2014/main" id="{2E6E7260-FB9C-E736-71E3-AA950E8B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0" name="Picture 233">
          <a:extLst>
            <a:ext uri="{FF2B5EF4-FFF2-40B4-BE49-F238E27FC236}">
              <a16:creationId xmlns:a16="http://schemas.microsoft.com/office/drawing/2014/main" id="{82CAE766-0EC3-5BE7-CAAF-CB95EFFF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1" name="Picture 234">
          <a:extLst>
            <a:ext uri="{FF2B5EF4-FFF2-40B4-BE49-F238E27FC236}">
              <a16:creationId xmlns:a16="http://schemas.microsoft.com/office/drawing/2014/main" id="{56BABC4D-6020-AF7F-9E0B-D707384C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2" name="Picture 235">
          <a:extLst>
            <a:ext uri="{FF2B5EF4-FFF2-40B4-BE49-F238E27FC236}">
              <a16:creationId xmlns:a16="http://schemas.microsoft.com/office/drawing/2014/main" id="{8EE08965-41DA-6BEB-3F32-C7B664A74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3" name="Picture 236">
          <a:extLst>
            <a:ext uri="{FF2B5EF4-FFF2-40B4-BE49-F238E27FC236}">
              <a16:creationId xmlns:a16="http://schemas.microsoft.com/office/drawing/2014/main" id="{621E1E82-D309-9BC5-426C-8F5ACE7C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4" name="Picture 237">
          <a:extLst>
            <a:ext uri="{FF2B5EF4-FFF2-40B4-BE49-F238E27FC236}">
              <a16:creationId xmlns:a16="http://schemas.microsoft.com/office/drawing/2014/main" id="{5B81A8EA-310D-3E14-0585-057064A5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5" name="Picture 238">
          <a:extLst>
            <a:ext uri="{FF2B5EF4-FFF2-40B4-BE49-F238E27FC236}">
              <a16:creationId xmlns:a16="http://schemas.microsoft.com/office/drawing/2014/main" id="{1F117F40-48FC-D587-BC9E-75D94C0E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6" name="Picture 239">
          <a:extLst>
            <a:ext uri="{FF2B5EF4-FFF2-40B4-BE49-F238E27FC236}">
              <a16:creationId xmlns:a16="http://schemas.microsoft.com/office/drawing/2014/main" id="{461770A1-1CCD-DB68-9F3F-53E52A03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7" name="Picture 240">
          <a:extLst>
            <a:ext uri="{FF2B5EF4-FFF2-40B4-BE49-F238E27FC236}">
              <a16:creationId xmlns:a16="http://schemas.microsoft.com/office/drawing/2014/main" id="{80CB0286-1B83-3789-1621-66E89397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8" name="Picture 241">
          <a:extLst>
            <a:ext uri="{FF2B5EF4-FFF2-40B4-BE49-F238E27FC236}">
              <a16:creationId xmlns:a16="http://schemas.microsoft.com/office/drawing/2014/main" id="{62C5FAD8-3C46-BE3A-4EAB-8BDBED29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9" name="Picture 242">
          <a:extLst>
            <a:ext uri="{FF2B5EF4-FFF2-40B4-BE49-F238E27FC236}">
              <a16:creationId xmlns:a16="http://schemas.microsoft.com/office/drawing/2014/main" id="{3392624E-83AA-3FA9-364C-262D36EF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0" name="Picture 243">
          <a:extLst>
            <a:ext uri="{FF2B5EF4-FFF2-40B4-BE49-F238E27FC236}">
              <a16:creationId xmlns:a16="http://schemas.microsoft.com/office/drawing/2014/main" id="{FB0955E8-53CE-F33A-FDFE-71E52E36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1" name="Picture 244">
          <a:extLst>
            <a:ext uri="{FF2B5EF4-FFF2-40B4-BE49-F238E27FC236}">
              <a16:creationId xmlns:a16="http://schemas.microsoft.com/office/drawing/2014/main" id="{472EE101-1C63-40C7-7082-9D4A6656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2" name="Picture 245">
          <a:extLst>
            <a:ext uri="{FF2B5EF4-FFF2-40B4-BE49-F238E27FC236}">
              <a16:creationId xmlns:a16="http://schemas.microsoft.com/office/drawing/2014/main" id="{7BFABF2A-B6BD-CF96-5256-98922DC6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3" name="Picture 246">
          <a:extLst>
            <a:ext uri="{FF2B5EF4-FFF2-40B4-BE49-F238E27FC236}">
              <a16:creationId xmlns:a16="http://schemas.microsoft.com/office/drawing/2014/main" id="{4D638783-30A9-4407-7664-5BF32A23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4" name="Picture 247">
          <a:extLst>
            <a:ext uri="{FF2B5EF4-FFF2-40B4-BE49-F238E27FC236}">
              <a16:creationId xmlns:a16="http://schemas.microsoft.com/office/drawing/2014/main" id="{373BAEF9-0372-9432-B044-F6D29088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5" name="Picture 248">
          <a:extLst>
            <a:ext uri="{FF2B5EF4-FFF2-40B4-BE49-F238E27FC236}">
              <a16:creationId xmlns:a16="http://schemas.microsoft.com/office/drawing/2014/main" id="{5A477939-1340-B5A8-9BAB-336B8F11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6" name="Picture 249">
          <a:extLst>
            <a:ext uri="{FF2B5EF4-FFF2-40B4-BE49-F238E27FC236}">
              <a16:creationId xmlns:a16="http://schemas.microsoft.com/office/drawing/2014/main" id="{2A299EB9-4D4E-41A8-6F14-B8E221F7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7" name="Picture 250">
          <a:extLst>
            <a:ext uri="{FF2B5EF4-FFF2-40B4-BE49-F238E27FC236}">
              <a16:creationId xmlns:a16="http://schemas.microsoft.com/office/drawing/2014/main" id="{B8F9E428-8569-8C7B-F6B9-06FD3A23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8" name="Picture 251">
          <a:extLst>
            <a:ext uri="{FF2B5EF4-FFF2-40B4-BE49-F238E27FC236}">
              <a16:creationId xmlns:a16="http://schemas.microsoft.com/office/drawing/2014/main" id="{E4FCBB00-201B-BB71-07C1-C2B8B425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9" name="Picture 252">
          <a:extLst>
            <a:ext uri="{FF2B5EF4-FFF2-40B4-BE49-F238E27FC236}">
              <a16:creationId xmlns:a16="http://schemas.microsoft.com/office/drawing/2014/main" id="{66B6C567-C168-CDFD-AC38-B8C3EA93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0" name="Picture 253">
          <a:extLst>
            <a:ext uri="{FF2B5EF4-FFF2-40B4-BE49-F238E27FC236}">
              <a16:creationId xmlns:a16="http://schemas.microsoft.com/office/drawing/2014/main" id="{105DA9BA-7486-CC7F-EB1B-A68374E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1" name="Picture 254">
          <a:extLst>
            <a:ext uri="{FF2B5EF4-FFF2-40B4-BE49-F238E27FC236}">
              <a16:creationId xmlns:a16="http://schemas.microsoft.com/office/drawing/2014/main" id="{41BD983E-3874-DD8B-5DE6-8E734535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2" name="Picture 255">
          <a:extLst>
            <a:ext uri="{FF2B5EF4-FFF2-40B4-BE49-F238E27FC236}">
              <a16:creationId xmlns:a16="http://schemas.microsoft.com/office/drawing/2014/main" id="{7B2DD8D7-2292-A9FC-D8D7-5AB40C6E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3" name="Picture 256">
          <a:extLst>
            <a:ext uri="{FF2B5EF4-FFF2-40B4-BE49-F238E27FC236}">
              <a16:creationId xmlns:a16="http://schemas.microsoft.com/office/drawing/2014/main" id="{C5AC6FD4-872D-A1D1-C72D-24603FE0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4" name="Picture 257">
          <a:extLst>
            <a:ext uri="{FF2B5EF4-FFF2-40B4-BE49-F238E27FC236}">
              <a16:creationId xmlns:a16="http://schemas.microsoft.com/office/drawing/2014/main" id="{BB9F91E3-1159-5C99-25A3-95E851CE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5" name="Picture 258">
          <a:extLst>
            <a:ext uri="{FF2B5EF4-FFF2-40B4-BE49-F238E27FC236}">
              <a16:creationId xmlns:a16="http://schemas.microsoft.com/office/drawing/2014/main" id="{EA26C477-166B-3623-B0E6-EA2C09E7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6" name="Picture 259">
          <a:extLst>
            <a:ext uri="{FF2B5EF4-FFF2-40B4-BE49-F238E27FC236}">
              <a16:creationId xmlns:a16="http://schemas.microsoft.com/office/drawing/2014/main" id="{EBE51A6C-9201-787C-A656-BA4619E2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7" name="Picture 260">
          <a:extLst>
            <a:ext uri="{FF2B5EF4-FFF2-40B4-BE49-F238E27FC236}">
              <a16:creationId xmlns:a16="http://schemas.microsoft.com/office/drawing/2014/main" id="{CA8E6648-F273-E9F0-F53A-425B9273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8" name="Picture 261">
          <a:extLst>
            <a:ext uri="{FF2B5EF4-FFF2-40B4-BE49-F238E27FC236}">
              <a16:creationId xmlns:a16="http://schemas.microsoft.com/office/drawing/2014/main" id="{292A9916-D8F9-5C2C-B3C1-1E7B201A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9" name="Picture 262">
          <a:extLst>
            <a:ext uri="{FF2B5EF4-FFF2-40B4-BE49-F238E27FC236}">
              <a16:creationId xmlns:a16="http://schemas.microsoft.com/office/drawing/2014/main" id="{B09B56A6-B363-9ACC-60A8-70FE9D6A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0" name="Picture 263">
          <a:extLst>
            <a:ext uri="{FF2B5EF4-FFF2-40B4-BE49-F238E27FC236}">
              <a16:creationId xmlns:a16="http://schemas.microsoft.com/office/drawing/2014/main" id="{B9200212-86EA-FFF3-2E6C-AFE2EFF7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1" name="Picture 264">
          <a:extLst>
            <a:ext uri="{FF2B5EF4-FFF2-40B4-BE49-F238E27FC236}">
              <a16:creationId xmlns:a16="http://schemas.microsoft.com/office/drawing/2014/main" id="{2BCCA091-25B4-A9D9-E438-25F66D02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2" name="Picture 265">
          <a:extLst>
            <a:ext uri="{FF2B5EF4-FFF2-40B4-BE49-F238E27FC236}">
              <a16:creationId xmlns:a16="http://schemas.microsoft.com/office/drawing/2014/main" id="{CE24FA92-AA5B-8B7A-A1FE-3A8533C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3" name="Picture 266">
          <a:extLst>
            <a:ext uri="{FF2B5EF4-FFF2-40B4-BE49-F238E27FC236}">
              <a16:creationId xmlns:a16="http://schemas.microsoft.com/office/drawing/2014/main" id="{E248A9B2-C1FA-906F-A6AD-70F77E24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4" name="Picture 267">
          <a:extLst>
            <a:ext uri="{FF2B5EF4-FFF2-40B4-BE49-F238E27FC236}">
              <a16:creationId xmlns:a16="http://schemas.microsoft.com/office/drawing/2014/main" id="{93EF89DC-2C1E-9BEE-D0EC-AD060D5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5" name="Picture 268">
          <a:extLst>
            <a:ext uri="{FF2B5EF4-FFF2-40B4-BE49-F238E27FC236}">
              <a16:creationId xmlns:a16="http://schemas.microsoft.com/office/drawing/2014/main" id="{C0500D25-F1A0-356B-3619-DBD43B53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6" name="Picture 269">
          <a:extLst>
            <a:ext uri="{FF2B5EF4-FFF2-40B4-BE49-F238E27FC236}">
              <a16:creationId xmlns:a16="http://schemas.microsoft.com/office/drawing/2014/main" id="{13898657-505C-CFAD-D530-786AFAAC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7" name="Picture 270">
          <a:extLst>
            <a:ext uri="{FF2B5EF4-FFF2-40B4-BE49-F238E27FC236}">
              <a16:creationId xmlns:a16="http://schemas.microsoft.com/office/drawing/2014/main" id="{C9DA99BD-886C-CE8B-D43E-AFF62E13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8" name="Picture 271">
          <a:extLst>
            <a:ext uri="{FF2B5EF4-FFF2-40B4-BE49-F238E27FC236}">
              <a16:creationId xmlns:a16="http://schemas.microsoft.com/office/drawing/2014/main" id="{846A9D8A-D830-3FBD-F340-5759F0EE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9" name="Picture 272">
          <a:extLst>
            <a:ext uri="{FF2B5EF4-FFF2-40B4-BE49-F238E27FC236}">
              <a16:creationId xmlns:a16="http://schemas.microsoft.com/office/drawing/2014/main" id="{571FBA3F-AAED-14C6-D0B2-69C08F57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0" name="Picture 273">
          <a:extLst>
            <a:ext uri="{FF2B5EF4-FFF2-40B4-BE49-F238E27FC236}">
              <a16:creationId xmlns:a16="http://schemas.microsoft.com/office/drawing/2014/main" id="{EE7613F8-B27B-21E0-4DA2-8A031B32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1" name="Picture 274">
          <a:extLst>
            <a:ext uri="{FF2B5EF4-FFF2-40B4-BE49-F238E27FC236}">
              <a16:creationId xmlns:a16="http://schemas.microsoft.com/office/drawing/2014/main" id="{1A4FAE3D-8521-85C8-8246-54348081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2" name="Picture 275">
          <a:extLst>
            <a:ext uri="{FF2B5EF4-FFF2-40B4-BE49-F238E27FC236}">
              <a16:creationId xmlns:a16="http://schemas.microsoft.com/office/drawing/2014/main" id="{51D69D0F-A1DA-4FB2-75C0-3D6925AA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3" name="Picture 276">
          <a:extLst>
            <a:ext uri="{FF2B5EF4-FFF2-40B4-BE49-F238E27FC236}">
              <a16:creationId xmlns:a16="http://schemas.microsoft.com/office/drawing/2014/main" id="{124FFEBE-09A5-7B30-E6B6-2C78178E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4" name="Picture 277">
          <a:extLst>
            <a:ext uri="{FF2B5EF4-FFF2-40B4-BE49-F238E27FC236}">
              <a16:creationId xmlns:a16="http://schemas.microsoft.com/office/drawing/2014/main" id="{FC54564C-668E-4D4B-B937-DE150502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5" name="Picture 278">
          <a:extLst>
            <a:ext uri="{FF2B5EF4-FFF2-40B4-BE49-F238E27FC236}">
              <a16:creationId xmlns:a16="http://schemas.microsoft.com/office/drawing/2014/main" id="{54925DE7-CE93-C224-428D-D3C70BEF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6" name="Picture 279">
          <a:extLst>
            <a:ext uri="{FF2B5EF4-FFF2-40B4-BE49-F238E27FC236}">
              <a16:creationId xmlns:a16="http://schemas.microsoft.com/office/drawing/2014/main" id="{3C02B02A-6300-9C99-C105-A78B6415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7" name="Picture 280">
          <a:extLst>
            <a:ext uri="{FF2B5EF4-FFF2-40B4-BE49-F238E27FC236}">
              <a16:creationId xmlns:a16="http://schemas.microsoft.com/office/drawing/2014/main" id="{C05E6D29-F352-3D8E-8F09-C8A4E0CE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8" name="Picture 281">
          <a:extLst>
            <a:ext uri="{FF2B5EF4-FFF2-40B4-BE49-F238E27FC236}">
              <a16:creationId xmlns:a16="http://schemas.microsoft.com/office/drawing/2014/main" id="{681526F2-9A49-5FDC-E944-EB184540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9" name="Picture 282">
          <a:extLst>
            <a:ext uri="{FF2B5EF4-FFF2-40B4-BE49-F238E27FC236}">
              <a16:creationId xmlns:a16="http://schemas.microsoft.com/office/drawing/2014/main" id="{1474B318-4654-AB78-F9A7-03604E98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0" name="Picture 283">
          <a:extLst>
            <a:ext uri="{FF2B5EF4-FFF2-40B4-BE49-F238E27FC236}">
              <a16:creationId xmlns:a16="http://schemas.microsoft.com/office/drawing/2014/main" id="{781EFEB3-12C2-6EBA-A2B2-F15F939C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1" name="Picture 284">
          <a:extLst>
            <a:ext uri="{FF2B5EF4-FFF2-40B4-BE49-F238E27FC236}">
              <a16:creationId xmlns:a16="http://schemas.microsoft.com/office/drawing/2014/main" id="{2AD9A5E7-A776-61F0-8753-EFA024C6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2" name="Picture 285">
          <a:extLst>
            <a:ext uri="{FF2B5EF4-FFF2-40B4-BE49-F238E27FC236}">
              <a16:creationId xmlns:a16="http://schemas.microsoft.com/office/drawing/2014/main" id="{B9B7FDF4-4E08-163B-8123-1970C7CD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3" name="Picture 286">
          <a:extLst>
            <a:ext uri="{FF2B5EF4-FFF2-40B4-BE49-F238E27FC236}">
              <a16:creationId xmlns:a16="http://schemas.microsoft.com/office/drawing/2014/main" id="{5C6F2DA7-57DE-3195-0CD2-8E382A06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4" name="Picture 287">
          <a:extLst>
            <a:ext uri="{FF2B5EF4-FFF2-40B4-BE49-F238E27FC236}">
              <a16:creationId xmlns:a16="http://schemas.microsoft.com/office/drawing/2014/main" id="{344091BE-B4EF-C0BF-8797-C2794096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5" name="Picture 288">
          <a:extLst>
            <a:ext uri="{FF2B5EF4-FFF2-40B4-BE49-F238E27FC236}">
              <a16:creationId xmlns:a16="http://schemas.microsoft.com/office/drawing/2014/main" id="{4FE23096-0951-E096-E1FF-F98F457C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6" name="Picture 289">
          <a:extLst>
            <a:ext uri="{FF2B5EF4-FFF2-40B4-BE49-F238E27FC236}">
              <a16:creationId xmlns:a16="http://schemas.microsoft.com/office/drawing/2014/main" id="{00EB0347-87C5-FFAE-7F79-9EB74C9C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7" name="Picture 290">
          <a:extLst>
            <a:ext uri="{FF2B5EF4-FFF2-40B4-BE49-F238E27FC236}">
              <a16:creationId xmlns:a16="http://schemas.microsoft.com/office/drawing/2014/main" id="{611A351F-E40A-C38F-520B-E0CE511B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8" name="Picture 291">
          <a:extLst>
            <a:ext uri="{FF2B5EF4-FFF2-40B4-BE49-F238E27FC236}">
              <a16:creationId xmlns:a16="http://schemas.microsoft.com/office/drawing/2014/main" id="{3AE51A92-0DC8-03FB-0BBA-57D62E34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9" name="Picture 292">
          <a:extLst>
            <a:ext uri="{FF2B5EF4-FFF2-40B4-BE49-F238E27FC236}">
              <a16:creationId xmlns:a16="http://schemas.microsoft.com/office/drawing/2014/main" id="{1DB6F6DC-FFA8-C5D4-A99A-DDD4BCB1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0" name="Picture 293">
          <a:extLst>
            <a:ext uri="{FF2B5EF4-FFF2-40B4-BE49-F238E27FC236}">
              <a16:creationId xmlns:a16="http://schemas.microsoft.com/office/drawing/2014/main" id="{407F575D-AB1D-BFE4-3BFD-92B01A38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1" name="Picture 294">
          <a:extLst>
            <a:ext uri="{FF2B5EF4-FFF2-40B4-BE49-F238E27FC236}">
              <a16:creationId xmlns:a16="http://schemas.microsoft.com/office/drawing/2014/main" id="{5ACEAC24-4782-50FE-F638-E6961CE4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2" name="Picture 295">
          <a:extLst>
            <a:ext uri="{FF2B5EF4-FFF2-40B4-BE49-F238E27FC236}">
              <a16:creationId xmlns:a16="http://schemas.microsoft.com/office/drawing/2014/main" id="{A43D0E08-B359-DC27-F9BD-E2CE11AA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3" name="Picture 296">
          <a:extLst>
            <a:ext uri="{FF2B5EF4-FFF2-40B4-BE49-F238E27FC236}">
              <a16:creationId xmlns:a16="http://schemas.microsoft.com/office/drawing/2014/main" id="{7EE4C37F-F046-9696-D014-3AF9F47D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4" name="Picture 297">
          <a:extLst>
            <a:ext uri="{FF2B5EF4-FFF2-40B4-BE49-F238E27FC236}">
              <a16:creationId xmlns:a16="http://schemas.microsoft.com/office/drawing/2014/main" id="{C1EECEE0-ACF8-63FA-D108-10CF634F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5" name="Picture 298">
          <a:extLst>
            <a:ext uri="{FF2B5EF4-FFF2-40B4-BE49-F238E27FC236}">
              <a16:creationId xmlns:a16="http://schemas.microsoft.com/office/drawing/2014/main" id="{244C21F5-9052-0243-85F5-8C460069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6" name="Picture 299">
          <a:extLst>
            <a:ext uri="{FF2B5EF4-FFF2-40B4-BE49-F238E27FC236}">
              <a16:creationId xmlns:a16="http://schemas.microsoft.com/office/drawing/2014/main" id="{386D967A-F14A-1336-4CCA-16961196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7" name="Picture 300">
          <a:extLst>
            <a:ext uri="{FF2B5EF4-FFF2-40B4-BE49-F238E27FC236}">
              <a16:creationId xmlns:a16="http://schemas.microsoft.com/office/drawing/2014/main" id="{CFDB1923-9770-4612-56CE-29842283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8" name="Picture 301">
          <a:extLst>
            <a:ext uri="{FF2B5EF4-FFF2-40B4-BE49-F238E27FC236}">
              <a16:creationId xmlns:a16="http://schemas.microsoft.com/office/drawing/2014/main" id="{81FC7A4B-3935-9C9B-BA84-C8BA2714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9" name="Picture 302">
          <a:extLst>
            <a:ext uri="{FF2B5EF4-FFF2-40B4-BE49-F238E27FC236}">
              <a16:creationId xmlns:a16="http://schemas.microsoft.com/office/drawing/2014/main" id="{37CD26EA-3BDD-6388-CF37-AFABD81A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0" name="Picture 303">
          <a:extLst>
            <a:ext uri="{FF2B5EF4-FFF2-40B4-BE49-F238E27FC236}">
              <a16:creationId xmlns:a16="http://schemas.microsoft.com/office/drawing/2014/main" id="{07C85FCE-9544-30EA-83C7-07A6BDFF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1" name="Picture 304">
          <a:extLst>
            <a:ext uri="{FF2B5EF4-FFF2-40B4-BE49-F238E27FC236}">
              <a16:creationId xmlns:a16="http://schemas.microsoft.com/office/drawing/2014/main" id="{81BE7387-4FCD-215B-1C95-249F4E60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2" name="Picture 305">
          <a:extLst>
            <a:ext uri="{FF2B5EF4-FFF2-40B4-BE49-F238E27FC236}">
              <a16:creationId xmlns:a16="http://schemas.microsoft.com/office/drawing/2014/main" id="{842D1F83-71DD-5289-5374-FEAF4AF5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3" name="Picture 306">
          <a:extLst>
            <a:ext uri="{FF2B5EF4-FFF2-40B4-BE49-F238E27FC236}">
              <a16:creationId xmlns:a16="http://schemas.microsoft.com/office/drawing/2014/main" id="{081F671C-0776-66CD-9785-488D1F10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4" name="Picture 307">
          <a:extLst>
            <a:ext uri="{FF2B5EF4-FFF2-40B4-BE49-F238E27FC236}">
              <a16:creationId xmlns:a16="http://schemas.microsoft.com/office/drawing/2014/main" id="{E5227FDA-D5F1-9C7D-AD70-6AB726FF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5" name="Picture 308">
          <a:extLst>
            <a:ext uri="{FF2B5EF4-FFF2-40B4-BE49-F238E27FC236}">
              <a16:creationId xmlns:a16="http://schemas.microsoft.com/office/drawing/2014/main" id="{EB0325CD-CF11-31B6-8328-9EE48C7C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6" name="Picture 309">
          <a:extLst>
            <a:ext uri="{FF2B5EF4-FFF2-40B4-BE49-F238E27FC236}">
              <a16:creationId xmlns:a16="http://schemas.microsoft.com/office/drawing/2014/main" id="{7FDF99A0-1105-C192-B67E-5DEB52B0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7" name="Picture 310">
          <a:extLst>
            <a:ext uri="{FF2B5EF4-FFF2-40B4-BE49-F238E27FC236}">
              <a16:creationId xmlns:a16="http://schemas.microsoft.com/office/drawing/2014/main" id="{1FE8A23A-358D-BF22-DFDE-5CF102C9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8" name="Picture 311">
          <a:extLst>
            <a:ext uri="{FF2B5EF4-FFF2-40B4-BE49-F238E27FC236}">
              <a16:creationId xmlns:a16="http://schemas.microsoft.com/office/drawing/2014/main" id="{C1AE7AFC-97B1-F8A1-DA65-0D4515CA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9" name="Picture 312">
          <a:extLst>
            <a:ext uri="{FF2B5EF4-FFF2-40B4-BE49-F238E27FC236}">
              <a16:creationId xmlns:a16="http://schemas.microsoft.com/office/drawing/2014/main" id="{359080FB-53DB-6B0F-8B85-312AB083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0" name="Picture 313">
          <a:extLst>
            <a:ext uri="{FF2B5EF4-FFF2-40B4-BE49-F238E27FC236}">
              <a16:creationId xmlns:a16="http://schemas.microsoft.com/office/drawing/2014/main" id="{68FA5F6E-19A0-3437-B978-E6F53C60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1" name="Picture 314">
          <a:extLst>
            <a:ext uri="{FF2B5EF4-FFF2-40B4-BE49-F238E27FC236}">
              <a16:creationId xmlns:a16="http://schemas.microsoft.com/office/drawing/2014/main" id="{7295202B-6AAA-D13B-6D10-318254F2B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2" name="Picture 315">
          <a:extLst>
            <a:ext uri="{FF2B5EF4-FFF2-40B4-BE49-F238E27FC236}">
              <a16:creationId xmlns:a16="http://schemas.microsoft.com/office/drawing/2014/main" id="{B405D3A4-E137-E311-5E2A-40BB0B77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3" name="Picture 316">
          <a:extLst>
            <a:ext uri="{FF2B5EF4-FFF2-40B4-BE49-F238E27FC236}">
              <a16:creationId xmlns:a16="http://schemas.microsoft.com/office/drawing/2014/main" id="{1EBCBA2D-51D5-5889-5228-BB8F5624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4" name="Picture 317">
          <a:extLst>
            <a:ext uri="{FF2B5EF4-FFF2-40B4-BE49-F238E27FC236}">
              <a16:creationId xmlns:a16="http://schemas.microsoft.com/office/drawing/2014/main" id="{8DAA8F39-DABF-F5FD-0D72-A3354CBD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5" name="Picture 318">
          <a:extLst>
            <a:ext uri="{FF2B5EF4-FFF2-40B4-BE49-F238E27FC236}">
              <a16:creationId xmlns:a16="http://schemas.microsoft.com/office/drawing/2014/main" id="{CB63893A-CF0C-56A7-B833-E5A5A7D4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6" name="Picture 319">
          <a:extLst>
            <a:ext uri="{FF2B5EF4-FFF2-40B4-BE49-F238E27FC236}">
              <a16:creationId xmlns:a16="http://schemas.microsoft.com/office/drawing/2014/main" id="{948FC105-907B-91BD-E06E-7C687F80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7" name="Picture 320">
          <a:extLst>
            <a:ext uri="{FF2B5EF4-FFF2-40B4-BE49-F238E27FC236}">
              <a16:creationId xmlns:a16="http://schemas.microsoft.com/office/drawing/2014/main" id="{54C52E16-AA3A-B7AA-3FEE-E9609FFB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8" name="Picture 321">
          <a:extLst>
            <a:ext uri="{FF2B5EF4-FFF2-40B4-BE49-F238E27FC236}">
              <a16:creationId xmlns:a16="http://schemas.microsoft.com/office/drawing/2014/main" id="{09A1618D-56A1-5417-DDF0-C7805273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9" name="Picture 322">
          <a:extLst>
            <a:ext uri="{FF2B5EF4-FFF2-40B4-BE49-F238E27FC236}">
              <a16:creationId xmlns:a16="http://schemas.microsoft.com/office/drawing/2014/main" id="{2DBC98C9-8A96-A38A-9A5F-B93DCDDF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0" name="Picture 323">
          <a:extLst>
            <a:ext uri="{FF2B5EF4-FFF2-40B4-BE49-F238E27FC236}">
              <a16:creationId xmlns:a16="http://schemas.microsoft.com/office/drawing/2014/main" id="{2DB63709-5848-5520-6B29-774EE7A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1" name="Picture 324">
          <a:extLst>
            <a:ext uri="{FF2B5EF4-FFF2-40B4-BE49-F238E27FC236}">
              <a16:creationId xmlns:a16="http://schemas.microsoft.com/office/drawing/2014/main" id="{99D53FD0-212B-ECE2-F638-9CF91B38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2" name="Picture 325">
          <a:extLst>
            <a:ext uri="{FF2B5EF4-FFF2-40B4-BE49-F238E27FC236}">
              <a16:creationId xmlns:a16="http://schemas.microsoft.com/office/drawing/2014/main" id="{CC4B2CE4-D1BC-6034-F847-4F701633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3" name="Picture 326">
          <a:extLst>
            <a:ext uri="{FF2B5EF4-FFF2-40B4-BE49-F238E27FC236}">
              <a16:creationId xmlns:a16="http://schemas.microsoft.com/office/drawing/2014/main" id="{F9A85968-47AF-0595-ACDD-EB3A9228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4" name="Picture 327">
          <a:extLst>
            <a:ext uri="{FF2B5EF4-FFF2-40B4-BE49-F238E27FC236}">
              <a16:creationId xmlns:a16="http://schemas.microsoft.com/office/drawing/2014/main" id="{3C49B11A-BE90-4FC9-A6E9-F9BBD8C7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5" name="Picture 328">
          <a:extLst>
            <a:ext uri="{FF2B5EF4-FFF2-40B4-BE49-F238E27FC236}">
              <a16:creationId xmlns:a16="http://schemas.microsoft.com/office/drawing/2014/main" id="{47A70094-69DF-E6BD-21FE-38E85112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6" name="Picture 329">
          <a:extLst>
            <a:ext uri="{FF2B5EF4-FFF2-40B4-BE49-F238E27FC236}">
              <a16:creationId xmlns:a16="http://schemas.microsoft.com/office/drawing/2014/main" id="{FDA86F90-5090-32D6-B045-3F1E723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7" name="Picture 330">
          <a:extLst>
            <a:ext uri="{FF2B5EF4-FFF2-40B4-BE49-F238E27FC236}">
              <a16:creationId xmlns:a16="http://schemas.microsoft.com/office/drawing/2014/main" id="{743C57C9-5932-B282-1F5D-97AE39F1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8" name="Picture 331">
          <a:extLst>
            <a:ext uri="{FF2B5EF4-FFF2-40B4-BE49-F238E27FC236}">
              <a16:creationId xmlns:a16="http://schemas.microsoft.com/office/drawing/2014/main" id="{667C91E8-FF41-F6A5-9B49-D50A5E0C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9" name="Picture 332">
          <a:extLst>
            <a:ext uri="{FF2B5EF4-FFF2-40B4-BE49-F238E27FC236}">
              <a16:creationId xmlns:a16="http://schemas.microsoft.com/office/drawing/2014/main" id="{A360E0B7-6F99-0799-FE75-BFDE59A5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0" name="Picture 333">
          <a:extLst>
            <a:ext uri="{FF2B5EF4-FFF2-40B4-BE49-F238E27FC236}">
              <a16:creationId xmlns:a16="http://schemas.microsoft.com/office/drawing/2014/main" id="{A2F0286D-C6FC-366B-A66E-C0B23CC0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1" name="Picture 334">
          <a:extLst>
            <a:ext uri="{FF2B5EF4-FFF2-40B4-BE49-F238E27FC236}">
              <a16:creationId xmlns:a16="http://schemas.microsoft.com/office/drawing/2014/main" id="{FCE118C4-806F-6AD7-E23A-56DA2598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2" name="Picture 335">
          <a:extLst>
            <a:ext uri="{FF2B5EF4-FFF2-40B4-BE49-F238E27FC236}">
              <a16:creationId xmlns:a16="http://schemas.microsoft.com/office/drawing/2014/main" id="{D985506A-5055-F8A8-635A-235B5C15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3" name="Picture 336">
          <a:extLst>
            <a:ext uri="{FF2B5EF4-FFF2-40B4-BE49-F238E27FC236}">
              <a16:creationId xmlns:a16="http://schemas.microsoft.com/office/drawing/2014/main" id="{8D2FEB46-626B-B8EA-D238-858F7D91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4" name="Picture 337">
          <a:extLst>
            <a:ext uri="{FF2B5EF4-FFF2-40B4-BE49-F238E27FC236}">
              <a16:creationId xmlns:a16="http://schemas.microsoft.com/office/drawing/2014/main" id="{7224CA85-19FC-7284-E720-80571854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5" name="Picture 338">
          <a:extLst>
            <a:ext uri="{FF2B5EF4-FFF2-40B4-BE49-F238E27FC236}">
              <a16:creationId xmlns:a16="http://schemas.microsoft.com/office/drawing/2014/main" id="{5EECD6A4-071E-7138-F56E-BE6E27AC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6" name="Picture 339">
          <a:extLst>
            <a:ext uri="{FF2B5EF4-FFF2-40B4-BE49-F238E27FC236}">
              <a16:creationId xmlns:a16="http://schemas.microsoft.com/office/drawing/2014/main" id="{08CF3CF4-D58A-016B-FEF8-26A0E460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7" name="Picture 340">
          <a:extLst>
            <a:ext uri="{FF2B5EF4-FFF2-40B4-BE49-F238E27FC236}">
              <a16:creationId xmlns:a16="http://schemas.microsoft.com/office/drawing/2014/main" id="{E331BDEA-55E3-8443-3687-B046D511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8" name="Picture 341">
          <a:extLst>
            <a:ext uri="{FF2B5EF4-FFF2-40B4-BE49-F238E27FC236}">
              <a16:creationId xmlns:a16="http://schemas.microsoft.com/office/drawing/2014/main" id="{35CFBE86-9367-DFA4-DA05-86A7D358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9" name="Picture 342">
          <a:extLst>
            <a:ext uri="{FF2B5EF4-FFF2-40B4-BE49-F238E27FC236}">
              <a16:creationId xmlns:a16="http://schemas.microsoft.com/office/drawing/2014/main" id="{8583645E-D7A4-B73B-02C8-DEEFC909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0" name="Picture 343">
          <a:extLst>
            <a:ext uri="{FF2B5EF4-FFF2-40B4-BE49-F238E27FC236}">
              <a16:creationId xmlns:a16="http://schemas.microsoft.com/office/drawing/2014/main" id="{07F64481-7720-49D7-F869-65CAFA75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1" name="Picture 344">
          <a:extLst>
            <a:ext uri="{FF2B5EF4-FFF2-40B4-BE49-F238E27FC236}">
              <a16:creationId xmlns:a16="http://schemas.microsoft.com/office/drawing/2014/main" id="{87C9D596-485A-7C1E-2C05-5A4F1B05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2" name="Picture 345">
          <a:extLst>
            <a:ext uri="{FF2B5EF4-FFF2-40B4-BE49-F238E27FC236}">
              <a16:creationId xmlns:a16="http://schemas.microsoft.com/office/drawing/2014/main" id="{FA9332DA-8AF3-5469-6A38-F024B03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3" name="Picture 346">
          <a:extLst>
            <a:ext uri="{FF2B5EF4-FFF2-40B4-BE49-F238E27FC236}">
              <a16:creationId xmlns:a16="http://schemas.microsoft.com/office/drawing/2014/main" id="{A11A219D-8F8D-F3A2-5721-61746482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4" name="Picture 347">
          <a:extLst>
            <a:ext uri="{FF2B5EF4-FFF2-40B4-BE49-F238E27FC236}">
              <a16:creationId xmlns:a16="http://schemas.microsoft.com/office/drawing/2014/main" id="{4318C587-3D9C-5AC7-64D9-A00C6FC9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5" name="Picture 348">
          <a:extLst>
            <a:ext uri="{FF2B5EF4-FFF2-40B4-BE49-F238E27FC236}">
              <a16:creationId xmlns:a16="http://schemas.microsoft.com/office/drawing/2014/main" id="{18EDEEED-9A6B-652C-A0D8-4A4F0158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6" name="Picture 349">
          <a:extLst>
            <a:ext uri="{FF2B5EF4-FFF2-40B4-BE49-F238E27FC236}">
              <a16:creationId xmlns:a16="http://schemas.microsoft.com/office/drawing/2014/main" id="{699FFC0D-6A02-8E62-68E0-F45FE8C4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7" name="Picture 350">
          <a:extLst>
            <a:ext uri="{FF2B5EF4-FFF2-40B4-BE49-F238E27FC236}">
              <a16:creationId xmlns:a16="http://schemas.microsoft.com/office/drawing/2014/main" id="{DCBA45DF-BA23-4598-5774-D47441A5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8" name="Picture 351">
          <a:extLst>
            <a:ext uri="{FF2B5EF4-FFF2-40B4-BE49-F238E27FC236}">
              <a16:creationId xmlns:a16="http://schemas.microsoft.com/office/drawing/2014/main" id="{7B7E3C9C-74D7-8F3C-C857-A5AACC3D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9" name="Picture 352">
          <a:extLst>
            <a:ext uri="{FF2B5EF4-FFF2-40B4-BE49-F238E27FC236}">
              <a16:creationId xmlns:a16="http://schemas.microsoft.com/office/drawing/2014/main" id="{8AB3A683-AC94-5C2F-08FF-3E68CDDD4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0" name="Picture 353">
          <a:extLst>
            <a:ext uri="{FF2B5EF4-FFF2-40B4-BE49-F238E27FC236}">
              <a16:creationId xmlns:a16="http://schemas.microsoft.com/office/drawing/2014/main" id="{2E558D87-78DB-B8CC-DBFF-D0566214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1" name="Picture 354">
          <a:extLst>
            <a:ext uri="{FF2B5EF4-FFF2-40B4-BE49-F238E27FC236}">
              <a16:creationId xmlns:a16="http://schemas.microsoft.com/office/drawing/2014/main" id="{DC0596E7-00F1-8A79-77D3-D16FCC7F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2" name="Picture 355">
          <a:extLst>
            <a:ext uri="{FF2B5EF4-FFF2-40B4-BE49-F238E27FC236}">
              <a16:creationId xmlns:a16="http://schemas.microsoft.com/office/drawing/2014/main" id="{BA8C0F1E-99A2-DB97-DACD-FCB08560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3" name="Picture 356">
          <a:extLst>
            <a:ext uri="{FF2B5EF4-FFF2-40B4-BE49-F238E27FC236}">
              <a16:creationId xmlns:a16="http://schemas.microsoft.com/office/drawing/2014/main" id="{24BB56D2-522D-F6BA-B2F8-16389D4E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4" name="Picture 357">
          <a:extLst>
            <a:ext uri="{FF2B5EF4-FFF2-40B4-BE49-F238E27FC236}">
              <a16:creationId xmlns:a16="http://schemas.microsoft.com/office/drawing/2014/main" id="{7C71B1DB-86DF-97B5-5339-A702ACC2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5" name="Picture 358">
          <a:extLst>
            <a:ext uri="{FF2B5EF4-FFF2-40B4-BE49-F238E27FC236}">
              <a16:creationId xmlns:a16="http://schemas.microsoft.com/office/drawing/2014/main" id="{4B1F17B8-1081-D548-2076-5C9F7909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6" name="Picture 359">
          <a:extLst>
            <a:ext uri="{FF2B5EF4-FFF2-40B4-BE49-F238E27FC236}">
              <a16:creationId xmlns:a16="http://schemas.microsoft.com/office/drawing/2014/main" id="{B0155E1C-6E45-713A-BB2F-46BD9C60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7" name="Picture 360">
          <a:extLst>
            <a:ext uri="{FF2B5EF4-FFF2-40B4-BE49-F238E27FC236}">
              <a16:creationId xmlns:a16="http://schemas.microsoft.com/office/drawing/2014/main" id="{2BFDCEAA-6495-5970-6A49-4BE871CC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8" name="Picture 361">
          <a:extLst>
            <a:ext uri="{FF2B5EF4-FFF2-40B4-BE49-F238E27FC236}">
              <a16:creationId xmlns:a16="http://schemas.microsoft.com/office/drawing/2014/main" id="{C5E46671-2734-2597-E14F-6BF9021D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9" name="Picture 362">
          <a:extLst>
            <a:ext uri="{FF2B5EF4-FFF2-40B4-BE49-F238E27FC236}">
              <a16:creationId xmlns:a16="http://schemas.microsoft.com/office/drawing/2014/main" id="{17D016B0-C4D1-395E-E3D5-C11E8FCA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0" name="Picture 363">
          <a:extLst>
            <a:ext uri="{FF2B5EF4-FFF2-40B4-BE49-F238E27FC236}">
              <a16:creationId xmlns:a16="http://schemas.microsoft.com/office/drawing/2014/main" id="{BD90AD5B-2027-DBAA-D545-6ADFE9CD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1" name="Picture 364">
          <a:extLst>
            <a:ext uri="{FF2B5EF4-FFF2-40B4-BE49-F238E27FC236}">
              <a16:creationId xmlns:a16="http://schemas.microsoft.com/office/drawing/2014/main" id="{9907F9BE-63E0-F58B-1447-24EA0068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2" name="Picture 365">
          <a:extLst>
            <a:ext uri="{FF2B5EF4-FFF2-40B4-BE49-F238E27FC236}">
              <a16:creationId xmlns:a16="http://schemas.microsoft.com/office/drawing/2014/main" id="{3EA88FEA-E3A5-B5F3-7E95-16195E9B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3" name="Picture 366">
          <a:extLst>
            <a:ext uri="{FF2B5EF4-FFF2-40B4-BE49-F238E27FC236}">
              <a16:creationId xmlns:a16="http://schemas.microsoft.com/office/drawing/2014/main" id="{866ECF82-B3B7-91BA-F04A-9F6EDFE7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4" name="Picture 367">
          <a:extLst>
            <a:ext uri="{FF2B5EF4-FFF2-40B4-BE49-F238E27FC236}">
              <a16:creationId xmlns:a16="http://schemas.microsoft.com/office/drawing/2014/main" id="{ACA9D28D-5A6D-EE10-41CF-D0D2300E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5" name="Picture 368">
          <a:extLst>
            <a:ext uri="{FF2B5EF4-FFF2-40B4-BE49-F238E27FC236}">
              <a16:creationId xmlns:a16="http://schemas.microsoft.com/office/drawing/2014/main" id="{62C18819-8819-02C8-75C0-52748F22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6" name="Picture 369">
          <a:extLst>
            <a:ext uri="{FF2B5EF4-FFF2-40B4-BE49-F238E27FC236}">
              <a16:creationId xmlns:a16="http://schemas.microsoft.com/office/drawing/2014/main" id="{E3D844E7-B2EB-26CB-013B-EC00FD40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7" name="Picture 370">
          <a:extLst>
            <a:ext uri="{FF2B5EF4-FFF2-40B4-BE49-F238E27FC236}">
              <a16:creationId xmlns:a16="http://schemas.microsoft.com/office/drawing/2014/main" id="{41B89810-C94B-004D-6FCA-60083692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8" name="Picture 371">
          <a:extLst>
            <a:ext uri="{FF2B5EF4-FFF2-40B4-BE49-F238E27FC236}">
              <a16:creationId xmlns:a16="http://schemas.microsoft.com/office/drawing/2014/main" id="{88FAD0E6-4522-1527-AD8D-A209D85E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9" name="Picture 372">
          <a:extLst>
            <a:ext uri="{FF2B5EF4-FFF2-40B4-BE49-F238E27FC236}">
              <a16:creationId xmlns:a16="http://schemas.microsoft.com/office/drawing/2014/main" id="{C6601B67-C005-68DA-5230-674EC19D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0" name="Picture 373">
          <a:extLst>
            <a:ext uri="{FF2B5EF4-FFF2-40B4-BE49-F238E27FC236}">
              <a16:creationId xmlns:a16="http://schemas.microsoft.com/office/drawing/2014/main" id="{FA730ED0-A04F-E418-2B19-BC2AC765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1" name="Picture 374">
          <a:extLst>
            <a:ext uri="{FF2B5EF4-FFF2-40B4-BE49-F238E27FC236}">
              <a16:creationId xmlns:a16="http://schemas.microsoft.com/office/drawing/2014/main" id="{17ED02DD-94A7-122E-3769-61B21879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2" name="Picture 375">
          <a:extLst>
            <a:ext uri="{FF2B5EF4-FFF2-40B4-BE49-F238E27FC236}">
              <a16:creationId xmlns:a16="http://schemas.microsoft.com/office/drawing/2014/main" id="{6A4799A4-FAC6-318D-FE4C-F81459F9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3" name="Picture 376">
          <a:extLst>
            <a:ext uri="{FF2B5EF4-FFF2-40B4-BE49-F238E27FC236}">
              <a16:creationId xmlns:a16="http://schemas.microsoft.com/office/drawing/2014/main" id="{6045E1C0-6FE4-3C00-EC1E-B1E40AF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4" name="Picture 377">
          <a:extLst>
            <a:ext uri="{FF2B5EF4-FFF2-40B4-BE49-F238E27FC236}">
              <a16:creationId xmlns:a16="http://schemas.microsoft.com/office/drawing/2014/main" id="{15CD10CA-7E09-EEDE-BBBA-CCB262A3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5" name="Picture 378">
          <a:extLst>
            <a:ext uri="{FF2B5EF4-FFF2-40B4-BE49-F238E27FC236}">
              <a16:creationId xmlns:a16="http://schemas.microsoft.com/office/drawing/2014/main" id="{5AC83764-5681-A207-529A-03F60F55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6" name="Picture 379">
          <a:extLst>
            <a:ext uri="{FF2B5EF4-FFF2-40B4-BE49-F238E27FC236}">
              <a16:creationId xmlns:a16="http://schemas.microsoft.com/office/drawing/2014/main" id="{4FE201E6-5180-CBB4-84DA-2DAC87BF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7" name="Picture 380">
          <a:extLst>
            <a:ext uri="{FF2B5EF4-FFF2-40B4-BE49-F238E27FC236}">
              <a16:creationId xmlns:a16="http://schemas.microsoft.com/office/drawing/2014/main" id="{30063883-BDC5-FF7C-595F-1DA8C69A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8" name="Picture 381">
          <a:extLst>
            <a:ext uri="{FF2B5EF4-FFF2-40B4-BE49-F238E27FC236}">
              <a16:creationId xmlns:a16="http://schemas.microsoft.com/office/drawing/2014/main" id="{3913232D-7A11-A6C2-C7D7-BF7D7E60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9" name="Picture 382">
          <a:extLst>
            <a:ext uri="{FF2B5EF4-FFF2-40B4-BE49-F238E27FC236}">
              <a16:creationId xmlns:a16="http://schemas.microsoft.com/office/drawing/2014/main" id="{964C5E86-102F-ECDE-207E-890583BD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0" name="Picture 383">
          <a:extLst>
            <a:ext uri="{FF2B5EF4-FFF2-40B4-BE49-F238E27FC236}">
              <a16:creationId xmlns:a16="http://schemas.microsoft.com/office/drawing/2014/main" id="{5C6A77EC-8665-8F06-DEBF-D1AFD2D3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1" name="Picture 384">
          <a:extLst>
            <a:ext uri="{FF2B5EF4-FFF2-40B4-BE49-F238E27FC236}">
              <a16:creationId xmlns:a16="http://schemas.microsoft.com/office/drawing/2014/main" id="{3F719EF0-4505-54D4-C0CB-A5E6F4AF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2" name="Picture 385">
          <a:extLst>
            <a:ext uri="{FF2B5EF4-FFF2-40B4-BE49-F238E27FC236}">
              <a16:creationId xmlns:a16="http://schemas.microsoft.com/office/drawing/2014/main" id="{BB135816-D995-7A94-0888-138C62AD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3" name="Picture 386">
          <a:extLst>
            <a:ext uri="{FF2B5EF4-FFF2-40B4-BE49-F238E27FC236}">
              <a16:creationId xmlns:a16="http://schemas.microsoft.com/office/drawing/2014/main" id="{A4B346E0-D482-9FEA-B11F-900C462F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4" name="Picture 387">
          <a:extLst>
            <a:ext uri="{FF2B5EF4-FFF2-40B4-BE49-F238E27FC236}">
              <a16:creationId xmlns:a16="http://schemas.microsoft.com/office/drawing/2014/main" id="{1804631C-6E34-1297-BB69-816F2188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5" name="Picture 388">
          <a:extLst>
            <a:ext uri="{FF2B5EF4-FFF2-40B4-BE49-F238E27FC236}">
              <a16:creationId xmlns:a16="http://schemas.microsoft.com/office/drawing/2014/main" id="{5D5BDEF4-8B09-C7CE-FCE1-427CE976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6" name="Picture 389">
          <a:extLst>
            <a:ext uri="{FF2B5EF4-FFF2-40B4-BE49-F238E27FC236}">
              <a16:creationId xmlns:a16="http://schemas.microsoft.com/office/drawing/2014/main" id="{1FE8B51C-EE59-1808-360C-3518494D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7" name="Picture 390">
          <a:extLst>
            <a:ext uri="{FF2B5EF4-FFF2-40B4-BE49-F238E27FC236}">
              <a16:creationId xmlns:a16="http://schemas.microsoft.com/office/drawing/2014/main" id="{33D6E475-AA2D-4BBE-E5A7-9E9D42DF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8" name="Picture 391">
          <a:extLst>
            <a:ext uri="{FF2B5EF4-FFF2-40B4-BE49-F238E27FC236}">
              <a16:creationId xmlns:a16="http://schemas.microsoft.com/office/drawing/2014/main" id="{1212FA36-90BE-12BB-FA13-2930ED51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9" name="Picture 392">
          <a:extLst>
            <a:ext uri="{FF2B5EF4-FFF2-40B4-BE49-F238E27FC236}">
              <a16:creationId xmlns:a16="http://schemas.microsoft.com/office/drawing/2014/main" id="{B92DAFD2-418D-A9E2-AC14-987868FE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0" name="Picture 393">
          <a:extLst>
            <a:ext uri="{FF2B5EF4-FFF2-40B4-BE49-F238E27FC236}">
              <a16:creationId xmlns:a16="http://schemas.microsoft.com/office/drawing/2014/main" id="{B3203971-D852-2E85-5710-5A55294B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1" name="Picture 394">
          <a:extLst>
            <a:ext uri="{FF2B5EF4-FFF2-40B4-BE49-F238E27FC236}">
              <a16:creationId xmlns:a16="http://schemas.microsoft.com/office/drawing/2014/main" id="{91B05E09-3E77-EB44-D5D2-A9ABA07F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2" name="Picture 395">
          <a:extLst>
            <a:ext uri="{FF2B5EF4-FFF2-40B4-BE49-F238E27FC236}">
              <a16:creationId xmlns:a16="http://schemas.microsoft.com/office/drawing/2014/main" id="{7FAE8C4C-1BF8-B67A-7C27-A132EE51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3" name="Picture 396">
          <a:extLst>
            <a:ext uri="{FF2B5EF4-FFF2-40B4-BE49-F238E27FC236}">
              <a16:creationId xmlns:a16="http://schemas.microsoft.com/office/drawing/2014/main" id="{E0F287D1-4710-B868-93D8-7C0C644B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4" name="Picture 397">
          <a:extLst>
            <a:ext uri="{FF2B5EF4-FFF2-40B4-BE49-F238E27FC236}">
              <a16:creationId xmlns:a16="http://schemas.microsoft.com/office/drawing/2014/main" id="{3B3E874B-7E13-6956-96A0-0477740FE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5" name="Picture 398">
          <a:extLst>
            <a:ext uri="{FF2B5EF4-FFF2-40B4-BE49-F238E27FC236}">
              <a16:creationId xmlns:a16="http://schemas.microsoft.com/office/drawing/2014/main" id="{D6540442-EA3D-4D28-7D4E-1BA6B21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6" name="Picture 399">
          <a:extLst>
            <a:ext uri="{FF2B5EF4-FFF2-40B4-BE49-F238E27FC236}">
              <a16:creationId xmlns:a16="http://schemas.microsoft.com/office/drawing/2014/main" id="{AD62BE02-7724-3CDC-FCD4-13CA67C0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7" name="Picture 400">
          <a:extLst>
            <a:ext uri="{FF2B5EF4-FFF2-40B4-BE49-F238E27FC236}">
              <a16:creationId xmlns:a16="http://schemas.microsoft.com/office/drawing/2014/main" id="{121832E8-6FBA-637C-EEB8-6D74FB38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8" name="Picture 401">
          <a:extLst>
            <a:ext uri="{FF2B5EF4-FFF2-40B4-BE49-F238E27FC236}">
              <a16:creationId xmlns:a16="http://schemas.microsoft.com/office/drawing/2014/main" id="{9206AA77-44BC-80A6-3F04-D7792BB2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9" name="Picture 402">
          <a:extLst>
            <a:ext uri="{FF2B5EF4-FFF2-40B4-BE49-F238E27FC236}">
              <a16:creationId xmlns:a16="http://schemas.microsoft.com/office/drawing/2014/main" id="{6A8916E0-472F-E1C8-C37F-70D8670D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0" name="Picture 403">
          <a:extLst>
            <a:ext uri="{FF2B5EF4-FFF2-40B4-BE49-F238E27FC236}">
              <a16:creationId xmlns:a16="http://schemas.microsoft.com/office/drawing/2014/main" id="{858BF3ED-5CF7-C39B-E950-C0B721DA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1" name="Picture 404">
          <a:extLst>
            <a:ext uri="{FF2B5EF4-FFF2-40B4-BE49-F238E27FC236}">
              <a16:creationId xmlns:a16="http://schemas.microsoft.com/office/drawing/2014/main" id="{15E9C578-2E03-05FC-2355-90E8A856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2" name="Picture 405">
          <a:extLst>
            <a:ext uri="{FF2B5EF4-FFF2-40B4-BE49-F238E27FC236}">
              <a16:creationId xmlns:a16="http://schemas.microsoft.com/office/drawing/2014/main" id="{E42E02E9-D60F-9618-D769-95FF5C32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3" name="Picture 406">
          <a:extLst>
            <a:ext uri="{FF2B5EF4-FFF2-40B4-BE49-F238E27FC236}">
              <a16:creationId xmlns:a16="http://schemas.microsoft.com/office/drawing/2014/main" id="{BE7C3AFD-BFBA-0E2E-66BF-FF8C9313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4" name="Picture 407">
          <a:extLst>
            <a:ext uri="{FF2B5EF4-FFF2-40B4-BE49-F238E27FC236}">
              <a16:creationId xmlns:a16="http://schemas.microsoft.com/office/drawing/2014/main" id="{6D456AC9-F7BD-D027-819B-10A2044E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5" name="Picture 408">
          <a:extLst>
            <a:ext uri="{FF2B5EF4-FFF2-40B4-BE49-F238E27FC236}">
              <a16:creationId xmlns:a16="http://schemas.microsoft.com/office/drawing/2014/main" id="{4B9E5426-CC03-05DB-4C97-E162F107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6" name="Picture 409">
          <a:extLst>
            <a:ext uri="{FF2B5EF4-FFF2-40B4-BE49-F238E27FC236}">
              <a16:creationId xmlns:a16="http://schemas.microsoft.com/office/drawing/2014/main" id="{4E02BF42-5965-FA7B-B739-6B25C1E5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7" name="Picture 410">
          <a:extLst>
            <a:ext uri="{FF2B5EF4-FFF2-40B4-BE49-F238E27FC236}">
              <a16:creationId xmlns:a16="http://schemas.microsoft.com/office/drawing/2014/main" id="{F0D15547-1B16-B889-4B64-7E2B3A70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8" name="Picture 411">
          <a:extLst>
            <a:ext uri="{FF2B5EF4-FFF2-40B4-BE49-F238E27FC236}">
              <a16:creationId xmlns:a16="http://schemas.microsoft.com/office/drawing/2014/main" id="{59EF617C-3789-0BED-6F48-7836016A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9" name="Picture 412">
          <a:extLst>
            <a:ext uri="{FF2B5EF4-FFF2-40B4-BE49-F238E27FC236}">
              <a16:creationId xmlns:a16="http://schemas.microsoft.com/office/drawing/2014/main" id="{98085C1A-9ADE-6716-7841-A9CD37F7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0" name="Picture 413">
          <a:extLst>
            <a:ext uri="{FF2B5EF4-FFF2-40B4-BE49-F238E27FC236}">
              <a16:creationId xmlns:a16="http://schemas.microsoft.com/office/drawing/2014/main" id="{24C6667C-2650-9C0E-7895-29021BA1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1" name="Picture 414">
          <a:extLst>
            <a:ext uri="{FF2B5EF4-FFF2-40B4-BE49-F238E27FC236}">
              <a16:creationId xmlns:a16="http://schemas.microsoft.com/office/drawing/2014/main" id="{07BFF1AC-0B73-518E-783E-87944FCD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2" name="Picture 415">
          <a:extLst>
            <a:ext uri="{FF2B5EF4-FFF2-40B4-BE49-F238E27FC236}">
              <a16:creationId xmlns:a16="http://schemas.microsoft.com/office/drawing/2014/main" id="{0582A230-EB99-909E-C7E5-90F5FAF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3" name="Picture 416">
          <a:extLst>
            <a:ext uri="{FF2B5EF4-FFF2-40B4-BE49-F238E27FC236}">
              <a16:creationId xmlns:a16="http://schemas.microsoft.com/office/drawing/2014/main" id="{31D57B3C-05C6-6430-F032-3F77BF93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4" name="Picture 417">
          <a:extLst>
            <a:ext uri="{FF2B5EF4-FFF2-40B4-BE49-F238E27FC236}">
              <a16:creationId xmlns:a16="http://schemas.microsoft.com/office/drawing/2014/main" id="{083BC40C-B0AB-1AB6-4C50-B949C7D6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5" name="Picture 418">
          <a:extLst>
            <a:ext uri="{FF2B5EF4-FFF2-40B4-BE49-F238E27FC236}">
              <a16:creationId xmlns:a16="http://schemas.microsoft.com/office/drawing/2014/main" id="{1AB25ACC-19B3-6456-64F5-A2AC29B3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6" name="Picture 419">
          <a:extLst>
            <a:ext uri="{FF2B5EF4-FFF2-40B4-BE49-F238E27FC236}">
              <a16:creationId xmlns:a16="http://schemas.microsoft.com/office/drawing/2014/main" id="{293DD5A6-8C9C-2353-9CC0-5055242A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7" name="Picture 420">
          <a:extLst>
            <a:ext uri="{FF2B5EF4-FFF2-40B4-BE49-F238E27FC236}">
              <a16:creationId xmlns:a16="http://schemas.microsoft.com/office/drawing/2014/main" id="{6DE0B065-89FE-C408-157A-407FB0CED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8" name="Picture 421">
          <a:extLst>
            <a:ext uri="{FF2B5EF4-FFF2-40B4-BE49-F238E27FC236}">
              <a16:creationId xmlns:a16="http://schemas.microsoft.com/office/drawing/2014/main" id="{7973B69F-70E2-6503-83D0-97AA13DD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9" name="Picture 422">
          <a:extLst>
            <a:ext uri="{FF2B5EF4-FFF2-40B4-BE49-F238E27FC236}">
              <a16:creationId xmlns:a16="http://schemas.microsoft.com/office/drawing/2014/main" id="{3579FA9D-8E2F-0368-4545-D030EB6F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0" name="Picture 423">
          <a:extLst>
            <a:ext uri="{FF2B5EF4-FFF2-40B4-BE49-F238E27FC236}">
              <a16:creationId xmlns:a16="http://schemas.microsoft.com/office/drawing/2014/main" id="{D9C4DF87-D7C4-B70C-8BD0-43B28DD3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1" name="Picture 424">
          <a:extLst>
            <a:ext uri="{FF2B5EF4-FFF2-40B4-BE49-F238E27FC236}">
              <a16:creationId xmlns:a16="http://schemas.microsoft.com/office/drawing/2014/main" id="{F30A06F0-5B35-F59C-966B-EDDDE42F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2" name="Picture 425">
          <a:extLst>
            <a:ext uri="{FF2B5EF4-FFF2-40B4-BE49-F238E27FC236}">
              <a16:creationId xmlns:a16="http://schemas.microsoft.com/office/drawing/2014/main" id="{98C1A3E9-79D7-E452-ED0F-D5378EE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3" name="Picture 426">
          <a:extLst>
            <a:ext uri="{FF2B5EF4-FFF2-40B4-BE49-F238E27FC236}">
              <a16:creationId xmlns:a16="http://schemas.microsoft.com/office/drawing/2014/main" id="{FDCEB8E3-7C0F-8D75-2123-65882B92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4" name="Picture 427">
          <a:extLst>
            <a:ext uri="{FF2B5EF4-FFF2-40B4-BE49-F238E27FC236}">
              <a16:creationId xmlns:a16="http://schemas.microsoft.com/office/drawing/2014/main" id="{BF8DD077-7EAA-F047-7E77-047C6A93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5" name="Picture 428">
          <a:extLst>
            <a:ext uri="{FF2B5EF4-FFF2-40B4-BE49-F238E27FC236}">
              <a16:creationId xmlns:a16="http://schemas.microsoft.com/office/drawing/2014/main" id="{D227D7A5-ACC7-D9D8-F127-1DC2A00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6" name="Picture 429">
          <a:extLst>
            <a:ext uri="{FF2B5EF4-FFF2-40B4-BE49-F238E27FC236}">
              <a16:creationId xmlns:a16="http://schemas.microsoft.com/office/drawing/2014/main" id="{5500F480-DB19-2501-1F89-6B06C1C4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7" name="Picture 430">
          <a:extLst>
            <a:ext uri="{FF2B5EF4-FFF2-40B4-BE49-F238E27FC236}">
              <a16:creationId xmlns:a16="http://schemas.microsoft.com/office/drawing/2014/main" id="{EF5DA817-538D-2CBB-695E-79ECFC0B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8" name="Picture 431">
          <a:extLst>
            <a:ext uri="{FF2B5EF4-FFF2-40B4-BE49-F238E27FC236}">
              <a16:creationId xmlns:a16="http://schemas.microsoft.com/office/drawing/2014/main" id="{9573603C-9FDA-F821-4D65-42250B3D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9" name="Picture 432">
          <a:extLst>
            <a:ext uri="{FF2B5EF4-FFF2-40B4-BE49-F238E27FC236}">
              <a16:creationId xmlns:a16="http://schemas.microsoft.com/office/drawing/2014/main" id="{3DC58748-A787-CB8E-6D3E-05DF13D0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0" name="Picture 433">
          <a:extLst>
            <a:ext uri="{FF2B5EF4-FFF2-40B4-BE49-F238E27FC236}">
              <a16:creationId xmlns:a16="http://schemas.microsoft.com/office/drawing/2014/main" id="{4481403B-83C9-0274-BE46-5AE9463E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1" name="Picture 434">
          <a:extLst>
            <a:ext uri="{FF2B5EF4-FFF2-40B4-BE49-F238E27FC236}">
              <a16:creationId xmlns:a16="http://schemas.microsoft.com/office/drawing/2014/main" id="{8CE4ACCB-8AF7-A8E9-4CB9-D606EE8F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2" name="Picture 435">
          <a:extLst>
            <a:ext uri="{FF2B5EF4-FFF2-40B4-BE49-F238E27FC236}">
              <a16:creationId xmlns:a16="http://schemas.microsoft.com/office/drawing/2014/main" id="{EF01556F-55A8-4112-5576-4021003B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3" name="Picture 436">
          <a:extLst>
            <a:ext uri="{FF2B5EF4-FFF2-40B4-BE49-F238E27FC236}">
              <a16:creationId xmlns:a16="http://schemas.microsoft.com/office/drawing/2014/main" id="{65BD98E0-8FB5-500A-AE9A-6338A750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4" name="Picture 437">
          <a:extLst>
            <a:ext uri="{FF2B5EF4-FFF2-40B4-BE49-F238E27FC236}">
              <a16:creationId xmlns:a16="http://schemas.microsoft.com/office/drawing/2014/main" id="{3CCAC8DF-99F1-D2A6-A226-F59829F2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5" name="Picture 438">
          <a:extLst>
            <a:ext uri="{FF2B5EF4-FFF2-40B4-BE49-F238E27FC236}">
              <a16:creationId xmlns:a16="http://schemas.microsoft.com/office/drawing/2014/main" id="{6A329DD2-6460-F65F-CC1B-8051445F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6" name="Picture 439">
          <a:extLst>
            <a:ext uri="{FF2B5EF4-FFF2-40B4-BE49-F238E27FC236}">
              <a16:creationId xmlns:a16="http://schemas.microsoft.com/office/drawing/2014/main" id="{492DA2F3-B9E7-3EF3-EDC7-2946B1B5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7" name="Picture 440">
          <a:extLst>
            <a:ext uri="{FF2B5EF4-FFF2-40B4-BE49-F238E27FC236}">
              <a16:creationId xmlns:a16="http://schemas.microsoft.com/office/drawing/2014/main" id="{33D8EED0-B1FD-0E56-0057-E3F2374A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8" name="Picture 441">
          <a:extLst>
            <a:ext uri="{FF2B5EF4-FFF2-40B4-BE49-F238E27FC236}">
              <a16:creationId xmlns:a16="http://schemas.microsoft.com/office/drawing/2014/main" id="{7EBCF59D-726E-716A-B29E-9FA28CF5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9" name="Picture 442">
          <a:extLst>
            <a:ext uri="{FF2B5EF4-FFF2-40B4-BE49-F238E27FC236}">
              <a16:creationId xmlns:a16="http://schemas.microsoft.com/office/drawing/2014/main" id="{398C4E28-2622-9ACF-1509-6B79C1AD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0" name="Picture 443">
          <a:extLst>
            <a:ext uri="{FF2B5EF4-FFF2-40B4-BE49-F238E27FC236}">
              <a16:creationId xmlns:a16="http://schemas.microsoft.com/office/drawing/2014/main" id="{82E40A79-45A6-04EB-3028-D5417099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1" name="Picture 444">
          <a:extLst>
            <a:ext uri="{FF2B5EF4-FFF2-40B4-BE49-F238E27FC236}">
              <a16:creationId xmlns:a16="http://schemas.microsoft.com/office/drawing/2014/main" id="{BB97C277-EF8F-03EF-1A84-D4BA99AA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2" name="Picture 445">
          <a:extLst>
            <a:ext uri="{FF2B5EF4-FFF2-40B4-BE49-F238E27FC236}">
              <a16:creationId xmlns:a16="http://schemas.microsoft.com/office/drawing/2014/main" id="{F09253E6-6CFD-E01F-6399-00427A1A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3" name="Picture 446">
          <a:extLst>
            <a:ext uri="{FF2B5EF4-FFF2-40B4-BE49-F238E27FC236}">
              <a16:creationId xmlns:a16="http://schemas.microsoft.com/office/drawing/2014/main" id="{0468A0C4-25E1-1C70-0D1F-7CA60309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4" name="Picture 447">
          <a:extLst>
            <a:ext uri="{FF2B5EF4-FFF2-40B4-BE49-F238E27FC236}">
              <a16:creationId xmlns:a16="http://schemas.microsoft.com/office/drawing/2014/main" id="{7CD04C85-D39E-4C5F-A224-03A0A9D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5" name="Picture 448">
          <a:extLst>
            <a:ext uri="{FF2B5EF4-FFF2-40B4-BE49-F238E27FC236}">
              <a16:creationId xmlns:a16="http://schemas.microsoft.com/office/drawing/2014/main" id="{77A35673-7E6A-74C0-9A8E-42D8AA6F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6" name="Picture 449">
          <a:extLst>
            <a:ext uri="{FF2B5EF4-FFF2-40B4-BE49-F238E27FC236}">
              <a16:creationId xmlns:a16="http://schemas.microsoft.com/office/drawing/2014/main" id="{B307D47B-E627-0836-6A35-6985D538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7" name="Picture 450">
          <a:extLst>
            <a:ext uri="{FF2B5EF4-FFF2-40B4-BE49-F238E27FC236}">
              <a16:creationId xmlns:a16="http://schemas.microsoft.com/office/drawing/2014/main" id="{7A7AACE2-06BE-17C1-1277-B8D3E40F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8" name="Picture 451">
          <a:extLst>
            <a:ext uri="{FF2B5EF4-FFF2-40B4-BE49-F238E27FC236}">
              <a16:creationId xmlns:a16="http://schemas.microsoft.com/office/drawing/2014/main" id="{221294D5-28B2-8FDF-07BA-2678C934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9" name="Picture 452">
          <a:extLst>
            <a:ext uri="{FF2B5EF4-FFF2-40B4-BE49-F238E27FC236}">
              <a16:creationId xmlns:a16="http://schemas.microsoft.com/office/drawing/2014/main" id="{90964090-A702-FC9C-6203-644B9C09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0" name="Picture 453">
          <a:extLst>
            <a:ext uri="{FF2B5EF4-FFF2-40B4-BE49-F238E27FC236}">
              <a16:creationId xmlns:a16="http://schemas.microsoft.com/office/drawing/2014/main" id="{2C8A3B76-C24A-971B-BC2B-E8A63B5A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1" name="Picture 454">
          <a:extLst>
            <a:ext uri="{FF2B5EF4-FFF2-40B4-BE49-F238E27FC236}">
              <a16:creationId xmlns:a16="http://schemas.microsoft.com/office/drawing/2014/main" id="{F25B5516-49D5-1966-6C6C-50454671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2" name="Picture 455">
          <a:extLst>
            <a:ext uri="{FF2B5EF4-FFF2-40B4-BE49-F238E27FC236}">
              <a16:creationId xmlns:a16="http://schemas.microsoft.com/office/drawing/2014/main" id="{6931674D-54C1-7F1A-723A-A13819BB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3" name="Picture 456">
          <a:extLst>
            <a:ext uri="{FF2B5EF4-FFF2-40B4-BE49-F238E27FC236}">
              <a16:creationId xmlns:a16="http://schemas.microsoft.com/office/drawing/2014/main" id="{E944C596-DB78-E3D2-A184-C7C7564B7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4" name="Picture 457">
          <a:extLst>
            <a:ext uri="{FF2B5EF4-FFF2-40B4-BE49-F238E27FC236}">
              <a16:creationId xmlns:a16="http://schemas.microsoft.com/office/drawing/2014/main" id="{EB679C2B-A61A-CE72-F7C9-4854675B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5" name="Picture 458">
          <a:extLst>
            <a:ext uri="{FF2B5EF4-FFF2-40B4-BE49-F238E27FC236}">
              <a16:creationId xmlns:a16="http://schemas.microsoft.com/office/drawing/2014/main" id="{3D4788E4-3BCD-EA9C-8956-445744FE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6" name="Picture 459">
          <a:extLst>
            <a:ext uri="{FF2B5EF4-FFF2-40B4-BE49-F238E27FC236}">
              <a16:creationId xmlns:a16="http://schemas.microsoft.com/office/drawing/2014/main" id="{502201C0-6444-E2CE-A48F-FD1B864E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7" name="Picture 460">
          <a:extLst>
            <a:ext uri="{FF2B5EF4-FFF2-40B4-BE49-F238E27FC236}">
              <a16:creationId xmlns:a16="http://schemas.microsoft.com/office/drawing/2014/main" id="{D39AE234-74BA-F6D6-1915-CA72852B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8" name="Picture 461">
          <a:extLst>
            <a:ext uri="{FF2B5EF4-FFF2-40B4-BE49-F238E27FC236}">
              <a16:creationId xmlns:a16="http://schemas.microsoft.com/office/drawing/2014/main" id="{76A6311F-76ED-6354-30DB-1C8B860E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9" name="Picture 462">
          <a:extLst>
            <a:ext uri="{FF2B5EF4-FFF2-40B4-BE49-F238E27FC236}">
              <a16:creationId xmlns:a16="http://schemas.microsoft.com/office/drawing/2014/main" id="{A7BFF8A4-6B5D-F908-2D28-F80AFEDC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0" name="Picture 463">
          <a:extLst>
            <a:ext uri="{FF2B5EF4-FFF2-40B4-BE49-F238E27FC236}">
              <a16:creationId xmlns:a16="http://schemas.microsoft.com/office/drawing/2014/main" id="{1B29EE1E-98BF-D50E-155D-BFA92E32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1" name="Picture 464">
          <a:extLst>
            <a:ext uri="{FF2B5EF4-FFF2-40B4-BE49-F238E27FC236}">
              <a16:creationId xmlns:a16="http://schemas.microsoft.com/office/drawing/2014/main" id="{12BF0153-3B96-FB54-8DF5-11C003BB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2" name="Picture 465">
          <a:extLst>
            <a:ext uri="{FF2B5EF4-FFF2-40B4-BE49-F238E27FC236}">
              <a16:creationId xmlns:a16="http://schemas.microsoft.com/office/drawing/2014/main" id="{7B55D99C-AFE7-CD36-13BD-18E8E855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3" name="Picture 466">
          <a:extLst>
            <a:ext uri="{FF2B5EF4-FFF2-40B4-BE49-F238E27FC236}">
              <a16:creationId xmlns:a16="http://schemas.microsoft.com/office/drawing/2014/main" id="{26150ABD-0EDA-402F-EF4B-DC9B3F73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4" name="Picture 467">
          <a:extLst>
            <a:ext uri="{FF2B5EF4-FFF2-40B4-BE49-F238E27FC236}">
              <a16:creationId xmlns:a16="http://schemas.microsoft.com/office/drawing/2014/main" id="{3B1E9857-9416-7ACE-8571-AECAEAE9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5" name="Picture 468">
          <a:extLst>
            <a:ext uri="{FF2B5EF4-FFF2-40B4-BE49-F238E27FC236}">
              <a16:creationId xmlns:a16="http://schemas.microsoft.com/office/drawing/2014/main" id="{AA4E1C52-918F-4C1F-5B83-F46BBF80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6" name="Picture 469">
          <a:extLst>
            <a:ext uri="{FF2B5EF4-FFF2-40B4-BE49-F238E27FC236}">
              <a16:creationId xmlns:a16="http://schemas.microsoft.com/office/drawing/2014/main" id="{AC75965A-989E-DF83-1961-1D9373C4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7" name="Picture 470">
          <a:extLst>
            <a:ext uri="{FF2B5EF4-FFF2-40B4-BE49-F238E27FC236}">
              <a16:creationId xmlns:a16="http://schemas.microsoft.com/office/drawing/2014/main" id="{73BB93AE-1276-1E6E-BE8D-C19671AC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8" name="Picture 471">
          <a:extLst>
            <a:ext uri="{FF2B5EF4-FFF2-40B4-BE49-F238E27FC236}">
              <a16:creationId xmlns:a16="http://schemas.microsoft.com/office/drawing/2014/main" id="{D4B17A00-EF58-57B6-4C5E-2C8A6754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9" name="Picture 472">
          <a:extLst>
            <a:ext uri="{FF2B5EF4-FFF2-40B4-BE49-F238E27FC236}">
              <a16:creationId xmlns:a16="http://schemas.microsoft.com/office/drawing/2014/main" id="{7E52783E-6244-271D-7259-975E6A26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0" name="Picture 473">
          <a:extLst>
            <a:ext uri="{FF2B5EF4-FFF2-40B4-BE49-F238E27FC236}">
              <a16:creationId xmlns:a16="http://schemas.microsoft.com/office/drawing/2014/main" id="{6F0B26E6-A2D8-36D9-C203-DC248628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1" name="Picture 474">
          <a:extLst>
            <a:ext uri="{FF2B5EF4-FFF2-40B4-BE49-F238E27FC236}">
              <a16:creationId xmlns:a16="http://schemas.microsoft.com/office/drawing/2014/main" id="{C667D538-7C39-4C3E-2521-9B11725B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2" name="Picture 475">
          <a:extLst>
            <a:ext uri="{FF2B5EF4-FFF2-40B4-BE49-F238E27FC236}">
              <a16:creationId xmlns:a16="http://schemas.microsoft.com/office/drawing/2014/main" id="{8E7C6E9B-A523-DC03-BF70-D3DD116F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3" name="Picture 476">
          <a:extLst>
            <a:ext uri="{FF2B5EF4-FFF2-40B4-BE49-F238E27FC236}">
              <a16:creationId xmlns:a16="http://schemas.microsoft.com/office/drawing/2014/main" id="{C732DDB3-111F-28D7-91A9-9753E2EF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4" name="Picture 477">
          <a:extLst>
            <a:ext uri="{FF2B5EF4-FFF2-40B4-BE49-F238E27FC236}">
              <a16:creationId xmlns:a16="http://schemas.microsoft.com/office/drawing/2014/main" id="{73B7C737-1FEB-DC9D-1A29-A53187EE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5" name="Picture 478">
          <a:extLst>
            <a:ext uri="{FF2B5EF4-FFF2-40B4-BE49-F238E27FC236}">
              <a16:creationId xmlns:a16="http://schemas.microsoft.com/office/drawing/2014/main" id="{97C12EC2-1EA8-978D-A9AC-FD73737B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6" name="Picture 479">
          <a:extLst>
            <a:ext uri="{FF2B5EF4-FFF2-40B4-BE49-F238E27FC236}">
              <a16:creationId xmlns:a16="http://schemas.microsoft.com/office/drawing/2014/main" id="{B212F868-E9F8-4DDD-EFFF-762F750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7" name="Picture 480">
          <a:extLst>
            <a:ext uri="{FF2B5EF4-FFF2-40B4-BE49-F238E27FC236}">
              <a16:creationId xmlns:a16="http://schemas.microsoft.com/office/drawing/2014/main" id="{C8D5EBE3-BBD1-5B7D-EE1D-12D7077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8" name="Picture 481">
          <a:extLst>
            <a:ext uri="{FF2B5EF4-FFF2-40B4-BE49-F238E27FC236}">
              <a16:creationId xmlns:a16="http://schemas.microsoft.com/office/drawing/2014/main" id="{0E5F88D6-2675-5D73-14C4-B91A793F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9" name="Picture 482">
          <a:extLst>
            <a:ext uri="{FF2B5EF4-FFF2-40B4-BE49-F238E27FC236}">
              <a16:creationId xmlns:a16="http://schemas.microsoft.com/office/drawing/2014/main" id="{450BD47F-92AE-9D71-34C6-DB230CB7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0" name="Picture 483">
          <a:extLst>
            <a:ext uri="{FF2B5EF4-FFF2-40B4-BE49-F238E27FC236}">
              <a16:creationId xmlns:a16="http://schemas.microsoft.com/office/drawing/2014/main" id="{93A6F594-97D3-531B-6022-EF81B7A8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1" name="Picture 484">
          <a:extLst>
            <a:ext uri="{FF2B5EF4-FFF2-40B4-BE49-F238E27FC236}">
              <a16:creationId xmlns:a16="http://schemas.microsoft.com/office/drawing/2014/main" id="{36014BDC-3EF9-4AFB-0D8B-167E4B2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2" name="Picture 485">
          <a:extLst>
            <a:ext uri="{FF2B5EF4-FFF2-40B4-BE49-F238E27FC236}">
              <a16:creationId xmlns:a16="http://schemas.microsoft.com/office/drawing/2014/main" id="{4198384C-55E3-7B08-3798-7E9A6F05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3" name="Picture 486">
          <a:extLst>
            <a:ext uri="{FF2B5EF4-FFF2-40B4-BE49-F238E27FC236}">
              <a16:creationId xmlns:a16="http://schemas.microsoft.com/office/drawing/2014/main" id="{B15BEFF3-E5BA-5EDA-3619-E9252687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4" name="Picture 487">
          <a:extLst>
            <a:ext uri="{FF2B5EF4-FFF2-40B4-BE49-F238E27FC236}">
              <a16:creationId xmlns:a16="http://schemas.microsoft.com/office/drawing/2014/main" id="{C6D0D644-0B84-3BBC-F52E-34658315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5" name="Picture 488">
          <a:extLst>
            <a:ext uri="{FF2B5EF4-FFF2-40B4-BE49-F238E27FC236}">
              <a16:creationId xmlns:a16="http://schemas.microsoft.com/office/drawing/2014/main" id="{17D3D90D-A9BC-D4C0-BFFE-9A85C947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6" name="Picture 489">
          <a:extLst>
            <a:ext uri="{FF2B5EF4-FFF2-40B4-BE49-F238E27FC236}">
              <a16:creationId xmlns:a16="http://schemas.microsoft.com/office/drawing/2014/main" id="{8F063DDA-CFF6-DB2D-2BFA-21B9EAF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7" name="Picture 490">
          <a:extLst>
            <a:ext uri="{FF2B5EF4-FFF2-40B4-BE49-F238E27FC236}">
              <a16:creationId xmlns:a16="http://schemas.microsoft.com/office/drawing/2014/main" id="{DF02D035-5AA2-437C-3435-5F9B46B7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8" name="Picture 491">
          <a:extLst>
            <a:ext uri="{FF2B5EF4-FFF2-40B4-BE49-F238E27FC236}">
              <a16:creationId xmlns:a16="http://schemas.microsoft.com/office/drawing/2014/main" id="{338DB507-6BE9-2843-26AA-BD03119E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9" name="Picture 492">
          <a:extLst>
            <a:ext uri="{FF2B5EF4-FFF2-40B4-BE49-F238E27FC236}">
              <a16:creationId xmlns:a16="http://schemas.microsoft.com/office/drawing/2014/main" id="{607C22D6-9516-A7A3-8582-F88BC83F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0" name="Picture 493">
          <a:extLst>
            <a:ext uri="{FF2B5EF4-FFF2-40B4-BE49-F238E27FC236}">
              <a16:creationId xmlns:a16="http://schemas.microsoft.com/office/drawing/2014/main" id="{87A23434-168D-B1E1-F28D-70DCBCC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1" name="Picture 494">
          <a:extLst>
            <a:ext uri="{FF2B5EF4-FFF2-40B4-BE49-F238E27FC236}">
              <a16:creationId xmlns:a16="http://schemas.microsoft.com/office/drawing/2014/main" id="{603F7B9A-E9C9-8143-BF31-D09940F2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2" name="Picture 495">
          <a:extLst>
            <a:ext uri="{FF2B5EF4-FFF2-40B4-BE49-F238E27FC236}">
              <a16:creationId xmlns:a16="http://schemas.microsoft.com/office/drawing/2014/main" id="{D0A4359E-8CD6-681A-DC77-C435D6D5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3" name="Picture 496">
          <a:extLst>
            <a:ext uri="{FF2B5EF4-FFF2-40B4-BE49-F238E27FC236}">
              <a16:creationId xmlns:a16="http://schemas.microsoft.com/office/drawing/2014/main" id="{CD2147A5-0FEC-F39F-48D4-11D9C1D2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4" name="Picture 497">
          <a:extLst>
            <a:ext uri="{FF2B5EF4-FFF2-40B4-BE49-F238E27FC236}">
              <a16:creationId xmlns:a16="http://schemas.microsoft.com/office/drawing/2014/main" id="{FDD603BA-88A7-ECCB-2AF6-4ED80650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5" name="Picture 498">
          <a:extLst>
            <a:ext uri="{FF2B5EF4-FFF2-40B4-BE49-F238E27FC236}">
              <a16:creationId xmlns:a16="http://schemas.microsoft.com/office/drawing/2014/main" id="{B496F0C6-A7E7-57AF-DCEC-8A3A5331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6" name="Picture 499">
          <a:extLst>
            <a:ext uri="{FF2B5EF4-FFF2-40B4-BE49-F238E27FC236}">
              <a16:creationId xmlns:a16="http://schemas.microsoft.com/office/drawing/2014/main" id="{138FC38D-B546-B6C1-8CB5-0C9EEC7F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7" name="Picture 500">
          <a:extLst>
            <a:ext uri="{FF2B5EF4-FFF2-40B4-BE49-F238E27FC236}">
              <a16:creationId xmlns:a16="http://schemas.microsoft.com/office/drawing/2014/main" id="{9BC33D77-5B78-FA55-E84A-BEA0CA3F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8" name="Picture 501">
          <a:extLst>
            <a:ext uri="{FF2B5EF4-FFF2-40B4-BE49-F238E27FC236}">
              <a16:creationId xmlns:a16="http://schemas.microsoft.com/office/drawing/2014/main" id="{DF70D10D-F7C5-2231-A09B-55F2EE17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9" name="Picture 502">
          <a:extLst>
            <a:ext uri="{FF2B5EF4-FFF2-40B4-BE49-F238E27FC236}">
              <a16:creationId xmlns:a16="http://schemas.microsoft.com/office/drawing/2014/main" id="{8B62D787-EF68-DB60-67DF-063F8E23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0" name="Picture 503">
          <a:extLst>
            <a:ext uri="{FF2B5EF4-FFF2-40B4-BE49-F238E27FC236}">
              <a16:creationId xmlns:a16="http://schemas.microsoft.com/office/drawing/2014/main" id="{5DEC4859-D770-422B-DDFF-83DB69FB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1" name="Picture 504">
          <a:extLst>
            <a:ext uri="{FF2B5EF4-FFF2-40B4-BE49-F238E27FC236}">
              <a16:creationId xmlns:a16="http://schemas.microsoft.com/office/drawing/2014/main" id="{1668268D-E9E2-4E3A-E503-89AA0FB9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2" name="Picture 505">
          <a:extLst>
            <a:ext uri="{FF2B5EF4-FFF2-40B4-BE49-F238E27FC236}">
              <a16:creationId xmlns:a16="http://schemas.microsoft.com/office/drawing/2014/main" id="{79787F3A-33DC-03A9-30B3-2D9D7CE9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3" name="Picture 506">
          <a:extLst>
            <a:ext uri="{FF2B5EF4-FFF2-40B4-BE49-F238E27FC236}">
              <a16:creationId xmlns:a16="http://schemas.microsoft.com/office/drawing/2014/main" id="{C81EB3F8-CD3E-76C7-31F4-E7866D5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4" name="Picture 507">
          <a:extLst>
            <a:ext uri="{FF2B5EF4-FFF2-40B4-BE49-F238E27FC236}">
              <a16:creationId xmlns:a16="http://schemas.microsoft.com/office/drawing/2014/main" id="{A8722DFD-334B-09CF-91DF-2FEBC0FB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5" name="Picture 508">
          <a:extLst>
            <a:ext uri="{FF2B5EF4-FFF2-40B4-BE49-F238E27FC236}">
              <a16:creationId xmlns:a16="http://schemas.microsoft.com/office/drawing/2014/main" id="{24CC655A-A7C6-741E-6F7A-B1FF850B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6" name="Picture 509">
          <a:extLst>
            <a:ext uri="{FF2B5EF4-FFF2-40B4-BE49-F238E27FC236}">
              <a16:creationId xmlns:a16="http://schemas.microsoft.com/office/drawing/2014/main" id="{9DEB253D-D228-F725-3C27-C230304BB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7" name="Picture 510">
          <a:extLst>
            <a:ext uri="{FF2B5EF4-FFF2-40B4-BE49-F238E27FC236}">
              <a16:creationId xmlns:a16="http://schemas.microsoft.com/office/drawing/2014/main" id="{50E15658-E942-00A6-6B3F-4E7F07BC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8" name="Picture 511">
          <a:extLst>
            <a:ext uri="{FF2B5EF4-FFF2-40B4-BE49-F238E27FC236}">
              <a16:creationId xmlns:a16="http://schemas.microsoft.com/office/drawing/2014/main" id="{85E7446B-2DED-90B9-B15F-6A28CB2E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9" name="Picture 512">
          <a:extLst>
            <a:ext uri="{FF2B5EF4-FFF2-40B4-BE49-F238E27FC236}">
              <a16:creationId xmlns:a16="http://schemas.microsoft.com/office/drawing/2014/main" id="{6B839E3E-795D-9343-3C2E-235E1252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0" name="Picture 513">
          <a:extLst>
            <a:ext uri="{FF2B5EF4-FFF2-40B4-BE49-F238E27FC236}">
              <a16:creationId xmlns:a16="http://schemas.microsoft.com/office/drawing/2014/main" id="{78405D88-522A-9E9D-37C0-95AAAE26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1" name="Picture 514">
          <a:extLst>
            <a:ext uri="{FF2B5EF4-FFF2-40B4-BE49-F238E27FC236}">
              <a16:creationId xmlns:a16="http://schemas.microsoft.com/office/drawing/2014/main" id="{0C859067-CF2E-EDAC-410C-89A0ABD5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2" name="Picture 515">
          <a:extLst>
            <a:ext uri="{FF2B5EF4-FFF2-40B4-BE49-F238E27FC236}">
              <a16:creationId xmlns:a16="http://schemas.microsoft.com/office/drawing/2014/main" id="{882DE308-04DB-8DE3-DF6E-ABAF544A9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3" name="Picture 516">
          <a:extLst>
            <a:ext uri="{FF2B5EF4-FFF2-40B4-BE49-F238E27FC236}">
              <a16:creationId xmlns:a16="http://schemas.microsoft.com/office/drawing/2014/main" id="{C9997AB1-3BC5-13A0-1E17-A9788AD4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4" name="Picture 517">
          <a:extLst>
            <a:ext uri="{FF2B5EF4-FFF2-40B4-BE49-F238E27FC236}">
              <a16:creationId xmlns:a16="http://schemas.microsoft.com/office/drawing/2014/main" id="{A9AA3621-2171-E027-AF00-B3A769D8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5" name="Picture 518">
          <a:extLst>
            <a:ext uri="{FF2B5EF4-FFF2-40B4-BE49-F238E27FC236}">
              <a16:creationId xmlns:a16="http://schemas.microsoft.com/office/drawing/2014/main" id="{EDFB3F76-C36B-AF58-4077-C87DABFD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6" name="Picture 519">
          <a:extLst>
            <a:ext uri="{FF2B5EF4-FFF2-40B4-BE49-F238E27FC236}">
              <a16:creationId xmlns:a16="http://schemas.microsoft.com/office/drawing/2014/main" id="{4CDB1E3D-2334-D49D-09CA-A24D6689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7" name="Picture 520">
          <a:extLst>
            <a:ext uri="{FF2B5EF4-FFF2-40B4-BE49-F238E27FC236}">
              <a16:creationId xmlns:a16="http://schemas.microsoft.com/office/drawing/2014/main" id="{741FE203-B0E7-413E-0D34-23E7DC0D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8" name="Picture 521">
          <a:extLst>
            <a:ext uri="{FF2B5EF4-FFF2-40B4-BE49-F238E27FC236}">
              <a16:creationId xmlns:a16="http://schemas.microsoft.com/office/drawing/2014/main" id="{3D209EB0-330D-3546-B699-3316B5CE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9" name="Picture 522">
          <a:extLst>
            <a:ext uri="{FF2B5EF4-FFF2-40B4-BE49-F238E27FC236}">
              <a16:creationId xmlns:a16="http://schemas.microsoft.com/office/drawing/2014/main" id="{560603E5-CB4C-30A3-0A7A-F3A008211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0" name="Picture 523">
          <a:extLst>
            <a:ext uri="{FF2B5EF4-FFF2-40B4-BE49-F238E27FC236}">
              <a16:creationId xmlns:a16="http://schemas.microsoft.com/office/drawing/2014/main" id="{E678FCB4-705E-1A3D-D5F0-928B1382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1" name="Picture 524">
          <a:extLst>
            <a:ext uri="{FF2B5EF4-FFF2-40B4-BE49-F238E27FC236}">
              <a16:creationId xmlns:a16="http://schemas.microsoft.com/office/drawing/2014/main" id="{B5B9EDF2-CD7E-DBC1-A80B-B016758D3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2" name="Picture 525">
          <a:extLst>
            <a:ext uri="{FF2B5EF4-FFF2-40B4-BE49-F238E27FC236}">
              <a16:creationId xmlns:a16="http://schemas.microsoft.com/office/drawing/2014/main" id="{FED7D96E-41D4-9389-0366-D5C78F46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3" name="Picture 526">
          <a:extLst>
            <a:ext uri="{FF2B5EF4-FFF2-40B4-BE49-F238E27FC236}">
              <a16:creationId xmlns:a16="http://schemas.microsoft.com/office/drawing/2014/main" id="{C6F21751-CAC3-B450-4361-133BB7E3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4" name="Picture 527">
          <a:extLst>
            <a:ext uri="{FF2B5EF4-FFF2-40B4-BE49-F238E27FC236}">
              <a16:creationId xmlns:a16="http://schemas.microsoft.com/office/drawing/2014/main" id="{4B150834-21E1-7669-87E5-D4CFD037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5" name="Picture 528">
          <a:extLst>
            <a:ext uri="{FF2B5EF4-FFF2-40B4-BE49-F238E27FC236}">
              <a16:creationId xmlns:a16="http://schemas.microsoft.com/office/drawing/2014/main" id="{89C50542-A469-9D99-D223-FCD52660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6" name="Picture 529">
          <a:extLst>
            <a:ext uri="{FF2B5EF4-FFF2-40B4-BE49-F238E27FC236}">
              <a16:creationId xmlns:a16="http://schemas.microsoft.com/office/drawing/2014/main" id="{80F4F189-7E16-5ED8-BFC6-A2F86136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7" name="Picture 530">
          <a:extLst>
            <a:ext uri="{FF2B5EF4-FFF2-40B4-BE49-F238E27FC236}">
              <a16:creationId xmlns:a16="http://schemas.microsoft.com/office/drawing/2014/main" id="{DBAA9A41-624D-D6BC-DB18-677CA736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8" name="Picture 531">
          <a:extLst>
            <a:ext uri="{FF2B5EF4-FFF2-40B4-BE49-F238E27FC236}">
              <a16:creationId xmlns:a16="http://schemas.microsoft.com/office/drawing/2014/main" id="{A51B8FB0-7519-4E0A-E262-2C63F5E3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9" name="Picture 532">
          <a:extLst>
            <a:ext uri="{FF2B5EF4-FFF2-40B4-BE49-F238E27FC236}">
              <a16:creationId xmlns:a16="http://schemas.microsoft.com/office/drawing/2014/main" id="{46E80EED-6844-1D23-8F37-2A1F2B68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0" name="Picture 533">
          <a:extLst>
            <a:ext uri="{FF2B5EF4-FFF2-40B4-BE49-F238E27FC236}">
              <a16:creationId xmlns:a16="http://schemas.microsoft.com/office/drawing/2014/main" id="{A87AB3A3-421E-15BE-41AE-CF38A93E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1" name="Picture 534">
          <a:extLst>
            <a:ext uri="{FF2B5EF4-FFF2-40B4-BE49-F238E27FC236}">
              <a16:creationId xmlns:a16="http://schemas.microsoft.com/office/drawing/2014/main" id="{0E057EE7-4007-C0BB-3E72-B01A7246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2" name="Picture 535">
          <a:extLst>
            <a:ext uri="{FF2B5EF4-FFF2-40B4-BE49-F238E27FC236}">
              <a16:creationId xmlns:a16="http://schemas.microsoft.com/office/drawing/2014/main" id="{4B3CF6DC-EB56-9999-C524-272A0A4B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3" name="Picture 536">
          <a:extLst>
            <a:ext uri="{FF2B5EF4-FFF2-40B4-BE49-F238E27FC236}">
              <a16:creationId xmlns:a16="http://schemas.microsoft.com/office/drawing/2014/main" id="{6E977F10-D9B7-1CEA-F37C-B4D582FF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4" name="Picture 537">
          <a:extLst>
            <a:ext uri="{FF2B5EF4-FFF2-40B4-BE49-F238E27FC236}">
              <a16:creationId xmlns:a16="http://schemas.microsoft.com/office/drawing/2014/main" id="{A4802145-6043-15F8-F142-0655936A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5" name="Picture 538">
          <a:extLst>
            <a:ext uri="{FF2B5EF4-FFF2-40B4-BE49-F238E27FC236}">
              <a16:creationId xmlns:a16="http://schemas.microsoft.com/office/drawing/2014/main" id="{BCCDAA7D-2614-3764-D974-2A74AC86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6" name="Picture 539">
          <a:extLst>
            <a:ext uri="{FF2B5EF4-FFF2-40B4-BE49-F238E27FC236}">
              <a16:creationId xmlns:a16="http://schemas.microsoft.com/office/drawing/2014/main" id="{BCB48358-0DF9-AC69-6624-05400B65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7" name="Picture 540">
          <a:extLst>
            <a:ext uri="{FF2B5EF4-FFF2-40B4-BE49-F238E27FC236}">
              <a16:creationId xmlns:a16="http://schemas.microsoft.com/office/drawing/2014/main" id="{58771DB4-40EE-3D70-51CE-E838701B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8" name="Picture 541">
          <a:extLst>
            <a:ext uri="{FF2B5EF4-FFF2-40B4-BE49-F238E27FC236}">
              <a16:creationId xmlns:a16="http://schemas.microsoft.com/office/drawing/2014/main" id="{97FD8213-D9BA-2036-0A96-AF2D3B2F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9" name="Picture 542">
          <a:extLst>
            <a:ext uri="{FF2B5EF4-FFF2-40B4-BE49-F238E27FC236}">
              <a16:creationId xmlns:a16="http://schemas.microsoft.com/office/drawing/2014/main" id="{65784994-32E8-6FDC-70FB-404B6B46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0" name="Picture 543">
          <a:extLst>
            <a:ext uri="{FF2B5EF4-FFF2-40B4-BE49-F238E27FC236}">
              <a16:creationId xmlns:a16="http://schemas.microsoft.com/office/drawing/2014/main" id="{FFC46B96-2A53-696B-2CB6-F5ACB279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1" name="Picture 544">
          <a:extLst>
            <a:ext uri="{FF2B5EF4-FFF2-40B4-BE49-F238E27FC236}">
              <a16:creationId xmlns:a16="http://schemas.microsoft.com/office/drawing/2014/main" id="{A63AE1B3-BCED-7824-62C4-92C7C95E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2" name="Picture 545">
          <a:extLst>
            <a:ext uri="{FF2B5EF4-FFF2-40B4-BE49-F238E27FC236}">
              <a16:creationId xmlns:a16="http://schemas.microsoft.com/office/drawing/2014/main" id="{0D255846-32DA-6531-DF08-3CED9F03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3" name="Picture 546">
          <a:extLst>
            <a:ext uri="{FF2B5EF4-FFF2-40B4-BE49-F238E27FC236}">
              <a16:creationId xmlns:a16="http://schemas.microsoft.com/office/drawing/2014/main" id="{E1D3BFA0-1888-B4AF-DB09-7392E1B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4" name="Picture 547">
          <a:extLst>
            <a:ext uri="{FF2B5EF4-FFF2-40B4-BE49-F238E27FC236}">
              <a16:creationId xmlns:a16="http://schemas.microsoft.com/office/drawing/2014/main" id="{737F9374-C703-E8DA-3991-A839D96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5" name="Picture 548">
          <a:extLst>
            <a:ext uri="{FF2B5EF4-FFF2-40B4-BE49-F238E27FC236}">
              <a16:creationId xmlns:a16="http://schemas.microsoft.com/office/drawing/2014/main" id="{81498BB5-A949-ABD1-7494-26F28DE8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6" name="Picture 549">
          <a:extLst>
            <a:ext uri="{FF2B5EF4-FFF2-40B4-BE49-F238E27FC236}">
              <a16:creationId xmlns:a16="http://schemas.microsoft.com/office/drawing/2014/main" id="{8C771BF3-2DD0-00B9-9955-C2BCC8D4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7" name="Picture 550">
          <a:extLst>
            <a:ext uri="{FF2B5EF4-FFF2-40B4-BE49-F238E27FC236}">
              <a16:creationId xmlns:a16="http://schemas.microsoft.com/office/drawing/2014/main" id="{EC57CFB6-647E-DE8F-A155-086D4591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8" name="Picture 551">
          <a:extLst>
            <a:ext uri="{FF2B5EF4-FFF2-40B4-BE49-F238E27FC236}">
              <a16:creationId xmlns:a16="http://schemas.microsoft.com/office/drawing/2014/main" id="{30EDE2EA-344B-A02E-23E3-B8C92369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9" name="Picture 552">
          <a:extLst>
            <a:ext uri="{FF2B5EF4-FFF2-40B4-BE49-F238E27FC236}">
              <a16:creationId xmlns:a16="http://schemas.microsoft.com/office/drawing/2014/main" id="{FECE1888-08E7-29CA-0057-118A682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0" name="Picture 553">
          <a:extLst>
            <a:ext uri="{FF2B5EF4-FFF2-40B4-BE49-F238E27FC236}">
              <a16:creationId xmlns:a16="http://schemas.microsoft.com/office/drawing/2014/main" id="{92A58BD3-234F-47EC-794E-28E553DC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1" name="Picture 554">
          <a:extLst>
            <a:ext uri="{FF2B5EF4-FFF2-40B4-BE49-F238E27FC236}">
              <a16:creationId xmlns:a16="http://schemas.microsoft.com/office/drawing/2014/main" id="{4992B942-22A8-4912-5571-5187F0EC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2" name="Picture 555">
          <a:extLst>
            <a:ext uri="{FF2B5EF4-FFF2-40B4-BE49-F238E27FC236}">
              <a16:creationId xmlns:a16="http://schemas.microsoft.com/office/drawing/2014/main" id="{D58E59D6-9D55-8254-0F48-F5BBC9FB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3" name="Picture 556">
          <a:extLst>
            <a:ext uri="{FF2B5EF4-FFF2-40B4-BE49-F238E27FC236}">
              <a16:creationId xmlns:a16="http://schemas.microsoft.com/office/drawing/2014/main" id="{067DA3E5-5C0E-AF04-D1D7-BBDC0327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4" name="Picture 557">
          <a:extLst>
            <a:ext uri="{FF2B5EF4-FFF2-40B4-BE49-F238E27FC236}">
              <a16:creationId xmlns:a16="http://schemas.microsoft.com/office/drawing/2014/main" id="{17FA0F13-EDB9-1007-B9B7-B1AA0B86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5" name="Picture 558">
          <a:extLst>
            <a:ext uri="{FF2B5EF4-FFF2-40B4-BE49-F238E27FC236}">
              <a16:creationId xmlns:a16="http://schemas.microsoft.com/office/drawing/2014/main" id="{10AD6561-51DA-1EE9-92B8-D5670255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6" name="Picture 559">
          <a:extLst>
            <a:ext uri="{FF2B5EF4-FFF2-40B4-BE49-F238E27FC236}">
              <a16:creationId xmlns:a16="http://schemas.microsoft.com/office/drawing/2014/main" id="{B6AD03D1-9C2A-A5F7-0D55-E55DF0E1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7" name="Picture 560">
          <a:extLst>
            <a:ext uri="{FF2B5EF4-FFF2-40B4-BE49-F238E27FC236}">
              <a16:creationId xmlns:a16="http://schemas.microsoft.com/office/drawing/2014/main" id="{BB36D220-46F9-6708-75C6-FBF6BCB0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8" name="Picture 561">
          <a:extLst>
            <a:ext uri="{FF2B5EF4-FFF2-40B4-BE49-F238E27FC236}">
              <a16:creationId xmlns:a16="http://schemas.microsoft.com/office/drawing/2014/main" id="{6DE906BF-9BD7-915F-A23A-E7AFB81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9" name="Picture 562">
          <a:extLst>
            <a:ext uri="{FF2B5EF4-FFF2-40B4-BE49-F238E27FC236}">
              <a16:creationId xmlns:a16="http://schemas.microsoft.com/office/drawing/2014/main" id="{8FA10768-23CA-1E49-CAC5-3656E248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0" name="Picture 563">
          <a:extLst>
            <a:ext uri="{FF2B5EF4-FFF2-40B4-BE49-F238E27FC236}">
              <a16:creationId xmlns:a16="http://schemas.microsoft.com/office/drawing/2014/main" id="{7944B018-0B57-C646-51A7-244066B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1" name="Picture 564">
          <a:extLst>
            <a:ext uri="{FF2B5EF4-FFF2-40B4-BE49-F238E27FC236}">
              <a16:creationId xmlns:a16="http://schemas.microsoft.com/office/drawing/2014/main" id="{91B8BB1B-1C3B-2CA3-13DB-708B9C65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2" name="Picture 565">
          <a:extLst>
            <a:ext uri="{FF2B5EF4-FFF2-40B4-BE49-F238E27FC236}">
              <a16:creationId xmlns:a16="http://schemas.microsoft.com/office/drawing/2014/main" id="{1518193D-63EA-8D2F-ED9B-C22E9BFA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3" name="Picture 566">
          <a:extLst>
            <a:ext uri="{FF2B5EF4-FFF2-40B4-BE49-F238E27FC236}">
              <a16:creationId xmlns:a16="http://schemas.microsoft.com/office/drawing/2014/main" id="{B7F55953-4CF4-AF9A-805A-CFB8F07B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4" name="Picture 567">
          <a:extLst>
            <a:ext uri="{FF2B5EF4-FFF2-40B4-BE49-F238E27FC236}">
              <a16:creationId xmlns:a16="http://schemas.microsoft.com/office/drawing/2014/main" id="{3140DC8C-DCDE-566A-C2BD-45592A89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5" name="Picture 568">
          <a:extLst>
            <a:ext uri="{FF2B5EF4-FFF2-40B4-BE49-F238E27FC236}">
              <a16:creationId xmlns:a16="http://schemas.microsoft.com/office/drawing/2014/main" id="{EB9687B0-35D7-2579-890E-F91457A7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6" name="Picture 569">
          <a:extLst>
            <a:ext uri="{FF2B5EF4-FFF2-40B4-BE49-F238E27FC236}">
              <a16:creationId xmlns:a16="http://schemas.microsoft.com/office/drawing/2014/main" id="{648EA460-21CE-68D9-A632-A305FDCA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7" name="Picture 570">
          <a:extLst>
            <a:ext uri="{FF2B5EF4-FFF2-40B4-BE49-F238E27FC236}">
              <a16:creationId xmlns:a16="http://schemas.microsoft.com/office/drawing/2014/main" id="{202021FD-7BB3-ABEF-DE21-9E62396E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8" name="Picture 571">
          <a:extLst>
            <a:ext uri="{FF2B5EF4-FFF2-40B4-BE49-F238E27FC236}">
              <a16:creationId xmlns:a16="http://schemas.microsoft.com/office/drawing/2014/main" id="{053BCF66-61C9-690F-8401-B4D3C19D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9" name="Picture 572">
          <a:extLst>
            <a:ext uri="{FF2B5EF4-FFF2-40B4-BE49-F238E27FC236}">
              <a16:creationId xmlns:a16="http://schemas.microsoft.com/office/drawing/2014/main" id="{A63F1C6B-1B4B-7650-D998-349D5733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0" name="Picture 573">
          <a:extLst>
            <a:ext uri="{FF2B5EF4-FFF2-40B4-BE49-F238E27FC236}">
              <a16:creationId xmlns:a16="http://schemas.microsoft.com/office/drawing/2014/main" id="{B66DA71E-E30A-6015-0AC7-FDFF1CBA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1" name="Picture 574">
          <a:extLst>
            <a:ext uri="{FF2B5EF4-FFF2-40B4-BE49-F238E27FC236}">
              <a16:creationId xmlns:a16="http://schemas.microsoft.com/office/drawing/2014/main" id="{7ED3D5A3-554F-8B9B-CCF4-F298FA1D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2" name="Picture 575">
          <a:extLst>
            <a:ext uri="{FF2B5EF4-FFF2-40B4-BE49-F238E27FC236}">
              <a16:creationId xmlns:a16="http://schemas.microsoft.com/office/drawing/2014/main" id="{78A3BA0D-93A7-97A6-77EC-C9E4F7DE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3" name="Picture 576">
          <a:extLst>
            <a:ext uri="{FF2B5EF4-FFF2-40B4-BE49-F238E27FC236}">
              <a16:creationId xmlns:a16="http://schemas.microsoft.com/office/drawing/2014/main" id="{935CD116-41DF-A809-80E7-2823330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4" name="Picture 577">
          <a:extLst>
            <a:ext uri="{FF2B5EF4-FFF2-40B4-BE49-F238E27FC236}">
              <a16:creationId xmlns:a16="http://schemas.microsoft.com/office/drawing/2014/main" id="{F0A01F8B-0BFC-0D49-4E4B-6ACD3E8B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5" name="Picture 578">
          <a:extLst>
            <a:ext uri="{FF2B5EF4-FFF2-40B4-BE49-F238E27FC236}">
              <a16:creationId xmlns:a16="http://schemas.microsoft.com/office/drawing/2014/main" id="{ABFE0211-56CD-EBA6-9096-5CB6E432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6" name="Picture 579">
          <a:extLst>
            <a:ext uri="{FF2B5EF4-FFF2-40B4-BE49-F238E27FC236}">
              <a16:creationId xmlns:a16="http://schemas.microsoft.com/office/drawing/2014/main" id="{9B6A66EC-5F9C-1D02-0BE9-736887D9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7" name="Picture 580">
          <a:extLst>
            <a:ext uri="{FF2B5EF4-FFF2-40B4-BE49-F238E27FC236}">
              <a16:creationId xmlns:a16="http://schemas.microsoft.com/office/drawing/2014/main" id="{A2C5AAEC-E5CE-09E3-D706-5E2BE3BE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8" name="Picture 581">
          <a:extLst>
            <a:ext uri="{FF2B5EF4-FFF2-40B4-BE49-F238E27FC236}">
              <a16:creationId xmlns:a16="http://schemas.microsoft.com/office/drawing/2014/main" id="{8379F048-C224-E749-85CF-CE26BD5F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9" name="Picture 582">
          <a:extLst>
            <a:ext uri="{FF2B5EF4-FFF2-40B4-BE49-F238E27FC236}">
              <a16:creationId xmlns:a16="http://schemas.microsoft.com/office/drawing/2014/main" id="{B32057E4-FD7B-8140-C5A5-4349EADB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0" name="Picture 583">
          <a:extLst>
            <a:ext uri="{FF2B5EF4-FFF2-40B4-BE49-F238E27FC236}">
              <a16:creationId xmlns:a16="http://schemas.microsoft.com/office/drawing/2014/main" id="{262475DD-3BED-600A-7FF2-2454E74C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1" name="Picture 584">
          <a:extLst>
            <a:ext uri="{FF2B5EF4-FFF2-40B4-BE49-F238E27FC236}">
              <a16:creationId xmlns:a16="http://schemas.microsoft.com/office/drawing/2014/main" id="{7F826A7E-E8F5-FD85-0D2B-EAE9A6B7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2" name="Picture 585">
          <a:extLst>
            <a:ext uri="{FF2B5EF4-FFF2-40B4-BE49-F238E27FC236}">
              <a16:creationId xmlns:a16="http://schemas.microsoft.com/office/drawing/2014/main" id="{FD52C0E0-03B7-CA21-C493-9C22B472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3" name="Picture 586">
          <a:extLst>
            <a:ext uri="{FF2B5EF4-FFF2-40B4-BE49-F238E27FC236}">
              <a16:creationId xmlns:a16="http://schemas.microsoft.com/office/drawing/2014/main" id="{628DADE4-23D0-4F28-44CA-9463E7876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4" name="Picture 587">
          <a:extLst>
            <a:ext uri="{FF2B5EF4-FFF2-40B4-BE49-F238E27FC236}">
              <a16:creationId xmlns:a16="http://schemas.microsoft.com/office/drawing/2014/main" id="{72A10470-8150-D46C-1BE1-2479F2B6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5" name="Picture 588">
          <a:extLst>
            <a:ext uri="{FF2B5EF4-FFF2-40B4-BE49-F238E27FC236}">
              <a16:creationId xmlns:a16="http://schemas.microsoft.com/office/drawing/2014/main" id="{4169101D-4EC2-F1CA-9BE9-6ACE10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6" name="Picture 589">
          <a:extLst>
            <a:ext uri="{FF2B5EF4-FFF2-40B4-BE49-F238E27FC236}">
              <a16:creationId xmlns:a16="http://schemas.microsoft.com/office/drawing/2014/main" id="{AB8C15B1-7EF2-A250-D081-EC6FED9B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7" name="Picture 590">
          <a:extLst>
            <a:ext uri="{FF2B5EF4-FFF2-40B4-BE49-F238E27FC236}">
              <a16:creationId xmlns:a16="http://schemas.microsoft.com/office/drawing/2014/main" id="{C7DF4889-E665-E5AE-5EC8-E42F30D7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8" name="Picture 591">
          <a:extLst>
            <a:ext uri="{FF2B5EF4-FFF2-40B4-BE49-F238E27FC236}">
              <a16:creationId xmlns:a16="http://schemas.microsoft.com/office/drawing/2014/main" id="{587A8972-7A1E-8BC8-C76C-CE6C70A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9" name="Picture 592">
          <a:extLst>
            <a:ext uri="{FF2B5EF4-FFF2-40B4-BE49-F238E27FC236}">
              <a16:creationId xmlns:a16="http://schemas.microsoft.com/office/drawing/2014/main" id="{22EB889C-7B69-A653-2EAD-3AA3624E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0" name="Picture 593">
          <a:extLst>
            <a:ext uri="{FF2B5EF4-FFF2-40B4-BE49-F238E27FC236}">
              <a16:creationId xmlns:a16="http://schemas.microsoft.com/office/drawing/2014/main" id="{A4328D44-C81F-6607-D444-1003FC37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1" name="Picture 594">
          <a:extLst>
            <a:ext uri="{FF2B5EF4-FFF2-40B4-BE49-F238E27FC236}">
              <a16:creationId xmlns:a16="http://schemas.microsoft.com/office/drawing/2014/main" id="{4780B152-FB37-48A5-EB66-DA838889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2" name="Picture 595">
          <a:extLst>
            <a:ext uri="{FF2B5EF4-FFF2-40B4-BE49-F238E27FC236}">
              <a16:creationId xmlns:a16="http://schemas.microsoft.com/office/drawing/2014/main" id="{ED6632BC-E81E-B7FE-2218-97B78249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3" name="Picture 596">
          <a:extLst>
            <a:ext uri="{FF2B5EF4-FFF2-40B4-BE49-F238E27FC236}">
              <a16:creationId xmlns:a16="http://schemas.microsoft.com/office/drawing/2014/main" id="{91EC074C-819B-36AB-1993-2F294DDA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4" name="Picture 597">
          <a:extLst>
            <a:ext uri="{FF2B5EF4-FFF2-40B4-BE49-F238E27FC236}">
              <a16:creationId xmlns:a16="http://schemas.microsoft.com/office/drawing/2014/main" id="{3AF6D4C0-E696-3642-34E1-94969182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5" name="Picture 598">
          <a:extLst>
            <a:ext uri="{FF2B5EF4-FFF2-40B4-BE49-F238E27FC236}">
              <a16:creationId xmlns:a16="http://schemas.microsoft.com/office/drawing/2014/main" id="{3EF4F51B-F456-FA51-C389-547AA835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6" name="Picture 599">
          <a:extLst>
            <a:ext uri="{FF2B5EF4-FFF2-40B4-BE49-F238E27FC236}">
              <a16:creationId xmlns:a16="http://schemas.microsoft.com/office/drawing/2014/main" id="{9CC82CE3-343D-BB04-6E69-B37128C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7" name="Picture 600">
          <a:extLst>
            <a:ext uri="{FF2B5EF4-FFF2-40B4-BE49-F238E27FC236}">
              <a16:creationId xmlns:a16="http://schemas.microsoft.com/office/drawing/2014/main" id="{3FD4ABC2-0F42-95F0-7DD9-80C5BC25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8" name="Picture 601">
          <a:extLst>
            <a:ext uri="{FF2B5EF4-FFF2-40B4-BE49-F238E27FC236}">
              <a16:creationId xmlns:a16="http://schemas.microsoft.com/office/drawing/2014/main" id="{7721BDF1-40E4-4F70-0F0C-FA1AFD30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9" name="Picture 602">
          <a:extLst>
            <a:ext uri="{FF2B5EF4-FFF2-40B4-BE49-F238E27FC236}">
              <a16:creationId xmlns:a16="http://schemas.microsoft.com/office/drawing/2014/main" id="{25008093-723C-4C4D-11CB-928F2F4E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0" name="Picture 603">
          <a:extLst>
            <a:ext uri="{FF2B5EF4-FFF2-40B4-BE49-F238E27FC236}">
              <a16:creationId xmlns:a16="http://schemas.microsoft.com/office/drawing/2014/main" id="{B84127B6-40CE-969E-46F4-FCB9174F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1" name="Picture 604">
          <a:extLst>
            <a:ext uri="{FF2B5EF4-FFF2-40B4-BE49-F238E27FC236}">
              <a16:creationId xmlns:a16="http://schemas.microsoft.com/office/drawing/2014/main" id="{9B3E60EA-4A8E-76C1-9AE1-F79F30FA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2" name="Picture 605">
          <a:extLst>
            <a:ext uri="{FF2B5EF4-FFF2-40B4-BE49-F238E27FC236}">
              <a16:creationId xmlns:a16="http://schemas.microsoft.com/office/drawing/2014/main" id="{63102B1D-33E0-5633-1F60-DF2DF33E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3" name="Picture 606">
          <a:extLst>
            <a:ext uri="{FF2B5EF4-FFF2-40B4-BE49-F238E27FC236}">
              <a16:creationId xmlns:a16="http://schemas.microsoft.com/office/drawing/2014/main" id="{AA85C9D7-896F-D573-0D12-937557BF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4" name="Picture 607">
          <a:extLst>
            <a:ext uri="{FF2B5EF4-FFF2-40B4-BE49-F238E27FC236}">
              <a16:creationId xmlns:a16="http://schemas.microsoft.com/office/drawing/2014/main" id="{103BCC51-7EC1-7AD7-2F69-AF34C2E0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5" name="Picture 608">
          <a:extLst>
            <a:ext uri="{FF2B5EF4-FFF2-40B4-BE49-F238E27FC236}">
              <a16:creationId xmlns:a16="http://schemas.microsoft.com/office/drawing/2014/main" id="{E81169C2-CFBF-6496-3703-E779CC06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6" name="Picture 609">
          <a:extLst>
            <a:ext uri="{FF2B5EF4-FFF2-40B4-BE49-F238E27FC236}">
              <a16:creationId xmlns:a16="http://schemas.microsoft.com/office/drawing/2014/main" id="{A4B7461A-5BBB-137E-2797-964BD102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7" name="Picture 610">
          <a:extLst>
            <a:ext uri="{FF2B5EF4-FFF2-40B4-BE49-F238E27FC236}">
              <a16:creationId xmlns:a16="http://schemas.microsoft.com/office/drawing/2014/main" id="{1BD8DE6B-F429-C008-42A8-CE1CAEA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8" name="Picture 611">
          <a:extLst>
            <a:ext uri="{FF2B5EF4-FFF2-40B4-BE49-F238E27FC236}">
              <a16:creationId xmlns:a16="http://schemas.microsoft.com/office/drawing/2014/main" id="{1B292E8C-6D75-DD1E-EFF4-509B7730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9" name="Picture 612">
          <a:extLst>
            <a:ext uri="{FF2B5EF4-FFF2-40B4-BE49-F238E27FC236}">
              <a16:creationId xmlns:a16="http://schemas.microsoft.com/office/drawing/2014/main" id="{786CE9F6-25B0-940E-7D36-EF9460E5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0" name="Picture 613">
          <a:extLst>
            <a:ext uri="{FF2B5EF4-FFF2-40B4-BE49-F238E27FC236}">
              <a16:creationId xmlns:a16="http://schemas.microsoft.com/office/drawing/2014/main" id="{E08A61CD-5D38-3852-701F-242A3269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1" name="Picture 614">
          <a:extLst>
            <a:ext uri="{FF2B5EF4-FFF2-40B4-BE49-F238E27FC236}">
              <a16:creationId xmlns:a16="http://schemas.microsoft.com/office/drawing/2014/main" id="{AECBC80E-710C-5C92-263C-BBDFB717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2" name="Picture 615">
          <a:extLst>
            <a:ext uri="{FF2B5EF4-FFF2-40B4-BE49-F238E27FC236}">
              <a16:creationId xmlns:a16="http://schemas.microsoft.com/office/drawing/2014/main" id="{F86C7E60-9D8D-EF73-8D6C-DEE9DB6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3" name="Picture 616">
          <a:extLst>
            <a:ext uri="{FF2B5EF4-FFF2-40B4-BE49-F238E27FC236}">
              <a16:creationId xmlns:a16="http://schemas.microsoft.com/office/drawing/2014/main" id="{2844D34F-DF30-D598-A39A-31E12252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4" name="Picture 617">
          <a:extLst>
            <a:ext uri="{FF2B5EF4-FFF2-40B4-BE49-F238E27FC236}">
              <a16:creationId xmlns:a16="http://schemas.microsoft.com/office/drawing/2014/main" id="{4DA5C2E6-0AF1-1C9D-DB55-DDD3416B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5" name="Picture 618">
          <a:extLst>
            <a:ext uri="{FF2B5EF4-FFF2-40B4-BE49-F238E27FC236}">
              <a16:creationId xmlns:a16="http://schemas.microsoft.com/office/drawing/2014/main" id="{700AD9FD-345B-7500-4B6D-D23906CA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6" name="Picture 619">
          <a:extLst>
            <a:ext uri="{FF2B5EF4-FFF2-40B4-BE49-F238E27FC236}">
              <a16:creationId xmlns:a16="http://schemas.microsoft.com/office/drawing/2014/main" id="{FBF39D1B-E34F-F288-05D2-7B05A6CF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7" name="Picture 620">
          <a:extLst>
            <a:ext uri="{FF2B5EF4-FFF2-40B4-BE49-F238E27FC236}">
              <a16:creationId xmlns:a16="http://schemas.microsoft.com/office/drawing/2014/main" id="{86B00EBA-CFF5-4DE3-B659-A4342C85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8" name="Picture 621">
          <a:extLst>
            <a:ext uri="{FF2B5EF4-FFF2-40B4-BE49-F238E27FC236}">
              <a16:creationId xmlns:a16="http://schemas.microsoft.com/office/drawing/2014/main" id="{9F0F132E-FB2A-3EC3-99DE-96EB4455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9" name="Picture 622">
          <a:extLst>
            <a:ext uri="{FF2B5EF4-FFF2-40B4-BE49-F238E27FC236}">
              <a16:creationId xmlns:a16="http://schemas.microsoft.com/office/drawing/2014/main" id="{5ED8C98E-791C-2496-CECE-625C5ED1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0" name="Picture 623">
          <a:extLst>
            <a:ext uri="{FF2B5EF4-FFF2-40B4-BE49-F238E27FC236}">
              <a16:creationId xmlns:a16="http://schemas.microsoft.com/office/drawing/2014/main" id="{3E6DAD88-6794-4030-5D3A-44FC6D4B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1" name="Picture 624">
          <a:extLst>
            <a:ext uri="{FF2B5EF4-FFF2-40B4-BE49-F238E27FC236}">
              <a16:creationId xmlns:a16="http://schemas.microsoft.com/office/drawing/2014/main" id="{ECE075BB-369F-FFC2-16BC-BF32AE53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2" name="Picture 625">
          <a:extLst>
            <a:ext uri="{FF2B5EF4-FFF2-40B4-BE49-F238E27FC236}">
              <a16:creationId xmlns:a16="http://schemas.microsoft.com/office/drawing/2014/main" id="{D928CD19-AF95-22B4-5C3F-44637002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3" name="Picture 626">
          <a:extLst>
            <a:ext uri="{FF2B5EF4-FFF2-40B4-BE49-F238E27FC236}">
              <a16:creationId xmlns:a16="http://schemas.microsoft.com/office/drawing/2014/main" id="{E9EF1B17-03D7-11B6-F277-02DBAB79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4" name="Picture 627">
          <a:extLst>
            <a:ext uri="{FF2B5EF4-FFF2-40B4-BE49-F238E27FC236}">
              <a16:creationId xmlns:a16="http://schemas.microsoft.com/office/drawing/2014/main" id="{D536FAF5-594B-F1BA-1A2C-F1DEFFC5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5" name="Picture 628">
          <a:extLst>
            <a:ext uri="{FF2B5EF4-FFF2-40B4-BE49-F238E27FC236}">
              <a16:creationId xmlns:a16="http://schemas.microsoft.com/office/drawing/2014/main" id="{E77BD8C0-82DB-3409-4AA0-31380333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6" name="Picture 629">
          <a:extLst>
            <a:ext uri="{FF2B5EF4-FFF2-40B4-BE49-F238E27FC236}">
              <a16:creationId xmlns:a16="http://schemas.microsoft.com/office/drawing/2014/main" id="{8BD68352-C481-24AC-303A-4776A45B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7" name="Picture 630">
          <a:extLst>
            <a:ext uri="{FF2B5EF4-FFF2-40B4-BE49-F238E27FC236}">
              <a16:creationId xmlns:a16="http://schemas.microsoft.com/office/drawing/2014/main" id="{F6DD21DA-AE02-270E-1503-E8088200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8" name="Picture 631">
          <a:extLst>
            <a:ext uri="{FF2B5EF4-FFF2-40B4-BE49-F238E27FC236}">
              <a16:creationId xmlns:a16="http://schemas.microsoft.com/office/drawing/2014/main" id="{B9842598-734E-4F0C-00C7-DD748D2EF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9" name="Picture 632">
          <a:extLst>
            <a:ext uri="{FF2B5EF4-FFF2-40B4-BE49-F238E27FC236}">
              <a16:creationId xmlns:a16="http://schemas.microsoft.com/office/drawing/2014/main" id="{CE3790C3-E87F-3E6F-F8E8-A36BDD83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0" name="Picture 633">
          <a:extLst>
            <a:ext uri="{FF2B5EF4-FFF2-40B4-BE49-F238E27FC236}">
              <a16:creationId xmlns:a16="http://schemas.microsoft.com/office/drawing/2014/main" id="{FD6C42A3-BB8D-8728-95AC-7ACCDD12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1" name="Picture 634">
          <a:extLst>
            <a:ext uri="{FF2B5EF4-FFF2-40B4-BE49-F238E27FC236}">
              <a16:creationId xmlns:a16="http://schemas.microsoft.com/office/drawing/2014/main" id="{DD74A864-CF27-460D-B4C1-8384C0C6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2" name="Picture 635">
          <a:extLst>
            <a:ext uri="{FF2B5EF4-FFF2-40B4-BE49-F238E27FC236}">
              <a16:creationId xmlns:a16="http://schemas.microsoft.com/office/drawing/2014/main" id="{7FBAC9A7-B754-9805-C2B6-2B6D73E1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3" name="Picture 636">
          <a:extLst>
            <a:ext uri="{FF2B5EF4-FFF2-40B4-BE49-F238E27FC236}">
              <a16:creationId xmlns:a16="http://schemas.microsoft.com/office/drawing/2014/main" id="{D1C9E02F-A86C-E4D3-8A56-E7723D76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4" name="Picture 637">
          <a:extLst>
            <a:ext uri="{FF2B5EF4-FFF2-40B4-BE49-F238E27FC236}">
              <a16:creationId xmlns:a16="http://schemas.microsoft.com/office/drawing/2014/main" id="{D359061B-9C53-A4FA-AE8B-315DD1D5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5" name="Picture 638">
          <a:extLst>
            <a:ext uri="{FF2B5EF4-FFF2-40B4-BE49-F238E27FC236}">
              <a16:creationId xmlns:a16="http://schemas.microsoft.com/office/drawing/2014/main" id="{3DAD0297-46A1-6B40-DBE1-E8E40413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6" name="Picture 639">
          <a:extLst>
            <a:ext uri="{FF2B5EF4-FFF2-40B4-BE49-F238E27FC236}">
              <a16:creationId xmlns:a16="http://schemas.microsoft.com/office/drawing/2014/main" id="{2A6A1FB0-78A0-8EE4-45A5-A08F30A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7" name="Picture 640">
          <a:extLst>
            <a:ext uri="{FF2B5EF4-FFF2-40B4-BE49-F238E27FC236}">
              <a16:creationId xmlns:a16="http://schemas.microsoft.com/office/drawing/2014/main" id="{5EC8B27D-B98E-22A8-CECF-3BB2BD77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8" name="Picture 641">
          <a:extLst>
            <a:ext uri="{FF2B5EF4-FFF2-40B4-BE49-F238E27FC236}">
              <a16:creationId xmlns:a16="http://schemas.microsoft.com/office/drawing/2014/main" id="{F78AFA5F-C2C5-3A41-7F6C-29CECB9C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9" name="Picture 642">
          <a:extLst>
            <a:ext uri="{FF2B5EF4-FFF2-40B4-BE49-F238E27FC236}">
              <a16:creationId xmlns:a16="http://schemas.microsoft.com/office/drawing/2014/main" id="{24868ADC-D770-15DD-17C5-2DDFEAB7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0" name="Picture 643">
          <a:extLst>
            <a:ext uri="{FF2B5EF4-FFF2-40B4-BE49-F238E27FC236}">
              <a16:creationId xmlns:a16="http://schemas.microsoft.com/office/drawing/2014/main" id="{1B67C356-1069-614A-950F-85DF7455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1" name="Picture 644">
          <a:extLst>
            <a:ext uri="{FF2B5EF4-FFF2-40B4-BE49-F238E27FC236}">
              <a16:creationId xmlns:a16="http://schemas.microsoft.com/office/drawing/2014/main" id="{666C315E-266B-093D-224C-35AD4ADE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2" name="Picture 645">
          <a:extLst>
            <a:ext uri="{FF2B5EF4-FFF2-40B4-BE49-F238E27FC236}">
              <a16:creationId xmlns:a16="http://schemas.microsoft.com/office/drawing/2014/main" id="{CACF96FE-BEFF-44E6-394B-56EB697A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3" name="Picture 646">
          <a:extLst>
            <a:ext uri="{FF2B5EF4-FFF2-40B4-BE49-F238E27FC236}">
              <a16:creationId xmlns:a16="http://schemas.microsoft.com/office/drawing/2014/main" id="{D2C5EAE8-01B9-D9DC-2F38-B963AF4D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4" name="Picture 647">
          <a:extLst>
            <a:ext uri="{FF2B5EF4-FFF2-40B4-BE49-F238E27FC236}">
              <a16:creationId xmlns:a16="http://schemas.microsoft.com/office/drawing/2014/main" id="{1CC54B35-6800-98D4-D47F-088476B5E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5" name="Picture 648">
          <a:extLst>
            <a:ext uri="{FF2B5EF4-FFF2-40B4-BE49-F238E27FC236}">
              <a16:creationId xmlns:a16="http://schemas.microsoft.com/office/drawing/2014/main" id="{D53D210C-484E-C1F4-F752-5337C95E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6" name="Picture 649">
          <a:extLst>
            <a:ext uri="{FF2B5EF4-FFF2-40B4-BE49-F238E27FC236}">
              <a16:creationId xmlns:a16="http://schemas.microsoft.com/office/drawing/2014/main" id="{2F4B2099-59DA-EF34-8A67-94D8177D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7" name="Picture 650">
          <a:extLst>
            <a:ext uri="{FF2B5EF4-FFF2-40B4-BE49-F238E27FC236}">
              <a16:creationId xmlns:a16="http://schemas.microsoft.com/office/drawing/2014/main" id="{54345360-E7A1-4448-D457-73E309E6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8" name="Picture 651">
          <a:extLst>
            <a:ext uri="{FF2B5EF4-FFF2-40B4-BE49-F238E27FC236}">
              <a16:creationId xmlns:a16="http://schemas.microsoft.com/office/drawing/2014/main" id="{F5EF85A6-4279-080D-311B-292C4CE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9" name="Picture 652">
          <a:extLst>
            <a:ext uri="{FF2B5EF4-FFF2-40B4-BE49-F238E27FC236}">
              <a16:creationId xmlns:a16="http://schemas.microsoft.com/office/drawing/2014/main" id="{21C87A2C-65F0-9E47-BE59-D3EF6F52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0" name="Picture 653">
          <a:extLst>
            <a:ext uri="{FF2B5EF4-FFF2-40B4-BE49-F238E27FC236}">
              <a16:creationId xmlns:a16="http://schemas.microsoft.com/office/drawing/2014/main" id="{B7E56F52-FC3E-769E-E055-60027E02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1" name="Picture 654">
          <a:extLst>
            <a:ext uri="{FF2B5EF4-FFF2-40B4-BE49-F238E27FC236}">
              <a16:creationId xmlns:a16="http://schemas.microsoft.com/office/drawing/2014/main" id="{B65B136F-A6ED-9E86-6755-252A0101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2" name="Picture 655">
          <a:extLst>
            <a:ext uri="{FF2B5EF4-FFF2-40B4-BE49-F238E27FC236}">
              <a16:creationId xmlns:a16="http://schemas.microsoft.com/office/drawing/2014/main" id="{854E851E-8389-CCEA-DFB0-0CA91FE7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3" name="Picture 656">
          <a:extLst>
            <a:ext uri="{FF2B5EF4-FFF2-40B4-BE49-F238E27FC236}">
              <a16:creationId xmlns:a16="http://schemas.microsoft.com/office/drawing/2014/main" id="{A6CE0C06-1066-E7E2-AA69-F51EC0C4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4" name="Picture 657">
          <a:extLst>
            <a:ext uri="{FF2B5EF4-FFF2-40B4-BE49-F238E27FC236}">
              <a16:creationId xmlns:a16="http://schemas.microsoft.com/office/drawing/2014/main" id="{438AE5D8-EF01-9AE9-8710-A9FDD70E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5" name="Picture 658">
          <a:extLst>
            <a:ext uri="{FF2B5EF4-FFF2-40B4-BE49-F238E27FC236}">
              <a16:creationId xmlns:a16="http://schemas.microsoft.com/office/drawing/2014/main" id="{356ABA06-1B49-F6B0-B0A9-DE0F46AD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6" name="Picture 659">
          <a:extLst>
            <a:ext uri="{FF2B5EF4-FFF2-40B4-BE49-F238E27FC236}">
              <a16:creationId xmlns:a16="http://schemas.microsoft.com/office/drawing/2014/main" id="{C13EF13C-8C62-0830-3C50-FD6F5F0D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7" name="Picture 660">
          <a:extLst>
            <a:ext uri="{FF2B5EF4-FFF2-40B4-BE49-F238E27FC236}">
              <a16:creationId xmlns:a16="http://schemas.microsoft.com/office/drawing/2014/main" id="{305EF51B-D092-163A-3BB2-A723C191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8" name="Picture 661">
          <a:extLst>
            <a:ext uri="{FF2B5EF4-FFF2-40B4-BE49-F238E27FC236}">
              <a16:creationId xmlns:a16="http://schemas.microsoft.com/office/drawing/2014/main" id="{A9767ABE-327B-C892-8C5E-80BA0740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9" name="Picture 662">
          <a:extLst>
            <a:ext uri="{FF2B5EF4-FFF2-40B4-BE49-F238E27FC236}">
              <a16:creationId xmlns:a16="http://schemas.microsoft.com/office/drawing/2014/main" id="{CC411A16-FF05-6F6F-77FB-3AA00E2C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0" name="Picture 663">
          <a:extLst>
            <a:ext uri="{FF2B5EF4-FFF2-40B4-BE49-F238E27FC236}">
              <a16:creationId xmlns:a16="http://schemas.microsoft.com/office/drawing/2014/main" id="{B927C528-3ABA-D428-C81B-B75C81FD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1" name="Picture 664">
          <a:extLst>
            <a:ext uri="{FF2B5EF4-FFF2-40B4-BE49-F238E27FC236}">
              <a16:creationId xmlns:a16="http://schemas.microsoft.com/office/drawing/2014/main" id="{8BBAF775-D272-A325-B13C-DF08A48A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2" name="Picture 665">
          <a:extLst>
            <a:ext uri="{FF2B5EF4-FFF2-40B4-BE49-F238E27FC236}">
              <a16:creationId xmlns:a16="http://schemas.microsoft.com/office/drawing/2014/main" id="{EC00002A-FF7D-C0AB-F85C-B2625EF5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3" name="Picture 666">
          <a:extLst>
            <a:ext uri="{FF2B5EF4-FFF2-40B4-BE49-F238E27FC236}">
              <a16:creationId xmlns:a16="http://schemas.microsoft.com/office/drawing/2014/main" id="{E0CFAD2A-D4F1-D060-D552-3B50CBFB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4" name="Picture 667">
          <a:extLst>
            <a:ext uri="{FF2B5EF4-FFF2-40B4-BE49-F238E27FC236}">
              <a16:creationId xmlns:a16="http://schemas.microsoft.com/office/drawing/2014/main" id="{F107C94F-4DC1-4791-D881-B29D7164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5" name="Picture 668">
          <a:extLst>
            <a:ext uri="{FF2B5EF4-FFF2-40B4-BE49-F238E27FC236}">
              <a16:creationId xmlns:a16="http://schemas.microsoft.com/office/drawing/2014/main" id="{FC988BE0-85F9-3FCF-93CF-41DE5084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6" name="Picture 669">
          <a:extLst>
            <a:ext uri="{FF2B5EF4-FFF2-40B4-BE49-F238E27FC236}">
              <a16:creationId xmlns:a16="http://schemas.microsoft.com/office/drawing/2014/main" id="{DDB39126-A0A0-654E-C089-B5D44C38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7" name="Picture 670">
          <a:extLst>
            <a:ext uri="{FF2B5EF4-FFF2-40B4-BE49-F238E27FC236}">
              <a16:creationId xmlns:a16="http://schemas.microsoft.com/office/drawing/2014/main" id="{B4D02AE1-9218-1E84-5757-E17275B3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8" name="Picture 671">
          <a:extLst>
            <a:ext uri="{FF2B5EF4-FFF2-40B4-BE49-F238E27FC236}">
              <a16:creationId xmlns:a16="http://schemas.microsoft.com/office/drawing/2014/main" id="{788533EB-3166-A021-AB46-22FA54B6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9" name="Picture 672">
          <a:extLst>
            <a:ext uri="{FF2B5EF4-FFF2-40B4-BE49-F238E27FC236}">
              <a16:creationId xmlns:a16="http://schemas.microsoft.com/office/drawing/2014/main" id="{C8CFD567-69C9-9701-37B9-E63F087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0" name="Picture 673">
          <a:extLst>
            <a:ext uri="{FF2B5EF4-FFF2-40B4-BE49-F238E27FC236}">
              <a16:creationId xmlns:a16="http://schemas.microsoft.com/office/drawing/2014/main" id="{45E5A18F-4AF9-7B22-F18B-F68FB500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1" name="Picture 674">
          <a:extLst>
            <a:ext uri="{FF2B5EF4-FFF2-40B4-BE49-F238E27FC236}">
              <a16:creationId xmlns:a16="http://schemas.microsoft.com/office/drawing/2014/main" id="{E69859BA-1D24-04B6-DB57-E7CC817A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2" name="Picture 675">
          <a:extLst>
            <a:ext uri="{FF2B5EF4-FFF2-40B4-BE49-F238E27FC236}">
              <a16:creationId xmlns:a16="http://schemas.microsoft.com/office/drawing/2014/main" id="{33C0DBBB-AA5C-0514-13D9-582E1C55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3" name="Picture 676">
          <a:extLst>
            <a:ext uri="{FF2B5EF4-FFF2-40B4-BE49-F238E27FC236}">
              <a16:creationId xmlns:a16="http://schemas.microsoft.com/office/drawing/2014/main" id="{032878A5-1D1C-082C-92B3-8B8E4B4A6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4" name="Picture 677">
          <a:extLst>
            <a:ext uri="{FF2B5EF4-FFF2-40B4-BE49-F238E27FC236}">
              <a16:creationId xmlns:a16="http://schemas.microsoft.com/office/drawing/2014/main" id="{D156F9D5-0288-BF82-DA76-D07BB8D9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5" name="Picture 678">
          <a:extLst>
            <a:ext uri="{FF2B5EF4-FFF2-40B4-BE49-F238E27FC236}">
              <a16:creationId xmlns:a16="http://schemas.microsoft.com/office/drawing/2014/main" id="{2BE96C82-2036-5D5D-FFAB-8B6905FC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6" name="Picture 679">
          <a:extLst>
            <a:ext uri="{FF2B5EF4-FFF2-40B4-BE49-F238E27FC236}">
              <a16:creationId xmlns:a16="http://schemas.microsoft.com/office/drawing/2014/main" id="{72EEAB46-FFC3-7BB0-DF25-E471AAF9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7" name="Picture 680">
          <a:extLst>
            <a:ext uri="{FF2B5EF4-FFF2-40B4-BE49-F238E27FC236}">
              <a16:creationId xmlns:a16="http://schemas.microsoft.com/office/drawing/2014/main" id="{FBEBC6DF-E8AB-51AF-F569-6E4D3A74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8" name="Picture 681">
          <a:extLst>
            <a:ext uri="{FF2B5EF4-FFF2-40B4-BE49-F238E27FC236}">
              <a16:creationId xmlns:a16="http://schemas.microsoft.com/office/drawing/2014/main" id="{7830BF84-54E2-0FD7-DC04-BC29BC33F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9" name="Picture 682">
          <a:extLst>
            <a:ext uri="{FF2B5EF4-FFF2-40B4-BE49-F238E27FC236}">
              <a16:creationId xmlns:a16="http://schemas.microsoft.com/office/drawing/2014/main" id="{4D74696D-B86F-564B-2E06-11B68B48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0" name="Picture 683">
          <a:extLst>
            <a:ext uri="{FF2B5EF4-FFF2-40B4-BE49-F238E27FC236}">
              <a16:creationId xmlns:a16="http://schemas.microsoft.com/office/drawing/2014/main" id="{6B8D788C-D046-B7AD-ADCA-48B45ED6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1" name="Picture 684">
          <a:extLst>
            <a:ext uri="{FF2B5EF4-FFF2-40B4-BE49-F238E27FC236}">
              <a16:creationId xmlns:a16="http://schemas.microsoft.com/office/drawing/2014/main" id="{6E5F0CC5-AAE4-8661-8095-84083D7D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2" name="Picture 685">
          <a:extLst>
            <a:ext uri="{FF2B5EF4-FFF2-40B4-BE49-F238E27FC236}">
              <a16:creationId xmlns:a16="http://schemas.microsoft.com/office/drawing/2014/main" id="{E233F5E2-1E1B-6A5C-6242-382E10A4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3" name="Picture 686">
          <a:extLst>
            <a:ext uri="{FF2B5EF4-FFF2-40B4-BE49-F238E27FC236}">
              <a16:creationId xmlns:a16="http://schemas.microsoft.com/office/drawing/2014/main" id="{1F91F52C-0A80-7208-752F-74EE3903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4" name="Picture 687">
          <a:extLst>
            <a:ext uri="{FF2B5EF4-FFF2-40B4-BE49-F238E27FC236}">
              <a16:creationId xmlns:a16="http://schemas.microsoft.com/office/drawing/2014/main" id="{9E7D163F-9DBC-A351-2E90-56DC66CC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5" name="Picture 688">
          <a:extLst>
            <a:ext uri="{FF2B5EF4-FFF2-40B4-BE49-F238E27FC236}">
              <a16:creationId xmlns:a16="http://schemas.microsoft.com/office/drawing/2014/main" id="{A6A94641-8C8B-BDC8-0429-045D4978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6" name="Picture 689">
          <a:extLst>
            <a:ext uri="{FF2B5EF4-FFF2-40B4-BE49-F238E27FC236}">
              <a16:creationId xmlns:a16="http://schemas.microsoft.com/office/drawing/2014/main" id="{F8CFA0EF-A7EA-E7A4-3729-1CAFBD03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7" name="Picture 690">
          <a:extLst>
            <a:ext uri="{FF2B5EF4-FFF2-40B4-BE49-F238E27FC236}">
              <a16:creationId xmlns:a16="http://schemas.microsoft.com/office/drawing/2014/main" id="{8ECF5E26-0561-4B39-FBA7-17B97C63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8" name="Picture 691">
          <a:extLst>
            <a:ext uri="{FF2B5EF4-FFF2-40B4-BE49-F238E27FC236}">
              <a16:creationId xmlns:a16="http://schemas.microsoft.com/office/drawing/2014/main" id="{8F3B3F5B-6E89-7596-41E0-BFA1B23B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9" name="Picture 692">
          <a:extLst>
            <a:ext uri="{FF2B5EF4-FFF2-40B4-BE49-F238E27FC236}">
              <a16:creationId xmlns:a16="http://schemas.microsoft.com/office/drawing/2014/main" id="{71F94C44-AFDC-DB06-A65C-C6CC60D4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0" name="Picture 693">
          <a:extLst>
            <a:ext uri="{FF2B5EF4-FFF2-40B4-BE49-F238E27FC236}">
              <a16:creationId xmlns:a16="http://schemas.microsoft.com/office/drawing/2014/main" id="{BA3AE17B-10FF-BED4-FFAC-BB664DC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1" name="Picture 694">
          <a:extLst>
            <a:ext uri="{FF2B5EF4-FFF2-40B4-BE49-F238E27FC236}">
              <a16:creationId xmlns:a16="http://schemas.microsoft.com/office/drawing/2014/main" id="{715DF8FC-719C-E8A7-F5B0-653AA3CC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2" name="Picture 695">
          <a:extLst>
            <a:ext uri="{FF2B5EF4-FFF2-40B4-BE49-F238E27FC236}">
              <a16:creationId xmlns:a16="http://schemas.microsoft.com/office/drawing/2014/main" id="{48D69888-07B5-F7E7-7076-BB0B14FC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3" name="Picture 696">
          <a:extLst>
            <a:ext uri="{FF2B5EF4-FFF2-40B4-BE49-F238E27FC236}">
              <a16:creationId xmlns:a16="http://schemas.microsoft.com/office/drawing/2014/main" id="{1EFDD557-A1A7-64AC-761F-00103B8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4" name="Picture 697">
          <a:extLst>
            <a:ext uri="{FF2B5EF4-FFF2-40B4-BE49-F238E27FC236}">
              <a16:creationId xmlns:a16="http://schemas.microsoft.com/office/drawing/2014/main" id="{39AFCE24-D694-3DE2-D57B-E7B67E65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5" name="Picture 698">
          <a:extLst>
            <a:ext uri="{FF2B5EF4-FFF2-40B4-BE49-F238E27FC236}">
              <a16:creationId xmlns:a16="http://schemas.microsoft.com/office/drawing/2014/main" id="{67A24437-BAA0-65EC-ABF8-6DDE8CEC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6" name="Picture 699">
          <a:extLst>
            <a:ext uri="{FF2B5EF4-FFF2-40B4-BE49-F238E27FC236}">
              <a16:creationId xmlns:a16="http://schemas.microsoft.com/office/drawing/2014/main" id="{AA39F865-E657-921A-6BDD-F4306466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7" name="Picture 700">
          <a:extLst>
            <a:ext uri="{FF2B5EF4-FFF2-40B4-BE49-F238E27FC236}">
              <a16:creationId xmlns:a16="http://schemas.microsoft.com/office/drawing/2014/main" id="{6642DE7B-2D61-96B4-3CDF-75B7E133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8" name="Picture 701">
          <a:extLst>
            <a:ext uri="{FF2B5EF4-FFF2-40B4-BE49-F238E27FC236}">
              <a16:creationId xmlns:a16="http://schemas.microsoft.com/office/drawing/2014/main" id="{11819C48-9F6B-4964-04D4-88F39A73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9" name="Picture 702">
          <a:extLst>
            <a:ext uri="{FF2B5EF4-FFF2-40B4-BE49-F238E27FC236}">
              <a16:creationId xmlns:a16="http://schemas.microsoft.com/office/drawing/2014/main" id="{087F3A6D-2EDB-A5AD-2B87-439970D7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0" name="Picture 703">
          <a:extLst>
            <a:ext uri="{FF2B5EF4-FFF2-40B4-BE49-F238E27FC236}">
              <a16:creationId xmlns:a16="http://schemas.microsoft.com/office/drawing/2014/main" id="{A5B9427B-BA6F-6DB8-9A4D-2B2A50EB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1" name="Picture 704">
          <a:extLst>
            <a:ext uri="{FF2B5EF4-FFF2-40B4-BE49-F238E27FC236}">
              <a16:creationId xmlns:a16="http://schemas.microsoft.com/office/drawing/2014/main" id="{85F3F8B9-9EC9-57AE-D863-AC9DB6A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2" name="Picture 705">
          <a:extLst>
            <a:ext uri="{FF2B5EF4-FFF2-40B4-BE49-F238E27FC236}">
              <a16:creationId xmlns:a16="http://schemas.microsoft.com/office/drawing/2014/main" id="{130AD774-BA02-EE8D-96E3-863E8A2A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3" name="Picture 706">
          <a:extLst>
            <a:ext uri="{FF2B5EF4-FFF2-40B4-BE49-F238E27FC236}">
              <a16:creationId xmlns:a16="http://schemas.microsoft.com/office/drawing/2014/main" id="{6A992866-AC58-782B-8504-10403D04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4" name="Picture 707">
          <a:extLst>
            <a:ext uri="{FF2B5EF4-FFF2-40B4-BE49-F238E27FC236}">
              <a16:creationId xmlns:a16="http://schemas.microsoft.com/office/drawing/2014/main" id="{A3EDBA84-D032-50A8-C079-1F6FC683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5" name="Picture 708">
          <a:extLst>
            <a:ext uri="{FF2B5EF4-FFF2-40B4-BE49-F238E27FC236}">
              <a16:creationId xmlns:a16="http://schemas.microsoft.com/office/drawing/2014/main" id="{50647C63-FD1D-B050-99CD-2B798735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6" name="Picture 709">
          <a:extLst>
            <a:ext uri="{FF2B5EF4-FFF2-40B4-BE49-F238E27FC236}">
              <a16:creationId xmlns:a16="http://schemas.microsoft.com/office/drawing/2014/main" id="{65C62670-55C1-D0FA-695A-13C6859A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7" name="Picture 710">
          <a:extLst>
            <a:ext uri="{FF2B5EF4-FFF2-40B4-BE49-F238E27FC236}">
              <a16:creationId xmlns:a16="http://schemas.microsoft.com/office/drawing/2014/main" id="{08EF9671-79F2-597C-AF51-CABFBBFA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8" name="Picture 711">
          <a:extLst>
            <a:ext uri="{FF2B5EF4-FFF2-40B4-BE49-F238E27FC236}">
              <a16:creationId xmlns:a16="http://schemas.microsoft.com/office/drawing/2014/main" id="{14B7EB8B-9AD9-E74C-6271-613C59BB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9" name="Picture 712">
          <a:extLst>
            <a:ext uri="{FF2B5EF4-FFF2-40B4-BE49-F238E27FC236}">
              <a16:creationId xmlns:a16="http://schemas.microsoft.com/office/drawing/2014/main" id="{3C9AEB0A-EDC1-B3F9-6B3D-B0E2E1E4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0" name="Picture 713">
          <a:extLst>
            <a:ext uri="{FF2B5EF4-FFF2-40B4-BE49-F238E27FC236}">
              <a16:creationId xmlns:a16="http://schemas.microsoft.com/office/drawing/2014/main" id="{BBBCBE95-4527-1A77-4209-3979746D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1" name="Picture 714">
          <a:extLst>
            <a:ext uri="{FF2B5EF4-FFF2-40B4-BE49-F238E27FC236}">
              <a16:creationId xmlns:a16="http://schemas.microsoft.com/office/drawing/2014/main" id="{A57D6A9E-C116-D29A-1D89-E2F1F293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2" name="Picture 715">
          <a:extLst>
            <a:ext uri="{FF2B5EF4-FFF2-40B4-BE49-F238E27FC236}">
              <a16:creationId xmlns:a16="http://schemas.microsoft.com/office/drawing/2014/main" id="{5090F33E-8CD7-E47A-B4FB-D1819014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3" name="Picture 716">
          <a:extLst>
            <a:ext uri="{FF2B5EF4-FFF2-40B4-BE49-F238E27FC236}">
              <a16:creationId xmlns:a16="http://schemas.microsoft.com/office/drawing/2014/main" id="{2B91537E-3C47-E4D7-CB95-02A3C76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4" name="Picture 717">
          <a:extLst>
            <a:ext uri="{FF2B5EF4-FFF2-40B4-BE49-F238E27FC236}">
              <a16:creationId xmlns:a16="http://schemas.microsoft.com/office/drawing/2014/main" id="{08312BD5-732A-F361-8C3E-463AA523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5" name="Picture 718">
          <a:extLst>
            <a:ext uri="{FF2B5EF4-FFF2-40B4-BE49-F238E27FC236}">
              <a16:creationId xmlns:a16="http://schemas.microsoft.com/office/drawing/2014/main" id="{532FA1B0-AC2B-CF75-7C69-BD11A969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6" name="Picture 719">
          <a:extLst>
            <a:ext uri="{FF2B5EF4-FFF2-40B4-BE49-F238E27FC236}">
              <a16:creationId xmlns:a16="http://schemas.microsoft.com/office/drawing/2014/main" id="{B22235C1-41BB-ECE0-E2A3-F8557A2A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7" name="Picture 720">
          <a:extLst>
            <a:ext uri="{FF2B5EF4-FFF2-40B4-BE49-F238E27FC236}">
              <a16:creationId xmlns:a16="http://schemas.microsoft.com/office/drawing/2014/main" id="{95081307-68A4-F403-592F-DAAB62FB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8" name="Picture 721">
          <a:extLst>
            <a:ext uri="{FF2B5EF4-FFF2-40B4-BE49-F238E27FC236}">
              <a16:creationId xmlns:a16="http://schemas.microsoft.com/office/drawing/2014/main" id="{19DB87EB-2BF2-153E-7A57-A01C4784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9" name="Picture 722">
          <a:extLst>
            <a:ext uri="{FF2B5EF4-FFF2-40B4-BE49-F238E27FC236}">
              <a16:creationId xmlns:a16="http://schemas.microsoft.com/office/drawing/2014/main" id="{7416F8A8-948D-7183-5FD5-FE5155DF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0" name="Picture 723">
          <a:extLst>
            <a:ext uri="{FF2B5EF4-FFF2-40B4-BE49-F238E27FC236}">
              <a16:creationId xmlns:a16="http://schemas.microsoft.com/office/drawing/2014/main" id="{3673D589-ABB4-E37B-EAA7-C3E32639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1" name="Picture 724">
          <a:extLst>
            <a:ext uri="{FF2B5EF4-FFF2-40B4-BE49-F238E27FC236}">
              <a16:creationId xmlns:a16="http://schemas.microsoft.com/office/drawing/2014/main" id="{E7143551-CA73-F6B6-B94C-F30696C17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2" name="Picture 725">
          <a:extLst>
            <a:ext uri="{FF2B5EF4-FFF2-40B4-BE49-F238E27FC236}">
              <a16:creationId xmlns:a16="http://schemas.microsoft.com/office/drawing/2014/main" id="{DDE1AFF8-A406-54E3-9532-7FEE268F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3" name="Picture 726">
          <a:extLst>
            <a:ext uri="{FF2B5EF4-FFF2-40B4-BE49-F238E27FC236}">
              <a16:creationId xmlns:a16="http://schemas.microsoft.com/office/drawing/2014/main" id="{081713A3-B3CA-E220-8061-475FCE17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4" name="Picture 727">
          <a:extLst>
            <a:ext uri="{FF2B5EF4-FFF2-40B4-BE49-F238E27FC236}">
              <a16:creationId xmlns:a16="http://schemas.microsoft.com/office/drawing/2014/main" id="{6300E477-4BEF-98F5-F0DB-2D4F00A7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5" name="Picture 728">
          <a:extLst>
            <a:ext uri="{FF2B5EF4-FFF2-40B4-BE49-F238E27FC236}">
              <a16:creationId xmlns:a16="http://schemas.microsoft.com/office/drawing/2014/main" id="{E9BC9569-DF5E-CDF4-793D-F3D9A08E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6" name="Picture 729">
          <a:extLst>
            <a:ext uri="{FF2B5EF4-FFF2-40B4-BE49-F238E27FC236}">
              <a16:creationId xmlns:a16="http://schemas.microsoft.com/office/drawing/2014/main" id="{F4479CF9-E535-8ABF-D91C-969F9DBA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7" name="Picture 730">
          <a:extLst>
            <a:ext uri="{FF2B5EF4-FFF2-40B4-BE49-F238E27FC236}">
              <a16:creationId xmlns:a16="http://schemas.microsoft.com/office/drawing/2014/main" id="{20967BE3-3EBF-904C-1945-EA19B6EA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8" name="Picture 731">
          <a:extLst>
            <a:ext uri="{FF2B5EF4-FFF2-40B4-BE49-F238E27FC236}">
              <a16:creationId xmlns:a16="http://schemas.microsoft.com/office/drawing/2014/main" id="{B551E8F2-D7E6-0042-1C07-DF595DCC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9" name="Picture 732">
          <a:extLst>
            <a:ext uri="{FF2B5EF4-FFF2-40B4-BE49-F238E27FC236}">
              <a16:creationId xmlns:a16="http://schemas.microsoft.com/office/drawing/2014/main" id="{BECD4E19-6BA7-847F-4440-1D35D77E1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0" name="Picture 733">
          <a:extLst>
            <a:ext uri="{FF2B5EF4-FFF2-40B4-BE49-F238E27FC236}">
              <a16:creationId xmlns:a16="http://schemas.microsoft.com/office/drawing/2014/main" id="{66FC79E6-5A90-C4F4-9C08-9060715D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1" name="Picture 734">
          <a:extLst>
            <a:ext uri="{FF2B5EF4-FFF2-40B4-BE49-F238E27FC236}">
              <a16:creationId xmlns:a16="http://schemas.microsoft.com/office/drawing/2014/main" id="{CB7BF3D4-E894-3B44-3E28-AC2F7726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2" name="Picture 735">
          <a:extLst>
            <a:ext uri="{FF2B5EF4-FFF2-40B4-BE49-F238E27FC236}">
              <a16:creationId xmlns:a16="http://schemas.microsoft.com/office/drawing/2014/main" id="{6525213A-9DC1-56ED-69A3-0B8AFD84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3" name="Picture 736">
          <a:extLst>
            <a:ext uri="{FF2B5EF4-FFF2-40B4-BE49-F238E27FC236}">
              <a16:creationId xmlns:a16="http://schemas.microsoft.com/office/drawing/2014/main" id="{E6739FB5-5383-2BCE-8CE7-DDD09811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4" name="Picture 737">
          <a:extLst>
            <a:ext uri="{FF2B5EF4-FFF2-40B4-BE49-F238E27FC236}">
              <a16:creationId xmlns:a16="http://schemas.microsoft.com/office/drawing/2014/main" id="{A5BF7750-E1A3-5550-1430-40E55BA9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5" name="Picture 738">
          <a:extLst>
            <a:ext uri="{FF2B5EF4-FFF2-40B4-BE49-F238E27FC236}">
              <a16:creationId xmlns:a16="http://schemas.microsoft.com/office/drawing/2014/main" id="{D7CE27E7-82F0-9839-E455-D88E5FA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6" name="Picture 739">
          <a:extLst>
            <a:ext uri="{FF2B5EF4-FFF2-40B4-BE49-F238E27FC236}">
              <a16:creationId xmlns:a16="http://schemas.microsoft.com/office/drawing/2014/main" id="{3F2AF9B6-74C4-987C-5A77-DD929014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7" name="Picture 740">
          <a:extLst>
            <a:ext uri="{FF2B5EF4-FFF2-40B4-BE49-F238E27FC236}">
              <a16:creationId xmlns:a16="http://schemas.microsoft.com/office/drawing/2014/main" id="{5ACF5451-B80B-52B0-329E-5D8998E9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8" name="Picture 741">
          <a:extLst>
            <a:ext uri="{FF2B5EF4-FFF2-40B4-BE49-F238E27FC236}">
              <a16:creationId xmlns:a16="http://schemas.microsoft.com/office/drawing/2014/main" id="{171599FF-AFF7-3BA3-6B5F-FB0FDEF4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9" name="Picture 742">
          <a:extLst>
            <a:ext uri="{FF2B5EF4-FFF2-40B4-BE49-F238E27FC236}">
              <a16:creationId xmlns:a16="http://schemas.microsoft.com/office/drawing/2014/main" id="{A3B50A8D-B817-91EC-DB6E-5B8ECF32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0" name="Picture 743">
          <a:extLst>
            <a:ext uri="{FF2B5EF4-FFF2-40B4-BE49-F238E27FC236}">
              <a16:creationId xmlns:a16="http://schemas.microsoft.com/office/drawing/2014/main" id="{14E93991-EAB8-0DA7-08B4-F088564E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1" name="Picture 744">
          <a:extLst>
            <a:ext uri="{FF2B5EF4-FFF2-40B4-BE49-F238E27FC236}">
              <a16:creationId xmlns:a16="http://schemas.microsoft.com/office/drawing/2014/main" id="{970383D8-42FA-E409-2C8F-1C1DB0FB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2" name="Picture 745">
          <a:extLst>
            <a:ext uri="{FF2B5EF4-FFF2-40B4-BE49-F238E27FC236}">
              <a16:creationId xmlns:a16="http://schemas.microsoft.com/office/drawing/2014/main" id="{EC49747D-4EB8-9AA5-D99D-90CE6F3B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3" name="Picture 746">
          <a:extLst>
            <a:ext uri="{FF2B5EF4-FFF2-40B4-BE49-F238E27FC236}">
              <a16:creationId xmlns:a16="http://schemas.microsoft.com/office/drawing/2014/main" id="{98C33A6E-E3B6-3780-5622-051B807A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4" name="Picture 747">
          <a:extLst>
            <a:ext uri="{FF2B5EF4-FFF2-40B4-BE49-F238E27FC236}">
              <a16:creationId xmlns:a16="http://schemas.microsoft.com/office/drawing/2014/main" id="{36208E66-196A-E074-1E4C-4EE7FF17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5" name="Picture 748">
          <a:extLst>
            <a:ext uri="{FF2B5EF4-FFF2-40B4-BE49-F238E27FC236}">
              <a16:creationId xmlns:a16="http://schemas.microsoft.com/office/drawing/2014/main" id="{A0B5D7AE-932D-7F08-2BFB-214CB304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6" name="Picture 749">
          <a:extLst>
            <a:ext uri="{FF2B5EF4-FFF2-40B4-BE49-F238E27FC236}">
              <a16:creationId xmlns:a16="http://schemas.microsoft.com/office/drawing/2014/main" id="{97E4610A-B424-C360-647A-E484C596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7" name="Picture 750">
          <a:extLst>
            <a:ext uri="{FF2B5EF4-FFF2-40B4-BE49-F238E27FC236}">
              <a16:creationId xmlns:a16="http://schemas.microsoft.com/office/drawing/2014/main" id="{19406C8B-4832-B757-6B06-C7E0F2DE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8" name="Picture 751">
          <a:extLst>
            <a:ext uri="{FF2B5EF4-FFF2-40B4-BE49-F238E27FC236}">
              <a16:creationId xmlns:a16="http://schemas.microsoft.com/office/drawing/2014/main" id="{85525F7E-0187-249E-2EDC-ADDAF4FC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9" name="Picture 752">
          <a:extLst>
            <a:ext uri="{FF2B5EF4-FFF2-40B4-BE49-F238E27FC236}">
              <a16:creationId xmlns:a16="http://schemas.microsoft.com/office/drawing/2014/main" id="{9B71E25C-D854-B1F3-E68F-B57FBAA2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0" name="Picture 753">
          <a:extLst>
            <a:ext uri="{FF2B5EF4-FFF2-40B4-BE49-F238E27FC236}">
              <a16:creationId xmlns:a16="http://schemas.microsoft.com/office/drawing/2014/main" id="{450A6618-DB03-6CD4-01CF-640C6DB8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1" name="Picture 754">
          <a:extLst>
            <a:ext uri="{FF2B5EF4-FFF2-40B4-BE49-F238E27FC236}">
              <a16:creationId xmlns:a16="http://schemas.microsoft.com/office/drawing/2014/main" id="{05F690BF-5BDD-55C5-1585-75A9554E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2" name="Picture 755">
          <a:extLst>
            <a:ext uri="{FF2B5EF4-FFF2-40B4-BE49-F238E27FC236}">
              <a16:creationId xmlns:a16="http://schemas.microsoft.com/office/drawing/2014/main" id="{DA9EFE06-2021-2826-5159-EE700F02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3" name="Picture 756">
          <a:extLst>
            <a:ext uri="{FF2B5EF4-FFF2-40B4-BE49-F238E27FC236}">
              <a16:creationId xmlns:a16="http://schemas.microsoft.com/office/drawing/2014/main" id="{69F74FE7-FB99-6D67-A8AB-CA7A85E5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4" name="Picture 757">
          <a:extLst>
            <a:ext uri="{FF2B5EF4-FFF2-40B4-BE49-F238E27FC236}">
              <a16:creationId xmlns:a16="http://schemas.microsoft.com/office/drawing/2014/main" id="{4584C8F3-90A5-5B2A-C663-BF83F8DAD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5" name="Picture 758">
          <a:extLst>
            <a:ext uri="{FF2B5EF4-FFF2-40B4-BE49-F238E27FC236}">
              <a16:creationId xmlns:a16="http://schemas.microsoft.com/office/drawing/2014/main" id="{440C18D3-DC34-DD0F-C91F-92610D23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6" name="Picture 759">
          <a:extLst>
            <a:ext uri="{FF2B5EF4-FFF2-40B4-BE49-F238E27FC236}">
              <a16:creationId xmlns:a16="http://schemas.microsoft.com/office/drawing/2014/main" id="{00BB28BA-3B9F-EB43-461F-26C71259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7" name="Picture 760">
          <a:extLst>
            <a:ext uri="{FF2B5EF4-FFF2-40B4-BE49-F238E27FC236}">
              <a16:creationId xmlns:a16="http://schemas.microsoft.com/office/drawing/2014/main" id="{8ACE339F-C145-AEED-0A11-5F89BF16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8" name="Picture 761">
          <a:extLst>
            <a:ext uri="{FF2B5EF4-FFF2-40B4-BE49-F238E27FC236}">
              <a16:creationId xmlns:a16="http://schemas.microsoft.com/office/drawing/2014/main" id="{EF3A3B77-166C-EBA7-12AC-8123F4CD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9" name="Picture 762">
          <a:extLst>
            <a:ext uri="{FF2B5EF4-FFF2-40B4-BE49-F238E27FC236}">
              <a16:creationId xmlns:a16="http://schemas.microsoft.com/office/drawing/2014/main" id="{9451D222-7D7F-DC27-A695-65C9E25E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0" name="Picture 763">
          <a:extLst>
            <a:ext uri="{FF2B5EF4-FFF2-40B4-BE49-F238E27FC236}">
              <a16:creationId xmlns:a16="http://schemas.microsoft.com/office/drawing/2014/main" id="{894A6937-56EE-1DDA-8CE9-F8F81E9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1" name="Picture 764">
          <a:extLst>
            <a:ext uri="{FF2B5EF4-FFF2-40B4-BE49-F238E27FC236}">
              <a16:creationId xmlns:a16="http://schemas.microsoft.com/office/drawing/2014/main" id="{8B42A11A-C3B3-5F06-35D9-FCF74FFD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2" name="Picture 765">
          <a:extLst>
            <a:ext uri="{FF2B5EF4-FFF2-40B4-BE49-F238E27FC236}">
              <a16:creationId xmlns:a16="http://schemas.microsoft.com/office/drawing/2014/main" id="{C0ECC208-07EB-7C88-9EA3-4A44B239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3" name="Picture 766">
          <a:extLst>
            <a:ext uri="{FF2B5EF4-FFF2-40B4-BE49-F238E27FC236}">
              <a16:creationId xmlns:a16="http://schemas.microsoft.com/office/drawing/2014/main" id="{8F409B7A-0ABD-F189-3361-2E5B418D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4" name="Picture 767">
          <a:extLst>
            <a:ext uri="{FF2B5EF4-FFF2-40B4-BE49-F238E27FC236}">
              <a16:creationId xmlns:a16="http://schemas.microsoft.com/office/drawing/2014/main" id="{8C30D303-802D-EF25-8006-3E14FA4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5" name="Picture 768">
          <a:extLst>
            <a:ext uri="{FF2B5EF4-FFF2-40B4-BE49-F238E27FC236}">
              <a16:creationId xmlns:a16="http://schemas.microsoft.com/office/drawing/2014/main" id="{42007132-DFE1-62D3-26BB-8A5E8192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6" name="Picture 769">
          <a:extLst>
            <a:ext uri="{FF2B5EF4-FFF2-40B4-BE49-F238E27FC236}">
              <a16:creationId xmlns:a16="http://schemas.microsoft.com/office/drawing/2014/main" id="{3BB697E7-42E0-BD05-5251-074B76F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7" name="Picture 770">
          <a:extLst>
            <a:ext uri="{FF2B5EF4-FFF2-40B4-BE49-F238E27FC236}">
              <a16:creationId xmlns:a16="http://schemas.microsoft.com/office/drawing/2014/main" id="{E471E18C-4F9B-B8B2-EAED-178F236A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8" name="Picture 771">
          <a:extLst>
            <a:ext uri="{FF2B5EF4-FFF2-40B4-BE49-F238E27FC236}">
              <a16:creationId xmlns:a16="http://schemas.microsoft.com/office/drawing/2014/main" id="{CD525F9D-6E32-632F-9F24-16D1046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9" name="Picture 772">
          <a:extLst>
            <a:ext uri="{FF2B5EF4-FFF2-40B4-BE49-F238E27FC236}">
              <a16:creationId xmlns:a16="http://schemas.microsoft.com/office/drawing/2014/main" id="{8E001A54-CDED-610F-44A0-9B9D0ACA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0" name="Picture 773">
          <a:extLst>
            <a:ext uri="{FF2B5EF4-FFF2-40B4-BE49-F238E27FC236}">
              <a16:creationId xmlns:a16="http://schemas.microsoft.com/office/drawing/2014/main" id="{062641B7-8035-103E-39BD-AE0E30087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1" name="Picture 774">
          <a:extLst>
            <a:ext uri="{FF2B5EF4-FFF2-40B4-BE49-F238E27FC236}">
              <a16:creationId xmlns:a16="http://schemas.microsoft.com/office/drawing/2014/main" id="{6D2F8F35-6151-465B-FE56-C405EAB1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2" name="Picture 775">
          <a:extLst>
            <a:ext uri="{FF2B5EF4-FFF2-40B4-BE49-F238E27FC236}">
              <a16:creationId xmlns:a16="http://schemas.microsoft.com/office/drawing/2014/main" id="{3A1BF522-6F8E-B17E-8DFA-B64B1852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3" name="Picture 776">
          <a:extLst>
            <a:ext uri="{FF2B5EF4-FFF2-40B4-BE49-F238E27FC236}">
              <a16:creationId xmlns:a16="http://schemas.microsoft.com/office/drawing/2014/main" id="{399EED5D-5E4A-7C45-B2DC-31AE6A12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4" name="Picture 777">
          <a:extLst>
            <a:ext uri="{FF2B5EF4-FFF2-40B4-BE49-F238E27FC236}">
              <a16:creationId xmlns:a16="http://schemas.microsoft.com/office/drawing/2014/main" id="{29B3336E-205A-A037-8EC1-26B11E1F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5" name="Picture 778">
          <a:extLst>
            <a:ext uri="{FF2B5EF4-FFF2-40B4-BE49-F238E27FC236}">
              <a16:creationId xmlns:a16="http://schemas.microsoft.com/office/drawing/2014/main" id="{00AA7D1C-8570-C416-F3C1-BC878754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6" name="Picture 779">
          <a:extLst>
            <a:ext uri="{FF2B5EF4-FFF2-40B4-BE49-F238E27FC236}">
              <a16:creationId xmlns:a16="http://schemas.microsoft.com/office/drawing/2014/main" id="{F1A5D156-AD33-5D63-AFD4-0E7F1477C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7" name="Picture 780">
          <a:extLst>
            <a:ext uri="{FF2B5EF4-FFF2-40B4-BE49-F238E27FC236}">
              <a16:creationId xmlns:a16="http://schemas.microsoft.com/office/drawing/2014/main" id="{1E975D87-2563-61B8-667B-1B96CE32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8" name="Picture 781">
          <a:extLst>
            <a:ext uri="{FF2B5EF4-FFF2-40B4-BE49-F238E27FC236}">
              <a16:creationId xmlns:a16="http://schemas.microsoft.com/office/drawing/2014/main" id="{3ECD9B5F-C7CE-FCA0-331E-6591FD2F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9" name="Picture 782">
          <a:extLst>
            <a:ext uri="{FF2B5EF4-FFF2-40B4-BE49-F238E27FC236}">
              <a16:creationId xmlns:a16="http://schemas.microsoft.com/office/drawing/2014/main" id="{E1BB9C7A-8886-BCAB-BFA1-1CEE4F6D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0" name="Picture 783">
          <a:extLst>
            <a:ext uri="{FF2B5EF4-FFF2-40B4-BE49-F238E27FC236}">
              <a16:creationId xmlns:a16="http://schemas.microsoft.com/office/drawing/2014/main" id="{DA3496D2-159D-52EE-F182-A6096A2DC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1" name="Picture 784">
          <a:extLst>
            <a:ext uri="{FF2B5EF4-FFF2-40B4-BE49-F238E27FC236}">
              <a16:creationId xmlns:a16="http://schemas.microsoft.com/office/drawing/2014/main" id="{FDA0F4F5-3500-8687-8444-2E0292CC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2" name="Picture 785">
          <a:extLst>
            <a:ext uri="{FF2B5EF4-FFF2-40B4-BE49-F238E27FC236}">
              <a16:creationId xmlns:a16="http://schemas.microsoft.com/office/drawing/2014/main" id="{AA03F01D-9172-FF06-8C1B-F5FC85B04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3" name="Picture 786">
          <a:extLst>
            <a:ext uri="{FF2B5EF4-FFF2-40B4-BE49-F238E27FC236}">
              <a16:creationId xmlns:a16="http://schemas.microsoft.com/office/drawing/2014/main" id="{5F5B04A1-86BC-F897-6445-6EF74592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4" name="Picture 787">
          <a:extLst>
            <a:ext uri="{FF2B5EF4-FFF2-40B4-BE49-F238E27FC236}">
              <a16:creationId xmlns:a16="http://schemas.microsoft.com/office/drawing/2014/main" id="{BEDF4188-442B-43BA-CA9D-B42D9166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5" name="Picture 788">
          <a:extLst>
            <a:ext uri="{FF2B5EF4-FFF2-40B4-BE49-F238E27FC236}">
              <a16:creationId xmlns:a16="http://schemas.microsoft.com/office/drawing/2014/main" id="{4DA73FA7-22FC-111F-D952-5C9369E2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6" name="Picture 789">
          <a:extLst>
            <a:ext uri="{FF2B5EF4-FFF2-40B4-BE49-F238E27FC236}">
              <a16:creationId xmlns:a16="http://schemas.microsoft.com/office/drawing/2014/main" id="{0B109151-FA20-1D21-9232-5E3CF0B9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7" name="Picture 790">
          <a:extLst>
            <a:ext uri="{FF2B5EF4-FFF2-40B4-BE49-F238E27FC236}">
              <a16:creationId xmlns:a16="http://schemas.microsoft.com/office/drawing/2014/main" id="{C4C57A45-751D-6FF8-17CB-52C1E83A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8" name="Picture 791">
          <a:extLst>
            <a:ext uri="{FF2B5EF4-FFF2-40B4-BE49-F238E27FC236}">
              <a16:creationId xmlns:a16="http://schemas.microsoft.com/office/drawing/2014/main" id="{5E45E967-7250-5F24-03E6-2911E83C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9" name="Picture 792">
          <a:extLst>
            <a:ext uri="{FF2B5EF4-FFF2-40B4-BE49-F238E27FC236}">
              <a16:creationId xmlns:a16="http://schemas.microsoft.com/office/drawing/2014/main" id="{3320F920-FB96-18CA-7662-6D744928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0" name="Picture 793">
          <a:extLst>
            <a:ext uri="{FF2B5EF4-FFF2-40B4-BE49-F238E27FC236}">
              <a16:creationId xmlns:a16="http://schemas.microsoft.com/office/drawing/2014/main" id="{B22BEC45-82BC-7943-4DEE-874437D6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1" name="Picture 794">
          <a:extLst>
            <a:ext uri="{FF2B5EF4-FFF2-40B4-BE49-F238E27FC236}">
              <a16:creationId xmlns:a16="http://schemas.microsoft.com/office/drawing/2014/main" id="{4BB2DFAB-24C8-70DB-A486-45CA5146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2" name="Picture 795">
          <a:extLst>
            <a:ext uri="{FF2B5EF4-FFF2-40B4-BE49-F238E27FC236}">
              <a16:creationId xmlns:a16="http://schemas.microsoft.com/office/drawing/2014/main" id="{2D0889E2-DAC4-F67E-BAEE-977F1B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3" name="Picture 796">
          <a:extLst>
            <a:ext uri="{FF2B5EF4-FFF2-40B4-BE49-F238E27FC236}">
              <a16:creationId xmlns:a16="http://schemas.microsoft.com/office/drawing/2014/main" id="{38491D93-1E32-75E2-DB13-F857169C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4" name="Picture 797">
          <a:extLst>
            <a:ext uri="{FF2B5EF4-FFF2-40B4-BE49-F238E27FC236}">
              <a16:creationId xmlns:a16="http://schemas.microsoft.com/office/drawing/2014/main" id="{3AE4D863-7268-1478-531E-89F99C7C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5" name="Picture 798">
          <a:extLst>
            <a:ext uri="{FF2B5EF4-FFF2-40B4-BE49-F238E27FC236}">
              <a16:creationId xmlns:a16="http://schemas.microsoft.com/office/drawing/2014/main" id="{2D3CED77-DFF1-E3D2-E2A3-6F8FA8F7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6" name="Picture 799">
          <a:extLst>
            <a:ext uri="{FF2B5EF4-FFF2-40B4-BE49-F238E27FC236}">
              <a16:creationId xmlns:a16="http://schemas.microsoft.com/office/drawing/2014/main" id="{0D6B3F71-E0F1-D6A3-B6D9-09887FB7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7" name="Picture 800">
          <a:extLst>
            <a:ext uri="{FF2B5EF4-FFF2-40B4-BE49-F238E27FC236}">
              <a16:creationId xmlns:a16="http://schemas.microsoft.com/office/drawing/2014/main" id="{AD341468-D82E-49BA-6D96-B3682826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8" name="Picture 801">
          <a:extLst>
            <a:ext uri="{FF2B5EF4-FFF2-40B4-BE49-F238E27FC236}">
              <a16:creationId xmlns:a16="http://schemas.microsoft.com/office/drawing/2014/main" id="{30CDCC8C-6ACC-66E6-748C-CF64112AD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9" name="Picture 802">
          <a:extLst>
            <a:ext uri="{FF2B5EF4-FFF2-40B4-BE49-F238E27FC236}">
              <a16:creationId xmlns:a16="http://schemas.microsoft.com/office/drawing/2014/main" id="{B70BE1EF-DE51-6EBE-E924-E887F15A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0" name="Picture 803">
          <a:extLst>
            <a:ext uri="{FF2B5EF4-FFF2-40B4-BE49-F238E27FC236}">
              <a16:creationId xmlns:a16="http://schemas.microsoft.com/office/drawing/2014/main" id="{6A016052-53C5-3824-ECBB-686D1C68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1" name="Picture 804">
          <a:extLst>
            <a:ext uri="{FF2B5EF4-FFF2-40B4-BE49-F238E27FC236}">
              <a16:creationId xmlns:a16="http://schemas.microsoft.com/office/drawing/2014/main" id="{79A29963-C54A-9584-2018-05786D6A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2" name="Picture 805">
          <a:extLst>
            <a:ext uri="{FF2B5EF4-FFF2-40B4-BE49-F238E27FC236}">
              <a16:creationId xmlns:a16="http://schemas.microsoft.com/office/drawing/2014/main" id="{1BFD1E30-F89E-6658-9ED5-7EA875B0C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3" name="Picture 806">
          <a:extLst>
            <a:ext uri="{FF2B5EF4-FFF2-40B4-BE49-F238E27FC236}">
              <a16:creationId xmlns:a16="http://schemas.microsoft.com/office/drawing/2014/main" id="{027DFBF2-E96A-C23A-9DE4-361D84EA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4" name="Picture 807">
          <a:extLst>
            <a:ext uri="{FF2B5EF4-FFF2-40B4-BE49-F238E27FC236}">
              <a16:creationId xmlns:a16="http://schemas.microsoft.com/office/drawing/2014/main" id="{5843F098-63D7-1956-411F-08B66F04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5" name="Picture 808">
          <a:extLst>
            <a:ext uri="{FF2B5EF4-FFF2-40B4-BE49-F238E27FC236}">
              <a16:creationId xmlns:a16="http://schemas.microsoft.com/office/drawing/2014/main" id="{B5DAD367-3F33-20DE-5503-B0057330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6" name="Picture 809">
          <a:extLst>
            <a:ext uri="{FF2B5EF4-FFF2-40B4-BE49-F238E27FC236}">
              <a16:creationId xmlns:a16="http://schemas.microsoft.com/office/drawing/2014/main" id="{70E3EB52-44D1-5479-E0B1-6DB3FC17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7" name="Picture 810">
          <a:extLst>
            <a:ext uri="{FF2B5EF4-FFF2-40B4-BE49-F238E27FC236}">
              <a16:creationId xmlns:a16="http://schemas.microsoft.com/office/drawing/2014/main" id="{05886F2B-B01A-A50E-D20F-7A874C2E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8" name="Picture 811">
          <a:extLst>
            <a:ext uri="{FF2B5EF4-FFF2-40B4-BE49-F238E27FC236}">
              <a16:creationId xmlns:a16="http://schemas.microsoft.com/office/drawing/2014/main" id="{D6F6C9DA-D4C8-4428-A667-B5F9C65D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9" name="Picture 812">
          <a:extLst>
            <a:ext uri="{FF2B5EF4-FFF2-40B4-BE49-F238E27FC236}">
              <a16:creationId xmlns:a16="http://schemas.microsoft.com/office/drawing/2014/main" id="{EAA33944-87F5-0736-C8ED-EBF922BF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0" name="Picture 813">
          <a:extLst>
            <a:ext uri="{FF2B5EF4-FFF2-40B4-BE49-F238E27FC236}">
              <a16:creationId xmlns:a16="http://schemas.microsoft.com/office/drawing/2014/main" id="{BA0EB3B5-C0D5-4196-D29A-19243D20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1" name="Picture 814">
          <a:extLst>
            <a:ext uri="{FF2B5EF4-FFF2-40B4-BE49-F238E27FC236}">
              <a16:creationId xmlns:a16="http://schemas.microsoft.com/office/drawing/2014/main" id="{C2BCC85D-DC73-B2A1-A8D7-28B15ED5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2" name="Picture 815">
          <a:extLst>
            <a:ext uri="{FF2B5EF4-FFF2-40B4-BE49-F238E27FC236}">
              <a16:creationId xmlns:a16="http://schemas.microsoft.com/office/drawing/2014/main" id="{C27F321D-89B7-442A-034C-86C7A0DE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3" name="Picture 816">
          <a:extLst>
            <a:ext uri="{FF2B5EF4-FFF2-40B4-BE49-F238E27FC236}">
              <a16:creationId xmlns:a16="http://schemas.microsoft.com/office/drawing/2014/main" id="{C5EB8A19-5C32-B540-5BC6-7F3EA7D2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4" name="Picture 817">
          <a:extLst>
            <a:ext uri="{FF2B5EF4-FFF2-40B4-BE49-F238E27FC236}">
              <a16:creationId xmlns:a16="http://schemas.microsoft.com/office/drawing/2014/main" id="{58776C84-7796-35EB-9AFF-2DE922CD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5" name="Picture 818">
          <a:extLst>
            <a:ext uri="{FF2B5EF4-FFF2-40B4-BE49-F238E27FC236}">
              <a16:creationId xmlns:a16="http://schemas.microsoft.com/office/drawing/2014/main" id="{7FC69E56-3C40-CDFF-D926-7E4974AB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6" name="Picture 819">
          <a:extLst>
            <a:ext uri="{FF2B5EF4-FFF2-40B4-BE49-F238E27FC236}">
              <a16:creationId xmlns:a16="http://schemas.microsoft.com/office/drawing/2014/main" id="{917EC739-9971-62C3-05CF-6324B940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7" name="Picture 820">
          <a:extLst>
            <a:ext uri="{FF2B5EF4-FFF2-40B4-BE49-F238E27FC236}">
              <a16:creationId xmlns:a16="http://schemas.microsoft.com/office/drawing/2014/main" id="{31E1918C-E158-F5E6-CB35-63690421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8" name="Picture 821">
          <a:extLst>
            <a:ext uri="{FF2B5EF4-FFF2-40B4-BE49-F238E27FC236}">
              <a16:creationId xmlns:a16="http://schemas.microsoft.com/office/drawing/2014/main" id="{CFA21ED2-338A-2FC9-FAF4-E8F80536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9" name="Picture 822">
          <a:extLst>
            <a:ext uri="{FF2B5EF4-FFF2-40B4-BE49-F238E27FC236}">
              <a16:creationId xmlns:a16="http://schemas.microsoft.com/office/drawing/2014/main" id="{C8C73473-ADE7-4C44-AF91-F3108887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0" name="Picture 823">
          <a:extLst>
            <a:ext uri="{FF2B5EF4-FFF2-40B4-BE49-F238E27FC236}">
              <a16:creationId xmlns:a16="http://schemas.microsoft.com/office/drawing/2014/main" id="{2758DB13-DBB4-8622-F2F4-5859EB83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1" name="Picture 824">
          <a:extLst>
            <a:ext uri="{FF2B5EF4-FFF2-40B4-BE49-F238E27FC236}">
              <a16:creationId xmlns:a16="http://schemas.microsoft.com/office/drawing/2014/main" id="{C746C75D-B48A-ACD6-7F96-16243A68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2" name="Picture 825">
          <a:extLst>
            <a:ext uri="{FF2B5EF4-FFF2-40B4-BE49-F238E27FC236}">
              <a16:creationId xmlns:a16="http://schemas.microsoft.com/office/drawing/2014/main" id="{3EFCFE0D-BB6A-D5E2-D89C-9375E39B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3" name="Picture 826">
          <a:extLst>
            <a:ext uri="{FF2B5EF4-FFF2-40B4-BE49-F238E27FC236}">
              <a16:creationId xmlns:a16="http://schemas.microsoft.com/office/drawing/2014/main" id="{7F946762-0D6B-BD05-9603-48D20F0C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4" name="Picture 827">
          <a:extLst>
            <a:ext uri="{FF2B5EF4-FFF2-40B4-BE49-F238E27FC236}">
              <a16:creationId xmlns:a16="http://schemas.microsoft.com/office/drawing/2014/main" id="{146E10CD-5F3A-3076-1395-1F766AEC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5" name="Picture 828">
          <a:extLst>
            <a:ext uri="{FF2B5EF4-FFF2-40B4-BE49-F238E27FC236}">
              <a16:creationId xmlns:a16="http://schemas.microsoft.com/office/drawing/2014/main" id="{900B97D9-2524-3704-6B29-65BE6591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6" name="Picture 829">
          <a:extLst>
            <a:ext uri="{FF2B5EF4-FFF2-40B4-BE49-F238E27FC236}">
              <a16:creationId xmlns:a16="http://schemas.microsoft.com/office/drawing/2014/main" id="{0C64DBC1-B553-907B-5BD9-BEC9F12F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7" name="Picture 830">
          <a:extLst>
            <a:ext uri="{FF2B5EF4-FFF2-40B4-BE49-F238E27FC236}">
              <a16:creationId xmlns:a16="http://schemas.microsoft.com/office/drawing/2014/main" id="{C3F96C2A-8F5A-6BC5-BF48-E1B9A764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8" name="Picture 831">
          <a:extLst>
            <a:ext uri="{FF2B5EF4-FFF2-40B4-BE49-F238E27FC236}">
              <a16:creationId xmlns:a16="http://schemas.microsoft.com/office/drawing/2014/main" id="{F7533579-EB34-280B-F6A3-3D031359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9" name="Picture 832">
          <a:extLst>
            <a:ext uri="{FF2B5EF4-FFF2-40B4-BE49-F238E27FC236}">
              <a16:creationId xmlns:a16="http://schemas.microsoft.com/office/drawing/2014/main" id="{F8B6A8AA-F0E5-01E0-A5A4-7231C1BD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0" name="Picture 833">
          <a:extLst>
            <a:ext uri="{FF2B5EF4-FFF2-40B4-BE49-F238E27FC236}">
              <a16:creationId xmlns:a16="http://schemas.microsoft.com/office/drawing/2014/main" id="{3A4768FC-A4AE-5CC0-BEA5-04FE3E46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1" name="Picture 834">
          <a:extLst>
            <a:ext uri="{FF2B5EF4-FFF2-40B4-BE49-F238E27FC236}">
              <a16:creationId xmlns:a16="http://schemas.microsoft.com/office/drawing/2014/main" id="{CFE90666-758A-1787-DFDC-EE049BB0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2" name="Picture 835">
          <a:extLst>
            <a:ext uri="{FF2B5EF4-FFF2-40B4-BE49-F238E27FC236}">
              <a16:creationId xmlns:a16="http://schemas.microsoft.com/office/drawing/2014/main" id="{BCB09E57-D813-D8CE-8C39-6E409EB3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3" name="Picture 836">
          <a:extLst>
            <a:ext uri="{FF2B5EF4-FFF2-40B4-BE49-F238E27FC236}">
              <a16:creationId xmlns:a16="http://schemas.microsoft.com/office/drawing/2014/main" id="{F2BA65FF-7E71-3880-6EC1-67074544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4" name="Picture 837">
          <a:extLst>
            <a:ext uri="{FF2B5EF4-FFF2-40B4-BE49-F238E27FC236}">
              <a16:creationId xmlns:a16="http://schemas.microsoft.com/office/drawing/2014/main" id="{1D332654-E361-1510-8DAE-11026AD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5" name="Picture 838">
          <a:extLst>
            <a:ext uri="{FF2B5EF4-FFF2-40B4-BE49-F238E27FC236}">
              <a16:creationId xmlns:a16="http://schemas.microsoft.com/office/drawing/2014/main" id="{854AFFE0-1B1C-00CF-20BE-EFB56700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6" name="Picture 839">
          <a:extLst>
            <a:ext uri="{FF2B5EF4-FFF2-40B4-BE49-F238E27FC236}">
              <a16:creationId xmlns:a16="http://schemas.microsoft.com/office/drawing/2014/main" id="{99B95569-CB0A-DEA5-5473-D1D20DB3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7" name="Picture 840">
          <a:extLst>
            <a:ext uri="{FF2B5EF4-FFF2-40B4-BE49-F238E27FC236}">
              <a16:creationId xmlns:a16="http://schemas.microsoft.com/office/drawing/2014/main" id="{E9B7DF65-8C4A-5095-52E7-9D972B10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8" name="Picture 841">
          <a:extLst>
            <a:ext uri="{FF2B5EF4-FFF2-40B4-BE49-F238E27FC236}">
              <a16:creationId xmlns:a16="http://schemas.microsoft.com/office/drawing/2014/main" id="{FB37DF76-73D5-600C-920F-232D2715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9" name="Picture 842">
          <a:extLst>
            <a:ext uri="{FF2B5EF4-FFF2-40B4-BE49-F238E27FC236}">
              <a16:creationId xmlns:a16="http://schemas.microsoft.com/office/drawing/2014/main" id="{395F5DBB-7EA8-8467-121D-46DC3CC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0" name="Picture 843">
          <a:extLst>
            <a:ext uri="{FF2B5EF4-FFF2-40B4-BE49-F238E27FC236}">
              <a16:creationId xmlns:a16="http://schemas.microsoft.com/office/drawing/2014/main" id="{85C85F09-C2B2-A9DD-42E6-ED58CF1F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1" name="Picture 844">
          <a:extLst>
            <a:ext uri="{FF2B5EF4-FFF2-40B4-BE49-F238E27FC236}">
              <a16:creationId xmlns:a16="http://schemas.microsoft.com/office/drawing/2014/main" id="{BE92AF9C-F999-A340-F108-2E847A41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2" name="Picture 845">
          <a:extLst>
            <a:ext uri="{FF2B5EF4-FFF2-40B4-BE49-F238E27FC236}">
              <a16:creationId xmlns:a16="http://schemas.microsoft.com/office/drawing/2014/main" id="{B3C60586-FA4E-84AB-1C32-7715E453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3" name="Picture 846">
          <a:extLst>
            <a:ext uri="{FF2B5EF4-FFF2-40B4-BE49-F238E27FC236}">
              <a16:creationId xmlns:a16="http://schemas.microsoft.com/office/drawing/2014/main" id="{F25D5F0F-80B1-F20E-5398-5DE18629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4" name="Picture 847">
          <a:extLst>
            <a:ext uri="{FF2B5EF4-FFF2-40B4-BE49-F238E27FC236}">
              <a16:creationId xmlns:a16="http://schemas.microsoft.com/office/drawing/2014/main" id="{9768B391-D326-3FA2-BC21-745CC59F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5" name="Picture 848">
          <a:extLst>
            <a:ext uri="{FF2B5EF4-FFF2-40B4-BE49-F238E27FC236}">
              <a16:creationId xmlns:a16="http://schemas.microsoft.com/office/drawing/2014/main" id="{D4DB5DD5-F4CB-61F7-6E35-E503D4BBF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6" name="Picture 849">
          <a:extLst>
            <a:ext uri="{FF2B5EF4-FFF2-40B4-BE49-F238E27FC236}">
              <a16:creationId xmlns:a16="http://schemas.microsoft.com/office/drawing/2014/main" id="{F7F24869-EFC3-0F7E-1D8F-4DA82A62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7" name="Picture 850">
          <a:extLst>
            <a:ext uri="{FF2B5EF4-FFF2-40B4-BE49-F238E27FC236}">
              <a16:creationId xmlns:a16="http://schemas.microsoft.com/office/drawing/2014/main" id="{1B556FF3-145B-DC8D-30A2-D761C7F4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8" name="Picture 851">
          <a:extLst>
            <a:ext uri="{FF2B5EF4-FFF2-40B4-BE49-F238E27FC236}">
              <a16:creationId xmlns:a16="http://schemas.microsoft.com/office/drawing/2014/main" id="{1592B48C-2C31-240B-CD2C-4F69F3F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9" name="Picture 852">
          <a:extLst>
            <a:ext uri="{FF2B5EF4-FFF2-40B4-BE49-F238E27FC236}">
              <a16:creationId xmlns:a16="http://schemas.microsoft.com/office/drawing/2014/main" id="{B6B2149F-D985-5900-FC35-F4711247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0" name="Picture 853">
          <a:extLst>
            <a:ext uri="{FF2B5EF4-FFF2-40B4-BE49-F238E27FC236}">
              <a16:creationId xmlns:a16="http://schemas.microsoft.com/office/drawing/2014/main" id="{0D9EAB3E-5F05-457A-BF8B-03927906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1" name="Picture 854">
          <a:extLst>
            <a:ext uri="{FF2B5EF4-FFF2-40B4-BE49-F238E27FC236}">
              <a16:creationId xmlns:a16="http://schemas.microsoft.com/office/drawing/2014/main" id="{03079848-5C9E-2ED3-89E4-081C8FC2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2" name="Picture 855">
          <a:extLst>
            <a:ext uri="{FF2B5EF4-FFF2-40B4-BE49-F238E27FC236}">
              <a16:creationId xmlns:a16="http://schemas.microsoft.com/office/drawing/2014/main" id="{A526D117-D43D-DF82-D3F7-DA6B19BA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3" name="Picture 856">
          <a:extLst>
            <a:ext uri="{FF2B5EF4-FFF2-40B4-BE49-F238E27FC236}">
              <a16:creationId xmlns:a16="http://schemas.microsoft.com/office/drawing/2014/main" id="{75DEC3EE-7735-7239-2124-1AEC0EDE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4" name="Picture 857">
          <a:extLst>
            <a:ext uri="{FF2B5EF4-FFF2-40B4-BE49-F238E27FC236}">
              <a16:creationId xmlns:a16="http://schemas.microsoft.com/office/drawing/2014/main" id="{2BFFC288-B479-D602-740A-7C0FF98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5" name="Picture 858">
          <a:extLst>
            <a:ext uri="{FF2B5EF4-FFF2-40B4-BE49-F238E27FC236}">
              <a16:creationId xmlns:a16="http://schemas.microsoft.com/office/drawing/2014/main" id="{0B1C465C-F6D4-02C1-E26D-05930157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6" name="Picture 859">
          <a:extLst>
            <a:ext uri="{FF2B5EF4-FFF2-40B4-BE49-F238E27FC236}">
              <a16:creationId xmlns:a16="http://schemas.microsoft.com/office/drawing/2014/main" id="{63B75507-09F7-96DE-C879-1653012B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7" name="Picture 860">
          <a:extLst>
            <a:ext uri="{FF2B5EF4-FFF2-40B4-BE49-F238E27FC236}">
              <a16:creationId xmlns:a16="http://schemas.microsoft.com/office/drawing/2014/main" id="{87BAFD08-CB76-F80C-7C71-B0376F52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8" name="Picture 861">
          <a:extLst>
            <a:ext uri="{FF2B5EF4-FFF2-40B4-BE49-F238E27FC236}">
              <a16:creationId xmlns:a16="http://schemas.microsoft.com/office/drawing/2014/main" id="{B727F1A5-2D3B-14DC-9425-B2A9107A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9" name="Picture 862">
          <a:extLst>
            <a:ext uri="{FF2B5EF4-FFF2-40B4-BE49-F238E27FC236}">
              <a16:creationId xmlns:a16="http://schemas.microsoft.com/office/drawing/2014/main" id="{1C6E4438-01FC-06BA-C1FA-6CB4DF65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0" name="Picture 863">
          <a:extLst>
            <a:ext uri="{FF2B5EF4-FFF2-40B4-BE49-F238E27FC236}">
              <a16:creationId xmlns:a16="http://schemas.microsoft.com/office/drawing/2014/main" id="{B0497666-A5A1-7DDC-ACE3-39CC2595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1" name="Picture 864">
          <a:extLst>
            <a:ext uri="{FF2B5EF4-FFF2-40B4-BE49-F238E27FC236}">
              <a16:creationId xmlns:a16="http://schemas.microsoft.com/office/drawing/2014/main" id="{B114E491-1C07-A4EB-AE32-D6249138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2" name="Picture 865">
          <a:extLst>
            <a:ext uri="{FF2B5EF4-FFF2-40B4-BE49-F238E27FC236}">
              <a16:creationId xmlns:a16="http://schemas.microsoft.com/office/drawing/2014/main" id="{3DE435D2-95B5-9257-2D2F-65B188E0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3" name="Picture 866">
          <a:extLst>
            <a:ext uri="{FF2B5EF4-FFF2-40B4-BE49-F238E27FC236}">
              <a16:creationId xmlns:a16="http://schemas.microsoft.com/office/drawing/2014/main" id="{9D980D0A-3251-36C1-7FD1-1FEA3247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4" name="Picture 867">
          <a:extLst>
            <a:ext uri="{FF2B5EF4-FFF2-40B4-BE49-F238E27FC236}">
              <a16:creationId xmlns:a16="http://schemas.microsoft.com/office/drawing/2014/main" id="{D71DAC98-6FCD-673C-D9CF-9D3FD2F6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5" name="Picture 868">
          <a:extLst>
            <a:ext uri="{FF2B5EF4-FFF2-40B4-BE49-F238E27FC236}">
              <a16:creationId xmlns:a16="http://schemas.microsoft.com/office/drawing/2014/main" id="{DD600E0A-A13F-FD6C-AD9D-44AE5775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6" name="Picture 869">
          <a:extLst>
            <a:ext uri="{FF2B5EF4-FFF2-40B4-BE49-F238E27FC236}">
              <a16:creationId xmlns:a16="http://schemas.microsoft.com/office/drawing/2014/main" id="{A3189DB4-8B59-886D-C43A-0BB15AD2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7" name="Picture 870">
          <a:extLst>
            <a:ext uri="{FF2B5EF4-FFF2-40B4-BE49-F238E27FC236}">
              <a16:creationId xmlns:a16="http://schemas.microsoft.com/office/drawing/2014/main" id="{9A4D9ECC-4EBD-C0EF-2CF6-0F17A2D1A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8" name="Picture 871">
          <a:extLst>
            <a:ext uri="{FF2B5EF4-FFF2-40B4-BE49-F238E27FC236}">
              <a16:creationId xmlns:a16="http://schemas.microsoft.com/office/drawing/2014/main" id="{B3814EA9-624C-C5CD-B057-B6946C5E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9" name="Picture 872">
          <a:extLst>
            <a:ext uri="{FF2B5EF4-FFF2-40B4-BE49-F238E27FC236}">
              <a16:creationId xmlns:a16="http://schemas.microsoft.com/office/drawing/2014/main" id="{E6C07463-4934-DDC2-D4BE-52DF3E38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0" name="Picture 873">
          <a:extLst>
            <a:ext uri="{FF2B5EF4-FFF2-40B4-BE49-F238E27FC236}">
              <a16:creationId xmlns:a16="http://schemas.microsoft.com/office/drawing/2014/main" id="{05278585-4653-8023-3325-FF24CF981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1" name="Picture 874">
          <a:extLst>
            <a:ext uri="{FF2B5EF4-FFF2-40B4-BE49-F238E27FC236}">
              <a16:creationId xmlns:a16="http://schemas.microsoft.com/office/drawing/2014/main" id="{72C6B073-782A-2FEF-B2CF-F45C22E7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2" name="Picture 875">
          <a:extLst>
            <a:ext uri="{FF2B5EF4-FFF2-40B4-BE49-F238E27FC236}">
              <a16:creationId xmlns:a16="http://schemas.microsoft.com/office/drawing/2014/main" id="{1A2461E7-77D8-1C22-65F2-A470D65C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3" name="Picture 876">
          <a:extLst>
            <a:ext uri="{FF2B5EF4-FFF2-40B4-BE49-F238E27FC236}">
              <a16:creationId xmlns:a16="http://schemas.microsoft.com/office/drawing/2014/main" id="{82C8948A-4E6E-C4BB-5507-4846847B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4" name="Picture 877">
          <a:extLst>
            <a:ext uri="{FF2B5EF4-FFF2-40B4-BE49-F238E27FC236}">
              <a16:creationId xmlns:a16="http://schemas.microsoft.com/office/drawing/2014/main" id="{1438AB2F-F57B-D19F-BB76-1231C101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5" name="Picture 878">
          <a:extLst>
            <a:ext uri="{FF2B5EF4-FFF2-40B4-BE49-F238E27FC236}">
              <a16:creationId xmlns:a16="http://schemas.microsoft.com/office/drawing/2014/main" id="{463AC795-C522-3452-7BDA-ADB8A5C9A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6" name="Picture 879">
          <a:extLst>
            <a:ext uri="{FF2B5EF4-FFF2-40B4-BE49-F238E27FC236}">
              <a16:creationId xmlns:a16="http://schemas.microsoft.com/office/drawing/2014/main" id="{54C840BB-A54A-4034-F26B-DD4F51DC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7" name="Picture 880">
          <a:extLst>
            <a:ext uri="{FF2B5EF4-FFF2-40B4-BE49-F238E27FC236}">
              <a16:creationId xmlns:a16="http://schemas.microsoft.com/office/drawing/2014/main" id="{C5BF0EE0-8DF3-5398-622B-0C2615A7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8" name="Picture 881">
          <a:extLst>
            <a:ext uri="{FF2B5EF4-FFF2-40B4-BE49-F238E27FC236}">
              <a16:creationId xmlns:a16="http://schemas.microsoft.com/office/drawing/2014/main" id="{9BDE781B-BC7A-DAE3-7DC6-B81CCC37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9" name="Picture 882">
          <a:extLst>
            <a:ext uri="{FF2B5EF4-FFF2-40B4-BE49-F238E27FC236}">
              <a16:creationId xmlns:a16="http://schemas.microsoft.com/office/drawing/2014/main" id="{BAFB3EC2-D7F0-8172-F69C-B8A72E77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0" name="Picture 883">
          <a:extLst>
            <a:ext uri="{FF2B5EF4-FFF2-40B4-BE49-F238E27FC236}">
              <a16:creationId xmlns:a16="http://schemas.microsoft.com/office/drawing/2014/main" id="{66F6DC48-F8EE-D235-FB8F-C6026ADE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1" name="Picture 884">
          <a:extLst>
            <a:ext uri="{FF2B5EF4-FFF2-40B4-BE49-F238E27FC236}">
              <a16:creationId xmlns:a16="http://schemas.microsoft.com/office/drawing/2014/main" id="{1F06AFAA-74B0-9845-1D3B-F56CF70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2" name="Picture 885">
          <a:extLst>
            <a:ext uri="{FF2B5EF4-FFF2-40B4-BE49-F238E27FC236}">
              <a16:creationId xmlns:a16="http://schemas.microsoft.com/office/drawing/2014/main" id="{BE5175E3-7A3C-A355-E7EA-3221DFEB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3" name="Picture 886">
          <a:extLst>
            <a:ext uri="{FF2B5EF4-FFF2-40B4-BE49-F238E27FC236}">
              <a16:creationId xmlns:a16="http://schemas.microsoft.com/office/drawing/2014/main" id="{CF781403-EED8-114A-F5A5-1422D7BE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4" name="Picture 887">
          <a:extLst>
            <a:ext uri="{FF2B5EF4-FFF2-40B4-BE49-F238E27FC236}">
              <a16:creationId xmlns:a16="http://schemas.microsoft.com/office/drawing/2014/main" id="{50641491-3B47-B122-1770-4286E77A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5" name="Picture 888">
          <a:extLst>
            <a:ext uri="{FF2B5EF4-FFF2-40B4-BE49-F238E27FC236}">
              <a16:creationId xmlns:a16="http://schemas.microsoft.com/office/drawing/2014/main" id="{6E218174-1620-24B6-30C5-E20BE7E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6" name="Picture 889">
          <a:extLst>
            <a:ext uri="{FF2B5EF4-FFF2-40B4-BE49-F238E27FC236}">
              <a16:creationId xmlns:a16="http://schemas.microsoft.com/office/drawing/2014/main" id="{EB2C723A-0DF1-24A5-2EEB-80752397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7" name="Picture 890">
          <a:extLst>
            <a:ext uri="{FF2B5EF4-FFF2-40B4-BE49-F238E27FC236}">
              <a16:creationId xmlns:a16="http://schemas.microsoft.com/office/drawing/2014/main" id="{48AFE33F-7B15-0385-F09A-A699B02C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8" name="Picture 891">
          <a:extLst>
            <a:ext uri="{FF2B5EF4-FFF2-40B4-BE49-F238E27FC236}">
              <a16:creationId xmlns:a16="http://schemas.microsoft.com/office/drawing/2014/main" id="{23BC8856-C5F0-6A75-CD96-FAB45006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9" name="Picture 892">
          <a:extLst>
            <a:ext uri="{FF2B5EF4-FFF2-40B4-BE49-F238E27FC236}">
              <a16:creationId xmlns:a16="http://schemas.microsoft.com/office/drawing/2014/main" id="{78FFE612-D54E-831D-B3D9-9A9E6313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0" name="Picture 893">
          <a:extLst>
            <a:ext uri="{FF2B5EF4-FFF2-40B4-BE49-F238E27FC236}">
              <a16:creationId xmlns:a16="http://schemas.microsoft.com/office/drawing/2014/main" id="{A7AD7A92-DA55-1941-6D6F-0A91F573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1" name="Picture 894">
          <a:extLst>
            <a:ext uri="{FF2B5EF4-FFF2-40B4-BE49-F238E27FC236}">
              <a16:creationId xmlns:a16="http://schemas.microsoft.com/office/drawing/2014/main" id="{3D69594F-122E-FC36-527D-771FE3EF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2" name="Picture 895">
          <a:extLst>
            <a:ext uri="{FF2B5EF4-FFF2-40B4-BE49-F238E27FC236}">
              <a16:creationId xmlns:a16="http://schemas.microsoft.com/office/drawing/2014/main" id="{E4E461C3-1359-AEC2-08CF-3092D3C3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3" name="Picture 896">
          <a:extLst>
            <a:ext uri="{FF2B5EF4-FFF2-40B4-BE49-F238E27FC236}">
              <a16:creationId xmlns:a16="http://schemas.microsoft.com/office/drawing/2014/main" id="{A28679EA-50F9-B037-76DD-498113C0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4" name="Picture 897">
          <a:extLst>
            <a:ext uri="{FF2B5EF4-FFF2-40B4-BE49-F238E27FC236}">
              <a16:creationId xmlns:a16="http://schemas.microsoft.com/office/drawing/2014/main" id="{5017B316-2524-CB5B-7D8C-1D799E50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5" name="Picture 898">
          <a:extLst>
            <a:ext uri="{FF2B5EF4-FFF2-40B4-BE49-F238E27FC236}">
              <a16:creationId xmlns:a16="http://schemas.microsoft.com/office/drawing/2014/main" id="{F69CFA9E-6370-8B8A-D0AA-5E7CF836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6" name="Picture 899">
          <a:extLst>
            <a:ext uri="{FF2B5EF4-FFF2-40B4-BE49-F238E27FC236}">
              <a16:creationId xmlns:a16="http://schemas.microsoft.com/office/drawing/2014/main" id="{EA0FEFDB-FF45-1BDC-F003-34A13E83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7" name="Picture 900">
          <a:extLst>
            <a:ext uri="{FF2B5EF4-FFF2-40B4-BE49-F238E27FC236}">
              <a16:creationId xmlns:a16="http://schemas.microsoft.com/office/drawing/2014/main" id="{0224BE32-EF7E-9F12-065B-88EB0DEF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8" name="Picture 901">
          <a:extLst>
            <a:ext uri="{FF2B5EF4-FFF2-40B4-BE49-F238E27FC236}">
              <a16:creationId xmlns:a16="http://schemas.microsoft.com/office/drawing/2014/main" id="{E0C1E0C9-6F1B-66FA-1BE7-A9A31973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9" name="Picture 902">
          <a:extLst>
            <a:ext uri="{FF2B5EF4-FFF2-40B4-BE49-F238E27FC236}">
              <a16:creationId xmlns:a16="http://schemas.microsoft.com/office/drawing/2014/main" id="{1B596FCD-7D02-5812-5ECC-39891C2E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0" name="Picture 903">
          <a:extLst>
            <a:ext uri="{FF2B5EF4-FFF2-40B4-BE49-F238E27FC236}">
              <a16:creationId xmlns:a16="http://schemas.microsoft.com/office/drawing/2014/main" id="{4A5B6E28-32E3-B3F6-824C-D8D0707D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1" name="Picture 904">
          <a:extLst>
            <a:ext uri="{FF2B5EF4-FFF2-40B4-BE49-F238E27FC236}">
              <a16:creationId xmlns:a16="http://schemas.microsoft.com/office/drawing/2014/main" id="{F29C603F-3A3B-B563-EEE1-BEC44D11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2" name="Picture 905">
          <a:extLst>
            <a:ext uri="{FF2B5EF4-FFF2-40B4-BE49-F238E27FC236}">
              <a16:creationId xmlns:a16="http://schemas.microsoft.com/office/drawing/2014/main" id="{DB125AF0-3675-35AC-1FEB-A3F9BA8F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3" name="Picture 906">
          <a:extLst>
            <a:ext uri="{FF2B5EF4-FFF2-40B4-BE49-F238E27FC236}">
              <a16:creationId xmlns:a16="http://schemas.microsoft.com/office/drawing/2014/main" id="{96E4FE51-186D-EF60-BA9C-C02074A5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4" name="Picture 907">
          <a:extLst>
            <a:ext uri="{FF2B5EF4-FFF2-40B4-BE49-F238E27FC236}">
              <a16:creationId xmlns:a16="http://schemas.microsoft.com/office/drawing/2014/main" id="{A815CEAF-4CEA-7F69-8F20-D7B53D7B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5" name="Picture 908">
          <a:extLst>
            <a:ext uri="{FF2B5EF4-FFF2-40B4-BE49-F238E27FC236}">
              <a16:creationId xmlns:a16="http://schemas.microsoft.com/office/drawing/2014/main" id="{9BB2C0C0-4393-829C-96FF-ADF7B28D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6" name="Picture 909">
          <a:extLst>
            <a:ext uri="{FF2B5EF4-FFF2-40B4-BE49-F238E27FC236}">
              <a16:creationId xmlns:a16="http://schemas.microsoft.com/office/drawing/2014/main" id="{E36D2671-0E5B-39FD-1F2E-B726C9D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7" name="Picture 910">
          <a:extLst>
            <a:ext uri="{FF2B5EF4-FFF2-40B4-BE49-F238E27FC236}">
              <a16:creationId xmlns:a16="http://schemas.microsoft.com/office/drawing/2014/main" id="{D90C9243-BC58-2DC4-DB85-E7C825B9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8" name="Picture 911">
          <a:extLst>
            <a:ext uri="{FF2B5EF4-FFF2-40B4-BE49-F238E27FC236}">
              <a16:creationId xmlns:a16="http://schemas.microsoft.com/office/drawing/2014/main" id="{86F1754D-9CE1-C312-923E-B4A60611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9" name="Picture 912">
          <a:extLst>
            <a:ext uri="{FF2B5EF4-FFF2-40B4-BE49-F238E27FC236}">
              <a16:creationId xmlns:a16="http://schemas.microsoft.com/office/drawing/2014/main" id="{20C787E7-62F1-1A82-75E1-96930E23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0" name="Picture 913">
          <a:extLst>
            <a:ext uri="{FF2B5EF4-FFF2-40B4-BE49-F238E27FC236}">
              <a16:creationId xmlns:a16="http://schemas.microsoft.com/office/drawing/2014/main" id="{F3A72DF3-9180-343F-E478-18577FA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1" name="Picture 914">
          <a:extLst>
            <a:ext uri="{FF2B5EF4-FFF2-40B4-BE49-F238E27FC236}">
              <a16:creationId xmlns:a16="http://schemas.microsoft.com/office/drawing/2014/main" id="{8648C92F-AD1A-A6BB-978D-BADF4B8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2" name="Picture 915">
          <a:extLst>
            <a:ext uri="{FF2B5EF4-FFF2-40B4-BE49-F238E27FC236}">
              <a16:creationId xmlns:a16="http://schemas.microsoft.com/office/drawing/2014/main" id="{75A4E68E-70EF-E0F3-28F1-EAEE415E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3" name="Picture 916">
          <a:extLst>
            <a:ext uri="{FF2B5EF4-FFF2-40B4-BE49-F238E27FC236}">
              <a16:creationId xmlns:a16="http://schemas.microsoft.com/office/drawing/2014/main" id="{04856613-1AC0-3CA4-1CCD-DA38B384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4" name="Picture 917">
          <a:extLst>
            <a:ext uri="{FF2B5EF4-FFF2-40B4-BE49-F238E27FC236}">
              <a16:creationId xmlns:a16="http://schemas.microsoft.com/office/drawing/2014/main" id="{9330FF8E-D219-696F-1BBA-8F8E90F8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5" name="Picture 918">
          <a:extLst>
            <a:ext uri="{FF2B5EF4-FFF2-40B4-BE49-F238E27FC236}">
              <a16:creationId xmlns:a16="http://schemas.microsoft.com/office/drawing/2014/main" id="{D915F397-E81C-34E3-EECB-31997C09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6" name="Picture 919">
          <a:extLst>
            <a:ext uri="{FF2B5EF4-FFF2-40B4-BE49-F238E27FC236}">
              <a16:creationId xmlns:a16="http://schemas.microsoft.com/office/drawing/2014/main" id="{6824F54A-1A0A-8975-5023-5494DEF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7" name="Picture 920">
          <a:extLst>
            <a:ext uri="{FF2B5EF4-FFF2-40B4-BE49-F238E27FC236}">
              <a16:creationId xmlns:a16="http://schemas.microsoft.com/office/drawing/2014/main" id="{AD383249-E1DC-5DF5-2742-4E03013D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8" name="Picture 921">
          <a:extLst>
            <a:ext uri="{FF2B5EF4-FFF2-40B4-BE49-F238E27FC236}">
              <a16:creationId xmlns:a16="http://schemas.microsoft.com/office/drawing/2014/main" id="{DB57ABE4-08AB-95DE-BCAF-DA4A6041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9" name="Picture 922">
          <a:extLst>
            <a:ext uri="{FF2B5EF4-FFF2-40B4-BE49-F238E27FC236}">
              <a16:creationId xmlns:a16="http://schemas.microsoft.com/office/drawing/2014/main" id="{A6154699-9C32-56D0-3AA7-54FE8B5F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0" name="Picture 923">
          <a:extLst>
            <a:ext uri="{FF2B5EF4-FFF2-40B4-BE49-F238E27FC236}">
              <a16:creationId xmlns:a16="http://schemas.microsoft.com/office/drawing/2014/main" id="{1497A283-CA1C-AB86-0CDC-551812AC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1" name="Picture 924">
          <a:extLst>
            <a:ext uri="{FF2B5EF4-FFF2-40B4-BE49-F238E27FC236}">
              <a16:creationId xmlns:a16="http://schemas.microsoft.com/office/drawing/2014/main" id="{6C65A675-3226-618C-2EFD-8F4CF3EA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2" name="Picture 925">
          <a:extLst>
            <a:ext uri="{FF2B5EF4-FFF2-40B4-BE49-F238E27FC236}">
              <a16:creationId xmlns:a16="http://schemas.microsoft.com/office/drawing/2014/main" id="{7020248D-B1CB-8E7C-E170-552A395F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3" name="Picture 926">
          <a:extLst>
            <a:ext uri="{FF2B5EF4-FFF2-40B4-BE49-F238E27FC236}">
              <a16:creationId xmlns:a16="http://schemas.microsoft.com/office/drawing/2014/main" id="{B7D54AF6-B29E-72F1-2688-E728083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4" name="Picture 927">
          <a:extLst>
            <a:ext uri="{FF2B5EF4-FFF2-40B4-BE49-F238E27FC236}">
              <a16:creationId xmlns:a16="http://schemas.microsoft.com/office/drawing/2014/main" id="{3C7984BC-4DAA-8571-58B4-61F85E4A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5" name="Picture 928">
          <a:extLst>
            <a:ext uri="{FF2B5EF4-FFF2-40B4-BE49-F238E27FC236}">
              <a16:creationId xmlns:a16="http://schemas.microsoft.com/office/drawing/2014/main" id="{A1AB2A33-7B5F-52D6-DF87-BAC3AEA0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6" name="Picture 929">
          <a:extLst>
            <a:ext uri="{FF2B5EF4-FFF2-40B4-BE49-F238E27FC236}">
              <a16:creationId xmlns:a16="http://schemas.microsoft.com/office/drawing/2014/main" id="{60CF3D43-8EF7-B972-D7A6-7B208F7E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7" name="Picture 930">
          <a:extLst>
            <a:ext uri="{FF2B5EF4-FFF2-40B4-BE49-F238E27FC236}">
              <a16:creationId xmlns:a16="http://schemas.microsoft.com/office/drawing/2014/main" id="{DF2D6AB2-DBE3-A75E-9728-264D2596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8" name="Picture 931">
          <a:extLst>
            <a:ext uri="{FF2B5EF4-FFF2-40B4-BE49-F238E27FC236}">
              <a16:creationId xmlns:a16="http://schemas.microsoft.com/office/drawing/2014/main" id="{4D4B5EEA-97B5-C489-5161-4D30DE3E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9" name="Picture 932">
          <a:extLst>
            <a:ext uri="{FF2B5EF4-FFF2-40B4-BE49-F238E27FC236}">
              <a16:creationId xmlns:a16="http://schemas.microsoft.com/office/drawing/2014/main" id="{3DF606F8-9985-4618-7E7B-22D61C0A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0" name="Picture 933">
          <a:extLst>
            <a:ext uri="{FF2B5EF4-FFF2-40B4-BE49-F238E27FC236}">
              <a16:creationId xmlns:a16="http://schemas.microsoft.com/office/drawing/2014/main" id="{7209F7B7-9B06-56A9-0954-A294551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1" name="Picture 934">
          <a:extLst>
            <a:ext uri="{FF2B5EF4-FFF2-40B4-BE49-F238E27FC236}">
              <a16:creationId xmlns:a16="http://schemas.microsoft.com/office/drawing/2014/main" id="{C54CE158-1D24-26FD-1090-1FF25DC7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2" name="Picture 935">
          <a:extLst>
            <a:ext uri="{FF2B5EF4-FFF2-40B4-BE49-F238E27FC236}">
              <a16:creationId xmlns:a16="http://schemas.microsoft.com/office/drawing/2014/main" id="{459621EB-0141-64F9-CACB-272B4754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3" name="Picture 936">
          <a:extLst>
            <a:ext uri="{FF2B5EF4-FFF2-40B4-BE49-F238E27FC236}">
              <a16:creationId xmlns:a16="http://schemas.microsoft.com/office/drawing/2014/main" id="{05526533-5272-A95B-347A-46BB338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4" name="Picture 937">
          <a:extLst>
            <a:ext uri="{FF2B5EF4-FFF2-40B4-BE49-F238E27FC236}">
              <a16:creationId xmlns:a16="http://schemas.microsoft.com/office/drawing/2014/main" id="{F050D334-6176-B300-1939-CC4ECEE4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5" name="Picture 938">
          <a:extLst>
            <a:ext uri="{FF2B5EF4-FFF2-40B4-BE49-F238E27FC236}">
              <a16:creationId xmlns:a16="http://schemas.microsoft.com/office/drawing/2014/main" id="{F5D30DED-0707-F26E-EFEA-A1F0ED77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6" name="Picture 939">
          <a:extLst>
            <a:ext uri="{FF2B5EF4-FFF2-40B4-BE49-F238E27FC236}">
              <a16:creationId xmlns:a16="http://schemas.microsoft.com/office/drawing/2014/main" id="{97CF2D19-5132-B6EC-4365-D95854BB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7" name="Picture 940">
          <a:extLst>
            <a:ext uri="{FF2B5EF4-FFF2-40B4-BE49-F238E27FC236}">
              <a16:creationId xmlns:a16="http://schemas.microsoft.com/office/drawing/2014/main" id="{44C63E08-9B41-A415-A562-13F93D90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8" name="Picture 941">
          <a:extLst>
            <a:ext uri="{FF2B5EF4-FFF2-40B4-BE49-F238E27FC236}">
              <a16:creationId xmlns:a16="http://schemas.microsoft.com/office/drawing/2014/main" id="{4C28B4B7-5A35-1B2D-CDFA-106EC526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9" name="Picture 942">
          <a:extLst>
            <a:ext uri="{FF2B5EF4-FFF2-40B4-BE49-F238E27FC236}">
              <a16:creationId xmlns:a16="http://schemas.microsoft.com/office/drawing/2014/main" id="{CBF80629-273C-AC24-B65B-ECD3B685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0" name="Picture 943">
          <a:extLst>
            <a:ext uri="{FF2B5EF4-FFF2-40B4-BE49-F238E27FC236}">
              <a16:creationId xmlns:a16="http://schemas.microsoft.com/office/drawing/2014/main" id="{7E458F5B-8397-4F6F-2108-9EFC21C0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1" name="Picture 944">
          <a:extLst>
            <a:ext uri="{FF2B5EF4-FFF2-40B4-BE49-F238E27FC236}">
              <a16:creationId xmlns:a16="http://schemas.microsoft.com/office/drawing/2014/main" id="{100A3141-70CF-D3CB-6568-D1258F84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2" name="Picture 945">
          <a:extLst>
            <a:ext uri="{FF2B5EF4-FFF2-40B4-BE49-F238E27FC236}">
              <a16:creationId xmlns:a16="http://schemas.microsoft.com/office/drawing/2014/main" id="{775E8D0B-7F59-A12B-2DA1-2715D251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3" name="Picture 946">
          <a:extLst>
            <a:ext uri="{FF2B5EF4-FFF2-40B4-BE49-F238E27FC236}">
              <a16:creationId xmlns:a16="http://schemas.microsoft.com/office/drawing/2014/main" id="{1658AA14-1A17-EEF7-D52F-ECA2E834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4" name="Picture 947">
          <a:extLst>
            <a:ext uri="{FF2B5EF4-FFF2-40B4-BE49-F238E27FC236}">
              <a16:creationId xmlns:a16="http://schemas.microsoft.com/office/drawing/2014/main" id="{BF2D8EA4-DF94-A720-E3E0-BAAC6706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5" name="Picture 948">
          <a:extLst>
            <a:ext uri="{FF2B5EF4-FFF2-40B4-BE49-F238E27FC236}">
              <a16:creationId xmlns:a16="http://schemas.microsoft.com/office/drawing/2014/main" id="{BB4B833F-BF5F-BB38-4826-A41AAA5C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6" name="Picture 949">
          <a:extLst>
            <a:ext uri="{FF2B5EF4-FFF2-40B4-BE49-F238E27FC236}">
              <a16:creationId xmlns:a16="http://schemas.microsoft.com/office/drawing/2014/main" id="{70F0255F-C85E-4DFF-B2D1-8A851E67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7" name="Picture 950">
          <a:extLst>
            <a:ext uri="{FF2B5EF4-FFF2-40B4-BE49-F238E27FC236}">
              <a16:creationId xmlns:a16="http://schemas.microsoft.com/office/drawing/2014/main" id="{8E19812D-B83B-03E6-9B44-F1109FEC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8" name="Picture 951">
          <a:extLst>
            <a:ext uri="{FF2B5EF4-FFF2-40B4-BE49-F238E27FC236}">
              <a16:creationId xmlns:a16="http://schemas.microsoft.com/office/drawing/2014/main" id="{79F1441E-8308-B32D-080C-7E05D6A0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9" name="Picture 952">
          <a:extLst>
            <a:ext uri="{FF2B5EF4-FFF2-40B4-BE49-F238E27FC236}">
              <a16:creationId xmlns:a16="http://schemas.microsoft.com/office/drawing/2014/main" id="{E065AB2F-26AB-251F-602C-E9145557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0" name="Picture 953">
          <a:extLst>
            <a:ext uri="{FF2B5EF4-FFF2-40B4-BE49-F238E27FC236}">
              <a16:creationId xmlns:a16="http://schemas.microsoft.com/office/drawing/2014/main" id="{26892F03-6532-F958-55B7-7F7C75189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1" name="Picture 954">
          <a:extLst>
            <a:ext uri="{FF2B5EF4-FFF2-40B4-BE49-F238E27FC236}">
              <a16:creationId xmlns:a16="http://schemas.microsoft.com/office/drawing/2014/main" id="{5BA90DFD-1F82-8465-95CD-D4362B67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2" name="Picture 955">
          <a:extLst>
            <a:ext uri="{FF2B5EF4-FFF2-40B4-BE49-F238E27FC236}">
              <a16:creationId xmlns:a16="http://schemas.microsoft.com/office/drawing/2014/main" id="{FFC4F126-4875-1EC4-0B84-A28157DA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3" name="Picture 956">
          <a:extLst>
            <a:ext uri="{FF2B5EF4-FFF2-40B4-BE49-F238E27FC236}">
              <a16:creationId xmlns:a16="http://schemas.microsoft.com/office/drawing/2014/main" id="{E1CE4B49-F9A4-9E9B-2B1B-061B9942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4" name="Picture 957">
          <a:extLst>
            <a:ext uri="{FF2B5EF4-FFF2-40B4-BE49-F238E27FC236}">
              <a16:creationId xmlns:a16="http://schemas.microsoft.com/office/drawing/2014/main" id="{D922D677-47DD-84AF-BA3A-AB8C6AAD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5" name="Picture 958">
          <a:extLst>
            <a:ext uri="{FF2B5EF4-FFF2-40B4-BE49-F238E27FC236}">
              <a16:creationId xmlns:a16="http://schemas.microsoft.com/office/drawing/2014/main" id="{72943605-26AA-D461-73C5-A9AF878A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6" name="Picture 959">
          <a:extLst>
            <a:ext uri="{FF2B5EF4-FFF2-40B4-BE49-F238E27FC236}">
              <a16:creationId xmlns:a16="http://schemas.microsoft.com/office/drawing/2014/main" id="{B26B3F28-2F59-4DDE-3429-3271399A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7" name="Picture 960">
          <a:extLst>
            <a:ext uri="{FF2B5EF4-FFF2-40B4-BE49-F238E27FC236}">
              <a16:creationId xmlns:a16="http://schemas.microsoft.com/office/drawing/2014/main" id="{83495114-AB3D-6497-C185-7D142B26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8" name="Picture 961">
          <a:extLst>
            <a:ext uri="{FF2B5EF4-FFF2-40B4-BE49-F238E27FC236}">
              <a16:creationId xmlns:a16="http://schemas.microsoft.com/office/drawing/2014/main" id="{D25E4D04-7D1D-20B2-69DB-D0EB7CBC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9" name="Picture 962">
          <a:extLst>
            <a:ext uri="{FF2B5EF4-FFF2-40B4-BE49-F238E27FC236}">
              <a16:creationId xmlns:a16="http://schemas.microsoft.com/office/drawing/2014/main" id="{7332A04B-8BE6-34F1-523B-1469FCF7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0" name="Picture 963">
          <a:extLst>
            <a:ext uri="{FF2B5EF4-FFF2-40B4-BE49-F238E27FC236}">
              <a16:creationId xmlns:a16="http://schemas.microsoft.com/office/drawing/2014/main" id="{493BA239-7FFB-32D2-D3CE-BF2ADD34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1" name="Picture 964">
          <a:extLst>
            <a:ext uri="{FF2B5EF4-FFF2-40B4-BE49-F238E27FC236}">
              <a16:creationId xmlns:a16="http://schemas.microsoft.com/office/drawing/2014/main" id="{B4201416-A0A8-8042-A98E-F853B3CB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2" name="Picture 965">
          <a:extLst>
            <a:ext uri="{FF2B5EF4-FFF2-40B4-BE49-F238E27FC236}">
              <a16:creationId xmlns:a16="http://schemas.microsoft.com/office/drawing/2014/main" id="{21F904E6-E140-DCBD-847B-AB259AA8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3" name="Picture 966">
          <a:extLst>
            <a:ext uri="{FF2B5EF4-FFF2-40B4-BE49-F238E27FC236}">
              <a16:creationId xmlns:a16="http://schemas.microsoft.com/office/drawing/2014/main" id="{4B55BD1C-A023-DFE0-9B70-CFE5DCE8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4" name="Picture 967">
          <a:extLst>
            <a:ext uri="{FF2B5EF4-FFF2-40B4-BE49-F238E27FC236}">
              <a16:creationId xmlns:a16="http://schemas.microsoft.com/office/drawing/2014/main" id="{3043FD3E-5D6F-9A11-A227-2027D4CB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5" name="Picture 968">
          <a:extLst>
            <a:ext uri="{FF2B5EF4-FFF2-40B4-BE49-F238E27FC236}">
              <a16:creationId xmlns:a16="http://schemas.microsoft.com/office/drawing/2014/main" id="{6F4EFCAD-E3E1-7399-476B-FEFFA368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6" name="Picture 969">
          <a:extLst>
            <a:ext uri="{FF2B5EF4-FFF2-40B4-BE49-F238E27FC236}">
              <a16:creationId xmlns:a16="http://schemas.microsoft.com/office/drawing/2014/main" id="{4CAE6360-EBF0-EC4A-10F6-E074B37E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7" name="Picture 970">
          <a:extLst>
            <a:ext uri="{FF2B5EF4-FFF2-40B4-BE49-F238E27FC236}">
              <a16:creationId xmlns:a16="http://schemas.microsoft.com/office/drawing/2014/main" id="{043A1106-276F-0886-7874-A56FD9FE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8" name="Picture 971">
          <a:extLst>
            <a:ext uri="{FF2B5EF4-FFF2-40B4-BE49-F238E27FC236}">
              <a16:creationId xmlns:a16="http://schemas.microsoft.com/office/drawing/2014/main" id="{B46593B1-B59A-71DF-68F8-238F4999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9" name="Picture 972">
          <a:extLst>
            <a:ext uri="{FF2B5EF4-FFF2-40B4-BE49-F238E27FC236}">
              <a16:creationId xmlns:a16="http://schemas.microsoft.com/office/drawing/2014/main" id="{C57DACD9-B03B-D2FD-1E8A-FC307097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0" name="Picture 973">
          <a:extLst>
            <a:ext uri="{FF2B5EF4-FFF2-40B4-BE49-F238E27FC236}">
              <a16:creationId xmlns:a16="http://schemas.microsoft.com/office/drawing/2014/main" id="{C421AF7E-7EF2-F49E-167C-B2E0300D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1" name="Picture 974">
          <a:extLst>
            <a:ext uri="{FF2B5EF4-FFF2-40B4-BE49-F238E27FC236}">
              <a16:creationId xmlns:a16="http://schemas.microsoft.com/office/drawing/2014/main" id="{3762B91B-79F0-F2EB-503F-AFADFC53D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2" name="Picture 975">
          <a:extLst>
            <a:ext uri="{FF2B5EF4-FFF2-40B4-BE49-F238E27FC236}">
              <a16:creationId xmlns:a16="http://schemas.microsoft.com/office/drawing/2014/main" id="{F363404D-DCFB-D92D-A890-CE13EAA3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3" name="Picture 976">
          <a:extLst>
            <a:ext uri="{FF2B5EF4-FFF2-40B4-BE49-F238E27FC236}">
              <a16:creationId xmlns:a16="http://schemas.microsoft.com/office/drawing/2014/main" id="{FA40E7AE-96D8-3CA9-5059-0D05F934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4" name="Picture 977">
          <a:extLst>
            <a:ext uri="{FF2B5EF4-FFF2-40B4-BE49-F238E27FC236}">
              <a16:creationId xmlns:a16="http://schemas.microsoft.com/office/drawing/2014/main" id="{559EDEEB-4B33-7537-5E25-AD7CB6F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5" name="Picture 978">
          <a:extLst>
            <a:ext uri="{FF2B5EF4-FFF2-40B4-BE49-F238E27FC236}">
              <a16:creationId xmlns:a16="http://schemas.microsoft.com/office/drawing/2014/main" id="{5C20FA05-D379-2CD1-899E-18658A55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6" name="Picture 979">
          <a:extLst>
            <a:ext uri="{FF2B5EF4-FFF2-40B4-BE49-F238E27FC236}">
              <a16:creationId xmlns:a16="http://schemas.microsoft.com/office/drawing/2014/main" id="{E56B348B-0D63-0CB2-40AE-47FB2AEB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7" name="Picture 980">
          <a:extLst>
            <a:ext uri="{FF2B5EF4-FFF2-40B4-BE49-F238E27FC236}">
              <a16:creationId xmlns:a16="http://schemas.microsoft.com/office/drawing/2014/main" id="{8C1849C2-09BB-146B-33B0-E380A149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8" name="Picture 981">
          <a:extLst>
            <a:ext uri="{FF2B5EF4-FFF2-40B4-BE49-F238E27FC236}">
              <a16:creationId xmlns:a16="http://schemas.microsoft.com/office/drawing/2014/main" id="{F4E627F0-E84C-668B-3898-D6FDD64D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9" name="Picture 982">
          <a:extLst>
            <a:ext uri="{FF2B5EF4-FFF2-40B4-BE49-F238E27FC236}">
              <a16:creationId xmlns:a16="http://schemas.microsoft.com/office/drawing/2014/main" id="{63F520F4-1212-2705-399A-191527EB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0" name="Picture 983">
          <a:extLst>
            <a:ext uri="{FF2B5EF4-FFF2-40B4-BE49-F238E27FC236}">
              <a16:creationId xmlns:a16="http://schemas.microsoft.com/office/drawing/2014/main" id="{71C9D2BD-6096-A1A0-4513-298491E8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1" name="Picture 984">
          <a:extLst>
            <a:ext uri="{FF2B5EF4-FFF2-40B4-BE49-F238E27FC236}">
              <a16:creationId xmlns:a16="http://schemas.microsoft.com/office/drawing/2014/main" id="{ADF3EDEE-7A8B-98E0-C245-5703EA9E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2" name="Picture 985">
          <a:extLst>
            <a:ext uri="{FF2B5EF4-FFF2-40B4-BE49-F238E27FC236}">
              <a16:creationId xmlns:a16="http://schemas.microsoft.com/office/drawing/2014/main" id="{8EAD5D06-AFCA-66E2-553C-DC51F1CA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3" name="Picture 986">
          <a:extLst>
            <a:ext uri="{FF2B5EF4-FFF2-40B4-BE49-F238E27FC236}">
              <a16:creationId xmlns:a16="http://schemas.microsoft.com/office/drawing/2014/main" id="{06501B30-3FDA-9D1A-1644-8E562D30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4" name="Picture 987">
          <a:extLst>
            <a:ext uri="{FF2B5EF4-FFF2-40B4-BE49-F238E27FC236}">
              <a16:creationId xmlns:a16="http://schemas.microsoft.com/office/drawing/2014/main" id="{B527AC60-7F39-E31F-B1BE-32AAD64D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5" name="Picture 988">
          <a:extLst>
            <a:ext uri="{FF2B5EF4-FFF2-40B4-BE49-F238E27FC236}">
              <a16:creationId xmlns:a16="http://schemas.microsoft.com/office/drawing/2014/main" id="{62E671F8-98A2-B776-7E45-0169E4E0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6" name="Picture 989">
          <a:extLst>
            <a:ext uri="{FF2B5EF4-FFF2-40B4-BE49-F238E27FC236}">
              <a16:creationId xmlns:a16="http://schemas.microsoft.com/office/drawing/2014/main" id="{8A4870C8-7737-FE8D-2014-F1EBF190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7" name="Picture 990">
          <a:extLst>
            <a:ext uri="{FF2B5EF4-FFF2-40B4-BE49-F238E27FC236}">
              <a16:creationId xmlns:a16="http://schemas.microsoft.com/office/drawing/2014/main" id="{6776F48F-9882-4C48-BD2E-7EA0D898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8" name="Picture 991">
          <a:extLst>
            <a:ext uri="{FF2B5EF4-FFF2-40B4-BE49-F238E27FC236}">
              <a16:creationId xmlns:a16="http://schemas.microsoft.com/office/drawing/2014/main" id="{128B530C-985E-E0BE-A6EE-630ED402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9" name="Picture 992">
          <a:extLst>
            <a:ext uri="{FF2B5EF4-FFF2-40B4-BE49-F238E27FC236}">
              <a16:creationId xmlns:a16="http://schemas.microsoft.com/office/drawing/2014/main" id="{4444AF69-5F30-6427-C978-16828C7B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0" name="Picture 993">
          <a:extLst>
            <a:ext uri="{FF2B5EF4-FFF2-40B4-BE49-F238E27FC236}">
              <a16:creationId xmlns:a16="http://schemas.microsoft.com/office/drawing/2014/main" id="{CDEF38BF-7F78-58E8-54A8-9BB6FAA9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1" name="Picture 994">
          <a:extLst>
            <a:ext uri="{FF2B5EF4-FFF2-40B4-BE49-F238E27FC236}">
              <a16:creationId xmlns:a16="http://schemas.microsoft.com/office/drawing/2014/main" id="{344980A4-67C3-D0CD-C8F6-BD087268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2" name="Picture 995">
          <a:extLst>
            <a:ext uri="{FF2B5EF4-FFF2-40B4-BE49-F238E27FC236}">
              <a16:creationId xmlns:a16="http://schemas.microsoft.com/office/drawing/2014/main" id="{1C4BF599-A306-2031-4D3E-D68F90EB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3" name="Picture 996">
          <a:extLst>
            <a:ext uri="{FF2B5EF4-FFF2-40B4-BE49-F238E27FC236}">
              <a16:creationId xmlns:a16="http://schemas.microsoft.com/office/drawing/2014/main" id="{D70BCC00-30CD-EDCF-A9DB-00C7DBD5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4" name="Picture 997">
          <a:extLst>
            <a:ext uri="{FF2B5EF4-FFF2-40B4-BE49-F238E27FC236}">
              <a16:creationId xmlns:a16="http://schemas.microsoft.com/office/drawing/2014/main" id="{C942FB45-C492-12AA-A817-0A8D06A0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5" name="Picture 998">
          <a:extLst>
            <a:ext uri="{FF2B5EF4-FFF2-40B4-BE49-F238E27FC236}">
              <a16:creationId xmlns:a16="http://schemas.microsoft.com/office/drawing/2014/main" id="{7F36ABBC-E2EC-7524-6A41-88C96261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6" name="Picture 999">
          <a:extLst>
            <a:ext uri="{FF2B5EF4-FFF2-40B4-BE49-F238E27FC236}">
              <a16:creationId xmlns:a16="http://schemas.microsoft.com/office/drawing/2014/main" id="{14DA8C61-D665-3435-F616-19FE9B4A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7" name="Picture 1000">
          <a:extLst>
            <a:ext uri="{FF2B5EF4-FFF2-40B4-BE49-F238E27FC236}">
              <a16:creationId xmlns:a16="http://schemas.microsoft.com/office/drawing/2014/main" id="{53A0C4DC-1F78-C120-EAC2-33E93104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8" name="Picture 1001">
          <a:extLst>
            <a:ext uri="{FF2B5EF4-FFF2-40B4-BE49-F238E27FC236}">
              <a16:creationId xmlns:a16="http://schemas.microsoft.com/office/drawing/2014/main" id="{AC61D7F3-DEC1-2D96-598C-9AB140E6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9" name="Picture 1002">
          <a:extLst>
            <a:ext uri="{FF2B5EF4-FFF2-40B4-BE49-F238E27FC236}">
              <a16:creationId xmlns:a16="http://schemas.microsoft.com/office/drawing/2014/main" id="{524456A6-A2DB-24C4-C330-82BA3648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0" name="Picture 1003">
          <a:extLst>
            <a:ext uri="{FF2B5EF4-FFF2-40B4-BE49-F238E27FC236}">
              <a16:creationId xmlns:a16="http://schemas.microsoft.com/office/drawing/2014/main" id="{14E9F44E-604C-9C4A-1901-7C6744BA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1" name="Picture 1004">
          <a:extLst>
            <a:ext uri="{FF2B5EF4-FFF2-40B4-BE49-F238E27FC236}">
              <a16:creationId xmlns:a16="http://schemas.microsoft.com/office/drawing/2014/main" id="{BDC34D5A-456B-9EE9-92ED-27A91DC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2" name="Picture 1005">
          <a:extLst>
            <a:ext uri="{FF2B5EF4-FFF2-40B4-BE49-F238E27FC236}">
              <a16:creationId xmlns:a16="http://schemas.microsoft.com/office/drawing/2014/main" id="{CC97B233-4A46-3E27-EB4B-8A4CDF1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3" name="Picture 1006">
          <a:extLst>
            <a:ext uri="{FF2B5EF4-FFF2-40B4-BE49-F238E27FC236}">
              <a16:creationId xmlns:a16="http://schemas.microsoft.com/office/drawing/2014/main" id="{F42D16FC-A1C6-EB70-7044-3F0C7EE7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4" name="Picture 1007">
          <a:extLst>
            <a:ext uri="{FF2B5EF4-FFF2-40B4-BE49-F238E27FC236}">
              <a16:creationId xmlns:a16="http://schemas.microsoft.com/office/drawing/2014/main" id="{06E0CEB4-FDDA-73AF-9E7B-324B6A4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5" name="Picture 1008">
          <a:extLst>
            <a:ext uri="{FF2B5EF4-FFF2-40B4-BE49-F238E27FC236}">
              <a16:creationId xmlns:a16="http://schemas.microsoft.com/office/drawing/2014/main" id="{F4D57223-3782-6C78-62D3-26A3DD73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6" name="Picture 1009">
          <a:extLst>
            <a:ext uri="{FF2B5EF4-FFF2-40B4-BE49-F238E27FC236}">
              <a16:creationId xmlns:a16="http://schemas.microsoft.com/office/drawing/2014/main" id="{33E8A8CF-C186-B97E-B3FF-D931586E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7" name="Picture 1010">
          <a:extLst>
            <a:ext uri="{FF2B5EF4-FFF2-40B4-BE49-F238E27FC236}">
              <a16:creationId xmlns:a16="http://schemas.microsoft.com/office/drawing/2014/main" id="{A5AB54E5-1888-0A98-C6A9-DFC45F3D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8" name="Picture 1011">
          <a:extLst>
            <a:ext uri="{FF2B5EF4-FFF2-40B4-BE49-F238E27FC236}">
              <a16:creationId xmlns:a16="http://schemas.microsoft.com/office/drawing/2014/main" id="{EEEAB3D6-1E80-2FF5-0618-7770AEF1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9" name="Picture 1012">
          <a:extLst>
            <a:ext uri="{FF2B5EF4-FFF2-40B4-BE49-F238E27FC236}">
              <a16:creationId xmlns:a16="http://schemas.microsoft.com/office/drawing/2014/main" id="{EE2B7F67-0906-0A0B-ABC0-5A463CFD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0" name="Picture 1013">
          <a:extLst>
            <a:ext uri="{FF2B5EF4-FFF2-40B4-BE49-F238E27FC236}">
              <a16:creationId xmlns:a16="http://schemas.microsoft.com/office/drawing/2014/main" id="{97D6FD53-782D-DF87-6508-80C66CE6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1" name="Picture 1014">
          <a:extLst>
            <a:ext uri="{FF2B5EF4-FFF2-40B4-BE49-F238E27FC236}">
              <a16:creationId xmlns:a16="http://schemas.microsoft.com/office/drawing/2014/main" id="{1C01B347-E54B-55BE-2FB7-FBB02DFD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2" name="Picture 1015">
          <a:extLst>
            <a:ext uri="{FF2B5EF4-FFF2-40B4-BE49-F238E27FC236}">
              <a16:creationId xmlns:a16="http://schemas.microsoft.com/office/drawing/2014/main" id="{5CC76BC2-4261-6F52-3855-468EBAB4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3" name="Picture 1016">
          <a:extLst>
            <a:ext uri="{FF2B5EF4-FFF2-40B4-BE49-F238E27FC236}">
              <a16:creationId xmlns:a16="http://schemas.microsoft.com/office/drawing/2014/main" id="{98DEE82D-3947-1541-1A4B-F34F9716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4" name="Picture 1017">
          <a:extLst>
            <a:ext uri="{FF2B5EF4-FFF2-40B4-BE49-F238E27FC236}">
              <a16:creationId xmlns:a16="http://schemas.microsoft.com/office/drawing/2014/main" id="{7393B5D2-EFD7-05E3-3F20-7A497103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5" name="Picture 1018">
          <a:extLst>
            <a:ext uri="{FF2B5EF4-FFF2-40B4-BE49-F238E27FC236}">
              <a16:creationId xmlns:a16="http://schemas.microsoft.com/office/drawing/2014/main" id="{0AE23FDC-9D1B-FA85-3128-35F53CC5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6" name="Picture 1019">
          <a:extLst>
            <a:ext uri="{FF2B5EF4-FFF2-40B4-BE49-F238E27FC236}">
              <a16:creationId xmlns:a16="http://schemas.microsoft.com/office/drawing/2014/main" id="{A0A4DFEE-601F-CA28-6F0F-234D7BD0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7" name="Picture 1020">
          <a:extLst>
            <a:ext uri="{FF2B5EF4-FFF2-40B4-BE49-F238E27FC236}">
              <a16:creationId xmlns:a16="http://schemas.microsoft.com/office/drawing/2014/main" id="{60B7ACD8-B86A-4414-E62C-EC695257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1DF4-9DA8-4D0B-A74E-A754C0D65495}">
  <dimension ref="A1:I58"/>
  <sheetViews>
    <sheetView tabSelected="1" view="pageBreakPreview" zoomScale="60" zoomScaleNormal="70" workbookViewId="0">
      <selection activeCell="Z17" sqref="Z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" x14ac:dyDescent="0.2">
      <c r="A1" s="288"/>
      <c r="B1" s="289"/>
      <c r="C1" s="294" t="s">
        <v>22</v>
      </c>
      <c r="D1" s="294"/>
      <c r="E1" s="294"/>
      <c r="F1" s="294"/>
      <c r="G1" s="294"/>
      <c r="H1" s="184" t="s">
        <v>21</v>
      </c>
      <c r="I1" s="1" t="s">
        <v>149</v>
      </c>
    </row>
    <row r="2" spans="1:9" ht="15.75" x14ac:dyDescent="0.25">
      <c r="A2" s="290"/>
      <c r="B2" s="291"/>
      <c r="C2" s="295" t="s">
        <v>0</v>
      </c>
      <c r="D2" s="295"/>
      <c r="E2" s="295"/>
      <c r="F2" s="295"/>
      <c r="G2" s="295"/>
      <c r="H2" s="185" t="s">
        <v>20</v>
      </c>
      <c r="I2" s="186" t="s">
        <v>128</v>
      </c>
    </row>
    <row r="3" spans="1:9" ht="15.95" customHeight="1" thickBot="1" x14ac:dyDescent="0.25">
      <c r="A3" s="290"/>
      <c r="B3" s="291"/>
      <c r="C3" s="296" t="s">
        <v>122</v>
      </c>
      <c r="D3" s="297"/>
      <c r="E3" s="297"/>
      <c r="F3" s="297"/>
      <c r="G3" s="298"/>
      <c r="H3" s="299" t="s">
        <v>19</v>
      </c>
      <c r="I3" s="279">
        <v>45609</v>
      </c>
    </row>
    <row r="4" spans="1:9" ht="13.5" x14ac:dyDescent="0.25">
      <c r="A4" s="290"/>
      <c r="B4" s="291"/>
      <c r="C4" s="187" t="s">
        <v>18</v>
      </c>
      <c r="D4" s="282" t="s">
        <v>129</v>
      </c>
      <c r="E4" s="283"/>
      <c r="F4" s="283"/>
      <c r="G4" s="284"/>
      <c r="H4" s="300"/>
      <c r="I4" s="280"/>
    </row>
    <row r="5" spans="1:9" ht="14.25" thickBot="1" x14ac:dyDescent="0.3">
      <c r="A5" s="292"/>
      <c r="B5" s="293"/>
      <c r="C5" s="188" t="s">
        <v>17</v>
      </c>
      <c r="D5" s="285" t="s">
        <v>130</v>
      </c>
      <c r="E5" s="286"/>
      <c r="F5" s="286"/>
      <c r="G5" s="287"/>
      <c r="H5" s="301"/>
      <c r="I5" s="281"/>
    </row>
    <row r="6" spans="1:9" ht="18.75" thickBot="1" x14ac:dyDescent="0.3">
      <c r="A6" s="302" t="s">
        <v>23</v>
      </c>
      <c r="B6" s="302"/>
      <c r="C6" s="302"/>
      <c r="D6" s="303" t="s">
        <v>131</v>
      </c>
      <c r="E6" s="303"/>
      <c r="F6" s="303"/>
      <c r="G6" s="304" t="s">
        <v>24</v>
      </c>
      <c r="H6" s="304"/>
      <c r="I6" s="13" t="s">
        <v>30</v>
      </c>
    </row>
    <row r="7" spans="1:9" x14ac:dyDescent="0.2">
      <c r="A7" s="305" t="s">
        <v>1</v>
      </c>
      <c r="B7" s="307" t="s">
        <v>132</v>
      </c>
      <c r="C7" s="309" t="s">
        <v>2</v>
      </c>
      <c r="D7" s="309" t="s">
        <v>3</v>
      </c>
      <c r="E7" s="309" t="s">
        <v>4</v>
      </c>
      <c r="F7" s="309"/>
      <c r="G7" s="309" t="s">
        <v>16</v>
      </c>
      <c r="H7" s="309"/>
      <c r="I7" s="189" t="s">
        <v>5</v>
      </c>
    </row>
    <row r="8" spans="1:9" ht="26.25" thickBot="1" x14ac:dyDescent="0.25">
      <c r="A8" s="306"/>
      <c r="B8" s="308"/>
      <c r="C8" s="310"/>
      <c r="D8" s="310"/>
      <c r="E8" s="190" t="s">
        <v>6</v>
      </c>
      <c r="F8" s="191" t="s">
        <v>7</v>
      </c>
      <c r="G8" s="190" t="s">
        <v>6</v>
      </c>
      <c r="H8" s="191" t="s">
        <v>7</v>
      </c>
      <c r="I8" s="192" t="s">
        <v>8</v>
      </c>
    </row>
    <row r="9" spans="1:9" ht="15.75" thickBot="1" x14ac:dyDescent="0.3">
      <c r="A9" s="193"/>
      <c r="B9" s="194"/>
      <c r="C9" s="195" t="s">
        <v>133</v>
      </c>
      <c r="D9" s="196"/>
      <c r="E9" s="197"/>
      <c r="F9" s="198"/>
      <c r="G9" s="197"/>
      <c r="H9" s="198"/>
      <c r="I9" s="199"/>
    </row>
    <row r="10" spans="1:9" ht="15.95" customHeight="1" x14ac:dyDescent="0.25">
      <c r="A10" s="115">
        <v>904000050</v>
      </c>
      <c r="B10" s="181" t="s">
        <v>123</v>
      </c>
      <c r="C10" s="116" t="s">
        <v>106</v>
      </c>
      <c r="D10" s="110" t="s">
        <v>102</v>
      </c>
      <c r="E10" s="111">
        <v>100</v>
      </c>
      <c r="F10" s="112" t="s">
        <v>26</v>
      </c>
      <c r="G10" s="111">
        <v>15</v>
      </c>
      <c r="H10" s="111" t="s">
        <v>134</v>
      </c>
      <c r="I10" s="199"/>
    </row>
    <row r="11" spans="1:9" ht="15.75" x14ac:dyDescent="0.25">
      <c r="A11" s="14"/>
      <c r="B11" s="14"/>
      <c r="C11" s="15"/>
      <c r="D11" s="114"/>
      <c r="E11" s="16"/>
      <c r="F11" s="12"/>
      <c r="G11" s="200"/>
      <c r="H11" s="201"/>
      <c r="I11" s="199"/>
    </row>
    <row r="12" spans="1:9" ht="15" x14ac:dyDescent="0.25">
      <c r="A12" s="14"/>
      <c r="B12" s="14"/>
      <c r="C12" s="202"/>
      <c r="D12" s="114"/>
      <c r="E12" s="16"/>
      <c r="F12" s="6"/>
      <c r="G12" s="203"/>
      <c r="H12" s="201"/>
      <c r="I12" s="199"/>
    </row>
    <row r="13" spans="1:9" ht="15" x14ac:dyDescent="0.25">
      <c r="A13" s="14"/>
      <c r="B13" s="14"/>
      <c r="C13" s="15"/>
      <c r="D13" s="114"/>
      <c r="E13" s="16"/>
      <c r="F13" s="17"/>
      <c r="G13" s="203"/>
      <c r="H13" s="201"/>
      <c r="I13" s="199"/>
    </row>
    <row r="14" spans="1:9" ht="15" x14ac:dyDescent="0.25">
      <c r="A14" s="204"/>
      <c r="B14" s="205"/>
      <c r="C14" s="206"/>
      <c r="D14" s="207"/>
      <c r="E14" s="203"/>
      <c r="F14" s="208"/>
      <c r="G14" s="203"/>
      <c r="H14" s="201"/>
      <c r="I14" s="199"/>
    </row>
    <row r="15" spans="1:9" ht="15" x14ac:dyDescent="0.25">
      <c r="A15" s="209"/>
      <c r="B15" s="210"/>
      <c r="C15" s="211"/>
      <c r="D15" s="207"/>
      <c r="E15" s="212"/>
      <c r="F15" s="213"/>
      <c r="G15" s="214"/>
      <c r="H15" s="201"/>
      <c r="I15" s="199"/>
    </row>
    <row r="16" spans="1:9" ht="15" x14ac:dyDescent="0.25">
      <c r="A16" s="209"/>
      <c r="B16" s="210"/>
      <c r="C16" s="211"/>
      <c r="D16" s="207"/>
      <c r="E16" s="212"/>
      <c r="F16" s="213"/>
      <c r="G16" s="214"/>
      <c r="H16" s="201"/>
      <c r="I16" s="199"/>
    </row>
    <row r="17" spans="1:9" ht="15" x14ac:dyDescent="0.25">
      <c r="A17" s="215"/>
      <c r="B17" s="215"/>
      <c r="C17" s="216"/>
      <c r="D17" s="217"/>
      <c r="E17" s="218"/>
      <c r="F17" s="219"/>
      <c r="G17" s="214"/>
      <c r="H17" s="201"/>
      <c r="I17" s="199"/>
    </row>
    <row r="18" spans="1:9" ht="15" x14ac:dyDescent="0.25">
      <c r="A18" s="220"/>
      <c r="B18" s="220"/>
      <c r="C18" s="221"/>
      <c r="D18" s="222"/>
      <c r="E18" s="223"/>
      <c r="F18" s="224"/>
      <c r="G18" s="225"/>
      <c r="H18" s="201"/>
      <c r="I18" s="199"/>
    </row>
    <row r="19" spans="1:9" ht="15" x14ac:dyDescent="0.25">
      <c r="A19" s="220"/>
      <c r="B19" s="220"/>
      <c r="C19" s="226"/>
      <c r="D19" s="227"/>
      <c r="E19" s="227"/>
      <c r="F19" s="228"/>
      <c r="G19" s="197"/>
      <c r="H19" s="229"/>
      <c r="I19" s="199"/>
    </row>
    <row r="20" spans="1:9" ht="15.75" x14ac:dyDescent="0.25">
      <c r="A20" s="113"/>
      <c r="B20" s="182"/>
      <c r="C20" s="230" t="s">
        <v>135</v>
      </c>
      <c r="D20" s="231" t="s">
        <v>136</v>
      </c>
      <c r="E20" s="232"/>
      <c r="F20" s="228"/>
      <c r="G20" s="197"/>
      <c r="H20" s="229"/>
      <c r="I20" s="199"/>
    </row>
    <row r="21" spans="1:9" ht="15" x14ac:dyDescent="0.25">
      <c r="A21" s="233"/>
      <c r="B21" s="234"/>
      <c r="C21" s="235"/>
      <c r="D21" s="236"/>
      <c r="E21" s="237"/>
      <c r="F21" s="238"/>
      <c r="G21" s="197"/>
      <c r="H21" s="229"/>
      <c r="I21" s="199"/>
    </row>
    <row r="22" spans="1:9" ht="15" x14ac:dyDescent="0.25">
      <c r="A22" s="239"/>
      <c r="B22" s="239"/>
      <c r="C22" s="240"/>
      <c r="D22" s="236"/>
      <c r="E22" s="237"/>
      <c r="F22" s="238"/>
      <c r="G22" s="197"/>
      <c r="H22" s="229"/>
      <c r="I22" s="199"/>
    </row>
    <row r="23" spans="1:9" ht="15" x14ac:dyDescent="0.25">
      <c r="A23" s="241"/>
      <c r="B23" s="234"/>
      <c r="C23" s="242"/>
      <c r="D23" s="236"/>
      <c r="E23" s="237"/>
      <c r="F23" s="238"/>
      <c r="G23" s="197"/>
      <c r="H23" s="229"/>
      <c r="I23" s="199"/>
    </row>
    <row r="24" spans="1:9" ht="15" x14ac:dyDescent="0.25">
      <c r="A24" s="220"/>
      <c r="B24" s="220"/>
      <c r="C24" s="226"/>
      <c r="D24" s="227"/>
      <c r="E24" s="231"/>
      <c r="F24" s="228"/>
      <c r="G24" s="197"/>
      <c r="H24" s="229"/>
      <c r="I24" s="199"/>
    </row>
    <row r="25" spans="1:9" ht="15" x14ac:dyDescent="0.25">
      <c r="A25" s="220"/>
      <c r="B25" s="220"/>
      <c r="C25" s="226"/>
      <c r="D25" s="243" t="s">
        <v>136</v>
      </c>
      <c r="E25" s="244"/>
      <c r="F25" s="245"/>
      <c r="G25" s="197"/>
      <c r="H25" s="229"/>
      <c r="I25" s="199"/>
    </row>
    <row r="26" spans="1:9" ht="15.75" x14ac:dyDescent="0.25">
      <c r="A26" s="246"/>
      <c r="B26" s="247"/>
      <c r="C26" s="248" t="s">
        <v>137</v>
      </c>
      <c r="D26" s="249" t="s">
        <v>136</v>
      </c>
      <c r="E26" s="197"/>
      <c r="F26" s="198"/>
      <c r="G26" s="197"/>
      <c r="H26" s="229"/>
      <c r="I26" s="199"/>
    </row>
    <row r="27" spans="1:9" ht="15" x14ac:dyDescent="0.25">
      <c r="A27" s="113" t="s">
        <v>138</v>
      </c>
      <c r="B27" s="182" t="s">
        <v>125</v>
      </c>
      <c r="C27" s="15" t="s">
        <v>139</v>
      </c>
      <c r="D27" s="114" t="s">
        <v>140</v>
      </c>
      <c r="E27" s="16">
        <v>1</v>
      </c>
      <c r="F27" s="17" t="s">
        <v>27</v>
      </c>
      <c r="G27" s="214"/>
      <c r="H27" s="229"/>
      <c r="I27" s="199"/>
    </row>
    <row r="28" spans="1:9" ht="15" x14ac:dyDescent="0.25">
      <c r="A28" s="113">
        <v>1952856</v>
      </c>
      <c r="B28" s="182" t="s">
        <v>124</v>
      </c>
      <c r="C28" s="15" t="s">
        <v>118</v>
      </c>
      <c r="D28" s="114" t="s">
        <v>140</v>
      </c>
      <c r="E28" s="16">
        <v>1</v>
      </c>
      <c r="F28" s="17" t="s">
        <v>27</v>
      </c>
      <c r="G28" s="250"/>
      <c r="H28" s="229"/>
      <c r="I28" s="199"/>
    </row>
    <row r="29" spans="1:9" ht="15" x14ac:dyDescent="0.25">
      <c r="A29" s="113">
        <v>702012</v>
      </c>
      <c r="B29" s="182" t="s">
        <v>126</v>
      </c>
      <c r="C29" s="15" t="s">
        <v>141</v>
      </c>
      <c r="D29" s="114" t="s">
        <v>104</v>
      </c>
      <c r="E29" s="16">
        <v>1</v>
      </c>
      <c r="F29" s="17" t="s">
        <v>27</v>
      </c>
      <c r="G29" s="197"/>
      <c r="H29" s="229"/>
      <c r="I29" s="199"/>
    </row>
    <row r="30" spans="1:9" ht="15" x14ac:dyDescent="0.25">
      <c r="A30" s="113" t="s">
        <v>105</v>
      </c>
      <c r="B30" s="182" t="s">
        <v>127</v>
      </c>
      <c r="C30" s="15" t="s">
        <v>103</v>
      </c>
      <c r="D30" s="114" t="s">
        <v>104</v>
      </c>
      <c r="E30" s="16">
        <v>1</v>
      </c>
      <c r="F30" s="17" t="s">
        <v>27</v>
      </c>
      <c r="G30" s="197"/>
      <c r="H30" s="229"/>
      <c r="I30" s="199"/>
    </row>
    <row r="31" spans="1:9" ht="15" x14ac:dyDescent="0.25">
      <c r="A31" s="180">
        <v>60100109</v>
      </c>
      <c r="B31" s="180" t="s">
        <v>142</v>
      </c>
      <c r="C31" s="15" t="s">
        <v>143</v>
      </c>
      <c r="D31" s="114" t="s">
        <v>104</v>
      </c>
      <c r="E31" s="16">
        <v>1</v>
      </c>
      <c r="F31" s="17" t="s">
        <v>27</v>
      </c>
      <c r="G31" s="197"/>
      <c r="H31" s="229"/>
      <c r="I31" s="199"/>
    </row>
    <row r="32" spans="1:9" ht="15" x14ac:dyDescent="0.25">
      <c r="A32" s="3"/>
      <c r="B32" s="183"/>
      <c r="C32" s="15"/>
      <c r="D32" s="4"/>
      <c r="E32" s="5"/>
      <c r="F32" s="6"/>
      <c r="G32" s="251"/>
      <c r="H32" s="229"/>
      <c r="I32" s="199"/>
    </row>
    <row r="33" spans="1:9" ht="15" x14ac:dyDescent="0.25">
      <c r="A33" s="252"/>
      <c r="B33" s="253"/>
      <c r="C33" s="254"/>
      <c r="D33" s="255"/>
      <c r="E33" s="256"/>
      <c r="F33" s="257"/>
      <c r="G33" s="227"/>
      <c r="H33" s="229"/>
      <c r="I33" s="199"/>
    </row>
    <row r="34" spans="1:9" ht="15" x14ac:dyDescent="0.25">
      <c r="A34" s="258"/>
      <c r="B34" s="259"/>
      <c r="C34" s="260"/>
      <c r="D34" s="261"/>
      <c r="E34" s="208"/>
      <c r="F34" s="208"/>
      <c r="G34" s="227"/>
      <c r="H34" s="229"/>
      <c r="I34" s="199"/>
    </row>
    <row r="35" spans="1:9" ht="15.75" x14ac:dyDescent="0.25">
      <c r="A35" s="220"/>
      <c r="B35" s="262"/>
      <c r="C35" s="221"/>
      <c r="D35" s="263"/>
      <c r="E35" s="264"/>
      <c r="F35" s="213"/>
      <c r="G35" s="227"/>
      <c r="H35" s="231"/>
      <c r="I35" s="199"/>
    </row>
    <row r="36" spans="1:9" ht="15.75" x14ac:dyDescent="0.25">
      <c r="A36" s="113"/>
      <c r="B36" s="182"/>
      <c r="C36" s="15"/>
      <c r="D36" s="231"/>
      <c r="E36" s="231"/>
      <c r="F36" s="228"/>
      <c r="G36" s="265"/>
      <c r="H36" s="265"/>
      <c r="I36" s="199"/>
    </row>
    <row r="37" spans="1:9" ht="14.25" thickBot="1" x14ac:dyDescent="0.3">
      <c r="A37" s="266"/>
      <c r="B37" s="267"/>
      <c r="C37" s="268"/>
      <c r="D37" s="268"/>
      <c r="E37" s="269"/>
      <c r="F37" s="270"/>
      <c r="G37" s="268"/>
      <c r="H37" s="268"/>
      <c r="I37" s="271"/>
    </row>
    <row r="38" spans="1:9" ht="14.25" thickBot="1" x14ac:dyDescent="0.3">
      <c r="A38" s="272"/>
      <c r="B38" s="273"/>
      <c r="C38" s="274"/>
      <c r="D38" s="275" t="s">
        <v>6</v>
      </c>
      <c r="E38" s="276" t="s">
        <v>15</v>
      </c>
      <c r="F38" s="277"/>
      <c r="G38" s="274"/>
      <c r="H38" s="274"/>
      <c r="I38" s="278"/>
    </row>
    <row r="39" spans="1:9" ht="13.5" x14ac:dyDescent="0.25">
      <c r="A39" s="311" t="s">
        <v>10</v>
      </c>
      <c r="B39" s="312"/>
      <c r="C39" s="313"/>
      <c r="D39" s="7">
        <v>100</v>
      </c>
      <c r="E39" s="8" t="s">
        <v>26</v>
      </c>
      <c r="F39" s="314" t="s">
        <v>144</v>
      </c>
      <c r="G39" s="314"/>
      <c r="H39" s="315"/>
      <c r="I39" s="316"/>
    </row>
    <row r="40" spans="1:9" ht="13.5" x14ac:dyDescent="0.25">
      <c r="A40" s="317" t="s">
        <v>9</v>
      </c>
      <c r="B40" s="318"/>
      <c r="C40" s="319"/>
      <c r="D40" s="9">
        <v>1</v>
      </c>
      <c r="E40" s="2" t="s">
        <v>29</v>
      </c>
      <c r="F40" s="320" t="s">
        <v>145</v>
      </c>
      <c r="G40" s="320"/>
      <c r="H40" s="321"/>
      <c r="I40" s="322"/>
    </row>
    <row r="41" spans="1:9" ht="13.5" x14ac:dyDescent="0.25">
      <c r="A41" s="317" t="s">
        <v>14</v>
      </c>
      <c r="B41" s="318"/>
      <c r="C41" s="319"/>
      <c r="D41" s="2">
        <v>1</v>
      </c>
      <c r="E41" s="2" t="s">
        <v>27</v>
      </c>
      <c r="F41" s="320" t="s">
        <v>146</v>
      </c>
      <c r="G41" s="320"/>
      <c r="H41" s="321"/>
      <c r="I41" s="322"/>
    </row>
    <row r="42" spans="1:9" ht="13.5" x14ac:dyDescent="0.25">
      <c r="A42" s="317" t="s">
        <v>13</v>
      </c>
      <c r="B42" s="318"/>
      <c r="C42" s="319"/>
      <c r="D42" s="2">
        <v>100</v>
      </c>
      <c r="E42" s="2" t="s">
        <v>26</v>
      </c>
      <c r="F42" s="326" t="s">
        <v>147</v>
      </c>
      <c r="G42" s="327"/>
      <c r="H42" s="321"/>
      <c r="I42" s="322"/>
    </row>
    <row r="43" spans="1:9" ht="14.25" thickBot="1" x14ac:dyDescent="0.3">
      <c r="A43" s="328" t="s">
        <v>12</v>
      </c>
      <c r="B43" s="329"/>
      <c r="C43" s="330"/>
      <c r="D43" s="10">
        <v>0</v>
      </c>
      <c r="E43" s="11" t="s">
        <v>26</v>
      </c>
      <c r="F43" s="331"/>
      <c r="G43" s="331"/>
      <c r="H43" s="332"/>
      <c r="I43" s="333"/>
    </row>
    <row r="44" spans="1:9" ht="13.5" thickBot="1" x14ac:dyDescent="0.25">
      <c r="A44" s="334" t="s">
        <v>11</v>
      </c>
      <c r="B44" s="335"/>
      <c r="C44" s="335"/>
      <c r="D44" s="335"/>
      <c r="E44" s="335"/>
      <c r="F44" s="335"/>
      <c r="G44" s="335"/>
      <c r="H44" s="335"/>
      <c r="I44" s="336"/>
    </row>
    <row r="45" spans="1:9" ht="14.45" customHeight="1" x14ac:dyDescent="0.25">
      <c r="A45" s="323" t="s">
        <v>119</v>
      </c>
      <c r="B45" s="324"/>
      <c r="C45" s="324"/>
      <c r="D45" s="324"/>
      <c r="E45" s="324"/>
      <c r="F45" s="324"/>
      <c r="G45" s="324"/>
      <c r="H45" s="324"/>
      <c r="I45" s="325"/>
    </row>
    <row r="46" spans="1:9" ht="14.45" customHeight="1" x14ac:dyDescent="0.25">
      <c r="A46" s="323" t="s">
        <v>120</v>
      </c>
      <c r="B46" s="324"/>
      <c r="C46" s="324"/>
      <c r="D46" s="324"/>
      <c r="E46" s="324"/>
      <c r="F46" s="324"/>
      <c r="G46" s="324"/>
      <c r="H46" s="324"/>
      <c r="I46" s="325"/>
    </row>
    <row r="47" spans="1:9" ht="14.45" customHeight="1" x14ac:dyDescent="0.25">
      <c r="A47" s="339" t="s">
        <v>121</v>
      </c>
      <c r="B47" s="340"/>
      <c r="C47" s="340"/>
      <c r="D47" s="340"/>
      <c r="E47" s="340"/>
      <c r="F47" s="340"/>
      <c r="G47" s="340"/>
      <c r="H47" s="340"/>
      <c r="I47" s="341"/>
    </row>
    <row r="48" spans="1:9" ht="14.45" customHeight="1" x14ac:dyDescent="0.25">
      <c r="A48" s="323" t="s">
        <v>117</v>
      </c>
      <c r="B48" s="324"/>
      <c r="C48" s="324"/>
      <c r="D48" s="324"/>
      <c r="E48" s="324"/>
      <c r="F48" s="324"/>
      <c r="G48" s="324"/>
      <c r="H48" s="324"/>
      <c r="I48" s="325"/>
    </row>
    <row r="49" spans="1:9" ht="13.5" x14ac:dyDescent="0.25">
      <c r="A49" s="342"/>
      <c r="B49" s="343"/>
      <c r="C49" s="343"/>
      <c r="D49" s="343"/>
      <c r="E49" s="343"/>
      <c r="F49" s="343"/>
      <c r="G49" s="343"/>
      <c r="H49" s="343"/>
      <c r="I49" s="344"/>
    </row>
    <row r="50" spans="1:9" ht="13.5" x14ac:dyDescent="0.25">
      <c r="A50" s="345"/>
      <c r="B50" s="346"/>
      <c r="C50" s="346"/>
      <c r="D50" s="346"/>
      <c r="E50" s="346"/>
      <c r="F50" s="346"/>
      <c r="G50" s="346"/>
      <c r="H50" s="346"/>
      <c r="I50" s="347"/>
    </row>
    <row r="51" spans="1:9" ht="13.5" x14ac:dyDescent="0.25">
      <c r="A51" s="342"/>
      <c r="B51" s="343"/>
      <c r="C51" s="343"/>
      <c r="D51" s="343"/>
      <c r="E51" s="343"/>
      <c r="F51" s="343"/>
      <c r="G51" s="343"/>
      <c r="H51" s="343"/>
      <c r="I51" s="344"/>
    </row>
    <row r="52" spans="1:9" ht="13.5" x14ac:dyDescent="0.25">
      <c r="A52" s="342"/>
      <c r="B52" s="343"/>
      <c r="C52" s="343"/>
      <c r="D52" s="343"/>
      <c r="E52" s="343"/>
      <c r="F52" s="343"/>
      <c r="G52" s="343"/>
      <c r="H52" s="343"/>
      <c r="I52" s="344"/>
    </row>
    <row r="53" spans="1:9" ht="18" customHeight="1" x14ac:dyDescent="0.25">
      <c r="A53" s="342"/>
      <c r="B53" s="343"/>
      <c r="C53" s="343"/>
      <c r="D53" s="343"/>
      <c r="E53" s="343"/>
      <c r="F53" s="343"/>
      <c r="G53" s="343"/>
      <c r="H53" s="343"/>
      <c r="I53" s="344"/>
    </row>
    <row r="54" spans="1:9" ht="13.5" x14ac:dyDescent="0.25">
      <c r="A54" s="342"/>
      <c r="B54" s="343"/>
      <c r="C54" s="343"/>
      <c r="D54" s="343"/>
      <c r="E54" s="343"/>
      <c r="F54" s="343"/>
      <c r="G54" s="343"/>
      <c r="H54" s="343"/>
      <c r="I54" s="344"/>
    </row>
    <row r="55" spans="1:9" ht="14.25" thickBot="1" x14ac:dyDescent="0.3">
      <c r="A55" s="348"/>
      <c r="B55" s="349"/>
      <c r="C55" s="349"/>
      <c r="D55" s="349"/>
      <c r="E55" s="349"/>
      <c r="F55" s="349"/>
      <c r="G55" s="349"/>
      <c r="H55" s="349"/>
      <c r="I55" s="350"/>
    </row>
    <row r="56" spans="1:9" x14ac:dyDescent="0.2">
      <c r="A56" s="351" t="s">
        <v>148</v>
      </c>
      <c r="B56" s="352"/>
      <c r="C56" s="352"/>
      <c r="D56" s="352"/>
      <c r="E56" s="352"/>
      <c r="F56" s="352"/>
      <c r="G56" s="352"/>
      <c r="H56" s="352"/>
      <c r="I56" s="352"/>
    </row>
    <row r="57" spans="1:9" ht="13.5" x14ac:dyDescent="0.25">
      <c r="A57" s="337"/>
      <c r="B57" s="338"/>
      <c r="C57" s="338"/>
      <c r="D57" s="338"/>
      <c r="E57" s="338"/>
      <c r="F57" s="338"/>
      <c r="G57" s="338"/>
      <c r="H57" s="338"/>
      <c r="I57" s="338"/>
    </row>
    <row r="58" spans="1:9" ht="13.5" x14ac:dyDescent="0.25">
      <c r="A58" s="337"/>
      <c r="B58" s="338"/>
      <c r="C58" s="338"/>
      <c r="D58" s="338"/>
      <c r="E58" s="338"/>
      <c r="F58" s="338"/>
      <c r="G58" s="338"/>
      <c r="H58" s="338"/>
      <c r="I58" s="338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workbookViewId="0">
      <selection activeCell="B44" sqref="B44"/>
    </sheetView>
  </sheetViews>
  <sheetFormatPr baseColWidth="10" defaultColWidth="8.42578125" defaultRowHeight="12.75" x14ac:dyDescent="0.2"/>
  <cols>
    <col min="1" max="1" width="10" style="23" bestFit="1" customWidth="1"/>
    <col min="2" max="2" width="44.28515625" style="23" bestFit="1" customWidth="1"/>
    <col min="3" max="3" width="10.42578125" style="23" bestFit="1" customWidth="1"/>
    <col min="4" max="4" width="10.42578125" style="23" customWidth="1"/>
    <col min="5" max="5" width="9.7109375" style="23" bestFit="1" customWidth="1"/>
    <col min="6" max="6" width="9.5703125" style="23" bestFit="1" customWidth="1"/>
    <col min="7" max="7" width="9.5703125" style="149" bestFit="1" customWidth="1"/>
    <col min="8" max="8" width="10.42578125" style="69" bestFit="1" customWidth="1"/>
    <col min="9" max="9" width="4.5703125" style="69" customWidth="1"/>
    <col min="10" max="10" width="1.85546875" style="22" customWidth="1"/>
    <col min="11" max="11" width="7" style="23" bestFit="1" customWidth="1"/>
    <col min="12" max="12" width="6.28515625" style="23" customWidth="1"/>
    <col min="13" max="13" width="20.42578125" style="23" customWidth="1"/>
    <col min="14" max="14" width="6.42578125" style="23" bestFit="1" customWidth="1"/>
    <col min="15" max="16" width="8.42578125" style="23"/>
    <col min="17" max="17" width="3.28515625" style="23" customWidth="1"/>
    <col min="18" max="16384" width="8.42578125" style="23"/>
  </cols>
  <sheetData>
    <row r="1" spans="1:10" ht="27.75" customHeight="1" x14ac:dyDescent="0.2">
      <c r="A1" s="18"/>
      <c r="B1" s="18"/>
      <c r="C1" s="18"/>
      <c r="D1" s="18"/>
      <c r="E1" s="19" t="s">
        <v>31</v>
      </c>
      <c r="F1" s="20" t="s">
        <v>32</v>
      </c>
      <c r="G1" s="20" t="s">
        <v>33</v>
      </c>
      <c r="H1" s="20" t="s">
        <v>34</v>
      </c>
      <c r="I1" s="21"/>
    </row>
    <row r="2" spans="1:10" ht="30.75" customHeight="1" x14ac:dyDescent="0.2">
      <c r="A2" s="18"/>
      <c r="B2" s="18"/>
      <c r="C2" s="18"/>
      <c r="D2" s="18"/>
      <c r="E2" s="117">
        <f>IFERROR(O62,"")</f>
        <v>690.40658030483462</v>
      </c>
      <c r="F2" s="117">
        <f>IFERROR(H53,"")</f>
        <v>352.60808774592374</v>
      </c>
      <c r="G2" s="117">
        <f>IFERROR(H54,"")</f>
        <v>162.62070352634092</v>
      </c>
      <c r="H2" s="117">
        <f>IFERROR(H56,"")</f>
        <v>27.5</v>
      </c>
      <c r="I2" s="118"/>
    </row>
    <row r="3" spans="1:10" ht="15" customHeight="1" x14ac:dyDescent="0.2">
      <c r="A3" s="18"/>
      <c r="B3" s="18"/>
      <c r="C3" s="18"/>
      <c r="D3" s="18"/>
      <c r="E3" s="18"/>
      <c r="F3" s="119"/>
      <c r="G3" s="119"/>
      <c r="H3" s="119"/>
      <c r="I3" s="119"/>
    </row>
    <row r="4" spans="1:10" ht="24.75" customHeight="1" thickBot="1" x14ac:dyDescent="0.25">
      <c r="A4" s="354"/>
      <c r="B4" s="354"/>
      <c r="C4" s="354"/>
      <c r="D4" s="354"/>
      <c r="E4" s="354"/>
      <c r="F4" s="354"/>
      <c r="G4" s="354"/>
      <c r="H4" s="354"/>
      <c r="I4" s="24"/>
    </row>
    <row r="5" spans="1:10" ht="19.5" customHeight="1" thickBot="1" x14ac:dyDescent="0.25">
      <c r="A5" s="355" t="s">
        <v>35</v>
      </c>
      <c r="B5" s="356"/>
      <c r="C5" s="356"/>
      <c r="D5" s="356"/>
      <c r="E5" s="356"/>
      <c r="F5" s="356"/>
      <c r="G5" s="356"/>
      <c r="H5" s="357"/>
      <c r="I5" s="25"/>
    </row>
    <row r="6" spans="1:10" ht="19.5" thickBot="1" x14ac:dyDescent="0.25">
      <c r="A6" s="25"/>
      <c r="B6" s="25"/>
      <c r="C6" s="25"/>
      <c r="D6" s="25"/>
      <c r="E6" s="25"/>
      <c r="F6" s="358" t="s">
        <v>36</v>
      </c>
      <c r="G6" s="358"/>
      <c r="H6" s="26">
        <f ca="1">TODAY()</f>
        <v>45745</v>
      </c>
      <c r="I6" s="26"/>
    </row>
    <row r="7" spans="1:10" ht="26.25" hidden="1" thickBot="1" x14ac:dyDescent="0.25">
      <c r="A7" s="27" t="s">
        <v>37</v>
      </c>
      <c r="B7" s="28" t="s">
        <v>38</v>
      </c>
      <c r="C7" s="28" t="s">
        <v>37</v>
      </c>
      <c r="D7" s="29" t="s">
        <v>39</v>
      </c>
      <c r="E7" s="29" t="s">
        <v>40</v>
      </c>
      <c r="F7" s="29" t="s">
        <v>41</v>
      </c>
      <c r="G7" s="29" t="s">
        <v>42</v>
      </c>
      <c r="H7" s="30" t="s">
        <v>43</v>
      </c>
      <c r="I7" s="31"/>
    </row>
    <row r="8" spans="1:10" ht="13.5" hidden="1" x14ac:dyDescent="0.25">
      <c r="A8" s="32"/>
      <c r="B8" s="23" t="str">
        <f>IFERROR(VLOOKUP(H8,'[1]Consolidado MP Planta'!$A$2:$M$823,3,0),"")</f>
        <v/>
      </c>
      <c r="C8" s="120">
        <f>+A8</f>
        <v>0</v>
      </c>
      <c r="D8" s="121" t="str">
        <f>IFERROR(VLOOKUP(H8,'[1]Consolidado MP Planta'!$A$2:$M$823,13,0),"")</f>
        <v/>
      </c>
      <c r="E8" s="121" t="str">
        <f>IFERROR(VLOOKUP(H8,'[1]Consolidado MP Planta'!$A$2:$M$823,12,0),"")</f>
        <v/>
      </c>
      <c r="F8" s="121" t="str">
        <f>IFERROR(C8*E8,"")</f>
        <v/>
      </c>
      <c r="G8" s="122" t="str">
        <f t="shared" ref="G8:G14" si="0">IFERROR(F8/$F$66,"")</f>
        <v/>
      </c>
      <c r="H8" s="33"/>
      <c r="I8" s="33"/>
      <c r="J8" s="123"/>
    </row>
    <row r="9" spans="1:10" ht="13.5" hidden="1" x14ac:dyDescent="0.25">
      <c r="A9" s="32"/>
      <c r="B9" s="23" t="str">
        <f>IFERROR(VLOOKUP(H9,'[1]Consolidado MP Planta'!$A$2:$M$823,3,0),"")</f>
        <v/>
      </c>
      <c r="C9" s="120">
        <f t="shared" ref="C9:C14" si="1">+A9</f>
        <v>0</v>
      </c>
      <c r="D9" s="121" t="str">
        <f>IFERROR(VLOOKUP(H9,'[1]Consolidado MP Planta'!$A$2:$M$823,13,0),"")</f>
        <v/>
      </c>
      <c r="E9" s="121" t="str">
        <f>IFERROR(VLOOKUP(H9,'[1]Consolidado MP Planta'!$A$2:$M$823,12,0),"")</f>
        <v/>
      </c>
      <c r="F9" s="121" t="str">
        <f t="shared" ref="F9:F14" si="2">IFERROR(C9*E9,"")</f>
        <v/>
      </c>
      <c r="G9" s="122" t="str">
        <f t="shared" si="0"/>
        <v/>
      </c>
      <c r="H9" s="33"/>
      <c r="I9" s="33"/>
      <c r="J9" s="123"/>
    </row>
    <row r="10" spans="1:10" ht="13.5" hidden="1" x14ac:dyDescent="0.25">
      <c r="A10" s="32"/>
      <c r="B10" s="23" t="str">
        <f>IFERROR(VLOOKUP(H10,'[1]Consolidado MP Planta'!$A$2:$M$823,3,0),"")</f>
        <v/>
      </c>
      <c r="C10" s="120">
        <f t="shared" si="1"/>
        <v>0</v>
      </c>
      <c r="D10" s="121" t="str">
        <f>IFERROR(VLOOKUP(H10,'[1]Consolidado MP Planta'!$A$2:$M$823,13,0),"")</f>
        <v/>
      </c>
      <c r="E10" s="121" t="str">
        <f>IFERROR(VLOOKUP(H10,'[1]Consolidado MP Planta'!$A$2:$M$823,12,0),"")</f>
        <v/>
      </c>
      <c r="F10" s="121" t="str">
        <f t="shared" si="2"/>
        <v/>
      </c>
      <c r="G10" s="122" t="str">
        <f t="shared" si="0"/>
        <v/>
      </c>
      <c r="H10" s="33"/>
      <c r="I10" s="33"/>
      <c r="J10" s="123"/>
    </row>
    <row r="11" spans="1:10" ht="13.5" hidden="1" x14ac:dyDescent="0.25">
      <c r="A11" s="32"/>
      <c r="B11" s="23" t="str">
        <f>IFERROR(VLOOKUP(H11,'[1]Consolidado MP Planta'!$A$2:$M$823,3,0),"")</f>
        <v/>
      </c>
      <c r="C11" s="120">
        <f t="shared" si="1"/>
        <v>0</v>
      </c>
      <c r="D11" s="121" t="str">
        <f>IFERROR(VLOOKUP(H11,'[1]Consolidado MP Planta'!$A$2:$M$823,13,0),"")</f>
        <v/>
      </c>
      <c r="E11" s="121" t="str">
        <f>IFERROR(VLOOKUP(H11,'[1]Consolidado MP Planta'!$A$2:$M$823,12,0),"")</f>
        <v/>
      </c>
      <c r="F11" s="121" t="str">
        <f t="shared" si="2"/>
        <v/>
      </c>
      <c r="G11" s="122" t="str">
        <f t="shared" si="0"/>
        <v/>
      </c>
      <c r="H11" s="33"/>
      <c r="I11" s="33"/>
      <c r="J11" s="123"/>
    </row>
    <row r="12" spans="1:10" ht="13.5" hidden="1" x14ac:dyDescent="0.25">
      <c r="A12" s="32"/>
      <c r="B12" s="23" t="str">
        <f>IFERROR(VLOOKUP(H12,'[1]Consolidado MP Planta'!$A$2:$M$823,3,0),"")</f>
        <v/>
      </c>
      <c r="C12" s="120">
        <f t="shared" si="1"/>
        <v>0</v>
      </c>
      <c r="D12" s="121" t="str">
        <f>IFERROR(VLOOKUP(H12,'[1]Consolidado MP Planta'!$A$2:$M$823,13,0),"")</f>
        <v/>
      </c>
      <c r="E12" s="121" t="str">
        <f>IFERROR(VLOOKUP(H12,'[1]Consolidado MP Planta'!$A$2:$M$823,12,0),"")</f>
        <v/>
      </c>
      <c r="F12" s="121" t="str">
        <f t="shared" si="2"/>
        <v/>
      </c>
      <c r="G12" s="122" t="str">
        <f t="shared" si="0"/>
        <v/>
      </c>
      <c r="H12" s="33"/>
      <c r="I12" s="33"/>
      <c r="J12" s="123"/>
    </row>
    <row r="13" spans="1:10" ht="13.5" hidden="1" x14ac:dyDescent="0.25">
      <c r="A13" s="32"/>
      <c r="B13" s="23" t="str">
        <f>IFERROR(VLOOKUP(H13,'[1]Consolidado MP Planta'!$A$2:$M$823,3,0),"")</f>
        <v/>
      </c>
      <c r="C13" s="120">
        <f t="shared" si="1"/>
        <v>0</v>
      </c>
      <c r="D13" s="121" t="str">
        <f>IFERROR(VLOOKUP(H13,'[1]Consolidado MP Planta'!$A$2:$M$823,13,0),"")</f>
        <v/>
      </c>
      <c r="E13" s="121" t="str">
        <f>IFERROR(VLOOKUP(H13,'[1]Consolidado MP Planta'!$A$2:$M$823,12,0),"")</f>
        <v/>
      </c>
      <c r="F13" s="121" t="str">
        <f t="shared" si="2"/>
        <v/>
      </c>
      <c r="G13" s="122" t="str">
        <f t="shared" si="0"/>
        <v/>
      </c>
      <c r="H13" s="33"/>
      <c r="I13" s="33"/>
      <c r="J13" s="123"/>
    </row>
    <row r="14" spans="1:10" ht="13.5" hidden="1" x14ac:dyDescent="0.25">
      <c r="A14" s="32"/>
      <c r="B14" s="23" t="str">
        <f>IFERROR(VLOOKUP(H14,'[1]Consolidado MP Planta'!$A$2:$M$823,3,0),"")</f>
        <v/>
      </c>
      <c r="C14" s="120">
        <f t="shared" si="1"/>
        <v>0</v>
      </c>
      <c r="D14" s="121" t="str">
        <f>IFERROR(VLOOKUP(H14,'[1]Consolidado MP Planta'!$A$2:$M$823,13,0),"")</f>
        <v/>
      </c>
      <c r="E14" s="121" t="str">
        <f>IFERROR(VLOOKUP(H14,'[1]Consolidado MP Planta'!$A$2:$M$823,12,0),"")</f>
        <v/>
      </c>
      <c r="F14" s="121" t="str">
        <f t="shared" si="2"/>
        <v/>
      </c>
      <c r="G14" s="122" t="str">
        <f t="shared" si="0"/>
        <v/>
      </c>
      <c r="H14" s="33"/>
      <c r="I14" s="33"/>
      <c r="J14" s="123"/>
    </row>
    <row r="15" spans="1:10" ht="14.25" hidden="1" thickBot="1" x14ac:dyDescent="0.3">
      <c r="A15" s="32"/>
      <c r="B15" s="23" t="str">
        <f>IFERROR(VLOOKUP(H15,'[2]Consolidado MP Planta'!$A$2:$G$589,2,0),"")</f>
        <v/>
      </c>
      <c r="C15" s="120"/>
      <c r="D15" s="121"/>
      <c r="E15" s="121"/>
      <c r="F15" s="121"/>
      <c r="G15" s="122"/>
      <c r="H15" s="33"/>
      <c r="I15" s="33"/>
      <c r="J15" s="123"/>
    </row>
    <row r="16" spans="1:10" ht="26.25" thickBot="1" x14ac:dyDescent="0.25">
      <c r="A16" s="27" t="s">
        <v>37</v>
      </c>
      <c r="B16" s="28" t="s">
        <v>44</v>
      </c>
      <c r="C16" s="28" t="s">
        <v>37</v>
      </c>
      <c r="D16" s="29" t="s">
        <v>39</v>
      </c>
      <c r="E16" s="29" t="s">
        <v>40</v>
      </c>
      <c r="F16" s="29" t="s">
        <v>41</v>
      </c>
      <c r="G16" s="29" t="s">
        <v>42</v>
      </c>
      <c r="H16" s="30" t="s">
        <v>43</v>
      </c>
      <c r="I16" s="31"/>
      <c r="J16" s="123"/>
    </row>
    <row r="17" spans="1:12" ht="13.5" x14ac:dyDescent="0.25">
      <c r="A17" s="32">
        <v>14</v>
      </c>
      <c r="B17" s="23" t="s">
        <v>106</v>
      </c>
      <c r="C17" s="120">
        <f>+A17</f>
        <v>14</v>
      </c>
      <c r="D17" s="120" t="s">
        <v>101</v>
      </c>
      <c r="E17" s="121">
        <v>25.186291981851696</v>
      </c>
      <c r="F17" s="121">
        <f>IFERROR(E17*C17,"")</f>
        <v>352.60808774592374</v>
      </c>
      <c r="G17" s="122">
        <f>IFERROR(F17/$F$66,"")</f>
        <v>0.6413610471668878</v>
      </c>
      <c r="H17" s="33" t="s">
        <v>108</v>
      </c>
      <c r="I17" s="33"/>
      <c r="J17" s="123"/>
    </row>
    <row r="18" spans="1:12" ht="13.5" hidden="1" x14ac:dyDescent="0.25">
      <c r="A18" s="32"/>
      <c r="B18" s="23" t="str">
        <f>IFERROR(VLOOKUP(H18,[1]SEMIELABORADOS!$A$2:$M$6000,2,0),"")</f>
        <v/>
      </c>
      <c r="C18" s="120">
        <f t="shared" ref="C18:C24" si="3">+A18</f>
        <v>0</v>
      </c>
      <c r="D18" s="120" t="str">
        <f>IFERROR(VLOOKUP(H18,[1]SEMIELABORADOS!$A$2:$M$6000,6,0),"")</f>
        <v/>
      </c>
      <c r="E18" s="121" t="str">
        <f>IFERROR(VLOOKUP(H18,[1]SEMIELABORADOS!$A$2:$H$65536,8,0),"")</f>
        <v/>
      </c>
      <c r="F18" s="121" t="str">
        <f t="shared" ref="F18:F24" si="4">IFERROR(E18*C18,"")</f>
        <v/>
      </c>
      <c r="G18" s="122" t="str">
        <f t="shared" ref="G18:G24" si="5">IFERROR(F18/$F$66,"")</f>
        <v/>
      </c>
      <c r="H18" s="33"/>
      <c r="I18" s="33"/>
      <c r="J18" s="123"/>
    </row>
    <row r="19" spans="1:12" ht="13.5" hidden="1" x14ac:dyDescent="0.25">
      <c r="A19" s="32"/>
      <c r="B19" s="23" t="str">
        <f>IFERROR(VLOOKUP(H19,[1]SEMIELABORADOS!$A$2:$M$6000,2,0),"")</f>
        <v/>
      </c>
      <c r="C19" s="120">
        <f t="shared" si="3"/>
        <v>0</v>
      </c>
      <c r="D19" s="120" t="str">
        <f>IFERROR(VLOOKUP(H19,[1]SEMIELABORADOS!$A$2:$M$6000,6,0),"")</f>
        <v/>
      </c>
      <c r="E19" s="121" t="str">
        <f>IFERROR(VLOOKUP(H19,[1]SEMIELABORADOS!$A$2:$H$65536,8,0),"")</f>
        <v/>
      </c>
      <c r="F19" s="121" t="str">
        <f t="shared" si="4"/>
        <v/>
      </c>
      <c r="G19" s="122" t="str">
        <f t="shared" si="5"/>
        <v/>
      </c>
      <c r="H19" s="33"/>
      <c r="I19" s="33"/>
      <c r="J19" s="123"/>
    </row>
    <row r="20" spans="1:12" ht="13.5" hidden="1" x14ac:dyDescent="0.25">
      <c r="A20" s="32"/>
      <c r="B20" s="23" t="str">
        <f>IFERROR(VLOOKUP(H20,[1]SEMIELABORADOS!$A$2:$M$6000,2,0),"")</f>
        <v/>
      </c>
      <c r="C20" s="120">
        <f t="shared" si="3"/>
        <v>0</v>
      </c>
      <c r="D20" s="120" t="str">
        <f>IFERROR(VLOOKUP(H20,[1]SEMIELABORADOS!$A$2:$M$6000,6,0),"")</f>
        <v/>
      </c>
      <c r="E20" s="121" t="str">
        <f>IFERROR(VLOOKUP(H20,[1]SEMIELABORADOS!$A$2:$H$65536,8,0),"")</f>
        <v/>
      </c>
      <c r="F20" s="121" t="str">
        <f t="shared" si="4"/>
        <v/>
      </c>
      <c r="G20" s="122" t="str">
        <f t="shared" si="5"/>
        <v/>
      </c>
      <c r="H20" s="35"/>
      <c r="I20" s="33"/>
      <c r="J20" s="123"/>
    </row>
    <row r="21" spans="1:12" ht="13.5" hidden="1" x14ac:dyDescent="0.25">
      <c r="A21" s="32"/>
      <c r="B21" s="23" t="str">
        <f>IFERROR(VLOOKUP(H21,[1]SEMIELABORADOS!$A$2:$M$6000,2,0),"")</f>
        <v/>
      </c>
      <c r="C21" s="120">
        <f t="shared" si="3"/>
        <v>0</v>
      </c>
      <c r="D21" s="120" t="str">
        <f>IFERROR(VLOOKUP(H21,[1]SEMIELABORADOS!$A$2:$M$6000,6,0),"")</f>
        <v/>
      </c>
      <c r="E21" s="121" t="str">
        <f>IFERROR(VLOOKUP(H21,[1]SEMIELABORADOS!$A$2:$H$65536,8,0),"")</f>
        <v/>
      </c>
      <c r="F21" s="121" t="str">
        <f t="shared" si="4"/>
        <v/>
      </c>
      <c r="G21" s="122" t="str">
        <f t="shared" si="5"/>
        <v/>
      </c>
      <c r="H21" s="35"/>
      <c r="I21" s="33"/>
      <c r="J21" s="123"/>
    </row>
    <row r="22" spans="1:12" ht="13.5" hidden="1" x14ac:dyDescent="0.25">
      <c r="A22" s="32"/>
      <c r="B22" s="23" t="str">
        <f>IFERROR(VLOOKUP(H22,[1]SEMIELABORADOS!$A$2:$M$6000,2,0),"")</f>
        <v/>
      </c>
      <c r="C22" s="120">
        <f t="shared" si="3"/>
        <v>0</v>
      </c>
      <c r="D22" s="120" t="str">
        <f>IFERROR(VLOOKUP(H22,[1]SEMIELABORADOS!$A$2:$M$6000,6,0),"")</f>
        <v/>
      </c>
      <c r="E22" s="121" t="str">
        <f>IFERROR(VLOOKUP(H22,[1]SEMIELABORADOS!$A$2:$H$65536,8,0),"")</f>
        <v/>
      </c>
      <c r="F22" s="121" t="str">
        <f t="shared" si="4"/>
        <v/>
      </c>
      <c r="G22" s="122" t="str">
        <f t="shared" si="5"/>
        <v/>
      </c>
      <c r="H22" s="35"/>
      <c r="I22" s="33"/>
      <c r="J22" s="123"/>
    </row>
    <row r="23" spans="1:12" ht="13.5" hidden="1" x14ac:dyDescent="0.25">
      <c r="A23" s="32"/>
      <c r="B23" s="23" t="str">
        <f>IFERROR(VLOOKUP(H23,[1]SEMIELABORADOS!$A$2:$M$6000,2,0),"")</f>
        <v/>
      </c>
      <c r="C23" s="120">
        <f t="shared" si="3"/>
        <v>0</v>
      </c>
      <c r="D23" s="120" t="str">
        <f>IFERROR(VLOOKUP(H23,[1]SEMIELABORADOS!$A$2:$M$6000,6,0),"")</f>
        <v/>
      </c>
      <c r="E23" s="121" t="str">
        <f>IFERROR(VLOOKUP(H23,[1]SEMIELABORADOS!$A$2:$H$65536,8,0),"")</f>
        <v/>
      </c>
      <c r="F23" s="121" t="str">
        <f t="shared" si="4"/>
        <v/>
      </c>
      <c r="G23" s="122" t="str">
        <f t="shared" si="5"/>
        <v/>
      </c>
      <c r="H23" s="35"/>
      <c r="I23" s="33"/>
      <c r="J23" s="123"/>
    </row>
    <row r="24" spans="1:12" ht="13.5" hidden="1" x14ac:dyDescent="0.25">
      <c r="A24" s="32"/>
      <c r="B24" s="23" t="str">
        <f>IFERROR(VLOOKUP(H24,[1]SEMIELABORADOS!$A$2:$M$6000,2,0),"")</f>
        <v/>
      </c>
      <c r="C24" s="120">
        <f t="shared" si="3"/>
        <v>0</v>
      </c>
      <c r="D24" s="120" t="str">
        <f>IFERROR(VLOOKUP(H24,[1]SEMIELABORADOS!$A$2:$M$6000,6,0),"")</f>
        <v/>
      </c>
      <c r="E24" s="121" t="str">
        <f>IFERROR(VLOOKUP(H24,[1]SEMIELABORADOS!$A$2:$H$65536,8,0),"")</f>
        <v/>
      </c>
      <c r="F24" s="121" t="str">
        <f t="shared" si="4"/>
        <v/>
      </c>
      <c r="G24" s="122" t="str">
        <f t="shared" si="5"/>
        <v/>
      </c>
      <c r="H24" s="35"/>
      <c r="I24" s="33"/>
      <c r="J24" s="123"/>
    </row>
    <row r="25" spans="1:12" ht="14.25" thickBot="1" x14ac:dyDescent="0.3">
      <c r="A25" s="32"/>
      <c r="C25" s="120"/>
      <c r="D25" s="120"/>
      <c r="E25" s="121"/>
      <c r="F25" s="121"/>
      <c r="G25" s="122"/>
      <c r="H25" s="33"/>
      <c r="I25" s="33"/>
      <c r="J25" s="123"/>
    </row>
    <row r="26" spans="1:12" ht="26.25" thickBot="1" x14ac:dyDescent="0.25">
      <c r="A26" s="27" t="s">
        <v>37</v>
      </c>
      <c r="B26" s="28" t="s">
        <v>25</v>
      </c>
      <c r="C26" s="28" t="s">
        <v>37</v>
      </c>
      <c r="D26" s="29" t="s">
        <v>39</v>
      </c>
      <c r="E26" s="29" t="s">
        <v>40</v>
      </c>
      <c r="F26" s="29" t="s">
        <v>41</v>
      </c>
      <c r="G26" s="29" t="s">
        <v>42</v>
      </c>
      <c r="H26" s="30" t="s">
        <v>43</v>
      </c>
      <c r="I26" s="31"/>
    </row>
    <row r="27" spans="1:12" ht="13.5" x14ac:dyDescent="0.25">
      <c r="A27" s="32">
        <v>1</v>
      </c>
      <c r="B27" s="34" t="s">
        <v>111</v>
      </c>
      <c r="C27" s="120">
        <f t="shared" ref="C27:C32" si="6">+A27</f>
        <v>1</v>
      </c>
      <c r="D27" s="121" t="s">
        <v>112</v>
      </c>
      <c r="E27" s="121">
        <v>115</v>
      </c>
      <c r="F27" s="121">
        <f t="shared" ref="F27:F32" si="7">IFERROR(C27*E27,"")</f>
        <v>115</v>
      </c>
      <c r="G27" s="122">
        <f t="shared" ref="G27:G32" si="8">IFERROR(F27/$F$66,"")</f>
        <v>0.20917421632523159</v>
      </c>
      <c r="H27" s="35" t="s">
        <v>110</v>
      </c>
      <c r="I27" s="35"/>
      <c r="J27" s="123"/>
      <c r="K27" s="353"/>
      <c r="L27" s="353"/>
    </row>
    <row r="28" spans="1:12" ht="13.5" x14ac:dyDescent="0.25">
      <c r="A28" s="32">
        <v>1</v>
      </c>
      <c r="B28" s="34" t="str">
        <f>IFERROR(VLOOKUP(H28,'[1]Consolidado MP Planta'!$A$2:$M$823,3,0),"")</f>
        <v>ETIQ.FECHA VENCIMIENTO VERDE (ROLLO)</v>
      </c>
      <c r="C28" s="120">
        <f t="shared" si="6"/>
        <v>1</v>
      </c>
      <c r="D28" s="121" t="str">
        <f>IFERROR(VLOOKUP(H28,'[1]Consolidado MP Planta'!$A$2:$M$823,13,0),"")</f>
        <v>Und</v>
      </c>
      <c r="E28" s="121">
        <f>IFERROR(VLOOKUP(H28,'[1]Consolidado MP Planta'!$A$2:$M$823,12,0),"")</f>
        <v>0.33333333333333331</v>
      </c>
      <c r="F28" s="121">
        <f t="shared" si="7"/>
        <v>0.33333333333333331</v>
      </c>
      <c r="G28" s="122">
        <f t="shared" si="8"/>
        <v>6.0630207630501913E-4</v>
      </c>
      <c r="H28" s="35" t="s">
        <v>28</v>
      </c>
      <c r="I28" s="35"/>
      <c r="J28" s="123"/>
      <c r="K28" s="353"/>
      <c r="L28" s="353"/>
    </row>
    <row r="29" spans="1:12" ht="13.5" x14ac:dyDescent="0.25">
      <c r="A29" s="32">
        <v>1</v>
      </c>
      <c r="B29" s="34" t="str">
        <f>IFERROR(VLOOKUP(H29,'[1]Consolidado MP Planta'!$A$2:$M$823,3,0),"")</f>
        <v>ETIQUETA BLANCA 2 5/8X1 15/16 (UND)</v>
      </c>
      <c r="C29" s="120">
        <f t="shared" si="6"/>
        <v>1</v>
      </c>
      <c r="D29" s="121" t="str">
        <f>IFERROR(VLOOKUP(H29,'[1]Consolidado MP Planta'!$A$2:$M$823,13,0),"")</f>
        <v>Und</v>
      </c>
      <c r="E29" s="121">
        <f>IFERROR(VLOOKUP(H29,'[1]Consolidado MP Planta'!$A$2:$M$823,12,0),"")</f>
        <v>2.1280000000000001</v>
      </c>
      <c r="F29" s="121">
        <f t="shared" si="7"/>
        <v>2.1280000000000001</v>
      </c>
      <c r="G29" s="122">
        <f t="shared" si="8"/>
        <v>3.8706324551312423E-3</v>
      </c>
      <c r="H29" s="35" t="s">
        <v>105</v>
      </c>
      <c r="I29" s="35"/>
      <c r="J29" s="123"/>
      <c r="K29" s="353"/>
      <c r="L29" s="353"/>
    </row>
    <row r="30" spans="1:12" ht="13.5" x14ac:dyDescent="0.25">
      <c r="A30" s="32">
        <v>1</v>
      </c>
      <c r="B30" s="34" t="s">
        <v>115</v>
      </c>
      <c r="C30" s="120">
        <f t="shared" si="6"/>
        <v>1</v>
      </c>
      <c r="D30" s="121" t="s">
        <v>116</v>
      </c>
      <c r="E30" s="121">
        <v>42.5</v>
      </c>
      <c r="F30" s="121">
        <f t="shared" si="7"/>
        <v>42.5</v>
      </c>
      <c r="G30" s="122">
        <f t="shared" si="8"/>
        <v>7.7303514728889938E-2</v>
      </c>
      <c r="H30" s="35" t="s">
        <v>114</v>
      </c>
      <c r="I30" s="35"/>
      <c r="J30" s="123"/>
      <c r="K30" s="353"/>
      <c r="L30" s="353"/>
    </row>
    <row r="31" spans="1:12" ht="13.5" hidden="1" x14ac:dyDescent="0.25">
      <c r="A31" s="32"/>
      <c r="B31" s="34" t="str">
        <f>IFERROR(VLOOKUP(H31,'[1]Consolidado MP Planta'!$A$2:$M$823,3,0),"")</f>
        <v/>
      </c>
      <c r="C31" s="120">
        <f t="shared" si="6"/>
        <v>0</v>
      </c>
      <c r="D31" s="121" t="str">
        <f>IFERROR(VLOOKUP(H31,'[1]Consolidado MP Planta'!$A$2:$M$823,13,0),"")</f>
        <v/>
      </c>
      <c r="E31" s="121" t="str">
        <f>IFERROR(VLOOKUP(H31,'[1]Consolidado MP Planta'!$A$2:$M$823,12,0),"")</f>
        <v/>
      </c>
      <c r="F31" s="121" t="str">
        <f t="shared" si="7"/>
        <v/>
      </c>
      <c r="G31" s="122" t="str">
        <f t="shared" si="8"/>
        <v/>
      </c>
      <c r="H31" s="35"/>
      <c r="I31" s="35"/>
      <c r="J31" s="123"/>
      <c r="K31" s="36"/>
      <c r="L31" s="37"/>
    </row>
    <row r="32" spans="1:12" ht="13.5" hidden="1" x14ac:dyDescent="0.25">
      <c r="A32" s="32"/>
      <c r="B32" s="34" t="str">
        <f>IFERROR(VLOOKUP(H32,'[1]Consolidado MP Planta'!$A$2:$M$823,3,0),"")</f>
        <v/>
      </c>
      <c r="C32" s="120">
        <f t="shared" si="6"/>
        <v>0</v>
      </c>
      <c r="D32" s="121" t="str">
        <f>IFERROR(VLOOKUP(H32,'[1]Consolidado MP Planta'!$A$2:$M$823,13,0),"")</f>
        <v/>
      </c>
      <c r="E32" s="121" t="str">
        <f>IFERROR(VLOOKUP(H32,'[1]Consolidado MP Planta'!$A$2:$M$823,12,0),"")</f>
        <v/>
      </c>
      <c r="F32" s="121" t="str">
        <f t="shared" si="7"/>
        <v/>
      </c>
      <c r="G32" s="122" t="str">
        <f t="shared" si="8"/>
        <v/>
      </c>
      <c r="H32" s="35"/>
      <c r="I32" s="35"/>
      <c r="J32" s="123"/>
    </row>
    <row r="33" spans="1:13" ht="14.25" thickBot="1" x14ac:dyDescent="0.3">
      <c r="A33" s="32"/>
      <c r="B33" s="34"/>
      <c r="C33" s="120"/>
      <c r="D33" s="121"/>
      <c r="E33" s="121"/>
      <c r="F33" s="121"/>
      <c r="G33" s="122"/>
      <c r="H33" s="35"/>
      <c r="I33" s="35"/>
      <c r="J33" s="123"/>
    </row>
    <row r="34" spans="1:13" ht="26.25" thickBot="1" x14ac:dyDescent="0.25">
      <c r="A34" s="27" t="s">
        <v>37</v>
      </c>
      <c r="B34" s="28" t="s">
        <v>45</v>
      </c>
      <c r="C34" s="28" t="s">
        <v>37</v>
      </c>
      <c r="D34" s="29" t="s">
        <v>39</v>
      </c>
      <c r="E34" s="29" t="s">
        <v>40</v>
      </c>
      <c r="F34" s="29" t="s">
        <v>41</v>
      </c>
      <c r="G34" s="29" t="s">
        <v>42</v>
      </c>
      <c r="H34" s="30" t="s">
        <v>43</v>
      </c>
      <c r="I34" s="35"/>
      <c r="J34" s="123"/>
    </row>
    <row r="35" spans="1:13" ht="13.5" x14ac:dyDescent="0.25">
      <c r="A35" s="32">
        <f>+A17</f>
        <v>14</v>
      </c>
      <c r="B35" s="34" t="str">
        <f>IFERROR(VLOOKUP(H35,[1]SEMIELABORADOS!$A$2:$M$6000,2,0),"")</f>
        <v>GALLETA 1/2 LUNA BAÑADO CHOCO LECHE UND</v>
      </c>
      <c r="C35" s="120">
        <f>+A35</f>
        <v>14</v>
      </c>
      <c r="D35" s="121" t="str">
        <f>IFERROR(VLOOKUP(H35,[1]SEMIELABORADOS!$A$2:$M$6000,6,0),"")</f>
        <v>Und</v>
      </c>
      <c r="E35" s="121">
        <f>IFERROR(VLOOKUP(H35,[1]SEMIELABORADOS!$A$2:$M$65536,10,0),"")</f>
        <v>0.18995501378625559</v>
      </c>
      <c r="F35" s="121">
        <f>IFERROR(E35*C35,"")</f>
        <v>2.6593701930075784</v>
      </c>
      <c r="G35" s="122">
        <f>IFERROR(F35/$F$66,"")</f>
        <v>4.8371450090525228E-3</v>
      </c>
      <c r="H35" s="33" t="s">
        <v>109</v>
      </c>
      <c r="I35" s="35"/>
      <c r="J35" s="123"/>
    </row>
    <row r="36" spans="1:13" ht="13.5" hidden="1" x14ac:dyDescent="0.25">
      <c r="A36" s="32">
        <f t="shared" ref="A36:A41" si="9">+A18</f>
        <v>0</v>
      </c>
      <c r="B36" s="34" t="str">
        <f>IFERROR(VLOOKUP(H36,[1]SEMIELABORADOS!$A$2:$M$6000,2,0),"")</f>
        <v/>
      </c>
      <c r="C36" s="120">
        <f t="shared" ref="C36:C41" si="10">+A36</f>
        <v>0</v>
      </c>
      <c r="D36" s="121" t="str">
        <f>IFERROR(VLOOKUP(H36,[1]SEMIELABORADOS!$A$2:$M$6000,6,0),"")</f>
        <v/>
      </c>
      <c r="E36" s="121" t="str">
        <f>IFERROR(VLOOKUP(H36,[1]SEMIELABORADOS!$A$2:$M$65536,10,0),"")</f>
        <v/>
      </c>
      <c r="F36" s="121" t="str">
        <f t="shared" ref="F36:F41" si="11">IFERROR(E36*C36,"")</f>
        <v/>
      </c>
      <c r="G36" s="122" t="str">
        <f t="shared" ref="G36:G41" si="12">IFERROR(F36/$F$66,"")</f>
        <v/>
      </c>
      <c r="H36" s="33"/>
      <c r="I36" s="35"/>
      <c r="J36" s="123"/>
    </row>
    <row r="37" spans="1:13" ht="13.5" hidden="1" x14ac:dyDescent="0.25">
      <c r="A37" s="32">
        <f t="shared" si="9"/>
        <v>0</v>
      </c>
      <c r="B37" s="34" t="str">
        <f>IFERROR(VLOOKUP(H37,[1]SEMIELABORADOS!$A$2:$M$6000,2,0),"")</f>
        <v/>
      </c>
      <c r="C37" s="120">
        <f t="shared" si="10"/>
        <v>0</v>
      </c>
      <c r="D37" s="121" t="str">
        <f>IFERROR(VLOOKUP(H37,[1]SEMIELABORADOS!$A$2:$M$6000,6,0),"")</f>
        <v/>
      </c>
      <c r="E37" s="121" t="str">
        <f>IFERROR(VLOOKUP(H37,[1]SEMIELABORADOS!$A$2:$M$65536,10,0),"")</f>
        <v/>
      </c>
      <c r="F37" s="121" t="str">
        <f t="shared" si="11"/>
        <v/>
      </c>
      <c r="G37" s="122" t="str">
        <f t="shared" si="12"/>
        <v/>
      </c>
      <c r="H37" s="33"/>
      <c r="I37" s="35"/>
      <c r="J37" s="123"/>
    </row>
    <row r="38" spans="1:13" ht="13.5" hidden="1" x14ac:dyDescent="0.25">
      <c r="A38" s="32">
        <f t="shared" si="9"/>
        <v>0</v>
      </c>
      <c r="B38" s="34" t="str">
        <f>IFERROR(VLOOKUP(H38,[1]SEMIELABORADOS!$A$2:$M$6000,2,0),"")</f>
        <v/>
      </c>
      <c r="C38" s="120">
        <f t="shared" si="10"/>
        <v>0</v>
      </c>
      <c r="D38" s="121" t="str">
        <f>IFERROR(VLOOKUP(H38,[1]SEMIELABORADOS!$A$2:$M$6000,6,0),"")</f>
        <v/>
      </c>
      <c r="E38" s="121" t="str">
        <f>IFERROR(VLOOKUP(H38,[1]SEMIELABORADOS!$A$2:$M$65536,10,0),"")</f>
        <v/>
      </c>
      <c r="F38" s="121" t="str">
        <f t="shared" si="11"/>
        <v/>
      </c>
      <c r="G38" s="122" t="str">
        <f t="shared" si="12"/>
        <v/>
      </c>
      <c r="H38" s="33"/>
      <c r="I38" s="35"/>
      <c r="J38" s="123"/>
    </row>
    <row r="39" spans="1:13" ht="13.5" hidden="1" x14ac:dyDescent="0.25">
      <c r="A39" s="32">
        <f t="shared" si="9"/>
        <v>0</v>
      </c>
      <c r="B39" s="34" t="str">
        <f>IFERROR(VLOOKUP(H39,[1]SEMIELABORADOS!$A$2:$M$6000,2,0),"")</f>
        <v/>
      </c>
      <c r="C39" s="120">
        <f t="shared" si="10"/>
        <v>0</v>
      </c>
      <c r="D39" s="121" t="str">
        <f>IFERROR(VLOOKUP(H39,[1]SEMIELABORADOS!$A$2:$M$6000,6,0),"")</f>
        <v/>
      </c>
      <c r="E39" s="121" t="str">
        <f>IFERROR(VLOOKUP(H39,[1]SEMIELABORADOS!$A$2:$M$65536,10,0),"")</f>
        <v/>
      </c>
      <c r="F39" s="121" t="str">
        <f t="shared" si="11"/>
        <v/>
      </c>
      <c r="G39" s="122" t="str">
        <f t="shared" si="12"/>
        <v/>
      </c>
      <c r="H39" s="33"/>
      <c r="I39" s="35"/>
      <c r="J39" s="123"/>
    </row>
    <row r="40" spans="1:13" ht="13.5" hidden="1" x14ac:dyDescent="0.25">
      <c r="A40" s="32">
        <f t="shared" si="9"/>
        <v>0</v>
      </c>
      <c r="B40" s="34" t="str">
        <f>IFERROR(VLOOKUP(H40,[1]SEMIELABORADOS!$A$2:$M$6000,2,0),"")</f>
        <v/>
      </c>
      <c r="C40" s="120">
        <f t="shared" si="10"/>
        <v>0</v>
      </c>
      <c r="D40" s="121" t="str">
        <f>IFERROR(VLOOKUP(H40,[1]SEMIELABORADOS!$A$2:$M$6000,6,0),"")</f>
        <v/>
      </c>
      <c r="E40" s="121" t="str">
        <f>IFERROR(VLOOKUP(H40,[1]SEMIELABORADOS!$A$2:$M$65536,10,0),"")</f>
        <v/>
      </c>
      <c r="F40" s="121" t="str">
        <f t="shared" si="11"/>
        <v/>
      </c>
      <c r="G40" s="122" t="str">
        <f t="shared" si="12"/>
        <v/>
      </c>
      <c r="H40" s="33"/>
      <c r="I40" s="35"/>
      <c r="J40" s="123"/>
    </row>
    <row r="41" spans="1:13" ht="13.5" hidden="1" x14ac:dyDescent="0.25">
      <c r="A41" s="32">
        <f t="shared" si="9"/>
        <v>0</v>
      </c>
      <c r="B41" s="34" t="str">
        <f>IFERROR(VLOOKUP(H41,[1]SEMIELABORADOS!$A$2:$M$6000,2,0),"")</f>
        <v/>
      </c>
      <c r="C41" s="120">
        <f t="shared" si="10"/>
        <v>0</v>
      </c>
      <c r="D41" s="121" t="str">
        <f>IFERROR(VLOOKUP(H41,[1]SEMIELABORADOS!$A$2:$M$6000,6,0),"")</f>
        <v/>
      </c>
      <c r="E41" s="121" t="str">
        <f>IFERROR(VLOOKUP(H41,[1]SEMIELABORADOS!$A$2:$M$65536,10,0),"")</f>
        <v/>
      </c>
      <c r="F41" s="121" t="str">
        <f t="shared" si="11"/>
        <v/>
      </c>
      <c r="G41" s="122" t="str">
        <f t="shared" si="12"/>
        <v/>
      </c>
      <c r="H41" s="35"/>
      <c r="I41" s="35"/>
      <c r="J41" s="123"/>
    </row>
    <row r="42" spans="1:13" ht="14.25" thickBot="1" x14ac:dyDescent="0.3">
      <c r="A42" s="32"/>
      <c r="B42" s="23" t="str">
        <f>IFERROR(VLOOKUP(H42,[1]SEMIELABORADOS!$A$2:$M$6000,2,0),"")</f>
        <v/>
      </c>
      <c r="C42" s="120"/>
      <c r="D42" s="120" t="str">
        <f>IFERROR(VLOOKUP(H42,[1]SEMIELABORADOS!$A$2:$M$6000,6,0),"")</f>
        <v/>
      </c>
      <c r="E42" s="121" t="str">
        <f>IFERROR(VLOOKUP(H42,[1]SEMIELABORADOS!$A$2:$H$65536,8,0),"")</f>
        <v/>
      </c>
      <c r="F42" s="121" t="str">
        <f>IFERROR(E42*C42,"")</f>
        <v/>
      </c>
      <c r="G42" s="122" t="str">
        <f>IFERROR(F42/$F$66,"")</f>
        <v/>
      </c>
      <c r="H42" s="35"/>
      <c r="I42" s="35"/>
      <c r="J42" s="123"/>
    </row>
    <row r="43" spans="1:13" ht="26.25" thickBot="1" x14ac:dyDescent="0.25">
      <c r="A43" s="27" t="s">
        <v>37</v>
      </c>
      <c r="B43" s="28" t="s">
        <v>47</v>
      </c>
      <c r="C43" s="28" t="s">
        <v>37</v>
      </c>
      <c r="D43" s="29" t="s">
        <v>39</v>
      </c>
      <c r="E43" s="29" t="s">
        <v>40</v>
      </c>
      <c r="F43" s="29" t="s">
        <v>41</v>
      </c>
      <c r="G43" s="29" t="s">
        <v>42</v>
      </c>
      <c r="H43" s="30" t="s">
        <v>43</v>
      </c>
      <c r="I43" s="31"/>
      <c r="J43" s="123"/>
    </row>
    <row r="44" spans="1:13" ht="13.5" x14ac:dyDescent="0.25">
      <c r="A44" s="32">
        <f>+A35</f>
        <v>14</v>
      </c>
      <c r="B44" s="34" t="s">
        <v>106</v>
      </c>
      <c r="C44" s="120">
        <f>+A44</f>
        <v>14</v>
      </c>
      <c r="D44" s="121" t="str">
        <f>IFERROR(VLOOKUP(H44,[1]SEMIELABORADOS!$A$2:$M$6000,6,0),"")</f>
        <v/>
      </c>
      <c r="E44" s="121" t="str">
        <f>IFERROR(VLOOKUP(H44,[1]SEMIELABORADOS!$A$2:$M$65536,12,0),"")</f>
        <v/>
      </c>
      <c r="F44" s="121" t="str">
        <f>IFERROR(E44*C44,"")</f>
        <v/>
      </c>
      <c r="G44" s="122" t="str">
        <f>IFERROR(F44/$F$66,"")</f>
        <v/>
      </c>
      <c r="H44" s="33"/>
      <c r="I44" s="31"/>
      <c r="J44" s="123"/>
    </row>
    <row r="45" spans="1:13" ht="13.5" hidden="1" x14ac:dyDescent="0.25">
      <c r="A45" s="32">
        <f t="shared" ref="A45:A50" si="13">+A36</f>
        <v>0</v>
      </c>
      <c r="B45" s="34" t="str">
        <f>IFERROR(VLOOKUP(H45,[1]SEMIELABORADOS!$A$2:$M$6000,2,0),"")</f>
        <v/>
      </c>
      <c r="C45" s="120">
        <f t="shared" ref="C45:C50" si="14">+A45</f>
        <v>0</v>
      </c>
      <c r="D45" s="121" t="str">
        <f>IFERROR(VLOOKUP(H45,[1]SEMIELABORADOS!$A$2:$M$6000,6,0),"")</f>
        <v/>
      </c>
      <c r="E45" s="121" t="str">
        <f>IFERROR(VLOOKUP(H45,[1]SEMIELABORADOS!$A$2:$M$65536,12,0),"")</f>
        <v/>
      </c>
      <c r="F45" s="121" t="str">
        <f t="shared" ref="F45:F50" si="15">IFERROR(E45*C45,"")</f>
        <v/>
      </c>
      <c r="G45" s="122" t="str">
        <f t="shared" ref="G45:G50" si="16">IFERROR(F45/$F$66,"")</f>
        <v/>
      </c>
      <c r="H45" s="33"/>
      <c r="I45" s="31"/>
      <c r="J45" s="123"/>
      <c r="M45" s="124"/>
    </row>
    <row r="46" spans="1:13" ht="13.5" hidden="1" x14ac:dyDescent="0.25">
      <c r="A46" s="32">
        <f t="shared" si="13"/>
        <v>0</v>
      </c>
      <c r="B46" s="34" t="str">
        <f>IFERROR(VLOOKUP(H46,[1]SEMIELABORADOS!$A$2:$M$6000,2,0),"")</f>
        <v/>
      </c>
      <c r="C46" s="120">
        <f t="shared" si="14"/>
        <v>0</v>
      </c>
      <c r="D46" s="121" t="str">
        <f>IFERROR(VLOOKUP(H46,[1]SEMIELABORADOS!$A$2:$M$6000,6,0),"")</f>
        <v/>
      </c>
      <c r="E46" s="121" t="str">
        <f>IFERROR(VLOOKUP(H46,[1]SEMIELABORADOS!$A$2:$M$65536,12,0),"")</f>
        <v/>
      </c>
      <c r="F46" s="121" t="str">
        <f t="shared" si="15"/>
        <v/>
      </c>
      <c r="G46" s="122" t="str">
        <f t="shared" si="16"/>
        <v/>
      </c>
      <c r="H46" s="33"/>
      <c r="I46" s="31"/>
      <c r="J46" s="123"/>
    </row>
    <row r="47" spans="1:13" ht="13.5" hidden="1" x14ac:dyDescent="0.25">
      <c r="A47" s="32">
        <f t="shared" si="13"/>
        <v>0</v>
      </c>
      <c r="B47" s="34" t="str">
        <f>IFERROR(VLOOKUP(H47,[1]SEMIELABORADOS!$A$2:$M$6000,2,0),"")</f>
        <v/>
      </c>
      <c r="C47" s="120">
        <f t="shared" si="14"/>
        <v>0</v>
      </c>
      <c r="D47" s="121" t="str">
        <f>IFERROR(VLOOKUP(H47,[1]SEMIELABORADOS!$A$2:$M$6000,6,0),"")</f>
        <v/>
      </c>
      <c r="E47" s="121" t="str">
        <f>IFERROR(VLOOKUP(H47,[1]SEMIELABORADOS!$A$2:$M$65536,12,0),"")</f>
        <v/>
      </c>
      <c r="F47" s="121" t="str">
        <f t="shared" si="15"/>
        <v/>
      </c>
      <c r="G47" s="122" t="str">
        <f t="shared" si="16"/>
        <v/>
      </c>
      <c r="H47" s="35"/>
      <c r="I47" s="31"/>
      <c r="J47" s="123"/>
    </row>
    <row r="48" spans="1:13" ht="13.5" hidden="1" x14ac:dyDescent="0.25">
      <c r="A48" s="32">
        <f t="shared" si="13"/>
        <v>0</v>
      </c>
      <c r="B48" s="34" t="str">
        <f>IFERROR(VLOOKUP(H48,[1]SEMIELABORADOS!$A$2:$M$6000,2,0),"")</f>
        <v/>
      </c>
      <c r="C48" s="120">
        <f t="shared" si="14"/>
        <v>0</v>
      </c>
      <c r="D48" s="121" t="str">
        <f>IFERROR(VLOOKUP(H48,[1]SEMIELABORADOS!$A$2:$M$6000,6,0),"")</f>
        <v/>
      </c>
      <c r="E48" s="121" t="str">
        <f>IFERROR(VLOOKUP(H48,[1]SEMIELABORADOS!$A$2:$M$65536,12,0),"")</f>
        <v/>
      </c>
      <c r="F48" s="121" t="str">
        <f t="shared" si="15"/>
        <v/>
      </c>
      <c r="G48" s="122" t="str">
        <f t="shared" si="16"/>
        <v/>
      </c>
      <c r="H48" s="35"/>
      <c r="I48" s="31"/>
      <c r="J48" s="123"/>
    </row>
    <row r="49" spans="1:17" ht="13.5" hidden="1" x14ac:dyDescent="0.25">
      <c r="A49" s="32">
        <f t="shared" si="13"/>
        <v>0</v>
      </c>
      <c r="B49" s="34" t="str">
        <f>IFERROR(VLOOKUP(H49,[1]SEMIELABORADOS!$A$2:$M$6000,2,0),"")</f>
        <v/>
      </c>
      <c r="C49" s="120">
        <f t="shared" si="14"/>
        <v>0</v>
      </c>
      <c r="D49" s="121" t="str">
        <f>IFERROR(VLOOKUP(H49,[1]SEMIELABORADOS!$A$2:$M$6000,6,0),"")</f>
        <v/>
      </c>
      <c r="E49" s="121" t="str">
        <f>IFERROR(VLOOKUP(H49,[1]SEMIELABORADOS!$A$2:$M$65536,12,0),"")</f>
        <v/>
      </c>
      <c r="F49" s="121" t="str">
        <f t="shared" si="15"/>
        <v/>
      </c>
      <c r="G49" s="122" t="str">
        <f t="shared" si="16"/>
        <v/>
      </c>
      <c r="H49" s="35"/>
      <c r="I49" s="31"/>
      <c r="J49" s="123"/>
    </row>
    <row r="50" spans="1:17" ht="13.5" hidden="1" x14ac:dyDescent="0.25">
      <c r="A50" s="32">
        <f t="shared" si="13"/>
        <v>0</v>
      </c>
      <c r="B50" s="34" t="str">
        <f>IFERROR(VLOOKUP(H50,[1]SEMIELABORADOS!$A$2:$M$6000,2,0),"")</f>
        <v/>
      </c>
      <c r="C50" s="120">
        <f t="shared" si="14"/>
        <v>0</v>
      </c>
      <c r="D50" s="121" t="str">
        <f>IFERROR(VLOOKUP(H50,[1]SEMIELABORADOS!$A$2:$M$6000,6,0),"")</f>
        <v/>
      </c>
      <c r="E50" s="121" t="str">
        <f>IFERROR(VLOOKUP(H50,[1]SEMIELABORADOS!$A$2:$M$65536,12,0),"")</f>
        <v/>
      </c>
      <c r="F50" s="121" t="str">
        <f t="shared" si="15"/>
        <v/>
      </c>
      <c r="G50" s="122" t="str">
        <f t="shared" si="16"/>
        <v/>
      </c>
      <c r="H50" s="35"/>
      <c r="I50" s="31"/>
      <c r="J50" s="123"/>
    </row>
    <row r="51" spans="1:17" ht="13.5" x14ac:dyDescent="0.25">
      <c r="A51" s="32">
        <v>1</v>
      </c>
      <c r="B51" s="34" t="s">
        <v>48</v>
      </c>
      <c r="C51" s="120">
        <f>+A51</f>
        <v>1</v>
      </c>
      <c r="D51" s="120" t="s">
        <v>46</v>
      </c>
      <c r="E51" s="121">
        <f>+F65</f>
        <v>27.5</v>
      </c>
      <c r="F51" s="121">
        <f>IFERROR(C51*E51,"")</f>
        <v>27.5</v>
      </c>
      <c r="G51" s="122">
        <f>IFERROR(F51/$F$66,"")</f>
        <v>5.0019921295164076E-2</v>
      </c>
      <c r="H51" s="39"/>
      <c r="I51" s="39"/>
      <c r="J51" s="123"/>
    </row>
    <row r="52" spans="1:17" ht="14.25" thickBot="1" x14ac:dyDescent="0.3">
      <c r="A52" s="32"/>
      <c r="B52" s="34"/>
      <c r="C52" s="120"/>
      <c r="D52" s="120"/>
      <c r="E52" s="121"/>
      <c r="F52" s="121"/>
      <c r="G52" s="122"/>
      <c r="H52" s="39"/>
      <c r="I52" s="39"/>
      <c r="J52" s="123"/>
    </row>
    <row r="53" spans="1:17" ht="13.5" thickBot="1" x14ac:dyDescent="0.25">
      <c r="A53" s="40"/>
      <c r="B53" s="363" t="s">
        <v>49</v>
      </c>
      <c r="C53" s="363"/>
      <c r="D53" s="363"/>
      <c r="E53" s="363"/>
      <c r="F53" s="125">
        <f>SUM(F8:F14,F17:F24)</f>
        <v>352.60808774592374</v>
      </c>
      <c r="G53" s="122">
        <f>+F53/$F$66</f>
        <v>0.6413610471668878</v>
      </c>
      <c r="H53" s="126">
        <f>+F53/$D$60</f>
        <v>352.60808774592374</v>
      </c>
      <c r="I53" s="126"/>
      <c r="J53" s="42"/>
      <c r="K53" s="43"/>
      <c r="L53" s="43"/>
      <c r="M53" s="43"/>
      <c r="N53" s="43"/>
      <c r="O53" s="43"/>
      <c r="P53" s="43"/>
      <c r="Q53" s="44"/>
    </row>
    <row r="54" spans="1:17" x14ac:dyDescent="0.2">
      <c r="A54" s="40"/>
      <c r="B54" s="363" t="s">
        <v>50</v>
      </c>
      <c r="C54" s="363"/>
      <c r="D54" s="363"/>
      <c r="E54" s="363"/>
      <c r="F54" s="125">
        <f>SUM(F27:F32,F35:F41)</f>
        <v>162.62070352634092</v>
      </c>
      <c r="G54" s="122">
        <f>+F54/$F$66</f>
        <v>0.29579181059461035</v>
      </c>
      <c r="H54" s="126">
        <f>+F54/$D$60</f>
        <v>162.62070352634092</v>
      </c>
      <c r="I54" s="126"/>
      <c r="J54" s="45"/>
      <c r="K54" s="364" t="s">
        <v>51</v>
      </c>
      <c r="L54" s="365"/>
      <c r="M54" s="365"/>
      <c r="N54" s="365"/>
      <c r="O54" s="127">
        <f>+F55</f>
        <v>515.22879127226463</v>
      </c>
      <c r="P54" s="127"/>
      <c r="Q54" s="46"/>
    </row>
    <row r="55" spans="1:17" x14ac:dyDescent="0.2">
      <c r="A55" s="40"/>
      <c r="B55" s="363" t="s">
        <v>52</v>
      </c>
      <c r="C55" s="363"/>
      <c r="D55" s="363"/>
      <c r="E55" s="363"/>
      <c r="F55" s="125">
        <f>+F53+F54</f>
        <v>515.22879127226463</v>
      </c>
      <c r="G55" s="122">
        <f>+F55/$F$66</f>
        <v>0.93715285776149804</v>
      </c>
      <c r="H55" s="126">
        <f>+F55/$D$60</f>
        <v>515.22879127226463</v>
      </c>
      <c r="I55" s="126"/>
      <c r="J55" s="47"/>
      <c r="K55" s="48"/>
      <c r="L55" s="128" t="s">
        <v>53</v>
      </c>
      <c r="M55" s="128"/>
      <c r="N55" s="129">
        <v>0.18</v>
      </c>
      <c r="O55" s="127">
        <f>+O54*N55</f>
        <v>92.741182429007637</v>
      </c>
      <c r="P55" s="127"/>
      <c r="Q55" s="46"/>
    </row>
    <row r="56" spans="1:17" ht="13.5" thickBot="1" x14ac:dyDescent="0.25">
      <c r="A56" s="40"/>
      <c r="B56" s="41"/>
      <c r="C56" s="363" t="s">
        <v>54</v>
      </c>
      <c r="D56" s="363"/>
      <c r="E56" s="363"/>
      <c r="F56" s="125">
        <f>SUM(F44:F51)</f>
        <v>27.5</v>
      </c>
      <c r="G56" s="122">
        <f>+F56/$F$66</f>
        <v>5.0019921295164076E-2</v>
      </c>
      <c r="H56" s="126">
        <f>+F56/$D$60</f>
        <v>27.5</v>
      </c>
      <c r="I56" s="126"/>
      <c r="J56" s="47"/>
      <c r="K56" s="48"/>
      <c r="L56" s="48"/>
      <c r="M56" s="48" t="s">
        <v>55</v>
      </c>
      <c r="N56" s="130"/>
      <c r="O56" s="127">
        <f>O54*N56</f>
        <v>0</v>
      </c>
      <c r="P56" s="127"/>
      <c r="Q56" s="46"/>
    </row>
    <row r="57" spans="1:17" ht="13.5" thickBot="1" x14ac:dyDescent="0.25">
      <c r="A57" s="40"/>
      <c r="B57" s="49"/>
      <c r="C57" s="49"/>
      <c r="D57" s="49"/>
      <c r="E57" s="49"/>
      <c r="F57" s="131"/>
      <c r="G57" s="122"/>
      <c r="H57" s="50"/>
      <c r="I57" s="126"/>
      <c r="J57" s="47"/>
      <c r="K57" s="51"/>
      <c r="M57" s="52" t="s">
        <v>56</v>
      </c>
      <c r="N57" s="53"/>
      <c r="O57" s="54">
        <f>SUM(O54:O56)</f>
        <v>607.96997370127224</v>
      </c>
      <c r="P57" s="132"/>
      <c r="Q57" s="46"/>
    </row>
    <row r="58" spans="1:17" x14ac:dyDescent="0.2">
      <c r="B58" s="366" t="s">
        <v>57</v>
      </c>
      <c r="C58" s="366"/>
      <c r="D58" s="133">
        <v>100</v>
      </c>
      <c r="E58" s="55"/>
      <c r="G58" s="122"/>
      <c r="H58" s="50"/>
      <c r="I58" s="134"/>
      <c r="J58" s="47"/>
      <c r="K58" s="51"/>
      <c r="L58" s="48"/>
      <c r="M58" s="48" t="s">
        <v>107</v>
      </c>
      <c r="N58" s="135">
        <v>0.16</v>
      </c>
      <c r="O58" s="127">
        <f>+O54*N58</f>
        <v>82.436606603562339</v>
      </c>
      <c r="P58" s="127"/>
      <c r="Q58" s="46"/>
    </row>
    <row r="59" spans="1:17" x14ac:dyDescent="0.2">
      <c r="B59" s="366" t="s">
        <v>58</v>
      </c>
      <c r="C59" s="366"/>
      <c r="D59" s="56">
        <v>100</v>
      </c>
      <c r="E59" s="55"/>
      <c r="G59" s="122"/>
      <c r="H59" s="50"/>
      <c r="I59" s="134"/>
      <c r="J59" s="47"/>
      <c r="K59" s="51"/>
      <c r="L59" s="48"/>
      <c r="M59" s="367" t="s">
        <v>56</v>
      </c>
      <c r="N59" s="367"/>
      <c r="O59" s="127">
        <f>SUM(O57:O58)</f>
        <v>690.40658030483462</v>
      </c>
      <c r="P59" s="127"/>
      <c r="Q59" s="46"/>
    </row>
    <row r="60" spans="1:17" ht="13.5" thickBot="1" x14ac:dyDescent="0.25">
      <c r="B60" s="359" t="s">
        <v>59</v>
      </c>
      <c r="C60" s="359"/>
      <c r="D60" s="133">
        <f>+D58/D59</f>
        <v>1</v>
      </c>
      <c r="E60" s="55"/>
      <c r="F60" s="57"/>
      <c r="G60" s="122"/>
      <c r="H60" s="50"/>
      <c r="I60" s="134"/>
      <c r="J60" s="47"/>
      <c r="K60" s="51"/>
      <c r="L60" s="367"/>
      <c r="M60" s="367"/>
      <c r="N60" s="135"/>
      <c r="O60" s="127">
        <f>+O59*N60</f>
        <v>0</v>
      </c>
      <c r="P60" s="127"/>
      <c r="Q60" s="46"/>
    </row>
    <row r="61" spans="1:17" ht="13.5" thickBot="1" x14ac:dyDescent="0.25">
      <c r="B61" s="359" t="s">
        <v>60</v>
      </c>
      <c r="C61" s="359"/>
      <c r="D61" s="58"/>
      <c r="E61" s="55"/>
      <c r="F61" s="57"/>
      <c r="G61" s="122"/>
      <c r="H61" s="50"/>
      <c r="I61" s="134"/>
      <c r="J61" s="47"/>
      <c r="K61" s="360" t="s">
        <v>61</v>
      </c>
      <c r="L61" s="361"/>
      <c r="M61" s="361"/>
      <c r="N61" s="362"/>
      <c r="O61" s="54">
        <f>SUM(O59:O60)</f>
        <v>690.40658030483462</v>
      </c>
      <c r="P61" s="59" t="s">
        <v>62</v>
      </c>
      <c r="Q61" s="46"/>
    </row>
    <row r="62" spans="1:17" ht="13.5" thickBot="1" x14ac:dyDescent="0.25">
      <c r="C62" s="40" t="s">
        <v>63</v>
      </c>
      <c r="D62" s="60"/>
      <c r="E62" s="21" t="s">
        <v>64</v>
      </c>
      <c r="F62" s="61" t="s">
        <v>65</v>
      </c>
      <c r="G62" s="122"/>
      <c r="H62" s="50"/>
      <c r="I62" s="134"/>
      <c r="J62" s="62"/>
      <c r="K62" s="63"/>
      <c r="L62" s="373" t="s">
        <v>66</v>
      </c>
      <c r="M62" s="373"/>
      <c r="N62" s="373"/>
      <c r="O62" s="136">
        <f>+O61/D60</f>
        <v>690.40658030483462</v>
      </c>
      <c r="P62" s="137">
        <f>+O62/D59</f>
        <v>6.9040658030483462</v>
      </c>
      <c r="Q62" s="64"/>
    </row>
    <row r="63" spans="1:17" ht="13.5" thickBot="1" x14ac:dyDescent="0.25">
      <c r="B63" s="374" t="s">
        <v>52</v>
      </c>
      <c r="C63" s="374"/>
      <c r="D63" s="374"/>
      <c r="E63" s="138">
        <f>+F63/F63</f>
        <v>1</v>
      </c>
      <c r="F63" s="139">
        <f>SUM(F55)</f>
        <v>515.22879127226463</v>
      </c>
      <c r="G63" s="122">
        <f>+F63/$F$66</f>
        <v>0.93715285776149804</v>
      </c>
      <c r="H63" s="50"/>
      <c r="I63" s="134"/>
      <c r="K63" s="375"/>
      <c r="L63" s="376"/>
      <c r="M63" s="376"/>
      <c r="N63" s="376"/>
      <c r="O63" s="65"/>
      <c r="P63" s="66"/>
    </row>
    <row r="64" spans="1:17" ht="13.5" thickBot="1" x14ac:dyDescent="0.25">
      <c r="B64" s="377" t="s">
        <v>67</v>
      </c>
      <c r="C64" s="377"/>
      <c r="D64" s="377"/>
      <c r="E64" s="140">
        <v>0.02</v>
      </c>
      <c r="F64" s="139">
        <f>+F53*E64</f>
        <v>7.0521617549184752</v>
      </c>
      <c r="G64" s="122">
        <f>+F64/$F$66</f>
        <v>1.2827220943337757E-2</v>
      </c>
      <c r="H64" s="126"/>
      <c r="I64" s="134"/>
      <c r="J64" s="141"/>
      <c r="O64" s="67"/>
      <c r="P64" s="41"/>
    </row>
    <row r="65" spans="2:10" ht="13.5" thickBot="1" x14ac:dyDescent="0.25">
      <c r="B65" s="378" t="s">
        <v>68</v>
      </c>
      <c r="C65" s="379"/>
      <c r="D65" s="68">
        <v>0.5</v>
      </c>
      <c r="E65" s="142">
        <v>55</v>
      </c>
      <c r="F65" s="139">
        <f>+E65*D65</f>
        <v>27.5</v>
      </c>
      <c r="G65" s="122">
        <f>+F65/$F$66</f>
        <v>5.0019921295164076E-2</v>
      </c>
      <c r="H65" s="126"/>
      <c r="I65" s="126"/>
      <c r="J65" s="123"/>
    </row>
    <row r="66" spans="2:10" ht="13.5" thickBot="1" x14ac:dyDescent="0.25">
      <c r="B66" s="380" t="s">
        <v>69</v>
      </c>
      <c r="C66" s="381"/>
      <c r="D66" s="381"/>
      <c r="E66" s="382"/>
      <c r="F66" s="131">
        <f>SUM(F63:F65)</f>
        <v>549.78095302718316</v>
      </c>
      <c r="G66" s="122">
        <f>+F66/$F$66</f>
        <v>1</v>
      </c>
      <c r="H66" s="383"/>
      <c r="I66" s="126"/>
      <c r="J66" s="123"/>
    </row>
    <row r="67" spans="2:10" x14ac:dyDescent="0.2">
      <c r="C67" s="124"/>
      <c r="D67" s="124"/>
      <c r="E67" s="144"/>
      <c r="F67" s="139"/>
      <c r="G67" s="122"/>
      <c r="H67" s="383"/>
      <c r="I67" s="143"/>
      <c r="J67" s="23"/>
    </row>
    <row r="68" spans="2:10" ht="13.5" thickBot="1" x14ac:dyDescent="0.25">
      <c r="B68" s="368" t="s">
        <v>70</v>
      </c>
      <c r="C68" s="368"/>
      <c r="D68" s="368"/>
      <c r="E68" s="368"/>
      <c r="F68" s="368"/>
      <c r="G68" s="122"/>
      <c r="H68" s="70"/>
      <c r="I68" s="143"/>
      <c r="J68" s="23"/>
    </row>
    <row r="69" spans="2:10" ht="13.5" thickBot="1" x14ac:dyDescent="0.25">
      <c r="B69" s="71" t="s">
        <v>71</v>
      </c>
      <c r="C69" s="145">
        <f>+F53</f>
        <v>352.60808774592374</v>
      </c>
      <c r="D69" s="145">
        <f>+D58</f>
        <v>100</v>
      </c>
      <c r="E69" s="72">
        <f>+C69/D69</f>
        <v>3.5260808774592376</v>
      </c>
      <c r="F69" s="122"/>
      <c r="G69" s="70"/>
      <c r="H69" s="123"/>
      <c r="I69" s="70"/>
      <c r="J69" s="23"/>
    </row>
    <row r="70" spans="2:10" x14ac:dyDescent="0.2">
      <c r="B70" s="73"/>
      <c r="C70" s="146"/>
      <c r="D70" s="147"/>
      <c r="E70" s="139"/>
      <c r="F70" s="122"/>
      <c r="G70" s="70"/>
      <c r="H70" s="123"/>
      <c r="I70" s="123"/>
      <c r="J70" s="23"/>
    </row>
    <row r="71" spans="2:10" x14ac:dyDescent="0.2">
      <c r="B71" s="71" t="s">
        <v>72</v>
      </c>
      <c r="C71" s="145">
        <f>SUM(F63:F64)</f>
        <v>522.28095302718316</v>
      </c>
      <c r="D71" s="145">
        <f>+D58</f>
        <v>100</v>
      </c>
      <c r="E71" s="148">
        <f>+C71/D71</f>
        <v>5.2228095302718316</v>
      </c>
      <c r="F71" s="122"/>
      <c r="G71" s="70"/>
      <c r="H71" s="123"/>
      <c r="I71" s="123"/>
      <c r="J71" s="23"/>
    </row>
    <row r="72" spans="2:10" x14ac:dyDescent="0.2">
      <c r="B72" s="71"/>
      <c r="C72" s="145"/>
      <c r="D72" s="145"/>
      <c r="E72" s="148"/>
      <c r="F72" s="122"/>
      <c r="G72" s="70"/>
      <c r="H72" s="123"/>
      <c r="I72" s="123"/>
      <c r="J72" s="23"/>
    </row>
    <row r="73" spans="2:10" ht="13.5" thickBot="1" x14ac:dyDescent="0.25">
      <c r="B73" s="71" t="s">
        <v>73</v>
      </c>
      <c r="C73" s="145">
        <f>+F65</f>
        <v>27.5</v>
      </c>
      <c r="D73" s="145">
        <f>+D58</f>
        <v>100</v>
      </c>
      <c r="E73" s="148">
        <f>+C73/D73</f>
        <v>0.27500000000000002</v>
      </c>
      <c r="F73" s="122"/>
      <c r="G73" s="70"/>
      <c r="H73" s="123"/>
      <c r="I73" s="123"/>
      <c r="J73" s="23"/>
    </row>
    <row r="74" spans="2:10" ht="13.5" thickBot="1" x14ac:dyDescent="0.25">
      <c r="B74" s="71" t="s">
        <v>74</v>
      </c>
      <c r="C74" s="145">
        <f>+F56</f>
        <v>27.5</v>
      </c>
      <c r="D74" s="145">
        <f>+D73</f>
        <v>100</v>
      </c>
      <c r="E74" s="72">
        <f>+C74/D74</f>
        <v>0.27500000000000002</v>
      </c>
      <c r="F74" s="122"/>
      <c r="G74" s="70"/>
      <c r="H74" s="123"/>
      <c r="I74" s="123"/>
      <c r="J74" s="23"/>
    </row>
    <row r="75" spans="2:10" ht="13.5" thickBot="1" x14ac:dyDescent="0.25">
      <c r="B75" s="49"/>
      <c r="C75" s="131"/>
      <c r="D75" s="131"/>
      <c r="E75" s="148"/>
      <c r="F75" s="122"/>
      <c r="G75" s="70"/>
      <c r="H75" s="123"/>
      <c r="I75" s="123"/>
      <c r="J75" s="23"/>
    </row>
    <row r="76" spans="2:10" ht="13.5" thickBot="1" x14ac:dyDescent="0.25">
      <c r="B76" s="71" t="s">
        <v>75</v>
      </c>
      <c r="C76" s="145">
        <f>+F54</f>
        <v>162.62070352634092</v>
      </c>
      <c r="D76" s="145">
        <f>+D74</f>
        <v>100</v>
      </c>
      <c r="E76" s="72">
        <f>+C76/D76</f>
        <v>1.6262070352634093</v>
      </c>
      <c r="F76" s="122"/>
      <c r="G76" s="70"/>
      <c r="H76" s="123"/>
      <c r="I76" s="123"/>
      <c r="J76" s="123"/>
    </row>
    <row r="77" spans="2:10" ht="13.5" thickBot="1" x14ac:dyDescent="0.25">
      <c r="B77" s="49"/>
      <c r="C77" s="131"/>
      <c r="D77" s="131"/>
      <c r="E77" s="148"/>
      <c r="F77" s="122"/>
      <c r="G77" s="70"/>
      <c r="H77" s="123"/>
      <c r="I77" s="123"/>
    </row>
    <row r="78" spans="2:10" ht="13.5" thickBot="1" x14ac:dyDescent="0.25">
      <c r="B78" s="369" t="s">
        <v>76</v>
      </c>
      <c r="C78" s="370"/>
      <c r="D78" s="371"/>
      <c r="E78" s="72">
        <f>+E69+E74</f>
        <v>3.8010808774592375</v>
      </c>
      <c r="G78" s="122"/>
      <c r="H78" s="70"/>
      <c r="I78" s="123"/>
      <c r="J78" s="148"/>
    </row>
    <row r="79" spans="2:10" x14ac:dyDescent="0.2">
      <c r="I79" s="70"/>
      <c r="J79" s="23"/>
    </row>
    <row r="80" spans="2:10" ht="13.5" thickBot="1" x14ac:dyDescent="0.25">
      <c r="B80" s="368" t="s">
        <v>77</v>
      </c>
      <c r="C80" s="368"/>
      <c r="D80" s="368"/>
      <c r="E80" s="368"/>
      <c r="F80" s="368"/>
      <c r="G80" s="122"/>
      <c r="H80" s="70"/>
      <c r="J80" s="23"/>
    </row>
    <row r="81" spans="1:10" ht="13.5" thickBot="1" x14ac:dyDescent="0.25">
      <c r="B81" s="71" t="s">
        <v>71</v>
      </c>
      <c r="C81" s="145">
        <f>+C69</f>
        <v>352.60808774592374</v>
      </c>
      <c r="D81" s="145">
        <f>+D60</f>
        <v>1</v>
      </c>
      <c r="E81" s="72">
        <f>+C81/D81</f>
        <v>352.60808774592374</v>
      </c>
      <c r="F81" s="122"/>
      <c r="G81" s="70"/>
      <c r="H81" s="123"/>
      <c r="I81" s="70"/>
      <c r="J81" s="23"/>
    </row>
    <row r="82" spans="1:10" x14ac:dyDescent="0.2">
      <c r="B82" s="73"/>
      <c r="C82" s="146"/>
      <c r="D82" s="147"/>
      <c r="E82" s="139"/>
      <c r="F82" s="122"/>
      <c r="G82" s="70"/>
      <c r="H82" s="123"/>
      <c r="I82" s="123"/>
      <c r="J82" s="23"/>
    </row>
    <row r="83" spans="1:10" x14ac:dyDescent="0.2">
      <c r="B83" s="71" t="s">
        <v>72</v>
      </c>
      <c r="C83" s="145">
        <f>+C71</f>
        <v>522.28095302718316</v>
      </c>
      <c r="D83" s="145">
        <f>+D60</f>
        <v>1</v>
      </c>
      <c r="E83" s="148">
        <f>+C83/D83</f>
        <v>522.28095302718316</v>
      </c>
      <c r="F83" s="122"/>
      <c r="G83" s="70"/>
      <c r="H83" s="123"/>
      <c r="I83" s="123"/>
      <c r="J83" s="23"/>
    </row>
    <row r="84" spans="1:10" x14ac:dyDescent="0.2">
      <c r="B84" s="71"/>
      <c r="C84" s="145"/>
      <c r="D84" s="145"/>
      <c r="E84" s="148"/>
      <c r="F84" s="122"/>
      <c r="G84" s="70"/>
      <c r="H84" s="123"/>
      <c r="I84" s="123"/>
      <c r="J84" s="23"/>
    </row>
    <row r="85" spans="1:10" ht="13.5" thickBot="1" x14ac:dyDescent="0.25">
      <c r="B85" s="71" t="s">
        <v>74</v>
      </c>
      <c r="C85" s="145">
        <f>+C73</f>
        <v>27.5</v>
      </c>
      <c r="D85" s="145">
        <f>+D60</f>
        <v>1</v>
      </c>
      <c r="E85" s="148">
        <f>+C85/D85</f>
        <v>27.5</v>
      </c>
      <c r="F85" s="150"/>
      <c r="G85" s="69"/>
      <c r="H85" s="22"/>
      <c r="I85" s="123"/>
    </row>
    <row r="86" spans="1:10" ht="13.5" thickBot="1" x14ac:dyDescent="0.25">
      <c r="B86" s="71" t="s">
        <v>74</v>
      </c>
      <c r="C86" s="145">
        <f>+C74</f>
        <v>27.5</v>
      </c>
      <c r="D86" s="145">
        <f>+D85</f>
        <v>1</v>
      </c>
      <c r="E86" s="72">
        <f>+C86/D86</f>
        <v>27.5</v>
      </c>
      <c r="F86" s="149"/>
      <c r="G86" s="69"/>
      <c r="H86" s="22"/>
      <c r="I86" s="22"/>
    </row>
    <row r="87" spans="1:10" x14ac:dyDescent="0.2">
      <c r="I87" s="22"/>
    </row>
    <row r="88" spans="1:10" x14ac:dyDescent="0.2">
      <c r="A88" s="372"/>
      <c r="B88" s="372"/>
      <c r="C88" s="74"/>
      <c r="D88" s="74"/>
      <c r="E88" s="151"/>
      <c r="G88" s="152"/>
    </row>
    <row r="89" spans="1:10" x14ac:dyDescent="0.2">
      <c r="A89" s="34"/>
      <c r="B89" s="75"/>
      <c r="C89" s="153"/>
      <c r="D89" s="153"/>
      <c r="E89" s="76"/>
      <c r="G89" s="152"/>
    </row>
    <row r="90" spans="1:10" x14ac:dyDescent="0.2">
      <c r="A90" s="34"/>
      <c r="B90" s="75"/>
      <c r="C90" s="77"/>
      <c r="D90" s="77"/>
      <c r="E90" s="34"/>
      <c r="G90" s="152"/>
    </row>
    <row r="91" spans="1:10" x14ac:dyDescent="0.2">
      <c r="A91" s="34"/>
      <c r="B91" s="75"/>
      <c r="C91" s="78"/>
      <c r="D91" s="78"/>
      <c r="E91" s="34"/>
      <c r="G91" s="15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topLeftCell="A3" workbookViewId="0">
      <selection activeCell="F53" sqref="F53"/>
    </sheetView>
  </sheetViews>
  <sheetFormatPr baseColWidth="10" defaultColWidth="8.42578125" defaultRowHeight="11.25" x14ac:dyDescent="0.2"/>
  <cols>
    <col min="1" max="1" width="5" style="79" customWidth="1"/>
    <col min="2" max="2" width="10" style="79" bestFit="1" customWidth="1"/>
    <col min="3" max="3" width="39.28515625" style="79" customWidth="1"/>
    <col min="4" max="4" width="10" style="79" bestFit="1" customWidth="1"/>
    <col min="5" max="5" width="10" style="79" customWidth="1"/>
    <col min="6" max="6" width="10.140625" style="79" bestFit="1" customWidth="1"/>
    <col min="7" max="7" width="11.5703125" style="80" customWidth="1"/>
    <col min="8" max="8" width="10.42578125" style="154" bestFit="1" customWidth="1"/>
    <col min="9" max="9" width="11.5703125" style="82" bestFit="1" customWidth="1"/>
    <col min="10" max="10" width="11.85546875" style="81" customWidth="1"/>
    <col min="11" max="11" width="9" style="79" bestFit="1" customWidth="1"/>
    <col min="12" max="16384" width="8.42578125" style="79"/>
  </cols>
  <sheetData>
    <row r="1" spans="2:11" x14ac:dyDescent="0.2">
      <c r="H1" s="386" t="s">
        <v>78</v>
      </c>
      <c r="I1" s="388">
        <f>+G51</f>
        <v>707.66674481245548</v>
      </c>
    </row>
    <row r="2" spans="2:11" ht="19.5" customHeight="1" thickBot="1" x14ac:dyDescent="0.25">
      <c r="H2" s="387"/>
      <c r="I2" s="389"/>
    </row>
    <row r="3" spans="2:11" ht="12" thickBot="1" x14ac:dyDescent="0.25"/>
    <row r="4" spans="2:11" ht="36" customHeight="1" thickBot="1" x14ac:dyDescent="0.35">
      <c r="B4" s="390"/>
      <c r="C4" s="391"/>
      <c r="D4" s="391"/>
      <c r="E4" s="391"/>
      <c r="F4" s="391"/>
      <c r="G4" s="391"/>
      <c r="H4" s="391"/>
      <c r="I4" s="392"/>
    </row>
    <row r="5" spans="2:11" ht="19.5" customHeight="1" thickBot="1" x14ac:dyDescent="0.25">
      <c r="B5" s="393" t="s">
        <v>79</v>
      </c>
      <c r="C5" s="393"/>
      <c r="D5" s="393"/>
      <c r="E5" s="393"/>
      <c r="F5" s="393"/>
      <c r="G5" s="393"/>
      <c r="H5" s="393"/>
      <c r="I5" s="393"/>
    </row>
    <row r="6" spans="2:11" ht="19.5" customHeight="1" thickTop="1" x14ac:dyDescent="0.2">
      <c r="B6" s="394" t="s">
        <v>80</v>
      </c>
      <c r="C6" s="394"/>
      <c r="D6" s="394"/>
      <c r="E6" s="394"/>
      <c r="F6" s="394"/>
      <c r="G6" s="394"/>
      <c r="H6" s="394"/>
      <c r="I6" s="394"/>
    </row>
    <row r="7" spans="2:11" ht="19.5" customHeight="1" thickBot="1" x14ac:dyDescent="0.25">
      <c r="B7" s="83"/>
      <c r="C7" s="83"/>
      <c r="D7" s="83"/>
      <c r="E7" s="83"/>
      <c r="F7" s="83"/>
      <c r="G7" s="395" t="s">
        <v>36</v>
      </c>
      <c r="H7" s="395"/>
      <c r="I7" s="26">
        <f ca="1">TODAY()</f>
        <v>45745</v>
      </c>
    </row>
    <row r="8" spans="2:11" ht="26.25" thickBot="1" x14ac:dyDescent="0.25">
      <c r="B8" s="27" t="s">
        <v>37</v>
      </c>
      <c r="C8" s="28" t="s">
        <v>81</v>
      </c>
      <c r="D8" s="28" t="s">
        <v>37</v>
      </c>
      <c r="E8" s="29" t="s">
        <v>39</v>
      </c>
      <c r="F8" s="29" t="s">
        <v>40</v>
      </c>
      <c r="G8" s="29" t="s">
        <v>41</v>
      </c>
      <c r="H8" s="29" t="s">
        <v>42</v>
      </c>
      <c r="I8" s="30" t="s">
        <v>43</v>
      </c>
    </row>
    <row r="9" spans="2:11" s="84" customFormat="1" ht="13.5" x14ac:dyDescent="0.25">
      <c r="B9" s="32">
        <v>1</v>
      </c>
      <c r="C9" s="34" t="s">
        <v>113</v>
      </c>
      <c r="D9" s="120">
        <f t="shared" ref="D9:D14" si="0">+B9</f>
        <v>1</v>
      </c>
      <c r="E9" s="85" t="s">
        <v>101</v>
      </c>
      <c r="F9" s="121">
        <f>+'Costo empaque'!O62</f>
        <v>690.40658030483462</v>
      </c>
      <c r="G9" s="121">
        <f t="shared" ref="G9:G14" si="1">IFERROR(D9*F9,"")</f>
        <v>690.40658030483462</v>
      </c>
      <c r="H9" s="155">
        <f t="shared" ref="H9:H14" si="2">IFERROR(G9/$G$53,"")</f>
        <v>0.24574553050316397</v>
      </c>
      <c r="I9" s="35"/>
    </row>
    <row r="10" spans="2:11" s="84" customFormat="1" ht="13.5" hidden="1" x14ac:dyDescent="0.25">
      <c r="B10" s="32"/>
      <c r="C10" s="34" t="e">
        <f>VLOOKUP(I10,'[1]COMPRAS LOCALES'!$A$2:$F$380,2,0)</f>
        <v>#N/A</v>
      </c>
      <c r="D10" s="120">
        <f t="shared" si="0"/>
        <v>0</v>
      </c>
      <c r="E10" s="85" t="e">
        <f>VLOOKUP(I10,'[1]COMPRAS LOCALES'!$A$2:$F$380,5,0)</f>
        <v>#N/A</v>
      </c>
      <c r="F10" s="121" t="e">
        <f>VLOOKUP(I10,'[1]COMPRAS LOCALES'!$A$2:$F$380,6,0)</f>
        <v>#N/A</v>
      </c>
      <c r="G10" s="121" t="str">
        <f t="shared" si="1"/>
        <v/>
      </c>
      <c r="H10" s="155" t="str">
        <f t="shared" si="2"/>
        <v/>
      </c>
      <c r="I10" s="35"/>
      <c r="K10" s="156"/>
    </row>
    <row r="11" spans="2:11" s="84" customFormat="1" ht="13.5" hidden="1" x14ac:dyDescent="0.25">
      <c r="B11" s="32"/>
      <c r="C11" s="34" t="e">
        <f>VLOOKUP(I11,'[1]COMPRAS LOCALES'!$A$2:$F$380,2,0)</f>
        <v>#N/A</v>
      </c>
      <c r="D11" s="120">
        <f t="shared" si="0"/>
        <v>0</v>
      </c>
      <c r="E11" s="85" t="e">
        <f>VLOOKUP(I11,'[1]COMPRAS LOCALES'!$A$2:$F$380,5,0)</f>
        <v>#N/A</v>
      </c>
      <c r="F11" s="121" t="e">
        <f>VLOOKUP(I11,'[1]COMPRAS LOCALES'!$A$2:$F$380,6,0)</f>
        <v>#N/A</v>
      </c>
      <c r="G11" s="121" t="str">
        <f t="shared" si="1"/>
        <v/>
      </c>
      <c r="H11" s="155" t="str">
        <f t="shared" si="2"/>
        <v/>
      </c>
      <c r="I11" s="35"/>
    </row>
    <row r="12" spans="2:11" s="84" customFormat="1" ht="13.5" hidden="1" x14ac:dyDescent="0.25">
      <c r="B12" s="32"/>
      <c r="C12" s="34" t="e">
        <f>VLOOKUP(I12,'[1]COMPRAS LOCALES'!$A$2:$F$380,2,0)</f>
        <v>#N/A</v>
      </c>
      <c r="D12" s="120">
        <f t="shared" si="0"/>
        <v>0</v>
      </c>
      <c r="E12" s="85" t="e">
        <f>VLOOKUP(I12,'[1]COMPRAS LOCALES'!$A$2:$F$380,5,0)</f>
        <v>#N/A</v>
      </c>
      <c r="F12" s="121" t="e">
        <f>VLOOKUP(I12,'[1]COMPRAS LOCALES'!$A$2:$F$380,6,0)</f>
        <v>#N/A</v>
      </c>
      <c r="G12" s="121" t="str">
        <f t="shared" si="1"/>
        <v/>
      </c>
      <c r="H12" s="155" t="str">
        <f t="shared" si="2"/>
        <v/>
      </c>
      <c r="I12" s="35"/>
    </row>
    <row r="13" spans="2:11" s="84" customFormat="1" ht="13.5" hidden="1" x14ac:dyDescent="0.25">
      <c r="B13" s="32"/>
      <c r="C13" s="34" t="e">
        <f>VLOOKUP(I13,'[1]COMPRAS LOCALES'!$A$2:$F$380,2,0)</f>
        <v>#N/A</v>
      </c>
      <c r="D13" s="120">
        <f t="shared" si="0"/>
        <v>0</v>
      </c>
      <c r="E13" s="85" t="e">
        <f>VLOOKUP(I13,'[1]COMPRAS LOCALES'!$A$2:$F$380,5,0)</f>
        <v>#N/A</v>
      </c>
      <c r="F13" s="121" t="e">
        <f>VLOOKUP(I13,'[1]COMPRAS LOCALES'!$A$2:$F$380,6,0)</f>
        <v>#N/A</v>
      </c>
      <c r="G13" s="121" t="str">
        <f t="shared" si="1"/>
        <v/>
      </c>
      <c r="H13" s="155" t="str">
        <f t="shared" si="2"/>
        <v/>
      </c>
      <c r="I13" s="35"/>
    </row>
    <row r="14" spans="2:11" s="84" customFormat="1" ht="13.5" hidden="1" x14ac:dyDescent="0.25">
      <c r="B14" s="32"/>
      <c r="C14" s="34" t="e">
        <f>VLOOKUP(I14,'[1]COMPRAS LOCALES'!$A$2:$F$380,2,0)</f>
        <v>#N/A</v>
      </c>
      <c r="D14" s="120">
        <f t="shared" si="0"/>
        <v>0</v>
      </c>
      <c r="E14" s="85" t="e">
        <f>VLOOKUP(I14,'[1]COMPRAS LOCALES'!$A$2:$F$380,5,0)</f>
        <v>#N/A</v>
      </c>
      <c r="F14" s="121" t="e">
        <f>VLOOKUP(I14,'[1]COMPRAS LOCALES'!$A$2:$F$380,6,0)</f>
        <v>#N/A</v>
      </c>
      <c r="G14" s="121" t="str">
        <f t="shared" si="1"/>
        <v/>
      </c>
      <c r="H14" s="155" t="str">
        <f t="shared" si="2"/>
        <v/>
      </c>
      <c r="I14" s="35"/>
    </row>
    <row r="15" spans="2:11" s="84" customFormat="1" ht="13.5" x14ac:dyDescent="0.25">
      <c r="B15" s="32"/>
      <c r="C15" s="38"/>
      <c r="D15" s="120"/>
      <c r="E15" s="120"/>
      <c r="F15" s="121"/>
      <c r="G15" s="121"/>
      <c r="H15" s="155"/>
      <c r="I15" s="35"/>
    </row>
    <row r="16" spans="2:11" s="84" customFormat="1" ht="24" hidden="1" customHeight="1" thickBot="1" x14ac:dyDescent="0.25">
      <c r="B16" s="27" t="s">
        <v>37</v>
      </c>
      <c r="C16" s="28" t="s">
        <v>82</v>
      </c>
      <c r="D16" s="28" t="s">
        <v>37</v>
      </c>
      <c r="E16" s="29" t="s">
        <v>39</v>
      </c>
      <c r="F16" s="29" t="s">
        <v>40</v>
      </c>
      <c r="G16" s="29" t="s">
        <v>41</v>
      </c>
      <c r="H16" s="29" t="s">
        <v>42</v>
      </c>
      <c r="I16" s="30" t="s">
        <v>43</v>
      </c>
    </row>
    <row r="17" spans="2:9" s="84" customFormat="1" ht="13.5" hidden="1" x14ac:dyDescent="0.25">
      <c r="B17" s="32"/>
      <c r="C17" s="34" t="e">
        <f>VLOOKUP(I17,'[1]COMPRAS LOCALES'!$A$2:$F$380,2,0)</f>
        <v>#N/A</v>
      </c>
      <c r="D17" s="157">
        <f>+B17</f>
        <v>0</v>
      </c>
      <c r="E17" s="157" t="e">
        <f>VLOOKUP(I17,'[1]COMPRAS LOCALES'!$A$2:$F$380,5,0)</f>
        <v>#N/A</v>
      </c>
      <c r="F17" s="158" t="e">
        <f>VLOOKUP(I17,'[1]COMPRAS LOCALES'!$A$2:$F$380,6,0)</f>
        <v>#N/A</v>
      </c>
      <c r="G17" s="158" t="str">
        <f>IFERROR(D17*F17,"")</f>
        <v/>
      </c>
      <c r="H17" s="155" t="str">
        <f>IFERROR(G17/$G$53,"")</f>
        <v/>
      </c>
      <c r="I17" s="35"/>
    </row>
    <row r="18" spans="2:9" s="84" customFormat="1" ht="13.5" hidden="1" x14ac:dyDescent="0.25">
      <c r="B18" s="32"/>
      <c r="C18" s="34" t="e">
        <f>VLOOKUP(I18,'[1]COMPRAS LOCALES'!$A$2:$F$380,2,0)</f>
        <v>#N/A</v>
      </c>
      <c r="D18" s="157">
        <f>+B18</f>
        <v>0</v>
      </c>
      <c r="E18" s="157" t="e">
        <f>VLOOKUP(I18,'[1]COMPRAS LOCALES'!$A$2:$F$380,5,0)</f>
        <v>#N/A</v>
      </c>
      <c r="F18" s="158" t="e">
        <f>VLOOKUP(I18,'[1]COMPRAS LOCALES'!$A$2:$F$380,6,0)</f>
        <v>#N/A</v>
      </c>
      <c r="G18" s="158" t="str">
        <f>IFERROR(D18*F18,"")</f>
        <v/>
      </c>
      <c r="H18" s="155" t="str">
        <f>IFERROR(G18/$G$53,"")</f>
        <v/>
      </c>
      <c r="I18" s="35"/>
    </row>
    <row r="19" spans="2:9" s="84" customFormat="1" ht="13.5" hidden="1" x14ac:dyDescent="0.25">
      <c r="B19" s="32"/>
      <c r="C19" s="34" t="e">
        <f>VLOOKUP(I19,'[1]COMPRAS LOCALES'!$A$2:$F$380,2,0)</f>
        <v>#N/A</v>
      </c>
      <c r="D19" s="157">
        <f>+B19</f>
        <v>0</v>
      </c>
      <c r="E19" s="157" t="e">
        <f>VLOOKUP(I19,'[1]COMPRAS LOCALES'!$A$2:$F$380,5,0)</f>
        <v>#N/A</v>
      </c>
      <c r="F19" s="158" t="e">
        <f>VLOOKUP(I19,'[1]COMPRAS LOCALES'!$A$2:$F$380,6,0)</f>
        <v>#N/A</v>
      </c>
      <c r="G19" s="158" t="str">
        <f>IFERROR(D19*F19,"")</f>
        <v/>
      </c>
      <c r="H19" s="155" t="str">
        <f>IFERROR(G19/$G$53,"")</f>
        <v/>
      </c>
      <c r="I19" s="35"/>
    </row>
    <row r="20" spans="2:9" s="84" customFormat="1" ht="13.5" hidden="1" x14ac:dyDescent="0.25">
      <c r="B20" s="32"/>
      <c r="C20" s="34" t="e">
        <f>VLOOKUP(I20,'[1]COMPRAS LOCALES'!$A$2:$F$380,2,0)</f>
        <v>#N/A</v>
      </c>
      <c r="D20" s="157">
        <f>+B20</f>
        <v>0</v>
      </c>
      <c r="E20" s="157" t="e">
        <f>VLOOKUP(I20,'[1]COMPRAS LOCALES'!$A$2:$F$380,5,0)</f>
        <v>#N/A</v>
      </c>
      <c r="F20" s="158" t="e">
        <f>VLOOKUP(I20,'[1]COMPRAS LOCALES'!$A$2:$F$380,6,0)</f>
        <v>#N/A</v>
      </c>
      <c r="G20" s="158" t="str">
        <f>IFERROR(D20*F20,"")</f>
        <v/>
      </c>
      <c r="H20" s="155" t="str">
        <f>IFERROR(G20/$G$53,"")</f>
        <v/>
      </c>
      <c r="I20" s="35"/>
    </row>
    <row r="21" spans="2:9" s="84" customFormat="1" ht="13.5" hidden="1" thickBot="1" x14ac:dyDescent="0.25">
      <c r="B21" s="86"/>
      <c r="C21" s="87"/>
      <c r="D21" s="88"/>
      <c r="E21" s="88"/>
      <c r="F21" s="88"/>
      <c r="G21" s="89"/>
      <c r="H21" s="159"/>
      <c r="I21" s="90"/>
    </row>
    <row r="22" spans="2:9" s="84" customFormat="1" ht="26.25" hidden="1" thickBot="1" x14ac:dyDescent="0.25">
      <c r="B22" s="27" t="s">
        <v>66</v>
      </c>
      <c r="C22" s="28" t="s">
        <v>25</v>
      </c>
      <c r="D22" s="28" t="s">
        <v>66</v>
      </c>
      <c r="E22" s="29" t="s">
        <v>39</v>
      </c>
      <c r="F22" s="29" t="s">
        <v>83</v>
      </c>
      <c r="G22" s="29" t="s">
        <v>84</v>
      </c>
      <c r="H22" s="29" t="s">
        <v>85</v>
      </c>
      <c r="I22" s="30" t="s">
        <v>86</v>
      </c>
    </row>
    <row r="23" spans="2:9" s="84" customFormat="1" ht="14.25" hidden="1" thickBot="1" x14ac:dyDescent="0.3">
      <c r="B23" s="32"/>
      <c r="C23" s="91" t="s">
        <v>87</v>
      </c>
      <c r="D23" s="120"/>
      <c r="E23" s="120"/>
      <c r="F23" s="121"/>
      <c r="G23" s="121"/>
      <c r="H23" s="155"/>
      <c r="I23" s="35"/>
    </row>
    <row r="24" spans="2:9" s="84" customFormat="1" ht="13.5" hidden="1" x14ac:dyDescent="0.25">
      <c r="B24" s="32">
        <v>0.55000000000000004</v>
      </c>
      <c r="C24" s="34" t="e">
        <f>VLOOKUP(I24,'[3]COMPRAS LOCALES'!$A$1:$F$380,2,0)</f>
        <v>#N/A</v>
      </c>
      <c r="D24" s="120">
        <f>+B24</f>
        <v>0.55000000000000004</v>
      </c>
      <c r="E24" s="120" t="e">
        <f>VLOOKUP(I24,'[1]COMPRAS LOCALES'!$A$2:$F$380,5,0)</f>
        <v>#N/A</v>
      </c>
      <c r="F24" s="121" t="e">
        <f>VLOOKUP(I24,'[1]COMPRAS LOCALES'!$A$2:$F$380,6,0)</f>
        <v>#N/A</v>
      </c>
      <c r="G24" s="121" t="str">
        <f>IFERROR(F24*D24,"")</f>
        <v/>
      </c>
      <c r="H24" s="160" t="str">
        <f>IFERROR(G24/$G$53,"")</f>
        <v/>
      </c>
      <c r="I24" s="35"/>
    </row>
    <row r="25" spans="2:9" s="84" customFormat="1" ht="13.5" hidden="1" x14ac:dyDescent="0.25">
      <c r="B25" s="32">
        <v>0.55000000000000004</v>
      </c>
      <c r="C25" s="34" t="e">
        <f>VLOOKUP(I25,'[3]COMPRAS LOCALES'!$A$1:$F$380,2,0)</f>
        <v>#N/A</v>
      </c>
      <c r="D25" s="120">
        <f t="shared" ref="D25:D31" si="3">+B25</f>
        <v>0.55000000000000004</v>
      </c>
      <c r="E25" s="120" t="e">
        <f>VLOOKUP(I25,'[1]COMPRAS LOCALES'!$A$2:$F$380,5,0)</f>
        <v>#N/A</v>
      </c>
      <c r="F25" s="121" t="e">
        <f>VLOOKUP(I25,'[1]COMPRAS LOCALES'!$A$2:$F$380,6,0)</f>
        <v>#N/A</v>
      </c>
      <c r="G25" s="121" t="str">
        <f t="shared" ref="G25:G31" si="4">IFERROR(F25*D25,"")</f>
        <v/>
      </c>
      <c r="H25" s="160" t="str">
        <f t="shared" ref="H25:H31" si="5">IFERROR(G25/$G$53,"")</f>
        <v/>
      </c>
      <c r="I25" s="35"/>
    </row>
    <row r="26" spans="2:9" s="84" customFormat="1" ht="13.5" hidden="1" x14ac:dyDescent="0.25">
      <c r="B26" s="32">
        <v>0.55000000000000004</v>
      </c>
      <c r="C26" s="34" t="e">
        <f>VLOOKUP(I26,'[3]COMPRAS LOCALES'!$A$1:$F$380,2,0)</f>
        <v>#N/A</v>
      </c>
      <c r="D26" s="120">
        <f t="shared" si="3"/>
        <v>0.55000000000000004</v>
      </c>
      <c r="E26" s="120" t="e">
        <f>VLOOKUP(I26,'[1]COMPRAS LOCALES'!$A$2:$F$380,5,0)</f>
        <v>#N/A</v>
      </c>
      <c r="F26" s="121" t="e">
        <f>VLOOKUP(I26,'[1]COMPRAS LOCALES'!$A$2:$F$380,6,0)</f>
        <v>#N/A</v>
      </c>
      <c r="G26" s="121" t="str">
        <f t="shared" si="4"/>
        <v/>
      </c>
      <c r="H26" s="160" t="str">
        <f t="shared" si="5"/>
        <v/>
      </c>
      <c r="I26" s="35"/>
    </row>
    <row r="27" spans="2:9" s="84" customFormat="1" ht="13.5" hidden="1" x14ac:dyDescent="0.25">
      <c r="B27" s="32">
        <v>0.55000000000000004</v>
      </c>
      <c r="C27" s="34" t="e">
        <f>VLOOKUP(I27,'[3]COMPRAS LOCALES'!$A$1:$F$380,2,0)</f>
        <v>#N/A</v>
      </c>
      <c r="D27" s="120">
        <f t="shared" si="3"/>
        <v>0.55000000000000004</v>
      </c>
      <c r="E27" s="120" t="e">
        <f>VLOOKUP(I27,'[1]COMPRAS LOCALES'!$A$2:$F$380,5,0)</f>
        <v>#N/A</v>
      </c>
      <c r="F27" s="121" t="e">
        <f>VLOOKUP(I27,'[1]COMPRAS LOCALES'!$A$2:$F$380,6,0)</f>
        <v>#N/A</v>
      </c>
      <c r="G27" s="121" t="str">
        <f t="shared" si="4"/>
        <v/>
      </c>
      <c r="H27" s="160" t="str">
        <f t="shared" si="5"/>
        <v/>
      </c>
      <c r="I27" s="35"/>
    </row>
    <row r="28" spans="2:9" s="84" customFormat="1" ht="13.5" hidden="1" x14ac:dyDescent="0.25">
      <c r="B28" s="32">
        <v>0.55000000000000004</v>
      </c>
      <c r="C28" s="34" t="e">
        <f>VLOOKUP(I28,'[3]COMPRAS LOCALES'!$A$1:$F$380,2,0)</f>
        <v>#N/A</v>
      </c>
      <c r="D28" s="120">
        <f t="shared" si="3"/>
        <v>0.55000000000000004</v>
      </c>
      <c r="E28" s="120" t="e">
        <f>VLOOKUP(I28,'[1]COMPRAS LOCALES'!$A$2:$F$380,5,0)</f>
        <v>#N/A</v>
      </c>
      <c r="F28" s="121" t="e">
        <f>VLOOKUP(I28,'[1]COMPRAS LOCALES'!$A$2:$F$380,6,0)</f>
        <v>#N/A</v>
      </c>
      <c r="G28" s="121" t="str">
        <f t="shared" si="4"/>
        <v/>
      </c>
      <c r="H28" s="160" t="str">
        <f t="shared" si="5"/>
        <v/>
      </c>
      <c r="I28" s="35"/>
    </row>
    <row r="29" spans="2:9" s="84" customFormat="1" ht="13.5" hidden="1" x14ac:dyDescent="0.25">
      <c r="B29" s="32">
        <v>0.55000000000000004</v>
      </c>
      <c r="C29" s="34" t="e">
        <f>VLOOKUP(I29,'[3]COMPRAS LOCALES'!$A$1:$F$380,2,0)</f>
        <v>#N/A</v>
      </c>
      <c r="D29" s="120">
        <f t="shared" si="3"/>
        <v>0.55000000000000004</v>
      </c>
      <c r="E29" s="120" t="e">
        <f>VLOOKUP(I29,'[1]COMPRAS LOCALES'!$A$2:$F$380,5,0)</f>
        <v>#N/A</v>
      </c>
      <c r="F29" s="121" t="e">
        <f>VLOOKUP(I29,'[1]COMPRAS LOCALES'!$A$2:$F$380,6,0)</f>
        <v>#N/A</v>
      </c>
      <c r="G29" s="121" t="str">
        <f t="shared" si="4"/>
        <v/>
      </c>
      <c r="H29" s="160" t="str">
        <f t="shared" si="5"/>
        <v/>
      </c>
      <c r="I29" s="35"/>
    </row>
    <row r="30" spans="2:9" s="84" customFormat="1" ht="13.5" hidden="1" x14ac:dyDescent="0.25">
      <c r="B30" s="32">
        <v>0.55000000000000004</v>
      </c>
      <c r="C30" s="34" t="e">
        <f>VLOOKUP(I30,'[3]COMPRAS LOCALES'!$A$1:$F$380,2,0)</f>
        <v>#N/A</v>
      </c>
      <c r="D30" s="120">
        <f t="shared" si="3"/>
        <v>0.55000000000000004</v>
      </c>
      <c r="E30" s="120" t="e">
        <f>VLOOKUP(I30,'[1]COMPRAS LOCALES'!$A$2:$F$380,5,0)</f>
        <v>#N/A</v>
      </c>
      <c r="F30" s="121" t="e">
        <f>VLOOKUP(I30,'[1]COMPRAS LOCALES'!$A$2:$F$380,6,0)</f>
        <v>#N/A</v>
      </c>
      <c r="G30" s="121" t="str">
        <f t="shared" si="4"/>
        <v/>
      </c>
      <c r="H30" s="160" t="str">
        <f t="shared" si="5"/>
        <v/>
      </c>
      <c r="I30" s="35"/>
    </row>
    <row r="31" spans="2:9" s="84" customFormat="1" ht="13.5" hidden="1" x14ac:dyDescent="0.25">
      <c r="B31" s="32">
        <v>0.55000000000000004</v>
      </c>
      <c r="C31" s="34" t="e">
        <f>VLOOKUP(I31,'[3]COMPRAS LOCALES'!$A$1:$F$380,2,0)</f>
        <v>#N/A</v>
      </c>
      <c r="D31" s="120">
        <f t="shared" si="3"/>
        <v>0.55000000000000004</v>
      </c>
      <c r="E31" s="120" t="e">
        <f>VLOOKUP(I31,'[1]COMPRAS LOCALES'!$A$2:$F$380,5,0)</f>
        <v>#N/A</v>
      </c>
      <c r="F31" s="121" t="e">
        <f>VLOOKUP(I31,'[1]COMPRAS LOCALES'!$A$2:$F$380,6,0)</f>
        <v>#N/A</v>
      </c>
      <c r="G31" s="121" t="str">
        <f t="shared" si="4"/>
        <v/>
      </c>
      <c r="H31" s="160" t="str">
        <f t="shared" si="5"/>
        <v/>
      </c>
      <c r="I31" s="35"/>
    </row>
    <row r="32" spans="2:9" s="84" customFormat="1" ht="14.25" hidden="1" thickBot="1" x14ac:dyDescent="0.3">
      <c r="B32" s="32"/>
      <c r="C32" s="91" t="s">
        <v>88</v>
      </c>
      <c r="D32" s="120"/>
      <c r="E32" s="120"/>
      <c r="F32" s="121"/>
      <c r="G32" s="121"/>
      <c r="H32" s="160"/>
      <c r="I32" s="35"/>
    </row>
    <row r="33" spans="1:38" s="84" customFormat="1" ht="13.5" hidden="1" x14ac:dyDescent="0.25">
      <c r="B33" s="32">
        <v>0.05</v>
      </c>
      <c r="C33" s="38" t="str">
        <f>IFERROR(VLOOKUP(I33,'[2]COMPRAS LOCALES'!$A$2:$G$119,2,0),"")</f>
        <v/>
      </c>
      <c r="D33" s="120">
        <f t="shared" ref="D33:D38" si="6">+B33</f>
        <v>0.05</v>
      </c>
      <c r="E33" s="120" t="str">
        <f>IFERROR(VLOOKUP(I33,'[2]COMPRAS LOCALES'!$A$2:$G$119,6,0),"")</f>
        <v/>
      </c>
      <c r="F33" s="121" t="str">
        <f>IFERROR(VLOOKUP(I33,'[2]COMPRAS LOCALES'!$A$2:$G$119,7,0),"")</f>
        <v/>
      </c>
      <c r="G33" s="121" t="str">
        <f t="shared" ref="G33:G38" si="7">IFERROR(F33*D33,"")</f>
        <v/>
      </c>
      <c r="H33" s="160" t="str">
        <f t="shared" ref="H33:H38" si="8">IFERROR(G33/$G$53,"")</f>
        <v/>
      </c>
      <c r="I33" s="35"/>
    </row>
    <row r="34" spans="1:38" s="84" customFormat="1" ht="13.5" hidden="1" x14ac:dyDescent="0.25">
      <c r="B34" s="32">
        <v>0.05</v>
      </c>
      <c r="C34" s="38" t="str">
        <f>IFERROR(VLOOKUP(I34,'[2]COMPRAS LOCALES'!$A$2:$G$119,2,0),"")</f>
        <v/>
      </c>
      <c r="D34" s="120">
        <f t="shared" si="6"/>
        <v>0.05</v>
      </c>
      <c r="E34" s="120" t="str">
        <f>IFERROR(VLOOKUP(I34,'[2]COMPRAS LOCALES'!$A$2:$G$119,6,0),"")</f>
        <v/>
      </c>
      <c r="F34" s="121" t="str">
        <f>IFERROR(VLOOKUP(I34,'[2]COMPRAS LOCALES'!$A$2:$G$119,7,0),"")</f>
        <v/>
      </c>
      <c r="G34" s="121" t="str">
        <f t="shared" si="7"/>
        <v/>
      </c>
      <c r="H34" s="160" t="str">
        <f t="shared" si="8"/>
        <v/>
      </c>
      <c r="I34" s="35"/>
    </row>
    <row r="35" spans="1:38" s="84" customFormat="1" ht="13.5" hidden="1" x14ac:dyDescent="0.25">
      <c r="B35" s="32">
        <v>0.05</v>
      </c>
      <c r="C35" s="38" t="str">
        <f>IFERROR(VLOOKUP(I35,'[2]COMPRAS LOCALES'!$A$2:$G$119,2,0),"")</f>
        <v/>
      </c>
      <c r="D35" s="120">
        <f t="shared" si="6"/>
        <v>0.05</v>
      </c>
      <c r="E35" s="120" t="str">
        <f>IFERROR(VLOOKUP(I35,'[2]COMPRAS LOCALES'!$A$2:$G$119,6,0),"")</f>
        <v/>
      </c>
      <c r="F35" s="121" t="str">
        <f>IFERROR(VLOOKUP(I35,'[2]COMPRAS LOCALES'!$A$2:$G$119,7,0),"")</f>
        <v/>
      </c>
      <c r="G35" s="121" t="str">
        <f t="shared" si="7"/>
        <v/>
      </c>
      <c r="H35" s="160" t="str">
        <f t="shared" si="8"/>
        <v/>
      </c>
      <c r="I35" s="35"/>
    </row>
    <row r="36" spans="1:38" s="84" customFormat="1" ht="13.5" hidden="1" x14ac:dyDescent="0.25">
      <c r="B36" s="32">
        <v>0.05</v>
      </c>
      <c r="C36" s="38" t="str">
        <f>IFERROR(VLOOKUP(I36,'[2]COMPRAS LOCALES'!$A$2:$G$119,2,0),"")</f>
        <v/>
      </c>
      <c r="D36" s="120">
        <f t="shared" si="6"/>
        <v>0.05</v>
      </c>
      <c r="E36" s="120" t="str">
        <f>IFERROR(VLOOKUP(I36,'[2]COMPRAS LOCALES'!$A$2:$G$119,6,0),"")</f>
        <v/>
      </c>
      <c r="F36" s="121" t="str">
        <f>IFERROR(VLOOKUP(I36,'[2]COMPRAS LOCALES'!$A$2:$G$119,7,0),"")</f>
        <v/>
      </c>
      <c r="G36" s="121" t="str">
        <f t="shared" si="7"/>
        <v/>
      </c>
      <c r="H36" s="160" t="str">
        <f t="shared" si="8"/>
        <v/>
      </c>
      <c r="I36" s="35"/>
    </row>
    <row r="37" spans="1:38" s="84" customFormat="1" ht="13.5" hidden="1" x14ac:dyDescent="0.25">
      <c r="B37" s="32">
        <v>0.05</v>
      </c>
      <c r="C37" s="38" t="str">
        <f>IFERROR(VLOOKUP(I37,'[2]COMPRAS LOCALES'!$A$2:$G$119,2,0),"")</f>
        <v/>
      </c>
      <c r="D37" s="120">
        <f t="shared" si="6"/>
        <v>0.05</v>
      </c>
      <c r="E37" s="120" t="str">
        <f>IFERROR(VLOOKUP(I37,'[2]COMPRAS LOCALES'!$A$2:$G$119,6,0),"")</f>
        <v/>
      </c>
      <c r="F37" s="121" t="str">
        <f>IFERROR(VLOOKUP(I37,'[2]COMPRAS LOCALES'!$A$2:$G$119,7,0),"")</f>
        <v/>
      </c>
      <c r="G37" s="121" t="str">
        <f t="shared" si="7"/>
        <v/>
      </c>
      <c r="H37" s="160" t="str">
        <f t="shared" si="8"/>
        <v/>
      </c>
      <c r="I37" s="35"/>
    </row>
    <row r="38" spans="1:38" s="84" customFormat="1" ht="13.5" hidden="1" x14ac:dyDescent="0.25">
      <c r="B38" s="32">
        <v>0.05</v>
      </c>
      <c r="C38" s="38" t="str">
        <f>IFERROR(VLOOKUP(I38,'[2]COMPRAS LOCALES'!$A$2:$G$119,2,0),"")</f>
        <v/>
      </c>
      <c r="D38" s="120">
        <f t="shared" si="6"/>
        <v>0.05</v>
      </c>
      <c r="E38" s="120" t="str">
        <f>IFERROR(VLOOKUP(I38,'[2]COMPRAS LOCALES'!$A$2:$G$119,6,0),"")</f>
        <v/>
      </c>
      <c r="F38" s="121" t="str">
        <f>IFERROR(VLOOKUP(I38,'[2]COMPRAS LOCALES'!$A$2:$G$119,7,0),"")</f>
        <v/>
      </c>
      <c r="G38" s="121" t="str">
        <f t="shared" si="7"/>
        <v/>
      </c>
      <c r="H38" s="160" t="str">
        <f t="shared" si="8"/>
        <v/>
      </c>
      <c r="I38" s="35"/>
    </row>
    <row r="39" spans="1:38" ht="12.75" x14ac:dyDescent="0.2">
      <c r="A39" s="92"/>
      <c r="B39" s="161"/>
      <c r="C39" s="93"/>
      <c r="D39" s="162"/>
      <c r="E39" s="162"/>
      <c r="F39" s="162"/>
      <c r="G39" s="121"/>
      <c r="H39" s="163"/>
      <c r="I39" s="164"/>
      <c r="J39" s="165"/>
    </row>
    <row r="40" spans="1:38" ht="12.75" x14ac:dyDescent="0.2">
      <c r="A40" s="86"/>
      <c r="B40" s="396" t="s">
        <v>89</v>
      </c>
      <c r="C40" s="396"/>
      <c r="D40" s="396"/>
      <c r="E40" s="396"/>
      <c r="F40" s="396"/>
      <c r="G40" s="166">
        <f>SUM(G9:G14)</f>
        <v>690.40658030483462</v>
      </c>
      <c r="H40" s="155">
        <f>+G40/$G$53</f>
        <v>0.24574553050316397</v>
      </c>
      <c r="I40" s="79"/>
      <c r="J40" s="79"/>
    </row>
    <row r="41" spans="1:38" ht="13.5" thickBot="1" x14ac:dyDescent="0.25">
      <c r="A41" s="86"/>
      <c r="B41" s="396" t="s">
        <v>90</v>
      </c>
      <c r="C41" s="396"/>
      <c r="D41" s="396"/>
      <c r="E41" s="396"/>
      <c r="F41" s="396" t="e">
        <f>SUM(F17:F20)</f>
        <v>#N/A</v>
      </c>
      <c r="G41" s="167">
        <f>SUM(G17:G20)</f>
        <v>0</v>
      </c>
      <c r="H41" s="155">
        <f>+G41/$G$53</f>
        <v>0</v>
      </c>
      <c r="I41" s="79"/>
      <c r="J41" s="79"/>
    </row>
    <row r="42" spans="1:38" ht="13.5" thickTop="1" x14ac:dyDescent="0.2">
      <c r="A42" s="94"/>
      <c r="B42" s="397" t="s">
        <v>91</v>
      </c>
      <c r="C42" s="397"/>
      <c r="D42" s="397"/>
      <c r="E42" s="397"/>
      <c r="F42" s="397"/>
      <c r="G42" s="168">
        <f>SUM(G40:G41)</f>
        <v>690.40658030483462</v>
      </c>
      <c r="H42" s="155">
        <f>+G42/$G$53</f>
        <v>0.24574553050316397</v>
      </c>
      <c r="I42" s="79"/>
      <c r="J42" s="79"/>
    </row>
    <row r="43" spans="1:38" ht="13.5" thickBot="1" x14ac:dyDescent="0.25">
      <c r="A43" s="86"/>
      <c r="B43" s="398" t="s">
        <v>92</v>
      </c>
      <c r="C43" s="398"/>
      <c r="D43" s="398"/>
      <c r="E43" s="398"/>
      <c r="F43" s="398"/>
      <c r="G43" s="167">
        <f>SUM(G24:G38)</f>
        <v>0</v>
      </c>
      <c r="H43" s="155">
        <f>+G43/$G$53</f>
        <v>0</v>
      </c>
      <c r="I43" s="79"/>
      <c r="J43" s="79"/>
    </row>
    <row r="44" spans="1:38" ht="13.5" thickTop="1" x14ac:dyDescent="0.2">
      <c r="A44" s="94"/>
      <c r="B44" s="397" t="s">
        <v>51</v>
      </c>
      <c r="C44" s="397"/>
      <c r="D44" s="397"/>
      <c r="E44" s="397"/>
      <c r="F44" s="397"/>
      <c r="G44" s="168">
        <f>SUM(G42:G43)</f>
        <v>690.40658030483462</v>
      </c>
      <c r="H44" s="155">
        <f>+G44/$G$53</f>
        <v>0.24574553050316397</v>
      </c>
      <c r="I44" s="79"/>
      <c r="J44" s="79"/>
    </row>
    <row r="45" spans="1:38" ht="13.5" thickBot="1" x14ac:dyDescent="0.25">
      <c r="A45" s="34"/>
      <c r="B45" s="97"/>
      <c r="C45" s="97"/>
      <c r="D45" s="169"/>
      <c r="E45" s="169"/>
      <c r="F45" s="170"/>
      <c r="G45" s="171"/>
      <c r="H45" s="34"/>
      <c r="I45" s="79"/>
      <c r="J45" s="79"/>
    </row>
    <row r="46" spans="1:38" s="98" customFormat="1" ht="19.5" customHeight="1" thickBot="1" x14ac:dyDescent="0.3">
      <c r="A46" s="384"/>
      <c r="B46" s="385"/>
      <c r="C46" s="385"/>
      <c r="D46" s="385"/>
      <c r="E46" s="385"/>
      <c r="F46" s="385"/>
      <c r="G46" s="385"/>
      <c r="H46" s="385"/>
      <c r="I46" s="385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</row>
    <row r="47" spans="1:38" ht="12.75" x14ac:dyDescent="0.2">
      <c r="A47" s="34"/>
      <c r="B47" s="99"/>
      <c r="C47" s="99"/>
      <c r="D47" s="99"/>
      <c r="E47" s="34"/>
      <c r="F47" s="86"/>
      <c r="G47" s="172"/>
      <c r="H47" s="100"/>
      <c r="I47" s="79"/>
      <c r="J47" s="79"/>
    </row>
    <row r="48" spans="1:38" ht="12.75" x14ac:dyDescent="0.2">
      <c r="A48" s="97"/>
      <c r="B48" s="397" t="s">
        <v>91</v>
      </c>
      <c r="C48" s="397"/>
      <c r="D48" s="397"/>
      <c r="E48" s="95"/>
      <c r="G48" s="153">
        <f>+G42</f>
        <v>690.40658030483462</v>
      </c>
      <c r="H48" s="155">
        <f>+G48/$G$53</f>
        <v>0.24574553050316397</v>
      </c>
      <c r="I48" s="79"/>
      <c r="J48" s="79"/>
    </row>
    <row r="49" spans="1:38" ht="12.75" x14ac:dyDescent="0.2">
      <c r="A49" s="97"/>
      <c r="B49" s="398" t="s">
        <v>25</v>
      </c>
      <c r="C49" s="398"/>
      <c r="D49" s="398"/>
      <c r="E49" s="96"/>
      <c r="F49" s="173" t="s">
        <v>93</v>
      </c>
      <c r="G49" s="153">
        <f>+G43</f>
        <v>0</v>
      </c>
      <c r="H49" s="155">
        <f>+G49/$G$53</f>
        <v>0</v>
      </c>
      <c r="I49" s="79"/>
      <c r="J49" s="79"/>
    </row>
    <row r="50" spans="1:38" ht="13.5" thickBot="1" x14ac:dyDescent="0.25">
      <c r="A50" s="34"/>
      <c r="B50" s="398" t="s">
        <v>94</v>
      </c>
      <c r="C50" s="398"/>
      <c r="D50" s="398"/>
      <c r="E50" s="96"/>
      <c r="F50" s="174">
        <v>2.5000000000000001E-2</v>
      </c>
      <c r="G50" s="153">
        <f>+(G49+G48)*F50</f>
        <v>17.260164507620868</v>
      </c>
      <c r="H50" s="155">
        <f>+G50/$G$53</f>
        <v>6.1436382625790998E-3</v>
      </c>
      <c r="I50" s="79"/>
      <c r="J50" s="79"/>
    </row>
    <row r="51" spans="1:38" ht="13.5" thickBot="1" x14ac:dyDescent="0.25">
      <c r="A51" s="97"/>
      <c r="B51" s="400" t="s">
        <v>95</v>
      </c>
      <c r="C51" s="400"/>
      <c r="D51" s="400"/>
      <c r="E51" s="400"/>
      <c r="F51" s="401"/>
      <c r="G51" s="101">
        <f>SUM(G48:G50)</f>
        <v>707.66674481245548</v>
      </c>
      <c r="H51" s="155">
        <f>+G51/$G$53</f>
        <v>0.25188916876574308</v>
      </c>
      <c r="I51" s="79"/>
      <c r="J51" s="79"/>
    </row>
    <row r="52" spans="1:38" ht="17.25" customHeight="1" x14ac:dyDescent="0.2">
      <c r="A52" s="102"/>
      <c r="B52" s="399" t="s">
        <v>96</v>
      </c>
      <c r="C52" s="399"/>
      <c r="D52" s="399"/>
      <c r="E52" s="103"/>
      <c r="F52" s="175">
        <v>2.97</v>
      </c>
      <c r="G52" s="153">
        <f>+G51*F52</f>
        <v>2101.770232092993</v>
      </c>
      <c r="H52" s="104"/>
      <c r="I52" s="79"/>
      <c r="J52" s="79"/>
    </row>
    <row r="53" spans="1:38" ht="13.5" thickBot="1" x14ac:dyDescent="0.25">
      <c r="A53" s="102"/>
      <c r="B53" s="399" t="s">
        <v>97</v>
      </c>
      <c r="C53" s="399"/>
      <c r="D53" s="399"/>
      <c r="E53" s="103"/>
      <c r="F53" s="176"/>
      <c r="G53" s="153">
        <f>SUM(G51:G52)</f>
        <v>2809.4369769054483</v>
      </c>
      <c r="H53" s="105"/>
      <c r="I53" s="177">
        <f>+I55/1.13</f>
        <v>2610.6194690265488</v>
      </c>
      <c r="J53" s="179">
        <f>+(I53-G51)/G51</f>
        <v>2.6890520688780004</v>
      </c>
    </row>
    <row r="54" spans="1:38" s="107" customFormat="1" ht="13.5" thickBot="1" x14ac:dyDescent="0.25">
      <c r="A54" s="102"/>
      <c r="B54" s="399" t="s">
        <v>98</v>
      </c>
      <c r="C54" s="399"/>
      <c r="D54" s="399"/>
      <c r="E54" s="103"/>
      <c r="F54" s="178">
        <v>0.13</v>
      </c>
      <c r="G54" s="106">
        <f>+G53*(1+F54)</f>
        <v>3174.6637839031564</v>
      </c>
      <c r="H54" s="105"/>
      <c r="I54" s="177">
        <f>+I53*1.13</f>
        <v>2950</v>
      </c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 spans="1:38" ht="13.5" thickBot="1" x14ac:dyDescent="0.25">
      <c r="A55" s="34"/>
      <c r="B55" s="399" t="s">
        <v>99</v>
      </c>
      <c r="C55" s="399"/>
      <c r="D55" s="399"/>
      <c r="E55" s="103"/>
      <c r="F55" s="178">
        <v>0.23</v>
      </c>
      <c r="G55" s="108">
        <f>+G53*(1+F55)</f>
        <v>3455.6074815937013</v>
      </c>
      <c r="H55" s="100"/>
      <c r="I55" s="177">
        <v>2950</v>
      </c>
      <c r="J55" s="79"/>
    </row>
    <row r="56" spans="1:38" ht="13.5" thickBot="1" x14ac:dyDescent="0.25">
      <c r="A56" s="34"/>
      <c r="B56" s="103"/>
      <c r="C56" s="103"/>
      <c r="D56" s="103"/>
      <c r="E56" s="103"/>
      <c r="F56" s="178"/>
      <c r="G56" s="109"/>
      <c r="H56" s="100"/>
      <c r="I56" s="79"/>
      <c r="J56" s="79"/>
    </row>
    <row r="57" spans="1:38" s="98" customFormat="1" ht="19.5" customHeight="1" thickBot="1" x14ac:dyDescent="0.3">
      <c r="A57" s="384" t="s">
        <v>100</v>
      </c>
      <c r="B57" s="385"/>
      <c r="C57" s="385"/>
      <c r="D57" s="385"/>
      <c r="E57" s="385"/>
      <c r="F57" s="385"/>
      <c r="G57" s="385"/>
      <c r="H57" s="385"/>
      <c r="I57" s="385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107" customFormat="1" ht="19.5" customHeight="1" thickBot="1" x14ac:dyDescent="0.25">
      <c r="A65" s="79"/>
      <c r="B65" s="79"/>
      <c r="C65" s="79"/>
      <c r="D65" s="79"/>
      <c r="E65" s="79"/>
      <c r="F65" s="79"/>
      <c r="G65" s="80"/>
      <c r="H65" s="154"/>
      <c r="I65" s="82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B92CDE-C5C4-4E95-8207-61F3E94F4E0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B4778FD-1463-40E0-A894-E8FEA91380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9B106-4D36-4702-B209-10FCA0BA31B4}">
  <ds:schemaRefs>
    <ds:schemaRef ds:uri="http://purl.org/dc/terms/"/>
    <ds:schemaRef ds:uri="http://schemas.microsoft.com/office/2006/metadata/properties"/>
    <ds:schemaRef ds:uri="http://purl.org/dc/dcmitype/"/>
    <ds:schemaRef ds:uri="eae225b5-53a6-4b69-be5f-a92fedf9fd9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b4e74ba-38a7-42d4-a9ca-1da0fc041db0"/>
  </ds:schemaRefs>
</ds:datastoreItem>
</file>

<file path=customXml/itemProps4.xml><?xml version="1.0" encoding="utf-8"?>
<ds:datastoreItem xmlns:ds="http://schemas.openxmlformats.org/officeDocument/2006/customXml" ds:itemID="{C2A99499-10C9-4D06-A2C2-291C08B93E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empaque</vt:lpstr>
      <vt:lpstr>PRECIO,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2025-03-29T18:06:04Z</cp:lastPrinted>
  <dcterms:created xsi:type="dcterms:W3CDTF">2009-03-11T22:07:15Z</dcterms:created>
  <dcterms:modified xsi:type="dcterms:W3CDTF">2025-03-29T18:06:06Z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
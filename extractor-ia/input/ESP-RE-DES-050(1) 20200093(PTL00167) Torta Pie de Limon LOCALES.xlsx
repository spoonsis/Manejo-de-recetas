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9F0B45AA-13A9-45CB-804C-9462066A66AA}" xr6:coauthVersionLast="47" xr6:coauthVersionMax="47" xr10:uidLastSave="{D1D4CE44-2D92-4952-821C-0C6631D39375}"/>
  <bookViews>
    <workbookView xWindow="-120" yWindow="-120" windowWidth="29040" windowHeight="15840" tabRatio="876" firstSheet="1" activeTab="1" xr2:uid="{75EB7AD6-A7E1-4F91-8540-D27B2D4505ED}"/>
  </bookViews>
  <sheets>
    <sheet name="Receta" sheetId="5" state="hidden" r:id="rId1"/>
    <sheet name="Hoja1" sheetId="8" r:id="rId2"/>
    <sheet name="Costo" sheetId="6" state="hidden" r:id="rId3"/>
  </sheets>
  <externalReferences>
    <externalReference r:id="rId4"/>
  </externalReferences>
  <definedNames>
    <definedName name="_xlnm.Print_Area" localSheetId="0">Receta!$A$1:$I$43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6" l="1"/>
  <c r="D18" i="6"/>
  <c r="K18" i="6" a="1"/>
  <c r="K18" i="6"/>
  <c r="L18" i="6"/>
  <c r="B18" i="6"/>
  <c r="F17" i="6"/>
  <c r="D17" i="6"/>
  <c r="I17" i="6" a="1"/>
  <c r="I17" i="6"/>
  <c r="J17" i="6"/>
  <c r="B17" i="6"/>
  <c r="F16" i="6"/>
  <c r="D16" i="6"/>
  <c r="I16" i="6" a="1"/>
  <c r="I16" i="6"/>
  <c r="J16" i="6"/>
  <c r="B16" i="6"/>
  <c r="F15" i="6"/>
  <c r="D15" i="6"/>
  <c r="M15" i="6" a="1"/>
  <c r="M15" i="6"/>
  <c r="N15" i="6"/>
  <c r="I15" i="6" a="1"/>
  <c r="I15" i="6"/>
  <c r="J15" i="6"/>
  <c r="B15" i="6"/>
  <c r="F14" i="6"/>
  <c r="D14" i="6"/>
  <c r="K14" i="6" a="1"/>
  <c r="K14" i="6"/>
  <c r="L14" i="6"/>
  <c r="B14" i="6"/>
  <c r="F13" i="6"/>
  <c r="D13" i="6"/>
  <c r="I13" i="6" a="1"/>
  <c r="I13" i="6"/>
  <c r="J13" i="6"/>
  <c r="B13" i="6"/>
  <c r="F12" i="6"/>
  <c r="D12" i="6"/>
  <c r="I12" i="6" a="1"/>
  <c r="I12" i="6"/>
  <c r="J12" i="6"/>
  <c r="B12" i="6"/>
  <c r="F11" i="6"/>
  <c r="D11" i="6"/>
  <c r="M11" i="6" a="1"/>
  <c r="M11" i="6"/>
  <c r="N11" i="6"/>
  <c r="B11" i="6"/>
  <c r="F10" i="6"/>
  <c r="D10" i="6"/>
  <c r="H10" i="6"/>
  <c r="B10" i="6"/>
  <c r="D9" i="6"/>
  <c r="M9" i="6" a="1"/>
  <c r="M9" i="6"/>
  <c r="N9" i="6"/>
  <c r="B9" i="6"/>
  <c r="D8" i="6"/>
  <c r="M8" i="6" a="1"/>
  <c r="M8" i="6"/>
  <c r="N8" i="6"/>
  <c r="B8" i="6"/>
  <c r="D7" i="6"/>
  <c r="K7" i="6" a="1"/>
  <c r="K7" i="6"/>
  <c r="L7" i="6"/>
  <c r="B7" i="6"/>
  <c r="D6" i="6"/>
  <c r="K6" i="6" a="1"/>
  <c r="K6" i="6"/>
  <c r="L6" i="6"/>
  <c r="B6" i="6"/>
  <c r="D5" i="6"/>
  <c r="M5" i="6" a="1"/>
  <c r="M5" i="6"/>
  <c r="N5" i="6"/>
  <c r="B5" i="6"/>
  <c r="D4" i="6"/>
  <c r="K4" i="6" a="1"/>
  <c r="K4" i="6"/>
  <c r="L4" i="6"/>
  <c r="B4" i="6"/>
  <c r="D36" i="5"/>
  <c r="D32" i="5"/>
  <c r="D35" i="5"/>
  <c r="I4" i="6" a="1"/>
  <c r="I4" i="6"/>
  <c r="J4" i="6"/>
  <c r="I5" i="6" a="1"/>
  <c r="I5" i="6"/>
  <c r="J5" i="6"/>
  <c r="M6" i="6" a="1"/>
  <c r="M6" i="6"/>
  <c r="N6" i="6"/>
  <c r="H9" i="6"/>
  <c r="K10" i="6" a="1"/>
  <c r="K10" i="6"/>
  <c r="L10" i="6"/>
  <c r="H6" i="6"/>
  <c r="I9" i="6" a="1"/>
  <c r="I9" i="6"/>
  <c r="J9" i="6"/>
  <c r="I6" i="6" a="1"/>
  <c r="I6" i="6"/>
  <c r="J6" i="6"/>
  <c r="K9" i="6" a="1"/>
  <c r="K9" i="6"/>
  <c r="L9" i="6"/>
  <c r="F7" i="6"/>
  <c r="F4" i="6"/>
  <c r="H11" i="6"/>
  <c r="K11" i="6" a="1"/>
  <c r="K11" i="6"/>
  <c r="L11" i="6"/>
  <c r="M12" i="6" a="1"/>
  <c r="M12" i="6"/>
  <c r="N12" i="6"/>
  <c r="H4" i="6"/>
  <c r="F5" i="6"/>
  <c r="H8" i="6"/>
  <c r="F9" i="6"/>
  <c r="I11" i="6" a="1"/>
  <c r="I11" i="6"/>
  <c r="J11" i="6"/>
  <c r="H12" i="6"/>
  <c r="K12" i="6" a="1"/>
  <c r="K12" i="6"/>
  <c r="L12" i="6"/>
  <c r="M13" i="6" a="1"/>
  <c r="M13" i="6"/>
  <c r="N13" i="6"/>
  <c r="H15" i="6"/>
  <c r="K15" i="6" a="1"/>
  <c r="K15" i="6"/>
  <c r="L15" i="6"/>
  <c r="M16" i="6" a="1"/>
  <c r="M16" i="6"/>
  <c r="N16" i="6"/>
  <c r="I18" i="6" a="1"/>
  <c r="I18" i="6"/>
  <c r="J18" i="6"/>
  <c r="H13" i="6"/>
  <c r="K13" i="6" a="1"/>
  <c r="K13" i="6"/>
  <c r="L13" i="6"/>
  <c r="M14" i="6" a="1"/>
  <c r="M14" i="6"/>
  <c r="N14" i="6"/>
  <c r="H16" i="6"/>
  <c r="K16" i="6" a="1"/>
  <c r="K16" i="6"/>
  <c r="L16" i="6"/>
  <c r="M17" i="6" a="1"/>
  <c r="M17" i="6"/>
  <c r="N17" i="6"/>
  <c r="H14" i="6"/>
  <c r="H17" i="6"/>
  <c r="K17" i="6" a="1"/>
  <c r="K17" i="6"/>
  <c r="L17" i="6"/>
  <c r="M18" i="6" a="1"/>
  <c r="M18" i="6"/>
  <c r="N18" i="6"/>
  <c r="H7" i="6"/>
  <c r="F8" i="6"/>
  <c r="H18" i="6"/>
  <c r="I10" i="6" a="1"/>
  <c r="I10" i="6"/>
  <c r="J10" i="6"/>
  <c r="I8" i="6" a="1"/>
  <c r="I8" i="6"/>
  <c r="J8" i="6"/>
  <c r="K5" i="6" a="1"/>
  <c r="K5" i="6"/>
  <c r="L5" i="6"/>
  <c r="L20" i="6"/>
  <c r="F6" i="6"/>
  <c r="H5" i="6"/>
  <c r="K8" i="6" a="1"/>
  <c r="K8" i="6"/>
  <c r="L8" i="6"/>
  <c r="I7" i="6" a="1"/>
  <c r="I7" i="6"/>
  <c r="J7" i="6"/>
  <c r="J20" i="6"/>
  <c r="M4" i="6" a="1"/>
  <c r="M4" i="6"/>
  <c r="N4" i="6"/>
  <c r="M7" i="6" a="1"/>
  <c r="M7" i="6"/>
  <c r="N7" i="6"/>
  <c r="I14" i="6" a="1"/>
  <c r="I14" i="6"/>
  <c r="J14" i="6"/>
  <c r="M10" i="6" a="1"/>
  <c r="M10" i="6"/>
  <c r="N10" i="6"/>
  <c r="N20" i="6"/>
</calcChain>
</file>

<file path=xl/sharedStrings.xml><?xml version="1.0" encoding="utf-8"?>
<sst xmlns="http://schemas.openxmlformats.org/spreadsheetml/2006/main" count="319" uniqueCount="153">
  <si>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</si>
  <si>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</si>
  <si>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</si>
  <si>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</si>
  <si>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</si>
  <si>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</si>
  <si>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</si>
  <si>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</si>
  <si>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</si>
  <si>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</si>
  <si>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</si>
  <si>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</si>
  <si>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</si>
  <si>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</si>
  <si>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</si>
  <si>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</si>
  <si>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</si>
  <si>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</si>
  <si>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</si>
  <si>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</si>
  <si>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</si>
  <si>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</si>
  <si>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</si>
  <si>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g</t>
  </si>
  <si>
    <t>ud</t>
  </si>
  <si>
    <t>min</t>
  </si>
  <si>
    <t>Maria Jose Rodriguez, Chef</t>
  </si>
  <si>
    <t>Esteban Cartin. Gte de Manufactura</t>
  </si>
  <si>
    <t>ENSAMBLE</t>
  </si>
  <si>
    <t>ROSQUETE NUCLEO VAINILLA DAWN REDONDO 320G</t>
  </si>
  <si>
    <t>FAS</t>
  </si>
  <si>
    <t>1 1/2 Unidad</t>
  </si>
  <si>
    <t>96451</t>
  </si>
  <si>
    <t>LECHES PASTEURIZADA CON AGUA</t>
  </si>
  <si>
    <t>80g -3 capas-</t>
  </si>
  <si>
    <t>RELLENO DE MANTEQUILLA Y QUESO LIMON</t>
  </si>
  <si>
    <t>96453</t>
  </si>
  <si>
    <t>GALLETA MARIA CON CHOCOLATE BLANCO</t>
  </si>
  <si>
    <t>1/2 taza (75g) -2 capas-</t>
  </si>
  <si>
    <t>DECORACIÓN</t>
  </si>
  <si>
    <t xml:space="preserve">CREMA CHANTILLY BEIDGE </t>
  </si>
  <si>
    <t>Encremado</t>
  </si>
  <si>
    <t>1/3 Taza</t>
  </si>
  <si>
    <t>908000045</t>
  </si>
  <si>
    <t xml:space="preserve">Ganache Chocolate Blanco </t>
  </si>
  <si>
    <t>1210461</t>
  </si>
  <si>
    <t>Chocolate Tulipan Marmol</t>
  </si>
  <si>
    <t>Chocolate S</t>
  </si>
  <si>
    <t>AMAPOLA</t>
  </si>
  <si>
    <t>Universal A</t>
  </si>
  <si>
    <t>1110363</t>
  </si>
  <si>
    <t>CEREZAS CON TALLO (1/2 GALON)</t>
  </si>
  <si>
    <t>Mayca</t>
  </si>
  <si>
    <t>1 Unidad</t>
  </si>
  <si>
    <t>EMPAQUE</t>
  </si>
  <si>
    <t>121603</t>
  </si>
  <si>
    <t>QUEQUERA RED  BASE/DOMO 10 (CAJA:50)</t>
  </si>
  <si>
    <t>MAYCA</t>
  </si>
  <si>
    <t>1950692</t>
  </si>
  <si>
    <t>ORLA CARTON 10"  (100 * PAQ)</t>
  </si>
  <si>
    <t>Estuardo</t>
  </si>
  <si>
    <t>0703020</t>
  </si>
  <si>
    <t>CINTA ADHESIVA TRANSPARENTE 2*100</t>
  </si>
  <si>
    <t>cm</t>
  </si>
  <si>
    <t>0702007</t>
  </si>
  <si>
    <t>ETIQ.FECHA VENCIMIENTO BLANCO (ROLLO)</t>
  </si>
  <si>
    <t>ETIPLAST</t>
  </si>
  <si>
    <t>ETIQUETA BLANCA R-153 (UND)</t>
  </si>
  <si>
    <t>Etiplast</t>
  </si>
  <si>
    <t>Tiempo de Horneo:</t>
  </si>
  <si>
    <t>Horno:</t>
  </si>
  <si>
    <t>Temperatura de Horneo:</t>
  </si>
  <si>
    <t>Otros</t>
  </si>
  <si>
    <t>1.- Partir cada rosquete por la mitad, humedecer cada capa con mezcla de tres leches.</t>
  </si>
  <si>
    <t>2.- Ditribuir en dos capas de: relleno de mantequilla y queso limon, galleta con chocolate.</t>
  </si>
  <si>
    <t xml:space="preserve">3.- Encremar la torta con crema chantilly Beidge, decorar con galleta con chocolate blanco en el borde, ganache blanco en el centro tipo espiral. Espolvorear amapola en el centro y colocar 1 cereza en el centro de la torta y 2 tulipanes acorde a la fotografia. </t>
  </si>
  <si>
    <t>Control de cambios</t>
  </si>
  <si>
    <t>Revisión 01:  Cambio de 1,33Ud de rosquete a 1,5Ud de rosquete, ajuste en cantidades y peso final.</t>
  </si>
  <si>
    <t>Cambio 2 : Se le agregó etiqueta spooners y codigo QR.</t>
  </si>
  <si>
    <t>Cambio 3: Se elimina etiqueta spooners y codigo QR</t>
  </si>
  <si>
    <t>Cambio 4: Se cambia rosquete a DAWN</t>
  </si>
  <si>
    <t>Cambio 5: Cambia la decoración con ganache en la parte superior, amapola, galleta con chocolate blanco, amapola, cereza y tulipanes.</t>
  </si>
  <si>
    <t>4.- Tapar, etiquetar, fechar con nombre, día juliano, fecha de vencimiento.</t>
  </si>
  <si>
    <t>902000032</t>
  </si>
  <si>
    <t>910000018</t>
  </si>
  <si>
    <t>119000026</t>
  </si>
  <si>
    <t>Codigo Netsuite
Principal</t>
  </si>
  <si>
    <t>Descripcion Producto</t>
  </si>
  <si>
    <t>Codigo Icg
Receta</t>
  </si>
  <si>
    <t>Cod. Netsuite
Receta</t>
  </si>
  <si>
    <t>Familia</t>
  </si>
  <si>
    <t>Descripcion Insumo</t>
  </si>
  <si>
    <t>Rev: Cant Lista de Materiales</t>
  </si>
  <si>
    <t>Unidad de Consumo</t>
  </si>
  <si>
    <t>Costo MP</t>
  </si>
  <si>
    <t>Total Mp</t>
  </si>
  <si>
    <t>Costo EMP</t>
  </si>
  <si>
    <t>Total Costo Emp</t>
  </si>
  <si>
    <t>MO</t>
  </si>
  <si>
    <t>TOTAL MO</t>
  </si>
  <si>
    <t>GIF</t>
  </si>
  <si>
    <t>PTI00039</t>
  </si>
  <si>
    <t>907000310</t>
  </si>
  <si>
    <t>Semielaborado</t>
  </si>
  <si>
    <t>Materia Prima</t>
  </si>
  <si>
    <t>10900060</t>
  </si>
  <si>
    <t>Empaque</t>
  </si>
  <si>
    <t>0702069</t>
  </si>
  <si>
    <t>0702123</t>
  </si>
  <si>
    <t>10416</t>
  </si>
  <si>
    <t>Mano obra</t>
  </si>
  <si>
    <t>GANACHE AMARILLO</t>
  </si>
  <si>
    <t>905000105</t>
  </si>
  <si>
    <t>GALLETA VAINILLA BAÑO CHOCO BLANCO KILO</t>
  </si>
  <si>
    <t>01</t>
  </si>
  <si>
    <t>20200093(PTL00167) Torta Pie de Limon LOCALES</t>
  </si>
  <si>
    <t># Codigo Netsuite</t>
  </si>
  <si>
    <t>SE00448</t>
  </si>
  <si>
    <t>NetSuiteCode</t>
  </si>
  <si>
    <t>SE00255</t>
  </si>
  <si>
    <t>SE00069</t>
  </si>
  <si>
    <t>SE00051</t>
  </si>
  <si>
    <t>MP10133</t>
  </si>
  <si>
    <t>MP10357</t>
  </si>
  <si>
    <t>EM10009</t>
  </si>
  <si>
    <t>EM10008</t>
  </si>
  <si>
    <t>EM10124</t>
  </si>
  <si>
    <t>SE00254</t>
  </si>
  <si>
    <t>SE00077</t>
  </si>
  <si>
    <t>SE00481</t>
  </si>
  <si>
    <t>MP10109</t>
  </si>
  <si>
    <t>EM10248</t>
  </si>
  <si>
    <t>EM10004</t>
  </si>
  <si>
    <t>Javier Tong, Chef</t>
  </si>
  <si>
    <t>Esteban Cartin, Gte Manufactura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</si>
  <si>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</si>
  <si>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</si>
  <si>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</si>
  <si>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</si>
  <si>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</si>
  <si>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</si>
  <si>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1 1/2 UND</t>
  </si>
  <si>
    <t>80 GRAMOS - 3 CAPAS</t>
  </si>
  <si>
    <t>1/2 TAZA -2 CAPAS</t>
  </si>
  <si>
    <t>ENCREMAR</t>
  </si>
  <si>
    <t>2 CUCHARADAS</t>
  </si>
  <si>
    <t>1/4 TAZA</t>
  </si>
  <si>
    <t>CHOCOLATE S</t>
  </si>
  <si>
    <t>UNIVERSAL A</t>
  </si>
  <si>
    <t>1 UND</t>
  </si>
  <si>
    <t>ESTUARDO</t>
  </si>
  <si>
    <t>CONTROL DE CAMBIOS</t>
  </si>
  <si>
    <t>ESP-RE-DES-050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</si>
</sst>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2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0" fillId="0" borderId="0"/>
    <xf numFmtId="0" fontId="2" fillId="0" borderId="0"/>
    <xf numFmtId="9" fontId="1" fillId="0" borderId="0" applyFont="0" applyFill="0" applyBorder="0" applyAlignment="0" applyProtection="0"/>
    <xf numFmtId="0" fontId="10" fillId="0" borderId="0"/>
  </cellStyleXfs>
  <cellXfs count="30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6" applyFont="1" applyFill="1"/>
    <xf numFmtId="0" fontId="6" fillId="2" borderId="1" xfId="5" applyFont="1" applyFill="1" applyBorder="1" applyAlignment="1">
      <alignment horizontal="right"/>
    </xf>
    <xf numFmtId="0" fontId="4" fillId="2" borderId="2" xfId="5" applyFont="1" applyFill="1" applyBorder="1" applyAlignment="1">
      <alignment horizontal="center"/>
    </xf>
    <xf numFmtId="0" fontId="6" fillId="2" borderId="3" xfId="5" applyFont="1" applyFill="1" applyBorder="1" applyAlignment="1">
      <alignment horizontal="right"/>
    </xf>
    <xf numFmtId="49" fontId="4" fillId="2" borderId="4" xfId="5" applyNumberFormat="1" applyFont="1" applyFill="1" applyBorder="1" applyAlignment="1">
      <alignment horizontal="center"/>
    </xf>
    <xf numFmtId="0" fontId="4" fillId="2" borderId="5" xfId="5" applyFont="1" applyFill="1" applyBorder="1" applyAlignment="1">
      <alignment horizontal="right"/>
    </xf>
    <xf numFmtId="0" fontId="4" fillId="2" borderId="6" xfId="5" applyFont="1" applyFill="1" applyBorder="1" applyAlignment="1">
      <alignment horizontal="right"/>
    </xf>
    <xf numFmtId="0" fontId="6" fillId="3" borderId="2" xfId="3" applyFont="1" applyFill="1" applyBorder="1" applyAlignment="1">
      <alignment horizontal="center" vertical="center" wrapText="1"/>
    </xf>
    <xf numFmtId="1" fontId="6" fillId="3" borderId="7" xfId="3" applyNumberFormat="1" applyFont="1" applyFill="1" applyBorder="1" applyAlignment="1">
      <alignment horizontal="center"/>
    </xf>
    <xf numFmtId="1" fontId="6" fillId="3" borderId="7" xfId="3" applyNumberFormat="1" applyFont="1" applyFill="1" applyBorder="1" applyAlignment="1">
      <alignment horizontal="center" wrapText="1"/>
    </xf>
    <xf numFmtId="0" fontId="6" fillId="3" borderId="8" xfId="3" applyFont="1" applyFill="1" applyBorder="1" applyAlignment="1">
      <alignment horizontal="center"/>
    </xf>
    <xf numFmtId="0" fontId="8" fillId="0" borderId="9" xfId="3" applyFont="1" applyBorder="1" applyAlignment="1">
      <alignment horizontal="center" vertical="center"/>
    </xf>
    <xf numFmtId="49" fontId="6" fillId="0" borderId="10" xfId="3" applyNumberFormat="1" applyFont="1" applyBorder="1"/>
    <xf numFmtId="0" fontId="4" fillId="0" borderId="11" xfId="3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1" fontId="4" fillId="0" borderId="1" xfId="3" applyNumberFormat="1" applyFont="1" applyBorder="1" applyAlignment="1">
      <alignment horizontal="center"/>
    </xf>
    <xf numFmtId="0" fontId="6" fillId="5" borderId="2" xfId="3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/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 wrapText="1"/>
    </xf>
    <xf numFmtId="1" fontId="4" fillId="0" borderId="3" xfId="3" applyNumberFormat="1" applyFont="1" applyBorder="1" applyAlignment="1">
      <alignment horizontal="center"/>
    </xf>
    <xf numFmtId="0" fontId="6" fillId="5" borderId="4" xfId="3" applyFont="1" applyFill="1" applyBorder="1" applyAlignment="1">
      <alignment horizontal="center"/>
    </xf>
    <xf numFmtId="49" fontId="4" fillId="0" borderId="12" xfId="3" applyNumberFormat="1" applyFont="1" applyBorder="1" applyAlignment="1">
      <alignment horizontal="center"/>
    </xf>
    <xf numFmtId="49" fontId="4" fillId="0" borderId="3" xfId="3" applyNumberFormat="1" applyFont="1" applyBorder="1"/>
    <xf numFmtId="16" fontId="4" fillId="0" borderId="3" xfId="3" applyNumberFormat="1" applyFont="1" applyBorder="1" applyAlignment="1">
      <alignment horizontal="center"/>
    </xf>
    <xf numFmtId="1" fontId="4" fillId="0" borderId="3" xfId="3" applyNumberFormat="1" applyFont="1" applyBorder="1" applyAlignment="1">
      <alignment horizontal="center" wrapText="1"/>
    </xf>
    <xf numFmtId="49" fontId="4" fillId="0" borderId="7" xfId="3" applyNumberFormat="1" applyFont="1" applyBorder="1"/>
    <xf numFmtId="0" fontId="4" fillId="0" borderId="3" xfId="3" applyFont="1" applyBorder="1" applyAlignment="1">
      <alignment horizontal="center"/>
    </xf>
    <xf numFmtId="49" fontId="4" fillId="0" borderId="14" xfId="3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9" fontId="4" fillId="0" borderId="13" xfId="3" applyNumberFormat="1" applyFont="1" applyBorder="1"/>
    <xf numFmtId="1" fontId="4" fillId="5" borderId="3" xfId="3" applyNumberFormat="1" applyFont="1" applyFill="1" applyBorder="1" applyAlignment="1">
      <alignment horizontal="center"/>
    </xf>
    <xf numFmtId="1" fontId="4" fillId="0" borderId="3" xfId="3" applyNumberFormat="1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165" fontId="4" fillId="0" borderId="3" xfId="3" applyNumberFormat="1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" fontId="4" fillId="2" borderId="3" xfId="3" applyNumberFormat="1" applyFont="1" applyFill="1" applyBorder="1" applyAlignment="1">
      <alignment horizontal="center"/>
    </xf>
    <xf numFmtId="49" fontId="6" fillId="0" borderId="10" xfId="3" applyNumberFormat="1" applyFont="1" applyBorder="1" applyAlignment="1">
      <alignment horizontal="left"/>
    </xf>
    <xf numFmtId="16" fontId="4" fillId="0" borderId="6" xfId="3" applyNumberFormat="1" applyFont="1" applyBorder="1" applyAlignment="1">
      <alignment horizontal="center"/>
    </xf>
    <xf numFmtId="0" fontId="4" fillId="0" borderId="12" xfId="3" applyFont="1" applyBorder="1" applyAlignment="1">
      <alignment horizontal="center"/>
    </xf>
    <xf numFmtId="0" fontId="4" fillId="0" borderId="13" xfId="3" applyFont="1" applyBorder="1" applyAlignment="1">
      <alignment horizontal="left"/>
    </xf>
    <xf numFmtId="12" fontId="4" fillId="0" borderId="3" xfId="3" applyNumberFormat="1" applyFont="1" applyBorder="1" applyAlignment="1">
      <alignment horizontal="center"/>
    </xf>
    <xf numFmtId="49" fontId="4" fillId="0" borderId="3" xfId="3" applyNumberFormat="1" applyFont="1" applyBorder="1" applyAlignment="1">
      <alignment horizontal="left"/>
    </xf>
    <xf numFmtId="0" fontId="4" fillId="0" borderId="3" xfId="3" applyFont="1" applyBorder="1" applyAlignment="1">
      <alignment horizontal="left"/>
    </xf>
    <xf numFmtId="0" fontId="12" fillId="0" borderId="12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4" fillId="0" borderId="15" xfId="3" applyFont="1" applyBorder="1" applyAlignment="1">
      <alignment horizontal="center"/>
    </xf>
    <xf numFmtId="0" fontId="4" fillId="0" borderId="16" xfId="3" applyFont="1" applyBorder="1"/>
    <xf numFmtId="0" fontId="4" fillId="0" borderId="16" xfId="3" applyFont="1" applyBorder="1" applyAlignment="1">
      <alignment horizontal="center"/>
    </xf>
    <xf numFmtId="1" fontId="4" fillId="0" borderId="16" xfId="3" applyNumberFormat="1" applyFont="1" applyBorder="1" applyAlignment="1">
      <alignment horizontal="center"/>
    </xf>
    <xf numFmtId="1" fontId="4" fillId="0" borderId="16" xfId="3" applyNumberFormat="1" applyFont="1" applyBorder="1" applyAlignment="1">
      <alignment horizontal="center" wrapText="1"/>
    </xf>
    <xf numFmtId="0" fontId="4" fillId="0" borderId="17" xfId="3" applyFont="1" applyBorder="1" applyAlignment="1">
      <alignment horizontal="center"/>
    </xf>
    <xf numFmtId="49" fontId="8" fillId="2" borderId="18" xfId="3" applyNumberFormat="1" applyFont="1" applyFill="1" applyBorder="1" applyAlignment="1">
      <alignment horizontal="center" vertical="center"/>
    </xf>
    <xf numFmtId="0" fontId="4" fillId="2" borderId="0" xfId="3" applyFont="1" applyFill="1"/>
    <xf numFmtId="1" fontId="4" fillId="2" borderId="0" xfId="3" applyNumberFormat="1" applyFont="1" applyFill="1" applyAlignment="1">
      <alignment horizontal="center"/>
    </xf>
    <xf numFmtId="164" fontId="4" fillId="2" borderId="0" xfId="3" applyNumberFormat="1" applyFont="1" applyFill="1" applyAlignment="1">
      <alignment horizontal="center" wrapText="1"/>
    </xf>
    <xf numFmtId="0" fontId="4" fillId="2" borderId="19" xfId="3" applyFont="1" applyFill="1" applyBorder="1" applyAlignment="1">
      <alignment horizontal="center"/>
    </xf>
    <xf numFmtId="0" fontId="4" fillId="3" borderId="20" xfId="3" applyFont="1" applyFill="1" applyBorder="1" applyAlignment="1">
      <alignment horizontal="center"/>
    </xf>
    <xf numFmtId="0" fontId="4" fillId="3" borderId="21" xfId="3" applyFont="1" applyFill="1" applyBorder="1"/>
    <xf numFmtId="0" fontId="6" fillId="3" borderId="21" xfId="3" applyFont="1" applyFill="1" applyBorder="1" applyAlignment="1">
      <alignment horizontal="center"/>
    </xf>
    <xf numFmtId="1" fontId="6" fillId="3" borderId="21" xfId="3" applyNumberFormat="1" applyFont="1" applyFill="1" applyBorder="1" applyAlignment="1">
      <alignment horizontal="center"/>
    </xf>
    <xf numFmtId="164" fontId="4" fillId="3" borderId="21" xfId="3" applyNumberFormat="1" applyFont="1" applyFill="1" applyBorder="1" applyAlignment="1">
      <alignment horizontal="center" wrapText="1"/>
    </xf>
    <xf numFmtId="0" fontId="4" fillId="3" borderId="22" xfId="3" applyFont="1" applyFill="1" applyBorder="1" applyAlignment="1">
      <alignment horizontal="center"/>
    </xf>
    <xf numFmtId="1" fontId="4" fillId="0" borderId="13" xfId="3" applyNumberFormat="1" applyFont="1" applyBorder="1" applyAlignment="1">
      <alignment horizontal="center"/>
    </xf>
    <xf numFmtId="0" fontId="4" fillId="0" borderId="23" xfId="3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6" borderId="0" xfId="0" applyFill="1"/>
    <xf numFmtId="49" fontId="0" fillId="6" borderId="0" xfId="0" applyNumberFormat="1" applyFill="1" applyAlignment="1">
      <alignment horizontal="center" wrapText="1"/>
    </xf>
    <xf numFmtId="43" fontId="11" fillId="0" borderId="0" xfId="2" applyFont="1"/>
    <xf numFmtId="0" fontId="13" fillId="0" borderId="0" xfId="0" applyFont="1"/>
    <xf numFmtId="0" fontId="13" fillId="0" borderId="0" xfId="0" applyFont="1" applyAlignment="1">
      <alignment horizontal="center"/>
    </xf>
    <xf numFmtId="0" fontId="0" fillId="7" borderId="0" xfId="0" applyFill="1"/>
    <xf numFmtId="49" fontId="0" fillId="7" borderId="0" xfId="0" applyNumberFormat="1" applyFill="1"/>
    <xf numFmtId="0" fontId="0" fillId="7" borderId="0" xfId="0" applyFill="1" applyAlignment="1">
      <alignment horizontal="left"/>
    </xf>
    <xf numFmtId="43" fontId="11" fillId="7" borderId="0" xfId="2" applyFont="1" applyFill="1"/>
    <xf numFmtId="43" fontId="0" fillId="0" borderId="0" xfId="0" applyNumberFormat="1"/>
    <xf numFmtId="49" fontId="1" fillId="7" borderId="0" xfId="0" applyNumberFormat="1" applyFont="1" applyFill="1"/>
    <xf numFmtId="0" fontId="0" fillId="8" borderId="0" xfId="0" applyFill="1"/>
    <xf numFmtId="49" fontId="0" fillId="8" borderId="0" xfId="0" applyNumberFormat="1" applyFill="1"/>
    <xf numFmtId="0" fontId="0" fillId="8" borderId="0" xfId="0" applyFill="1" applyAlignment="1">
      <alignment horizontal="left"/>
    </xf>
    <xf numFmtId="43" fontId="11" fillId="8" borderId="0" xfId="2" applyFont="1" applyFill="1"/>
    <xf numFmtId="0" fontId="1" fillId="7" borderId="0" xfId="0" applyFont="1" applyFill="1"/>
    <xf numFmtId="49" fontId="0" fillId="0" borderId="0" xfId="0" applyNumberFormat="1"/>
    <xf numFmtId="0" fontId="0" fillId="0" borderId="0" xfId="0" applyAlignment="1">
      <alignment horizontal="left"/>
    </xf>
    <xf numFmtId="43" fontId="11" fillId="0" borderId="0" xfId="2" applyFont="1" applyFill="1"/>
    <xf numFmtId="43" fontId="9" fillId="0" borderId="0" xfId="0" applyNumberFormat="1" applyFont="1"/>
    <xf numFmtId="0" fontId="4" fillId="2" borderId="24" xfId="5" applyFont="1" applyFill="1" applyBorder="1" applyAlignment="1">
      <alignment horizontal="center"/>
    </xf>
    <xf numFmtId="0" fontId="4" fillId="2" borderId="0" xfId="5" applyFont="1" applyFill="1" applyAlignment="1">
      <alignment horizontal="center"/>
    </xf>
    <xf numFmtId="0" fontId="4" fillId="2" borderId="18" xfId="5" applyFont="1" applyFill="1" applyBorder="1" applyAlignment="1">
      <alignment horizontal="center"/>
    </xf>
    <xf numFmtId="0" fontId="8" fillId="0" borderId="25" xfId="3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49" fontId="4" fillId="0" borderId="6" xfId="3" applyNumberFormat="1" applyFont="1" applyBorder="1" applyAlignment="1">
      <alignment horizontal="center"/>
    </xf>
    <xf numFmtId="49" fontId="4" fillId="0" borderId="26" xfId="3" applyNumberFormat="1" applyFont="1" applyBorder="1" applyAlignment="1">
      <alignment horizontal="center"/>
    </xf>
    <xf numFmtId="49" fontId="4" fillId="0" borderId="18" xfId="3" applyNumberFormat="1" applyFont="1" applyBorder="1" applyAlignment="1">
      <alignment horizontal="center"/>
    </xf>
    <xf numFmtId="49" fontId="4" fillId="0" borderId="5" xfId="3" applyNumberFormat="1" applyFont="1" applyBorder="1" applyAlignment="1">
      <alignment horizontal="center"/>
    </xf>
    <xf numFmtId="0" fontId="4" fillId="0" borderId="5" xfId="3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4" fillId="0" borderId="27" xfId="3" applyFont="1" applyBorder="1" applyAlignment="1">
      <alignment horizontal="center"/>
    </xf>
    <xf numFmtId="49" fontId="8" fillId="2" borderId="0" xfId="3" applyNumberFormat="1" applyFont="1" applyFill="1" applyAlignment="1">
      <alignment horizontal="center" vertical="center"/>
    </xf>
    <xf numFmtId="0" fontId="4" fillId="3" borderId="21" xfId="3" applyFont="1" applyFill="1" applyBorder="1" applyAlignment="1">
      <alignment horizontal="center"/>
    </xf>
    <xf numFmtId="0" fontId="4" fillId="5" borderId="3" xfId="3" applyFont="1" applyFill="1" applyBorder="1" applyAlignment="1">
      <alignment horizontal="center"/>
    </xf>
    <xf numFmtId="0" fontId="4" fillId="2" borderId="13" xfId="5" applyFont="1" applyFill="1" applyBorder="1" applyAlignment="1">
      <alignment horizontal="right"/>
    </xf>
    <xf numFmtId="0" fontId="4" fillId="2" borderId="3" xfId="5" applyFont="1" applyFill="1" applyBorder="1" applyAlignment="1">
      <alignment horizontal="right"/>
    </xf>
    <xf numFmtId="14" fontId="15" fillId="2" borderId="0" xfId="5" applyNumberFormat="1" applyFont="1" applyFill="1" applyAlignment="1">
      <alignment horizontal="center" vertical="center" wrapText="1"/>
    </xf>
    <xf numFmtId="1" fontId="6" fillId="3" borderId="16" xfId="3" applyNumberFormat="1" applyFont="1" applyFill="1" applyBorder="1" applyAlignment="1">
      <alignment horizontal="center"/>
    </xf>
    <xf numFmtId="1" fontId="6" fillId="3" borderId="16" xfId="3" applyNumberFormat="1" applyFont="1" applyFill="1" applyBorder="1" applyAlignment="1">
      <alignment horizontal="center" wrapText="1"/>
    </xf>
    <xf numFmtId="0" fontId="6" fillId="3" borderId="17" xfId="3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/>
    </xf>
    <xf numFmtId="0" fontId="17" fillId="0" borderId="3" xfId="3" applyFont="1" applyBorder="1" applyAlignment="1">
      <alignment vertical="center"/>
    </xf>
    <xf numFmtId="0" fontId="16" fillId="0" borderId="3" xfId="3" applyFont="1" applyBorder="1" applyAlignment="1">
      <alignment horizontal="center" vertical="center"/>
    </xf>
    <xf numFmtId="1" fontId="16" fillId="0" borderId="3" xfId="3" applyNumberFormat="1" applyFont="1" applyBorder="1" applyAlignment="1">
      <alignment horizontal="center"/>
    </xf>
    <xf numFmtId="1" fontId="16" fillId="0" borderId="3" xfId="3" applyNumberFormat="1" applyFont="1" applyBorder="1" applyAlignment="1">
      <alignment horizontal="center" wrapText="1"/>
    </xf>
    <xf numFmtId="0" fontId="18" fillId="0" borderId="4" xfId="3" applyFont="1" applyBorder="1" applyAlignment="1">
      <alignment horizontal="center"/>
    </xf>
    <xf numFmtId="0" fontId="4" fillId="5" borderId="12" xfId="3" applyFont="1" applyFill="1" applyBorder="1" applyAlignment="1">
      <alignment horizontal="right"/>
    </xf>
    <xf numFmtId="0" fontId="4" fillId="5" borderId="3" xfId="3" applyFont="1" applyFill="1" applyBorder="1"/>
    <xf numFmtId="0" fontId="4" fillId="0" borderId="13" xfId="0" applyFont="1" applyBorder="1" applyAlignment="1">
      <alignment horizontal="center" wrapText="1"/>
    </xf>
    <xf numFmtId="12" fontId="4" fillId="0" borderId="13" xfId="0" applyNumberFormat="1" applyFont="1" applyBorder="1" applyAlignment="1">
      <alignment horizontal="center"/>
    </xf>
    <xf numFmtId="0" fontId="6" fillId="5" borderId="44" xfId="3" applyFont="1" applyFill="1" applyBorder="1" applyAlignment="1">
      <alignment horizontal="right" vertical="center"/>
    </xf>
    <xf numFmtId="0" fontId="6" fillId="5" borderId="7" xfId="3" applyFont="1" applyFill="1" applyBorder="1" applyAlignment="1">
      <alignment horizontal="center" vertical="center"/>
    </xf>
    <xf numFmtId="0" fontId="6" fillId="5" borderId="7" xfId="3" applyFont="1" applyFill="1" applyBorder="1" applyAlignment="1">
      <alignment horizontal="left"/>
    </xf>
    <xf numFmtId="1" fontId="6" fillId="5" borderId="7" xfId="3" applyNumberFormat="1" applyFont="1" applyFill="1" applyBorder="1" applyAlignment="1">
      <alignment horizontal="center"/>
    </xf>
    <xf numFmtId="1" fontId="6" fillId="5" borderId="7" xfId="3" applyNumberFormat="1" applyFont="1" applyFill="1" applyBorder="1" applyAlignment="1">
      <alignment horizontal="center" wrapText="1"/>
    </xf>
    <xf numFmtId="1" fontId="0" fillId="0" borderId="3" xfId="0" applyNumberFormat="1" applyBorder="1"/>
    <xf numFmtId="0" fontId="4" fillId="5" borderId="3" xfId="3" applyFont="1" applyFill="1" applyBorder="1" applyAlignment="1">
      <alignment horizontal="right"/>
    </xf>
    <xf numFmtId="0" fontId="4" fillId="5" borderId="3" xfId="3" applyFont="1" applyFill="1" applyBorder="1" applyAlignment="1">
      <alignment horizontal="left" vertical="center"/>
    </xf>
    <xf numFmtId="0" fontId="6" fillId="5" borderId="3" xfId="3" applyFont="1" applyFill="1" applyBorder="1" applyAlignment="1">
      <alignment horizontal="right" vertical="center"/>
    </xf>
    <xf numFmtId="0" fontId="6" fillId="5" borderId="3" xfId="3" applyFont="1" applyFill="1" applyBorder="1" applyAlignment="1">
      <alignment horizontal="center" vertical="center"/>
    </xf>
    <xf numFmtId="0" fontId="6" fillId="5" borderId="3" xfId="3" applyFont="1" applyFill="1" applyBorder="1" applyAlignment="1">
      <alignment horizontal="left"/>
    </xf>
    <xf numFmtId="1" fontId="6" fillId="5" borderId="3" xfId="3" applyNumberFormat="1" applyFont="1" applyFill="1" applyBorder="1" applyAlignment="1">
      <alignment horizontal="center"/>
    </xf>
    <xf numFmtId="49" fontId="18" fillId="0" borderId="12" xfId="3" applyNumberFormat="1" applyFont="1" applyBorder="1" applyAlignment="1">
      <alignment horizontal="center"/>
    </xf>
    <xf numFmtId="49" fontId="18" fillId="0" borderId="6" xfId="3" applyNumberFormat="1" applyFont="1" applyBorder="1" applyAlignment="1">
      <alignment horizontal="center"/>
    </xf>
    <xf numFmtId="0" fontId="19" fillId="5" borderId="3" xfId="3" applyFont="1" applyFill="1" applyBorder="1" applyAlignment="1">
      <alignment horizontal="left"/>
    </xf>
    <xf numFmtId="0" fontId="18" fillId="0" borderId="3" xfId="3" applyFont="1" applyBorder="1" applyAlignment="1">
      <alignment horizontal="center"/>
    </xf>
    <xf numFmtId="165" fontId="18" fillId="0" borderId="3" xfId="3" applyNumberFormat="1" applyFont="1" applyBorder="1" applyAlignment="1">
      <alignment horizontal="center"/>
    </xf>
    <xf numFmtId="1" fontId="18" fillId="0" borderId="3" xfId="3" applyNumberFormat="1" applyFont="1" applyBorder="1" applyAlignment="1">
      <alignment horizontal="center" wrapText="1"/>
    </xf>
    <xf numFmtId="0" fontId="12" fillId="5" borderId="12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5" borderId="13" xfId="0" applyFont="1" applyFill="1" applyBorder="1"/>
    <xf numFmtId="0" fontId="4" fillId="5" borderId="6" xfId="0" applyFont="1" applyFill="1" applyBorder="1" applyAlignment="1">
      <alignment horizontal="center"/>
    </xf>
    <xf numFmtId="1" fontId="4" fillId="5" borderId="13" xfId="0" applyNumberFormat="1" applyFont="1" applyFill="1" applyBorder="1" applyAlignment="1">
      <alignment horizontal="center"/>
    </xf>
    <xf numFmtId="1" fontId="4" fillId="5" borderId="13" xfId="0" applyNumberFormat="1" applyFont="1" applyFill="1" applyBorder="1" applyAlignment="1">
      <alignment horizontal="center" wrapText="1"/>
    </xf>
    <xf numFmtId="1" fontId="4" fillId="5" borderId="3" xfId="3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" fontId="4" fillId="5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" fontId="4" fillId="0" borderId="13" xfId="0" applyNumberFormat="1" applyFont="1" applyBorder="1" applyAlignment="1">
      <alignment horizontal="center" wrapText="1"/>
    </xf>
    <xf numFmtId="16" fontId="4" fillId="0" borderId="3" xfId="0" applyNumberFormat="1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49" fontId="16" fillId="0" borderId="14" xfId="3" applyNumberFormat="1" applyFont="1" applyBorder="1" applyAlignment="1">
      <alignment horizontal="center"/>
    </xf>
    <xf numFmtId="49" fontId="16" fillId="0" borderId="37" xfId="3" applyNumberFormat="1" applyFont="1" applyBorder="1" applyAlignment="1">
      <alignment horizontal="center"/>
    </xf>
    <xf numFmtId="0" fontId="20" fillId="5" borderId="3" xfId="3" applyFont="1" applyFill="1" applyBorder="1" applyAlignment="1">
      <alignment vertical="center"/>
    </xf>
    <xf numFmtId="0" fontId="16" fillId="0" borderId="6" xfId="3" applyFont="1" applyBorder="1" applyAlignment="1">
      <alignment horizontal="center"/>
    </xf>
    <xf numFmtId="165" fontId="16" fillId="0" borderId="3" xfId="3" applyNumberFormat="1" applyFont="1" applyBorder="1" applyAlignment="1">
      <alignment horizontal="center"/>
    </xf>
    <xf numFmtId="49" fontId="18" fillId="0" borderId="3" xfId="0" applyNumberFormat="1" applyFont="1" applyBorder="1" applyAlignment="1">
      <alignment horizontal="center"/>
    </xf>
    <xf numFmtId="49" fontId="21" fillId="0" borderId="3" xfId="0" applyNumberFormat="1" applyFont="1" applyBorder="1"/>
    <xf numFmtId="0" fontId="18" fillId="0" borderId="3" xfId="0" applyFont="1" applyBorder="1" applyAlignment="1">
      <alignment horizontal="center"/>
    </xf>
    <xf numFmtId="1" fontId="18" fillId="0" borderId="3" xfId="0" applyNumberFormat="1" applyFont="1" applyBorder="1" applyAlignment="1">
      <alignment horizontal="center"/>
    </xf>
    <xf numFmtId="1" fontId="18" fillId="0" borderId="3" xfId="0" applyNumberFormat="1" applyFont="1" applyBorder="1" applyAlignment="1">
      <alignment horizontal="center" wrapText="1"/>
    </xf>
    <xf numFmtId="166" fontId="6" fillId="5" borderId="3" xfId="1" applyNumberFormat="1" applyFont="1" applyFill="1" applyBorder="1" applyAlignment="1">
      <alignment horizontal="center"/>
    </xf>
    <xf numFmtId="0" fontId="10" fillId="0" borderId="3" xfId="7" applyBorder="1" applyAlignment="1">
      <alignment horizontal="center"/>
    </xf>
    <xf numFmtId="0" fontId="10" fillId="0" borderId="3" xfId="7" applyBorder="1" applyAlignment="1">
      <alignment horizontal="left"/>
    </xf>
    <xf numFmtId="16" fontId="18" fillId="0" borderId="3" xfId="0" applyNumberFormat="1" applyFont="1" applyBorder="1" applyAlignment="1">
      <alignment horizontal="center"/>
    </xf>
    <xf numFmtId="49" fontId="18" fillId="0" borderId="3" xfId="3" applyNumberFormat="1" applyFont="1" applyBorder="1" applyAlignment="1">
      <alignment horizontal="center"/>
    </xf>
    <xf numFmtId="49" fontId="21" fillId="0" borderId="3" xfId="3" applyNumberFormat="1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18" fillId="0" borderId="3" xfId="3" applyNumberFormat="1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1" fontId="18" fillId="0" borderId="3" xfId="3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3" xfId="0" quotePrefix="1" applyFont="1" applyBorder="1"/>
    <xf numFmtId="1" fontId="22" fillId="0" borderId="3" xfId="3" applyNumberFormat="1" applyFont="1" applyBorder="1" applyAlignment="1">
      <alignment horizontal="center"/>
    </xf>
    <xf numFmtId="0" fontId="22" fillId="0" borderId="3" xfId="3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" fontId="4" fillId="0" borderId="16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65" fontId="4" fillId="5" borderId="3" xfId="0" applyNumberFormat="1" applyFont="1" applyFill="1" applyBorder="1" applyAlignment="1">
      <alignment horizontal="center"/>
    </xf>
    <xf numFmtId="164" fontId="4" fillId="0" borderId="40" xfId="3" applyNumberFormat="1" applyFont="1" applyBorder="1" applyAlignment="1">
      <alignment horizontal="center"/>
    </xf>
    <xf numFmtId="164" fontId="4" fillId="0" borderId="32" xfId="3" applyNumberFormat="1" applyFont="1" applyBorder="1" applyAlignment="1">
      <alignment horizontal="center"/>
    </xf>
    <xf numFmtId="1" fontId="4" fillId="0" borderId="3" xfId="3" applyNumberFormat="1" applyFont="1" applyBorder="1" applyAlignment="1">
      <alignment horizontal="center"/>
    </xf>
    <xf numFmtId="0" fontId="4" fillId="5" borderId="3" xfId="3" applyFont="1" applyFill="1" applyBorder="1" applyAlignment="1">
      <alignment horizontal="center"/>
    </xf>
    <xf numFmtId="0" fontId="4" fillId="5" borderId="4" xfId="3" applyFont="1" applyFill="1" applyBorder="1" applyAlignment="1">
      <alignment horizontal="center"/>
    </xf>
    <xf numFmtId="0" fontId="8" fillId="2" borderId="15" xfId="3" applyFont="1" applyFill="1" applyBorder="1" applyAlignment="1">
      <alignment horizontal="left" vertical="center"/>
    </xf>
    <xf numFmtId="0" fontId="8" fillId="2" borderId="27" xfId="3" applyFont="1" applyFill="1" applyBorder="1" applyAlignment="1">
      <alignment horizontal="left" vertical="center"/>
    </xf>
    <xf numFmtId="0" fontId="8" fillId="2" borderId="16" xfId="3" applyFont="1" applyFill="1" applyBorder="1" applyAlignment="1">
      <alignment horizontal="left" vertical="center"/>
    </xf>
    <xf numFmtId="0" fontId="8" fillId="2" borderId="17" xfId="3" applyFont="1" applyFill="1" applyBorder="1" applyAlignment="1">
      <alignment horizontal="left" vertical="center"/>
    </xf>
    <xf numFmtId="0" fontId="4" fillId="0" borderId="30" xfId="3" applyFont="1" applyBorder="1" applyAlignment="1">
      <alignment horizontal="left"/>
    </xf>
    <xf numFmtId="0" fontId="4" fillId="0" borderId="31" xfId="3" applyFont="1" applyBorder="1" applyAlignment="1">
      <alignment horizontal="left"/>
    </xf>
    <xf numFmtId="0" fontId="4" fillId="0" borderId="32" xfId="3" applyFont="1" applyBorder="1" applyAlignment="1">
      <alignment horizontal="left"/>
    </xf>
    <xf numFmtId="0" fontId="6" fillId="3" borderId="33" xfId="3" applyFont="1" applyFill="1" applyBorder="1" applyAlignment="1">
      <alignment horizontal="center" vertical="center"/>
    </xf>
    <xf numFmtId="0" fontId="6" fillId="3" borderId="34" xfId="3" applyFont="1" applyFill="1" applyBorder="1" applyAlignment="1">
      <alignment horizontal="center" vertical="center"/>
    </xf>
    <xf numFmtId="0" fontId="6" fillId="3" borderId="28" xfId="3" applyFont="1" applyFill="1" applyBorder="1" applyAlignment="1">
      <alignment horizontal="center" vertical="center"/>
    </xf>
    <xf numFmtId="0" fontId="6" fillId="3" borderId="35" xfId="3" applyFont="1" applyFill="1" applyBorder="1" applyAlignment="1">
      <alignment horizontal="center" vertical="center"/>
    </xf>
    <xf numFmtId="0" fontId="8" fillId="2" borderId="36" xfId="3" applyFont="1" applyFill="1" applyBorder="1" applyAlignment="1">
      <alignment horizontal="left" vertical="center"/>
    </xf>
    <xf numFmtId="0" fontId="8" fillId="2" borderId="11" xfId="3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/>
    </xf>
    <xf numFmtId="0" fontId="8" fillId="2" borderId="2" xfId="3" applyFont="1" applyFill="1" applyBorder="1" applyAlignment="1">
      <alignment horizontal="left" vertical="center"/>
    </xf>
    <xf numFmtId="0" fontId="8" fillId="2" borderId="12" xfId="3" applyFont="1" applyFill="1" applyBorder="1" applyAlignment="1">
      <alignment horizontal="left" vertical="center"/>
    </xf>
    <xf numFmtId="0" fontId="8" fillId="2" borderId="6" xfId="3" applyFont="1" applyFill="1" applyBorder="1" applyAlignment="1">
      <alignment horizontal="left" vertical="center"/>
    </xf>
    <xf numFmtId="0" fontId="8" fillId="2" borderId="3" xfId="3" applyFont="1" applyFill="1" applyBorder="1" applyAlignment="1">
      <alignment horizontal="left" vertical="center"/>
    </xf>
    <xf numFmtId="0" fontId="8" fillId="2" borderId="4" xfId="3" applyFont="1" applyFill="1" applyBorder="1" applyAlignment="1">
      <alignment horizontal="left" vertical="center"/>
    </xf>
    <xf numFmtId="1" fontId="4" fillId="0" borderId="4" xfId="3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0" fontId="6" fillId="0" borderId="41" xfId="3" applyFont="1" applyBorder="1" applyAlignment="1">
      <alignment horizontal="right"/>
    </xf>
    <xf numFmtId="0" fontId="6" fillId="0" borderId="42" xfId="3" applyFont="1" applyBorder="1" applyAlignment="1">
      <alignment horizontal="right"/>
    </xf>
    <xf numFmtId="0" fontId="6" fillId="0" borderId="5" xfId="3" applyFont="1" applyBorder="1" applyAlignment="1">
      <alignment horizontal="right"/>
    </xf>
    <xf numFmtId="164" fontId="4" fillId="0" borderId="13" xfId="3" applyNumberFormat="1" applyFont="1" applyBorder="1" applyAlignment="1">
      <alignment horizontal="right"/>
    </xf>
    <xf numFmtId="0" fontId="4" fillId="2" borderId="23" xfId="3" applyFont="1" applyFill="1" applyBorder="1" applyAlignment="1">
      <alignment horizontal="center"/>
    </xf>
    <xf numFmtId="0" fontId="4" fillId="2" borderId="43" xfId="3" applyFont="1" applyFill="1" applyBorder="1" applyAlignment="1">
      <alignment horizontal="center"/>
    </xf>
    <xf numFmtId="0" fontId="4" fillId="0" borderId="41" xfId="3" applyFont="1" applyBorder="1" applyAlignment="1">
      <alignment horizontal="left" wrapText="1"/>
    </xf>
    <xf numFmtId="0" fontId="4" fillId="0" borderId="42" xfId="3" applyFont="1" applyBorder="1" applyAlignment="1">
      <alignment horizontal="left" wrapText="1"/>
    </xf>
    <xf numFmtId="0" fontId="4" fillId="0" borderId="43" xfId="3" applyFont="1" applyBorder="1" applyAlignment="1">
      <alignment horizontal="left" wrapText="1"/>
    </xf>
    <xf numFmtId="0" fontId="4" fillId="0" borderId="41" xfId="3" applyFont="1" applyBorder="1" applyAlignment="1">
      <alignment horizontal="left"/>
    </xf>
    <xf numFmtId="0" fontId="4" fillId="0" borderId="42" xfId="3" applyFont="1" applyBorder="1" applyAlignment="1">
      <alignment horizontal="left"/>
    </xf>
    <xf numFmtId="0" fontId="4" fillId="0" borderId="43" xfId="3" applyFont="1" applyBorder="1" applyAlignment="1">
      <alignment horizontal="left"/>
    </xf>
    <xf numFmtId="0" fontId="6" fillId="0" borderId="14" xfId="3" applyFont="1" applyBorder="1" applyAlignment="1">
      <alignment horizontal="right"/>
    </xf>
    <xf numFmtId="0" fontId="6" fillId="0" borderId="37" xfId="3" applyFont="1" applyBorder="1" applyAlignment="1">
      <alignment horizontal="right"/>
    </xf>
    <xf numFmtId="0" fontId="6" fillId="0" borderId="6" xfId="3" applyFont="1" applyBorder="1" applyAlignment="1">
      <alignment horizontal="right"/>
    </xf>
    <xf numFmtId="0" fontId="4" fillId="0" borderId="3" xfId="3" applyFont="1" applyBorder="1" applyAlignment="1">
      <alignment horizontal="right"/>
    </xf>
    <xf numFmtId="0" fontId="6" fillId="3" borderId="20" xfId="3" applyFont="1" applyFill="1" applyBorder="1" applyAlignment="1">
      <alignment horizontal="left"/>
    </xf>
    <xf numFmtId="0" fontId="6" fillId="3" borderId="21" xfId="3" applyFont="1" applyFill="1" applyBorder="1" applyAlignment="1">
      <alignment horizontal="left"/>
    </xf>
    <xf numFmtId="0" fontId="6" fillId="3" borderId="22" xfId="3" applyFont="1" applyFill="1" applyBorder="1" applyAlignment="1">
      <alignment horizontal="left"/>
    </xf>
    <xf numFmtId="164" fontId="4" fillId="0" borderId="38" xfId="3" applyNumberFormat="1" applyFont="1" applyBorder="1" applyAlignment="1">
      <alignment horizontal="center"/>
    </xf>
    <xf numFmtId="164" fontId="4" fillId="0" borderId="39" xfId="3" applyNumberFormat="1" applyFont="1" applyBorder="1" applyAlignment="1">
      <alignment horizontal="center"/>
    </xf>
    <xf numFmtId="164" fontId="4" fillId="0" borderId="38" xfId="3" applyNumberFormat="1" applyFont="1" applyBorder="1" applyAlignment="1">
      <alignment horizontal="right" wrapText="1"/>
    </xf>
    <xf numFmtId="164" fontId="4" fillId="0" borderId="6" xfId="3" applyNumberFormat="1" applyFont="1" applyBorder="1" applyAlignment="1">
      <alignment horizontal="right" wrapText="1"/>
    </xf>
    <xf numFmtId="0" fontId="6" fillId="0" borderId="15" xfId="3" applyFont="1" applyBorder="1" applyAlignment="1">
      <alignment horizontal="right"/>
    </xf>
    <xf numFmtId="0" fontId="6" fillId="0" borderId="27" xfId="3" applyFont="1" applyBorder="1" applyAlignment="1">
      <alignment horizontal="right"/>
    </xf>
    <xf numFmtId="0" fontId="6" fillId="0" borderId="16" xfId="3" applyFont="1" applyBorder="1" applyAlignment="1">
      <alignment horizontal="right"/>
    </xf>
    <xf numFmtId="0" fontId="4" fillId="0" borderId="16" xfId="3" applyFont="1" applyBorder="1" applyAlignment="1">
      <alignment horizontal="right"/>
    </xf>
    <xf numFmtId="0" fontId="6" fillId="3" borderId="36" xfId="3" applyFont="1" applyFill="1" applyBorder="1" applyAlignment="1">
      <alignment horizontal="center" vertical="center"/>
    </xf>
    <xf numFmtId="0" fontId="6" fillId="3" borderId="44" xfId="3" applyFont="1" applyFill="1" applyBorder="1" applyAlignment="1">
      <alignment horizontal="center" vertical="center"/>
    </xf>
    <xf numFmtId="0" fontId="4" fillId="2" borderId="45" xfId="5" applyFont="1" applyFill="1" applyBorder="1" applyAlignment="1">
      <alignment horizontal="center"/>
    </xf>
    <xf numFmtId="0" fontId="4" fillId="2" borderId="46" xfId="5" applyFont="1" applyFill="1" applyBorder="1" applyAlignment="1">
      <alignment horizontal="center"/>
    </xf>
    <xf numFmtId="0" fontId="4" fillId="2" borderId="47" xfId="5" applyFont="1" applyFill="1" applyBorder="1" applyAlignment="1">
      <alignment horizontal="center"/>
    </xf>
    <xf numFmtId="0" fontId="4" fillId="2" borderId="48" xfId="5" applyFont="1" applyFill="1" applyBorder="1" applyAlignment="1">
      <alignment horizontal="left"/>
    </xf>
    <xf numFmtId="0" fontId="4" fillId="2" borderId="49" xfId="5" applyFont="1" applyFill="1" applyBorder="1" applyAlignment="1">
      <alignment horizontal="left"/>
    </xf>
    <xf numFmtId="0" fontId="4" fillId="2" borderId="11" xfId="5" applyFont="1" applyFill="1" applyBorder="1" applyAlignment="1">
      <alignment horizontal="left"/>
    </xf>
    <xf numFmtId="14" fontId="4" fillId="2" borderId="8" xfId="5" applyNumberFormat="1" applyFont="1" applyFill="1" applyBorder="1" applyAlignment="1">
      <alignment horizontal="center" vertical="center" wrapText="1"/>
    </xf>
    <xf numFmtId="14" fontId="4" fillId="2" borderId="50" xfId="5" applyNumberFormat="1" applyFont="1" applyFill="1" applyBorder="1" applyAlignment="1">
      <alignment horizontal="center" vertical="center" wrapText="1"/>
    </xf>
    <xf numFmtId="0" fontId="4" fillId="2" borderId="38" xfId="5" applyFont="1" applyFill="1" applyBorder="1" applyAlignment="1">
      <alignment horizontal="left"/>
    </xf>
    <xf numFmtId="0" fontId="4" fillId="2" borderId="37" xfId="5" applyFont="1" applyFill="1" applyBorder="1" applyAlignment="1">
      <alignment horizontal="left"/>
    </xf>
    <xf numFmtId="0" fontId="4" fillId="2" borderId="6" xfId="5" applyFont="1" applyFill="1" applyBorder="1" applyAlignment="1">
      <alignment horizontal="left"/>
    </xf>
    <xf numFmtId="0" fontId="5" fillId="2" borderId="11" xfId="5" applyFont="1" applyFill="1" applyBorder="1" applyAlignment="1">
      <alignment horizontal="center"/>
    </xf>
    <xf numFmtId="0" fontId="5" fillId="2" borderId="1" xfId="5" applyFont="1" applyFill="1" applyBorder="1" applyAlignment="1">
      <alignment horizontal="center"/>
    </xf>
    <xf numFmtId="0" fontId="5" fillId="2" borderId="26" xfId="5" applyFont="1" applyFill="1" applyBorder="1" applyAlignment="1">
      <alignment horizontal="center"/>
    </xf>
    <xf numFmtId="0" fontId="5" fillId="2" borderId="7" xfId="5" applyFont="1" applyFill="1" applyBorder="1" applyAlignment="1">
      <alignment horizontal="center"/>
    </xf>
    <xf numFmtId="0" fontId="7" fillId="4" borderId="20" xfId="5" applyFont="1" applyFill="1" applyBorder="1" applyAlignment="1">
      <alignment horizontal="center" vertical="center" wrapText="1"/>
    </xf>
    <xf numFmtId="0" fontId="7" fillId="4" borderId="21" xfId="5" applyFont="1" applyFill="1" applyBorder="1" applyAlignment="1">
      <alignment horizontal="center" vertical="center" wrapText="1"/>
    </xf>
    <xf numFmtId="0" fontId="7" fillId="4" borderId="22" xfId="5" applyFont="1" applyFill="1" applyBorder="1" applyAlignment="1">
      <alignment horizontal="center" vertical="center" wrapText="1"/>
    </xf>
    <xf numFmtId="0" fontId="6" fillId="2" borderId="26" xfId="5" applyFont="1" applyFill="1" applyBorder="1" applyAlignment="1">
      <alignment horizontal="right" vertical="top" wrapText="1"/>
    </xf>
    <xf numFmtId="0" fontId="6" fillId="2" borderId="51" xfId="5" applyFont="1" applyFill="1" applyBorder="1" applyAlignment="1">
      <alignment horizontal="right" vertical="top" wrapText="1"/>
    </xf>
    <xf numFmtId="0" fontId="6" fillId="2" borderId="52" xfId="5" applyFont="1" applyFill="1" applyBorder="1" applyAlignment="1">
      <alignment horizontal="right" vertical="top" wrapText="1"/>
    </xf>
    <xf numFmtId="0" fontId="6" fillId="3" borderId="1" xfId="3" applyFont="1" applyFill="1" applyBorder="1" applyAlignment="1">
      <alignment horizontal="center" vertical="center"/>
    </xf>
    <xf numFmtId="0" fontId="6" fillId="3" borderId="7" xfId="3" applyFont="1" applyFill="1" applyBorder="1" applyAlignment="1">
      <alignment horizontal="center" vertical="center"/>
    </xf>
    <xf numFmtId="0" fontId="6" fillId="3" borderId="29" xfId="3" applyFont="1" applyFill="1" applyBorder="1" applyAlignment="1">
      <alignment horizontal="center" vertical="center"/>
    </xf>
    <xf numFmtId="0" fontId="16" fillId="0" borderId="14" xfId="0" applyFont="1" applyBorder="1" applyAlignment="1">
      <alignment horizontal="left"/>
    </xf>
    <xf numFmtId="0" fontId="16" fillId="0" borderId="37" xfId="0" applyFont="1" applyBorder="1" applyAlignment="1">
      <alignment horizontal="left"/>
    </xf>
    <xf numFmtId="0" fontId="16" fillId="0" borderId="39" xfId="0" applyFont="1" applyBorder="1" applyAlignment="1">
      <alignment horizontal="left"/>
    </xf>
    <xf numFmtId="0" fontId="6" fillId="9" borderId="58" xfId="5" applyFont="1" applyFill="1" applyBorder="1" applyAlignment="1">
      <alignment horizontal="center"/>
    </xf>
    <xf numFmtId="0" fontId="6" fillId="9" borderId="24" xfId="5" applyFont="1" applyFill="1" applyBorder="1" applyAlignment="1">
      <alignment horizontal="center"/>
    </xf>
    <xf numFmtId="0" fontId="4" fillId="2" borderId="59" xfId="5" applyFont="1" applyFill="1" applyBorder="1" applyAlignment="1">
      <alignment horizontal="left"/>
    </xf>
    <xf numFmtId="0" fontId="4" fillId="2" borderId="0" xfId="5" applyFont="1" applyFill="1" applyAlignment="1">
      <alignment horizontal="left"/>
    </xf>
    <xf numFmtId="0" fontId="4" fillId="0" borderId="12" xfId="3" applyFont="1" applyBorder="1" applyAlignment="1">
      <alignment horizontal="left" wrapText="1"/>
    </xf>
    <xf numFmtId="0" fontId="4" fillId="0" borderId="6" xfId="3" applyFont="1" applyBorder="1" applyAlignment="1">
      <alignment horizontal="left" wrapText="1"/>
    </xf>
    <xf numFmtId="0" fontId="4" fillId="0" borderId="3" xfId="3" applyFont="1" applyBorder="1" applyAlignment="1">
      <alignment horizontal="left" wrapText="1"/>
    </xf>
    <xf numFmtId="0" fontId="4" fillId="0" borderId="4" xfId="3" applyFont="1" applyBorder="1" applyAlignment="1">
      <alignment horizontal="left" wrapText="1"/>
    </xf>
    <xf numFmtId="0" fontId="6" fillId="0" borderId="41" xfId="3" applyFont="1" applyBorder="1" applyAlignment="1">
      <alignment horizontal="left" wrapText="1"/>
    </xf>
    <xf numFmtId="0" fontId="6" fillId="0" borderId="42" xfId="3" applyFont="1" applyBorder="1" applyAlignment="1">
      <alignment horizontal="left" wrapText="1"/>
    </xf>
    <xf numFmtId="0" fontId="6" fillId="0" borderId="43" xfId="3" applyFont="1" applyBorder="1" applyAlignment="1">
      <alignment horizontal="left" wrapText="1"/>
    </xf>
    <xf numFmtId="164" fontId="4" fillId="0" borderId="38" xfId="0" applyNumberFormat="1" applyFont="1" applyBorder="1" applyAlignment="1">
      <alignment horizontal="center" wrapText="1"/>
    </xf>
    <xf numFmtId="164" fontId="4" fillId="0" borderId="39" xfId="0" applyNumberFormat="1" applyFont="1" applyBorder="1" applyAlignment="1">
      <alignment horizontal="center" wrapText="1"/>
    </xf>
    <xf numFmtId="0" fontId="14" fillId="2" borderId="0" xfId="5" applyFont="1" applyFill="1" applyAlignment="1">
      <alignment horizontal="right"/>
    </xf>
    <xf numFmtId="0" fontId="15" fillId="2" borderId="57" xfId="5" applyFont="1" applyFill="1" applyBorder="1" applyAlignment="1">
      <alignment horizontal="center"/>
    </xf>
    <xf numFmtId="0" fontId="14" fillId="2" borderId="0" xfId="5" applyFont="1" applyFill="1"/>
    <xf numFmtId="0" fontId="6" fillId="3" borderId="15" xfId="3" applyFont="1" applyFill="1" applyBorder="1" applyAlignment="1">
      <alignment horizontal="center" vertical="center"/>
    </xf>
    <xf numFmtId="0" fontId="6" fillId="3" borderId="36" xfId="3" applyFont="1" applyFill="1" applyBorder="1" applyAlignment="1">
      <alignment horizontal="center" vertical="center" wrapText="1"/>
    </xf>
    <xf numFmtId="0" fontId="6" fillId="3" borderId="15" xfId="3" applyFont="1" applyFill="1" applyBorder="1" applyAlignment="1">
      <alignment horizontal="center" vertical="center" wrapText="1"/>
    </xf>
    <xf numFmtId="0" fontId="6" fillId="3" borderId="16" xfId="3" applyFont="1" applyFill="1" applyBorder="1" applyAlignment="1">
      <alignment horizontal="center" vertical="center"/>
    </xf>
    <xf numFmtId="14" fontId="4" fillId="2" borderId="56" xfId="5" applyNumberFormat="1" applyFont="1" applyFill="1" applyBorder="1" applyAlignment="1">
      <alignment horizontal="center" vertical="center" wrapText="1"/>
    </xf>
    <xf numFmtId="0" fontId="4" fillId="2" borderId="25" xfId="5" applyFont="1" applyFill="1" applyBorder="1" applyAlignment="1">
      <alignment horizontal="center"/>
    </xf>
    <xf numFmtId="0" fontId="4" fillId="2" borderId="24" xfId="5" applyFont="1" applyFill="1" applyBorder="1" applyAlignment="1">
      <alignment horizontal="center"/>
    </xf>
    <xf numFmtId="0" fontId="4" fillId="2" borderId="18" xfId="5" applyFont="1" applyFill="1" applyBorder="1" applyAlignment="1">
      <alignment horizontal="center"/>
    </xf>
    <xf numFmtId="0" fontId="4" fillId="2" borderId="0" xfId="5" applyFont="1" applyFill="1" applyAlignment="1">
      <alignment horizontal="center"/>
    </xf>
    <xf numFmtId="0" fontId="4" fillId="2" borderId="41" xfId="5" applyFont="1" applyFill="1" applyBorder="1" applyAlignment="1">
      <alignment horizontal="center"/>
    </xf>
    <xf numFmtId="0" fontId="4" fillId="2" borderId="42" xfId="5" applyFont="1" applyFill="1" applyBorder="1" applyAlignment="1">
      <alignment horizontal="center"/>
    </xf>
    <xf numFmtId="0" fontId="5" fillId="2" borderId="40" xfId="5" applyFont="1" applyFill="1" applyBorder="1" applyAlignment="1">
      <alignment horizontal="center"/>
    </xf>
    <xf numFmtId="0" fontId="5" fillId="2" borderId="31" xfId="5" applyFont="1" applyFill="1" applyBorder="1" applyAlignment="1">
      <alignment horizontal="center"/>
    </xf>
    <xf numFmtId="0" fontId="5" fillId="2" borderId="27" xfId="5" applyFont="1" applyFill="1" applyBorder="1" applyAlignment="1">
      <alignment horizontal="center"/>
    </xf>
    <xf numFmtId="0" fontId="7" fillId="4" borderId="53" xfId="5" applyFont="1" applyFill="1" applyBorder="1" applyAlignment="1">
      <alignment horizontal="center"/>
    </xf>
    <xf numFmtId="0" fontId="7" fillId="4" borderId="54" xfId="5" applyFont="1" applyFill="1" applyBorder="1" applyAlignment="1">
      <alignment horizontal="center"/>
    </xf>
    <xf numFmtId="0" fontId="7" fillId="4" borderId="55" xfId="5" applyFont="1" applyFill="1" applyBorder="1" applyAlignment="1">
      <alignment horizontal="center"/>
    </xf>
  </cellXfs>
  <cellStyles count="8">
    <cellStyle name="Millares" xfId="1" builtinId="3"/>
    <cellStyle name="Millares 29" xfId="2" xr:uid="{CAE36110-C526-484C-B1BA-AE0DD76F3E24}"/>
    <cellStyle name="Normal" xfId="0" builtinId="0"/>
    <cellStyle name="Normal 2" xfId="3" xr:uid="{7AE0FB81-6447-444B-80A9-7E54BB71032B}"/>
    <cellStyle name="Normal 3" xfId="7" xr:uid="{55869F81-6D34-4F56-819A-116EDF50E121}"/>
    <cellStyle name="Normal 5" xfId="4" xr:uid="{C732D843-08D8-4D4A-91BC-B2F1B567FC32}"/>
    <cellStyle name="Normal_CRITERIOS DE EVALUACION PT DE GB 2" xfId="5" xr:uid="{38C289E4-8337-400E-BD6F-CCD61A6B12F9}"/>
    <cellStyle name="Porcentaje 2" xfId="6" xr:uid="{502C9ED7-9F8B-435B-9F34-2D4565912BE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00" name="Picture 2">
          <a:extLst>
            <a:ext uri="{FF2B5EF4-FFF2-40B4-BE49-F238E27FC236}">
              <a16:creationId xmlns:a16="http://schemas.microsoft.com/office/drawing/2014/main" id="{EE8777A4-B98E-BA1C-4FD0-B3D97AA98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01" name="Picture 3">
          <a:extLst>
            <a:ext uri="{FF2B5EF4-FFF2-40B4-BE49-F238E27FC236}">
              <a16:creationId xmlns:a16="http://schemas.microsoft.com/office/drawing/2014/main" id="{EDA9A54B-C86F-AC27-E094-B6E4C495D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02" name="Picture 5">
          <a:extLst>
            <a:ext uri="{FF2B5EF4-FFF2-40B4-BE49-F238E27FC236}">
              <a16:creationId xmlns:a16="http://schemas.microsoft.com/office/drawing/2014/main" id="{CE87294F-ABE9-7036-A0C9-DE85B4B9A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03" name="Picture 6">
          <a:extLst>
            <a:ext uri="{FF2B5EF4-FFF2-40B4-BE49-F238E27FC236}">
              <a16:creationId xmlns:a16="http://schemas.microsoft.com/office/drawing/2014/main" id="{2AB33284-7C7A-887D-27C9-BEBF6AE41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04" name="Picture 7">
          <a:extLst>
            <a:ext uri="{FF2B5EF4-FFF2-40B4-BE49-F238E27FC236}">
              <a16:creationId xmlns:a16="http://schemas.microsoft.com/office/drawing/2014/main" id="{7C7E6D02-580D-E6E6-236E-EF5C3179F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05" name="Picture 8">
          <a:extLst>
            <a:ext uri="{FF2B5EF4-FFF2-40B4-BE49-F238E27FC236}">
              <a16:creationId xmlns:a16="http://schemas.microsoft.com/office/drawing/2014/main" id="{9371FCAA-524D-397B-7967-69E46F66C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06" name="Picture 9">
          <a:extLst>
            <a:ext uri="{FF2B5EF4-FFF2-40B4-BE49-F238E27FC236}">
              <a16:creationId xmlns:a16="http://schemas.microsoft.com/office/drawing/2014/main" id="{68AF9C02-1319-825E-C594-8A5D239EA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07" name="Picture 10">
          <a:extLst>
            <a:ext uri="{FF2B5EF4-FFF2-40B4-BE49-F238E27FC236}">
              <a16:creationId xmlns:a16="http://schemas.microsoft.com/office/drawing/2014/main" id="{F246DF54-9423-D505-2C69-8B312B570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08" name="Picture 11">
          <a:extLst>
            <a:ext uri="{FF2B5EF4-FFF2-40B4-BE49-F238E27FC236}">
              <a16:creationId xmlns:a16="http://schemas.microsoft.com/office/drawing/2014/main" id="{3013F82E-5A32-673C-31C2-B15691C9D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09" name="Picture 12">
          <a:extLst>
            <a:ext uri="{FF2B5EF4-FFF2-40B4-BE49-F238E27FC236}">
              <a16:creationId xmlns:a16="http://schemas.microsoft.com/office/drawing/2014/main" id="{058CB962-4089-528D-7D82-21A000073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10" name="Picture 14">
          <a:extLst>
            <a:ext uri="{FF2B5EF4-FFF2-40B4-BE49-F238E27FC236}">
              <a16:creationId xmlns:a16="http://schemas.microsoft.com/office/drawing/2014/main" id="{E5DB155B-49D2-228C-5138-DC6282F84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11" name="Picture 15">
          <a:extLst>
            <a:ext uri="{FF2B5EF4-FFF2-40B4-BE49-F238E27FC236}">
              <a16:creationId xmlns:a16="http://schemas.microsoft.com/office/drawing/2014/main" id="{B96AB9E5-8667-DB32-AD5C-844DB07EB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12" name="Picture 16">
          <a:extLst>
            <a:ext uri="{FF2B5EF4-FFF2-40B4-BE49-F238E27FC236}">
              <a16:creationId xmlns:a16="http://schemas.microsoft.com/office/drawing/2014/main" id="{9438C469-EB72-FCED-3E6F-4B9995419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13" name="Picture 17">
          <a:extLst>
            <a:ext uri="{FF2B5EF4-FFF2-40B4-BE49-F238E27FC236}">
              <a16:creationId xmlns:a16="http://schemas.microsoft.com/office/drawing/2014/main" id="{87DB483B-9F4D-67AB-25CA-5F60DFCCA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14" name="Picture 18">
          <a:extLst>
            <a:ext uri="{FF2B5EF4-FFF2-40B4-BE49-F238E27FC236}">
              <a16:creationId xmlns:a16="http://schemas.microsoft.com/office/drawing/2014/main" id="{C88CA65E-06A5-C196-B892-F8D4B49D3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15" name="Picture 19">
          <a:extLst>
            <a:ext uri="{FF2B5EF4-FFF2-40B4-BE49-F238E27FC236}">
              <a16:creationId xmlns:a16="http://schemas.microsoft.com/office/drawing/2014/main" id="{B3BE5141-916D-A41D-0682-F32969AD6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16" name="Picture 20">
          <a:extLst>
            <a:ext uri="{FF2B5EF4-FFF2-40B4-BE49-F238E27FC236}">
              <a16:creationId xmlns:a16="http://schemas.microsoft.com/office/drawing/2014/main" id="{39EA2D87-BEEE-0532-860B-005DD4B2B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17" name="Picture 21">
          <a:extLst>
            <a:ext uri="{FF2B5EF4-FFF2-40B4-BE49-F238E27FC236}">
              <a16:creationId xmlns:a16="http://schemas.microsoft.com/office/drawing/2014/main" id="{F6410660-6E75-AD41-B302-A685A2826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18" name="Picture 22">
          <a:extLst>
            <a:ext uri="{FF2B5EF4-FFF2-40B4-BE49-F238E27FC236}">
              <a16:creationId xmlns:a16="http://schemas.microsoft.com/office/drawing/2014/main" id="{AAEA50B7-EB87-4559-0417-3DEEF0A0F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19" name="Picture 23">
          <a:extLst>
            <a:ext uri="{FF2B5EF4-FFF2-40B4-BE49-F238E27FC236}">
              <a16:creationId xmlns:a16="http://schemas.microsoft.com/office/drawing/2014/main" id="{E5C7E5D6-A168-E60D-DC17-AF3A9B83E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20" name="Picture 24">
          <a:extLst>
            <a:ext uri="{FF2B5EF4-FFF2-40B4-BE49-F238E27FC236}">
              <a16:creationId xmlns:a16="http://schemas.microsoft.com/office/drawing/2014/main" id="{5AF1D755-4F23-5BFD-2DEF-C63521A2A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21" name="Picture 25">
          <a:extLst>
            <a:ext uri="{FF2B5EF4-FFF2-40B4-BE49-F238E27FC236}">
              <a16:creationId xmlns:a16="http://schemas.microsoft.com/office/drawing/2014/main" id="{27FACA79-2AEA-5EDE-B4B1-816344F78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22" name="Picture 27">
          <a:extLst>
            <a:ext uri="{FF2B5EF4-FFF2-40B4-BE49-F238E27FC236}">
              <a16:creationId xmlns:a16="http://schemas.microsoft.com/office/drawing/2014/main" id="{FC7B885D-9FD3-D924-093E-71D4DAC0C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23" name="Picture 28">
          <a:extLst>
            <a:ext uri="{FF2B5EF4-FFF2-40B4-BE49-F238E27FC236}">
              <a16:creationId xmlns:a16="http://schemas.microsoft.com/office/drawing/2014/main" id="{5D74E316-F320-5A30-63E4-3AEB04EF2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24" name="Picture 29">
          <a:extLst>
            <a:ext uri="{FF2B5EF4-FFF2-40B4-BE49-F238E27FC236}">
              <a16:creationId xmlns:a16="http://schemas.microsoft.com/office/drawing/2014/main" id="{811248DE-0143-7737-500E-7AF27CA09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0</xdr:col>
      <xdr:colOff>431800</xdr:colOff>
      <xdr:row>0</xdr:row>
      <xdr:rowOff>0</xdr:rowOff>
    </xdr:to>
    <xdr:pic>
      <xdr:nvPicPr>
        <xdr:cNvPr id="1725" name="Picture 30">
          <a:extLst>
            <a:ext uri="{FF2B5EF4-FFF2-40B4-BE49-F238E27FC236}">
              <a16:creationId xmlns:a16="http://schemas.microsoft.com/office/drawing/2014/main" id="{C07CA696-69D0-2B47-AA2A-41BED32E6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0"/>
          <a:ext cx="34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1</xdr:row>
      <xdr:rowOff>31750</xdr:rowOff>
    </xdr:from>
    <xdr:to>
      <xdr:col>0</xdr:col>
      <xdr:colOff>698500</xdr:colOff>
      <xdr:row>2</xdr:row>
      <xdr:rowOff>133350</xdr:rowOff>
    </xdr:to>
    <xdr:pic>
      <xdr:nvPicPr>
        <xdr:cNvPr id="1726" name="Imagen 5">
          <a:extLst>
            <a:ext uri="{FF2B5EF4-FFF2-40B4-BE49-F238E27FC236}">
              <a16:creationId xmlns:a16="http://schemas.microsoft.com/office/drawing/2014/main" id="{345C1FB4-5B58-DC0B-8147-4395EC387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22250"/>
          <a:ext cx="6413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5</xdr:col>
      <xdr:colOff>742950</xdr:colOff>
      <xdr:row>37</xdr:row>
      <xdr:rowOff>44450</xdr:rowOff>
    </xdr:to>
    <xdr:pic>
      <xdr:nvPicPr>
        <xdr:cNvPr id="7178" name="Imagen 1">
          <a:extLst>
            <a:ext uri="{FF2B5EF4-FFF2-40B4-BE49-F238E27FC236}">
              <a16:creationId xmlns:a16="http://schemas.microsoft.com/office/drawing/2014/main" id="{0CD01220-57D3-451B-66A2-DE505AC80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3050"/>
          <a:ext cx="6311900" cy="274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ramirez_fascr_com/Documents/Escritorio/Boms%20Costeo%20recetas/3%20boms%20%20ABR%202023-Actualizacion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es MP Y EMP"/>
      <sheetName val="Compras ene 2023"/>
      <sheetName val="Compras Dic 2022"/>
      <sheetName val="Compras Ene-Mar 2023"/>
      <sheetName val="Homologo Códigos MP"/>
      <sheetName val="Recetas Semielaborados"/>
      <sheetName val="Resumen SE"/>
      <sheetName val="Recetas PT"/>
      <sheetName val="Resumen PT"/>
      <sheetName val="PROYECTO ACTI EGG"/>
      <sheetName val="engrase"/>
      <sheetName val="Cambios en Items"/>
      <sheetName val="Hoja2"/>
    </sheetNames>
    <sheetDataSet>
      <sheetData sheetId="0">
        <row r="1">
          <cell r="A1" t="str">
            <v>Referencia</v>
          </cell>
          <cell r="B1" t="str">
            <v xml:space="preserve"> </v>
          </cell>
          <cell r="C1" t="str">
            <v>Seccion</v>
          </cell>
          <cell r="D1" t="str">
            <v>Medida</v>
          </cell>
          <cell r="E1" t="str">
            <v>Ultimo precio Compra</v>
          </cell>
          <cell r="F1" t="str">
            <v>Medida Costos</v>
          </cell>
          <cell r="G1" t="str">
            <v>Costo Minima
Receta</v>
          </cell>
          <cell r="H1" t="str">
            <v>Unidad Medida
Receta</v>
          </cell>
        </row>
        <row r="2">
          <cell r="A2" t="str">
            <v>10500</v>
          </cell>
          <cell r="B2" t="str">
            <v>PAPRIKA (UND:454g)</v>
          </cell>
          <cell r="C2" t="str">
            <v>MATERIAS PRIMAS PLANTA</v>
          </cell>
          <cell r="D2" t="str">
            <v>1 UND</v>
          </cell>
          <cell r="E2">
            <v>3208</v>
          </cell>
          <cell r="F2">
            <v>454</v>
          </cell>
          <cell r="G2">
            <v>7.0660792951541849</v>
          </cell>
          <cell r="H2" t="str">
            <v>Gramos</v>
          </cell>
        </row>
        <row r="3">
          <cell r="A3" t="str">
            <v>56009</v>
          </cell>
          <cell r="B3" t="str">
            <v>CANDELAS MAGICAS (PAQ:24 UND)</v>
          </cell>
          <cell r="C3" t="str">
            <v>EMPAQUES PLANTA</v>
          </cell>
          <cell r="D3" t="str">
            <v>1 PAQUETE</v>
          </cell>
          <cell r="E3">
            <v>712.5</v>
          </cell>
          <cell r="F3">
            <v>24</v>
          </cell>
          <cell r="G3">
            <v>29.6875</v>
          </cell>
        </row>
        <row r="4">
          <cell r="A4" t="str">
            <v>101005</v>
          </cell>
          <cell r="B4" t="str">
            <v>AJO PELADO (PAQ:1 KILO)</v>
          </cell>
          <cell r="C4" t="str">
            <v>MATERIAS PRIMAS PLANTA</v>
          </cell>
          <cell r="D4" t="str">
            <v>1 PAQUETE</v>
          </cell>
          <cell r="E4">
            <v>4200</v>
          </cell>
          <cell r="F4">
            <v>1000</v>
          </cell>
          <cell r="G4">
            <v>4.2</v>
          </cell>
          <cell r="H4" t="str">
            <v>Gramos</v>
          </cell>
        </row>
        <row r="5">
          <cell r="A5" t="str">
            <v>0101022</v>
          </cell>
          <cell r="B5" t="str">
            <v>PAPA MINI KILO</v>
          </cell>
          <cell r="C5" t="str">
            <v>MATERIAS PRIMAS PLANTA</v>
          </cell>
          <cell r="D5" t="str">
            <v>1 KILO</v>
          </cell>
          <cell r="E5">
            <v>900</v>
          </cell>
          <cell r="F5">
            <v>1000</v>
          </cell>
          <cell r="G5">
            <v>0.9</v>
          </cell>
          <cell r="H5" t="str">
            <v>Gramos</v>
          </cell>
        </row>
        <row r="6">
          <cell r="A6" t="str">
            <v>101025</v>
          </cell>
          <cell r="B6" t="str">
            <v>BROCOLI KILO</v>
          </cell>
          <cell r="C6" t="str">
            <v>MATERIAS PRIMAS PLANTA</v>
          </cell>
          <cell r="D6" t="str">
            <v>1 KILO</v>
          </cell>
          <cell r="E6">
            <v>3900</v>
          </cell>
          <cell r="F6">
            <v>1000</v>
          </cell>
          <cell r="G6">
            <v>3.9</v>
          </cell>
          <cell r="H6" t="str">
            <v>Gramos</v>
          </cell>
        </row>
        <row r="7">
          <cell r="A7" t="str">
            <v>101035</v>
          </cell>
          <cell r="B7" t="str">
            <v>CEBOLLA PICADA (PAQ:KILO)</v>
          </cell>
          <cell r="C7" t="str">
            <v>MATERIAS PRIMAS PLANTA</v>
          </cell>
          <cell r="D7" t="str">
            <v xml:space="preserve">1 KILO   </v>
          </cell>
          <cell r="E7">
            <v>1975</v>
          </cell>
          <cell r="F7">
            <v>1000</v>
          </cell>
          <cell r="G7">
            <v>1.9750000000000001</v>
          </cell>
          <cell r="H7" t="str">
            <v>Gramos</v>
          </cell>
        </row>
        <row r="8">
          <cell r="A8" t="str">
            <v>101040</v>
          </cell>
          <cell r="B8" t="str">
            <v>CEBOLLA TRENZA KILO</v>
          </cell>
          <cell r="C8" t="str">
            <v>MATERIAS PRIMAS PLANTA</v>
          </cell>
          <cell r="D8" t="str">
            <v>1 KILO</v>
          </cell>
          <cell r="E8">
            <v>1657</v>
          </cell>
          <cell r="F8">
            <v>1000</v>
          </cell>
          <cell r="G8">
            <v>1.657</v>
          </cell>
          <cell r="H8" t="str">
            <v>Gramos</v>
          </cell>
        </row>
        <row r="9">
          <cell r="A9" t="str">
            <v>101043</v>
          </cell>
          <cell r="B9" t="str">
            <v>CEBOLLA BLANCA JULIANA (PAQ:1 KILO )</v>
          </cell>
          <cell r="C9" t="str">
            <v>MATERIAS PRIMAS PLANTA</v>
          </cell>
          <cell r="D9" t="str">
            <v>1 PAQUETE</v>
          </cell>
          <cell r="E9">
            <v>2000</v>
          </cell>
          <cell r="F9">
            <v>1000</v>
          </cell>
          <cell r="G9">
            <v>2</v>
          </cell>
          <cell r="H9" t="str">
            <v>Gramos</v>
          </cell>
        </row>
        <row r="10">
          <cell r="A10" t="str">
            <v>101045</v>
          </cell>
          <cell r="B10" t="str">
            <v>CEBOLLINO KILO</v>
          </cell>
          <cell r="C10" t="str">
            <v>MATERIAS PRIMAS PLANTA</v>
          </cell>
          <cell r="D10" t="str">
            <v>1 KILO</v>
          </cell>
          <cell r="E10">
            <v>1795</v>
          </cell>
          <cell r="F10">
            <v>1000</v>
          </cell>
          <cell r="G10">
            <v>1.7949999999999999</v>
          </cell>
          <cell r="H10" t="str">
            <v>Gramos</v>
          </cell>
        </row>
        <row r="11">
          <cell r="A11" t="str">
            <v>101051</v>
          </cell>
          <cell r="B11" t="str">
            <v>CHAYOTE PICADO (PAQ:1 KILO)</v>
          </cell>
          <cell r="C11" t="str">
            <v>MATERIAS PRIMAS PLANTA</v>
          </cell>
          <cell r="D11" t="str">
            <v>1 PAQUETE</v>
          </cell>
          <cell r="E11">
            <v>1029</v>
          </cell>
          <cell r="F11">
            <v>1000</v>
          </cell>
          <cell r="G11">
            <v>1.0289999999999999</v>
          </cell>
          <cell r="H11" t="str">
            <v>Gramos</v>
          </cell>
        </row>
        <row r="12">
          <cell r="A12" t="str">
            <v>101055</v>
          </cell>
          <cell r="B12" t="str">
            <v>CHILE DULCE ENTERO KILO</v>
          </cell>
          <cell r="C12" t="str">
            <v>MATERIAS PRIMAS PLANTA</v>
          </cell>
          <cell r="D12" t="str">
            <v xml:space="preserve">1 KILO </v>
          </cell>
          <cell r="E12">
            <v>1095</v>
          </cell>
          <cell r="F12">
            <v>1000</v>
          </cell>
          <cell r="G12">
            <v>1.095</v>
          </cell>
          <cell r="H12" t="str">
            <v>Gramos</v>
          </cell>
        </row>
        <row r="13">
          <cell r="A13" t="str">
            <v>101072</v>
          </cell>
          <cell r="B13" t="str">
            <v>CULANTRO DESINFECTADO (PAQ:100g)</v>
          </cell>
          <cell r="C13" t="str">
            <v>MATERIAS PRIMAS PLANTA</v>
          </cell>
          <cell r="D13" t="str">
            <v>1 PAQUETE</v>
          </cell>
          <cell r="E13">
            <v>380</v>
          </cell>
          <cell r="F13">
            <v>100</v>
          </cell>
          <cell r="G13">
            <v>3.8</v>
          </cell>
          <cell r="H13" t="str">
            <v>Gramos</v>
          </cell>
        </row>
        <row r="14">
          <cell r="A14" t="str">
            <v>101073</v>
          </cell>
          <cell r="B14" t="str">
            <v>CULANTRO DESINFECTADO (PAQ:250g)</v>
          </cell>
          <cell r="C14" t="str">
            <v>MATERIAS PRIMAS PLANTA</v>
          </cell>
          <cell r="D14" t="str">
            <v>1 PAQUETE</v>
          </cell>
          <cell r="E14">
            <v>790</v>
          </cell>
          <cell r="F14">
            <v>250</v>
          </cell>
          <cell r="G14">
            <v>3.16</v>
          </cell>
          <cell r="H14" t="str">
            <v>Gramos</v>
          </cell>
        </row>
        <row r="15">
          <cell r="A15" t="str">
            <v>0101074</v>
          </cell>
          <cell r="B15" t="str">
            <v>PEREJIL DESINFECTADO (PAQ: 250g)</v>
          </cell>
          <cell r="C15" t="str">
            <v>MATERIAS PRIMAS PLANTA</v>
          </cell>
          <cell r="D15" t="str">
            <v>1 PAQUETE</v>
          </cell>
          <cell r="E15">
            <v>2051</v>
          </cell>
          <cell r="F15">
            <v>250</v>
          </cell>
          <cell r="G15">
            <v>8.2040000000000006</v>
          </cell>
          <cell r="H15" t="str">
            <v>Gramos</v>
          </cell>
        </row>
        <row r="16">
          <cell r="A16" t="str">
            <v>0101075</v>
          </cell>
          <cell r="B16" t="str">
            <v>ESPINACA EN HOJA (PAQ:500g)</v>
          </cell>
          <cell r="C16" t="str">
            <v>MATERIAS PRIMAS PLANTA</v>
          </cell>
          <cell r="D16" t="str">
            <v>1 PAQUETE</v>
          </cell>
          <cell r="E16">
            <v>1575</v>
          </cell>
          <cell r="F16">
            <v>500</v>
          </cell>
          <cell r="G16">
            <v>3.15</v>
          </cell>
          <cell r="H16" t="str">
            <v>Gramos</v>
          </cell>
        </row>
        <row r="17">
          <cell r="A17" t="str">
            <v>101081</v>
          </cell>
          <cell r="B17" t="str">
            <v>FRESA PICADA KILO</v>
          </cell>
          <cell r="C17" t="str">
            <v>MATERIAS PRIMAS PLANTA</v>
          </cell>
          <cell r="D17" t="str">
            <v>1 KILO</v>
          </cell>
          <cell r="E17">
            <v>999</v>
          </cell>
          <cell r="F17">
            <v>1000</v>
          </cell>
          <cell r="G17">
            <v>0.999</v>
          </cell>
          <cell r="H17" t="str">
            <v>Gramos</v>
          </cell>
        </row>
        <row r="18">
          <cell r="A18" t="str">
            <v>0101100</v>
          </cell>
          <cell r="B18" t="str">
            <v>HOJA TAMAL KILO</v>
          </cell>
          <cell r="C18" t="str">
            <v>MATERIAS PRIMAS PLANTA</v>
          </cell>
          <cell r="D18" t="str">
            <v>1 KILO</v>
          </cell>
          <cell r="E18">
            <v>1300</v>
          </cell>
          <cell r="F18">
            <v>1000</v>
          </cell>
          <cell r="G18">
            <v>1.3</v>
          </cell>
          <cell r="H18" t="str">
            <v>Gramos</v>
          </cell>
        </row>
        <row r="19">
          <cell r="A19" t="str">
            <v>0101105</v>
          </cell>
          <cell r="B19" t="str">
            <v>HONGO FRESCO REBANADO (KILO)</v>
          </cell>
          <cell r="C19" t="str">
            <v>MATERIAS PRIMAS PLANTA</v>
          </cell>
          <cell r="D19" t="str">
            <v>1 KILO</v>
          </cell>
          <cell r="E19">
            <v>3455</v>
          </cell>
          <cell r="F19">
            <v>1000</v>
          </cell>
          <cell r="G19">
            <v>3.4550000000000001</v>
          </cell>
          <cell r="H19" t="str">
            <v>Gramos</v>
          </cell>
        </row>
        <row r="20">
          <cell r="A20" t="str">
            <v>0101107</v>
          </cell>
          <cell r="B20" t="str">
            <v>HONGO REBANADOS (UND: 2.84 kg)</v>
          </cell>
          <cell r="C20" t="str">
            <v>MATERIAS PRIMAS PLANTA</v>
          </cell>
          <cell r="D20" t="str">
            <v>1 UND</v>
          </cell>
          <cell r="E20" t="e">
            <v>#N/A</v>
          </cell>
          <cell r="F20">
            <v>2840</v>
          </cell>
          <cell r="G20" t="e">
            <v>#N/A</v>
          </cell>
          <cell r="H20" t="str">
            <v>Gramos</v>
          </cell>
        </row>
        <row r="21">
          <cell r="A21" t="str">
            <v>101115</v>
          </cell>
          <cell r="B21" t="str">
            <v>CHILE DULCE PICADO (PAQ:500g)</v>
          </cell>
          <cell r="C21" t="str">
            <v>MATERIAS PRIMAS PLANTA</v>
          </cell>
          <cell r="D21" t="str">
            <v>1 PAQUETE</v>
          </cell>
          <cell r="E21">
            <v>1121.7</v>
          </cell>
          <cell r="F21">
            <v>500</v>
          </cell>
          <cell r="G21">
            <v>2.2434000000000003</v>
          </cell>
          <cell r="H21" t="str">
            <v>Gramos</v>
          </cell>
        </row>
        <row r="22">
          <cell r="A22" t="str">
            <v>0101130</v>
          </cell>
          <cell r="B22" t="str">
            <v>LIMONES MAYA (UND)</v>
          </cell>
          <cell r="C22" t="str">
            <v>MATERIAS PRIMAS PLANTA</v>
          </cell>
          <cell r="D22" t="str">
            <v>1 UND</v>
          </cell>
          <cell r="E22">
            <v>165</v>
          </cell>
          <cell r="F22">
            <v>1</v>
          </cell>
          <cell r="G22">
            <v>165</v>
          </cell>
          <cell r="H22" t="str">
            <v>und</v>
          </cell>
        </row>
        <row r="23">
          <cell r="A23" t="str">
            <v>0101132</v>
          </cell>
          <cell r="B23" t="str">
            <v>LIMON EN POLVO (SACO:25 KG)</v>
          </cell>
          <cell r="C23" t="str">
            <v>MATERIAS PRIMAS PLANTA</v>
          </cell>
          <cell r="D23" t="str">
            <v xml:space="preserve">1 SACO </v>
          </cell>
          <cell r="E23">
            <v>150000</v>
          </cell>
          <cell r="F23">
            <v>25000</v>
          </cell>
          <cell r="G23">
            <v>6</v>
          </cell>
          <cell r="H23" t="str">
            <v>Gramos</v>
          </cell>
        </row>
        <row r="24">
          <cell r="A24" t="str">
            <v>0101133</v>
          </cell>
          <cell r="B24" t="str">
            <v>LECHUGA MIX CUADRO # 2 (PAQ:500g)</v>
          </cell>
          <cell r="C24" t="str">
            <v>MATERIAS PRIMAS PLANTA</v>
          </cell>
          <cell r="D24" t="str">
            <v>1 PAQUETE</v>
          </cell>
          <cell r="E24">
            <v>1050</v>
          </cell>
          <cell r="F24">
            <v>500</v>
          </cell>
          <cell r="G24">
            <v>2.1</v>
          </cell>
        </row>
        <row r="25">
          <cell r="A25" t="str">
            <v>101150</v>
          </cell>
          <cell r="B25" t="str">
            <v>APIO PICADO (PAQ:500gr)</v>
          </cell>
          <cell r="C25" t="str">
            <v>MATERIAS PRIMAS PLANTA</v>
          </cell>
          <cell r="D25" t="str">
            <v>1 PAQUETE</v>
          </cell>
          <cell r="E25">
            <v>995</v>
          </cell>
          <cell r="F25">
            <v>500</v>
          </cell>
          <cell r="G25">
            <v>1.99</v>
          </cell>
          <cell r="H25" t="str">
            <v>Gramos</v>
          </cell>
        </row>
        <row r="26">
          <cell r="A26" t="str">
            <v>0101155</v>
          </cell>
          <cell r="B26" t="str">
            <v>PALMITO CRUDO KILO</v>
          </cell>
          <cell r="C26" t="str">
            <v>MATERIAS PRIMAS PLANTA</v>
          </cell>
          <cell r="D26" t="str">
            <v>1 KILO</v>
          </cell>
          <cell r="E26">
            <v>3250</v>
          </cell>
          <cell r="F26">
            <v>1000</v>
          </cell>
          <cell r="G26">
            <v>3.25</v>
          </cell>
          <cell r="H26" t="str">
            <v>Gramos</v>
          </cell>
        </row>
        <row r="27">
          <cell r="A27" t="str">
            <v>0101166</v>
          </cell>
          <cell r="B27" t="str">
            <v>PAPA PICADA (PAQ:1 KILO)</v>
          </cell>
          <cell r="C27" t="str">
            <v>MATERIAS PRIMAS PLANTA</v>
          </cell>
          <cell r="D27" t="str">
            <v>1 PAQUETE</v>
          </cell>
          <cell r="E27">
            <v>1650</v>
          </cell>
          <cell r="F27">
            <v>1000</v>
          </cell>
          <cell r="G27">
            <v>1.65</v>
          </cell>
          <cell r="H27" t="str">
            <v>Gramos</v>
          </cell>
        </row>
        <row r="28">
          <cell r="A28" t="str">
            <v>0101210</v>
          </cell>
          <cell r="B28" t="str">
            <v>TOMATE KILO</v>
          </cell>
          <cell r="C28" t="str">
            <v>MATERIAS PRIMAS PLANTA</v>
          </cell>
          <cell r="D28" t="str">
            <v>1 KILO</v>
          </cell>
          <cell r="E28">
            <v>805</v>
          </cell>
          <cell r="F28">
            <v>1000</v>
          </cell>
          <cell r="G28">
            <v>0.80500000000000005</v>
          </cell>
          <cell r="H28" t="str">
            <v>Gramos</v>
          </cell>
        </row>
        <row r="29">
          <cell r="A29" t="str">
            <v>0101236</v>
          </cell>
          <cell r="B29" t="str">
            <v>ZANAHORIA JULIANA (PAQ:1 KILO)</v>
          </cell>
          <cell r="C29" t="str">
            <v>MATERIAS PRIMAS PLANTA</v>
          </cell>
          <cell r="D29" t="str">
            <v>1 PAQUETE</v>
          </cell>
          <cell r="E29">
            <v>1841</v>
          </cell>
          <cell r="F29">
            <v>1000</v>
          </cell>
          <cell r="G29">
            <v>1.841</v>
          </cell>
        </row>
        <row r="30">
          <cell r="A30" t="str">
            <v>0101240</v>
          </cell>
          <cell r="B30" t="str">
            <v>ZANAHORIA ENTERA KILO</v>
          </cell>
          <cell r="C30" t="str">
            <v>MATERIAS PRIMAS PLANTA</v>
          </cell>
          <cell r="D30" t="str">
            <v>1 KILO</v>
          </cell>
          <cell r="E30">
            <v>615</v>
          </cell>
          <cell r="F30">
            <v>1000</v>
          </cell>
          <cell r="G30">
            <v>0.61499999999999999</v>
          </cell>
          <cell r="H30" t="str">
            <v>Gramos</v>
          </cell>
        </row>
        <row r="31">
          <cell r="A31" t="str">
            <v>0101241</v>
          </cell>
          <cell r="B31" t="str">
            <v>ZANAHORIA PICADA (PAQ:1 KILO)</v>
          </cell>
          <cell r="C31" t="str">
            <v>MATERIAS PRIMAS PLANTA</v>
          </cell>
          <cell r="D31" t="str">
            <v>1 PAQUETE</v>
          </cell>
          <cell r="E31">
            <v>1020</v>
          </cell>
          <cell r="F31">
            <v>1000</v>
          </cell>
          <cell r="G31">
            <v>1.02</v>
          </cell>
        </row>
        <row r="32">
          <cell r="A32" t="str">
            <v>0101248</v>
          </cell>
          <cell r="B32" t="str">
            <v>ZUQUINI KILO</v>
          </cell>
          <cell r="C32" t="str">
            <v>MATERIAS PRIMAS PLANTA</v>
          </cell>
          <cell r="D32" t="str">
            <v>1 KILO</v>
          </cell>
          <cell r="E32">
            <v>575</v>
          </cell>
          <cell r="F32">
            <v>1000</v>
          </cell>
          <cell r="G32">
            <v>0.57499999999999996</v>
          </cell>
          <cell r="H32" t="str">
            <v>Gramos</v>
          </cell>
        </row>
        <row r="33">
          <cell r="A33" t="str">
            <v>101260</v>
          </cell>
          <cell r="B33" t="str">
            <v>ALBAHACA KILO</v>
          </cell>
          <cell r="C33" t="str">
            <v>MATERIAS PRIMAS PLANTA</v>
          </cell>
          <cell r="D33" t="str">
            <v>1 KILO</v>
          </cell>
          <cell r="E33">
            <v>5620</v>
          </cell>
          <cell r="F33">
            <v>1000</v>
          </cell>
          <cell r="G33">
            <v>5.62</v>
          </cell>
          <cell r="H33" t="str">
            <v>Gramos</v>
          </cell>
        </row>
        <row r="34">
          <cell r="A34" t="str">
            <v>0110060</v>
          </cell>
          <cell r="B34" t="str">
            <v>PULPA DE TAMARINDO KILO</v>
          </cell>
          <cell r="C34" t="str">
            <v>MATERIAS PRIMAS PLANTA</v>
          </cell>
          <cell r="D34" t="str">
            <v>1 KILO</v>
          </cell>
          <cell r="E34">
            <v>2300</v>
          </cell>
          <cell r="F34">
            <v>1000</v>
          </cell>
          <cell r="G34">
            <v>2.2999999999999998</v>
          </cell>
          <cell r="H34" t="str">
            <v>Gramos</v>
          </cell>
        </row>
        <row r="35">
          <cell r="A35" t="str">
            <v>110080</v>
          </cell>
          <cell r="B35" t="str">
            <v>CEBOLLA MORADA KILO</v>
          </cell>
          <cell r="C35" t="str">
            <v>MATERIAS PRIMAS PLANTA</v>
          </cell>
          <cell r="D35" t="str">
            <v xml:space="preserve">1 KILO </v>
          </cell>
          <cell r="E35">
            <v>1500</v>
          </cell>
          <cell r="F35">
            <v>1000</v>
          </cell>
          <cell r="G35">
            <v>1.5</v>
          </cell>
          <cell r="H35" t="str">
            <v>Gramos</v>
          </cell>
        </row>
        <row r="36">
          <cell r="A36" t="str">
            <v>0110085</v>
          </cell>
          <cell r="B36" t="str">
            <v>PLATANO VERDE PICADO KILO</v>
          </cell>
          <cell r="C36" t="str">
            <v>MATERIAS PRIMAS PLANTA</v>
          </cell>
          <cell r="D36" t="str">
            <v>1 KILO</v>
          </cell>
          <cell r="E36">
            <v>1474</v>
          </cell>
          <cell r="F36">
            <v>1000</v>
          </cell>
          <cell r="G36">
            <v>1.474</v>
          </cell>
          <cell r="H36" t="str">
            <v>Gramos</v>
          </cell>
        </row>
        <row r="37">
          <cell r="A37" t="str">
            <v>0110086</v>
          </cell>
          <cell r="B37" t="str">
            <v>TOMILLO FRESCO ROLLO KILO</v>
          </cell>
          <cell r="C37" t="str">
            <v>MATERIAS PRIMAS PLANTA</v>
          </cell>
          <cell r="D37" t="str">
            <v>1 KILO</v>
          </cell>
          <cell r="E37">
            <v>5500</v>
          </cell>
          <cell r="F37">
            <v>1000</v>
          </cell>
          <cell r="G37">
            <v>5.5</v>
          </cell>
          <cell r="H37" t="str">
            <v>Gramos</v>
          </cell>
        </row>
        <row r="38">
          <cell r="A38" t="str">
            <v>121208</v>
          </cell>
          <cell r="B38" t="str">
            <v>QUEQUERA PLAST 12 CENT (CAJA:250UND)</v>
          </cell>
          <cell r="C38" t="str">
            <v>EMPAQUES PLANTA</v>
          </cell>
          <cell r="D38" t="str">
            <v>1 CAJA</v>
          </cell>
          <cell r="E38">
            <v>19182</v>
          </cell>
          <cell r="F38">
            <v>250</v>
          </cell>
          <cell r="G38">
            <v>76.727999999999994</v>
          </cell>
          <cell r="H38" t="str">
            <v>UND</v>
          </cell>
        </row>
        <row r="39">
          <cell r="A39" t="str">
            <v>121603</v>
          </cell>
          <cell r="B39" t="str">
            <v>QUEQUERA RED  BASE/DOMO 10 (CAJA:50)</v>
          </cell>
          <cell r="C39" t="str">
            <v>EMPAQUES PLANTA</v>
          </cell>
          <cell r="D39" t="str">
            <v>1 CAJA</v>
          </cell>
          <cell r="E39">
            <v>30074</v>
          </cell>
          <cell r="F39">
            <v>50</v>
          </cell>
          <cell r="G39">
            <v>601.48</v>
          </cell>
          <cell r="H39" t="str">
            <v>UND</v>
          </cell>
        </row>
        <row r="40">
          <cell r="A40" t="str">
            <v>176799</v>
          </cell>
          <cell r="B40" t="str">
            <v>ENELDO SECO (UND:141 G)</v>
          </cell>
          <cell r="C40" t="str">
            <v>MATERIAS PRIMAS PLANTA</v>
          </cell>
          <cell r="D40" t="str">
            <v>1 UND</v>
          </cell>
          <cell r="E40">
            <v>2053</v>
          </cell>
          <cell r="F40">
            <v>141</v>
          </cell>
          <cell r="G40">
            <v>14.560283687943262</v>
          </cell>
          <cell r="H40" t="str">
            <v>Gramos</v>
          </cell>
        </row>
        <row r="41">
          <cell r="A41" t="str">
            <v>0210047</v>
          </cell>
          <cell r="B41" t="str">
            <v xml:space="preserve">CHICHARON KILO </v>
          </cell>
          <cell r="C41" t="str">
            <v>MATERIAS PRIMAS PLANTA</v>
          </cell>
          <cell r="D41" t="str">
            <v>1 KILO</v>
          </cell>
          <cell r="E41">
            <v>7195</v>
          </cell>
          <cell r="F41">
            <v>1000</v>
          </cell>
          <cell r="G41">
            <v>7.1950000000000003</v>
          </cell>
          <cell r="H41" t="str">
            <v>Gramos</v>
          </cell>
        </row>
        <row r="42">
          <cell r="A42" t="str">
            <v>210060</v>
          </cell>
          <cell r="B42" t="str">
            <v>CHORIZO  CRIOLLO KILO</v>
          </cell>
          <cell r="C42" t="str">
            <v>MATERIAS PRIMAS PLANTA</v>
          </cell>
          <cell r="D42" t="str">
            <v>1 KILO</v>
          </cell>
          <cell r="E42">
            <v>2695</v>
          </cell>
          <cell r="F42">
            <v>1000</v>
          </cell>
          <cell r="G42">
            <v>2.6949999999999998</v>
          </cell>
          <cell r="H42" t="str">
            <v>Gramos</v>
          </cell>
        </row>
        <row r="43">
          <cell r="A43" t="str">
            <v>210069</v>
          </cell>
          <cell r="B43" t="str">
            <v>CARNE MOLIDA RES PREMIUM KILO</v>
          </cell>
          <cell r="C43" t="str">
            <v>MATERIAS PRIMAS PLANTA</v>
          </cell>
          <cell r="D43" t="str">
            <v>1 KILO</v>
          </cell>
          <cell r="E43">
            <v>3895</v>
          </cell>
          <cell r="F43">
            <v>1000</v>
          </cell>
          <cell r="G43">
            <v>3.895</v>
          </cell>
          <cell r="H43" t="str">
            <v>Gramos</v>
          </cell>
        </row>
        <row r="44">
          <cell r="A44" t="str">
            <v>0210076</v>
          </cell>
          <cell r="B44" t="str">
            <v>LOMITO DE CERDO KILO</v>
          </cell>
          <cell r="C44" t="str">
            <v>MATERIAS PRIMAS PLANTA</v>
          </cell>
          <cell r="D44" t="str">
            <v>1 KILO</v>
          </cell>
          <cell r="E44" t="e">
            <v>#N/A</v>
          </cell>
          <cell r="F44">
            <v>1000</v>
          </cell>
          <cell r="G44" t="e">
            <v>#N/A</v>
          </cell>
          <cell r="H44" t="str">
            <v>Gramos</v>
          </cell>
        </row>
        <row r="45">
          <cell r="A45" t="str">
            <v>0210093</v>
          </cell>
          <cell r="B45" t="str">
            <v>SALCHICHON KILO</v>
          </cell>
          <cell r="C45" t="str">
            <v>MATERIAS PRIMAS PLANTA</v>
          </cell>
          <cell r="D45" t="str">
            <v>1 KILO</v>
          </cell>
          <cell r="E45">
            <v>2695</v>
          </cell>
          <cell r="F45">
            <v>1000</v>
          </cell>
          <cell r="G45">
            <v>2.6949999999999998</v>
          </cell>
          <cell r="H45" t="str">
            <v>Gramos</v>
          </cell>
        </row>
        <row r="46">
          <cell r="A46" t="str">
            <v>0210096</v>
          </cell>
          <cell r="B46" t="str">
            <v>POSTA DE CERDO KILO</v>
          </cell>
          <cell r="C46" t="str">
            <v>MATERIAS PRIMAS PLANTA</v>
          </cell>
          <cell r="D46" t="str">
            <v>1 KILO</v>
          </cell>
          <cell r="E46">
            <v>3486</v>
          </cell>
          <cell r="F46">
            <v>1000</v>
          </cell>
          <cell r="G46">
            <v>3.4860000000000002</v>
          </cell>
          <cell r="H46" t="str">
            <v>Gramos</v>
          </cell>
        </row>
        <row r="47">
          <cell r="A47" t="str">
            <v>0210101</v>
          </cell>
          <cell r="B47" t="str">
            <v>BISTEK POPULAR (KILO)</v>
          </cell>
          <cell r="C47" t="str">
            <v>MATERIAS PRIMAS PLANTA</v>
          </cell>
          <cell r="D47" t="str">
            <v>1 KILO</v>
          </cell>
          <cell r="E47">
            <v>5295</v>
          </cell>
          <cell r="F47">
            <v>1000</v>
          </cell>
          <cell r="G47">
            <v>5.2949999999999999</v>
          </cell>
          <cell r="H47" t="str">
            <v>Gramos</v>
          </cell>
        </row>
        <row r="48">
          <cell r="A48" t="str">
            <v>0210104</v>
          </cell>
          <cell r="B48" t="str">
            <v>MANO PIEDRA KILO</v>
          </cell>
          <cell r="C48" t="str">
            <v>MATERIAS PRIMAS PLANTA</v>
          </cell>
          <cell r="D48" t="str">
            <v>1 KILO</v>
          </cell>
          <cell r="E48">
            <v>4695</v>
          </cell>
          <cell r="F48">
            <v>1000</v>
          </cell>
          <cell r="G48">
            <v>4.6950000000000003</v>
          </cell>
          <cell r="H48" t="str">
            <v>Gramos</v>
          </cell>
        </row>
        <row r="49">
          <cell r="A49" t="str">
            <v>210107</v>
          </cell>
          <cell r="B49" t="str">
            <v>BISTEC CERDO KILO</v>
          </cell>
          <cell r="C49" t="str">
            <v>MATERIAS PRIMAS PLANTA</v>
          </cell>
          <cell r="D49" t="str">
            <v>1 KILO</v>
          </cell>
          <cell r="E49">
            <v>3695</v>
          </cell>
          <cell r="F49">
            <v>1000</v>
          </cell>
          <cell r="G49">
            <v>3.6949999999999998</v>
          </cell>
          <cell r="H49" t="str">
            <v>Gramos</v>
          </cell>
        </row>
        <row r="50">
          <cell r="A50" t="str">
            <v>0210108</v>
          </cell>
          <cell r="B50" t="str">
            <v>CHULETA AHUMADA KILO</v>
          </cell>
          <cell r="C50" t="str">
            <v>MATERIAS PRIMAS PLANTA</v>
          </cell>
          <cell r="D50" t="str">
            <v>1 KILO</v>
          </cell>
          <cell r="E50" t="e">
            <v>#N/A</v>
          </cell>
          <cell r="F50">
            <v>1000</v>
          </cell>
          <cell r="G50" t="e">
            <v>#N/A</v>
          </cell>
          <cell r="H50" t="str">
            <v>Gramos</v>
          </cell>
        </row>
        <row r="51">
          <cell r="A51" t="str">
            <v>0212254</v>
          </cell>
          <cell r="B51" t="str">
            <v>MANTECA DE CERDO</v>
          </cell>
          <cell r="C51" t="str">
            <v>MATERIAS PRIMAS PLANTA</v>
          </cell>
          <cell r="D51" t="str">
            <v xml:space="preserve">1 KILO </v>
          </cell>
          <cell r="E51" t="e">
            <v>#N/A</v>
          </cell>
          <cell r="F51">
            <v>1000</v>
          </cell>
          <cell r="G51" t="e">
            <v>#N/A</v>
          </cell>
          <cell r="H51" t="str">
            <v>Gramos</v>
          </cell>
        </row>
        <row r="52">
          <cell r="A52" t="str">
            <v>0212275</v>
          </cell>
          <cell r="B52" t="str">
            <v>MORTADELA ESPECIAL 500 G</v>
          </cell>
          <cell r="C52" t="str">
            <v>MATERIAS PRIMAS PLANTA</v>
          </cell>
          <cell r="D52" t="str">
            <v>1 KILO</v>
          </cell>
          <cell r="E52">
            <v>2595</v>
          </cell>
          <cell r="F52" t="str">
            <v>500</v>
          </cell>
          <cell r="G52">
            <v>5.19</v>
          </cell>
          <cell r="H52" t="str">
            <v>Gramos</v>
          </cell>
        </row>
        <row r="53">
          <cell r="A53" t="str">
            <v>0310107</v>
          </cell>
          <cell r="B53" t="str">
            <v>LACTOCREMA GRANEL (CAJA:25 KG)</v>
          </cell>
          <cell r="C53" t="str">
            <v>MATERIAS PRIMAS PLANTA</v>
          </cell>
          <cell r="D53" t="str">
            <v>1 CAJA</v>
          </cell>
          <cell r="E53">
            <v>87333</v>
          </cell>
          <cell r="F53">
            <v>25000</v>
          </cell>
          <cell r="G53">
            <v>3.4933200000000002</v>
          </cell>
          <cell r="H53" t="str">
            <v>Gramos</v>
          </cell>
        </row>
        <row r="54">
          <cell r="A54" t="str">
            <v>0310112</v>
          </cell>
          <cell r="B54" t="str">
            <v>QUESO PRADO RICO REBANADO KILO</v>
          </cell>
          <cell r="C54" t="str">
            <v>MATERIAS PRIMAS PLANTA</v>
          </cell>
          <cell r="D54" t="str">
            <v>1 KILO</v>
          </cell>
          <cell r="E54">
            <v>6802.4589999999998</v>
          </cell>
          <cell r="F54">
            <v>1000</v>
          </cell>
          <cell r="G54">
            <v>6.8024589999999998</v>
          </cell>
          <cell r="H54" t="str">
            <v>Gramos</v>
          </cell>
        </row>
        <row r="55">
          <cell r="A55" t="str">
            <v>0310115</v>
          </cell>
          <cell r="B55" t="str">
            <v>QUESO CHEDDAR BLOCK (UND:2 kg)</v>
          </cell>
          <cell r="C55" t="str">
            <v>MATERIAS PRIMAS PLANTA</v>
          </cell>
          <cell r="D55" t="str">
            <v>1 UND</v>
          </cell>
          <cell r="E55">
            <v>19532</v>
          </cell>
          <cell r="F55">
            <v>2000</v>
          </cell>
          <cell r="G55">
            <v>9.766</v>
          </cell>
          <cell r="H55" t="str">
            <v>Gramos</v>
          </cell>
        </row>
        <row r="56">
          <cell r="A56" t="str">
            <v>0310116</v>
          </cell>
          <cell r="B56" t="str">
            <v>QUESO PARMERSANO (KILO)</v>
          </cell>
          <cell r="C56" t="str">
            <v>MATERIAS PRIMAS PLANTA</v>
          </cell>
          <cell r="D56" t="str">
            <v>1 KILO</v>
          </cell>
          <cell r="E56">
            <v>11305</v>
          </cell>
          <cell r="F56">
            <v>1000</v>
          </cell>
          <cell r="G56">
            <v>11.305</v>
          </cell>
          <cell r="H56" t="str">
            <v>Gramos</v>
          </cell>
        </row>
        <row r="57">
          <cell r="A57" t="str">
            <v>0310120</v>
          </cell>
          <cell r="B57" t="str">
            <v>QUESO RICOTTA (UND: KILO)</v>
          </cell>
          <cell r="C57" t="str">
            <v>MATERIAS PRIMAS PLANTA</v>
          </cell>
          <cell r="D57" t="str">
            <v>1 UND</v>
          </cell>
          <cell r="E57">
            <v>3677.1390000000001</v>
          </cell>
          <cell r="F57">
            <v>1000</v>
          </cell>
          <cell r="G57">
            <v>3.6771389999999999</v>
          </cell>
          <cell r="H57" t="str">
            <v>Gramos</v>
          </cell>
        </row>
        <row r="58">
          <cell r="A58" t="str">
            <v>0310145</v>
          </cell>
          <cell r="B58" t="str">
            <v>LECHE POLVO INDUSTRIAL (SACO:25 KG)</v>
          </cell>
          <cell r="C58" t="str">
            <v>MATERIAS PRIMAS PLANTA</v>
          </cell>
          <cell r="D58" t="str">
            <v>1 SACO</v>
          </cell>
          <cell r="E58">
            <v>90491</v>
          </cell>
          <cell r="F58">
            <v>25000</v>
          </cell>
          <cell r="G58">
            <v>3.61964</v>
          </cell>
          <cell r="H58" t="str">
            <v>Gramos</v>
          </cell>
        </row>
        <row r="59">
          <cell r="A59" t="str">
            <v>310148</v>
          </cell>
          <cell r="B59" t="str">
            <v>BETTERCREME SUPREMO (UND:4 K)</v>
          </cell>
          <cell r="C59" t="str">
            <v>MATERIAS PRIMAS PLANTA</v>
          </cell>
          <cell r="D59" t="str">
            <v>1 UND</v>
          </cell>
          <cell r="E59">
            <v>10016</v>
          </cell>
          <cell r="F59">
            <v>4000</v>
          </cell>
          <cell r="G59">
            <v>2.504</v>
          </cell>
          <cell r="H59" t="str">
            <v>Gramos</v>
          </cell>
        </row>
        <row r="60">
          <cell r="A60" t="str">
            <v>10100307</v>
          </cell>
          <cell r="B60" t="str">
            <v>TRES LECHES LA LECHERA (UND: 900 ML)</v>
          </cell>
          <cell r="C60" t="str">
            <v>MATERIAS PRIMAS PLANTA</v>
          </cell>
          <cell r="D60" t="str">
            <v>1 CAJA</v>
          </cell>
          <cell r="E60">
            <v>2072.5833305000001</v>
          </cell>
          <cell r="F60" t="str">
            <v>900</v>
          </cell>
          <cell r="G60">
            <v>2.3028703672222224</v>
          </cell>
          <cell r="H60" t="str">
            <v>Gramos</v>
          </cell>
        </row>
        <row r="61">
          <cell r="A61" t="str">
            <v>410118</v>
          </cell>
          <cell r="B61" t="str">
            <v>BRILLO GLIT (UND:5 KILOS)</v>
          </cell>
          <cell r="C61" t="str">
            <v>MATERIAS PRIMAS PLANTA</v>
          </cell>
          <cell r="D61" t="str">
            <v>1 UND</v>
          </cell>
          <cell r="E61">
            <v>19697.82</v>
          </cell>
          <cell r="F61">
            <v>5000</v>
          </cell>
          <cell r="G61">
            <v>3.9395639999999998</v>
          </cell>
        </row>
        <row r="62">
          <cell r="A62" t="str">
            <v>0410137</v>
          </cell>
          <cell r="B62" t="str">
            <v>JALEA FRESA (UND:5 K)</v>
          </cell>
          <cell r="C62" t="str">
            <v>MATERIAS PRIMAS PLANTA</v>
          </cell>
          <cell r="D62" t="str">
            <v>1 UND</v>
          </cell>
          <cell r="E62">
            <v>8339</v>
          </cell>
          <cell r="F62">
            <v>5000</v>
          </cell>
          <cell r="G62">
            <v>1.6677999999999999</v>
          </cell>
          <cell r="H62" t="str">
            <v>Gramos</v>
          </cell>
        </row>
        <row r="63">
          <cell r="A63" t="str">
            <v>0410151</v>
          </cell>
          <cell r="B63" t="str">
            <v>RELLENO FUDGE KILO</v>
          </cell>
          <cell r="C63" t="str">
            <v>MATERIAS PRIMAS PLANTA</v>
          </cell>
          <cell r="D63" t="str">
            <v>1 KILO</v>
          </cell>
          <cell r="E63" t="e">
            <v>#N/A</v>
          </cell>
          <cell r="F63">
            <v>1000</v>
          </cell>
          <cell r="G63" t="e">
            <v>#N/A</v>
          </cell>
          <cell r="H63" t="str">
            <v>Gramos</v>
          </cell>
        </row>
        <row r="64">
          <cell r="A64" t="str">
            <v>0410154</v>
          </cell>
          <cell r="B64" t="str">
            <v>RELLENO CARAMELO KILO</v>
          </cell>
          <cell r="C64" t="str">
            <v>MATERIAS PRIMAS PLANTA</v>
          </cell>
          <cell r="D64" t="str">
            <v>1 KILO</v>
          </cell>
          <cell r="E64" t="e">
            <v>#N/A</v>
          </cell>
          <cell r="F64">
            <v>1000</v>
          </cell>
          <cell r="G64" t="e">
            <v>#N/A</v>
          </cell>
          <cell r="H64" t="str">
            <v>Gramos</v>
          </cell>
        </row>
        <row r="65">
          <cell r="A65" t="str">
            <v>410174</v>
          </cell>
          <cell r="B65" t="str">
            <v>RELLENO PIÑA COLADA KILO</v>
          </cell>
          <cell r="C65" t="str">
            <v>MATERIAS PRIMAS PLANTA</v>
          </cell>
          <cell r="D65" t="str">
            <v>1 KILO</v>
          </cell>
          <cell r="E65">
            <v>2200</v>
          </cell>
          <cell r="F65">
            <v>1000</v>
          </cell>
          <cell r="G65">
            <v>2.2000000000000002</v>
          </cell>
          <cell r="H65" t="str">
            <v>Gramos</v>
          </cell>
        </row>
        <row r="66">
          <cell r="A66" t="str">
            <v>505605</v>
          </cell>
          <cell r="B66" t="str">
            <v>LECHE CONDENSADA NESTLE (UND:395 G)</v>
          </cell>
          <cell r="C66" t="str">
            <v>MATERIAS PRIMAS PLANTA</v>
          </cell>
          <cell r="D66" t="str">
            <v>1 UND</v>
          </cell>
          <cell r="E66">
            <v>968.01699999360005</v>
          </cell>
          <cell r="F66">
            <v>1</v>
          </cell>
          <cell r="G66">
            <v>968.01699999360005</v>
          </cell>
          <cell r="H66" t="str">
            <v>Und</v>
          </cell>
        </row>
        <row r="67">
          <cell r="A67" t="str">
            <v>0510051</v>
          </cell>
          <cell r="B67" t="str">
            <v>PASTAS DE HARINA AMARILLA (CAJA:9.52 KG)</v>
          </cell>
          <cell r="C67" t="str">
            <v>MATERIAS PRIMAS PLANTA</v>
          </cell>
          <cell r="D67" t="str">
            <v>1 CAJA</v>
          </cell>
          <cell r="E67" t="e">
            <v>#N/A</v>
          </cell>
          <cell r="F67">
            <v>9520</v>
          </cell>
          <cell r="G67" t="e">
            <v>#N/A</v>
          </cell>
          <cell r="H67" t="str">
            <v>Gramos</v>
          </cell>
        </row>
        <row r="68">
          <cell r="A68" t="str">
            <v>510100</v>
          </cell>
          <cell r="B68" t="str">
            <v>ARROZ PRECOCIDO MI SABOR(BULTO:15 K)</v>
          </cell>
          <cell r="C68" t="str">
            <v>MATERIAS PRIMAS PLANTA</v>
          </cell>
          <cell r="D68" t="str">
            <v>1 BULTO</v>
          </cell>
          <cell r="E68">
            <v>10515.04</v>
          </cell>
          <cell r="F68">
            <v>15000</v>
          </cell>
          <cell r="G68">
            <v>0.70100266666666677</v>
          </cell>
          <cell r="H68" t="str">
            <v>Gramos</v>
          </cell>
        </row>
        <row r="69">
          <cell r="A69" t="str">
            <v>0510107</v>
          </cell>
          <cell r="B69" t="str">
            <v>HARINA HARISOL WINTER (SACO:25 KG)</v>
          </cell>
          <cell r="C69" t="str">
            <v>MATERIAS PRIMAS PLANTA</v>
          </cell>
          <cell r="D69" t="str">
            <v>1 SACO</v>
          </cell>
          <cell r="E69">
            <v>14813.6</v>
          </cell>
          <cell r="F69">
            <v>25000</v>
          </cell>
          <cell r="G69">
            <v>0.59254399999999996</v>
          </cell>
          <cell r="H69" t="str">
            <v>Gramos</v>
          </cell>
        </row>
        <row r="70">
          <cell r="A70" t="str">
            <v>0510146</v>
          </cell>
          <cell r="B70" t="str">
            <v>AJONJOLI (PAQ:1 KILO)</v>
          </cell>
          <cell r="C70" t="str">
            <v>MATERIAS PRIMAS PLANTA</v>
          </cell>
          <cell r="D70" t="str">
            <v>1 PAQUETE</v>
          </cell>
          <cell r="E70">
            <v>3010.54</v>
          </cell>
          <cell r="F70">
            <v>1000</v>
          </cell>
          <cell r="G70">
            <v>3.0105399999999998</v>
          </cell>
          <cell r="H70" t="str">
            <v>Gramos</v>
          </cell>
        </row>
        <row r="71">
          <cell r="A71" t="str">
            <v>510148</v>
          </cell>
          <cell r="B71" t="str">
            <v>ALMENDRA FILETEADA (CAJA: 11,34KG)</v>
          </cell>
          <cell r="C71" t="str">
            <v>MATERIAS PRIMAS PLANTA</v>
          </cell>
          <cell r="D71" t="str">
            <v xml:space="preserve">1 CAJA </v>
          </cell>
          <cell r="E71">
            <v>60714.15</v>
          </cell>
          <cell r="F71">
            <v>11340</v>
          </cell>
          <cell r="G71">
            <v>5.3539814814814815</v>
          </cell>
          <cell r="H71" t="str">
            <v>Gramos</v>
          </cell>
        </row>
        <row r="72">
          <cell r="A72" t="str">
            <v>510149</v>
          </cell>
          <cell r="B72" t="str">
            <v>ALMENDRA ENTERA (CAJA:12 KG)</v>
          </cell>
          <cell r="C72" t="str">
            <v>MATERIAS PRIMAS PLANTA</v>
          </cell>
          <cell r="D72" t="str">
            <v xml:space="preserve">1 CAJA </v>
          </cell>
          <cell r="E72">
            <v>56016.9</v>
          </cell>
          <cell r="F72">
            <v>12000</v>
          </cell>
          <cell r="G72">
            <v>4.668075</v>
          </cell>
          <cell r="H72" t="str">
            <v>Gramos</v>
          </cell>
        </row>
        <row r="73">
          <cell r="A73" t="str">
            <v>510151</v>
          </cell>
          <cell r="B73" t="str">
            <v>ARROZ TIO PELON 96% (BULTO:12/1.8 K)</v>
          </cell>
          <cell r="C73" t="str">
            <v>MATERIAS PRIMAS PLANTA</v>
          </cell>
          <cell r="D73" t="str">
            <v>1 BULTO</v>
          </cell>
          <cell r="E73">
            <v>19766</v>
          </cell>
          <cell r="F73">
            <v>21600</v>
          </cell>
          <cell r="G73">
            <v>0.91509259259259257</v>
          </cell>
          <cell r="H73" t="str">
            <v>Gramos</v>
          </cell>
        </row>
        <row r="74">
          <cell r="A74" t="str">
            <v>510157</v>
          </cell>
          <cell r="B74" t="str">
            <v>AZUCAR MORENO (PAQ:2 K)</v>
          </cell>
          <cell r="C74" t="str">
            <v>MATERIAS PRIMAS PLANTA</v>
          </cell>
          <cell r="D74" t="str">
            <v>1 PAQUETE</v>
          </cell>
          <cell r="E74">
            <v>1587</v>
          </cell>
          <cell r="F74">
            <v>2000</v>
          </cell>
          <cell r="G74">
            <v>0.79349999999999998</v>
          </cell>
          <cell r="H74" t="str">
            <v>Gramos</v>
          </cell>
        </row>
        <row r="75">
          <cell r="A75" t="str">
            <v>510171</v>
          </cell>
          <cell r="B75" t="str">
            <v>CEREZA CONFITADA (CAJA:10 K)</v>
          </cell>
          <cell r="C75" t="str">
            <v>MATERIAS PRIMAS PLANTA</v>
          </cell>
          <cell r="D75" t="str">
            <v>1 CAJA</v>
          </cell>
          <cell r="E75">
            <v>48147</v>
          </cell>
          <cell r="F75">
            <v>10000</v>
          </cell>
          <cell r="G75">
            <v>4.8147000000000002</v>
          </cell>
          <cell r="H75" t="str">
            <v>Gramos</v>
          </cell>
        </row>
        <row r="76">
          <cell r="A76" t="str">
            <v>109000146</v>
          </cell>
          <cell r="B76" t="str">
            <v>CIRUELA (CAJA:10 Kg)</v>
          </cell>
          <cell r="C76" t="str">
            <v>MATERIAS PRIMAS PLANTA</v>
          </cell>
          <cell r="D76" t="str">
            <v>1 CAJA</v>
          </cell>
          <cell r="E76">
            <v>31066.68</v>
          </cell>
          <cell r="F76" t="str">
            <v>10000</v>
          </cell>
          <cell r="G76">
            <v>3.106668</v>
          </cell>
          <cell r="H76" t="str">
            <v>Gramos</v>
          </cell>
        </row>
        <row r="77">
          <cell r="A77" t="str">
            <v>510174</v>
          </cell>
          <cell r="B77" t="str">
            <v>COCO RALLADO (PAQ: 1 K)</v>
          </cell>
          <cell r="C77" t="str">
            <v>MATERIAS PRIMAS PLANTA</v>
          </cell>
          <cell r="D77" t="str">
            <v>1 PAQUETE</v>
          </cell>
          <cell r="E77">
            <v>3147.61</v>
          </cell>
          <cell r="F77">
            <v>1000</v>
          </cell>
          <cell r="G77">
            <v>3.1476100000000002</v>
          </cell>
          <cell r="H77" t="str">
            <v>Gramos</v>
          </cell>
        </row>
        <row r="78">
          <cell r="A78" t="str">
            <v>510179</v>
          </cell>
          <cell r="B78" t="str">
            <v>CONFITURA COLORES(PAQ:1 KILO)</v>
          </cell>
          <cell r="C78" t="str">
            <v>MATERIAS PRIMAS PLANTA</v>
          </cell>
          <cell r="D78" t="str">
            <v>1 PAQUETE</v>
          </cell>
          <cell r="E78">
            <v>6179.8</v>
          </cell>
          <cell r="F78">
            <v>1000</v>
          </cell>
          <cell r="G78">
            <v>6.1798000000000002</v>
          </cell>
        </row>
        <row r="79">
          <cell r="A79" t="str">
            <v>0510185</v>
          </cell>
          <cell r="B79" t="str">
            <v>FRUTA CONFITADA (CAJA:10 K)</v>
          </cell>
          <cell r="C79" t="str">
            <v>MATERIAS PRIMAS PLANTA</v>
          </cell>
          <cell r="D79" t="str">
            <v>1 CAJA</v>
          </cell>
          <cell r="E79" t="e">
            <v>#N/A</v>
          </cell>
          <cell r="F79">
            <v>10000</v>
          </cell>
          <cell r="G79" t="e">
            <v>#N/A</v>
          </cell>
        </row>
        <row r="80">
          <cell r="A80" t="str">
            <v>0510186</v>
          </cell>
          <cell r="B80" t="str">
            <v>GELATINA PURA  (PAQ:1 k)</v>
          </cell>
          <cell r="C80" t="str">
            <v>MATERIAS PRIMAS PLANTA</v>
          </cell>
          <cell r="D80" t="str">
            <v>1 PAQUETE</v>
          </cell>
          <cell r="E80">
            <v>12862</v>
          </cell>
          <cell r="F80">
            <v>1000</v>
          </cell>
          <cell r="G80">
            <v>12.862</v>
          </cell>
          <cell r="H80" t="str">
            <v>Gramos</v>
          </cell>
        </row>
        <row r="81">
          <cell r="A81" t="str">
            <v>0510188</v>
          </cell>
          <cell r="B81" t="str">
            <v>HARINA ESTANDAR  (SACO: 25 KG )</v>
          </cell>
          <cell r="C81" t="str">
            <v>MATERIAS PRIMAS PLANTA</v>
          </cell>
          <cell r="D81" t="str">
            <v>1 SACO</v>
          </cell>
          <cell r="E81">
            <v>15494.87</v>
          </cell>
          <cell r="F81">
            <v>25000</v>
          </cell>
          <cell r="G81">
            <v>0.61979479999999998</v>
          </cell>
          <cell r="H81" t="str">
            <v>Gramos</v>
          </cell>
        </row>
        <row r="82">
          <cell r="A82" t="str">
            <v>0510190</v>
          </cell>
          <cell r="B82" t="str">
            <v>HARINA GOLD MEDAL (Paq 25 K)</v>
          </cell>
          <cell r="C82" t="str">
            <v>MATERIAS PRIMAS PLANTA</v>
          </cell>
          <cell r="D82" t="str">
            <v>1 PAQUETE</v>
          </cell>
          <cell r="E82">
            <v>14598.68</v>
          </cell>
          <cell r="F82" t="str">
            <v>25000</v>
          </cell>
          <cell r="G82">
            <v>0.5839472</v>
          </cell>
          <cell r="H82" t="str">
            <v>Gramos</v>
          </cell>
        </row>
        <row r="83">
          <cell r="A83" t="str">
            <v>0510194</v>
          </cell>
          <cell r="B83" t="str">
            <v>MACADAMIA #8 (PAQ:800g)</v>
          </cell>
          <cell r="C83" t="str">
            <v>MATERIAS PRIMAS PLANTA</v>
          </cell>
          <cell r="D83" t="str">
            <v>1 PAQUETE</v>
          </cell>
          <cell r="E83">
            <v>11564.3</v>
          </cell>
          <cell r="F83">
            <v>800</v>
          </cell>
          <cell r="G83">
            <v>14.455374999999998</v>
          </cell>
          <cell r="H83" t="str">
            <v>Gramos</v>
          </cell>
        </row>
        <row r="84">
          <cell r="A84" t="str">
            <v>5105009</v>
          </cell>
          <cell r="B84" t="str">
            <v>PASAS (CAJA:10 K)</v>
          </cell>
          <cell r="C84" t="str">
            <v>MATERIAS PRIMAS PLANTA</v>
          </cell>
          <cell r="D84" t="str">
            <v xml:space="preserve">1 CAJA </v>
          </cell>
          <cell r="E84">
            <v>17116</v>
          </cell>
          <cell r="F84">
            <v>13600</v>
          </cell>
          <cell r="G84">
            <v>1.2585294117647059</v>
          </cell>
          <cell r="H84" t="str">
            <v>Gramos</v>
          </cell>
        </row>
        <row r="85">
          <cell r="A85" t="str">
            <v>510207</v>
          </cell>
          <cell r="B85" t="str">
            <v>FRIJOL BLANCO (PAQ:1KILO)</v>
          </cell>
          <cell r="C85" t="str">
            <v>MATERIAS PRIMAS PLANTA</v>
          </cell>
          <cell r="D85" t="str">
            <v>1 PAQUETE</v>
          </cell>
          <cell r="E85">
            <v>1400</v>
          </cell>
          <cell r="F85">
            <v>1000</v>
          </cell>
          <cell r="G85">
            <v>1.4</v>
          </cell>
        </row>
        <row r="86">
          <cell r="A86" t="str">
            <v>510215</v>
          </cell>
          <cell r="B86" t="str">
            <v xml:space="preserve">ALMIDON MODIFICADO (SACO:25 K) </v>
          </cell>
          <cell r="C86" t="str">
            <v>MATERIAS PRIMAS PLANTA</v>
          </cell>
          <cell r="D86" t="str">
            <v>1 SACO</v>
          </cell>
          <cell r="E86">
            <v>55014.7</v>
          </cell>
          <cell r="F86">
            <v>25000</v>
          </cell>
          <cell r="G86">
            <v>2.2005879999999998</v>
          </cell>
          <cell r="H86" t="str">
            <v>Gramos</v>
          </cell>
        </row>
        <row r="87">
          <cell r="A87" t="str">
            <v>0510240</v>
          </cell>
          <cell r="B87" t="str">
            <v>PREMEZCLA PILS. CHOCOLATE (SACO:22.68 K)</v>
          </cell>
          <cell r="C87" t="str">
            <v>MATERIAS PRIMAS PLANTA</v>
          </cell>
          <cell r="D87" t="str">
            <v>1 SACO</v>
          </cell>
          <cell r="E87">
            <v>47443</v>
          </cell>
          <cell r="F87">
            <v>22680</v>
          </cell>
          <cell r="G87">
            <v>2.0918430335097002</v>
          </cell>
          <cell r="H87" t="str">
            <v>Gramos</v>
          </cell>
        </row>
        <row r="88">
          <cell r="A88" t="str">
            <v>0510258</v>
          </cell>
          <cell r="B88" t="str">
            <v>PREMEZCLA MOIST PUDIN CAKE (SACO:25 K)</v>
          </cell>
          <cell r="C88" t="str">
            <v>MATERIAS PRIMAS PLANTA</v>
          </cell>
          <cell r="D88" t="str">
            <v>1 SACO</v>
          </cell>
          <cell r="E88">
            <v>42850.74</v>
          </cell>
          <cell r="F88">
            <v>25000</v>
          </cell>
          <cell r="G88">
            <v>1.7140295999999999</v>
          </cell>
          <cell r="H88" t="str">
            <v>Gramos</v>
          </cell>
        </row>
        <row r="89">
          <cell r="A89" t="str">
            <v>0510262</v>
          </cell>
          <cell r="B89" t="str">
            <v>PECANA ENTERA (CAJA:13.6 K)</v>
          </cell>
          <cell r="C89" t="str">
            <v>MATERIAS PRIMAS PLANTA</v>
          </cell>
          <cell r="D89" t="str">
            <v xml:space="preserve">1 CAJA </v>
          </cell>
          <cell r="E89">
            <v>126165</v>
          </cell>
          <cell r="F89">
            <v>13600</v>
          </cell>
          <cell r="G89">
            <v>9.2768382352941181</v>
          </cell>
          <cell r="H89" t="str">
            <v>Gramos</v>
          </cell>
        </row>
        <row r="90">
          <cell r="A90" t="str">
            <v>510268</v>
          </cell>
          <cell r="B90" t="str">
            <v>FRIJOL TIERNO (PAQ:1KILO)</v>
          </cell>
          <cell r="C90" t="str">
            <v>MATERIAS PRIMAS PLANTA</v>
          </cell>
          <cell r="D90" t="str">
            <v>1 PAQUETE</v>
          </cell>
          <cell r="E90">
            <v>1700</v>
          </cell>
          <cell r="F90">
            <v>1000</v>
          </cell>
          <cell r="G90">
            <v>1.7</v>
          </cell>
          <cell r="H90" t="str">
            <v>Gramos</v>
          </cell>
        </row>
        <row r="91">
          <cell r="A91" t="str">
            <v>510280</v>
          </cell>
          <cell r="B91" t="str">
            <v>EMULCON TM (SACO:20 K)</v>
          </cell>
          <cell r="C91" t="str">
            <v>MATERIAS PRIMAS PLANTA</v>
          </cell>
          <cell r="D91" t="str">
            <v>1 SACO</v>
          </cell>
          <cell r="E91">
            <v>120720</v>
          </cell>
          <cell r="F91">
            <v>20000</v>
          </cell>
          <cell r="G91">
            <v>6.0359999999999996</v>
          </cell>
          <cell r="H91" t="str">
            <v>Gramos</v>
          </cell>
        </row>
        <row r="92">
          <cell r="A92" t="str">
            <v>0510287</v>
          </cell>
          <cell r="B92" t="str">
            <v>PREMEZCLA TEGRAL CHIFON (SACO:10K)</v>
          </cell>
          <cell r="C92" t="str">
            <v>MATERIAS PRIMAS PLANTA</v>
          </cell>
          <cell r="D92" t="str">
            <v>1 SACO</v>
          </cell>
          <cell r="E92">
            <v>24258.036</v>
          </cell>
          <cell r="F92">
            <v>10000</v>
          </cell>
          <cell r="G92">
            <v>2.4258036000000001</v>
          </cell>
          <cell r="H92" t="str">
            <v>Gramos</v>
          </cell>
        </row>
        <row r="93">
          <cell r="A93" t="str">
            <v>0510294</v>
          </cell>
          <cell r="B93" t="str">
            <v>ANTIOXIDANTE ESPECIAL (KILO)</v>
          </cell>
          <cell r="C93" t="str">
            <v>MATERIAS PRIMAS PLANTA</v>
          </cell>
          <cell r="D93" t="str">
            <v xml:space="preserve">1 KILO </v>
          </cell>
          <cell r="E93">
            <v>5961</v>
          </cell>
          <cell r="F93">
            <v>1000</v>
          </cell>
          <cell r="G93">
            <v>5.9610000000000003</v>
          </cell>
          <cell r="H93" t="str">
            <v>Gramos</v>
          </cell>
        </row>
        <row r="94">
          <cell r="A94" t="str">
            <v>0510298</v>
          </cell>
          <cell r="B94" t="str">
            <v>PREMEZCLA TEGRAL BIZCO MELOC (PAQ:6K)</v>
          </cell>
          <cell r="C94" t="str">
            <v>MATERIAS PRIMAS PLANTA</v>
          </cell>
          <cell r="D94" t="str">
            <v>1 KILO</v>
          </cell>
          <cell r="E94">
            <v>1525</v>
          </cell>
          <cell r="F94">
            <v>1000</v>
          </cell>
          <cell r="G94">
            <v>1.5249999999999999</v>
          </cell>
          <cell r="H94" t="str">
            <v>Gramos</v>
          </cell>
        </row>
        <row r="95">
          <cell r="A95" t="str">
            <v>510301</v>
          </cell>
          <cell r="B95" t="str">
            <v>AZUCAR BLANCO INDUSTRIAL (SACO:50 K)</v>
          </cell>
          <cell r="C95" t="str">
            <v>MATERIAS PRIMAS PLANTA</v>
          </cell>
          <cell r="D95" t="str">
            <v>1 SACO</v>
          </cell>
          <cell r="E95">
            <v>21516</v>
          </cell>
          <cell r="F95">
            <v>50000</v>
          </cell>
          <cell r="G95">
            <v>0.43031999999999998</v>
          </cell>
          <cell r="H95" t="str">
            <v>Gramos</v>
          </cell>
        </row>
        <row r="96">
          <cell r="A96" t="str">
            <v>510302</v>
          </cell>
          <cell r="B96" t="str">
            <v>AZUCAR REFINO INDUSTRIAL (SACO:50 K)</v>
          </cell>
          <cell r="C96" t="str">
            <v>MATERIAS PRIMAS PLANTA</v>
          </cell>
          <cell r="D96" t="str">
            <v>1 SACO</v>
          </cell>
          <cell r="E96">
            <v>24196</v>
          </cell>
          <cell r="F96">
            <v>50000</v>
          </cell>
          <cell r="G96">
            <v>0.48392000000000002</v>
          </cell>
          <cell r="H96" t="str">
            <v>Gramos</v>
          </cell>
        </row>
        <row r="97">
          <cell r="A97" t="str">
            <v>0510304</v>
          </cell>
          <cell r="B97" t="str">
            <v>PREMEZCLA PASTEL SUPER ESPONJA</v>
          </cell>
          <cell r="C97" t="str">
            <v>MATERIAS PRIMAS PLANTA</v>
          </cell>
          <cell r="D97" t="str">
            <v>1 KILO</v>
          </cell>
          <cell r="E97">
            <v>2219.77</v>
          </cell>
          <cell r="F97">
            <v>1000</v>
          </cell>
          <cell r="G97">
            <v>2.21977</v>
          </cell>
          <cell r="H97" t="str">
            <v>Gramos</v>
          </cell>
        </row>
        <row r="98">
          <cell r="A98" t="str">
            <v>510414</v>
          </cell>
          <cell r="B98" t="str">
            <v>SNACK MIX PLATANO-YUCA (PAQ:500g)</v>
          </cell>
          <cell r="C98" t="str">
            <v>MATERIAS PRIMAS PLANTA</v>
          </cell>
          <cell r="D98" t="str">
            <v>1 PAQUETE</v>
          </cell>
          <cell r="E98">
            <v>1327.4333329999999</v>
          </cell>
          <cell r="F98">
            <v>500</v>
          </cell>
          <cell r="G98">
            <v>2.6548666659999998</v>
          </cell>
        </row>
        <row r="99">
          <cell r="A99" t="str">
            <v>0512255</v>
          </cell>
          <cell r="B99" t="str">
            <v>COCOA DUTCH PROCESS (SACO:25 KG)</v>
          </cell>
          <cell r="C99" t="str">
            <v>MATERIAS PRIMAS PLANTA</v>
          </cell>
          <cell r="D99" t="str">
            <v>1 SACO</v>
          </cell>
          <cell r="E99">
            <v>78690.19</v>
          </cell>
          <cell r="F99">
            <v>25000</v>
          </cell>
          <cell r="G99">
            <v>3.1476076000000002</v>
          </cell>
          <cell r="H99" t="str">
            <v>Gramos</v>
          </cell>
        </row>
        <row r="100">
          <cell r="A100" t="str">
            <v>512261</v>
          </cell>
          <cell r="B100" t="str">
            <v>ACIDO SORBICO (PAQ:2.5 K)</v>
          </cell>
          <cell r="C100" t="str">
            <v>MATERIAS PRIMAS PLANTA</v>
          </cell>
          <cell r="D100" t="str">
            <v>1 PAQUETE</v>
          </cell>
          <cell r="E100">
            <v>7383.92</v>
          </cell>
          <cell r="F100">
            <v>2500</v>
          </cell>
          <cell r="G100">
            <v>2.9535680000000002</v>
          </cell>
          <cell r="H100" t="str">
            <v>Gramos</v>
          </cell>
        </row>
        <row r="101">
          <cell r="A101" t="str">
            <v>0512262</v>
          </cell>
          <cell r="B101" t="str">
            <v>PROPIANATO CALCIO (PAQ:2.5 K)</v>
          </cell>
          <cell r="C101" t="str">
            <v>MATERIAS PRIMAS PLANTA</v>
          </cell>
          <cell r="D101" t="str">
            <v>1 PAQUETE</v>
          </cell>
          <cell r="E101">
            <v>3984.67</v>
          </cell>
          <cell r="F101">
            <v>2500</v>
          </cell>
          <cell r="G101">
            <v>1.5938680000000001</v>
          </cell>
          <cell r="H101" t="str">
            <v>Gramos</v>
          </cell>
        </row>
        <row r="102">
          <cell r="A102" t="str">
            <v>0512319</v>
          </cell>
          <cell r="B102" t="str">
            <v>PASTA AJO (PAQ: 1 KILO)</v>
          </cell>
          <cell r="C102" t="str">
            <v>MATERIAS PRIMAS PLANTA</v>
          </cell>
          <cell r="D102" t="str">
            <v xml:space="preserve">1 KILO </v>
          </cell>
          <cell r="E102">
            <v>4750</v>
          </cell>
          <cell r="F102">
            <v>1000</v>
          </cell>
          <cell r="G102">
            <v>4.75</v>
          </cell>
          <cell r="H102" t="str">
            <v>Gramos</v>
          </cell>
        </row>
        <row r="103">
          <cell r="A103" t="str">
            <v>0512334</v>
          </cell>
          <cell r="B103" t="str">
            <v>BENZOATO SODIO (PAQ:2.5 K)</v>
          </cell>
          <cell r="C103" t="str">
            <v>MATERIAS PRIMAS PLANTA</v>
          </cell>
          <cell r="D103" t="str">
            <v>1 PAQUETE</v>
          </cell>
          <cell r="E103">
            <v>4006</v>
          </cell>
          <cell r="F103">
            <v>2500</v>
          </cell>
          <cell r="G103">
            <v>1.6024</v>
          </cell>
          <cell r="H103" t="str">
            <v>Gramos</v>
          </cell>
        </row>
        <row r="104">
          <cell r="A104" t="str">
            <v>0610212</v>
          </cell>
          <cell r="B104" t="str">
            <v>JENGIBRE ENTERO KILO</v>
          </cell>
          <cell r="C104" t="str">
            <v>MATERIAS PRIMAS PLANTA</v>
          </cell>
          <cell r="D104" t="str">
            <v>1 KILO</v>
          </cell>
          <cell r="E104">
            <v>3060</v>
          </cell>
          <cell r="F104">
            <v>1000</v>
          </cell>
          <cell r="G104">
            <v>3.06</v>
          </cell>
          <cell r="H104" t="str">
            <v>Gramos</v>
          </cell>
        </row>
        <row r="105">
          <cell r="A105" t="str">
            <v>610218</v>
          </cell>
          <cell r="B105" t="str">
            <v>COMINO (UND:454G)</v>
          </cell>
          <cell r="C105" t="str">
            <v>MATERIAS PRIMAS PLANTA</v>
          </cell>
          <cell r="D105" t="str">
            <v>1 UND</v>
          </cell>
          <cell r="E105">
            <v>3045</v>
          </cell>
          <cell r="F105">
            <v>454</v>
          </cell>
          <cell r="G105">
            <v>6.7070484581497798</v>
          </cell>
          <cell r="H105" t="str">
            <v>Gramos</v>
          </cell>
        </row>
        <row r="106">
          <cell r="A106" t="str">
            <v>610220</v>
          </cell>
          <cell r="B106" t="str">
            <v>CONSOME POLLO ALSERRO (PAQ: 1 K)</v>
          </cell>
          <cell r="C106" t="str">
            <v>MATERIAS PRIMAS PLANTA</v>
          </cell>
          <cell r="D106" t="str">
            <v>1 PAQUETE</v>
          </cell>
          <cell r="E106">
            <v>2172</v>
          </cell>
          <cell r="F106">
            <v>1000</v>
          </cell>
          <cell r="G106">
            <v>2.1720000000000002</v>
          </cell>
          <cell r="H106" t="str">
            <v>Gramos</v>
          </cell>
        </row>
        <row r="107">
          <cell r="A107" t="str">
            <v>610223</v>
          </cell>
          <cell r="B107" t="str">
            <v>CREMA DE HONGOS (CAJA:12 UND)</v>
          </cell>
          <cell r="C107" t="str">
            <v>MATERIAS PRIMAS PLANTA</v>
          </cell>
          <cell r="D107" t="str">
            <v>1 CAJA</v>
          </cell>
          <cell r="E107">
            <v>6228.3072000000002</v>
          </cell>
          <cell r="F107">
            <v>780</v>
          </cell>
          <cell r="G107">
            <v>7.9850092307692311</v>
          </cell>
          <cell r="H107" t="str">
            <v>Gramos</v>
          </cell>
        </row>
        <row r="108">
          <cell r="A108" t="str">
            <v>0610236</v>
          </cell>
          <cell r="B108" t="str">
            <v>PIMIENTA NEGRA MOLIDA (PAQ: 5 K)</v>
          </cell>
          <cell r="C108" t="str">
            <v>MATERIAS PRIMAS PLANTA</v>
          </cell>
          <cell r="D108" t="str">
            <v>1 PAQUETE</v>
          </cell>
          <cell r="E108">
            <v>31886.85</v>
          </cell>
          <cell r="F108">
            <v>5000</v>
          </cell>
          <cell r="G108">
            <v>6.37737</v>
          </cell>
          <cell r="H108" t="str">
            <v>Gramos</v>
          </cell>
        </row>
        <row r="109">
          <cell r="A109" t="str">
            <v>11200081</v>
          </cell>
          <cell r="B109" t="str">
            <v xml:space="preserve">EASY QUEQUE CHOCOLATE SP 20% (SACO 25K) </v>
          </cell>
          <cell r="C109" t="str">
            <v>MATERIAS PRIMAS PLANTA</v>
          </cell>
          <cell r="D109" t="str">
            <v>1 SACO</v>
          </cell>
          <cell r="E109">
            <v>88000</v>
          </cell>
          <cell r="F109" t="str">
            <v>25000</v>
          </cell>
          <cell r="G109">
            <v>3.52</v>
          </cell>
          <cell r="H109" t="str">
            <v>Gramos</v>
          </cell>
        </row>
        <row r="110">
          <cell r="A110" t="str">
            <v>0610244</v>
          </cell>
          <cell r="B110" t="str">
            <v>JENGIBRE MOLIDO (UND:340g)</v>
          </cell>
          <cell r="C110" t="str">
            <v>MATERIAS PRIMAS PLANTA</v>
          </cell>
          <cell r="D110" t="str">
            <v>1 UND</v>
          </cell>
          <cell r="E110">
            <v>2882</v>
          </cell>
          <cell r="F110">
            <v>340</v>
          </cell>
          <cell r="G110">
            <v>8.4764705882352942</v>
          </cell>
          <cell r="H110" t="str">
            <v>Gramos</v>
          </cell>
        </row>
        <row r="111">
          <cell r="A111" t="str">
            <v>0610253</v>
          </cell>
          <cell r="B111" t="str">
            <v>SOPA OLLA CARNE MAGGI (CAJA:12 UND)</v>
          </cell>
          <cell r="C111" t="str">
            <v>MATERIAS PRIMAS PLANTA</v>
          </cell>
          <cell r="D111" t="str">
            <v>1 CAJA</v>
          </cell>
          <cell r="E111">
            <v>3963.9753599999999</v>
          </cell>
          <cell r="F111">
            <v>480</v>
          </cell>
          <cell r="G111">
            <v>8.2582819999999995</v>
          </cell>
          <cell r="H111" t="str">
            <v>Gramos</v>
          </cell>
        </row>
        <row r="112">
          <cell r="A112" t="str">
            <v>0610254</v>
          </cell>
          <cell r="B112" t="str">
            <v>PIMIENTA BLANCA  MOLIDA (PAQ:5 K)</v>
          </cell>
          <cell r="C112" t="str">
            <v>MATERIAS PRIMAS PLANTA</v>
          </cell>
          <cell r="D112" t="str">
            <v>1 PAQUETE</v>
          </cell>
          <cell r="E112">
            <v>57750</v>
          </cell>
          <cell r="F112">
            <v>5000</v>
          </cell>
          <cell r="G112">
            <v>11.55</v>
          </cell>
          <cell r="H112" t="str">
            <v>Gramos</v>
          </cell>
        </row>
        <row r="113">
          <cell r="A113" t="str">
            <v>0610256</v>
          </cell>
          <cell r="B113" t="str">
            <v>NUEZ MOSCADA MOLIDA (PAQ:3 K)</v>
          </cell>
          <cell r="C113" t="str">
            <v>MATERIAS PRIMAS PLANTA</v>
          </cell>
          <cell r="D113" t="str">
            <v>1 PAQUETE</v>
          </cell>
          <cell r="E113">
            <v>43990.32</v>
          </cell>
          <cell r="F113">
            <v>3000</v>
          </cell>
          <cell r="G113">
            <v>14.66344</v>
          </cell>
          <cell r="H113" t="str">
            <v>Gramos</v>
          </cell>
        </row>
        <row r="114">
          <cell r="A114" t="str">
            <v>701096</v>
          </cell>
          <cell r="B114" t="str">
            <v>ETIQUETA BLANCA R-153 (UND)</v>
          </cell>
          <cell r="C114" t="str">
            <v>ETIQUETAS PLANTA</v>
          </cell>
          <cell r="D114" t="str">
            <v>1 UND</v>
          </cell>
          <cell r="E114">
            <v>0.39</v>
          </cell>
          <cell r="F114">
            <v>1</v>
          </cell>
          <cell r="G114">
            <v>0.39</v>
          </cell>
          <cell r="H114" t="str">
            <v>Und</v>
          </cell>
        </row>
        <row r="115">
          <cell r="A115" t="str">
            <v>0702006</v>
          </cell>
          <cell r="B115" t="str">
            <v>ETIQ.FECHA VENCIMIENTO AMARILLO (ROLLO)</v>
          </cell>
          <cell r="C115" t="str">
            <v>ETIQUETAS PLANTA</v>
          </cell>
          <cell r="D115" t="str">
            <v>1 ROLLO</v>
          </cell>
          <cell r="E115">
            <v>325</v>
          </cell>
          <cell r="F115">
            <v>900</v>
          </cell>
          <cell r="G115">
            <v>0.3611111111111111</v>
          </cell>
          <cell r="H115" t="str">
            <v>Und</v>
          </cell>
        </row>
        <row r="116">
          <cell r="A116" t="str">
            <v>0702008</v>
          </cell>
          <cell r="B116" t="str">
            <v>ETIQ.FECHA VENCIMIENTO CELESTE (ROLLO)</v>
          </cell>
          <cell r="C116" t="str">
            <v>ETIQUETAS PLANTA</v>
          </cell>
          <cell r="D116" t="str">
            <v>1 ROLLO</v>
          </cell>
          <cell r="E116">
            <v>325</v>
          </cell>
          <cell r="F116">
            <v>900</v>
          </cell>
          <cell r="G116">
            <v>0.3611111111111111</v>
          </cell>
          <cell r="H116" t="str">
            <v>Und</v>
          </cell>
        </row>
        <row r="117">
          <cell r="A117" t="str">
            <v>0702009</v>
          </cell>
          <cell r="B117" t="str">
            <v>ETIQ.FECHA VENCIMIENTO NARANJA (ROLLO)</v>
          </cell>
          <cell r="C117" t="str">
            <v>ETIQUETAS PLANTA</v>
          </cell>
          <cell r="D117" t="str">
            <v>1 ROLLO</v>
          </cell>
          <cell r="E117">
            <v>325</v>
          </cell>
          <cell r="F117">
            <v>900</v>
          </cell>
          <cell r="G117">
            <v>0.3611111111111111</v>
          </cell>
          <cell r="H117" t="str">
            <v>Und</v>
          </cell>
        </row>
        <row r="118">
          <cell r="A118" t="str">
            <v>0702010</v>
          </cell>
          <cell r="B118" t="str">
            <v>ETIQ.FECHA VENCIMIENTO ROJO (ROLLO)</v>
          </cell>
          <cell r="C118" t="str">
            <v>ETIQUETAS PLANTA</v>
          </cell>
          <cell r="D118" t="str">
            <v>1 ROLLO</v>
          </cell>
          <cell r="E118">
            <v>325</v>
          </cell>
          <cell r="F118">
            <v>900</v>
          </cell>
          <cell r="G118">
            <v>0.3611111111111111</v>
          </cell>
          <cell r="H118" t="str">
            <v>Und</v>
          </cell>
        </row>
        <row r="119">
          <cell r="A119" t="str">
            <v>0702011</v>
          </cell>
          <cell r="B119" t="str">
            <v>ETIQ.FECHA VENCIMIENTO ROSADO (ROLLO)</v>
          </cell>
          <cell r="C119" t="str">
            <v>ETIQUETAS PLANTA</v>
          </cell>
          <cell r="D119" t="str">
            <v>1 ROLLO</v>
          </cell>
          <cell r="E119">
            <v>325</v>
          </cell>
          <cell r="F119">
            <v>900</v>
          </cell>
          <cell r="G119">
            <v>0.3611111111111111</v>
          </cell>
          <cell r="H119" t="str">
            <v>Und</v>
          </cell>
        </row>
        <row r="120">
          <cell r="A120" t="str">
            <v>0702012</v>
          </cell>
          <cell r="B120" t="str">
            <v>ETIQ.FECHA VENCIMIENTO VERDE (ROLLO)</v>
          </cell>
          <cell r="C120" t="str">
            <v>ETIQUETAS PLANTA</v>
          </cell>
          <cell r="D120" t="str">
            <v>1 ROLLO</v>
          </cell>
          <cell r="E120">
            <v>325</v>
          </cell>
          <cell r="F120">
            <v>900</v>
          </cell>
          <cell r="G120">
            <v>0.3611111111111111</v>
          </cell>
          <cell r="H120" t="str">
            <v>Und</v>
          </cell>
        </row>
        <row r="121">
          <cell r="A121" t="str">
            <v>0702030</v>
          </cell>
          <cell r="B121" t="str">
            <v>ETIQ PRODUCCION BLANCO (ROLLO)</v>
          </cell>
          <cell r="C121" t="str">
            <v>ETIQUETAS PLANTA</v>
          </cell>
          <cell r="D121" t="str">
            <v>1 ROLLO</v>
          </cell>
          <cell r="E121">
            <v>325</v>
          </cell>
          <cell r="F121">
            <v>900</v>
          </cell>
          <cell r="G121">
            <v>0.3611111111111111</v>
          </cell>
          <cell r="H121" t="str">
            <v>Und</v>
          </cell>
        </row>
        <row r="122">
          <cell r="A122" t="str">
            <v>0702053</v>
          </cell>
          <cell r="B122" t="str">
            <v>STICKER REDONDO AMARILLO (ROLLO)</v>
          </cell>
          <cell r="C122" t="str">
            <v>ETIQUETAS PLANTA</v>
          </cell>
          <cell r="D122" t="str">
            <v>1 ROLLO</v>
          </cell>
          <cell r="E122">
            <v>315</v>
          </cell>
          <cell r="F122">
            <v>900</v>
          </cell>
          <cell r="G122">
            <v>0.35</v>
          </cell>
        </row>
        <row r="123">
          <cell r="A123" t="str">
            <v>0702056</v>
          </cell>
          <cell r="B123" t="str">
            <v>STICKER REDONDO CELESTE (ROLLO)</v>
          </cell>
          <cell r="C123" t="str">
            <v>ETIQUETAS PLANTA</v>
          </cell>
          <cell r="D123" t="str">
            <v>1 ROLLO</v>
          </cell>
          <cell r="E123">
            <v>315</v>
          </cell>
          <cell r="F123">
            <v>900</v>
          </cell>
          <cell r="G123">
            <v>0.35</v>
          </cell>
        </row>
        <row r="124">
          <cell r="A124" t="str">
            <v>0702057</v>
          </cell>
          <cell r="B124" t="str">
            <v>STICKER REDONDO NARANJA (ROLLO)</v>
          </cell>
          <cell r="C124" t="str">
            <v>ETIQUETAS PLANTA</v>
          </cell>
          <cell r="D124" t="str">
            <v>1 ROLLO</v>
          </cell>
          <cell r="E124">
            <v>315</v>
          </cell>
          <cell r="F124">
            <v>900</v>
          </cell>
          <cell r="G124">
            <v>0.35</v>
          </cell>
        </row>
        <row r="125">
          <cell r="A125" t="str">
            <v>0702058</v>
          </cell>
          <cell r="B125" t="str">
            <v>STICKER REDONDO ROJO (ROLLO)</v>
          </cell>
          <cell r="C125" t="str">
            <v>ETIQUETAS PLANTA</v>
          </cell>
          <cell r="D125" t="str">
            <v>1 ROLLO</v>
          </cell>
          <cell r="E125">
            <v>315</v>
          </cell>
          <cell r="F125">
            <v>900</v>
          </cell>
          <cell r="G125">
            <v>0.35</v>
          </cell>
        </row>
        <row r="126">
          <cell r="A126" t="str">
            <v>0702059</v>
          </cell>
          <cell r="B126" t="str">
            <v>STICKER REDONDO ROSADO (ROLLO)</v>
          </cell>
          <cell r="C126" t="str">
            <v>ETIQUETAS PLANTA</v>
          </cell>
          <cell r="D126" t="str">
            <v>1 ROLLO</v>
          </cell>
          <cell r="E126">
            <v>315</v>
          </cell>
          <cell r="F126">
            <v>900</v>
          </cell>
          <cell r="G126">
            <v>0.35</v>
          </cell>
        </row>
        <row r="127">
          <cell r="A127" t="str">
            <v>0702067</v>
          </cell>
          <cell r="B127" t="str">
            <v>ETIQ.BLANCA 1 13/16 * 1 7/8 (UND)</v>
          </cell>
          <cell r="C127" t="str">
            <v>ETIQUETAS PLANTA</v>
          </cell>
          <cell r="D127" t="str">
            <v>1 UND</v>
          </cell>
          <cell r="E127">
            <v>1.7949999999999999</v>
          </cell>
          <cell r="F127">
            <v>1</v>
          </cell>
          <cell r="G127">
            <v>1.7949999999999999</v>
          </cell>
          <cell r="H127" t="str">
            <v>Und</v>
          </cell>
        </row>
        <row r="128">
          <cell r="A128" t="str">
            <v>0702069</v>
          </cell>
          <cell r="B128" t="str">
            <v>ETIQ.BLANCA 1 1/4 * 3/4 (UND)</v>
          </cell>
          <cell r="C128" t="str">
            <v>ETIQUETAS PLANTA</v>
          </cell>
          <cell r="D128" t="str">
            <v>1 UND</v>
          </cell>
          <cell r="E128">
            <v>0.57999999999999996</v>
          </cell>
          <cell r="F128">
            <v>1</v>
          </cell>
          <cell r="G128">
            <v>0.57999999999999996</v>
          </cell>
          <cell r="H128" t="str">
            <v>Und</v>
          </cell>
        </row>
        <row r="129">
          <cell r="A129" t="str">
            <v>0702072</v>
          </cell>
          <cell r="B129" t="str">
            <v>ETIQ.BLANCA 3X3 (UND)</v>
          </cell>
          <cell r="C129" t="str">
            <v>ETIQUETAS PLANTA</v>
          </cell>
          <cell r="D129" t="str">
            <v>1 UND</v>
          </cell>
          <cell r="E129">
            <v>13</v>
          </cell>
          <cell r="F129">
            <v>1</v>
          </cell>
          <cell r="G129">
            <v>13</v>
          </cell>
          <cell r="H129" t="str">
            <v>Und</v>
          </cell>
        </row>
        <row r="130">
          <cell r="A130" t="str">
            <v>0702077</v>
          </cell>
          <cell r="B130" t="str">
            <v>ETIQ. GENERICA PEQUEÑA V-274 (UND)</v>
          </cell>
          <cell r="C130" t="str">
            <v>ETIQUETAS PLANTA</v>
          </cell>
          <cell r="D130" t="str">
            <v>1 UND</v>
          </cell>
          <cell r="E130">
            <v>13.45</v>
          </cell>
          <cell r="F130">
            <v>1</v>
          </cell>
          <cell r="G130">
            <v>13.45</v>
          </cell>
          <cell r="H130" t="str">
            <v>Und</v>
          </cell>
        </row>
        <row r="131">
          <cell r="A131" t="str">
            <v>0702087</v>
          </cell>
          <cell r="B131" t="str">
            <v>ET.  BUCCA DULCE (UND)</v>
          </cell>
          <cell r="C131" t="str">
            <v>ETIQUETAS PLANTA</v>
          </cell>
          <cell r="D131" t="str">
            <v>1 UND</v>
          </cell>
          <cell r="E131">
            <v>5</v>
          </cell>
          <cell r="F131">
            <v>1</v>
          </cell>
          <cell r="G131">
            <v>5</v>
          </cell>
          <cell r="H131" t="str">
            <v>Und</v>
          </cell>
        </row>
        <row r="132">
          <cell r="A132" t="str">
            <v>0702123</v>
          </cell>
          <cell r="B132" t="str">
            <v>ETIQUETA BLANCA 2 5/8X1 15/16 (UND)</v>
          </cell>
          <cell r="C132" t="str">
            <v>ETIQUETAS PLANTA</v>
          </cell>
          <cell r="D132" t="str">
            <v>1 UND</v>
          </cell>
          <cell r="E132">
            <v>2.1280000000000001</v>
          </cell>
          <cell r="F132">
            <v>1</v>
          </cell>
          <cell r="G132">
            <v>2.1280000000000001</v>
          </cell>
          <cell r="H132" t="str">
            <v>Und</v>
          </cell>
        </row>
        <row r="133">
          <cell r="A133" t="str">
            <v>0702147</v>
          </cell>
          <cell r="B133" t="str">
            <v>ETIQUETA LIVIANO GENERICA GRD (UND)</v>
          </cell>
          <cell r="C133" t="str">
            <v>ETIQUETAS PLANTA</v>
          </cell>
          <cell r="D133" t="str">
            <v>1 UND</v>
          </cell>
          <cell r="E133">
            <v>125</v>
          </cell>
          <cell r="F133">
            <v>1</v>
          </cell>
          <cell r="G133">
            <v>125</v>
          </cell>
        </row>
        <row r="134">
          <cell r="A134" t="str">
            <v>0702155</v>
          </cell>
          <cell r="B134" t="str">
            <v>ETIQUETA BLANCA VENCE (ROLLO:1000 UND)</v>
          </cell>
          <cell r="C134" t="str">
            <v>ETIQUETAS PLANTA</v>
          </cell>
          <cell r="D134" t="str">
            <v>1 ROLLO</v>
          </cell>
          <cell r="E134">
            <v>595</v>
          </cell>
          <cell r="F134">
            <v>1000</v>
          </cell>
          <cell r="G134">
            <v>0.59499999999999997</v>
          </cell>
        </row>
        <row r="135">
          <cell r="A135" t="str">
            <v>0702167</v>
          </cell>
          <cell r="B135" t="str">
            <v>ETIQUETA D-31 TORTA BAILEYS (ROLLO)</v>
          </cell>
          <cell r="C135" t="str">
            <v>ETIQUETAS PLANTA</v>
          </cell>
          <cell r="D135" t="str">
            <v>1 ROLLO</v>
          </cell>
          <cell r="E135">
            <v>37500</v>
          </cell>
          <cell r="F135">
            <v>1000</v>
          </cell>
          <cell r="G135">
            <v>37.5</v>
          </cell>
          <cell r="H135" t="str">
            <v>und</v>
          </cell>
        </row>
        <row r="136">
          <cell r="A136" t="str">
            <v>0702169</v>
          </cell>
          <cell r="B136" t="str">
            <v>CARTULINA KRAFT 2.5 X 31 -8 (UND)</v>
          </cell>
          <cell r="C136" t="str">
            <v>EMPAQUES PLANTA</v>
          </cell>
          <cell r="D136" t="str">
            <v>1 UND</v>
          </cell>
          <cell r="E136">
            <v>19.809999999999999</v>
          </cell>
          <cell r="F136">
            <v>1</v>
          </cell>
          <cell r="G136">
            <v>19.809999999999999</v>
          </cell>
        </row>
        <row r="137">
          <cell r="A137" t="str">
            <v>702174</v>
          </cell>
          <cell r="B137" t="str">
            <v>ETIQUETA SELLO SEGURIDAD (ROLLO:1000)</v>
          </cell>
          <cell r="C137" t="str">
            <v>ETIQUETAS PLANTA</v>
          </cell>
          <cell r="D137" t="str">
            <v>1 ROLLO</v>
          </cell>
          <cell r="E137">
            <v>6000</v>
          </cell>
          <cell r="F137">
            <v>1000</v>
          </cell>
          <cell r="G137">
            <v>6</v>
          </cell>
          <cell r="H137" t="str">
            <v>Und</v>
          </cell>
        </row>
        <row r="138">
          <cell r="A138" t="str">
            <v>702175</v>
          </cell>
          <cell r="B138" t="str">
            <v>ETIQUETA IMPRES SPOON GRANDE V-272 (UND)</v>
          </cell>
          <cell r="C138" t="str">
            <v>ETIQUETAS PLANTA</v>
          </cell>
          <cell r="D138" t="str">
            <v>1 UND</v>
          </cell>
          <cell r="E138">
            <v>52.37</v>
          </cell>
          <cell r="F138">
            <v>1</v>
          </cell>
          <cell r="G138">
            <v>52.37</v>
          </cell>
          <cell r="H138" t="str">
            <v>Und</v>
          </cell>
        </row>
        <row r="139">
          <cell r="A139" t="str">
            <v>702182</v>
          </cell>
          <cell r="B139" t="str">
            <v>ETIQUETA IMP. SPOON MEDIANA V-273 (UND)</v>
          </cell>
          <cell r="C139" t="str">
            <v>ETIQUETAS PLANTA</v>
          </cell>
          <cell r="D139" t="str">
            <v>1 UND</v>
          </cell>
          <cell r="E139">
            <v>35.9</v>
          </cell>
          <cell r="F139">
            <v>1</v>
          </cell>
          <cell r="G139">
            <v>35.9</v>
          </cell>
          <cell r="H139" t="str">
            <v>Und</v>
          </cell>
        </row>
        <row r="140">
          <cell r="A140" t="str">
            <v>51400047</v>
          </cell>
          <cell r="B140" t="str">
            <v>QUEQUERA MINI CAKE (CAJA:100 UND)</v>
          </cell>
          <cell r="C140" t="str">
            <v>EMPAQUES PLANTA</v>
          </cell>
          <cell r="D140" t="str">
            <v>1 UND</v>
          </cell>
          <cell r="E140">
            <v>12900</v>
          </cell>
          <cell r="F140" t="str">
            <v>100</v>
          </cell>
          <cell r="G140">
            <v>129</v>
          </cell>
          <cell r="H140" t="str">
            <v>Und</v>
          </cell>
        </row>
        <row r="141">
          <cell r="A141" t="str">
            <v>703020</v>
          </cell>
          <cell r="B141" t="str">
            <v>CINTA ADHESIVA TRANSPARENT 2*100 M (UND)</v>
          </cell>
          <cell r="C141" t="str">
            <v>EMPAQUES PLANTA</v>
          </cell>
          <cell r="D141" t="str">
            <v>1 UND</v>
          </cell>
          <cell r="E141">
            <v>1750</v>
          </cell>
          <cell r="F141">
            <v>10000</v>
          </cell>
          <cell r="G141">
            <v>0.17499999999999999</v>
          </cell>
          <cell r="H141" t="str">
            <v>Cm</v>
          </cell>
        </row>
        <row r="142">
          <cell r="A142" t="str">
            <v>0710261</v>
          </cell>
          <cell r="B142" t="str">
            <v>PAN CUADRADO BLANCO (PAQ=22 REBANADAS )</v>
          </cell>
          <cell r="C142" t="str">
            <v>MATERIAS PRIMAS PLANTA</v>
          </cell>
          <cell r="D142" t="str">
            <v>1 PAQUETE</v>
          </cell>
          <cell r="E142">
            <v>1091.8</v>
          </cell>
          <cell r="F142">
            <v>790</v>
          </cell>
          <cell r="G142">
            <v>1.3820253164556962</v>
          </cell>
          <cell r="H142" t="str">
            <v>Gramos</v>
          </cell>
        </row>
        <row r="143">
          <cell r="A143" t="str">
            <v>0710262</v>
          </cell>
          <cell r="B143" t="str">
            <v>PAN MOLIDO (PAQ:5 K)</v>
          </cell>
          <cell r="C143" t="str">
            <v>MATERIAS PRIMAS PLANTA</v>
          </cell>
          <cell r="D143" t="str">
            <v>1 PAQUETE</v>
          </cell>
          <cell r="E143">
            <v>8152.9139999999998</v>
          </cell>
          <cell r="F143">
            <v>5000</v>
          </cell>
          <cell r="G143">
            <v>1.6305828</v>
          </cell>
          <cell r="H143" t="str">
            <v>Gramos</v>
          </cell>
        </row>
        <row r="144">
          <cell r="A144" t="str">
            <v>0710282</v>
          </cell>
          <cell r="B144" t="str">
            <v>GALLETA POZUELO ENTERA KILO</v>
          </cell>
          <cell r="C144" t="str">
            <v>MATERIAS PRIMAS PLANTA</v>
          </cell>
          <cell r="D144" t="str">
            <v>1 KILO</v>
          </cell>
          <cell r="E144">
            <v>2210</v>
          </cell>
          <cell r="F144">
            <v>1000</v>
          </cell>
          <cell r="G144">
            <v>2.21</v>
          </cell>
          <cell r="H144" t="str">
            <v>Gramos</v>
          </cell>
        </row>
        <row r="145">
          <cell r="A145" t="str">
            <v>0710290</v>
          </cell>
          <cell r="B145" t="str">
            <v>PAPEL DE ARROZ (PAQ:36 UND)</v>
          </cell>
          <cell r="C145" t="str">
            <v>MATERIAS PRIMAS PLANTA</v>
          </cell>
          <cell r="D145" t="str">
            <v>1 PAQUETE</v>
          </cell>
          <cell r="E145">
            <v>2180.4</v>
          </cell>
          <cell r="F145">
            <v>36</v>
          </cell>
          <cell r="G145">
            <v>60.56666666666667</v>
          </cell>
        </row>
        <row r="146">
          <cell r="A146" t="str">
            <v>710295</v>
          </cell>
          <cell r="B146" t="str">
            <v>BARQUILLO VETEAD CHOCOLAT (CAJA:420 UND)</v>
          </cell>
          <cell r="C146" t="str">
            <v>MATERIAS PRIMAS PLANTA</v>
          </cell>
          <cell r="D146" t="str">
            <v xml:space="preserve">1 CAJA </v>
          </cell>
          <cell r="E146" t="e">
            <v>#N/A</v>
          </cell>
          <cell r="F146">
            <v>420</v>
          </cell>
          <cell r="G146" t="e">
            <v>#N/A</v>
          </cell>
          <cell r="H146" t="str">
            <v>Und</v>
          </cell>
        </row>
        <row r="147">
          <cell r="A147" t="str">
            <v>720761</v>
          </cell>
          <cell r="B147" t="str">
            <v>RELLENO MANZANA CUBITOS (UND:19 LB)</v>
          </cell>
          <cell r="C147" t="str">
            <v>MATERIAS PRIMAS PLANTA</v>
          </cell>
          <cell r="D147" t="str">
            <v>1 UND</v>
          </cell>
          <cell r="E147" t="e">
            <v>#N/A</v>
          </cell>
          <cell r="F147">
            <v>8.61</v>
          </cell>
          <cell r="G147" t="e">
            <v>#N/A</v>
          </cell>
        </row>
        <row r="148">
          <cell r="A148" t="str">
            <v>0810288</v>
          </cell>
          <cell r="B148" t="str">
            <v>JUGO DE NARANJA TB (CAJA:12 UND)</v>
          </cell>
          <cell r="C148" t="str">
            <v>MATERIAS PRIMAS PLANTA</v>
          </cell>
          <cell r="D148" t="str">
            <v>1 CAJA</v>
          </cell>
          <cell r="E148">
            <v>8658.9599999999991</v>
          </cell>
          <cell r="F148">
            <v>12000</v>
          </cell>
          <cell r="G148">
            <v>0.72157999999999989</v>
          </cell>
          <cell r="H148" t="str">
            <v>Mililitros</v>
          </cell>
        </row>
        <row r="149">
          <cell r="A149" t="str">
            <v>0906036</v>
          </cell>
          <cell r="B149" t="str">
            <v>PAPEL MANTEQUILLA (CAJA= 1000 UND)</v>
          </cell>
          <cell r="C149" t="str">
            <v>EMPAQUES PLANTA</v>
          </cell>
          <cell r="D149" t="str">
            <v>1 CAJA</v>
          </cell>
          <cell r="E149">
            <v>43500</v>
          </cell>
          <cell r="F149">
            <v>1000</v>
          </cell>
          <cell r="G149">
            <v>43.5</v>
          </cell>
          <cell r="H149" t="str">
            <v>Und</v>
          </cell>
        </row>
        <row r="150">
          <cell r="A150" t="str">
            <v>906288</v>
          </cell>
          <cell r="B150" t="str">
            <v>CILINDRO CHANTILLY (CAJA=10UND)</v>
          </cell>
          <cell r="C150" t="str">
            <v>MATERIAS PRIMAS PLANTA</v>
          </cell>
          <cell r="D150" t="str">
            <v>1 CAJA</v>
          </cell>
          <cell r="E150" t="e">
            <v>#N/A</v>
          </cell>
          <cell r="F150">
            <v>10</v>
          </cell>
          <cell r="G150" t="e">
            <v>#N/A</v>
          </cell>
        </row>
        <row r="151">
          <cell r="A151" t="str">
            <v>910311</v>
          </cell>
          <cell r="B151" t="str">
            <v>ACEITE DE OLIVA PLAST (UND:5 L)</v>
          </cell>
          <cell r="C151" t="str">
            <v>MATERIAS PRIMAS PLANTA</v>
          </cell>
          <cell r="D151" t="str">
            <v>1 UND</v>
          </cell>
          <cell r="E151">
            <v>13500</v>
          </cell>
          <cell r="F151">
            <v>5000</v>
          </cell>
          <cell r="G151">
            <v>2.7</v>
          </cell>
          <cell r="H151" t="str">
            <v>Mililitros</v>
          </cell>
        </row>
        <row r="152">
          <cell r="A152" t="str">
            <v>0910322</v>
          </cell>
          <cell r="B152" t="str">
            <v>VINAGRE BLANCO (UND:3.785 L)</v>
          </cell>
          <cell r="C152" t="str">
            <v>MATERIAS PRIMAS PLANTA</v>
          </cell>
          <cell r="D152" t="str">
            <v>1 UND</v>
          </cell>
          <cell r="E152">
            <v>3230</v>
          </cell>
          <cell r="F152">
            <v>3785</v>
          </cell>
          <cell r="G152">
            <v>0.8533685601056803</v>
          </cell>
          <cell r="H152" t="str">
            <v>Mililitros</v>
          </cell>
        </row>
        <row r="153">
          <cell r="A153" t="str">
            <v>0910339</v>
          </cell>
          <cell r="B153" t="str">
            <v>VINAGRE VINO DE ARROZ (UND:3.785)</v>
          </cell>
          <cell r="C153" t="str">
            <v>MATERIAS PRIMAS PLANTA</v>
          </cell>
          <cell r="D153" t="str">
            <v>1 UND</v>
          </cell>
          <cell r="E153">
            <v>10983.2</v>
          </cell>
          <cell r="F153">
            <v>3785</v>
          </cell>
          <cell r="G153">
            <v>2.9017701453104361</v>
          </cell>
          <cell r="H153" t="str">
            <v>Mililitros</v>
          </cell>
        </row>
        <row r="154">
          <cell r="A154" t="str">
            <v>0910341</v>
          </cell>
          <cell r="B154" t="str">
            <v>SALSA INGLESA LIZANO (UND:3.7 L)</v>
          </cell>
          <cell r="C154" t="str">
            <v>MATERIAS PRIMAS PLANTA</v>
          </cell>
          <cell r="D154" t="str">
            <v>1 UND</v>
          </cell>
          <cell r="E154">
            <v>7960</v>
          </cell>
          <cell r="F154">
            <v>3700</v>
          </cell>
          <cell r="G154">
            <v>2.1513513513513511</v>
          </cell>
          <cell r="H154" t="str">
            <v>Mililitros</v>
          </cell>
        </row>
        <row r="155">
          <cell r="A155" t="str">
            <v>0910351</v>
          </cell>
          <cell r="B155" t="str">
            <v>SALSA CHILE AJI (PAQ:1 KILO)</v>
          </cell>
          <cell r="C155" t="str">
            <v>MATERIAS PRIMAS PLANTA</v>
          </cell>
          <cell r="D155" t="str">
            <v>1 PAQUETE</v>
          </cell>
          <cell r="E155">
            <v>12570.8</v>
          </cell>
          <cell r="F155">
            <v>1000</v>
          </cell>
          <cell r="G155">
            <v>12.570799999999998</v>
          </cell>
          <cell r="H155" t="str">
            <v>Gramos</v>
          </cell>
        </row>
        <row r="156">
          <cell r="A156" t="str">
            <v>1010008</v>
          </cell>
          <cell r="B156" t="str">
            <v>VINAGRE BALSAMICO ROLAND (UND:5 L)</v>
          </cell>
          <cell r="C156" t="str">
            <v>MATERIAS PRIMAS PLANTA</v>
          </cell>
          <cell r="D156" t="str">
            <v>1 UND</v>
          </cell>
          <cell r="E156">
            <v>27721.95</v>
          </cell>
          <cell r="F156">
            <v>5000</v>
          </cell>
          <cell r="G156">
            <v>5.5443899999999999</v>
          </cell>
        </row>
        <row r="157">
          <cell r="A157" t="str">
            <v>1010009</v>
          </cell>
          <cell r="B157" t="str">
            <v>CHILE CHIPOTLE COSTEÑA (UND:2.9 K)</v>
          </cell>
          <cell r="C157" t="str">
            <v>MATERIAS PRIMAS PLANTA</v>
          </cell>
          <cell r="D157" t="str">
            <v>1 UND</v>
          </cell>
          <cell r="E157">
            <v>14544</v>
          </cell>
          <cell r="F157">
            <v>2900</v>
          </cell>
          <cell r="G157">
            <v>5.0151724137931035</v>
          </cell>
          <cell r="H157" t="str">
            <v>Gramos</v>
          </cell>
        </row>
        <row r="158">
          <cell r="A158" t="str">
            <v>1010047</v>
          </cell>
          <cell r="B158" t="str">
            <v>SIROPE CHOCOLATE HERSHEY (UND:24 ONZ)</v>
          </cell>
          <cell r="C158" t="str">
            <v>MATERIAS PRIMAS PLANTA</v>
          </cell>
          <cell r="D158" t="str">
            <v>1 UND</v>
          </cell>
          <cell r="E158" t="e">
            <v>#N/A</v>
          </cell>
          <cell r="F158">
            <v>681</v>
          </cell>
          <cell r="G158" t="e">
            <v>#N/A</v>
          </cell>
          <cell r="H158" t="str">
            <v>Gramos</v>
          </cell>
        </row>
        <row r="159">
          <cell r="A159" t="str">
            <v>01011701</v>
          </cell>
          <cell r="B159" t="str">
            <v>PAPA PREFRITA CORTE RECTO 5/16" NG 6/5 L</v>
          </cell>
          <cell r="C159" t="str">
            <v>MATERIAS PRIMAS PLANTA</v>
          </cell>
          <cell r="D159" t="str">
            <v>1 CAJA</v>
          </cell>
          <cell r="E159" t="e">
            <v>#N/A</v>
          </cell>
          <cell r="G159" t="e">
            <v>#N/A</v>
          </cell>
        </row>
        <row r="160">
          <cell r="A160" t="str">
            <v>1012301</v>
          </cell>
          <cell r="B160" t="str">
            <v>VINO TINTO PETER CABERNET SAUV (UND:5L)</v>
          </cell>
          <cell r="C160" t="str">
            <v>MATERIAS PRIMAS PLANTA</v>
          </cell>
          <cell r="D160" t="str">
            <v>1 UND</v>
          </cell>
          <cell r="E160" t="e">
            <v>#N/A</v>
          </cell>
          <cell r="F160">
            <v>5000</v>
          </cell>
          <cell r="G160" t="e">
            <v>#N/A</v>
          </cell>
          <cell r="H160" t="str">
            <v>Mililitros</v>
          </cell>
        </row>
        <row r="161">
          <cell r="A161" t="str">
            <v>1012341</v>
          </cell>
          <cell r="B161" t="str">
            <v>BAILEYS (BOTELLA=1 LITRO)</v>
          </cell>
          <cell r="C161" t="str">
            <v>MATERIAS PRIMAS PLANTA</v>
          </cell>
          <cell r="D161" t="str">
            <v>1 UND</v>
          </cell>
          <cell r="E161">
            <v>14036</v>
          </cell>
          <cell r="F161">
            <v>1000</v>
          </cell>
          <cell r="G161">
            <v>14.036</v>
          </cell>
          <cell r="H161" t="str">
            <v>Mililitros</v>
          </cell>
        </row>
        <row r="162">
          <cell r="A162" t="str">
            <v>1012431</v>
          </cell>
          <cell r="B162" t="str">
            <v>VINO BLANCO PETER CABERNET SAU (UND:5L)</v>
          </cell>
          <cell r="C162" t="str">
            <v>MATERIAS PRIMAS PLANTA</v>
          </cell>
          <cell r="D162" t="str">
            <v>1 UND</v>
          </cell>
          <cell r="E162" t="e">
            <v>#N/A</v>
          </cell>
          <cell r="F162">
            <v>5000</v>
          </cell>
          <cell r="G162" t="e">
            <v>#N/A</v>
          </cell>
          <cell r="H162" t="str">
            <v>Mililitros</v>
          </cell>
        </row>
        <row r="163">
          <cell r="A163" t="str">
            <v>1070002</v>
          </cell>
          <cell r="B163" t="str">
            <v>CHOCOLATE TRIAN OLEA  PEQ (CAJA:250 UND)</v>
          </cell>
          <cell r="C163" t="str">
            <v>MATERIAS PRIMAS PLANTA</v>
          </cell>
          <cell r="D163" t="str">
            <v>1 CAJA</v>
          </cell>
          <cell r="E163">
            <v>20768</v>
          </cell>
          <cell r="F163">
            <v>250</v>
          </cell>
          <cell r="G163">
            <v>83.072000000000003</v>
          </cell>
        </row>
        <row r="164">
          <cell r="A164" t="str">
            <v>1110354</v>
          </cell>
          <cell r="B164" t="str">
            <v>ALCAPARRA (UND:944g)</v>
          </cell>
          <cell r="C164" t="str">
            <v>MATERIAS PRIMAS PLANTA</v>
          </cell>
          <cell r="D164" t="str">
            <v>1 UND</v>
          </cell>
          <cell r="E164">
            <v>7056.9</v>
          </cell>
          <cell r="F164">
            <v>944</v>
          </cell>
          <cell r="G164">
            <v>7.4755296610169486</v>
          </cell>
          <cell r="H164" t="str">
            <v>Gramos</v>
          </cell>
        </row>
        <row r="165">
          <cell r="A165" t="str">
            <v>1110377</v>
          </cell>
          <cell r="B165" t="str">
            <v>MOSTAZA FRENCH (UND:2.98 L)</v>
          </cell>
          <cell r="C165" t="str">
            <v>MATERIAS PRIMAS PLANTA</v>
          </cell>
          <cell r="D165" t="str">
            <v>1 UND</v>
          </cell>
          <cell r="E165" t="e">
            <v>#N/A</v>
          </cell>
          <cell r="F165">
            <v>2980</v>
          </cell>
          <cell r="G165" t="e">
            <v>#N/A</v>
          </cell>
          <cell r="H165" t="str">
            <v>Mililitros</v>
          </cell>
        </row>
        <row r="166">
          <cell r="A166" t="str">
            <v>1110378</v>
          </cell>
          <cell r="B166" t="str">
            <v>TOMATE LICUADO LATA (UND: 4.1 K)</v>
          </cell>
          <cell r="C166" t="str">
            <v>MATERIAS PRIMAS PLANTA</v>
          </cell>
          <cell r="D166" t="str">
            <v>1 UND</v>
          </cell>
          <cell r="E166">
            <v>7639.1</v>
          </cell>
          <cell r="F166">
            <v>4100</v>
          </cell>
          <cell r="G166">
            <v>1.8631951219512195</v>
          </cell>
          <cell r="H166" t="str">
            <v>Gramos</v>
          </cell>
        </row>
        <row r="167">
          <cell r="A167" t="str">
            <v>1110380</v>
          </cell>
          <cell r="B167" t="str">
            <v>PEPINILLOS REBANADOS (GALON)</v>
          </cell>
          <cell r="C167" t="str">
            <v>MATERIAS PRIMAS PLANTA</v>
          </cell>
          <cell r="D167" t="str">
            <v>1 UND</v>
          </cell>
          <cell r="E167" t="e">
            <v>#N/A</v>
          </cell>
          <cell r="F167">
            <v>3785</v>
          </cell>
          <cell r="G167" t="e">
            <v>#N/A</v>
          </cell>
          <cell r="H167" t="str">
            <v>Gramos</v>
          </cell>
        </row>
        <row r="168">
          <cell r="A168" t="str">
            <v>10300055</v>
          </cell>
          <cell r="B168" t="str">
            <v xml:space="preserve">SALAMI GENOA ( UND 500) </v>
          </cell>
          <cell r="C168" t="str">
            <v>MATERIAS PRIMAS PLANTA</v>
          </cell>
          <cell r="D168" t="str">
            <v>1 PAQ</v>
          </cell>
          <cell r="E168">
            <v>4755</v>
          </cell>
          <cell r="F168" t="str">
            <v>500</v>
          </cell>
          <cell r="G168">
            <v>9.51</v>
          </cell>
          <cell r="H168" t="str">
            <v>Gramos</v>
          </cell>
        </row>
        <row r="169">
          <cell r="A169" t="str">
            <v>10300056</v>
          </cell>
          <cell r="B169" t="str">
            <v xml:space="preserve">PEPPERONI ALL PORK (UND: 200 GRS) </v>
          </cell>
          <cell r="C169" t="str">
            <v>MATERIAS PRIMAS PLANTA</v>
          </cell>
          <cell r="D169" t="str">
            <v>1 PAQ</v>
          </cell>
          <cell r="E169">
            <v>2050</v>
          </cell>
          <cell r="F169" t="str">
            <v>200</v>
          </cell>
          <cell r="G169">
            <v>10.25</v>
          </cell>
          <cell r="H169" t="str">
            <v>Gramos</v>
          </cell>
        </row>
        <row r="170">
          <cell r="A170" t="str">
            <v>1110386</v>
          </cell>
          <cell r="B170" t="str">
            <v>TABASCO 62g (CAJA:36 UND)</v>
          </cell>
          <cell r="C170" t="str">
            <v>MATERIAS PRIMAS PLANTA</v>
          </cell>
          <cell r="D170" t="str">
            <v>1 CAJA</v>
          </cell>
          <cell r="E170">
            <v>21482</v>
          </cell>
          <cell r="F170">
            <v>2232</v>
          </cell>
          <cell r="G170">
            <v>9.6245519713261647</v>
          </cell>
          <cell r="H170" t="str">
            <v>Gramos</v>
          </cell>
        </row>
        <row r="171">
          <cell r="A171" t="str">
            <v>1110393</v>
          </cell>
          <cell r="B171" t="str">
            <v>PIÑA EN RODAJAS (UND: 3 K)</v>
          </cell>
          <cell r="C171" t="str">
            <v>MATERIAS PRIMAS PLANTA</v>
          </cell>
          <cell r="D171" t="str">
            <v>1 UND</v>
          </cell>
          <cell r="E171">
            <v>5234</v>
          </cell>
          <cell r="F171">
            <v>1600</v>
          </cell>
          <cell r="G171">
            <v>3.2712500000000002</v>
          </cell>
          <cell r="H171" t="str">
            <v>Gramos</v>
          </cell>
        </row>
        <row r="172">
          <cell r="A172" t="str">
            <v>1110406</v>
          </cell>
          <cell r="B172" t="str">
            <v>ATUN LOMO TROZOS AGUA (UND:1 K)</v>
          </cell>
          <cell r="C172" t="str">
            <v>MATERIAS PRIMAS PLANTA</v>
          </cell>
          <cell r="D172" t="str">
            <v>1 UND</v>
          </cell>
          <cell r="E172">
            <v>5528</v>
          </cell>
          <cell r="F172">
            <v>1000</v>
          </cell>
          <cell r="G172">
            <v>5.5279999999999996</v>
          </cell>
        </row>
        <row r="173">
          <cell r="A173" t="str">
            <v>1110407</v>
          </cell>
          <cell r="B173" t="str">
            <v>VEGETALES MIXTOS LAMB WESTON (PAQ: 1 K)</v>
          </cell>
          <cell r="C173" t="str">
            <v>MATERIAS PRIMAS PLANTA</v>
          </cell>
          <cell r="D173" t="str">
            <v>1 PAQUETE</v>
          </cell>
          <cell r="E173">
            <v>2047</v>
          </cell>
          <cell r="F173">
            <v>1000</v>
          </cell>
          <cell r="G173">
            <v>2.0470000000000002</v>
          </cell>
        </row>
        <row r="174">
          <cell r="A174" t="str">
            <v>1110408</v>
          </cell>
          <cell r="B174" t="str">
            <v>GUISANTES LAMB WESTON (PAQ: 1 K)</v>
          </cell>
          <cell r="C174" t="str">
            <v>MATERIAS PRIMAS PLANTA</v>
          </cell>
          <cell r="D174" t="str">
            <v>1 PAQUETE</v>
          </cell>
          <cell r="E174">
            <v>2061</v>
          </cell>
          <cell r="F174">
            <v>1000</v>
          </cell>
          <cell r="G174">
            <v>2.0609999999999999</v>
          </cell>
          <cell r="H174" t="str">
            <v>Gramos</v>
          </cell>
        </row>
        <row r="175">
          <cell r="A175" t="str">
            <v>1110414</v>
          </cell>
          <cell r="B175" t="str">
            <v>LECHE EVAPORADA (UND: 1 L)</v>
          </cell>
          <cell r="C175" t="str">
            <v>MATERIAS PRIMAS PLANTA</v>
          </cell>
          <cell r="D175" t="str">
            <v>1 UND</v>
          </cell>
          <cell r="E175">
            <v>1878.5</v>
          </cell>
          <cell r="F175">
            <v>1000</v>
          </cell>
          <cell r="G175">
            <v>1.8785000000000001</v>
          </cell>
          <cell r="H175" t="str">
            <v>Mililitros</v>
          </cell>
        </row>
        <row r="176">
          <cell r="A176" t="str">
            <v>1110415</v>
          </cell>
          <cell r="B176" t="str">
            <v>PETI PIOS CON ZANAHORIA (PAQ: 1 K)</v>
          </cell>
          <cell r="C176" t="str">
            <v>MATERIAS PRIMAS PLANTA</v>
          </cell>
          <cell r="D176" t="str">
            <v>1 PAQUETE</v>
          </cell>
          <cell r="E176">
            <v>1808</v>
          </cell>
          <cell r="F176">
            <v>1000</v>
          </cell>
          <cell r="G176">
            <v>1.8080000000000001</v>
          </cell>
          <cell r="H176" t="str">
            <v>Gramos</v>
          </cell>
        </row>
        <row r="177">
          <cell r="A177" t="str">
            <v>10100315</v>
          </cell>
          <cell r="B177" t="str">
            <v xml:space="preserve">MOSTAZA DIJON GRANULADA (UND: 370 G) </v>
          </cell>
          <cell r="C177" t="str">
            <v>MATERIAS PRIMAS PLANTA</v>
          </cell>
          <cell r="D177" t="str">
            <v>1 UND</v>
          </cell>
          <cell r="E177">
            <v>2613.75</v>
          </cell>
          <cell r="F177">
            <v>370</v>
          </cell>
          <cell r="G177">
            <v>7.0641891891891895</v>
          </cell>
          <cell r="H177" t="str">
            <v>Gramos</v>
          </cell>
        </row>
        <row r="178">
          <cell r="A178" t="str">
            <v>1112431</v>
          </cell>
          <cell r="B178" t="str">
            <v>MANJAR LECHE CONDENSADA (PAQ: 4.5 K)</v>
          </cell>
          <cell r="C178" t="str">
            <v>MATERIAS PRIMAS PLANTA</v>
          </cell>
          <cell r="D178" t="str">
            <v>1 PAQUETE</v>
          </cell>
          <cell r="E178">
            <v>9574.52</v>
          </cell>
          <cell r="F178">
            <v>4500</v>
          </cell>
          <cell r="G178">
            <v>2.1276711111111113</v>
          </cell>
          <cell r="H178" t="str">
            <v>Gramos</v>
          </cell>
        </row>
        <row r="179">
          <cell r="A179" t="str">
            <v>11400066</v>
          </cell>
          <cell r="B179" t="str">
            <v>MANJAR LECHE CONDENSADA (PAQ: 6 K)</v>
          </cell>
          <cell r="C179" t="str">
            <v>MATERIAS PRIMAS PLANTA</v>
          </cell>
          <cell r="D179" t="str">
            <v>1 paquete</v>
          </cell>
          <cell r="E179">
            <v>15380.75</v>
          </cell>
          <cell r="F179" t="str">
            <v>6000</v>
          </cell>
          <cell r="G179">
            <v>2.5634583333333332</v>
          </cell>
          <cell r="H179" t="str">
            <v>Gramos</v>
          </cell>
        </row>
        <row r="180">
          <cell r="A180" t="str">
            <v>10900073</v>
          </cell>
          <cell r="B180" t="str">
            <v>ACEITUNA C/ PIMIENTO YBARRA (UND: 780G</v>
          </cell>
          <cell r="C180" t="str">
            <v>MATERIAS PRIMAS PLANTA</v>
          </cell>
          <cell r="D180" t="str">
            <v>1 UND</v>
          </cell>
          <cell r="E180">
            <v>2757.5966250000001</v>
          </cell>
          <cell r="F180" t="str">
            <v>500</v>
          </cell>
          <cell r="G180">
            <v>5.5151932500000003</v>
          </cell>
          <cell r="H180" t="str">
            <v>Gramos</v>
          </cell>
        </row>
        <row r="181">
          <cell r="A181" t="str">
            <v>1112444</v>
          </cell>
          <cell r="B181" t="str">
            <v>FRIJOL MOLIDO NEGRO D PEDRO (UND=2.2 K)</v>
          </cell>
          <cell r="C181" t="str">
            <v>MATERIAS PRIMAS PLANTA</v>
          </cell>
          <cell r="D181" t="str">
            <v>1 UND</v>
          </cell>
          <cell r="E181">
            <v>1872</v>
          </cell>
          <cell r="F181">
            <v>2200</v>
          </cell>
          <cell r="G181">
            <v>0.85090909090909095</v>
          </cell>
          <cell r="H181" t="str">
            <v>Gramos</v>
          </cell>
        </row>
        <row r="182">
          <cell r="A182" t="str">
            <v>1160001</v>
          </cell>
          <cell r="B182" t="str">
            <v>GOMA XANTAN (KILO)</v>
          </cell>
          <cell r="C182" t="str">
            <v>MATERIAS PRIMAS PLANTA</v>
          </cell>
          <cell r="D182" t="str">
            <v>1 KILOGRAMOS</v>
          </cell>
          <cell r="E182">
            <v>17676</v>
          </cell>
          <cell r="F182">
            <v>1000</v>
          </cell>
          <cell r="G182">
            <v>17.675999999999998</v>
          </cell>
          <cell r="H182" t="str">
            <v>Gramos</v>
          </cell>
        </row>
        <row r="183">
          <cell r="A183" t="str">
            <v>11200082</v>
          </cell>
          <cell r="B183" t="str">
            <v>EASY QUEQUE VAINILLA SP SACO 25 K</v>
          </cell>
          <cell r="C183" t="str">
            <v>MATERIAS PRIMAS PLANTA</v>
          </cell>
          <cell r="D183" t="str">
            <v>25 KILOS</v>
          </cell>
          <cell r="E183">
            <v>54625</v>
          </cell>
          <cell r="F183" t="str">
            <v>25000</v>
          </cell>
          <cell r="G183">
            <v>2.1850000000000001</v>
          </cell>
          <cell r="H183" t="str">
            <v>Gramos</v>
          </cell>
        </row>
        <row r="184">
          <cell r="A184" t="str">
            <v>1200003</v>
          </cell>
          <cell r="B184" t="str">
            <v>CHOCOLATE OSCURO BLOSSOMS (KILO)</v>
          </cell>
          <cell r="C184" t="str">
            <v>MATERIAS PRIMAS PLANTA</v>
          </cell>
          <cell r="D184" t="str">
            <v xml:space="preserve">1 KILO </v>
          </cell>
          <cell r="E184">
            <v>10190</v>
          </cell>
          <cell r="F184">
            <v>1000</v>
          </cell>
          <cell r="G184">
            <v>10.19</v>
          </cell>
          <cell r="H184" t="str">
            <v>Gramos</v>
          </cell>
        </row>
        <row r="185">
          <cell r="A185" t="str">
            <v>1210386</v>
          </cell>
          <cell r="B185" t="str">
            <v>COBERTURA CHOCOLATE LECHE (PAQ:5 K)</v>
          </cell>
          <cell r="C185" t="str">
            <v>MATERIAS PRIMAS PLANTA</v>
          </cell>
          <cell r="D185" t="str">
            <v>1 PAQUETE</v>
          </cell>
          <cell r="E185">
            <v>22000</v>
          </cell>
          <cell r="F185">
            <v>5000</v>
          </cell>
          <cell r="G185">
            <v>4.4000000000000004</v>
          </cell>
          <cell r="H185" t="str">
            <v>Gramos</v>
          </cell>
        </row>
        <row r="186">
          <cell r="A186" t="str">
            <v>1210387</v>
          </cell>
          <cell r="B186" t="str">
            <v>COBERTURA CHOCOLATE BLANCO (PAQ:5 K)</v>
          </cell>
          <cell r="C186" t="str">
            <v>MATERIAS PRIMAS PLANTA</v>
          </cell>
          <cell r="D186" t="str">
            <v>1 PAQUETE</v>
          </cell>
          <cell r="E186">
            <v>16511.3</v>
          </cell>
          <cell r="F186">
            <v>4500</v>
          </cell>
          <cell r="G186">
            <v>3.6691777777777776</v>
          </cell>
          <cell r="H186" t="str">
            <v>Gramos</v>
          </cell>
        </row>
        <row r="187">
          <cell r="A187" t="str">
            <v>10100289</v>
          </cell>
          <cell r="B187" t="str">
            <v>MARGARINA BAKER TABLETA (CAJA: 25 K)</v>
          </cell>
          <cell r="C187" t="str">
            <v>MATERIAS PRIMAS PLANTA</v>
          </cell>
          <cell r="D187" t="str">
            <v>1 CAJA</v>
          </cell>
          <cell r="E187">
            <v>34938</v>
          </cell>
          <cell r="F187">
            <v>25000</v>
          </cell>
          <cell r="G187">
            <v>1.3975200000000001</v>
          </cell>
          <cell r="H187" t="str">
            <v>Gramos</v>
          </cell>
        </row>
        <row r="188">
          <cell r="A188" t="str">
            <v>10100084</v>
          </cell>
          <cell r="B188" t="str">
            <v>CHILE MORRON ASADO (UND:2.9 K)</v>
          </cell>
          <cell r="C188" t="str">
            <v>MATERIAS PRIMAS PLANTA</v>
          </cell>
          <cell r="D188" t="str">
            <v>1 LATA</v>
          </cell>
          <cell r="E188">
            <v>6508.91</v>
          </cell>
          <cell r="F188" t="str">
            <v>2900</v>
          </cell>
          <cell r="G188">
            <v>2.2444517241379311</v>
          </cell>
          <cell r="H188" t="str">
            <v>Gramos</v>
          </cell>
        </row>
        <row r="189">
          <cell r="A189" t="str">
            <v>11300012</v>
          </cell>
          <cell r="B189" t="str">
            <v>ACTI EGG (SACO 10 KILOS)</v>
          </cell>
          <cell r="C189" t="str">
            <v>MATERIAS PRIMAS PLANTA</v>
          </cell>
          <cell r="D189" t="str">
            <v>SACO</v>
          </cell>
          <cell r="E189">
            <v>23650</v>
          </cell>
          <cell r="F189" t="str">
            <v>10000</v>
          </cell>
          <cell r="G189">
            <v>2.3650000000000002</v>
          </cell>
          <cell r="H189" t="str">
            <v>Gramos</v>
          </cell>
        </row>
        <row r="190">
          <cell r="A190" t="str">
            <v>10100295</v>
          </cell>
          <cell r="B190" t="str">
            <v xml:space="preserve">COBERTURA CHOCOLATE BLANCO (PAQ:1 K) </v>
          </cell>
          <cell r="C190" t="str">
            <v>MATERIAS PRIMAS PLANTA</v>
          </cell>
          <cell r="D190" t="str">
            <v>1 PAQ</v>
          </cell>
          <cell r="E190">
            <v>10289</v>
          </cell>
          <cell r="F190">
            <v>1000</v>
          </cell>
          <cell r="G190">
            <v>10.289</v>
          </cell>
          <cell r="H190" t="str">
            <v>Gramos</v>
          </cell>
        </row>
        <row r="191">
          <cell r="A191" t="str">
            <v>1210396</v>
          </cell>
          <cell r="B191" t="str">
            <v>CHOCOLATE LECHE BELCOLADE (PAQ:2.5 K)</v>
          </cell>
          <cell r="C191" t="str">
            <v>MATERIAS PRIMAS PLANTA</v>
          </cell>
          <cell r="D191" t="str">
            <v>1 PAQUETE</v>
          </cell>
          <cell r="E191">
            <v>10658</v>
          </cell>
          <cell r="F191">
            <v>2500</v>
          </cell>
          <cell r="G191">
            <v>4.2632000000000003</v>
          </cell>
          <cell r="H191" t="str">
            <v>Gramos</v>
          </cell>
        </row>
        <row r="192">
          <cell r="A192" t="str">
            <v>1210401</v>
          </cell>
          <cell r="B192" t="str">
            <v>MANTECA MAX PAN (CAJA:25 k)</v>
          </cell>
          <cell r="C192" t="str">
            <v>MATERIAS PRIMAS PLANTA</v>
          </cell>
          <cell r="D192" t="str">
            <v>1 CAJA</v>
          </cell>
          <cell r="E192">
            <v>35535</v>
          </cell>
          <cell r="F192">
            <v>25000</v>
          </cell>
          <cell r="G192">
            <v>1.4214</v>
          </cell>
          <cell r="H192" t="str">
            <v>Gramos</v>
          </cell>
        </row>
        <row r="193">
          <cell r="A193" t="str">
            <v>1210405</v>
          </cell>
          <cell r="B193" t="str">
            <v>PASTA P/LASAG/(PAQ:1 KG)</v>
          </cell>
          <cell r="C193" t="str">
            <v>MATERIAS PRIMAS PLANTA</v>
          </cell>
          <cell r="D193" t="str">
            <v>1 PAQUETE</v>
          </cell>
          <cell r="E193">
            <v>2380</v>
          </cell>
          <cell r="F193">
            <v>1000</v>
          </cell>
          <cell r="G193">
            <v>2.38</v>
          </cell>
          <cell r="H193" t="str">
            <v>Gramos</v>
          </cell>
        </row>
        <row r="194">
          <cell r="A194" t="str">
            <v>1210413</v>
          </cell>
          <cell r="B194" t="str">
            <v>PASTA WANTAN (PAQ:465g)</v>
          </cell>
          <cell r="C194" t="str">
            <v>MATERIAS PRIMAS PLANTA</v>
          </cell>
          <cell r="D194" t="str">
            <v>1 PAQUETE</v>
          </cell>
          <cell r="E194">
            <v>1796.1048000000001</v>
          </cell>
          <cell r="F194">
            <v>465</v>
          </cell>
          <cell r="G194">
            <v>3.8625909677419354</v>
          </cell>
          <cell r="H194" t="str">
            <v>Gramos</v>
          </cell>
        </row>
        <row r="195">
          <cell r="A195" t="str">
            <v>1210420</v>
          </cell>
          <cell r="B195" t="str">
            <v>ESPAGUETTI (PAQ: 1K)</v>
          </cell>
          <cell r="C195" t="str">
            <v>MATERIAS PRIMAS PLANTA</v>
          </cell>
          <cell r="D195" t="str">
            <v>1 PAQUETE</v>
          </cell>
          <cell r="E195">
            <v>1883</v>
          </cell>
          <cell r="F195">
            <v>1000</v>
          </cell>
          <cell r="G195">
            <v>1.883</v>
          </cell>
        </row>
        <row r="196">
          <cell r="A196" t="str">
            <v>1210428</v>
          </cell>
          <cell r="B196" t="str">
            <v>PRUEBA CODIGO</v>
          </cell>
          <cell r="C196" t="str">
            <v>MATERIAS PRIMAS PLANTA</v>
          </cell>
          <cell r="D196" t="str">
            <v>1 UND</v>
          </cell>
          <cell r="E196">
            <v>6144.07</v>
          </cell>
          <cell r="G196" t="e">
            <v>#DIV/0!</v>
          </cell>
        </row>
        <row r="197">
          <cell r="A197" t="str">
            <v>1210445</v>
          </cell>
          <cell r="B197" t="str">
            <v>CLARAS HUEVO DESHIDRATADA (CAJA:22.68 K)</v>
          </cell>
          <cell r="C197" t="str">
            <v>MATERIAS PRIMAS PLANTA</v>
          </cell>
          <cell r="D197" t="str">
            <v>1 CAJA</v>
          </cell>
          <cell r="E197">
            <v>748440.2</v>
          </cell>
          <cell r="F197">
            <v>22680</v>
          </cell>
          <cell r="G197">
            <v>33.000008818342152</v>
          </cell>
          <cell r="H197" t="str">
            <v>Gramos</v>
          </cell>
        </row>
        <row r="198">
          <cell r="A198" t="str">
            <v>1210461</v>
          </cell>
          <cell r="B198" t="str">
            <v>CHOCOLATE TULIPAN MARMOL (CAJA:150 UND)</v>
          </cell>
          <cell r="C198" t="str">
            <v>MATERIAS PRIMAS PLANTA</v>
          </cell>
          <cell r="D198" t="str">
            <v xml:space="preserve">1 CAJA </v>
          </cell>
          <cell r="E198">
            <v>18000</v>
          </cell>
          <cell r="F198">
            <v>150</v>
          </cell>
          <cell r="G198">
            <v>120</v>
          </cell>
          <cell r="H198" t="str">
            <v>Und</v>
          </cell>
        </row>
        <row r="199">
          <cell r="A199" t="str">
            <v>1210462</v>
          </cell>
          <cell r="B199" t="str">
            <v>MONEDAS MARMOLEADAS (CAJA:240 UND)</v>
          </cell>
          <cell r="C199" t="str">
            <v>MATERIAS PRIMAS PLANTA</v>
          </cell>
          <cell r="D199" t="str">
            <v>1 CAJA</v>
          </cell>
          <cell r="E199">
            <v>10080</v>
          </cell>
          <cell r="F199">
            <v>240</v>
          </cell>
          <cell r="G199">
            <v>42</v>
          </cell>
          <cell r="H199" t="str">
            <v>Und</v>
          </cell>
        </row>
        <row r="200">
          <cell r="A200" t="str">
            <v>118000018</v>
          </cell>
          <cell r="B200" t="str">
            <v>SABORIZANTE DE AVELLANAS  KILO</v>
          </cell>
          <cell r="C200" t="str">
            <v>MATERIAS PRIMAS PLANTA</v>
          </cell>
          <cell r="D200" t="str">
            <v>1 KILO</v>
          </cell>
          <cell r="E200" t="e">
            <v>#N/A</v>
          </cell>
          <cell r="F200" t="str">
            <v>1000</v>
          </cell>
          <cell r="G200" t="e">
            <v>#N/A</v>
          </cell>
          <cell r="H200" t="str">
            <v>Und</v>
          </cell>
        </row>
        <row r="201">
          <cell r="A201" t="str">
            <v>11200079</v>
          </cell>
          <cell r="B201" t="str">
            <v xml:space="preserve">PAN CIABATTA 10 CM (PAQ: 12 UND)  </v>
          </cell>
          <cell r="C201" t="str">
            <v>MATERIAS PRIMAS PLANTA</v>
          </cell>
          <cell r="D201" t="str">
            <v>1 PAQ</v>
          </cell>
          <cell r="E201">
            <v>2550</v>
          </cell>
          <cell r="F201" t="str">
            <v>12</v>
          </cell>
          <cell r="G201">
            <v>212.5</v>
          </cell>
          <cell r="H201" t="str">
            <v>Und</v>
          </cell>
        </row>
        <row r="202">
          <cell r="A202" t="str">
            <v>503000041</v>
          </cell>
          <cell r="B202" t="str">
            <v xml:space="preserve">BOLSA CELOFAN 7 X 10 (KILO) </v>
          </cell>
          <cell r="C202" t="str">
            <v>EMPAQUES PLANTA</v>
          </cell>
          <cell r="D202" t="str">
            <v>1 KILO</v>
          </cell>
          <cell r="E202">
            <v>4974</v>
          </cell>
          <cell r="F202" t="str">
            <v>300</v>
          </cell>
          <cell r="G202">
            <v>16.579999999999998</v>
          </cell>
          <cell r="H202" t="str">
            <v>Und</v>
          </cell>
        </row>
        <row r="203">
          <cell r="A203" t="str">
            <v>1210464</v>
          </cell>
          <cell r="B203" t="str">
            <v>CHOCOLATE TRIAN OLEAJE GRD (CAJA:200 UN)</v>
          </cell>
          <cell r="C203" t="str">
            <v>MATERIAS PRIMAS PLANTA</v>
          </cell>
          <cell r="D203" t="str">
            <v>1 CAJA</v>
          </cell>
          <cell r="E203">
            <v>23000</v>
          </cell>
          <cell r="F203">
            <v>200</v>
          </cell>
          <cell r="G203">
            <v>115</v>
          </cell>
          <cell r="H203" t="str">
            <v>Und</v>
          </cell>
        </row>
        <row r="204">
          <cell r="A204" t="str">
            <v>1210482</v>
          </cell>
          <cell r="B204" t="str">
            <v>HUEVO ENTERO PASTERI INNOVO (CAJA:10 K)</v>
          </cell>
          <cell r="C204" t="str">
            <v>MATERIAS PRIMAS PLANTA</v>
          </cell>
          <cell r="D204" t="str">
            <v>1 CAJA</v>
          </cell>
          <cell r="E204">
            <v>27795</v>
          </cell>
          <cell r="F204">
            <v>10000</v>
          </cell>
          <cell r="G204">
            <v>2.7795000000000001</v>
          </cell>
          <cell r="H204" t="str">
            <v>Gramos</v>
          </cell>
        </row>
        <row r="205">
          <cell r="A205" t="str">
            <v>11400056</v>
          </cell>
          <cell r="B205" t="str">
            <v>QUESO SUIZO REBANADO ( PAQ: 1.5 LB)</v>
          </cell>
          <cell r="C205" t="str">
            <v>MATERIAS PRIMAS PLANTA</v>
          </cell>
          <cell r="D205" t="str">
            <v>1 PAQ</v>
          </cell>
          <cell r="E205">
            <v>6542</v>
          </cell>
          <cell r="F205" t="str">
            <v>680,39</v>
          </cell>
          <cell r="G205">
            <v>9.6150737077264505</v>
          </cell>
          <cell r="H205" t="str">
            <v>Gramos</v>
          </cell>
        </row>
        <row r="206">
          <cell r="A206" t="str">
            <v>10300047</v>
          </cell>
          <cell r="B206" t="str">
            <v>PECHUGA DE PAVO FUD (PAQ: 450 G)</v>
          </cell>
          <cell r="C206" t="str">
            <v>MATERIAS PRIMAS PLANTA</v>
          </cell>
          <cell r="D206" t="str">
            <v>1 PAQ</v>
          </cell>
          <cell r="E206">
            <v>2625</v>
          </cell>
          <cell r="F206" t="str">
            <v>500</v>
          </cell>
          <cell r="G206">
            <v>5.25</v>
          </cell>
          <cell r="H206" t="str">
            <v>Gramos</v>
          </cell>
        </row>
        <row r="207">
          <cell r="A207" t="str">
            <v>11200077</v>
          </cell>
          <cell r="B207" t="str">
            <v xml:space="preserve">PAN HOAGIE ROLL 15 CM (PAQ 10 UND) </v>
          </cell>
          <cell r="C207" t="str">
            <v>MATERIAS PRIMAS PLANTA</v>
          </cell>
          <cell r="D207" t="str">
            <v>1 PAQ</v>
          </cell>
          <cell r="E207">
            <v>2550</v>
          </cell>
          <cell r="F207" t="str">
            <v>10</v>
          </cell>
          <cell r="G207">
            <v>255</v>
          </cell>
          <cell r="H207" t="str">
            <v>Und</v>
          </cell>
        </row>
        <row r="208">
          <cell r="A208" t="str">
            <v>1210492</v>
          </cell>
          <cell r="B208" t="str">
            <v>CHANTILLY TOP CREAM CHOCOLATE (UND:2 K)</v>
          </cell>
          <cell r="C208" t="str">
            <v>MATERIAS PRIMAS PLANTA</v>
          </cell>
          <cell r="D208" t="str">
            <v>1 UND</v>
          </cell>
          <cell r="E208">
            <v>5119.67</v>
          </cell>
          <cell r="F208">
            <v>2000</v>
          </cell>
          <cell r="G208">
            <v>2.5598350000000001</v>
          </cell>
          <cell r="H208" t="str">
            <v>Gramos</v>
          </cell>
        </row>
        <row r="209">
          <cell r="A209" t="str">
            <v>1210495</v>
          </cell>
          <cell r="B209" t="str">
            <v>CHOCOLATE TRIANGULO CURVO (CAJA:150 UND)</v>
          </cell>
          <cell r="C209" t="str">
            <v>MATERIAS PRIMAS PLANTA</v>
          </cell>
          <cell r="D209" t="str">
            <v>1 CAJA</v>
          </cell>
          <cell r="E209">
            <v>12946</v>
          </cell>
          <cell r="F209">
            <v>150</v>
          </cell>
          <cell r="G209">
            <v>86.306666666666672</v>
          </cell>
          <cell r="H209" t="str">
            <v>Und</v>
          </cell>
        </row>
        <row r="210">
          <cell r="A210" t="str">
            <v>10200035</v>
          </cell>
          <cell r="B210" t="str">
            <v>CHOCOLATE JOHNNYS MARMITA (CAJA: 12K)</v>
          </cell>
          <cell r="C210" t="str">
            <v>MATERIAS PRIMAS PLANTA</v>
          </cell>
          <cell r="D210" t="str">
            <v>1 CAJA</v>
          </cell>
          <cell r="E210">
            <v>26220.91</v>
          </cell>
          <cell r="F210" t="str">
            <v>12000</v>
          </cell>
          <cell r="G210">
            <v>2.1850758333333333</v>
          </cell>
          <cell r="H210" t="str">
            <v>Gramos</v>
          </cell>
        </row>
        <row r="211">
          <cell r="A211" t="str">
            <v>10200002</v>
          </cell>
          <cell r="B211" t="str">
            <v>WHISKY RED LABEL (UND:LITRO)</v>
          </cell>
          <cell r="C211" t="str">
            <v>MATERIAS PRIMAS PLANTA</v>
          </cell>
          <cell r="D211" t="str">
            <v>1 LITRO</v>
          </cell>
          <cell r="E211">
            <v>18150</v>
          </cell>
          <cell r="F211" t="str">
            <v>1000</v>
          </cell>
          <cell r="G211">
            <v>18.149999999999999</v>
          </cell>
          <cell r="H211" t="str">
            <v>Mililitros</v>
          </cell>
        </row>
        <row r="212">
          <cell r="A212" t="str">
            <v>1212410</v>
          </cell>
          <cell r="B212" t="str">
            <v>PRESERVANTE 1047S (PAQ=5 KILO)</v>
          </cell>
          <cell r="C212" t="str">
            <v>MATERIAS PRIMAS PLANTA</v>
          </cell>
          <cell r="D212" t="str">
            <v>1 KILO</v>
          </cell>
          <cell r="E212">
            <v>39399.54</v>
          </cell>
          <cell r="F212">
            <v>5000</v>
          </cell>
          <cell r="G212">
            <v>7.8799080000000004</v>
          </cell>
          <cell r="H212" t="str">
            <v>Gramos</v>
          </cell>
        </row>
        <row r="213">
          <cell r="A213" t="str">
            <v>1212412</v>
          </cell>
          <cell r="B213" t="str">
            <v>PRESERVANTE 1017S (PAQ=5 KILO)</v>
          </cell>
          <cell r="C213" t="str">
            <v>MATERIAS PRIMAS PLANTA</v>
          </cell>
          <cell r="D213" t="str">
            <v>1 PAQUETE</v>
          </cell>
          <cell r="E213">
            <v>46424.22</v>
          </cell>
          <cell r="F213">
            <v>5000</v>
          </cell>
          <cell r="G213">
            <v>9.2848439999999997</v>
          </cell>
          <cell r="H213" t="str">
            <v>Gramos</v>
          </cell>
        </row>
        <row r="214">
          <cell r="A214" t="str">
            <v>1212437</v>
          </cell>
          <cell r="B214" t="str">
            <v>PRESERVANTE MIXTO (UND:17 K)</v>
          </cell>
          <cell r="C214" t="str">
            <v>MATERIAS PRIMAS PLANTA</v>
          </cell>
          <cell r="D214" t="str">
            <v>1 UND</v>
          </cell>
          <cell r="E214">
            <v>90242.8</v>
          </cell>
          <cell r="F214">
            <v>17000</v>
          </cell>
          <cell r="G214">
            <v>5.3083999999999998</v>
          </cell>
          <cell r="H214" t="str">
            <v>Gramos</v>
          </cell>
        </row>
        <row r="215">
          <cell r="A215" t="str">
            <v>1730579</v>
          </cell>
          <cell r="B215" t="str">
            <v>CHULETAS KILO</v>
          </cell>
          <cell r="C215" t="str">
            <v>MATERIAS PRIMAS PLANTA</v>
          </cell>
          <cell r="D215" t="str">
            <v>1 KILO</v>
          </cell>
          <cell r="E215">
            <v>3695</v>
          </cell>
          <cell r="F215">
            <v>1000</v>
          </cell>
          <cell r="G215">
            <v>3.6949999999999998</v>
          </cell>
          <cell r="H215" t="str">
            <v>Gramos</v>
          </cell>
        </row>
        <row r="216">
          <cell r="A216" t="str">
            <v>1730580</v>
          </cell>
          <cell r="B216" t="str">
            <v>COSTILLA DE CERDO (PAQ:1 KILO)</v>
          </cell>
          <cell r="C216" t="str">
            <v>MATERIAS PRIMAS PLANTA</v>
          </cell>
          <cell r="D216" t="str">
            <v>1 PAQUETE</v>
          </cell>
          <cell r="E216">
            <v>4295</v>
          </cell>
          <cell r="F216">
            <v>1000</v>
          </cell>
          <cell r="G216">
            <v>4.2949999999999999</v>
          </cell>
          <cell r="H216" t="str">
            <v>Gramos</v>
          </cell>
        </row>
        <row r="217">
          <cell r="A217" t="str">
            <v>1730588</v>
          </cell>
          <cell r="B217" t="str">
            <v>LOMO DE AGUJA KILO</v>
          </cell>
          <cell r="C217" t="str">
            <v>MATERIAS PRIMAS PLANTA</v>
          </cell>
          <cell r="D217" t="str">
            <v>1 KILO</v>
          </cell>
          <cell r="E217">
            <v>7195</v>
          </cell>
          <cell r="F217">
            <v>1000</v>
          </cell>
          <cell r="G217">
            <v>7.1950000000000003</v>
          </cell>
          <cell r="H217" t="str">
            <v>Gramos</v>
          </cell>
        </row>
        <row r="218">
          <cell r="A218" t="str">
            <v>1730589</v>
          </cell>
          <cell r="B218" t="str">
            <v>SALCHICHAS KILO</v>
          </cell>
          <cell r="C218" t="str">
            <v>MATERIAS PRIMAS PLANTA</v>
          </cell>
          <cell r="D218" t="str">
            <v>1 KILO</v>
          </cell>
          <cell r="E218">
            <v>1630</v>
          </cell>
          <cell r="F218">
            <v>1000</v>
          </cell>
          <cell r="G218">
            <v>1.63</v>
          </cell>
          <cell r="H218" t="str">
            <v>Gramos</v>
          </cell>
        </row>
        <row r="219">
          <cell r="A219" t="str">
            <v>1730592</v>
          </cell>
          <cell r="B219" t="str">
            <v>PECHO LIMPIO KILO</v>
          </cell>
          <cell r="C219" t="str">
            <v>MATERIAS PRIMAS PLANTA</v>
          </cell>
          <cell r="D219" t="str">
            <v>1 KILO</v>
          </cell>
          <cell r="E219">
            <v>6695</v>
          </cell>
          <cell r="F219">
            <v>1000</v>
          </cell>
          <cell r="G219">
            <v>6.6950000000000003</v>
          </cell>
          <cell r="H219" t="str">
            <v>Gramos</v>
          </cell>
        </row>
        <row r="220">
          <cell r="A220" t="str">
            <v>1730616</v>
          </cell>
          <cell r="B220" t="str">
            <v>REMOLACHA KILO</v>
          </cell>
          <cell r="C220" t="str">
            <v>MATERIAS PRIMAS PLANTA</v>
          </cell>
          <cell r="D220" t="str">
            <v>1 KILO</v>
          </cell>
          <cell r="E220">
            <v>923</v>
          </cell>
          <cell r="F220">
            <v>1000</v>
          </cell>
          <cell r="G220">
            <v>0.92300000000000004</v>
          </cell>
          <cell r="H220" t="str">
            <v>Gramos</v>
          </cell>
        </row>
        <row r="221">
          <cell r="A221" t="str">
            <v>1730617</v>
          </cell>
          <cell r="B221" t="str">
            <v>REPOLLO VERDE RAYADO KILO</v>
          </cell>
          <cell r="C221" t="str">
            <v>MATERIAS PRIMAS PLANTA</v>
          </cell>
          <cell r="D221" t="str">
            <v>1 KILO</v>
          </cell>
          <cell r="E221">
            <v>1384</v>
          </cell>
          <cell r="F221">
            <v>1000</v>
          </cell>
          <cell r="G221">
            <v>1.3839999999999999</v>
          </cell>
          <cell r="H221" t="str">
            <v>Gramos</v>
          </cell>
        </row>
        <row r="222">
          <cell r="A222" t="str">
            <v>1730640</v>
          </cell>
          <cell r="B222" t="str">
            <v xml:space="preserve">ALITAS DE POLLO KILO </v>
          </cell>
          <cell r="C222" t="str">
            <v>MATERIAS PRIMAS PLANTA</v>
          </cell>
          <cell r="D222" t="str">
            <v>1 KILO</v>
          </cell>
          <cell r="E222">
            <v>2200</v>
          </cell>
          <cell r="F222">
            <v>1000</v>
          </cell>
          <cell r="G222">
            <v>2.2000000000000002</v>
          </cell>
          <cell r="H222" t="str">
            <v>Gramos</v>
          </cell>
        </row>
        <row r="223">
          <cell r="A223" t="str">
            <v>1730642</v>
          </cell>
          <cell r="B223" t="str">
            <v>PLATANO VERDE (UND)</v>
          </cell>
          <cell r="C223" t="str">
            <v>MATERIAS PRIMAS PLANTA</v>
          </cell>
          <cell r="D223" t="str">
            <v>1 KILO</v>
          </cell>
          <cell r="E223" t="e">
            <v>#N/A</v>
          </cell>
          <cell r="F223">
            <v>1000</v>
          </cell>
          <cell r="G223" t="e">
            <v>#N/A</v>
          </cell>
          <cell r="H223" t="str">
            <v>Gramos</v>
          </cell>
        </row>
        <row r="224">
          <cell r="A224" t="str">
            <v>1730660</v>
          </cell>
          <cell r="B224" t="str">
            <v>QUESO CREMA PANADERO (CAJA: 5 K)</v>
          </cell>
          <cell r="C224" t="str">
            <v>MATERIAS PRIMAS PLANTA</v>
          </cell>
          <cell r="D224" t="str">
            <v>1 CAJA</v>
          </cell>
          <cell r="E224">
            <v>15381</v>
          </cell>
          <cell r="F224">
            <v>5000</v>
          </cell>
          <cell r="G224">
            <v>3.0762</v>
          </cell>
          <cell r="H224" t="str">
            <v>Gramos</v>
          </cell>
        </row>
        <row r="225">
          <cell r="A225" t="str">
            <v>1730670</v>
          </cell>
          <cell r="B225" t="str">
            <v>BOLITA FALAFEL CRUDA (PAQ:100 UND)</v>
          </cell>
          <cell r="C225" t="str">
            <v>MATERIAS PRIMAS PLANTA</v>
          </cell>
          <cell r="D225" t="str">
            <v>1 PAQUETE</v>
          </cell>
          <cell r="E225">
            <v>7200</v>
          </cell>
          <cell r="F225">
            <v>100</v>
          </cell>
          <cell r="G225">
            <v>72</v>
          </cell>
        </row>
        <row r="226">
          <cell r="A226" t="str">
            <v>1840640</v>
          </cell>
          <cell r="B226" t="str">
            <v>BOLSAS TRANSP EXTRAGRANDE 37x55 KILO</v>
          </cell>
          <cell r="C226" t="str">
            <v>EMPAQUES PLANTA</v>
          </cell>
          <cell r="D226" t="str">
            <v>1 KILO</v>
          </cell>
          <cell r="E226">
            <v>2300</v>
          </cell>
          <cell r="F226">
            <v>150</v>
          </cell>
          <cell r="G226">
            <v>15.333333333333334</v>
          </cell>
          <cell r="H226" t="str">
            <v>Gramos</v>
          </cell>
        </row>
        <row r="227">
          <cell r="A227" t="str">
            <v>1900001</v>
          </cell>
          <cell r="B227" t="str">
            <v>QUINUA BLANCA (SACO:25 Kg)</v>
          </cell>
          <cell r="C227" t="str">
            <v>MATERIAS PRIMAS PLANTA</v>
          </cell>
          <cell r="D227" t="str">
            <v>1 SACO</v>
          </cell>
          <cell r="E227" t="e">
            <v>#N/A</v>
          </cell>
          <cell r="F227">
            <v>25000</v>
          </cell>
          <cell r="G227" t="e">
            <v>#N/A</v>
          </cell>
          <cell r="H227" t="str">
            <v>Gramos</v>
          </cell>
        </row>
        <row r="228">
          <cell r="A228" t="str">
            <v>1950409</v>
          </cell>
          <cell r="B228" t="str">
            <v>TAPA P/FONDO CAJA BLANCA (PAQ:100 UND)</v>
          </cell>
          <cell r="C228" t="str">
            <v>EMPAQUES PLANTA</v>
          </cell>
          <cell r="D228" t="str">
            <v>1 PAQUETE</v>
          </cell>
          <cell r="E228">
            <v>6900</v>
          </cell>
          <cell r="F228">
            <v>100</v>
          </cell>
          <cell r="G228">
            <v>69</v>
          </cell>
        </row>
        <row r="229">
          <cell r="A229" t="str">
            <v>1950672</v>
          </cell>
          <cell r="B229" t="str">
            <v>CONT.48 ON TRAN.TAPA PLANA (CAJA:200UND)</v>
          </cell>
          <cell r="C229" t="str">
            <v>EMPAQUES PLANTA</v>
          </cell>
          <cell r="D229" t="str">
            <v>1 CAJA</v>
          </cell>
          <cell r="E229">
            <v>60103.807000000001</v>
          </cell>
          <cell r="F229">
            <v>200</v>
          </cell>
          <cell r="G229">
            <v>300.51903500000003</v>
          </cell>
          <cell r="H229" t="str">
            <v>Und</v>
          </cell>
        </row>
        <row r="230">
          <cell r="A230" t="str">
            <v>1950682</v>
          </cell>
          <cell r="B230" t="str">
            <v>CONTEN LBH 692 PRALINE (CAJA:200 UND)</v>
          </cell>
          <cell r="C230" t="str">
            <v>EMPAQUES PLANTA</v>
          </cell>
          <cell r="D230" t="str">
            <v xml:space="preserve">1 CAJA </v>
          </cell>
          <cell r="E230">
            <v>59837</v>
          </cell>
          <cell r="F230">
            <v>200</v>
          </cell>
          <cell r="G230">
            <v>299.185</v>
          </cell>
          <cell r="H230" t="str">
            <v>Und</v>
          </cell>
        </row>
        <row r="231">
          <cell r="A231" t="str">
            <v>1950692</v>
          </cell>
          <cell r="B231" t="str">
            <v>ORLA CARTON 10" DORADA (UND)</v>
          </cell>
          <cell r="C231" t="str">
            <v>EMPAQUES PLANTA</v>
          </cell>
          <cell r="D231" t="str">
            <v>1 UND</v>
          </cell>
          <cell r="E231">
            <v>137</v>
          </cell>
          <cell r="F231">
            <v>1</v>
          </cell>
          <cell r="G231">
            <v>137</v>
          </cell>
          <cell r="H231" t="str">
            <v>Und</v>
          </cell>
        </row>
        <row r="232">
          <cell r="A232" t="str">
            <v>1950693</v>
          </cell>
          <cell r="B232" t="str">
            <v>ORLA #9  DORADA (UND)</v>
          </cell>
          <cell r="C232" t="str">
            <v>EMPAQUES PLANTA</v>
          </cell>
          <cell r="D232" t="str">
            <v>1 UND</v>
          </cell>
          <cell r="E232">
            <v>135</v>
          </cell>
          <cell r="F232">
            <v>1</v>
          </cell>
          <cell r="G232">
            <v>135</v>
          </cell>
          <cell r="H232" t="str">
            <v>Und</v>
          </cell>
        </row>
        <row r="233">
          <cell r="A233" t="str">
            <v>1950699</v>
          </cell>
          <cell r="B233" t="str">
            <v>BASE PARA ROSQUETE (UND)</v>
          </cell>
          <cell r="C233" t="str">
            <v>EMPAQUES PLANTA</v>
          </cell>
          <cell r="D233" t="str">
            <v>1 UND</v>
          </cell>
          <cell r="E233">
            <v>128</v>
          </cell>
          <cell r="F233">
            <v>1</v>
          </cell>
          <cell r="G233">
            <v>128</v>
          </cell>
          <cell r="H233" t="str">
            <v>Und</v>
          </cell>
        </row>
        <row r="234">
          <cell r="A234" t="str">
            <v>1950702</v>
          </cell>
          <cell r="B234" t="str">
            <v>BOLSA 12x18 TRANSP KILO</v>
          </cell>
          <cell r="C234" t="str">
            <v>EMPAQUES PLANTA</v>
          </cell>
          <cell r="D234" t="str">
            <v xml:space="preserve">1 KILO </v>
          </cell>
          <cell r="E234">
            <v>1950</v>
          </cell>
          <cell r="F234" t="str">
            <v>1000</v>
          </cell>
          <cell r="G234">
            <v>1.95</v>
          </cell>
          <cell r="H234" t="str">
            <v>Gramos</v>
          </cell>
        </row>
        <row r="235">
          <cell r="A235" t="str">
            <v>1950704</v>
          </cell>
          <cell r="B235" t="str">
            <v>BOLSA 5x8 TRANSPARENTE KILO</v>
          </cell>
          <cell r="C235" t="str">
            <v>EMPAQUES PLANTA</v>
          </cell>
          <cell r="D235" t="str">
            <v xml:space="preserve">1 KILO </v>
          </cell>
          <cell r="E235">
            <v>2000</v>
          </cell>
          <cell r="F235" t="str">
            <v>1000</v>
          </cell>
          <cell r="G235">
            <v>2</v>
          </cell>
          <cell r="H235" t="str">
            <v>Gramos</v>
          </cell>
        </row>
        <row r="236">
          <cell r="A236" t="str">
            <v>1950705</v>
          </cell>
          <cell r="B236" t="str">
            <v>BOLSA 8x12 TRANSPARENTE KILO</v>
          </cell>
          <cell r="C236" t="str">
            <v>EMPAQUES PLANTA</v>
          </cell>
          <cell r="D236" t="str">
            <v xml:space="preserve">1 KILO  </v>
          </cell>
          <cell r="E236">
            <v>2433.42</v>
          </cell>
          <cell r="F236" t="str">
            <v>180</v>
          </cell>
          <cell r="G236">
            <v>13.519</v>
          </cell>
          <cell r="H236" t="str">
            <v>Und</v>
          </cell>
        </row>
        <row r="237">
          <cell r="A237" t="str">
            <v>1950708</v>
          </cell>
          <cell r="B237" t="str">
            <v>BOLSA 17x25 TRANSP KILO</v>
          </cell>
          <cell r="C237" t="str">
            <v>EMPAQUES PLANTA</v>
          </cell>
          <cell r="D237" t="str">
            <v>1 KILO</v>
          </cell>
          <cell r="E237">
            <v>2000</v>
          </cell>
          <cell r="F237" t="str">
            <v>1000</v>
          </cell>
          <cell r="G237">
            <v>2</v>
          </cell>
          <cell r="H237" t="str">
            <v>Gramos</v>
          </cell>
        </row>
        <row r="238">
          <cell r="A238" t="str">
            <v>1950716</v>
          </cell>
          <cell r="B238" t="str">
            <v>BANDEJA  94121 24 OZ (CAJA:200 UND)</v>
          </cell>
          <cell r="C238" t="str">
            <v>EMPAQUES PLANTA</v>
          </cell>
          <cell r="D238" t="str">
            <v>1 CAJA</v>
          </cell>
          <cell r="E238">
            <v>26081</v>
          </cell>
          <cell r="F238">
            <v>200</v>
          </cell>
          <cell r="G238">
            <v>130.405</v>
          </cell>
          <cell r="H238" t="str">
            <v>Und</v>
          </cell>
        </row>
        <row r="239">
          <cell r="A239" t="str">
            <v>1950725</v>
          </cell>
          <cell r="B239" t="str">
            <v>CAJA TROQUELADA # 25 (UND)</v>
          </cell>
          <cell r="C239" t="str">
            <v>EMPAQUES PLANTA</v>
          </cell>
          <cell r="D239" t="str">
            <v>1 UND</v>
          </cell>
          <cell r="E239">
            <v>2119</v>
          </cell>
          <cell r="F239" t="str">
            <v>1</v>
          </cell>
          <cell r="G239">
            <v>2119</v>
          </cell>
          <cell r="H239" t="str">
            <v>Und</v>
          </cell>
        </row>
        <row r="240">
          <cell r="A240" t="str">
            <v>1950729</v>
          </cell>
          <cell r="B240" t="str">
            <v>CAJA BLANCA MEDIANA (PAQ:100 UND)</v>
          </cell>
          <cell r="C240" t="str">
            <v>EMPAQUES PLANTA</v>
          </cell>
          <cell r="D240" t="str">
            <v>1 PAQUETE</v>
          </cell>
          <cell r="E240">
            <v>4975</v>
          </cell>
          <cell r="F240">
            <v>100</v>
          </cell>
          <cell r="G240">
            <v>49.75</v>
          </cell>
          <cell r="H240" t="str">
            <v>Und</v>
          </cell>
        </row>
        <row r="241">
          <cell r="A241" t="str">
            <v>1950730</v>
          </cell>
          <cell r="B241" t="str">
            <v>CAJA BLANCA PEQUEÑA (PAQ:100 UND)</v>
          </cell>
          <cell r="C241" t="str">
            <v>EMPAQUES PLANTA</v>
          </cell>
          <cell r="D241" t="str">
            <v>1 PAQUETE</v>
          </cell>
          <cell r="E241">
            <v>3050</v>
          </cell>
          <cell r="F241">
            <v>100</v>
          </cell>
          <cell r="G241">
            <v>30.5</v>
          </cell>
          <cell r="H241" t="str">
            <v>Und</v>
          </cell>
        </row>
        <row r="242">
          <cell r="A242" t="str">
            <v>1950731</v>
          </cell>
          <cell r="B242" t="str">
            <v>CAPSULA # 3 LOGO (PAQ:1000 UND)</v>
          </cell>
          <cell r="C242" t="str">
            <v>EMPAQUES PLANTA</v>
          </cell>
          <cell r="D242" t="str">
            <v>1 PAQUETE</v>
          </cell>
          <cell r="E242">
            <v>9850</v>
          </cell>
          <cell r="F242">
            <v>1000</v>
          </cell>
          <cell r="G242">
            <v>9.85</v>
          </cell>
        </row>
        <row r="243">
          <cell r="A243" t="str">
            <v>1950733</v>
          </cell>
          <cell r="B243" t="str">
            <v>CAPSULA # 10 BLANCA (PAQ:500 UND)</v>
          </cell>
          <cell r="C243" t="str">
            <v>EMPAQUES PLANTA</v>
          </cell>
          <cell r="D243" t="str">
            <v>1 PAQUETE</v>
          </cell>
          <cell r="E243">
            <v>3484.88</v>
          </cell>
          <cell r="F243">
            <v>500</v>
          </cell>
          <cell r="G243">
            <v>6.96976</v>
          </cell>
          <cell r="H243" t="str">
            <v>Und</v>
          </cell>
        </row>
        <row r="244">
          <cell r="A244" t="str">
            <v>1950735</v>
          </cell>
          <cell r="B244" t="str">
            <v>CAPSULA # 5 LOGO (PAQ:1000 UND)</v>
          </cell>
          <cell r="C244" t="str">
            <v>EMPAQUES PLANTA</v>
          </cell>
          <cell r="D244" t="str">
            <v>1 PAQUETE</v>
          </cell>
          <cell r="E244">
            <v>11555</v>
          </cell>
          <cell r="F244">
            <v>1000</v>
          </cell>
          <cell r="G244">
            <v>11.555</v>
          </cell>
          <cell r="H244" t="str">
            <v>Und</v>
          </cell>
        </row>
        <row r="245">
          <cell r="A245" t="str">
            <v>1959752</v>
          </cell>
          <cell r="B245" t="str">
            <v>CAJA BLANCA MINI (PAQ:100 UND)</v>
          </cell>
          <cell r="C245" t="str">
            <v>EMPAQUES PLANTA</v>
          </cell>
          <cell r="D245" t="str">
            <v>1 PAQUETE</v>
          </cell>
          <cell r="E245">
            <v>2575</v>
          </cell>
          <cell r="F245">
            <v>100</v>
          </cell>
          <cell r="G245">
            <v>25.75</v>
          </cell>
          <cell r="H245" t="str">
            <v>Und</v>
          </cell>
        </row>
        <row r="246">
          <cell r="A246" t="str">
            <v>1950756</v>
          </cell>
          <cell r="B246" t="str">
            <v>BANDEJA ALUMINIO# 4040 6P (CAJA:250 UND)</v>
          </cell>
          <cell r="C246" t="str">
            <v>EMPAQUES PLANTA</v>
          </cell>
          <cell r="D246" t="str">
            <v>1 CAJA</v>
          </cell>
          <cell r="E246">
            <v>272.49599999999998</v>
          </cell>
          <cell r="F246">
            <v>1</v>
          </cell>
          <cell r="G246">
            <v>272.49599999999998</v>
          </cell>
          <cell r="H246" t="str">
            <v>Und</v>
          </cell>
        </row>
        <row r="247">
          <cell r="A247" t="str">
            <v>1950769</v>
          </cell>
          <cell r="B247" t="str">
            <v>ORLA N°3 DORADA (UND)</v>
          </cell>
          <cell r="C247" t="str">
            <v>EMPAQUES PLANTA</v>
          </cell>
          <cell r="D247" t="str">
            <v>1 UND</v>
          </cell>
          <cell r="E247" t="e">
            <v>#N/A</v>
          </cell>
          <cell r="F247">
            <v>1</v>
          </cell>
          <cell r="G247" t="e">
            <v>#N/A</v>
          </cell>
          <cell r="H247" t="str">
            <v>Und</v>
          </cell>
        </row>
        <row r="248">
          <cell r="A248" t="str">
            <v>1950772</v>
          </cell>
          <cell r="B248" t="str">
            <v>PAPEL ENCERADO 10X10 (CAJA)</v>
          </cell>
          <cell r="C248" t="str">
            <v>EMPAQUES PLANTA</v>
          </cell>
          <cell r="D248" t="str">
            <v>1 CAJA</v>
          </cell>
          <cell r="E248">
            <v>7100</v>
          </cell>
          <cell r="F248">
            <v>500</v>
          </cell>
          <cell r="G248">
            <v>14.2</v>
          </cell>
          <cell r="H248" t="str">
            <v>Und</v>
          </cell>
        </row>
        <row r="249">
          <cell r="A249" t="str">
            <v>1950786</v>
          </cell>
          <cell r="B249" t="str">
            <v>BOLSA IMP. SPOON CAMI 12*25 KILO</v>
          </cell>
          <cell r="C249" t="str">
            <v>EMPAQUES PLANTA</v>
          </cell>
          <cell r="D249" t="str">
            <v>1 KILO</v>
          </cell>
          <cell r="E249">
            <v>2350</v>
          </cell>
          <cell r="G249" t="e">
            <v>#DIV/0!</v>
          </cell>
          <cell r="H249" t="str">
            <v>Gramos</v>
          </cell>
        </row>
        <row r="250">
          <cell r="A250" t="str">
            <v>1950808</v>
          </cell>
          <cell r="B250" t="str">
            <v>ORLA CARTON  8" DORADA (UND)</v>
          </cell>
          <cell r="C250" t="str">
            <v>EMPAQUES PLANTA</v>
          </cell>
          <cell r="D250" t="str">
            <v>1 UND</v>
          </cell>
          <cell r="E250">
            <v>95</v>
          </cell>
          <cell r="F250">
            <v>1</v>
          </cell>
          <cell r="G250">
            <v>95</v>
          </cell>
          <cell r="H250" t="str">
            <v>Und</v>
          </cell>
        </row>
        <row r="251">
          <cell r="A251" t="str">
            <v>1950811</v>
          </cell>
          <cell r="B251" t="str">
            <v>BASE CARTON 15 PORCIONES (UND)</v>
          </cell>
          <cell r="C251" t="str">
            <v>EMPAQUES PLANTA</v>
          </cell>
          <cell r="D251" t="str">
            <v>1 UND</v>
          </cell>
          <cell r="E251">
            <v>200</v>
          </cell>
          <cell r="F251">
            <v>1</v>
          </cell>
          <cell r="G251">
            <v>200</v>
          </cell>
          <cell r="H251" t="str">
            <v>Und</v>
          </cell>
        </row>
        <row r="252">
          <cell r="A252" t="str">
            <v>1950818</v>
          </cell>
          <cell r="B252" t="str">
            <v>QUEQUERA RECT. T41 (CAJA:50 UND)</v>
          </cell>
          <cell r="C252" t="str">
            <v>EMPAQUES PLANTA</v>
          </cell>
          <cell r="D252" t="str">
            <v>1 CAJA</v>
          </cell>
          <cell r="E252" t="e">
            <v>#N/A</v>
          </cell>
          <cell r="F252">
            <v>50</v>
          </cell>
          <cell r="G252" t="e">
            <v>#N/A</v>
          </cell>
          <cell r="H252" t="str">
            <v>Und</v>
          </cell>
        </row>
        <row r="253">
          <cell r="A253" t="str">
            <v>1950829</v>
          </cell>
          <cell r="B253" t="str">
            <v>BASE CARTON 30 PORCIONES UND</v>
          </cell>
          <cell r="C253" t="str">
            <v>EMPAQUES PLANTA</v>
          </cell>
          <cell r="D253" t="str">
            <v>1 UND</v>
          </cell>
          <cell r="E253">
            <v>287</v>
          </cell>
          <cell r="F253">
            <v>1</v>
          </cell>
          <cell r="G253">
            <v>287</v>
          </cell>
          <cell r="H253" t="str">
            <v>Und</v>
          </cell>
        </row>
        <row r="254">
          <cell r="A254" t="str">
            <v>1950837</v>
          </cell>
          <cell r="B254" t="str">
            <v>FONDO P/CAJA BLANCA (PAQ:100 UND)</v>
          </cell>
          <cell r="C254" t="str">
            <v>EMPAQUES PLANTA</v>
          </cell>
          <cell r="D254" t="str">
            <v>1 PAQUETE</v>
          </cell>
          <cell r="E254">
            <v>6900</v>
          </cell>
          <cell r="F254">
            <v>100</v>
          </cell>
          <cell r="G254">
            <v>69</v>
          </cell>
        </row>
        <row r="255">
          <cell r="A255" t="str">
            <v>1950853</v>
          </cell>
          <cell r="B255" t="str">
            <v>VASO 9oz SUNDA TS9 PAQ:50(CAJA:1000 UND)</v>
          </cell>
          <cell r="C255" t="str">
            <v>EMPAQUES PLANTA</v>
          </cell>
          <cell r="D255" t="str">
            <v>1 CAJA</v>
          </cell>
          <cell r="E255">
            <v>45650</v>
          </cell>
          <cell r="F255">
            <v>1000</v>
          </cell>
          <cell r="G255">
            <v>45.65</v>
          </cell>
        </row>
        <row r="256">
          <cell r="A256" t="str">
            <v>1950854</v>
          </cell>
          <cell r="B256" t="str">
            <v>TAPA VASO 9oz P/SUN PAQ:50 (CAJA:2000UN)</v>
          </cell>
          <cell r="C256" t="str">
            <v>EMPAQUES PLANTA</v>
          </cell>
          <cell r="D256" t="str">
            <v>1 CAJA</v>
          </cell>
          <cell r="E256">
            <v>43450</v>
          </cell>
          <cell r="F256">
            <v>2000</v>
          </cell>
          <cell r="G256">
            <v>21.725000000000001</v>
          </cell>
        </row>
        <row r="257">
          <cell r="A257" t="str">
            <v>1950873</v>
          </cell>
          <cell r="B257" t="str">
            <v>BOLSA CELOFAN 30X45 (KILO)</v>
          </cell>
          <cell r="C257" t="str">
            <v>EMPAQUES PLANTA</v>
          </cell>
          <cell r="D257" t="str">
            <v>1 KILO</v>
          </cell>
          <cell r="E257">
            <v>4974</v>
          </cell>
          <cell r="F257" t="str">
            <v>1000</v>
          </cell>
          <cell r="G257">
            <v>4.9740000000000002</v>
          </cell>
          <cell r="H257" t="str">
            <v>Gramos</v>
          </cell>
        </row>
        <row r="258">
          <cell r="A258" t="str">
            <v>1950895</v>
          </cell>
          <cell r="B258" t="str">
            <v>BOLSA CELOFAN 6 X 9 (KILO)</v>
          </cell>
          <cell r="C258" t="str">
            <v>EMPAQUES PLANTA</v>
          </cell>
          <cell r="D258" t="str">
            <v>1 KILO</v>
          </cell>
          <cell r="E258">
            <v>4974</v>
          </cell>
          <cell r="F258">
            <v>334</v>
          </cell>
          <cell r="G258">
            <v>14.892215568862275</v>
          </cell>
          <cell r="H258" t="str">
            <v>Unidades</v>
          </cell>
        </row>
        <row r="259">
          <cell r="A259" t="str">
            <v>1950904</v>
          </cell>
          <cell r="B259" t="str">
            <v>BOLSA TRANSPARENTE  6 X 10 KILO</v>
          </cell>
          <cell r="C259" t="str">
            <v>EMPAQUES PLANTA</v>
          </cell>
          <cell r="D259" t="str">
            <v>1 KILO</v>
          </cell>
          <cell r="E259">
            <v>2433.42</v>
          </cell>
          <cell r="F259" t="str">
            <v>1000</v>
          </cell>
          <cell r="G259">
            <v>2.4334199999999999</v>
          </cell>
          <cell r="H259" t="str">
            <v>Gramos</v>
          </cell>
        </row>
        <row r="260">
          <cell r="A260" t="str">
            <v>1950909</v>
          </cell>
          <cell r="B260" t="str">
            <v>CONT.24 ONZ.TAPA PLANA (CAJA:200 UND)</v>
          </cell>
          <cell r="C260" t="str">
            <v>EMPAQUES PLANTA</v>
          </cell>
          <cell r="D260" t="str">
            <v>1 CAJA</v>
          </cell>
          <cell r="E260">
            <v>62316</v>
          </cell>
          <cell r="F260">
            <v>200</v>
          </cell>
          <cell r="G260">
            <v>311.58</v>
          </cell>
          <cell r="H260" t="str">
            <v>Und</v>
          </cell>
        </row>
        <row r="261">
          <cell r="A261" t="str">
            <v>1950914</v>
          </cell>
          <cell r="B261" t="str">
            <v>PORTA VASO 4 CAVIDADES (UND)</v>
          </cell>
          <cell r="C261" t="str">
            <v>EMPAQUES PLANTA</v>
          </cell>
          <cell r="D261" t="str">
            <v>1 UND</v>
          </cell>
          <cell r="E261">
            <v>70.39</v>
          </cell>
          <cell r="F261">
            <v>1</v>
          </cell>
          <cell r="G261">
            <v>70.39</v>
          </cell>
        </row>
        <row r="262">
          <cell r="A262" t="str">
            <v>50100052</v>
          </cell>
          <cell r="B262" t="str">
            <v>TAPA CONTENEDOR SUFLE 1OZ (PAQ: 100 UND)</v>
          </cell>
          <cell r="C262" t="str">
            <v>EMPAQUES PLANTA</v>
          </cell>
          <cell r="D262" t="str">
            <v>1 PAQUETE</v>
          </cell>
          <cell r="E262">
            <v>342</v>
          </cell>
          <cell r="F262">
            <v>100</v>
          </cell>
          <cell r="G262">
            <v>3.42</v>
          </cell>
        </row>
        <row r="263">
          <cell r="A263" t="str">
            <v>1950928</v>
          </cell>
          <cell r="B263" t="str">
            <v>BOLSA TRANSPARENTE 56X96X1.80 KILO</v>
          </cell>
          <cell r="C263" t="str">
            <v>EMPAQUES PLANTA</v>
          </cell>
          <cell r="D263" t="str">
            <v>1 KILO</v>
          </cell>
          <cell r="E263">
            <v>1950</v>
          </cell>
          <cell r="F263" t="str">
            <v>1000</v>
          </cell>
          <cell r="G263">
            <v>1.95</v>
          </cell>
          <cell r="H263" t="str">
            <v>Gramos</v>
          </cell>
        </row>
        <row r="264">
          <cell r="A264" t="str">
            <v>1950942</v>
          </cell>
          <cell r="B264" t="str">
            <v>ORLA #4 AZUL REDONDA (UND)</v>
          </cell>
          <cell r="C264" t="str">
            <v>EMPAQUES PLANTA</v>
          </cell>
          <cell r="D264" t="str">
            <v>1 UND</v>
          </cell>
          <cell r="E264">
            <v>42</v>
          </cell>
          <cell r="F264">
            <v>1</v>
          </cell>
          <cell r="G264">
            <v>42</v>
          </cell>
        </row>
        <row r="265">
          <cell r="A265" t="str">
            <v>1952400</v>
          </cell>
          <cell r="B265" t="str">
            <v>BOLSA BUCCA PALMERITAS (10*20CM)( KILO )</v>
          </cell>
          <cell r="C265" t="str">
            <v>EMPAQUES PLANTA</v>
          </cell>
          <cell r="D265" t="str">
            <v>1 KILO</v>
          </cell>
          <cell r="E265">
            <v>4374.53</v>
          </cell>
          <cell r="F265">
            <v>1000</v>
          </cell>
          <cell r="G265">
            <v>4.37453</v>
          </cell>
          <cell r="H265" t="str">
            <v>Gramos</v>
          </cell>
        </row>
        <row r="266">
          <cell r="A266" t="str">
            <v>1952409</v>
          </cell>
          <cell r="B266" t="str">
            <v>BANDEJA ALUMINIO A-42 (4POR)(CAJA:500 U)</v>
          </cell>
          <cell r="C266" t="str">
            <v>EMPAQUES PLANTA</v>
          </cell>
          <cell r="D266" t="str">
            <v>1 UND</v>
          </cell>
          <cell r="E266" t="e">
            <v>#N/A</v>
          </cell>
          <cell r="F266">
            <v>1</v>
          </cell>
          <cell r="G266" t="e">
            <v>#N/A</v>
          </cell>
          <cell r="H266" t="str">
            <v>Und</v>
          </cell>
        </row>
        <row r="267">
          <cell r="A267" t="str">
            <v>1952410</v>
          </cell>
          <cell r="B267" t="str">
            <v>TAPA CONTE.ALUMI A-42 (4 POR) (CAJA:500)</v>
          </cell>
          <cell r="C267" t="str">
            <v>EMPAQUES PLANTA</v>
          </cell>
          <cell r="D267" t="str">
            <v>1 UND</v>
          </cell>
          <cell r="E267" t="e">
            <v>#N/A</v>
          </cell>
          <cell r="F267">
            <v>1</v>
          </cell>
          <cell r="G267" t="e">
            <v>#N/A</v>
          </cell>
          <cell r="H267" t="str">
            <v>Und</v>
          </cell>
        </row>
        <row r="268">
          <cell r="A268" t="str">
            <v>1952432</v>
          </cell>
          <cell r="B268" t="str">
            <v>TAPA BAND ALUM 4040 (CAJA:250 UND)</v>
          </cell>
          <cell r="C268" t="str">
            <v>EMPAQUES PLANTA</v>
          </cell>
          <cell r="D268" t="str">
            <v>1 CAJA</v>
          </cell>
          <cell r="E268">
            <v>117.636</v>
          </cell>
          <cell r="F268">
            <v>1</v>
          </cell>
          <cell r="G268">
            <v>117.636</v>
          </cell>
          <cell r="H268" t="str">
            <v>Und</v>
          </cell>
        </row>
        <row r="269">
          <cell r="A269" t="str">
            <v>1952434</v>
          </cell>
          <cell r="B269" t="str">
            <v>CAJA SPOON #1 (20 UND) (INDUSTRIA)</v>
          </cell>
          <cell r="C269" t="str">
            <v>EMPAQUES PLANTA</v>
          </cell>
          <cell r="D269" t="str">
            <v>1 UND</v>
          </cell>
          <cell r="E269">
            <v>625</v>
          </cell>
          <cell r="F269">
            <v>1</v>
          </cell>
          <cell r="G269">
            <v>625</v>
          </cell>
        </row>
        <row r="270">
          <cell r="A270" t="str">
            <v>1952445</v>
          </cell>
          <cell r="B270" t="str">
            <v>CAJA SIX PACK MUSMANNI (UND)</v>
          </cell>
          <cell r="C270" t="str">
            <v>EMPAQUES PLANTA</v>
          </cell>
          <cell r="D270" t="str">
            <v>1 UND</v>
          </cell>
          <cell r="E270">
            <v>235</v>
          </cell>
          <cell r="F270">
            <v>1</v>
          </cell>
          <cell r="G270">
            <v>235</v>
          </cell>
        </row>
        <row r="271">
          <cell r="A271" t="str">
            <v>1952856</v>
          </cell>
          <cell r="B271" t="str">
            <v>BOLSA TRANSPARENTE 76X24X210 (KILO)</v>
          </cell>
          <cell r="C271" t="str">
            <v>EMPAQUES PLANTA</v>
          </cell>
          <cell r="D271" t="str">
            <v>1 KILO</v>
          </cell>
          <cell r="E271" t="e">
            <v>#N/A</v>
          </cell>
          <cell r="F271">
            <v>378</v>
          </cell>
          <cell r="G271" t="e">
            <v>#N/A</v>
          </cell>
          <cell r="H271" t="str">
            <v>Und</v>
          </cell>
        </row>
        <row r="272">
          <cell r="A272" t="str">
            <v>1952871</v>
          </cell>
          <cell r="B272" t="str">
            <v>CAJA PRALINE (UND)</v>
          </cell>
          <cell r="C272" t="str">
            <v>EMPAQUES PLANTA</v>
          </cell>
          <cell r="D272" t="str">
            <v>1 UND</v>
          </cell>
          <cell r="E272" t="e">
            <v>#N/A</v>
          </cell>
          <cell r="F272">
            <v>1</v>
          </cell>
          <cell r="G272" t="e">
            <v>#N/A</v>
          </cell>
        </row>
        <row r="273">
          <cell r="A273" t="str">
            <v>1952874</v>
          </cell>
          <cell r="B273" t="str">
            <v>ORLA #8 BUCCA (UND)</v>
          </cell>
          <cell r="C273" t="str">
            <v>EMPAQUES PLANTA</v>
          </cell>
          <cell r="D273" t="str">
            <v>1 UND</v>
          </cell>
          <cell r="E273">
            <v>95</v>
          </cell>
          <cell r="F273">
            <v>1</v>
          </cell>
          <cell r="G273">
            <v>95</v>
          </cell>
          <cell r="H273" t="str">
            <v>Und</v>
          </cell>
        </row>
        <row r="274">
          <cell r="A274" t="str">
            <v>1952875</v>
          </cell>
          <cell r="B274" t="str">
            <v>ORLA # 10 BUCCA (UND)</v>
          </cell>
          <cell r="C274" t="str">
            <v>EMPAQUES PLANTA</v>
          </cell>
          <cell r="D274" t="str">
            <v>1 UND</v>
          </cell>
          <cell r="E274">
            <v>137</v>
          </cell>
          <cell r="F274">
            <v>1</v>
          </cell>
          <cell r="G274">
            <v>137</v>
          </cell>
        </row>
        <row r="275">
          <cell r="A275" t="str">
            <v>1952910</v>
          </cell>
          <cell r="B275" t="str">
            <v>CAJA CARTON GRANDE (UND)</v>
          </cell>
          <cell r="C275" t="str">
            <v>EMPAQUES PLANTA</v>
          </cell>
          <cell r="D275" t="str">
            <v>1 UND</v>
          </cell>
          <cell r="E275">
            <v>758</v>
          </cell>
          <cell r="F275">
            <v>1</v>
          </cell>
          <cell r="G275">
            <v>758</v>
          </cell>
        </row>
        <row r="276">
          <cell r="A276" t="str">
            <v>1952912</v>
          </cell>
          <cell r="B276" t="str">
            <v>CONTENEDOR TRIANGU ALTO (CAJA:200 UND)</v>
          </cell>
          <cell r="C276" t="str">
            <v>EMPAQUES PLANTA</v>
          </cell>
          <cell r="D276" t="str">
            <v>1 CAJA</v>
          </cell>
          <cell r="E276">
            <v>16731</v>
          </cell>
          <cell r="F276">
            <v>200</v>
          </cell>
          <cell r="G276">
            <v>83.655000000000001</v>
          </cell>
        </row>
        <row r="277">
          <cell r="A277" t="str">
            <v>1952919</v>
          </cell>
          <cell r="B277" t="str">
            <v>CAJA PRALINE 2 (UND)</v>
          </cell>
          <cell r="C277" t="str">
            <v>EMPAQUES PLANTA</v>
          </cell>
          <cell r="D277" t="str">
            <v>1 UND</v>
          </cell>
          <cell r="E277">
            <v>410</v>
          </cell>
          <cell r="F277">
            <v>1</v>
          </cell>
          <cell r="G277">
            <v>410</v>
          </cell>
          <cell r="H277" t="str">
            <v>Und</v>
          </cell>
        </row>
        <row r="278">
          <cell r="A278" t="str">
            <v>2000001</v>
          </cell>
          <cell r="B278" t="str">
            <v>SALMON AHUMADO  (PAQ:900g)</v>
          </cell>
          <cell r="C278" t="str">
            <v>MATERIAS PRIMAS PLANTA</v>
          </cell>
          <cell r="D278" t="str">
            <v>1 PAQUETE</v>
          </cell>
          <cell r="E278">
            <v>16850</v>
          </cell>
          <cell r="F278">
            <v>900</v>
          </cell>
          <cell r="G278">
            <v>18.722222222222221</v>
          </cell>
        </row>
        <row r="279">
          <cell r="A279" t="str">
            <v>2000002</v>
          </cell>
          <cell r="B279" t="str">
            <v>CARNE ANALOGA POLLO (CAJA:13.6 Kg)</v>
          </cell>
          <cell r="C279" t="str">
            <v>MATERIAS PRIMAS PLANTA</v>
          </cell>
          <cell r="D279" t="str">
            <v>1 CAJA</v>
          </cell>
          <cell r="E279" t="e">
            <v>#N/A</v>
          </cell>
          <cell r="F279">
            <v>13600</v>
          </cell>
          <cell r="G279" t="e">
            <v>#N/A</v>
          </cell>
          <cell r="H279" t="str">
            <v>Gramos</v>
          </cell>
        </row>
        <row r="280">
          <cell r="A280" t="str">
            <v>2001001</v>
          </cell>
          <cell r="B280" t="str">
            <v>PEPINO ENTERO KILO</v>
          </cell>
          <cell r="C280" t="str">
            <v>MATERIAS PRIMAS PLANTA</v>
          </cell>
          <cell r="D280" t="str">
            <v>1 KILO</v>
          </cell>
          <cell r="E280">
            <v>600</v>
          </cell>
          <cell r="F280">
            <v>1000</v>
          </cell>
          <cell r="G280">
            <v>0.6</v>
          </cell>
          <cell r="H280" t="str">
            <v>Gramos</v>
          </cell>
        </row>
        <row r="281">
          <cell r="A281" t="str">
            <v>2006223</v>
          </cell>
          <cell r="B281" t="str">
            <v>TORTILLA REDONDITA RUMBA (PAQ:1 KG)</v>
          </cell>
          <cell r="C281" t="str">
            <v>MATERIAS PRIMAS PLANTA</v>
          </cell>
          <cell r="D281" t="str">
            <v>1 PAQUETE</v>
          </cell>
          <cell r="E281">
            <v>1884</v>
          </cell>
          <cell r="F281">
            <v>1000</v>
          </cell>
          <cell r="G281">
            <v>1.8839999999999999</v>
          </cell>
        </row>
        <row r="282">
          <cell r="A282" t="str">
            <v>2172411</v>
          </cell>
          <cell r="B282" t="str">
            <v>ET. TORTA BUCCA GENERICA PEQUEÑA (UND)</v>
          </cell>
          <cell r="C282" t="str">
            <v>ETIQUETAS PLANTA</v>
          </cell>
          <cell r="D282" t="str">
            <v>1 UND</v>
          </cell>
          <cell r="E282">
            <v>25.8</v>
          </cell>
          <cell r="F282">
            <v>1</v>
          </cell>
          <cell r="G282">
            <v>25.8</v>
          </cell>
          <cell r="H282" t="str">
            <v>Und</v>
          </cell>
        </row>
        <row r="283">
          <cell r="A283" t="str">
            <v>3110271</v>
          </cell>
          <cell r="B283" t="str">
            <v>FILET TILAPIA (5-7 ONZ P/KILO)</v>
          </cell>
          <cell r="C283" t="str">
            <v>MATERIAS PRIMAS PLANTA</v>
          </cell>
          <cell r="D283" t="str">
            <v>1 KILO</v>
          </cell>
          <cell r="E283" t="e">
            <v>#N/A</v>
          </cell>
          <cell r="F283">
            <v>1000</v>
          </cell>
          <cell r="G283" t="e">
            <v>#N/A</v>
          </cell>
          <cell r="H283" t="str">
            <v>Gramos</v>
          </cell>
        </row>
        <row r="284">
          <cell r="A284" t="str">
            <v>5000001</v>
          </cell>
          <cell r="B284" t="str">
            <v>SAL INDUSTRIA (SACO:25 Kg)</v>
          </cell>
          <cell r="C284" t="str">
            <v>MATERIAS PRIMAS PLANTA</v>
          </cell>
          <cell r="D284" t="str">
            <v>1 SACO</v>
          </cell>
          <cell r="E284">
            <v>6920</v>
          </cell>
          <cell r="F284">
            <v>25000</v>
          </cell>
          <cell r="G284">
            <v>0.27679999999999999</v>
          </cell>
          <cell r="H284" t="str">
            <v>Gramos</v>
          </cell>
        </row>
        <row r="285">
          <cell r="A285" t="str">
            <v>10100003</v>
          </cell>
          <cell r="B285" t="str">
            <v>AZUCAR POLVO P.REAL (PAQ:2.5 Kg)</v>
          </cell>
          <cell r="C285" t="str">
            <v>MATERIAS PRIMAS PLANTA</v>
          </cell>
          <cell r="D285" t="str">
            <v>1 PAQUETE</v>
          </cell>
          <cell r="E285">
            <v>2432</v>
          </cell>
          <cell r="F285">
            <v>2500</v>
          </cell>
          <cell r="G285">
            <v>0.9728</v>
          </cell>
          <cell r="H285" t="str">
            <v>Gramos</v>
          </cell>
        </row>
        <row r="286">
          <cell r="A286" t="str">
            <v>11200087</v>
          </cell>
          <cell r="B286" t="str">
            <v>COCENTRADO VAINILLA DAWN</v>
          </cell>
          <cell r="C286" t="str">
            <v>MATERIAS PRIMAS PLANTA</v>
          </cell>
          <cell r="D286" t="str">
            <v>1 SACO</v>
          </cell>
          <cell r="E286">
            <v>53776.98</v>
          </cell>
          <cell r="F286" t="str">
            <v>22700</v>
          </cell>
          <cell r="G286">
            <v>2.3690299559471368</v>
          </cell>
          <cell r="H286" t="str">
            <v>Gramos</v>
          </cell>
        </row>
        <row r="287">
          <cell r="A287" t="str">
            <v>10100337</v>
          </cell>
          <cell r="B287" t="str">
            <v>CMC CARBOXIMETIL CELULOSA (PAQ 500 G)</v>
          </cell>
          <cell r="C287" t="str">
            <v>MATERIAS PRIMAS PLANTA</v>
          </cell>
          <cell r="D287" t="str">
            <v>1 PAQUETE</v>
          </cell>
          <cell r="E287">
            <v>4567.0200000000004</v>
          </cell>
          <cell r="F287" t="str">
            <v>500</v>
          </cell>
          <cell r="G287">
            <v>9.1340400000000006</v>
          </cell>
          <cell r="H287" t="str">
            <v>Gramos</v>
          </cell>
        </row>
        <row r="288">
          <cell r="A288" t="str">
            <v>10100039</v>
          </cell>
          <cell r="B288" t="str">
            <v>CHIPS CHOCOLATE AMARGO (PAQ: 2,5 k)</v>
          </cell>
          <cell r="C288" t="str">
            <v>MATERIAS PRIMAS PLANTA</v>
          </cell>
          <cell r="D288" t="str">
            <v>1 PAQUETE</v>
          </cell>
          <cell r="E288">
            <v>16169</v>
          </cell>
          <cell r="F288">
            <v>2500</v>
          </cell>
          <cell r="G288">
            <v>6.4676</v>
          </cell>
          <cell r="H288" t="str">
            <v>Gramos</v>
          </cell>
        </row>
        <row r="289">
          <cell r="A289" t="str">
            <v>10100041</v>
          </cell>
          <cell r="B289" t="str">
            <v>GARBANZOS (UND:3 K)</v>
          </cell>
          <cell r="C289" t="str">
            <v>MATERIAS PRIMAS PLANTA</v>
          </cell>
          <cell r="D289" t="str">
            <v>1 UND</v>
          </cell>
          <cell r="E289">
            <v>3422</v>
          </cell>
          <cell r="F289">
            <v>3000</v>
          </cell>
          <cell r="G289">
            <v>1.1406666666666667</v>
          </cell>
          <cell r="H289" t="str">
            <v>Gramos</v>
          </cell>
        </row>
        <row r="290">
          <cell r="A290" t="str">
            <v>10100045</v>
          </cell>
          <cell r="B290" t="str">
            <v>AZUCAR CARAMELO (PAQ:0.5 K)</v>
          </cell>
          <cell r="C290" t="str">
            <v>MATERIAS PRIMAS PLANTA</v>
          </cell>
          <cell r="D290" t="str">
            <v>1 PAQUETE</v>
          </cell>
          <cell r="E290">
            <v>554</v>
          </cell>
          <cell r="F290">
            <v>500</v>
          </cell>
          <cell r="G290">
            <v>1.1080000000000001</v>
          </cell>
          <cell r="H290" t="str">
            <v>Gramos</v>
          </cell>
        </row>
        <row r="291">
          <cell r="A291" t="str">
            <v>10100046</v>
          </cell>
          <cell r="B291" t="str">
            <v>POLVO HORNEAR FLEISHMAN (PAQ:2.5 K)</v>
          </cell>
          <cell r="C291" t="str">
            <v>MATERIAS PRIMAS PLANTA</v>
          </cell>
          <cell r="D291" t="str">
            <v>1 PAQUETE</v>
          </cell>
          <cell r="E291">
            <v>2567</v>
          </cell>
          <cell r="F291">
            <v>2500</v>
          </cell>
          <cell r="G291">
            <v>1.0267999999999999</v>
          </cell>
          <cell r="H291" t="str">
            <v>Gramos</v>
          </cell>
        </row>
        <row r="292">
          <cell r="A292" t="str">
            <v>10100048</v>
          </cell>
          <cell r="B292" t="str">
            <v>SIROPE KARO DARK (UND: 3.78 K)</v>
          </cell>
          <cell r="C292" t="str">
            <v>MATERIAS PRIMAS PLANTA</v>
          </cell>
          <cell r="D292" t="str">
            <v>1 UND</v>
          </cell>
          <cell r="E292">
            <v>13498</v>
          </cell>
          <cell r="F292">
            <v>3780</v>
          </cell>
          <cell r="G292">
            <v>3.5708994708994708</v>
          </cell>
          <cell r="H292" t="str">
            <v>Mililitros</v>
          </cell>
        </row>
        <row r="293">
          <cell r="A293" t="str">
            <v>10100049</v>
          </cell>
          <cell r="B293" t="str">
            <v>ACEITE LIBRE TRANS INOLAS (UND:15.88 L)</v>
          </cell>
          <cell r="C293" t="str">
            <v>MATERIAS PRIMAS PLANTA</v>
          </cell>
          <cell r="D293" t="str">
            <v>1 UND</v>
          </cell>
          <cell r="E293">
            <v>26231</v>
          </cell>
          <cell r="F293">
            <v>15880</v>
          </cell>
          <cell r="G293">
            <v>1.6518261964735517</v>
          </cell>
          <cell r="H293" t="str">
            <v>Mililitros</v>
          </cell>
        </row>
        <row r="294">
          <cell r="A294" t="str">
            <v>106000006</v>
          </cell>
          <cell r="B294" t="str">
            <v>ENCURTIDO EN MOSTAZA (UND:960 G)</v>
          </cell>
          <cell r="C294" t="str">
            <v>MATERIAS PRIMAS PLANTA</v>
          </cell>
          <cell r="D294" t="str">
            <v>1 UND</v>
          </cell>
          <cell r="E294">
            <v>2590.9499999999998</v>
          </cell>
          <cell r="F294" t="str">
            <v>960</v>
          </cell>
          <cell r="G294">
            <v>2.6989062499999998</v>
          </cell>
          <cell r="H294" t="str">
            <v>Gramos</v>
          </cell>
        </row>
        <row r="295">
          <cell r="A295" t="str">
            <v>10100050</v>
          </cell>
          <cell r="B295" t="str">
            <v>ACEITE CAPULLO RBD (UND:17  L)</v>
          </cell>
          <cell r="C295" t="str">
            <v>MATERIAS PRIMAS PLANTA</v>
          </cell>
          <cell r="D295" t="str">
            <v>1 UND</v>
          </cell>
          <cell r="E295">
            <v>23288</v>
          </cell>
          <cell r="F295">
            <v>17000</v>
          </cell>
          <cell r="G295">
            <v>1.3698823529411766</v>
          </cell>
          <cell r="H295" t="str">
            <v>Mililitros</v>
          </cell>
        </row>
        <row r="296">
          <cell r="A296" t="str">
            <v>10100053</v>
          </cell>
          <cell r="B296" t="str">
            <v>SALSA TOMATE BANQUETE (PAQ:2 Kg)</v>
          </cell>
          <cell r="C296" t="str">
            <v>MATERIAS PRIMAS PLANTA</v>
          </cell>
          <cell r="D296" t="str">
            <v>1 PAQUETE</v>
          </cell>
          <cell r="E296">
            <v>1747</v>
          </cell>
          <cell r="F296">
            <v>2000</v>
          </cell>
          <cell r="G296">
            <v>0.87350000000000005</v>
          </cell>
          <cell r="H296" t="str">
            <v>Gramos</v>
          </cell>
        </row>
        <row r="297">
          <cell r="A297" t="str">
            <v>10100067</v>
          </cell>
          <cell r="B297" t="str">
            <v>MAÍZ DULCE GALON (1.800K= DRENADO)</v>
          </cell>
          <cell r="C297" t="str">
            <v>MATERIAS PRIMAS PLANTA</v>
          </cell>
          <cell r="D297" t="str">
            <v>1 UND</v>
          </cell>
          <cell r="E297">
            <v>3972</v>
          </cell>
          <cell r="F297">
            <v>1800</v>
          </cell>
          <cell r="G297">
            <v>2.2066666666666666</v>
          </cell>
          <cell r="H297" t="str">
            <v>Gramos</v>
          </cell>
        </row>
        <row r="298">
          <cell r="A298" t="str">
            <v>10100068</v>
          </cell>
          <cell r="B298" t="str">
            <v>PAPITA RAYADA (PAQ:1.5 KILOS)</v>
          </cell>
          <cell r="C298" t="str">
            <v>MATERIAS PRIMAS PLANTA</v>
          </cell>
          <cell r="D298" t="str">
            <v>1 PAQUETE</v>
          </cell>
          <cell r="E298">
            <v>13520</v>
          </cell>
          <cell r="F298">
            <v>1500</v>
          </cell>
          <cell r="G298">
            <v>9.0133333333333336</v>
          </cell>
        </row>
        <row r="299">
          <cell r="A299" t="str">
            <v>10100088</v>
          </cell>
          <cell r="B299" t="str">
            <v>VINAGRE BALSAMICO TINTO (UND:250 ML)**</v>
          </cell>
          <cell r="C299" t="str">
            <v>MATERIAS PRIMAS PLANTA</v>
          </cell>
          <cell r="D299" t="str">
            <v>1 UND</v>
          </cell>
          <cell r="E299">
            <v>2697</v>
          </cell>
          <cell r="F299">
            <v>250</v>
          </cell>
          <cell r="G299">
            <v>10.788</v>
          </cell>
          <cell r="H299" t="str">
            <v>Mililitros</v>
          </cell>
        </row>
        <row r="300">
          <cell r="A300" t="str">
            <v>10100089</v>
          </cell>
          <cell r="B300" t="str">
            <v>CHILE MORRON LATA (UND:390g) *</v>
          </cell>
          <cell r="C300" t="str">
            <v>MATERIAS PRIMAS PLANTA</v>
          </cell>
          <cell r="D300" t="str">
            <v>1 UND</v>
          </cell>
          <cell r="E300">
            <v>1772.25</v>
          </cell>
          <cell r="F300">
            <v>390</v>
          </cell>
          <cell r="G300">
            <v>4.5442307692307695</v>
          </cell>
        </row>
        <row r="301">
          <cell r="A301" t="str">
            <v>10100098</v>
          </cell>
          <cell r="B301" t="str">
            <v>SAL REFINADA (PAQ:500g)</v>
          </cell>
          <cell r="C301" t="str">
            <v>MATERIAS PRIMAS PLANTA</v>
          </cell>
          <cell r="D301" t="str">
            <v>1 PAQUETE</v>
          </cell>
          <cell r="E301">
            <v>217.708333333334</v>
          </cell>
          <cell r="F301">
            <v>500</v>
          </cell>
          <cell r="G301">
            <v>0.43541666666666801</v>
          </cell>
          <cell r="H301" t="str">
            <v>Gramos</v>
          </cell>
        </row>
        <row r="302">
          <cell r="A302" t="str">
            <v>10100103</v>
          </cell>
          <cell r="B302" t="str">
            <v>ACEITE EXTRA VIRGEN FILIPPO (UND:250 ML)</v>
          </cell>
          <cell r="C302" t="str">
            <v>MATERIAS PRIMAS PLANTA</v>
          </cell>
          <cell r="D302" t="str">
            <v>1 UND</v>
          </cell>
          <cell r="E302">
            <v>1861.7550000000001</v>
          </cell>
          <cell r="F302">
            <v>250</v>
          </cell>
          <cell r="G302">
            <v>7.4470200000000002</v>
          </cell>
        </row>
        <row r="303">
          <cell r="A303" t="str">
            <v>10100107</v>
          </cell>
          <cell r="B303" t="str">
            <v>TORTILLA (PAQ:50 UND)</v>
          </cell>
          <cell r="C303" t="str">
            <v>MATERIAS PRIMAS PLANTA</v>
          </cell>
          <cell r="D303" t="str">
            <v>1 PAQUETE</v>
          </cell>
          <cell r="E303">
            <v>1400</v>
          </cell>
          <cell r="F303">
            <v>50</v>
          </cell>
          <cell r="G303">
            <v>28</v>
          </cell>
        </row>
        <row r="304">
          <cell r="A304" t="str">
            <v>10100122</v>
          </cell>
          <cell r="B304" t="str">
            <v>CANELA EN POLVO BADIA (UND: 1.82 K)</v>
          </cell>
          <cell r="C304" t="str">
            <v>MATERIAS PRIMAS PLANTA</v>
          </cell>
          <cell r="D304" t="str">
            <v>1 UND</v>
          </cell>
          <cell r="E304">
            <v>17098</v>
          </cell>
          <cell r="F304">
            <v>1820</v>
          </cell>
          <cell r="G304">
            <v>9.3945054945054949</v>
          </cell>
          <cell r="H304" t="str">
            <v>Gramos</v>
          </cell>
        </row>
        <row r="305">
          <cell r="A305" t="str">
            <v>10100125</v>
          </cell>
          <cell r="B305" t="str">
            <v>PASTA TOMATE OLD CALI (UND:3.14 K)</v>
          </cell>
          <cell r="C305" t="str">
            <v>MATERIAS PRIMAS PLANTA</v>
          </cell>
          <cell r="D305" t="str">
            <v>1 UND</v>
          </cell>
          <cell r="E305">
            <v>5769</v>
          </cell>
          <cell r="F305">
            <v>3140</v>
          </cell>
          <cell r="G305">
            <v>1.8372611464968154</v>
          </cell>
          <cell r="H305" t="str">
            <v>Gramos</v>
          </cell>
        </row>
        <row r="306">
          <cell r="A306" t="str">
            <v>11200080</v>
          </cell>
          <cell r="B306" t="str">
            <v>EASY VAINILLA BC 20% (SACO 25K)</v>
          </cell>
          <cell r="C306" t="str">
            <v>MATERIAS PRIMAS PLANTA</v>
          </cell>
          <cell r="D306" t="str">
            <v>1 SACO</v>
          </cell>
          <cell r="E306">
            <v>82375</v>
          </cell>
          <cell r="F306" t="str">
            <v>25000</v>
          </cell>
          <cell r="G306">
            <v>3.2949999999999999</v>
          </cell>
          <cell r="H306" t="str">
            <v>Gramos</v>
          </cell>
        </row>
        <row r="307">
          <cell r="A307" t="str">
            <v>10100145</v>
          </cell>
          <cell r="B307" t="str">
            <v>JALEA DE GUAYABA (PAQ:200g)</v>
          </cell>
          <cell r="C307" t="str">
            <v>MATERIAS PRIMAS PLANTA</v>
          </cell>
          <cell r="D307" t="str">
            <v>1 PAQUETE</v>
          </cell>
          <cell r="E307">
            <v>598</v>
          </cell>
          <cell r="F307">
            <v>200</v>
          </cell>
          <cell r="G307">
            <v>2.99</v>
          </cell>
        </row>
        <row r="308">
          <cell r="A308" t="str">
            <v>10100298</v>
          </cell>
          <cell r="B308" t="str">
            <v>SALSA SABOR OSTION KUM CHUN (UND: 2.2 K)</v>
          </cell>
          <cell r="C308" t="str">
            <v>MATERIAS PRIMAS PLANTA</v>
          </cell>
          <cell r="D308" t="str">
            <v>1 UND</v>
          </cell>
          <cell r="E308">
            <v>7950</v>
          </cell>
          <cell r="F308">
            <v>2200</v>
          </cell>
          <cell r="G308">
            <v>3.6136363636363638</v>
          </cell>
          <cell r="H308" t="str">
            <v>Gramos</v>
          </cell>
        </row>
        <row r="309">
          <cell r="A309" t="str">
            <v>10100171</v>
          </cell>
          <cell r="B309" t="str">
            <v>LECHE CONDENSADA COCINADA ( PAQ:4 K)</v>
          </cell>
          <cell r="C309" t="str">
            <v>MATERIAS PRIMAS PLANTA</v>
          </cell>
          <cell r="D309" t="str">
            <v>1 PAQUETE</v>
          </cell>
          <cell r="E309">
            <v>3490</v>
          </cell>
          <cell r="F309">
            <v>4000</v>
          </cell>
          <cell r="G309">
            <v>0.87250000000000005</v>
          </cell>
          <cell r="H309" t="str">
            <v>Gramos</v>
          </cell>
        </row>
        <row r="310">
          <cell r="A310" t="str">
            <v>11200083</v>
          </cell>
          <cell r="B310" t="str">
            <v xml:space="preserve">EASY CHOCOLATE BC 20% (SACO: 25K) </v>
          </cell>
          <cell r="C310" t="str">
            <v>MATERIAS PRIMAS PLANTA</v>
          </cell>
          <cell r="D310" t="str">
            <v>1 SACO</v>
          </cell>
          <cell r="E310">
            <v>104250</v>
          </cell>
          <cell r="F310" t="str">
            <v>25000</v>
          </cell>
          <cell r="G310">
            <v>4.17</v>
          </cell>
          <cell r="H310" t="str">
            <v>Gramos</v>
          </cell>
        </row>
        <row r="311">
          <cell r="A311" t="str">
            <v>10100172</v>
          </cell>
          <cell r="B311" t="str">
            <v>CHOP SUEY VIGUI 860 G (BULTO:6 UND)</v>
          </cell>
          <cell r="C311" t="str">
            <v>MATERIAS PRIMAS PLANTA</v>
          </cell>
          <cell r="D311" t="str">
            <v>1 BULTO</v>
          </cell>
          <cell r="E311">
            <v>32987.800000000003</v>
          </cell>
          <cell r="F311">
            <v>5160</v>
          </cell>
          <cell r="G311">
            <v>6.3929844961240319</v>
          </cell>
          <cell r="H311" t="str">
            <v>Gramos</v>
          </cell>
        </row>
        <row r="312">
          <cell r="A312" t="str">
            <v>10100173</v>
          </cell>
          <cell r="B312" t="str">
            <v>MOSTAZA HELLMANNS (UND: 4 K)</v>
          </cell>
          <cell r="C312" t="str">
            <v>MATERIAS PRIMAS PLANTA</v>
          </cell>
          <cell r="D312" t="str">
            <v>1 UND</v>
          </cell>
          <cell r="E312">
            <v>8282</v>
          </cell>
          <cell r="F312">
            <v>4000</v>
          </cell>
          <cell r="G312">
            <v>2.0705</v>
          </cell>
        </row>
        <row r="313">
          <cell r="A313" t="str">
            <v>10100174</v>
          </cell>
          <cell r="B313" t="str">
            <v>FRIJOL NEGRO TIO PELON (BULTO:15/800 G)</v>
          </cell>
          <cell r="C313" t="str">
            <v>MATERIAS PRIMAS PLANTA</v>
          </cell>
          <cell r="D313" t="str">
            <v>1 BULTO</v>
          </cell>
          <cell r="E313">
            <v>20692</v>
          </cell>
          <cell r="F313">
            <v>12000</v>
          </cell>
          <cell r="G313">
            <v>1.7243333333333333</v>
          </cell>
          <cell r="H313" t="str">
            <v>Gramos</v>
          </cell>
        </row>
        <row r="314">
          <cell r="A314" t="str">
            <v>10100178</v>
          </cell>
          <cell r="B314" t="str">
            <v>CHILE ROJO TRITURADO (UND:368G)</v>
          </cell>
          <cell r="C314" t="str">
            <v>MATERIAS PRIMAS PLANTA</v>
          </cell>
          <cell r="D314" t="str">
            <v>1 UND</v>
          </cell>
          <cell r="E314">
            <v>2235</v>
          </cell>
          <cell r="F314">
            <v>368</v>
          </cell>
          <cell r="G314">
            <v>6.0733695652173916</v>
          </cell>
          <cell r="H314" t="str">
            <v>Gramos</v>
          </cell>
        </row>
        <row r="315">
          <cell r="A315" t="str">
            <v>10100193</v>
          </cell>
          <cell r="B315" t="str">
            <v>CONSOME POLLO MAGGI (PAQ:1K)</v>
          </cell>
          <cell r="C315" t="str">
            <v>MATERIAS PRIMAS PLANTA</v>
          </cell>
          <cell r="D315" t="str">
            <v>1 PAQUETE</v>
          </cell>
          <cell r="E315">
            <v>3467.6480999999999</v>
          </cell>
          <cell r="F315">
            <v>1000</v>
          </cell>
          <cell r="G315">
            <v>3.4676480999999999</v>
          </cell>
        </row>
        <row r="316">
          <cell r="A316" t="str">
            <v>10100229</v>
          </cell>
          <cell r="B316" t="str">
            <v>NEGRO B100 ESPECIAL (BULTO:36 PAQ)</v>
          </cell>
          <cell r="C316" t="str">
            <v>MATERIAS PRIMAS PLANTA</v>
          </cell>
          <cell r="D316" t="str">
            <v>1 BULTO</v>
          </cell>
          <cell r="E316">
            <v>43470</v>
          </cell>
          <cell r="F316">
            <v>3600</v>
          </cell>
          <cell r="G316">
            <v>12.074999999999999</v>
          </cell>
        </row>
        <row r="317">
          <cell r="A317" t="str">
            <v>10100230</v>
          </cell>
          <cell r="B317" t="str">
            <v>FRESA CONGELADA BEGRO (PAQ:1 K)</v>
          </cell>
          <cell r="C317" t="str">
            <v>MATERIAS PRIMAS PLANTA</v>
          </cell>
          <cell r="D317" t="str">
            <v>1 PAQUETE</v>
          </cell>
          <cell r="E317">
            <v>2126</v>
          </cell>
          <cell r="F317">
            <v>1000</v>
          </cell>
          <cell r="G317">
            <v>2.1259999999999999</v>
          </cell>
          <cell r="H317" t="str">
            <v>Gramos</v>
          </cell>
        </row>
        <row r="318">
          <cell r="A318" t="str">
            <v>10100252</v>
          </cell>
          <cell r="B318" t="str">
            <v>TORTILLA TRIGO MISION 12" CON (CJ:6 PAQ)</v>
          </cell>
          <cell r="C318" t="str">
            <v>MATERIAS PRIMAS PLANTA</v>
          </cell>
          <cell r="D318" t="str">
            <v>1 CAJA</v>
          </cell>
          <cell r="E318">
            <v>8817</v>
          </cell>
          <cell r="F318">
            <v>60</v>
          </cell>
          <cell r="G318">
            <v>146.94999999999999</v>
          </cell>
          <cell r="H318" t="str">
            <v>Unidad</v>
          </cell>
        </row>
        <row r="319">
          <cell r="A319" t="str">
            <v>10100253</v>
          </cell>
          <cell r="B319" t="str">
            <v>LENTEJAS ( PAQ:1 K)</v>
          </cell>
          <cell r="C319" t="str">
            <v>MATERIAS PRIMAS PLANTA</v>
          </cell>
          <cell r="D319" t="str">
            <v xml:space="preserve">1 PAQUETE </v>
          </cell>
          <cell r="E319">
            <v>1531</v>
          </cell>
          <cell r="F319">
            <v>1000</v>
          </cell>
          <cell r="G319">
            <v>1.5309999999999999</v>
          </cell>
        </row>
        <row r="320">
          <cell r="A320" t="str">
            <v>10100261</v>
          </cell>
          <cell r="B320" t="str">
            <v>GARBANZO MFS (PAQ:KILO)</v>
          </cell>
          <cell r="C320" t="str">
            <v>MATERIAS PRIMAS PLANTA</v>
          </cell>
          <cell r="D320" t="str">
            <v>1 PAQUETE</v>
          </cell>
          <cell r="E320" t="e">
            <v>#N/A</v>
          </cell>
          <cell r="F320">
            <v>1000</v>
          </cell>
          <cell r="G320" t="e">
            <v>#N/A</v>
          </cell>
        </row>
        <row r="321">
          <cell r="A321" t="str">
            <v>10100263</v>
          </cell>
          <cell r="B321" t="str">
            <v>CHILE DULCE JULIANO (PAQ:KILO)</v>
          </cell>
          <cell r="C321" t="str">
            <v>MATERIAS PRIMAS PLANTA</v>
          </cell>
          <cell r="D321" t="str">
            <v>1 PAQUETE</v>
          </cell>
          <cell r="E321">
            <v>2550</v>
          </cell>
          <cell r="F321">
            <v>1000</v>
          </cell>
          <cell r="G321">
            <v>2.5499999999999998</v>
          </cell>
        </row>
        <row r="322">
          <cell r="A322" t="str">
            <v>10100270</v>
          </cell>
          <cell r="B322" t="str">
            <v>TABASCO BANQUETE (UND: 1/2 GALON)</v>
          </cell>
          <cell r="C322" t="str">
            <v>MATERIAS PRIMAS PLANTA</v>
          </cell>
          <cell r="D322" t="str">
            <v>1 UND</v>
          </cell>
          <cell r="E322" t="e">
            <v>#N/A</v>
          </cell>
          <cell r="F322">
            <v>1892.5</v>
          </cell>
          <cell r="G322" t="e">
            <v>#N/A</v>
          </cell>
        </row>
        <row r="323">
          <cell r="A323" t="str">
            <v>10100272</v>
          </cell>
          <cell r="B323" t="str">
            <v>ADEREZO RANCH (UND)</v>
          </cell>
          <cell r="C323" t="str">
            <v>MATERIAS PRIMAS PLANTA</v>
          </cell>
          <cell r="D323" t="str">
            <v>1 UND</v>
          </cell>
          <cell r="E323">
            <v>5202</v>
          </cell>
          <cell r="F323">
            <v>1</v>
          </cell>
          <cell r="G323">
            <v>5202</v>
          </cell>
        </row>
        <row r="324">
          <cell r="A324" t="str">
            <v>10100274</v>
          </cell>
          <cell r="B324" t="str">
            <v>ADEREZO MIL ISLAS (UND)</v>
          </cell>
          <cell r="C324" t="str">
            <v>MATERIAS PRIMAS PLANTA</v>
          </cell>
          <cell r="D324" t="str">
            <v>1 UND</v>
          </cell>
          <cell r="E324">
            <v>5247</v>
          </cell>
          <cell r="F324">
            <v>1</v>
          </cell>
          <cell r="G324">
            <v>5247</v>
          </cell>
        </row>
        <row r="325">
          <cell r="A325" t="str">
            <v>10100275</v>
          </cell>
          <cell r="B325" t="str">
            <v>ADEREZO ITALIANO CREMOSO (UND)</v>
          </cell>
          <cell r="C325" t="str">
            <v>MATERIAS PRIMAS PLANTA</v>
          </cell>
          <cell r="D325" t="str">
            <v>1 UND</v>
          </cell>
          <cell r="E325">
            <v>6869</v>
          </cell>
          <cell r="F325">
            <v>1</v>
          </cell>
          <cell r="G325">
            <v>6869</v>
          </cell>
        </row>
        <row r="326">
          <cell r="A326" t="str">
            <v>10100276</v>
          </cell>
          <cell r="B326" t="str">
            <v>ADEREZO CESAR (UND)</v>
          </cell>
          <cell r="C326" t="str">
            <v>MATERIAS PRIMAS PLANTA</v>
          </cell>
          <cell r="D326" t="str">
            <v>1 UND</v>
          </cell>
          <cell r="E326" t="e">
            <v>#N/A</v>
          </cell>
          <cell r="F326">
            <v>1</v>
          </cell>
          <cell r="G326" t="e">
            <v>#N/A</v>
          </cell>
        </row>
        <row r="327">
          <cell r="A327" t="str">
            <v>10200001</v>
          </cell>
          <cell r="B327" t="str">
            <v>SIROPE DE KOLA (GALON)</v>
          </cell>
          <cell r="C327" t="str">
            <v>MATERIAS PRIMAS PLANTA</v>
          </cell>
          <cell r="D327" t="str">
            <v>1 GALON</v>
          </cell>
          <cell r="E327">
            <v>2925</v>
          </cell>
          <cell r="F327">
            <v>3785</v>
          </cell>
          <cell r="G327">
            <v>0.77278731836195513</v>
          </cell>
          <cell r="H327" t="str">
            <v>Mililitros</v>
          </cell>
        </row>
        <row r="328">
          <cell r="A328" t="str">
            <v>10200012</v>
          </cell>
          <cell r="B328" t="str">
            <v>TE CHAI ESPECIES (PAQ:800g)</v>
          </cell>
          <cell r="C328" t="str">
            <v>MATERIAS PRIMAS PLANTA</v>
          </cell>
          <cell r="D328" t="str">
            <v>1 PAQUETE</v>
          </cell>
          <cell r="E328">
            <v>8152.81</v>
          </cell>
          <cell r="F328">
            <v>800</v>
          </cell>
          <cell r="G328">
            <v>10.191012500000001</v>
          </cell>
        </row>
        <row r="329">
          <cell r="A329" t="str">
            <v>10200018</v>
          </cell>
          <cell r="B329" t="str">
            <v>AGUA EMBOT SPOON (PAQ:20 UND)</v>
          </cell>
          <cell r="C329" t="str">
            <v>MATERIAS PRIMAS PLANTA</v>
          </cell>
          <cell r="D329" t="str">
            <v>1 PAQUETE</v>
          </cell>
          <cell r="E329">
            <v>4396</v>
          </cell>
          <cell r="G329" t="e">
            <v>#DIV/0!</v>
          </cell>
        </row>
        <row r="330">
          <cell r="A330" t="str">
            <v>10200022</v>
          </cell>
          <cell r="B330" t="str">
            <v>TE PALACIO ROYAL"ARANDANO" (PAQ:12 UND)</v>
          </cell>
          <cell r="C330" t="str">
            <v>MATERIAS PRIMAS PLANTA</v>
          </cell>
          <cell r="D330" t="str">
            <v>1 PAQUETE</v>
          </cell>
          <cell r="E330">
            <v>4020</v>
          </cell>
          <cell r="G330" t="e">
            <v>#DIV/0!</v>
          </cell>
        </row>
        <row r="331">
          <cell r="A331" t="str">
            <v>10200024</v>
          </cell>
          <cell r="B331" t="str">
            <v>TE MENTA DEGESTIVA (PAQ:12 UND)</v>
          </cell>
          <cell r="C331" t="str">
            <v>MATERIAS PRIMAS PLANTA</v>
          </cell>
          <cell r="D331" t="str">
            <v>1 PAQUETE</v>
          </cell>
          <cell r="E331">
            <v>3240</v>
          </cell>
          <cell r="G331" t="e">
            <v>#DIV/0!</v>
          </cell>
        </row>
        <row r="332">
          <cell r="A332" t="str">
            <v>10200026</v>
          </cell>
          <cell r="B332" t="str">
            <v>TE BED TIME "MANZANILLA" (PAQ:12 UND)</v>
          </cell>
          <cell r="C332" t="str">
            <v>MATERIAS PRIMAS PLANTA</v>
          </cell>
          <cell r="D332" t="str">
            <v>1 PAQUETE</v>
          </cell>
          <cell r="E332">
            <v>3780</v>
          </cell>
          <cell r="G332" t="e">
            <v>#DIV/0!</v>
          </cell>
        </row>
        <row r="333">
          <cell r="A333" t="str">
            <v>10200027</v>
          </cell>
          <cell r="B333" t="str">
            <v>TE GINGER FRESH (PAQ:12 UND)</v>
          </cell>
          <cell r="C333" t="str">
            <v>MATERIAS PRIMAS PLANTA</v>
          </cell>
          <cell r="D333" t="str">
            <v>1 PAQUETE</v>
          </cell>
          <cell r="E333">
            <v>3420</v>
          </cell>
          <cell r="G333" t="e">
            <v>#DIV/0!</v>
          </cell>
        </row>
        <row r="334">
          <cell r="A334" t="str">
            <v>10200028</v>
          </cell>
          <cell r="B334" t="str">
            <v>TE MAGIC TEA "AZUL" (PAQ:12 UND)</v>
          </cell>
          <cell r="C334" t="str">
            <v>MATERIAS PRIMAS PLANTA</v>
          </cell>
          <cell r="D334" t="str">
            <v>1 PAQUETE</v>
          </cell>
          <cell r="E334">
            <v>4284</v>
          </cell>
          <cell r="G334" t="e">
            <v>#DIV/0!</v>
          </cell>
        </row>
        <row r="335">
          <cell r="A335" t="str">
            <v>10200029</v>
          </cell>
          <cell r="B335" t="str">
            <v>LECHE SABORIZADA FRAPPE MIX (PAQ: 1 K)</v>
          </cell>
          <cell r="C335" t="str">
            <v>MATERIAS PRIMAS PLANTA</v>
          </cell>
          <cell r="D335" t="str">
            <v>1 PAQUETE</v>
          </cell>
          <cell r="E335">
            <v>5500</v>
          </cell>
          <cell r="F335">
            <v>1000</v>
          </cell>
          <cell r="G335">
            <v>5.5</v>
          </cell>
        </row>
        <row r="336">
          <cell r="A336" t="str">
            <v>10200030</v>
          </cell>
          <cell r="B336" t="str">
            <v>BASE LECHE  MILK SHAKE (PAQ:1 K)</v>
          </cell>
          <cell r="C336" t="str">
            <v>MATERIAS PRIMAS PLANTA</v>
          </cell>
          <cell r="D336" t="str">
            <v>1 PAQUETE</v>
          </cell>
          <cell r="E336">
            <v>6500</v>
          </cell>
          <cell r="F336">
            <v>1000</v>
          </cell>
          <cell r="G336">
            <v>6.5</v>
          </cell>
        </row>
        <row r="337">
          <cell r="A337" t="str">
            <v>10200088</v>
          </cell>
          <cell r="B337" t="str">
            <v>RON ABUELO RESERVA (UND: LITRO)</v>
          </cell>
          <cell r="C337" t="str">
            <v>MATERIAS PRIMAS PLANTA</v>
          </cell>
          <cell r="D337" t="str">
            <v>1 UND</v>
          </cell>
          <cell r="E337">
            <v>6621</v>
          </cell>
          <cell r="F337">
            <v>1000</v>
          </cell>
          <cell r="G337">
            <v>6.6210000000000004</v>
          </cell>
          <cell r="H337" t="str">
            <v>Mililitros</v>
          </cell>
        </row>
        <row r="338">
          <cell r="A338" t="str">
            <v>10300001</v>
          </cell>
          <cell r="B338" t="str">
            <v>JARRETE PICADO KILO</v>
          </cell>
          <cell r="C338" t="str">
            <v>MATERIAS PRIMAS PLANTA</v>
          </cell>
          <cell r="D338" t="str">
            <v>1 KILO</v>
          </cell>
          <cell r="E338">
            <v>1395</v>
          </cell>
          <cell r="F338">
            <v>1000</v>
          </cell>
          <cell r="G338">
            <v>1.395</v>
          </cell>
          <cell r="H338" t="str">
            <v>Gramos</v>
          </cell>
        </row>
        <row r="339">
          <cell r="A339" t="str">
            <v>10300006</v>
          </cell>
          <cell r="B339" t="str">
            <v>CARNE ANALOGA RES (CAJA:13.6 Kg)</v>
          </cell>
          <cell r="C339" t="str">
            <v>MATERIAS PRIMAS PLANTA</v>
          </cell>
          <cell r="D339" t="str">
            <v>1 CAJA</v>
          </cell>
          <cell r="E339">
            <v>154557.24</v>
          </cell>
          <cell r="F339">
            <v>13600</v>
          </cell>
          <cell r="G339">
            <v>11.36450294117647</v>
          </cell>
          <cell r="H339" t="str">
            <v>Gramos</v>
          </cell>
        </row>
        <row r="340">
          <cell r="A340" t="str">
            <v>10300007</v>
          </cell>
          <cell r="B340" t="str">
            <v>JAMON COCIDO (PAQ:250g)</v>
          </cell>
          <cell r="C340" t="str">
            <v>MATERIAS PRIMAS PLANTA</v>
          </cell>
          <cell r="D340" t="str">
            <v>1 PAQUETE</v>
          </cell>
          <cell r="E340" t="e">
            <v>#N/A</v>
          </cell>
          <cell r="F340">
            <v>250</v>
          </cell>
          <cell r="G340" t="e">
            <v>#N/A</v>
          </cell>
          <cell r="H340" t="str">
            <v>Gramos</v>
          </cell>
        </row>
        <row r="341">
          <cell r="A341" t="str">
            <v>11400065</v>
          </cell>
          <cell r="B341" t="str">
            <v>QUESO PROVOLONE ( PAQ 2 LBS)</v>
          </cell>
          <cell r="C341" t="str">
            <v>MATERIAS PRIMAS PLANTA</v>
          </cell>
          <cell r="D341" t="str">
            <v>1 PAQUETE</v>
          </cell>
          <cell r="E341">
            <v>17805</v>
          </cell>
          <cell r="F341" t="str">
            <v>907,18</v>
          </cell>
          <cell r="G341">
            <v>19.626755439934744</v>
          </cell>
          <cell r="H341" t="str">
            <v>Gramos</v>
          </cell>
        </row>
        <row r="342">
          <cell r="A342" t="str">
            <v>10300028</v>
          </cell>
          <cell r="B342" t="str">
            <v>CARNE PARA MECHAR TD KILO</v>
          </cell>
          <cell r="C342" t="str">
            <v>MATERIAS PRIMAS PLANTA</v>
          </cell>
          <cell r="D342" t="str">
            <v xml:space="preserve">1 KILO </v>
          </cell>
          <cell r="E342">
            <v>4920</v>
          </cell>
          <cell r="F342">
            <v>1000</v>
          </cell>
          <cell r="G342">
            <v>4.92</v>
          </cell>
          <cell r="H342" t="str">
            <v>Gramos</v>
          </cell>
        </row>
        <row r="343">
          <cell r="A343" t="str">
            <v>10300032</v>
          </cell>
          <cell r="B343" t="str">
            <v>MUSLITO DE MUSLO KILO</v>
          </cell>
          <cell r="C343" t="str">
            <v>MATERIAS PRIMAS PLANTA</v>
          </cell>
          <cell r="D343" t="str">
            <v>1 KILO</v>
          </cell>
          <cell r="E343">
            <v>2300</v>
          </cell>
          <cell r="F343">
            <v>1000</v>
          </cell>
          <cell r="G343">
            <v>2.2999999999999998</v>
          </cell>
          <cell r="H343" t="str">
            <v>Gramos</v>
          </cell>
        </row>
        <row r="344">
          <cell r="A344" t="str">
            <v>10300035</v>
          </cell>
          <cell r="B344" t="str">
            <v>JAMON COCIDO DELIKA GI (PAQ:250 G)</v>
          </cell>
          <cell r="C344" t="str">
            <v>MATERIAS PRIMAS PLANTA</v>
          </cell>
          <cell r="D344" t="str">
            <v>1 PAQUETE</v>
          </cell>
          <cell r="E344">
            <v>2133.7887707496002</v>
          </cell>
          <cell r="F344">
            <v>250</v>
          </cell>
          <cell r="G344">
            <v>8.5351550829984006</v>
          </cell>
          <cell r="H344" t="str">
            <v>Gramos</v>
          </cell>
        </row>
        <row r="345">
          <cell r="A345" t="str">
            <v>10300038</v>
          </cell>
          <cell r="B345" t="str">
            <v>ROAF BEEF REBANADO (PAQ:1 K)</v>
          </cell>
          <cell r="C345" t="str">
            <v>MATERIAS PRIMAS PLANTA</v>
          </cell>
          <cell r="D345" t="str">
            <v>1 PAQUETE</v>
          </cell>
          <cell r="E345">
            <v>11550</v>
          </cell>
          <cell r="F345">
            <v>1000</v>
          </cell>
          <cell r="G345">
            <v>11.55</v>
          </cell>
          <cell r="H345" t="str">
            <v>Gramos</v>
          </cell>
        </row>
        <row r="346">
          <cell r="A346" t="str">
            <v>10300042</v>
          </cell>
          <cell r="B346" t="str">
            <v>MUSLO DE POLLO ENTERO (KILO)</v>
          </cell>
          <cell r="C346" t="str">
            <v>MATERIAS PRIMAS PLANTA</v>
          </cell>
          <cell r="D346" t="str">
            <v>1 KILO</v>
          </cell>
          <cell r="E346">
            <v>1300</v>
          </cell>
          <cell r="F346">
            <v>1000</v>
          </cell>
          <cell r="G346">
            <v>1.3</v>
          </cell>
          <cell r="H346" t="str">
            <v>Gramos</v>
          </cell>
        </row>
        <row r="347">
          <cell r="A347" t="str">
            <v>10400001</v>
          </cell>
          <cell r="B347" t="str">
            <v>COLORANTE GEL ELECTRIC GREEN (UD=130ml)</v>
          </cell>
          <cell r="C347" t="str">
            <v>MATERIAS PRIMAS PLANTA</v>
          </cell>
          <cell r="D347" t="str">
            <v>1 UND</v>
          </cell>
          <cell r="E347">
            <v>2400</v>
          </cell>
          <cell r="F347">
            <v>130</v>
          </cell>
          <cell r="G347">
            <v>18.46153846153846</v>
          </cell>
          <cell r="H347" t="str">
            <v>Mililitros</v>
          </cell>
        </row>
        <row r="348">
          <cell r="A348" t="str">
            <v>10400002</v>
          </cell>
          <cell r="B348" t="str">
            <v>COLORANTE GEL ELECTRIC PURPLE (UND=4.5)</v>
          </cell>
          <cell r="C348" t="str">
            <v>MATERIAS PRIMAS PLANTA</v>
          </cell>
          <cell r="D348" t="str">
            <v>1 UND</v>
          </cell>
          <cell r="E348">
            <v>2400</v>
          </cell>
          <cell r="F348">
            <v>130</v>
          </cell>
          <cell r="G348">
            <v>18.46153846153846</v>
          </cell>
          <cell r="H348" t="str">
            <v>Mililitros</v>
          </cell>
        </row>
        <row r="349">
          <cell r="A349" t="str">
            <v>10400003</v>
          </cell>
          <cell r="B349" t="str">
            <v>COLORANTE GEL ELECTRIC BLUE (UND=130ml)</v>
          </cell>
          <cell r="C349" t="str">
            <v>MATERIAS PRIMAS PLANTA</v>
          </cell>
          <cell r="D349" t="str">
            <v>1 UND</v>
          </cell>
          <cell r="E349">
            <v>2400</v>
          </cell>
          <cell r="F349">
            <v>130</v>
          </cell>
          <cell r="G349">
            <v>18.46153846153846</v>
          </cell>
          <cell r="H349" t="str">
            <v>Mililitros</v>
          </cell>
        </row>
        <row r="350">
          <cell r="A350" t="str">
            <v>10400004</v>
          </cell>
          <cell r="B350" t="str">
            <v>COLORANTE GEL MINT GREEN (UND)</v>
          </cell>
          <cell r="C350" t="str">
            <v>MATERIAS PRIMAS PLANTA</v>
          </cell>
          <cell r="D350" t="str">
            <v>1 UND</v>
          </cell>
          <cell r="E350">
            <v>2400</v>
          </cell>
          <cell r="F350">
            <v>130</v>
          </cell>
          <cell r="G350">
            <v>18.46153846153846</v>
          </cell>
          <cell r="H350" t="str">
            <v>Mililitros</v>
          </cell>
        </row>
        <row r="351">
          <cell r="A351" t="str">
            <v>10400005</v>
          </cell>
          <cell r="B351" t="str">
            <v>COLORANTE GEL ELECTRIC PINK (UND=4.5 OZ)</v>
          </cell>
          <cell r="C351" t="str">
            <v>MATERIAS PRIMAS PLANTA</v>
          </cell>
          <cell r="D351" t="str">
            <v>1 UND</v>
          </cell>
          <cell r="E351">
            <v>2400</v>
          </cell>
          <cell r="F351">
            <v>130</v>
          </cell>
          <cell r="G351">
            <v>18.46153846153846</v>
          </cell>
          <cell r="H351" t="str">
            <v>Mililitros</v>
          </cell>
        </row>
        <row r="352">
          <cell r="A352" t="str">
            <v>10400006</v>
          </cell>
          <cell r="B352" t="str">
            <v>COLORANTE GEL LEMON YELLOW UND 130 ML</v>
          </cell>
          <cell r="C352" t="str">
            <v>MATERIAS PRIMAS PLANTA</v>
          </cell>
          <cell r="D352" t="str">
            <v>1 UND</v>
          </cell>
          <cell r="E352">
            <v>2400</v>
          </cell>
          <cell r="F352">
            <v>130</v>
          </cell>
          <cell r="G352">
            <v>18.46153846153846</v>
          </cell>
          <cell r="H352" t="str">
            <v>Mililitros</v>
          </cell>
        </row>
        <row r="353">
          <cell r="A353" t="str">
            <v>10400007</v>
          </cell>
          <cell r="B353" t="str">
            <v>COLORANTE GEL ELECTRIC ORANGE (UND=130m)</v>
          </cell>
          <cell r="C353" t="str">
            <v>MATERIAS PRIMAS PLANTA</v>
          </cell>
          <cell r="D353" t="str">
            <v>1 UND</v>
          </cell>
          <cell r="E353">
            <v>2400</v>
          </cell>
          <cell r="F353">
            <v>130</v>
          </cell>
          <cell r="G353">
            <v>18.46153846153846</v>
          </cell>
          <cell r="H353" t="str">
            <v>Mililitros</v>
          </cell>
        </row>
        <row r="354">
          <cell r="A354" t="str">
            <v>10400008</v>
          </cell>
          <cell r="B354" t="str">
            <v>COLORANTE GEL EGG YELLOW  (UND= 130 ML)</v>
          </cell>
          <cell r="C354" t="str">
            <v>MATERIAS PRIMAS PLANTA</v>
          </cell>
          <cell r="D354" t="str">
            <v>1 UND</v>
          </cell>
          <cell r="E354">
            <v>2400</v>
          </cell>
          <cell r="F354">
            <v>130</v>
          </cell>
          <cell r="G354">
            <v>18.46153846153846</v>
          </cell>
          <cell r="H354" t="str">
            <v>Mililitros</v>
          </cell>
        </row>
        <row r="355">
          <cell r="A355" t="str">
            <v>10400009</v>
          </cell>
          <cell r="B355" t="str">
            <v>COLORANTE GEL SUPER RED</v>
          </cell>
          <cell r="C355" t="str">
            <v>MATERIAS PRIMAS PLANTA</v>
          </cell>
          <cell r="D355" t="str">
            <v>1 UND</v>
          </cell>
          <cell r="E355">
            <v>2400</v>
          </cell>
          <cell r="F355">
            <v>130</v>
          </cell>
          <cell r="G355">
            <v>18.46153846153846</v>
          </cell>
          <cell r="H355" t="str">
            <v>Mililitros</v>
          </cell>
        </row>
        <row r="356">
          <cell r="A356" t="str">
            <v>10400011</v>
          </cell>
          <cell r="B356" t="str">
            <v>COLORANTE ARTIFICIAL ROSADO F225 (LITRO)</v>
          </cell>
          <cell r="C356" t="str">
            <v>MATERIAS PRIMAS PLANTA</v>
          </cell>
          <cell r="D356" t="str">
            <v>1 LITRO</v>
          </cell>
          <cell r="E356">
            <v>6376.62</v>
          </cell>
          <cell r="F356">
            <v>1000</v>
          </cell>
          <cell r="G356">
            <v>6.37662</v>
          </cell>
          <cell r="H356" t="str">
            <v>Mililitros</v>
          </cell>
        </row>
        <row r="357">
          <cell r="A357" t="str">
            <v>11400061</v>
          </cell>
          <cell r="B357" t="str">
            <v>CREMA ROSSANA  200 g</v>
          </cell>
          <cell r="C357" t="str">
            <v>MATERIAS PRIMAS PLANTA</v>
          </cell>
          <cell r="D357" t="str">
            <v>200 G</v>
          </cell>
          <cell r="E357">
            <v>1479.5</v>
          </cell>
          <cell r="F357" t="str">
            <v>200</v>
          </cell>
          <cell r="G357">
            <v>7.3975</v>
          </cell>
          <cell r="H357" t="str">
            <v>Gramos</v>
          </cell>
        </row>
        <row r="358">
          <cell r="A358" t="str">
            <v>51600042</v>
          </cell>
          <cell r="B358" t="str">
            <v>CHOCOLATE LOGO ROSSANA  CAJA 50 UND</v>
          </cell>
          <cell r="C358" t="str">
            <v>MATERIAS PRIMAS PLANTA</v>
          </cell>
          <cell r="D358" t="str">
            <v>1 CAJA</v>
          </cell>
          <cell r="E358">
            <v>11250</v>
          </cell>
          <cell r="F358" t="str">
            <v>50</v>
          </cell>
          <cell r="G358">
            <v>225</v>
          </cell>
          <cell r="H358" t="str">
            <v>Und</v>
          </cell>
        </row>
        <row r="359">
          <cell r="A359" t="str">
            <v>10500001</v>
          </cell>
          <cell r="B359" t="str">
            <v>CLAVO DE OLOR MOLIDO KG</v>
          </cell>
          <cell r="C359" t="str">
            <v>MATERIAS PRIMAS PLANTA</v>
          </cell>
          <cell r="D359" t="str">
            <v>1 KILO</v>
          </cell>
          <cell r="E359">
            <v>23487.55</v>
          </cell>
          <cell r="F359">
            <v>1000</v>
          </cell>
          <cell r="G359">
            <v>23.487549999999999</v>
          </cell>
          <cell r="H359" t="str">
            <v>Gramos</v>
          </cell>
        </row>
        <row r="360">
          <cell r="A360" t="str">
            <v>10500016</v>
          </cell>
          <cell r="B360" t="str">
            <v>HOJA DE LAUREL (UND:43g)</v>
          </cell>
          <cell r="C360" t="str">
            <v>MATERIAS PRIMAS PLANTA</v>
          </cell>
          <cell r="D360" t="str">
            <v>1 UND</v>
          </cell>
          <cell r="E360">
            <v>2571</v>
          </cell>
          <cell r="F360">
            <v>43</v>
          </cell>
          <cell r="G360">
            <v>59.790697674418603</v>
          </cell>
          <cell r="H360" t="str">
            <v>Gramos</v>
          </cell>
        </row>
        <row r="361">
          <cell r="A361" t="str">
            <v>10700008</v>
          </cell>
          <cell r="B361" t="str">
            <v>CONFITE PALITO CHOCOLATE (PAQ:680 G)</v>
          </cell>
          <cell r="C361" t="str">
            <v>MATERIAS PRIMAS PLANTA</v>
          </cell>
          <cell r="D361" t="str">
            <v>1 PAQUETE</v>
          </cell>
          <cell r="E361">
            <v>1953</v>
          </cell>
          <cell r="F361">
            <v>680</v>
          </cell>
          <cell r="G361">
            <v>2.8720588235294118</v>
          </cell>
          <cell r="H361" t="str">
            <v>Gramos</v>
          </cell>
        </row>
        <row r="362">
          <cell r="A362" t="str">
            <v>10700013</v>
          </cell>
          <cell r="B362" t="str">
            <v>STICK DORADO (CAJA:100 UND)</v>
          </cell>
          <cell r="C362" t="str">
            <v>MATERIAS PRIMAS PLANTA</v>
          </cell>
          <cell r="D362" t="str">
            <v>1 CAJA</v>
          </cell>
          <cell r="E362">
            <v>5838</v>
          </cell>
          <cell r="F362">
            <v>100</v>
          </cell>
          <cell r="G362">
            <v>58.38</v>
          </cell>
          <cell r="H362" t="str">
            <v>Und</v>
          </cell>
        </row>
        <row r="363">
          <cell r="A363" t="str">
            <v>10700015</v>
          </cell>
          <cell r="B363" t="str">
            <v>CHOCOLATE ESTRELLA DORADA (CAJA:215 UN)</v>
          </cell>
          <cell r="C363" t="str">
            <v>MATERIAS PRIMAS PLANTA</v>
          </cell>
          <cell r="D363" t="str">
            <v>1 CAJA</v>
          </cell>
          <cell r="E363">
            <v>15265</v>
          </cell>
          <cell r="F363">
            <v>215</v>
          </cell>
          <cell r="G363">
            <v>71</v>
          </cell>
          <cell r="H363" t="str">
            <v>Und</v>
          </cell>
        </row>
        <row r="364">
          <cell r="A364" t="str">
            <v>10700026</v>
          </cell>
          <cell r="B364" t="str">
            <v>PLACA DE FONDANT (PAQ:10 UND)</v>
          </cell>
          <cell r="C364" t="str">
            <v>MATERIAS PRIMAS PLANTA</v>
          </cell>
          <cell r="D364" t="str">
            <v>1 PAQUETE</v>
          </cell>
          <cell r="E364">
            <v>735</v>
          </cell>
          <cell r="G364" t="e">
            <v>#DIV/0!</v>
          </cell>
        </row>
        <row r="365">
          <cell r="A365" t="str">
            <v>10700029</v>
          </cell>
          <cell r="B365" t="str">
            <v>CHOCOLATE CORAZON ROJO PASION (CAJA:200)</v>
          </cell>
          <cell r="C365" t="str">
            <v>MATERIAS PRIMAS PLANTA</v>
          </cell>
          <cell r="D365" t="str">
            <v>1 CAJA</v>
          </cell>
          <cell r="E365" t="e">
            <v>#N/A</v>
          </cell>
          <cell r="F365">
            <v>200</v>
          </cell>
          <cell r="G365" t="e">
            <v>#N/A</v>
          </cell>
          <cell r="H365" t="str">
            <v>Und</v>
          </cell>
        </row>
        <row r="366">
          <cell r="A366" t="str">
            <v>10700037</v>
          </cell>
          <cell r="B366" t="str">
            <v>CHOCOLATE HERSHEYS ALMENDRA GIGANT (UND)</v>
          </cell>
          <cell r="C366" t="str">
            <v>MATERIAS PRIMAS PLANTA</v>
          </cell>
          <cell r="D366" t="str">
            <v>1 UND</v>
          </cell>
          <cell r="E366" t="e">
            <v>#N/A</v>
          </cell>
          <cell r="G366" t="e">
            <v>#N/A</v>
          </cell>
        </row>
        <row r="367">
          <cell r="A367" t="str">
            <v>10900004</v>
          </cell>
          <cell r="B367" t="str">
            <v>OLLA DE CARNE MIXTO (PAQ:1KILO)</v>
          </cell>
          <cell r="C367" t="str">
            <v>MATERIAS PRIMAS PLANTA</v>
          </cell>
          <cell r="D367" t="str">
            <v>1 PAQUETE</v>
          </cell>
          <cell r="E367" t="e">
            <v>#N/A</v>
          </cell>
          <cell r="F367">
            <v>1000</v>
          </cell>
          <cell r="G367" t="e">
            <v>#N/A</v>
          </cell>
          <cell r="H367" t="str">
            <v>Gramos</v>
          </cell>
        </row>
        <row r="368">
          <cell r="A368" t="str">
            <v>10900005</v>
          </cell>
          <cell r="B368" t="str">
            <v>MENTA EN RAMAS (PAQ:100g)</v>
          </cell>
          <cell r="C368" t="str">
            <v>MATERIAS PRIMAS PLANTA</v>
          </cell>
          <cell r="D368" t="str">
            <v>1 PAQUETE</v>
          </cell>
          <cell r="E368">
            <v>443.66</v>
          </cell>
          <cell r="F368">
            <v>100</v>
          </cell>
          <cell r="G368">
            <v>4.4366000000000003</v>
          </cell>
        </row>
        <row r="369">
          <cell r="A369" t="str">
            <v>10900020</v>
          </cell>
          <cell r="B369" t="str">
            <v>ZANAHORIA EN TROZOS (PAQ=2Kg)</v>
          </cell>
          <cell r="C369" t="str">
            <v>MATERIAS PRIMAS PLANTA</v>
          </cell>
          <cell r="D369" t="str">
            <v>1 PAQUETE</v>
          </cell>
          <cell r="E369" t="e">
            <v>#N/A</v>
          </cell>
          <cell r="F369">
            <v>2000</v>
          </cell>
          <cell r="G369" t="e">
            <v>#N/A</v>
          </cell>
          <cell r="H369" t="str">
            <v>Gramos</v>
          </cell>
        </row>
        <row r="370">
          <cell r="A370" t="str">
            <v>10900021</v>
          </cell>
          <cell r="B370" t="str">
            <v>AYOTE SAZON PELADO EN TROZOS (PAQ: 2Kg)</v>
          </cell>
          <cell r="C370" t="str">
            <v>MATERIAS PRIMAS PLANTA</v>
          </cell>
          <cell r="D370" t="str">
            <v>1 PAQUETE</v>
          </cell>
          <cell r="E370">
            <v>3000</v>
          </cell>
          <cell r="F370">
            <v>2000</v>
          </cell>
          <cell r="G370">
            <v>1.5</v>
          </cell>
          <cell r="H370" t="str">
            <v>Gramos</v>
          </cell>
        </row>
        <row r="371">
          <cell r="A371" t="str">
            <v>10900022</v>
          </cell>
          <cell r="B371" t="str">
            <v>CHAYOTE TIERNO EN TROZOS (PAQ:2 KILOS)</v>
          </cell>
          <cell r="C371" t="str">
            <v>MATERIAS PRIMAS PLANTA</v>
          </cell>
          <cell r="D371" t="str">
            <v>1 PAQUETE</v>
          </cell>
          <cell r="E371">
            <v>2518</v>
          </cell>
          <cell r="F371">
            <v>2000</v>
          </cell>
          <cell r="G371">
            <v>1.2589999999999999</v>
          </cell>
        </row>
        <row r="372">
          <cell r="A372" t="str">
            <v>10900023</v>
          </cell>
          <cell r="B372" t="str">
            <v xml:space="preserve">PAPA EN TROZOS (PAQ: 2 K) </v>
          </cell>
          <cell r="C372" t="str">
            <v>MATERIAS PRIMAS PLANTA</v>
          </cell>
          <cell r="D372" t="str">
            <v>1 PAQUETE</v>
          </cell>
          <cell r="E372">
            <v>3750</v>
          </cell>
          <cell r="F372">
            <v>2000</v>
          </cell>
          <cell r="G372">
            <v>1.875</v>
          </cell>
          <cell r="H372" t="str">
            <v>Gramos</v>
          </cell>
        </row>
        <row r="373">
          <cell r="A373" t="str">
            <v>10900024</v>
          </cell>
          <cell r="B373" t="str">
            <v>YUCA EN TROZOS (PAQ: 2K)</v>
          </cell>
          <cell r="C373" t="str">
            <v>MATERIAS PRIMAS PLANTA</v>
          </cell>
          <cell r="D373" t="str">
            <v>1 PAQUETE</v>
          </cell>
          <cell r="E373">
            <v>3000</v>
          </cell>
          <cell r="F373">
            <v>2000</v>
          </cell>
          <cell r="G373">
            <v>1.5</v>
          </cell>
          <cell r="H373" t="str">
            <v>Gramos</v>
          </cell>
        </row>
        <row r="374">
          <cell r="A374" t="str">
            <v>10900025</v>
          </cell>
          <cell r="B374" t="str">
            <v>CAMOTE EN TROZOS (PAQ: 2K)</v>
          </cell>
          <cell r="C374" t="str">
            <v>MATERIAS PRIMAS PLANTA</v>
          </cell>
          <cell r="D374" t="str">
            <v>1 PAQUETE</v>
          </cell>
          <cell r="E374">
            <v>4150</v>
          </cell>
          <cell r="F374">
            <v>2000</v>
          </cell>
          <cell r="G374">
            <v>2.0750000000000002</v>
          </cell>
          <cell r="H374" t="str">
            <v>Gramos</v>
          </cell>
        </row>
        <row r="375">
          <cell r="A375" t="str">
            <v>10900026</v>
          </cell>
          <cell r="B375" t="str">
            <v>ELOTE BLANCO EN TROZOS (PAQ:2K)</v>
          </cell>
          <cell r="C375" t="str">
            <v>MATERIAS PRIMAS PLANTA</v>
          </cell>
          <cell r="D375" t="str">
            <v>1 UND</v>
          </cell>
          <cell r="E375">
            <v>3651</v>
          </cell>
          <cell r="F375">
            <v>2000</v>
          </cell>
          <cell r="G375">
            <v>1.8254999999999999</v>
          </cell>
          <cell r="H375" t="str">
            <v>Gramos</v>
          </cell>
        </row>
        <row r="376">
          <cell r="A376" t="str">
            <v>10900029</v>
          </cell>
          <cell r="B376" t="str">
            <v>ZANAHORIA TIRAS (PAQ:500g)</v>
          </cell>
          <cell r="C376" t="str">
            <v>MATERIAS PRIMAS PLANTA</v>
          </cell>
          <cell r="D376" t="str">
            <v>1 PAQUETE</v>
          </cell>
          <cell r="E376">
            <v>428</v>
          </cell>
          <cell r="F376">
            <v>500</v>
          </cell>
          <cell r="G376">
            <v>0.85599999999999998</v>
          </cell>
          <cell r="H376" t="str">
            <v>Gramos</v>
          </cell>
        </row>
        <row r="377">
          <cell r="A377" t="str">
            <v>10900032</v>
          </cell>
          <cell r="B377" t="str">
            <v>FRESA ENTERA (UND:300 g)</v>
          </cell>
          <cell r="C377" t="str">
            <v>MATERIAS PRIMAS PLANTA</v>
          </cell>
          <cell r="D377" t="str">
            <v>1 UND</v>
          </cell>
          <cell r="E377">
            <v>901</v>
          </cell>
          <cell r="F377">
            <v>300</v>
          </cell>
          <cell r="G377">
            <v>3.0033333333333334</v>
          </cell>
          <cell r="H377" t="str">
            <v>Gramos</v>
          </cell>
        </row>
        <row r="378">
          <cell r="A378" t="str">
            <v>10900034</v>
          </cell>
          <cell r="B378" t="str">
            <v>ALBAHACA (PAQ: 100g)</v>
          </cell>
          <cell r="C378" t="str">
            <v>MATERIAS PRIMAS PLANTA</v>
          </cell>
          <cell r="D378" t="str">
            <v>1 PAQUETE</v>
          </cell>
          <cell r="E378">
            <v>565</v>
          </cell>
          <cell r="F378">
            <v>100</v>
          </cell>
          <cell r="G378">
            <v>5.65</v>
          </cell>
        </row>
        <row r="379">
          <cell r="A379" t="str">
            <v>10900036</v>
          </cell>
          <cell r="B379" t="str">
            <v>LECHUGA AMERICANA ENTERA (PAQ:500g)</v>
          </cell>
          <cell r="C379" t="str">
            <v>MATERIAS PRIMAS PLANTA</v>
          </cell>
          <cell r="D379" t="str">
            <v>1 PAQUETE</v>
          </cell>
          <cell r="E379">
            <v>1150</v>
          </cell>
          <cell r="F379">
            <v>500</v>
          </cell>
          <cell r="G379">
            <v>2.2999999999999998</v>
          </cell>
          <cell r="H379" t="str">
            <v>Gramos</v>
          </cell>
        </row>
        <row r="380">
          <cell r="A380" t="str">
            <v>10900040</v>
          </cell>
          <cell r="B380" t="str">
            <v>PEREJIL (PAQUETE: 32 gr)</v>
          </cell>
          <cell r="C380" t="str">
            <v>MATERIAS PRIMAS PLANTA</v>
          </cell>
          <cell r="D380" t="str">
            <v>1 PAQUETE</v>
          </cell>
          <cell r="E380">
            <v>308</v>
          </cell>
          <cell r="F380">
            <v>32</v>
          </cell>
          <cell r="G380">
            <v>9.625</v>
          </cell>
        </row>
        <row r="381">
          <cell r="A381" t="str">
            <v>10900041</v>
          </cell>
          <cell r="B381" t="str">
            <v>REPOLLO MORADO RALLADO (PAQ:250g)</v>
          </cell>
          <cell r="C381" t="str">
            <v>MATERIAS PRIMAS PLANTA</v>
          </cell>
          <cell r="D381" t="str">
            <v>1 PAQUETE</v>
          </cell>
          <cell r="E381">
            <v>399</v>
          </cell>
          <cell r="F381">
            <v>250</v>
          </cell>
          <cell r="G381">
            <v>1.5960000000000001</v>
          </cell>
        </row>
        <row r="382">
          <cell r="A382" t="str">
            <v>10900042</v>
          </cell>
          <cell r="B382" t="str">
            <v>HIERBA BUENA (PAQ:100g)</v>
          </cell>
          <cell r="C382" t="str">
            <v>MATERIAS PRIMAS PLANTA</v>
          </cell>
          <cell r="D382" t="str">
            <v>1 PAQUETE</v>
          </cell>
          <cell r="E382">
            <v>486.33</v>
          </cell>
          <cell r="F382">
            <v>100</v>
          </cell>
          <cell r="G382">
            <v>4.8632999999999997</v>
          </cell>
        </row>
        <row r="383">
          <cell r="A383" t="str">
            <v>10900043</v>
          </cell>
          <cell r="B383" t="str">
            <v>TOMATE CHERRY (PAQ:200g)</v>
          </cell>
          <cell r="C383" t="str">
            <v>MATERIAS PRIMAS PLANTA</v>
          </cell>
          <cell r="D383" t="str">
            <v>1 PAQUETE</v>
          </cell>
          <cell r="E383">
            <v>500</v>
          </cell>
          <cell r="F383">
            <v>200</v>
          </cell>
          <cell r="G383">
            <v>2.5</v>
          </cell>
        </row>
        <row r="384">
          <cell r="A384" t="str">
            <v>10900047</v>
          </cell>
          <cell r="B384" t="str">
            <v>ALFALFA (PAQ:150g)</v>
          </cell>
          <cell r="C384" t="str">
            <v>MATERIAS PRIMAS PLANTA</v>
          </cell>
          <cell r="D384" t="str">
            <v>1 PAQUETE</v>
          </cell>
          <cell r="E384">
            <v>950</v>
          </cell>
          <cell r="F384">
            <v>150</v>
          </cell>
          <cell r="G384">
            <v>6.333333333333333</v>
          </cell>
        </row>
        <row r="385">
          <cell r="A385" t="str">
            <v>10900051</v>
          </cell>
          <cell r="B385" t="str">
            <v>AGUACATE KILO</v>
          </cell>
          <cell r="C385" t="str">
            <v>MATERIAS PRIMAS PLANTA</v>
          </cell>
          <cell r="D385" t="str">
            <v>1 KILO</v>
          </cell>
          <cell r="E385">
            <v>1980.2</v>
          </cell>
          <cell r="F385">
            <v>1000</v>
          </cell>
          <cell r="G385">
            <v>1.9802</v>
          </cell>
          <cell r="H385" t="str">
            <v>Gramos</v>
          </cell>
        </row>
        <row r="386">
          <cell r="A386" t="str">
            <v>10900057</v>
          </cell>
          <cell r="B386" t="str">
            <v>ZUQUINI MINI (PAQ:200g)</v>
          </cell>
          <cell r="C386" t="str">
            <v>MATERIAS PRIMAS PLANTA</v>
          </cell>
          <cell r="D386" t="str">
            <v>1 PAQUETE</v>
          </cell>
          <cell r="E386">
            <v>500</v>
          </cell>
          <cell r="F386">
            <v>200</v>
          </cell>
          <cell r="G386">
            <v>2.5</v>
          </cell>
        </row>
        <row r="387">
          <cell r="A387" t="str">
            <v>10900059</v>
          </cell>
          <cell r="B387" t="str">
            <v>RABANO (PAQ:125g)</v>
          </cell>
          <cell r="C387" t="str">
            <v>MATERIAS PRIMAS PLANTA</v>
          </cell>
          <cell r="D387" t="str">
            <v xml:space="preserve">1 KILO </v>
          </cell>
          <cell r="E387">
            <v>1500</v>
          </cell>
          <cell r="F387">
            <v>1000</v>
          </cell>
          <cell r="G387">
            <v>1.5</v>
          </cell>
          <cell r="H387" t="str">
            <v>Gramos</v>
          </cell>
        </row>
        <row r="388">
          <cell r="A388" t="str">
            <v>10900060</v>
          </cell>
          <cell r="B388" t="str">
            <v>CEREZA ROJA C/TALLO MARASCH (UND:GALON)</v>
          </cell>
          <cell r="C388" t="str">
            <v>MATERIAS PRIMAS PLANTA</v>
          </cell>
          <cell r="D388" t="str">
            <v>1 UND</v>
          </cell>
          <cell r="E388">
            <v>13232</v>
          </cell>
          <cell r="F388">
            <v>3785</v>
          </cell>
          <cell r="G388">
            <v>3.495904887714663</v>
          </cell>
          <cell r="H388" t="str">
            <v>Gramos</v>
          </cell>
        </row>
        <row r="389">
          <cell r="A389" t="str">
            <v>10900062</v>
          </cell>
          <cell r="B389" t="str">
            <v>PLATANO MADURO KILO</v>
          </cell>
          <cell r="C389" t="str">
            <v>MATERIAS PRIMAS PLANTA</v>
          </cell>
          <cell r="D389" t="str">
            <v xml:space="preserve">1 KILO </v>
          </cell>
          <cell r="E389">
            <v>700</v>
          </cell>
          <cell r="F389">
            <v>1000</v>
          </cell>
          <cell r="G389">
            <v>0.7</v>
          </cell>
          <cell r="H389" t="str">
            <v>Gramos</v>
          </cell>
        </row>
        <row r="390">
          <cell r="A390" t="str">
            <v>11000006</v>
          </cell>
          <cell r="B390" t="str">
            <v>ORLA 6.5'' (UND)</v>
          </cell>
          <cell r="C390" t="str">
            <v>EMPAQUES PLANTA</v>
          </cell>
          <cell r="D390" t="str">
            <v>1 UND</v>
          </cell>
          <cell r="E390">
            <v>76</v>
          </cell>
          <cell r="F390">
            <v>1</v>
          </cell>
          <cell r="G390">
            <v>76</v>
          </cell>
        </row>
        <row r="391">
          <cell r="A391" t="str">
            <v>11100006</v>
          </cell>
          <cell r="B391" t="str">
            <v>MANTEQUILLA BLISTER 7g  (CAJA:120 UND)</v>
          </cell>
          <cell r="C391" t="str">
            <v>MATERIAS PRIMAS PLANTA</v>
          </cell>
          <cell r="D391" t="str">
            <v xml:space="preserve">1 CAJA </v>
          </cell>
          <cell r="E391">
            <v>7875</v>
          </cell>
          <cell r="F391">
            <v>120</v>
          </cell>
          <cell r="G391">
            <v>65.625</v>
          </cell>
          <cell r="H391" t="str">
            <v>Und</v>
          </cell>
        </row>
        <row r="392">
          <cell r="A392" t="str">
            <v>11200004</v>
          </cell>
          <cell r="B392" t="str">
            <v>PAN TRENZA(PAQ:10 UND)</v>
          </cell>
          <cell r="C392" t="str">
            <v>MATERIAS PRIMAS PLANTA</v>
          </cell>
          <cell r="D392" t="str">
            <v>1 PAQUETE</v>
          </cell>
          <cell r="E392">
            <v>3000</v>
          </cell>
          <cell r="F392">
            <v>10</v>
          </cell>
          <cell r="G392">
            <v>300</v>
          </cell>
          <cell r="H392" t="str">
            <v>Und</v>
          </cell>
        </row>
        <row r="393">
          <cell r="A393" t="str">
            <v>11200005</v>
          </cell>
          <cell r="B393" t="str">
            <v>PAN BAGUETTINO (PAQ:25 UND)</v>
          </cell>
          <cell r="C393" t="str">
            <v>MATERIAS PRIMAS PLANTA</v>
          </cell>
          <cell r="D393" t="str">
            <v>1 PAQUETE</v>
          </cell>
          <cell r="E393">
            <v>3250</v>
          </cell>
          <cell r="F393" t="str">
            <v>25</v>
          </cell>
          <cell r="G393">
            <v>130</v>
          </cell>
          <cell r="H393" t="str">
            <v>Und</v>
          </cell>
        </row>
        <row r="394">
          <cell r="A394" t="str">
            <v>11200019</v>
          </cell>
          <cell r="B394" t="str">
            <v>PAN MINI BAGUET (PAQ:10 UND)</v>
          </cell>
          <cell r="C394" t="str">
            <v>MATERIAS PRIMAS PLANTA</v>
          </cell>
          <cell r="D394" t="str">
            <v>1 PAQUETE</v>
          </cell>
          <cell r="E394">
            <v>1025</v>
          </cell>
          <cell r="F394" t="str">
            <v>5</v>
          </cell>
          <cell r="G394">
            <v>205</v>
          </cell>
          <cell r="H394" t="str">
            <v>Und</v>
          </cell>
        </row>
        <row r="395">
          <cell r="A395" t="str">
            <v>11200041</v>
          </cell>
          <cell r="B395" t="str">
            <v>CONCHA PIZZA (PAQ:5 UND)</v>
          </cell>
          <cell r="C395" t="str">
            <v>MATERIAS PRIMAS PLANTA</v>
          </cell>
          <cell r="D395" t="str">
            <v>1 PAQUETE</v>
          </cell>
          <cell r="E395">
            <v>631.25</v>
          </cell>
          <cell r="F395">
            <v>5</v>
          </cell>
          <cell r="G395">
            <v>126.25</v>
          </cell>
          <cell r="H395" t="str">
            <v>Und</v>
          </cell>
        </row>
        <row r="396">
          <cell r="A396" t="str">
            <v>11200043</v>
          </cell>
          <cell r="B396" t="str">
            <v>PREMEZCLA TEGRAL QQ VAINILLA (SACO:25K)</v>
          </cell>
          <cell r="C396" t="str">
            <v>MATERIAS PRIMAS PLANTA</v>
          </cell>
          <cell r="D396" t="str">
            <v>1 SACO</v>
          </cell>
          <cell r="E396">
            <v>31446.720000000001</v>
          </cell>
          <cell r="F396">
            <v>25000</v>
          </cell>
          <cell r="G396">
            <v>1.2578688</v>
          </cell>
          <cell r="H396" t="str">
            <v>Gramos</v>
          </cell>
        </row>
        <row r="397">
          <cell r="A397" t="str">
            <v>11200048</v>
          </cell>
          <cell r="B397" t="str">
            <v>PREMEZCLA TEGRAL QQ CHOCOLATE (SACO:20K)</v>
          </cell>
          <cell r="C397" t="str">
            <v>MATERIAS PRIMAS PLANTA</v>
          </cell>
          <cell r="D397" t="str">
            <v>1 SACO</v>
          </cell>
          <cell r="E397">
            <v>34021.1</v>
          </cell>
          <cell r="F397">
            <v>20000</v>
          </cell>
          <cell r="G397">
            <v>1.701055</v>
          </cell>
          <cell r="H397" t="str">
            <v>Gramos</v>
          </cell>
        </row>
        <row r="398">
          <cell r="A398" t="str">
            <v>11200058</v>
          </cell>
          <cell r="B398" t="str">
            <v>PAN ARABE BLANCO 15 CM (PAQ:5 UND)</v>
          </cell>
          <cell r="C398" t="str">
            <v>MATERIAS PRIMAS PLANTA</v>
          </cell>
          <cell r="D398" t="str">
            <v>1 PAQUETE</v>
          </cell>
          <cell r="E398">
            <v>825</v>
          </cell>
          <cell r="F398">
            <v>5</v>
          </cell>
          <cell r="G398">
            <v>165</v>
          </cell>
        </row>
        <row r="399">
          <cell r="A399" t="str">
            <v>11200063</v>
          </cell>
          <cell r="B399" t="str">
            <v>PAN CIABATTA 16 CM (PAQ:10 UND)</v>
          </cell>
          <cell r="C399" t="str">
            <v>MATERIAS PRIMAS PLANTA</v>
          </cell>
          <cell r="D399" t="str">
            <v xml:space="preserve">1 PAQUETE  </v>
          </cell>
          <cell r="E399">
            <v>2450</v>
          </cell>
          <cell r="F399">
            <v>10</v>
          </cell>
          <cell r="G399">
            <v>245</v>
          </cell>
        </row>
        <row r="400">
          <cell r="A400" t="str">
            <v>11200064</v>
          </cell>
          <cell r="B400" t="str">
            <v>HARINA TRIGO NACARINA (SACO: 25 K)</v>
          </cell>
          <cell r="C400" t="str">
            <v>MATERIAS PRIMAS PLANTA</v>
          </cell>
          <cell r="D400" t="str">
            <v>1 SACO</v>
          </cell>
          <cell r="E400">
            <v>20548</v>
          </cell>
          <cell r="F400">
            <v>25000</v>
          </cell>
          <cell r="G400">
            <v>0.82191999999999998</v>
          </cell>
          <cell r="H400" t="str">
            <v>Gramos</v>
          </cell>
        </row>
        <row r="401">
          <cell r="A401" t="str">
            <v>11200067</v>
          </cell>
          <cell r="B401" t="str">
            <v>PREMEZCLA PUDING CAKE PILLSB (SC:22.6 K)</v>
          </cell>
          <cell r="C401" t="str">
            <v>MATERIAS PRIMAS PLANTA</v>
          </cell>
          <cell r="D401" t="str">
            <v>1 SACO</v>
          </cell>
          <cell r="E401" t="e">
            <v>#N/A</v>
          </cell>
          <cell r="F401">
            <v>22600</v>
          </cell>
          <cell r="G401" t="e">
            <v>#N/A</v>
          </cell>
        </row>
        <row r="402">
          <cell r="A402" t="str">
            <v>11300005</v>
          </cell>
          <cell r="B402" t="str">
            <v>HUEVOS EN CARTON (30UNID)</v>
          </cell>
          <cell r="C402" t="str">
            <v>MATERIAS PRIMAS PLANTA</v>
          </cell>
          <cell r="D402" t="str">
            <v>1 CARTON</v>
          </cell>
          <cell r="E402">
            <v>3592.08</v>
          </cell>
          <cell r="F402">
            <v>30</v>
          </cell>
          <cell r="G402">
            <v>119.736</v>
          </cell>
        </row>
        <row r="403">
          <cell r="A403" t="str">
            <v>11300009</v>
          </cell>
          <cell r="B403" t="str">
            <v xml:space="preserve">CLARA DE HUEVO (CAJA:5 K) </v>
          </cell>
          <cell r="C403" t="str">
            <v>MATERIAS PRIMAS PLANTA</v>
          </cell>
          <cell r="D403" t="str">
            <v>1 CAJA</v>
          </cell>
          <cell r="E403">
            <v>13805</v>
          </cell>
          <cell r="F403">
            <v>5000</v>
          </cell>
          <cell r="G403">
            <v>2.7610000000000001</v>
          </cell>
          <cell r="H403" t="str">
            <v>Gramos</v>
          </cell>
        </row>
        <row r="404">
          <cell r="A404" t="str">
            <v>11300010</v>
          </cell>
          <cell r="B404" t="str">
            <v>HUEVO DURO (PAQ:4 UND)</v>
          </cell>
          <cell r="C404" t="str">
            <v>MATERIAS PRIMAS PLANTA</v>
          </cell>
          <cell r="D404" t="str">
            <v>1 PAQUETE</v>
          </cell>
          <cell r="E404">
            <v>680</v>
          </cell>
          <cell r="F404">
            <v>4</v>
          </cell>
          <cell r="G404">
            <v>170</v>
          </cell>
        </row>
        <row r="405">
          <cell r="A405" t="str">
            <v>11300011</v>
          </cell>
          <cell r="B405" t="str">
            <v>YEMA DE HUEVO (UND: 8.34 K)</v>
          </cell>
          <cell r="C405" t="str">
            <v>MATERIAS PRIMAS PLANTA</v>
          </cell>
          <cell r="D405" t="str">
            <v>1 UND</v>
          </cell>
          <cell r="E405">
            <v>22737</v>
          </cell>
          <cell r="F405">
            <v>8340</v>
          </cell>
          <cell r="G405">
            <v>2.7262589928057555</v>
          </cell>
        </row>
        <row r="406">
          <cell r="A406" t="str">
            <v>11400014</v>
          </cell>
          <cell r="B406" t="str">
            <v>YOGURTH IN LINE NATURAL (UND:500g)</v>
          </cell>
          <cell r="C406" t="str">
            <v>MATERIAS PRIMAS PLANTA</v>
          </cell>
          <cell r="D406" t="str">
            <v>1 UND</v>
          </cell>
          <cell r="E406" t="e">
            <v>#N/A</v>
          </cell>
          <cell r="F406">
            <v>500</v>
          </cell>
          <cell r="G406" t="e">
            <v>#N/A</v>
          </cell>
          <cell r="H406" t="str">
            <v>Gramos</v>
          </cell>
        </row>
        <row r="407">
          <cell r="A407" t="str">
            <v>11400015</v>
          </cell>
          <cell r="B407" t="str">
            <v>QUESO GOUDA (PAQ:160g)</v>
          </cell>
          <cell r="C407" t="str">
            <v>MATERIAS PRIMAS PLANTA</v>
          </cell>
          <cell r="D407" t="str">
            <v>1 PAQUETE</v>
          </cell>
          <cell r="E407">
            <v>2070.5419999999999</v>
          </cell>
          <cell r="F407">
            <v>160</v>
          </cell>
          <cell r="G407">
            <v>12.940887499999999</v>
          </cell>
        </row>
        <row r="408">
          <cell r="A408" t="str">
            <v>11400024</v>
          </cell>
          <cell r="B408" t="str">
            <v>QUESO TURRIALBA (PAQ: 3 K)</v>
          </cell>
          <cell r="C408" t="str">
            <v>MATERIAS PRIMAS PLANTA</v>
          </cell>
          <cell r="D408" t="str">
            <v>1 PAQUETE</v>
          </cell>
          <cell r="E408">
            <v>10111</v>
          </cell>
          <cell r="F408">
            <v>3000</v>
          </cell>
          <cell r="G408">
            <v>3.3703333333333334</v>
          </cell>
          <cell r="H408" t="str">
            <v>Gramos</v>
          </cell>
        </row>
        <row r="409">
          <cell r="A409" t="str">
            <v>11400027</v>
          </cell>
          <cell r="B409" t="str">
            <v>CREMA BETTERCREAM DOBLE CHOCO (UND:4 K)</v>
          </cell>
          <cell r="C409" t="str">
            <v>MATERIAS PRIMAS PLANTA</v>
          </cell>
          <cell r="D409" t="str">
            <v>1 UND</v>
          </cell>
          <cell r="E409">
            <v>11054</v>
          </cell>
          <cell r="F409">
            <v>4000</v>
          </cell>
          <cell r="G409">
            <v>2.7635000000000001</v>
          </cell>
          <cell r="H409" t="str">
            <v>Gramos</v>
          </cell>
        </row>
        <row r="410">
          <cell r="A410" t="str">
            <v>11400029</v>
          </cell>
          <cell r="B410" t="str">
            <v>CREMA BETTER DULCE LECHE RICH (UND:4 K)</v>
          </cell>
          <cell r="C410" t="str">
            <v>MATERIAS PRIMAS PLANTA</v>
          </cell>
          <cell r="D410" t="str">
            <v>1 UND</v>
          </cell>
          <cell r="E410">
            <v>11650</v>
          </cell>
          <cell r="F410">
            <v>4000</v>
          </cell>
          <cell r="G410">
            <v>2.9125000000000001</v>
          </cell>
          <cell r="H410" t="str">
            <v>Gramos</v>
          </cell>
        </row>
        <row r="411">
          <cell r="A411" t="str">
            <v>11400031</v>
          </cell>
          <cell r="B411" t="str">
            <v>CREMA PRESTIGE GRAND (UND:4 K) *</v>
          </cell>
          <cell r="C411" t="str">
            <v>MATERIAS PRIMAS PLANTA</v>
          </cell>
          <cell r="D411" t="str">
            <v>1 UND</v>
          </cell>
          <cell r="E411">
            <v>8795</v>
          </cell>
          <cell r="F411">
            <v>4000</v>
          </cell>
          <cell r="G411">
            <v>2.19875</v>
          </cell>
          <cell r="H411" t="str">
            <v>Gramos</v>
          </cell>
        </row>
        <row r="412">
          <cell r="A412" t="str">
            <v>11400032</v>
          </cell>
          <cell r="B412" t="str">
            <v>LECHE CONDENSADA NEST CHILE  (PAQ:4.5 K)</v>
          </cell>
          <cell r="C412" t="str">
            <v>MATERIAS PRIMAS PLANTA</v>
          </cell>
          <cell r="D412" t="str">
            <v>1 PAQUETE</v>
          </cell>
          <cell r="E412">
            <v>8729.32</v>
          </cell>
          <cell r="F412">
            <v>4500</v>
          </cell>
          <cell r="G412">
            <v>1.9398488888888887</v>
          </cell>
          <cell r="H412" t="str">
            <v>Gramos</v>
          </cell>
        </row>
        <row r="413">
          <cell r="A413" t="str">
            <v>11400036</v>
          </cell>
          <cell r="B413" t="str">
            <v>QUESO FETTA (PAQ:200g)</v>
          </cell>
          <cell r="C413" t="str">
            <v>MATERIAS PRIMAS PLANTA</v>
          </cell>
          <cell r="D413" t="str">
            <v>1 PAQUETE</v>
          </cell>
          <cell r="E413">
            <v>3090</v>
          </cell>
          <cell r="F413">
            <v>200</v>
          </cell>
          <cell r="G413">
            <v>15.45</v>
          </cell>
        </row>
        <row r="414">
          <cell r="A414" t="str">
            <v>11400038</v>
          </cell>
          <cell r="B414" t="str">
            <v>LECHE COND COCINADA (CAJA:18.96 K)</v>
          </cell>
          <cell r="C414" t="str">
            <v>MATERIAS PRIMAS PLANTA</v>
          </cell>
          <cell r="D414" t="str">
            <v>1 CAJA</v>
          </cell>
          <cell r="E414">
            <v>14400</v>
          </cell>
          <cell r="F414">
            <v>18960</v>
          </cell>
          <cell r="G414">
            <v>0.759493670886076</v>
          </cell>
        </row>
        <row r="415">
          <cell r="A415" t="str">
            <v>11400040</v>
          </cell>
          <cell r="B415" t="str">
            <v>YOGURT BATIDO NATURAL (UND:1 K)</v>
          </cell>
          <cell r="C415" t="str">
            <v>MATERIAS PRIMAS PLANTA</v>
          </cell>
          <cell r="D415" t="str">
            <v>1 UND</v>
          </cell>
          <cell r="E415">
            <v>1925</v>
          </cell>
          <cell r="F415">
            <v>1000</v>
          </cell>
          <cell r="G415">
            <v>1.925</v>
          </cell>
        </row>
        <row r="416">
          <cell r="A416" t="str">
            <v>11400045</v>
          </cell>
          <cell r="B416" t="str">
            <v>QUESO RALLADO RICO DOS PINO SP (PAQ:2 K)</v>
          </cell>
          <cell r="C416" t="str">
            <v>MATERIAS PRIMAS PLANTA</v>
          </cell>
          <cell r="D416" t="str">
            <v>1 PAQUETE</v>
          </cell>
          <cell r="E416">
            <v>14455</v>
          </cell>
          <cell r="F416">
            <v>2000</v>
          </cell>
          <cell r="G416">
            <v>7.2275</v>
          </cell>
          <cell r="H416" t="str">
            <v>Gramos</v>
          </cell>
        </row>
        <row r="417">
          <cell r="A417" t="str">
            <v>11400046</v>
          </cell>
          <cell r="B417" t="str">
            <v>LECHE CONDENSADA (PAQ:11 K)</v>
          </cell>
          <cell r="C417" t="str">
            <v>MATERIAS PRIMAS PLANTA</v>
          </cell>
          <cell r="D417" t="str">
            <v>1 PAQUETE</v>
          </cell>
          <cell r="E417">
            <v>23710.75</v>
          </cell>
          <cell r="F417">
            <v>11000</v>
          </cell>
          <cell r="G417">
            <v>2.1555227272727273</v>
          </cell>
          <cell r="H417" t="str">
            <v>Gramos</v>
          </cell>
        </row>
        <row r="418">
          <cell r="A418" t="str">
            <v>11400047</v>
          </cell>
          <cell r="B418" t="str">
            <v>LECHE 2% PASTEURIZADA (UND)</v>
          </cell>
          <cell r="C418" t="str">
            <v>MATERIAS PRIMAS PLANTA</v>
          </cell>
          <cell r="D418" t="str">
            <v>1 UND</v>
          </cell>
          <cell r="E418">
            <v>2197</v>
          </cell>
          <cell r="F418">
            <v>3785</v>
          </cell>
          <cell r="G418">
            <v>0.58044914134742409</v>
          </cell>
          <cell r="H418" t="str">
            <v>Mililitros</v>
          </cell>
        </row>
        <row r="419">
          <cell r="A419" t="str">
            <v>11400048</v>
          </cell>
          <cell r="B419" t="str">
            <v>QUESO AMERI CHEESE NESTLE (PAQ:52 UND)</v>
          </cell>
          <cell r="C419" t="str">
            <v>MATERIAS PRIMAS PLANTA</v>
          </cell>
          <cell r="D419" t="str">
            <v>1 PAQUETE</v>
          </cell>
          <cell r="E419" t="e">
            <v>#N/A</v>
          </cell>
          <cell r="F419">
            <v>52</v>
          </cell>
          <cell r="G419" t="e">
            <v>#N/A</v>
          </cell>
          <cell r="H419" t="str">
            <v>Und</v>
          </cell>
        </row>
        <row r="420">
          <cell r="A420" t="str">
            <v>11400051</v>
          </cell>
          <cell r="B420" t="str">
            <v>CREMA PRESTIGE GRAND (UND:1 K)</v>
          </cell>
          <cell r="C420" t="str">
            <v>MATERIAS PRIMAS PLANTA</v>
          </cell>
          <cell r="D420" t="str">
            <v>1 UND</v>
          </cell>
          <cell r="E420">
            <v>2588.4166666666702</v>
          </cell>
          <cell r="F420">
            <v>1000</v>
          </cell>
          <cell r="G420">
            <v>2.5884166666666704</v>
          </cell>
          <cell r="H420" t="str">
            <v>Gramos</v>
          </cell>
        </row>
        <row r="421">
          <cell r="A421" t="str">
            <v>11700002</v>
          </cell>
          <cell r="B421" t="str">
            <v>DULCE LECHE LA CIABATA (UND:5 K )</v>
          </cell>
          <cell r="C421" t="str">
            <v>MATERIAS PRIMAS PLANTA</v>
          </cell>
          <cell r="D421" t="str">
            <v>1 UND</v>
          </cell>
          <cell r="E421">
            <v>9800</v>
          </cell>
          <cell r="F421">
            <v>5000</v>
          </cell>
          <cell r="G421">
            <v>1.96</v>
          </cell>
          <cell r="H421" t="str">
            <v>Gramos</v>
          </cell>
        </row>
        <row r="422">
          <cell r="A422" t="str">
            <v>11800012</v>
          </cell>
          <cell r="B422" t="str">
            <v>SABORIZANTE NARANJA A-0191 KILO</v>
          </cell>
          <cell r="C422" t="str">
            <v>MATERIAS PRIMAS PLANTA</v>
          </cell>
          <cell r="D422" t="str">
            <v xml:space="preserve">1 KILO   </v>
          </cell>
          <cell r="E422">
            <v>18566.02</v>
          </cell>
          <cell r="F422">
            <v>1000</v>
          </cell>
          <cell r="G422">
            <v>18.566020000000002</v>
          </cell>
          <cell r="H422" t="str">
            <v>Gramos</v>
          </cell>
        </row>
        <row r="423">
          <cell r="A423" t="str">
            <v>11900001</v>
          </cell>
          <cell r="B423" t="str">
            <v>NUEZ PECANA QUEBRADURA (CAJA:10 Kg)</v>
          </cell>
          <cell r="C423" t="str">
            <v>MATERIAS PRIMAS PLANTA</v>
          </cell>
          <cell r="D423" t="str">
            <v>1 CAJA</v>
          </cell>
          <cell r="E423">
            <v>100922.2</v>
          </cell>
          <cell r="F423">
            <v>10000</v>
          </cell>
          <cell r="G423">
            <v>10.092219999999999</v>
          </cell>
          <cell r="H423" t="str">
            <v>Gramos</v>
          </cell>
        </row>
        <row r="424">
          <cell r="A424" t="str">
            <v>12000003</v>
          </cell>
          <cell r="B424" t="str">
            <v>CREMA VERSATIE (UND: L)</v>
          </cell>
          <cell r="C424" t="str">
            <v>MATERIAS PRIMAS PLANTA</v>
          </cell>
          <cell r="D424" t="str">
            <v>1 UND</v>
          </cell>
          <cell r="E424">
            <v>1845</v>
          </cell>
          <cell r="F424">
            <v>1000</v>
          </cell>
          <cell r="G424">
            <v>1.845</v>
          </cell>
          <cell r="H424" t="str">
            <v>Mililitros</v>
          </cell>
        </row>
        <row r="425">
          <cell r="A425" t="str">
            <v>12100006</v>
          </cell>
          <cell r="B425" t="str">
            <v>CHOCOLATE GUAYABITA (PAQ=36 UND)</v>
          </cell>
          <cell r="C425" t="str">
            <v>MATERIAS PRIMAS PLANTA</v>
          </cell>
          <cell r="D425" t="str">
            <v>1 PAQ</v>
          </cell>
          <cell r="E425">
            <v>2136</v>
          </cell>
          <cell r="F425">
            <v>234</v>
          </cell>
          <cell r="G425">
            <v>9.1282051282051277</v>
          </cell>
          <cell r="H425" t="str">
            <v>Gramos</v>
          </cell>
        </row>
        <row r="426">
          <cell r="A426" t="str">
            <v>12300005</v>
          </cell>
          <cell r="B426" t="str">
            <v>SALSA AJI AMARILLO (UND:160 ML)</v>
          </cell>
          <cell r="C426" t="str">
            <v>MATERIAS PRIMAS PLANTA</v>
          </cell>
          <cell r="D426" t="str">
            <v>1 UND</v>
          </cell>
          <cell r="E426">
            <v>1398.23</v>
          </cell>
          <cell r="F426">
            <v>160</v>
          </cell>
          <cell r="G426">
            <v>8.7389375000000005</v>
          </cell>
        </row>
        <row r="427">
          <cell r="A427" t="str">
            <v>20200036</v>
          </cell>
          <cell r="B427" t="str">
            <v>GALLETA PARA DECORAR MENU INFANTIL</v>
          </cell>
          <cell r="C427" t="str">
            <v>MATERIAS PRIMAS PLANTA</v>
          </cell>
          <cell r="D427" t="str">
            <v>1 UND</v>
          </cell>
          <cell r="E427" t="e">
            <v>#N/A</v>
          </cell>
          <cell r="G427" t="e">
            <v>#N/A</v>
          </cell>
        </row>
        <row r="428">
          <cell r="A428" t="str">
            <v>20400022</v>
          </cell>
          <cell r="B428" t="str">
            <v>CAJETA GRANDE (CAJA:6 UND)</v>
          </cell>
          <cell r="C428" t="str">
            <v>MATERIAS PRIMAS PLANTA</v>
          </cell>
          <cell r="D428" t="str">
            <v>1 CAJA</v>
          </cell>
          <cell r="E428">
            <v>1899</v>
          </cell>
          <cell r="G428" t="e">
            <v>#DIV/0!</v>
          </cell>
        </row>
        <row r="429">
          <cell r="A429" t="str">
            <v>20400051</v>
          </cell>
          <cell r="B429" t="str">
            <v>CROCANTE DE NUEZ (CAJA:6 UND)</v>
          </cell>
          <cell r="C429" t="str">
            <v>MATERIAS PRIMAS PLANTA</v>
          </cell>
          <cell r="D429" t="str">
            <v>1 CAJA</v>
          </cell>
          <cell r="E429">
            <v>3850</v>
          </cell>
          <cell r="G429" t="e">
            <v>#DIV/0!</v>
          </cell>
        </row>
        <row r="430">
          <cell r="A430" t="str">
            <v>20400121</v>
          </cell>
          <cell r="B430" t="str">
            <v>CHOCOLATE SNICKERS (CAJA:48 PAQ) COMEDOR</v>
          </cell>
          <cell r="C430" t="str">
            <v>MATERIAS PRIMAS PLANTA</v>
          </cell>
          <cell r="D430" t="str">
            <v>1 CAJA</v>
          </cell>
          <cell r="E430" t="e">
            <v>#N/A</v>
          </cell>
          <cell r="G430" t="e">
            <v>#N/A</v>
          </cell>
        </row>
        <row r="431">
          <cell r="A431" t="str">
            <v>20400124</v>
          </cell>
          <cell r="B431" t="str">
            <v>MAYONESA ( UNIDAD ) COMEDOR</v>
          </cell>
          <cell r="C431" t="str">
            <v>MATERIAS PRIMAS PLANTA</v>
          </cell>
          <cell r="D431" t="str">
            <v>1 UND</v>
          </cell>
          <cell r="E431">
            <v>6769</v>
          </cell>
          <cell r="G431" t="e">
            <v>#DIV/0!</v>
          </cell>
        </row>
        <row r="432">
          <cell r="A432" t="str">
            <v>20400125</v>
          </cell>
          <cell r="B432" t="str">
            <v>CHILERA ( UNIDAD ) COMEDOR</v>
          </cell>
          <cell r="C432" t="str">
            <v>MATERIAS PRIMAS PLANTA</v>
          </cell>
          <cell r="D432" t="str">
            <v>1 UND</v>
          </cell>
          <cell r="E432">
            <v>2555</v>
          </cell>
          <cell r="G432" t="e">
            <v>#DIV/0!</v>
          </cell>
        </row>
        <row r="433">
          <cell r="A433" t="str">
            <v>50400003</v>
          </cell>
          <cell r="B433" t="str">
            <v>CAJA MUSMANNI #2 (UND)</v>
          </cell>
          <cell r="C433" t="str">
            <v>EMPAQUES PLANTA</v>
          </cell>
          <cell r="D433" t="str">
            <v>1 UND</v>
          </cell>
          <cell r="E433">
            <v>239</v>
          </cell>
          <cell r="F433">
            <v>1</v>
          </cell>
          <cell r="G433">
            <v>239</v>
          </cell>
          <cell r="H433" t="str">
            <v>Und</v>
          </cell>
        </row>
        <row r="434">
          <cell r="A434" t="str">
            <v>50400014</v>
          </cell>
          <cell r="B434" t="str">
            <v>CAJA PEQUEÑA OFFICE BREAK (CAJA:625 UND)</v>
          </cell>
          <cell r="C434" t="str">
            <v>EMPAQUES PLANTA</v>
          </cell>
          <cell r="D434" t="str">
            <v>1 CAJA</v>
          </cell>
          <cell r="E434">
            <v>60000</v>
          </cell>
          <cell r="F434">
            <v>625</v>
          </cell>
          <cell r="G434">
            <v>96</v>
          </cell>
        </row>
        <row r="435">
          <cell r="A435" t="str">
            <v>50400015</v>
          </cell>
          <cell r="B435" t="str">
            <v>CAJA MEDIANA OFFICE BREAK (CAJA:400 UND)</v>
          </cell>
          <cell r="C435" t="str">
            <v>EMPAQUES PLANTA</v>
          </cell>
          <cell r="D435" t="str">
            <v>1 CAJA</v>
          </cell>
          <cell r="E435">
            <v>45600</v>
          </cell>
          <cell r="F435">
            <v>400</v>
          </cell>
          <cell r="G435">
            <v>114</v>
          </cell>
        </row>
        <row r="436">
          <cell r="A436" t="str">
            <v>50400017</v>
          </cell>
          <cell r="B436" t="str">
            <v>CAJA PORCION OFFICE BREAK (CAJA:950 UND)</v>
          </cell>
          <cell r="C436" t="str">
            <v>EMPAQUES PLANTA</v>
          </cell>
          <cell r="D436" t="str">
            <v>1 CAJA</v>
          </cell>
          <cell r="E436">
            <v>80750</v>
          </cell>
          <cell r="F436">
            <v>950</v>
          </cell>
          <cell r="G436">
            <v>85</v>
          </cell>
        </row>
        <row r="437">
          <cell r="A437" t="str">
            <v>50500003</v>
          </cell>
          <cell r="B437" t="str">
            <v>CANDELA CARITAS COLORES (UND)</v>
          </cell>
          <cell r="C437" t="str">
            <v>EMPAQUES PLANTA</v>
          </cell>
          <cell r="D437" t="str">
            <v>1 UND</v>
          </cell>
          <cell r="E437">
            <v>726.75018999999998</v>
          </cell>
          <cell r="F437">
            <v>1</v>
          </cell>
          <cell r="G437">
            <v>726.75018999999998</v>
          </cell>
        </row>
        <row r="438">
          <cell r="A438" t="str">
            <v>50500004</v>
          </cell>
          <cell r="B438" t="str">
            <v>CANDELA GLOBOS SURTIDO COLORES (UND)</v>
          </cell>
          <cell r="C438" t="str">
            <v>EMPAQUES PLANTA</v>
          </cell>
          <cell r="D438" t="str">
            <v>1 UND</v>
          </cell>
          <cell r="E438">
            <v>688.75</v>
          </cell>
          <cell r="F438">
            <v>1</v>
          </cell>
          <cell r="G438">
            <v>688.75</v>
          </cell>
        </row>
        <row r="439">
          <cell r="A439" t="str">
            <v>50500005</v>
          </cell>
          <cell r="B439" t="str">
            <v>CANDELA FELIZ ESCARCHA SURTIDA (UND)</v>
          </cell>
          <cell r="C439" t="str">
            <v>EMPAQUES PLANTA</v>
          </cell>
          <cell r="D439" t="str">
            <v>1 UND</v>
          </cell>
          <cell r="E439">
            <v>712.5</v>
          </cell>
          <cell r="G439" t="e">
            <v>#DIV/0!</v>
          </cell>
        </row>
        <row r="440">
          <cell r="A440" t="str">
            <v>50600003</v>
          </cell>
          <cell r="B440" t="str">
            <v>CAPSULA # 5 BLANCA (PAQ:1000 UND)</v>
          </cell>
          <cell r="C440" t="str">
            <v>EMPAQUES PLANTA</v>
          </cell>
          <cell r="D440" t="str">
            <v>1 PAQUETE</v>
          </cell>
          <cell r="E440">
            <v>11555</v>
          </cell>
          <cell r="F440">
            <v>1000</v>
          </cell>
          <cell r="G440">
            <v>11.555</v>
          </cell>
        </row>
        <row r="441">
          <cell r="A441" t="str">
            <v>50100051</v>
          </cell>
          <cell r="B441" t="str">
            <v>CONTENEDOR SUFLE 1 OZ (PAQ: 250 UND)</v>
          </cell>
          <cell r="C441" t="str">
            <v>EMPAQUES PLANTA</v>
          </cell>
          <cell r="D441" t="str">
            <v>1 PAQUETE</v>
          </cell>
          <cell r="E441">
            <v>580.70000000000005</v>
          </cell>
          <cell r="F441">
            <v>250</v>
          </cell>
          <cell r="G441">
            <v>2.3228</v>
          </cell>
        </row>
        <row r="442">
          <cell r="A442" t="str">
            <v>51000003</v>
          </cell>
          <cell r="B442" t="str">
            <v>ORLA 14.5" (UND)</v>
          </cell>
          <cell r="C442" t="str">
            <v>EMPAQUES PLANTA</v>
          </cell>
          <cell r="D442" t="str">
            <v>1 UND</v>
          </cell>
          <cell r="E442">
            <v>414</v>
          </cell>
          <cell r="F442">
            <v>1</v>
          </cell>
          <cell r="G442">
            <v>414</v>
          </cell>
          <cell r="H442" t="str">
            <v>Und</v>
          </cell>
        </row>
        <row r="443">
          <cell r="A443" t="str">
            <v>51400001</v>
          </cell>
          <cell r="B443" t="str">
            <v>QUEQUERA RECTANGULAR 1/2 (CAJA:30 UND)</v>
          </cell>
          <cell r="C443" t="str">
            <v>EMPAQUES PLANTA</v>
          </cell>
          <cell r="D443" t="str">
            <v>1 CAJA</v>
          </cell>
          <cell r="E443">
            <v>55545</v>
          </cell>
          <cell r="F443" t="str">
            <v>30</v>
          </cell>
          <cell r="G443">
            <v>1851.5</v>
          </cell>
          <cell r="H443" t="str">
            <v>Und</v>
          </cell>
        </row>
        <row r="444">
          <cell r="A444" t="str">
            <v>51400015</v>
          </cell>
          <cell r="B444" t="str">
            <v>QUEQUERA CHILENA (CAJA:50 UND)</v>
          </cell>
          <cell r="C444" t="str">
            <v>EMPAQUES PLANTA</v>
          </cell>
          <cell r="D444" t="str">
            <v>1 CAJA</v>
          </cell>
          <cell r="E444">
            <v>33070</v>
          </cell>
          <cell r="F444">
            <v>50</v>
          </cell>
          <cell r="G444">
            <v>661.4</v>
          </cell>
          <cell r="H444" t="str">
            <v>Und</v>
          </cell>
        </row>
        <row r="445">
          <cell r="A445" t="str">
            <v>51400016</v>
          </cell>
          <cell r="B445" t="str">
            <v>DOMO QUEQUERA 8" ALTA (CAJA:100 UND)</v>
          </cell>
          <cell r="C445" t="str">
            <v>EMPAQUES PLANTA</v>
          </cell>
          <cell r="D445" t="str">
            <v>1 CAJA</v>
          </cell>
          <cell r="E445">
            <v>25677</v>
          </cell>
          <cell r="F445">
            <v>100</v>
          </cell>
          <cell r="G445">
            <v>256.77</v>
          </cell>
          <cell r="H445" t="str">
            <v>Und</v>
          </cell>
        </row>
        <row r="446">
          <cell r="A446" t="str">
            <v>51400017</v>
          </cell>
          <cell r="B446" t="str">
            <v>BASE QUEQUERA 8" ALTA (CAJA:200 UND)</v>
          </cell>
          <cell r="C446" t="str">
            <v>EMPAQUES PLANTA</v>
          </cell>
          <cell r="D446" t="str">
            <v>1 CAJA</v>
          </cell>
          <cell r="E446">
            <v>30419</v>
          </cell>
          <cell r="F446">
            <v>200</v>
          </cell>
          <cell r="G446">
            <v>152.095</v>
          </cell>
          <cell r="H446" t="str">
            <v>Und</v>
          </cell>
        </row>
        <row r="447">
          <cell r="A447" t="str">
            <v>51400020</v>
          </cell>
          <cell r="B447" t="str">
            <v>BURBUJA I-3 ALTA (CAJA:250 UND)</v>
          </cell>
          <cell r="C447" t="str">
            <v>EMPAQUES PLANTA</v>
          </cell>
          <cell r="D447" t="str">
            <v>1 CAJA</v>
          </cell>
          <cell r="E447">
            <v>8657.57</v>
          </cell>
          <cell r="F447">
            <v>250</v>
          </cell>
          <cell r="G447">
            <v>34.630279999999999</v>
          </cell>
        </row>
        <row r="448">
          <cell r="A448" t="str">
            <v>51400021</v>
          </cell>
          <cell r="B448" t="str">
            <v>QUEQUERA RED C/BASE ALTA 9" (CAJA:100 U)</v>
          </cell>
          <cell r="C448" t="str">
            <v>EMPAQUES PLANTA</v>
          </cell>
          <cell r="D448" t="str">
            <v>1 CAJA</v>
          </cell>
          <cell r="E448">
            <v>46363</v>
          </cell>
          <cell r="F448">
            <v>100</v>
          </cell>
          <cell r="G448">
            <v>463.63</v>
          </cell>
          <cell r="H448" t="str">
            <v>Und</v>
          </cell>
        </row>
        <row r="449">
          <cell r="A449" t="str">
            <v>51400022</v>
          </cell>
          <cell r="B449" t="str">
            <v>BOWL FIBRA 24 ONZ COMPOST (PAQ:125 UND)</v>
          </cell>
          <cell r="C449" t="str">
            <v>EMPAQUES PLANTA</v>
          </cell>
          <cell r="D449" t="str">
            <v>1 PAQUETE</v>
          </cell>
          <cell r="E449" t="e">
            <v>#N/A</v>
          </cell>
          <cell r="F449">
            <v>125</v>
          </cell>
          <cell r="G449" t="e">
            <v>#N/A</v>
          </cell>
        </row>
        <row r="450">
          <cell r="A450" t="str">
            <v>51400023</v>
          </cell>
          <cell r="B450" t="str">
            <v>BOWL FIBRA 32 ONZ COMPOST (PAQ:125 UND)</v>
          </cell>
          <cell r="C450" t="str">
            <v>EMPAQUES PLANTA</v>
          </cell>
          <cell r="D450" t="str">
            <v>1 PAQUETE</v>
          </cell>
          <cell r="E450" t="e">
            <v>#N/A</v>
          </cell>
          <cell r="F450">
            <v>125</v>
          </cell>
          <cell r="G450" t="e">
            <v>#N/A</v>
          </cell>
        </row>
        <row r="451">
          <cell r="A451" t="str">
            <v>51400024</v>
          </cell>
          <cell r="B451" t="str">
            <v>TAPA  BOWL 16/24/32 ONZ (PAQ:125 UND)</v>
          </cell>
          <cell r="C451" t="str">
            <v>EMPAQUES PLANTA</v>
          </cell>
          <cell r="D451" t="str">
            <v>1 PAQUETE</v>
          </cell>
          <cell r="E451" t="e">
            <v>#N/A</v>
          </cell>
          <cell r="F451">
            <v>125</v>
          </cell>
          <cell r="G451" t="e">
            <v>#N/A</v>
          </cell>
        </row>
        <row r="452">
          <cell r="A452" t="str">
            <v>51400025</v>
          </cell>
          <cell r="B452" t="str">
            <v>BANDEJA FIBRA 2 DIVISIONES (PAQ:50 UND)</v>
          </cell>
          <cell r="C452" t="str">
            <v>EMPAQUES PLANTA</v>
          </cell>
          <cell r="D452" t="str">
            <v>1 PAQUETE</v>
          </cell>
          <cell r="E452" t="e">
            <v>#N/A</v>
          </cell>
          <cell r="F452">
            <v>50</v>
          </cell>
          <cell r="G452" t="e">
            <v>#N/A</v>
          </cell>
        </row>
        <row r="453">
          <cell r="A453" t="str">
            <v>51400026</v>
          </cell>
          <cell r="B453" t="str">
            <v>BANDEJA FIBRA 3 DIVISIONES (PAQ:50 UND)</v>
          </cell>
          <cell r="C453" t="str">
            <v>EMPAQUES PLANTA</v>
          </cell>
          <cell r="D453" t="str">
            <v>1 PAQUETE</v>
          </cell>
          <cell r="E453" t="e">
            <v>#N/A</v>
          </cell>
          <cell r="F453">
            <v>50</v>
          </cell>
          <cell r="G453" t="e">
            <v>#N/A</v>
          </cell>
        </row>
        <row r="454">
          <cell r="A454" t="str">
            <v>51400027</v>
          </cell>
          <cell r="B454" t="str">
            <v>TAPA BOWL SOPA 8 ONZ (PAQ:50 UND)</v>
          </cell>
          <cell r="C454" t="str">
            <v>EMPAQUES PLANTA</v>
          </cell>
          <cell r="D454" t="str">
            <v>1 PAQUETE</v>
          </cell>
          <cell r="E454">
            <v>3080</v>
          </cell>
          <cell r="F454">
            <v>50</v>
          </cell>
          <cell r="G454">
            <v>61.6</v>
          </cell>
        </row>
        <row r="455">
          <cell r="A455" t="str">
            <v>51400028</v>
          </cell>
          <cell r="B455" t="str">
            <v>BOWL FIBRA SOPA 16 ONZ (PAQ:50 UND)</v>
          </cell>
          <cell r="C455" t="str">
            <v>EMPAQUES PLANTA</v>
          </cell>
          <cell r="D455" t="str">
            <v>1 PAQUETE</v>
          </cell>
          <cell r="E455" t="e">
            <v>#N/A</v>
          </cell>
          <cell r="F455">
            <v>50</v>
          </cell>
          <cell r="G455" t="e">
            <v>#N/A</v>
          </cell>
        </row>
        <row r="456">
          <cell r="A456" t="str">
            <v>51400032</v>
          </cell>
          <cell r="B456" t="str">
            <v>BOWL FIBRA SOPA 12 ONZ (PAQ:50 UND)</v>
          </cell>
          <cell r="C456" t="str">
            <v>EMPAQUES PLANTA</v>
          </cell>
          <cell r="D456" t="str">
            <v>1 PAQUETE</v>
          </cell>
          <cell r="E456">
            <v>4480</v>
          </cell>
          <cell r="F456">
            <v>50</v>
          </cell>
          <cell r="G456">
            <v>89.6</v>
          </cell>
        </row>
        <row r="457">
          <cell r="A457" t="str">
            <v>51400033</v>
          </cell>
          <cell r="B457" t="str">
            <v>TAPA BOWL SOPA 12/16/32 ONZ (PAQ:50 UND)</v>
          </cell>
          <cell r="C457" t="str">
            <v>EMPAQUES PLANTA</v>
          </cell>
          <cell r="D457" t="str">
            <v>1 PAQUETE</v>
          </cell>
          <cell r="E457" t="e">
            <v>#N/A</v>
          </cell>
          <cell r="F457">
            <v>50</v>
          </cell>
          <cell r="G457" t="e">
            <v>#N/A</v>
          </cell>
        </row>
        <row r="458">
          <cell r="A458" t="str">
            <v>51400034</v>
          </cell>
          <cell r="B458" t="str">
            <v>BOWL FIBRA SOPA 8 ONZ (PAQ:50 UND)</v>
          </cell>
          <cell r="C458" t="str">
            <v>EMPAQUES PLANTA</v>
          </cell>
          <cell r="D458" t="str">
            <v>1 PAQUETE</v>
          </cell>
          <cell r="E458">
            <v>3710</v>
          </cell>
          <cell r="F458">
            <v>50</v>
          </cell>
          <cell r="G458">
            <v>74.2</v>
          </cell>
        </row>
        <row r="459">
          <cell r="A459" t="str">
            <v>51400040</v>
          </cell>
          <cell r="B459" t="str">
            <v>QUEQUERA RECTANGULAR 1/4 ( CAJA: 65 UND)</v>
          </cell>
          <cell r="C459" t="str">
            <v>EMPAQUES PLANTA</v>
          </cell>
          <cell r="D459" t="str">
            <v>1 caja</v>
          </cell>
          <cell r="E459">
            <v>47214</v>
          </cell>
          <cell r="F459" t="str">
            <v>65</v>
          </cell>
          <cell r="G459">
            <v>726.36923076923074</v>
          </cell>
        </row>
        <row r="460">
          <cell r="A460" t="str">
            <v>51500012</v>
          </cell>
          <cell r="B460" t="str">
            <v>VASO BIODEGRADABLE 12 ONZ (PAQ:25 UND)</v>
          </cell>
          <cell r="C460" t="str">
            <v>EMPAQUES PLANTA</v>
          </cell>
          <cell r="D460" t="str">
            <v>1 PAQUETE</v>
          </cell>
          <cell r="E460">
            <v>2998</v>
          </cell>
          <cell r="F460">
            <v>25</v>
          </cell>
          <cell r="G460">
            <v>119.92</v>
          </cell>
        </row>
        <row r="461">
          <cell r="A461" t="str">
            <v>51500013</v>
          </cell>
          <cell r="B461" t="str">
            <v>TAPA VASO BIODEGR 12,16 onz (PAQ:50 UND)</v>
          </cell>
          <cell r="C461" t="str">
            <v>EMPAQUES PLANTA</v>
          </cell>
          <cell r="D461" t="str">
            <v>1 PAQ</v>
          </cell>
          <cell r="E461">
            <v>2020</v>
          </cell>
          <cell r="F461">
            <v>50</v>
          </cell>
          <cell r="G461">
            <v>40.4</v>
          </cell>
        </row>
        <row r="462">
          <cell r="A462" t="str">
            <v>51500014</v>
          </cell>
          <cell r="B462" t="str">
            <v>VASO BIODEGRADABLE 8 onz (PAQ:25 UND)</v>
          </cell>
          <cell r="C462" t="str">
            <v>EMPAQUES PLANTA</v>
          </cell>
          <cell r="D462" t="str">
            <v>1 PAQUETE</v>
          </cell>
          <cell r="E462">
            <v>2692</v>
          </cell>
          <cell r="F462">
            <v>25</v>
          </cell>
          <cell r="G462">
            <v>107.68</v>
          </cell>
        </row>
        <row r="463">
          <cell r="A463" t="str">
            <v>51500015</v>
          </cell>
          <cell r="B463" t="str">
            <v>TAPA VASO BIO 8 ONZ (PAQ:50 UND)</v>
          </cell>
          <cell r="C463" t="str">
            <v>EMPAQUES PLANTA</v>
          </cell>
          <cell r="D463" t="str">
            <v>1 PAQUETE</v>
          </cell>
          <cell r="E463">
            <v>1920</v>
          </cell>
          <cell r="F463">
            <v>50</v>
          </cell>
          <cell r="G463">
            <v>38.4</v>
          </cell>
        </row>
        <row r="464">
          <cell r="A464" t="str">
            <v>51600004</v>
          </cell>
          <cell r="B464" t="str">
            <v>LAZOS ROJOS (UND)</v>
          </cell>
          <cell r="C464" t="str">
            <v>EMPAQUES PLANTA</v>
          </cell>
          <cell r="D464" t="str">
            <v>1 UND</v>
          </cell>
          <cell r="E464">
            <v>85</v>
          </cell>
          <cell r="F464">
            <v>1</v>
          </cell>
          <cell r="G464">
            <v>85</v>
          </cell>
        </row>
        <row r="465">
          <cell r="A465" t="str">
            <v>51600022</v>
          </cell>
          <cell r="B465" t="str">
            <v>ROLLO SELLO SEGURIDAD ROJO (ROLLO)</v>
          </cell>
          <cell r="C465" t="str">
            <v>ETIQUETAS PLANTA</v>
          </cell>
          <cell r="D465" t="str">
            <v>1 ROLLO</v>
          </cell>
          <cell r="E465">
            <v>13250</v>
          </cell>
          <cell r="F465">
            <v>1000</v>
          </cell>
          <cell r="G465">
            <v>13.25</v>
          </cell>
        </row>
        <row r="466">
          <cell r="A466" t="str">
            <v>51600026</v>
          </cell>
          <cell r="B466" t="str">
            <v>BANDEJA FIBRA 10X7.5X1.5 (PAQ:50 UND)</v>
          </cell>
          <cell r="C466" t="str">
            <v>EMPAQUES PLANTA</v>
          </cell>
          <cell r="D466" t="str">
            <v>1 PAQUETE</v>
          </cell>
          <cell r="E466" t="e">
            <v>#N/A</v>
          </cell>
          <cell r="F466">
            <v>50</v>
          </cell>
          <cell r="G466" t="e">
            <v>#N/A</v>
          </cell>
        </row>
        <row r="467">
          <cell r="A467" t="str">
            <v>51600027</v>
          </cell>
          <cell r="B467" t="str">
            <v>TAPA TRANSPARENT 10X7.5X1.5 (PAQ:50 UND)</v>
          </cell>
          <cell r="C467" t="str">
            <v>EMPAQUES PLANTA</v>
          </cell>
          <cell r="D467" t="str">
            <v>1 PAQUETE</v>
          </cell>
          <cell r="E467" t="e">
            <v>#N/A</v>
          </cell>
          <cell r="F467">
            <v>50</v>
          </cell>
          <cell r="G467" t="e">
            <v>#N/A</v>
          </cell>
        </row>
        <row r="468">
          <cell r="A468" t="str">
            <v>60100001</v>
          </cell>
          <cell r="B468" t="str">
            <v>ETIQUETA LOGO MUSMANNI (UND)</v>
          </cell>
          <cell r="C468" t="str">
            <v>ETIQUETAS PLANTA</v>
          </cell>
          <cell r="D468" t="str">
            <v>1 UND</v>
          </cell>
          <cell r="E468">
            <v>5</v>
          </cell>
          <cell r="F468">
            <v>1</v>
          </cell>
          <cell r="G468">
            <v>5</v>
          </cell>
        </row>
        <row r="469">
          <cell r="A469" t="str">
            <v>60100007</v>
          </cell>
          <cell r="B469" t="str">
            <v>ETiQUETA BLANCA  R-17 (UND)</v>
          </cell>
          <cell r="C469" t="str">
            <v>ETIQUETAS PLANTA</v>
          </cell>
          <cell r="D469" t="str">
            <v>1 UND</v>
          </cell>
          <cell r="E469">
            <v>3.2</v>
          </cell>
          <cell r="F469">
            <v>1</v>
          </cell>
          <cell r="G469">
            <v>3.2</v>
          </cell>
        </row>
        <row r="470">
          <cell r="A470" t="str">
            <v>60100010</v>
          </cell>
          <cell r="B470" t="str">
            <v>ETIQUETA ROJA LETRA ALERJENO (UND)</v>
          </cell>
          <cell r="C470" t="str">
            <v>ETIQUETAS PLANTA</v>
          </cell>
          <cell r="D470" t="str">
            <v>1 UND</v>
          </cell>
          <cell r="E470">
            <v>3.6</v>
          </cell>
          <cell r="F470">
            <v>1</v>
          </cell>
          <cell r="G470">
            <v>3.6</v>
          </cell>
          <cell r="H470" t="str">
            <v>Und</v>
          </cell>
        </row>
        <row r="471">
          <cell r="A471" t="str">
            <v>60100011</v>
          </cell>
          <cell r="B471" t="str">
            <v>ETIQ TORTA GENERICA BUCCA GRANDE (UND)</v>
          </cell>
          <cell r="C471" t="str">
            <v>ETIQUETAS PLANTA</v>
          </cell>
          <cell r="D471" t="str">
            <v>1 UND</v>
          </cell>
          <cell r="E471">
            <v>43.5</v>
          </cell>
          <cell r="F471">
            <v>1</v>
          </cell>
          <cell r="G471">
            <v>43.5</v>
          </cell>
          <cell r="H471" t="str">
            <v>Und</v>
          </cell>
        </row>
        <row r="472">
          <cell r="A472" t="str">
            <v>60100023</v>
          </cell>
          <cell r="B472" t="str">
            <v>ETIQ APP SPOONERS CARD CUADRADA (UND)</v>
          </cell>
          <cell r="C472" t="str">
            <v>ETIQUETAS PLANTA</v>
          </cell>
          <cell r="D472" t="str">
            <v>1 UND</v>
          </cell>
          <cell r="E472">
            <v>5.6</v>
          </cell>
          <cell r="F472">
            <v>1</v>
          </cell>
          <cell r="G472">
            <v>5.6</v>
          </cell>
        </row>
        <row r="473">
          <cell r="A473" t="str">
            <v>60100024</v>
          </cell>
          <cell r="B473" t="str">
            <v>ETIQ CIRCULO APP SPOONERS CARD (UND)</v>
          </cell>
          <cell r="C473" t="str">
            <v>ETIQUETAS PLANTA</v>
          </cell>
          <cell r="D473" t="str">
            <v>1 UND</v>
          </cell>
          <cell r="E473">
            <v>4</v>
          </cell>
          <cell r="F473">
            <v>1</v>
          </cell>
          <cell r="G473">
            <v>4</v>
          </cell>
          <cell r="H473" t="str">
            <v>Und</v>
          </cell>
        </row>
        <row r="474">
          <cell r="A474" t="str">
            <v>60100026</v>
          </cell>
          <cell r="B474" t="str">
            <v>LOGO OVALADO SPOON GRANDE (ROLLO:1000 U)</v>
          </cell>
          <cell r="C474" t="str">
            <v>ETIQUETAS PLANTA</v>
          </cell>
          <cell r="D474" t="str">
            <v>1 ROLLO</v>
          </cell>
          <cell r="E474">
            <v>12000</v>
          </cell>
          <cell r="F474">
            <v>1000</v>
          </cell>
          <cell r="G474">
            <v>12</v>
          </cell>
          <cell r="H474" t="str">
            <v>Und</v>
          </cell>
        </row>
        <row r="475">
          <cell r="A475" t="str">
            <v>60100027</v>
          </cell>
          <cell r="B475" t="str">
            <v>LOGO OVALADO SPOON PEQ  (ROLLO:1000 U)</v>
          </cell>
          <cell r="C475" t="str">
            <v>ETIQUETAS PLANTA</v>
          </cell>
          <cell r="D475" t="str">
            <v>1 ROLLO</v>
          </cell>
          <cell r="E475">
            <v>15000</v>
          </cell>
          <cell r="F475">
            <v>1000</v>
          </cell>
          <cell r="G475">
            <v>15</v>
          </cell>
          <cell r="H475" t="str">
            <v>Und</v>
          </cell>
        </row>
        <row r="476">
          <cell r="A476" t="str">
            <v>60100055</v>
          </cell>
          <cell r="B476" t="str">
            <v>STICKER TORTA KAHLUA (ROLLO: 1000 UND)</v>
          </cell>
          <cell r="C476" t="str">
            <v>ETIQUETAS PLANTA</v>
          </cell>
          <cell r="D476" t="str">
            <v>1 ROLLO</v>
          </cell>
          <cell r="E476">
            <v>16000</v>
          </cell>
          <cell r="F476">
            <v>1000</v>
          </cell>
          <cell r="G476">
            <v>16</v>
          </cell>
        </row>
        <row r="477">
          <cell r="A477" t="str">
            <v>101000015</v>
          </cell>
          <cell r="B477" t="str">
            <v>AZUCAR REFINADA VICTORIA (PAQ:1 K)</v>
          </cell>
          <cell r="C477" t="str">
            <v>MATERIAS PRIMAS PLANTA</v>
          </cell>
          <cell r="D477" t="str">
            <v>1 PAQUETE</v>
          </cell>
          <cell r="E477">
            <v>761.93333333333305</v>
          </cell>
          <cell r="F477">
            <v>1000</v>
          </cell>
          <cell r="G477">
            <v>0.76193333333333302</v>
          </cell>
          <cell r="H477" t="str">
            <v>Gramos</v>
          </cell>
        </row>
        <row r="478">
          <cell r="A478" t="str">
            <v>101000073</v>
          </cell>
          <cell r="B478" t="str">
            <v>AZUCAR GLASS MOLIDA (PAQ: 4 K)</v>
          </cell>
          <cell r="C478" t="str">
            <v>MATERIAS PRIMAS PLANTA</v>
          </cell>
          <cell r="D478" t="str">
            <v>1 PAQUETE</v>
          </cell>
          <cell r="E478">
            <v>6862</v>
          </cell>
          <cell r="F478">
            <v>4000</v>
          </cell>
          <cell r="G478">
            <v>1.7155</v>
          </cell>
          <cell r="H478" t="str">
            <v>Gramos</v>
          </cell>
        </row>
        <row r="479">
          <cell r="A479" t="str">
            <v>102000024</v>
          </cell>
          <cell r="B479" t="str">
            <v>MEZCLA BEBIDA MARACUYA (UND:946ML)</v>
          </cell>
          <cell r="C479" t="str">
            <v>MATERIAS PRIMAS PLANTA</v>
          </cell>
          <cell r="D479" t="str">
            <v>1 UND</v>
          </cell>
          <cell r="E479" t="e">
            <v>#N/A</v>
          </cell>
          <cell r="F479">
            <v>946</v>
          </cell>
          <cell r="G479" t="e">
            <v>#N/A</v>
          </cell>
          <cell r="H479" t="str">
            <v>Mililitros</v>
          </cell>
        </row>
        <row r="480">
          <cell r="A480" t="str">
            <v>102000028</v>
          </cell>
          <cell r="B480" t="str">
            <v>JUGO DE NARANJA NATURAL (UND:3.785 L)</v>
          </cell>
          <cell r="C480" t="str">
            <v>MATERIAS PRIMAS PLANTA</v>
          </cell>
          <cell r="D480" t="str">
            <v>1 UND</v>
          </cell>
          <cell r="E480">
            <v>4170</v>
          </cell>
          <cell r="F480">
            <v>3785</v>
          </cell>
          <cell r="G480">
            <v>1.1017173051519153</v>
          </cell>
        </row>
        <row r="481">
          <cell r="A481" t="str">
            <v>102000035</v>
          </cell>
          <cell r="B481" t="str">
            <v>JUGO LIMON (UND=930 ml)</v>
          </cell>
          <cell r="C481" t="str">
            <v>MATERIAS PRIMAS PLANTA</v>
          </cell>
          <cell r="D481" t="str">
            <v>1 UND</v>
          </cell>
          <cell r="E481">
            <v>1644.98</v>
          </cell>
          <cell r="F481">
            <v>930</v>
          </cell>
          <cell r="G481">
            <v>1.7687956989247311</v>
          </cell>
        </row>
        <row r="482">
          <cell r="A482" t="str">
            <v>102000037</v>
          </cell>
          <cell r="B482" t="str">
            <v xml:space="preserve">TE FRIO MELOCOTON (CAJA: 6 PAQ) </v>
          </cell>
          <cell r="C482" t="str">
            <v>MATERIAS PRIMAS PLANTA</v>
          </cell>
          <cell r="D482" t="str">
            <v>1 CAJA</v>
          </cell>
          <cell r="E482">
            <v>8531</v>
          </cell>
          <cell r="G482" t="e">
            <v>#DIV/0!</v>
          </cell>
        </row>
        <row r="483">
          <cell r="A483" t="str">
            <v>102000046</v>
          </cell>
          <cell r="B483" t="str">
            <v>BEBIDA TE CHAI (PAQ: 300 G)</v>
          </cell>
          <cell r="C483" t="str">
            <v>MATERIAS PRIMAS PLANTA</v>
          </cell>
          <cell r="D483" t="str">
            <v>1 PAQUETE</v>
          </cell>
          <cell r="E483">
            <v>3082.05</v>
          </cell>
          <cell r="F483">
            <v>300</v>
          </cell>
          <cell r="G483">
            <v>10.2735</v>
          </cell>
        </row>
        <row r="484">
          <cell r="A484" t="str">
            <v>102000049</v>
          </cell>
          <cell r="B484" t="str">
            <v>KAHLUA LICOR DE CAFÉ (UND: 750 ML)</v>
          </cell>
          <cell r="C484" t="str">
            <v>MATERIAS PRIMAS PLANTA</v>
          </cell>
          <cell r="D484" t="str">
            <v>1 UND</v>
          </cell>
          <cell r="E484">
            <v>6711.3</v>
          </cell>
          <cell r="F484">
            <v>750</v>
          </cell>
          <cell r="G484">
            <v>8.9483999999999995</v>
          </cell>
          <cell r="H484" t="str">
            <v>Mililitros</v>
          </cell>
        </row>
        <row r="485">
          <cell r="A485" t="str">
            <v>103000001</v>
          </cell>
          <cell r="B485" t="str">
            <v>SALMON EN MEDALLON KILO</v>
          </cell>
          <cell r="C485" t="str">
            <v>MATERIAS PRIMAS PLANTA</v>
          </cell>
          <cell r="D485" t="str">
            <v>1 KILO</v>
          </cell>
          <cell r="E485">
            <v>11670.81</v>
          </cell>
          <cell r="F485">
            <v>1000</v>
          </cell>
          <cell r="G485">
            <v>11.670809999999999</v>
          </cell>
          <cell r="H485" t="str">
            <v>Gramos</v>
          </cell>
        </row>
        <row r="486">
          <cell r="A486" t="str">
            <v>110090</v>
          </cell>
          <cell r="B486" t="str">
            <v>MARACUYA SEMILLAS KILO</v>
          </cell>
          <cell r="C486" t="str">
            <v>MATERIAS PRIMAS PLANTA</v>
          </cell>
          <cell r="D486" t="str">
            <v>1 KILO</v>
          </cell>
          <cell r="E486">
            <v>3800</v>
          </cell>
          <cell r="F486" t="str">
            <v>1000</v>
          </cell>
          <cell r="G486">
            <v>3.8</v>
          </cell>
          <cell r="H486" t="str">
            <v>Gramos</v>
          </cell>
        </row>
        <row r="487">
          <cell r="A487" t="str">
            <v>103000021</v>
          </cell>
          <cell r="B487" t="str">
            <v>CARNE OSOBUCO PICADO (KILO)</v>
          </cell>
          <cell r="C487" t="str">
            <v>MATERIAS PRIMAS PLANTA</v>
          </cell>
          <cell r="D487" t="str">
            <v>1 KILO</v>
          </cell>
          <cell r="E487" t="e">
            <v>#N/A</v>
          </cell>
          <cell r="F487">
            <v>1000</v>
          </cell>
          <cell r="G487" t="e">
            <v>#N/A</v>
          </cell>
          <cell r="H487" t="str">
            <v>Gramos</v>
          </cell>
        </row>
        <row r="488">
          <cell r="A488" t="str">
            <v>105000001</v>
          </cell>
          <cell r="B488" t="str">
            <v>CURRY POLVO (UND:454 G)</v>
          </cell>
          <cell r="C488" t="str">
            <v>MATERIAS PRIMAS PLANTA</v>
          </cell>
          <cell r="D488" t="str">
            <v>1 UND</v>
          </cell>
          <cell r="E488">
            <v>3569</v>
          </cell>
          <cell r="F488">
            <v>454</v>
          </cell>
          <cell r="G488">
            <v>7.8612334801762112</v>
          </cell>
          <cell r="H488" t="str">
            <v>Gramos</v>
          </cell>
        </row>
        <row r="489">
          <cell r="A489" t="str">
            <v>105000002</v>
          </cell>
          <cell r="B489" t="str">
            <v>OREGANO (UND: 156 G)</v>
          </cell>
          <cell r="C489" t="str">
            <v>MATERIAS PRIMAS PLANTA</v>
          </cell>
          <cell r="D489" t="str">
            <v>1 UND</v>
          </cell>
          <cell r="E489">
            <v>1788</v>
          </cell>
          <cell r="F489">
            <v>156</v>
          </cell>
          <cell r="G489">
            <v>11.461538461538462</v>
          </cell>
          <cell r="H489" t="str">
            <v>Gramos</v>
          </cell>
        </row>
        <row r="490">
          <cell r="A490" t="str">
            <v>105000003</v>
          </cell>
          <cell r="B490" t="str">
            <v>PEREJIL SECO (UND:57 G)</v>
          </cell>
          <cell r="C490" t="str">
            <v>MATERIAS PRIMAS PLANTA</v>
          </cell>
          <cell r="D490" t="str">
            <v>1 UND</v>
          </cell>
          <cell r="E490">
            <v>1330</v>
          </cell>
          <cell r="F490">
            <v>57</v>
          </cell>
          <cell r="G490">
            <v>23.333333333333332</v>
          </cell>
          <cell r="H490" t="str">
            <v>Gramos</v>
          </cell>
        </row>
        <row r="491">
          <cell r="A491" t="str">
            <v>10100311</v>
          </cell>
          <cell r="B491" t="str">
            <v>CANELA EN ASTILLAS BADIA ( UND: 340,2 G)</v>
          </cell>
          <cell r="C491" t="str">
            <v>MATERIAS PRIMAS PLANTA</v>
          </cell>
          <cell r="D491" t="str">
            <v>1 PAQUETE</v>
          </cell>
          <cell r="E491">
            <v>5871</v>
          </cell>
          <cell r="F491">
            <v>340</v>
          </cell>
          <cell r="G491">
            <v>17.267647058823531</v>
          </cell>
          <cell r="H491" t="str">
            <v>Gramos</v>
          </cell>
        </row>
        <row r="492">
          <cell r="A492" t="str">
            <v>105000009</v>
          </cell>
          <cell r="B492" t="str">
            <v>ACHIOTE (UND:850g)</v>
          </cell>
          <cell r="C492" t="str">
            <v>MATERIAS PRIMAS PLANTA</v>
          </cell>
          <cell r="D492" t="str">
            <v>1 UND</v>
          </cell>
          <cell r="E492">
            <v>3403</v>
          </cell>
          <cell r="F492">
            <v>850</v>
          </cell>
          <cell r="G492">
            <v>4.0035294117647062</v>
          </cell>
          <cell r="H492" t="str">
            <v>Gramos</v>
          </cell>
        </row>
        <row r="493">
          <cell r="A493" t="str">
            <v>105000029</v>
          </cell>
          <cell r="B493" t="str">
            <v>CONSOME CONCEN. DE RES (UND:2 K)</v>
          </cell>
          <cell r="C493" t="str">
            <v>MATERIAS PRIMAS PLANTA</v>
          </cell>
          <cell r="D493" t="str">
            <v>1 UND</v>
          </cell>
          <cell r="E493">
            <v>8055.67</v>
          </cell>
          <cell r="F493">
            <v>2000</v>
          </cell>
          <cell r="G493">
            <v>4.0278349999999996</v>
          </cell>
          <cell r="H493" t="str">
            <v>Gramos</v>
          </cell>
        </row>
        <row r="494">
          <cell r="A494" t="str">
            <v>106000001</v>
          </cell>
          <cell r="B494" t="str">
            <v>HIGOS EN ALMIBAR (UND:23 K)</v>
          </cell>
          <cell r="C494" t="str">
            <v>MATERIAS PRIMAS PLANTA</v>
          </cell>
          <cell r="D494" t="str">
            <v>1 UND</v>
          </cell>
          <cell r="E494">
            <v>80000</v>
          </cell>
          <cell r="F494">
            <v>23000</v>
          </cell>
          <cell r="G494">
            <v>3.4782608695652173</v>
          </cell>
        </row>
        <row r="495">
          <cell r="A495" t="str">
            <v>107000012</v>
          </cell>
          <cell r="B495" t="str">
            <v>CONFITILLO CORAZON MAVALERIO (PAQ:150G)</v>
          </cell>
          <cell r="C495" t="str">
            <v>MATERIAS PRIMAS PLANTA</v>
          </cell>
          <cell r="D495" t="str">
            <v>1 PAQ</v>
          </cell>
          <cell r="E495">
            <v>580</v>
          </cell>
          <cell r="F495">
            <v>150</v>
          </cell>
          <cell r="G495">
            <v>3.8666666666666667</v>
          </cell>
          <cell r="H495" t="str">
            <v>Gramos</v>
          </cell>
        </row>
        <row r="496">
          <cell r="A496" t="str">
            <v>109000127</v>
          </cell>
          <cell r="B496" t="str">
            <v>MELOCOTON EN CUBOS COUNTREE (UND:3 K)</v>
          </cell>
          <cell r="C496" t="str">
            <v>MATERIAS PRIMAS PLANTA</v>
          </cell>
          <cell r="D496" t="str">
            <v>1 UND</v>
          </cell>
          <cell r="E496">
            <v>3908</v>
          </cell>
          <cell r="F496">
            <v>1800</v>
          </cell>
          <cell r="G496">
            <v>2.1711111111111112</v>
          </cell>
          <cell r="H496" t="str">
            <v>Gramos</v>
          </cell>
        </row>
        <row r="497">
          <cell r="A497" t="str">
            <v>111000002</v>
          </cell>
          <cell r="B497" t="str">
            <v xml:space="preserve">ACEITE DE SESAMO (UND:1656 ml) </v>
          </cell>
          <cell r="C497" t="str">
            <v>MATERIAS PRIMAS PLANTA</v>
          </cell>
          <cell r="D497" t="str">
            <v>1 UND</v>
          </cell>
          <cell r="E497">
            <v>19334.400000000001</v>
          </cell>
          <cell r="F497">
            <v>1656</v>
          </cell>
          <cell r="G497">
            <v>11.67536231884058</v>
          </cell>
          <cell r="H497" t="str">
            <v>Gramos</v>
          </cell>
        </row>
        <row r="498">
          <cell r="A498" t="str">
            <v>112000047</v>
          </cell>
          <cell r="B498" t="str">
            <v>EMPANIZADOR PANKO (PAQ: 3 K)</v>
          </cell>
          <cell r="C498" t="str">
            <v>MATERIAS PRIMAS PLANTA</v>
          </cell>
          <cell r="D498" t="str">
            <v>1 PAQUETE</v>
          </cell>
          <cell r="E498">
            <v>16260.3</v>
          </cell>
          <cell r="F498">
            <v>3000</v>
          </cell>
          <cell r="G498">
            <v>5.4200999999999997</v>
          </cell>
        </row>
        <row r="499">
          <cell r="A499" t="str">
            <v>112000061</v>
          </cell>
          <cell r="B499" t="str">
            <v>PAN MUFFIN 70G (PAQ:6 UND)</v>
          </cell>
          <cell r="C499" t="str">
            <v>MATERIAS PRIMAS PLANTA</v>
          </cell>
          <cell r="D499" t="str">
            <v>1 PAQUETE</v>
          </cell>
          <cell r="E499">
            <v>954.45</v>
          </cell>
          <cell r="F499">
            <v>6</v>
          </cell>
          <cell r="G499">
            <v>159.07500000000002</v>
          </cell>
        </row>
        <row r="500">
          <cell r="A500" t="str">
            <v>114000002</v>
          </cell>
          <cell r="B500" t="str">
            <v>LECHE HOMOGENIZ TB 3.5%  (CAJA:12 UND)</v>
          </cell>
          <cell r="C500" t="str">
            <v>MATERIAS PRIMAS PLANTA</v>
          </cell>
          <cell r="D500" t="str">
            <v>1 CAJA</v>
          </cell>
          <cell r="E500">
            <v>9062.0400000000009</v>
          </cell>
          <cell r="F500">
            <v>12000</v>
          </cell>
          <cell r="G500">
            <v>0.75517000000000012</v>
          </cell>
          <cell r="H500" t="str">
            <v>Mililitros</v>
          </cell>
        </row>
        <row r="501">
          <cell r="A501" t="str">
            <v>114000017</v>
          </cell>
          <cell r="B501" t="str">
            <v>BETTERCREAM CHOCOLATE (UND:4 Kg)</v>
          </cell>
          <cell r="C501" t="str">
            <v>MATERIAS PRIMAS PLANTA</v>
          </cell>
          <cell r="D501" t="str">
            <v>1 UND</v>
          </cell>
          <cell r="E501">
            <v>10936</v>
          </cell>
          <cell r="F501">
            <v>4000</v>
          </cell>
          <cell r="G501">
            <v>2.734</v>
          </cell>
          <cell r="H501" t="str">
            <v>Gramos</v>
          </cell>
        </row>
        <row r="502">
          <cell r="A502" t="str">
            <v>116000009</v>
          </cell>
          <cell r="B502" t="str">
            <v>PRESERVANTE OPTIFORM PD4 (UND:25K)</v>
          </cell>
          <cell r="C502" t="str">
            <v>MATERIAS PRIMAS PLANTA</v>
          </cell>
          <cell r="D502" t="str">
            <v>1 UND</v>
          </cell>
          <cell r="E502">
            <v>46396</v>
          </cell>
          <cell r="F502">
            <v>25000</v>
          </cell>
          <cell r="G502">
            <v>1.8558399999999999</v>
          </cell>
          <cell r="H502" t="str">
            <v>Gramos</v>
          </cell>
        </row>
        <row r="503">
          <cell r="A503" t="str">
            <v>118000004</v>
          </cell>
          <cell r="B503" t="str">
            <v>VAINILLA OSCURA (UND: 3.78 L)</v>
          </cell>
          <cell r="C503" t="str">
            <v>MATERIAS PRIMAS PLANTA</v>
          </cell>
          <cell r="D503" t="str">
            <v>1 UND</v>
          </cell>
          <cell r="E503">
            <v>4648</v>
          </cell>
          <cell r="F503">
            <v>3780</v>
          </cell>
          <cell r="G503">
            <v>1.2296296296296296</v>
          </cell>
          <cell r="H503" t="str">
            <v>Mililitros</v>
          </cell>
        </row>
        <row r="504">
          <cell r="A504" t="str">
            <v>118000007</v>
          </cell>
          <cell r="B504" t="str">
            <v>SABORIZANTE MELO (KILO)</v>
          </cell>
          <cell r="C504" t="str">
            <v>MATERIAS PRIMAS PLANTA</v>
          </cell>
          <cell r="D504" t="str">
            <v xml:space="preserve">1 KILO </v>
          </cell>
          <cell r="E504">
            <v>9658</v>
          </cell>
          <cell r="F504">
            <v>1000</v>
          </cell>
          <cell r="G504">
            <v>9.6579999999999995</v>
          </cell>
          <cell r="H504" t="str">
            <v>Gramos</v>
          </cell>
        </row>
        <row r="505">
          <cell r="A505" t="str">
            <v>118000014</v>
          </cell>
          <cell r="B505" t="str">
            <v>SABORIZANTE MENTA (KILO)</v>
          </cell>
          <cell r="C505" t="str">
            <v>MATERIAS PRIMAS PLANTA</v>
          </cell>
          <cell r="D505" t="str">
            <v xml:space="preserve">1 KILO </v>
          </cell>
          <cell r="E505">
            <v>23290.42</v>
          </cell>
          <cell r="F505">
            <v>1000</v>
          </cell>
          <cell r="G505">
            <v>23.290419999999997</v>
          </cell>
          <cell r="H505" t="str">
            <v>Gramos</v>
          </cell>
        </row>
        <row r="506">
          <cell r="A506" t="str">
            <v>119000026</v>
          </cell>
          <cell r="B506" t="str">
            <v>SEMILLA DE AMAPOLA (UND: 566 G)</v>
          </cell>
          <cell r="C506" t="str">
            <v>MATERIAS PRIMAS PLANTA</v>
          </cell>
          <cell r="D506" t="str">
            <v>1 Uds.</v>
          </cell>
          <cell r="E506">
            <v>5595</v>
          </cell>
          <cell r="F506">
            <v>566</v>
          </cell>
          <cell r="G506">
            <v>9.8851590106007059</v>
          </cell>
          <cell r="H506" t="str">
            <v>Gramos</v>
          </cell>
        </row>
        <row r="507">
          <cell r="A507" t="str">
            <v>401000002</v>
          </cell>
          <cell r="B507" t="str">
            <v>BOLSA TRANSPARENTE 6X6X4 KILO</v>
          </cell>
          <cell r="C507" t="str">
            <v>EMPAQUES PLANTA</v>
          </cell>
          <cell r="D507" t="str">
            <v>1 KILO</v>
          </cell>
          <cell r="E507">
            <v>1950</v>
          </cell>
          <cell r="F507" t="str">
            <v>1000</v>
          </cell>
          <cell r="G507">
            <v>1.95</v>
          </cell>
          <cell r="H507" t="str">
            <v>Gramos</v>
          </cell>
        </row>
        <row r="508">
          <cell r="A508" t="str">
            <v>1952873</v>
          </cell>
          <cell r="B508" t="str">
            <v>CONTENEDOR CUADRADO POTE (CAJA=600UND)</v>
          </cell>
          <cell r="C508" t="str">
            <v>EMPAQUES PLANTA</v>
          </cell>
          <cell r="D508" t="str">
            <v>1 und</v>
          </cell>
          <cell r="E508">
            <v>31800</v>
          </cell>
          <cell r="F508" t="str">
            <v>600</v>
          </cell>
          <cell r="G508">
            <v>53</v>
          </cell>
          <cell r="H508" t="str">
            <v>Und</v>
          </cell>
        </row>
        <row r="509">
          <cell r="A509" t="str">
            <v>401000003</v>
          </cell>
          <cell r="B509" t="str">
            <v>BOLSA TRANSPARENTE 6X8X4 KILO</v>
          </cell>
          <cell r="C509" t="str">
            <v>EMPAQUES PLANTA</v>
          </cell>
          <cell r="D509" t="str">
            <v>1 KILO</v>
          </cell>
          <cell r="E509">
            <v>2000</v>
          </cell>
          <cell r="F509" t="str">
            <v>1000</v>
          </cell>
          <cell r="G509">
            <v>2</v>
          </cell>
          <cell r="H509" t="str">
            <v>Gramos</v>
          </cell>
        </row>
        <row r="510">
          <cell r="A510" t="str">
            <v>401000004</v>
          </cell>
          <cell r="B510" t="str">
            <v>BOLSA TRANSPARENTE 7X9X4 KILO</v>
          </cell>
          <cell r="C510" t="str">
            <v>EMPAQUES PLANTA</v>
          </cell>
          <cell r="D510" t="str">
            <v>1 KILO</v>
          </cell>
          <cell r="E510">
            <v>2000</v>
          </cell>
          <cell r="F510" t="str">
            <v>1000</v>
          </cell>
          <cell r="G510">
            <v>2</v>
          </cell>
          <cell r="H510" t="str">
            <v>Gramos</v>
          </cell>
        </row>
        <row r="511">
          <cell r="A511" t="str">
            <v>401000005</v>
          </cell>
          <cell r="B511" t="str">
            <v>BOLSA TRANSPARENTE 8X10X4 KILO</v>
          </cell>
          <cell r="C511" t="str">
            <v>EMPAQUES PLANTA</v>
          </cell>
          <cell r="D511" t="str">
            <v>1 KILO</v>
          </cell>
          <cell r="E511">
            <v>2000</v>
          </cell>
          <cell r="F511">
            <v>196</v>
          </cell>
          <cell r="G511">
            <v>10.204081632653061</v>
          </cell>
          <cell r="H511" t="str">
            <v>Und</v>
          </cell>
        </row>
        <row r="512">
          <cell r="A512" t="str">
            <v>401000006</v>
          </cell>
          <cell r="B512" t="str">
            <v>BOLSA TRANSPARENTE 10X12X4 KILO</v>
          </cell>
          <cell r="C512" t="str">
            <v>EMPAQUES PLANTA</v>
          </cell>
          <cell r="D512" t="str">
            <v>1 KILO</v>
          </cell>
          <cell r="E512">
            <v>1950</v>
          </cell>
          <cell r="F512" t="str">
            <v>1000</v>
          </cell>
          <cell r="G512">
            <v>1.95</v>
          </cell>
          <cell r="H512" t="str">
            <v>Gramos</v>
          </cell>
        </row>
        <row r="513">
          <cell r="A513" t="str">
            <v>503000036</v>
          </cell>
          <cell r="B513" t="str">
            <v>BICARBONATO DE SODIO (PAQ:2.5 K)</v>
          </cell>
          <cell r="C513" t="str">
            <v>MATERIAS PRIMAS PLANTA</v>
          </cell>
          <cell r="D513" t="str">
            <v>1 PAQUETE</v>
          </cell>
          <cell r="E513">
            <v>3377.8</v>
          </cell>
          <cell r="F513">
            <v>2500</v>
          </cell>
          <cell r="G513">
            <v>1.3511200000000001</v>
          </cell>
          <cell r="H513" t="str">
            <v>Gramos</v>
          </cell>
        </row>
        <row r="514">
          <cell r="A514" t="str">
            <v>510000013</v>
          </cell>
          <cell r="B514" t="str">
            <v>ORLA 13" C163 (UND)</v>
          </cell>
          <cell r="C514" t="str">
            <v>EMPAQUES PLANTA</v>
          </cell>
          <cell r="D514" t="str">
            <v>1 UND</v>
          </cell>
          <cell r="E514">
            <v>230</v>
          </cell>
          <cell r="F514">
            <v>1</v>
          </cell>
          <cell r="G514">
            <v>230</v>
          </cell>
          <cell r="H514" t="str">
            <v>Und</v>
          </cell>
        </row>
        <row r="515">
          <cell r="A515" t="str">
            <v>512000001</v>
          </cell>
          <cell r="B515" t="str">
            <v>PLASTICO P PALETIZAR 18X1500</v>
          </cell>
          <cell r="C515" t="str">
            <v>EMPAQUES PLANTA</v>
          </cell>
          <cell r="D515" t="str">
            <v>1 UND</v>
          </cell>
          <cell r="E515">
            <v>8850</v>
          </cell>
          <cell r="F515">
            <v>15000</v>
          </cell>
          <cell r="G515">
            <v>0.59</v>
          </cell>
          <cell r="H515" t="str">
            <v>Centimetros</v>
          </cell>
        </row>
        <row r="516">
          <cell r="A516" t="str">
            <v>512000002</v>
          </cell>
          <cell r="B516" t="str">
            <v>PLASTICO  AUTOAD (UND: 18 * 2000 M)</v>
          </cell>
          <cell r="C516" t="str">
            <v>EMPAQUES PLANTA</v>
          </cell>
          <cell r="D516" t="str">
            <v>1 UND</v>
          </cell>
          <cell r="E516">
            <v>18000</v>
          </cell>
          <cell r="F516">
            <v>20000</v>
          </cell>
          <cell r="G516">
            <v>0.9</v>
          </cell>
          <cell r="H516" t="str">
            <v>Centimetros</v>
          </cell>
        </row>
        <row r="517">
          <cell r="A517" t="str">
            <v>503000043</v>
          </cell>
          <cell r="B517" t="str">
            <v>BOLSA TRASPARENTE 9x14x2000 (KILO)</v>
          </cell>
          <cell r="C517" t="str">
            <v>EMPAQUES PLANTA</v>
          </cell>
          <cell r="D517" t="str">
            <v>KILO</v>
          </cell>
          <cell r="E517">
            <v>2433.42</v>
          </cell>
          <cell r="F517" t="str">
            <v>105</v>
          </cell>
          <cell r="G517">
            <v>23.175428571428572</v>
          </cell>
          <cell r="H517" t="str">
            <v>Und</v>
          </cell>
        </row>
        <row r="518">
          <cell r="A518" t="str">
            <v>906000010</v>
          </cell>
          <cell r="B518" t="str">
            <v>PREMEZCLA CHOCOMIX (SACO:25k)</v>
          </cell>
          <cell r="C518" t="str">
            <v>MATERIAS PRIMAS PLANTA</v>
          </cell>
          <cell r="D518" t="str">
            <v>1 SACO</v>
          </cell>
          <cell r="E518">
            <v>47800</v>
          </cell>
          <cell r="F518">
            <v>25000</v>
          </cell>
          <cell r="G518">
            <v>1.9119999999999999</v>
          </cell>
          <cell r="H518" t="str">
            <v>Gramos</v>
          </cell>
        </row>
        <row r="519">
          <cell r="A519" t="str">
            <v>403000007</v>
          </cell>
          <cell r="B519" t="str">
            <v>GUANTE LATEX CORRIENTE (CAJA:100 UND)</v>
          </cell>
          <cell r="C519" t="str">
            <v>ASEO</v>
          </cell>
          <cell r="D519" t="str">
            <v>1 CAJA</v>
          </cell>
          <cell r="E519">
            <v>2200</v>
          </cell>
          <cell r="F519">
            <v>100</v>
          </cell>
          <cell r="G519">
            <v>22</v>
          </cell>
          <cell r="H519" t="str">
            <v>Und</v>
          </cell>
        </row>
        <row r="520">
          <cell r="A520" t="str">
            <v>10416</v>
          </cell>
          <cell r="B520" t="str">
            <v>MANO OBRA</v>
          </cell>
          <cell r="C520" t="str">
            <v>MANO OBRA</v>
          </cell>
          <cell r="D520" t="str">
            <v>Minuto</v>
          </cell>
          <cell r="E520">
            <v>58</v>
          </cell>
          <cell r="F520">
            <v>1</v>
          </cell>
          <cell r="G520">
            <v>58</v>
          </cell>
          <cell r="H520" t="str">
            <v>Minutos</v>
          </cell>
        </row>
        <row r="521">
          <cell r="A521" t="str">
            <v>1210415</v>
          </cell>
          <cell r="B521" t="str">
            <v>PABILO ROJO</v>
          </cell>
          <cell r="C521" t="str">
            <v>EMPAQUES PLANTA</v>
          </cell>
          <cell r="D521" t="str">
            <v>UND</v>
          </cell>
          <cell r="E521">
            <v>9500</v>
          </cell>
          <cell r="F521" t="str">
            <v>20000</v>
          </cell>
          <cell r="G521">
            <v>0.47499999999999998</v>
          </cell>
          <cell r="H521" t="str">
            <v>Centimetros</v>
          </cell>
        </row>
        <row r="522">
          <cell r="A522" t="str">
            <v>18406411</v>
          </cell>
          <cell r="B522" t="str">
            <v>CLORO 5% MFS (UND:GL)</v>
          </cell>
          <cell r="C522" t="str">
            <v>MATERIAS PRIMAS PLANTA</v>
          </cell>
          <cell r="E522">
            <v>1921</v>
          </cell>
          <cell r="F522">
            <v>3785</v>
          </cell>
          <cell r="G522">
            <v>0.50752972258916773</v>
          </cell>
          <cell r="H522" t="str">
            <v>Mililitros</v>
          </cell>
        </row>
        <row r="523">
          <cell r="A523" t="str">
            <v>1010339</v>
          </cell>
          <cell r="B523" t="str">
            <v xml:space="preserve">TRIPLE SEC </v>
          </cell>
          <cell r="C523" t="str">
            <v>MATERIAS PRIMAS PLANTA</v>
          </cell>
          <cell r="D523" t="str">
            <v>UND</v>
          </cell>
          <cell r="E523">
            <v>5600</v>
          </cell>
          <cell r="F523">
            <v>750</v>
          </cell>
          <cell r="G523">
            <v>7.4666666666666668</v>
          </cell>
          <cell r="H523" t="str">
            <v>Mililitros</v>
          </cell>
        </row>
        <row r="524">
          <cell r="A524" t="str">
            <v>10100331</v>
          </cell>
          <cell r="B524" t="str">
            <v>CHOCOLATE SEMI AMARGO 54% (PAQ 5 k)</v>
          </cell>
          <cell r="C524" t="str">
            <v>MATERIAS PRIMAS PLANTA</v>
          </cell>
          <cell r="D524" t="str">
            <v>PAQUETE</v>
          </cell>
          <cell r="E524">
            <v>22000</v>
          </cell>
          <cell r="F524" t="str">
            <v>5000</v>
          </cell>
          <cell r="G524">
            <v>4.4000000000000004</v>
          </cell>
          <cell r="H524" t="str">
            <v>Gramos</v>
          </cell>
        </row>
        <row r="525">
          <cell r="A525" t="str">
            <v>512316</v>
          </cell>
          <cell r="B525" t="str">
            <v>CAFÉ INSTANTANEO (PAQ: 500 G)</v>
          </cell>
          <cell r="C525" t="str">
            <v>MATERIAS PRIMAS PLANTA</v>
          </cell>
          <cell r="D525" t="str">
            <v>PAQUETE</v>
          </cell>
          <cell r="E525">
            <v>9248</v>
          </cell>
          <cell r="F525">
            <v>500</v>
          </cell>
          <cell r="G525">
            <v>18.495999999999999</v>
          </cell>
          <cell r="H525" t="str">
            <v>Gramos</v>
          </cell>
        </row>
        <row r="526">
          <cell r="A526" t="str">
            <v>0702007</v>
          </cell>
          <cell r="B526" t="str">
            <v>ETIQ.FECHA VENCIMIENTO BLANCO (ROLLO)</v>
          </cell>
          <cell r="C526" t="str">
            <v>EMPAQUES PLANTA</v>
          </cell>
          <cell r="D526" t="str">
            <v>rollo</v>
          </cell>
          <cell r="E526">
            <v>325</v>
          </cell>
          <cell r="F526">
            <v>900</v>
          </cell>
          <cell r="G526">
            <v>0.3611111111111111</v>
          </cell>
          <cell r="H526" t="str">
            <v>Gramos</v>
          </cell>
        </row>
        <row r="527">
          <cell r="A527" t="str">
            <v>109000137</v>
          </cell>
          <cell r="B527" t="str">
            <v>TOMATE PELADO ENTERO (UND: 2.89 K)</v>
          </cell>
          <cell r="E527">
            <v>3405</v>
          </cell>
          <cell r="F527">
            <v>2890</v>
          </cell>
          <cell r="G527">
            <v>1.1782006920415224</v>
          </cell>
          <cell r="H527" t="str">
            <v>Gramos</v>
          </cell>
        </row>
        <row r="528">
          <cell r="A528" t="str">
            <v>10300049</v>
          </cell>
          <cell r="B528" t="str">
            <v>CARNE MOLIDA 80-20 (KILO)</v>
          </cell>
          <cell r="E528">
            <v>3595</v>
          </cell>
          <cell r="F528">
            <v>1000</v>
          </cell>
          <cell r="G528">
            <v>3.5950000000000002</v>
          </cell>
          <cell r="H528" t="str">
            <v>Gramos</v>
          </cell>
        </row>
        <row r="529">
          <cell r="A529" t="str">
            <v>112000050</v>
          </cell>
          <cell r="B529" t="str">
            <v>GALLETA CHOCOLATE (PAQ:KG)</v>
          </cell>
          <cell r="E529">
            <v>1920</v>
          </cell>
          <cell r="F529">
            <v>1000</v>
          </cell>
          <cell r="G529">
            <v>1.92</v>
          </cell>
          <cell r="H529" t="str">
            <v>Gramos</v>
          </cell>
        </row>
        <row r="530">
          <cell r="A530" t="str">
            <v>11400062</v>
          </cell>
          <cell r="B530" t="str">
            <v>LECHE CONDENSADA UNTABLE (PAQ:4.5 K)</v>
          </cell>
          <cell r="E530" t="e">
            <v>#N/A</v>
          </cell>
          <cell r="F530">
            <v>4500</v>
          </cell>
          <cell r="G530" t="e">
            <v>#N/A</v>
          </cell>
          <cell r="H530" t="str">
            <v>Gramos</v>
          </cell>
        </row>
        <row r="531">
          <cell r="A531" t="str">
            <v>51600043</v>
          </cell>
          <cell r="B531" t="str">
            <v>BOLSA DOYPACK KRAFT 11X19 (UND)</v>
          </cell>
          <cell r="E531">
            <v>115</v>
          </cell>
          <cell r="F531">
            <v>1</v>
          </cell>
          <cell r="G531">
            <v>115</v>
          </cell>
          <cell r="H531" t="str">
            <v>Und</v>
          </cell>
        </row>
        <row r="532">
          <cell r="A532" t="str">
            <v>11200007</v>
          </cell>
          <cell r="B532" t="str">
            <v>PREMEZCLA DAWN BROWNIE (SACO=22.68K)</v>
          </cell>
          <cell r="E532">
            <v>73432.55</v>
          </cell>
          <cell r="F532">
            <v>22680</v>
          </cell>
          <cell r="G532">
            <v>3.2377667548500884</v>
          </cell>
          <cell r="H532" t="str">
            <v>Gramos</v>
          </cell>
        </row>
        <row r="533">
          <cell r="A533" t="str">
            <v>11400063</v>
          </cell>
          <cell r="B533" t="str">
            <v>MEZCLA QUESO UNIVERSAL</v>
          </cell>
          <cell r="E533" t="e">
            <v>#N/A</v>
          </cell>
          <cell r="F533">
            <v>1000</v>
          </cell>
          <cell r="G533" t="e">
            <v>#N/A</v>
          </cell>
          <cell r="H533" t="str">
            <v>Gramos</v>
          </cell>
        </row>
        <row r="534">
          <cell r="A534" t="str">
            <v>10100161</v>
          </cell>
          <cell r="B534" t="str">
            <v>MERMELADA NARANJA UJARRAS (UND: 4.5 K)</v>
          </cell>
          <cell r="E534">
            <v>8270</v>
          </cell>
          <cell r="F534">
            <v>4500</v>
          </cell>
          <cell r="G534">
            <v>1.8377777777777777</v>
          </cell>
          <cell r="H534" t="str">
            <v>Gramos</v>
          </cell>
        </row>
        <row r="535">
          <cell r="A535" t="str">
            <v>10100287</v>
          </cell>
          <cell r="B535" t="str">
            <v>COBERTURA DONA BLANCA (UND: 10.43 K)</v>
          </cell>
          <cell r="C535" t="str">
            <v>MATERIAS PRIMAS PLANTA</v>
          </cell>
          <cell r="E535">
            <v>34401.440000000002</v>
          </cell>
          <cell r="F535" t="str">
            <v>10430</v>
          </cell>
          <cell r="G535">
            <v>3.2983163950143819</v>
          </cell>
          <cell r="H535" t="str">
            <v>Gramos</v>
          </cell>
        </row>
        <row r="536">
          <cell r="A536" t="str">
            <v>112000009</v>
          </cell>
          <cell r="B536" t="str">
            <v>MASECA GRANEL (SACO:20 K)</v>
          </cell>
          <cell r="E536">
            <v>12420</v>
          </cell>
          <cell r="F536" t="str">
            <v>20000</v>
          </cell>
          <cell r="G536">
            <v>0.621</v>
          </cell>
          <cell r="H536" t="str">
            <v>Gramos</v>
          </cell>
        </row>
        <row r="537">
          <cell r="A537" t="str">
            <v>50400012</v>
          </cell>
          <cell r="B537" t="str">
            <v>CAJA QUEQUE NAVIDEÑO 700g (UNIDAD)</v>
          </cell>
          <cell r="E537">
            <v>700.46</v>
          </cell>
          <cell r="F537" t="str">
            <v>1</v>
          </cell>
          <cell r="G537">
            <v>700.46</v>
          </cell>
          <cell r="H537" t="str">
            <v>Und</v>
          </cell>
        </row>
        <row r="538">
          <cell r="A538" t="str">
            <v>11000008</v>
          </cell>
          <cell r="B538" t="str">
            <v>ORLA NAVIDEÑA GRANDE (UND)</v>
          </cell>
          <cell r="E538">
            <v>125</v>
          </cell>
          <cell r="F538">
            <v>1</v>
          </cell>
          <cell r="G538">
            <v>125</v>
          </cell>
          <cell r="H538" t="str">
            <v>und</v>
          </cell>
        </row>
        <row r="539">
          <cell r="A539" t="str">
            <v>1952393</v>
          </cell>
          <cell r="B539" t="str">
            <v>BOLSA AL VACIO 8*10 ( 100 * PAQ )</v>
          </cell>
          <cell r="E539">
            <v>42.6</v>
          </cell>
          <cell r="F539">
            <v>1</v>
          </cell>
          <cell r="G539">
            <v>42.6</v>
          </cell>
          <cell r="H539" t="str">
            <v>und</v>
          </cell>
        </row>
        <row r="540">
          <cell r="A540" t="str">
            <v>11000007</v>
          </cell>
          <cell r="B540" t="str">
            <v>ORLA NAVIDEÑA PEQUEÑA (UND)</v>
          </cell>
          <cell r="E540">
            <v>78</v>
          </cell>
          <cell r="F540">
            <v>1</v>
          </cell>
          <cell r="G540">
            <v>78</v>
          </cell>
          <cell r="H540" t="str">
            <v>und</v>
          </cell>
        </row>
        <row r="541">
          <cell r="A541" t="str">
            <v>50400031</v>
          </cell>
          <cell r="B541" t="str">
            <v>CAJA NAVIDEÑA PEQ</v>
          </cell>
          <cell r="E541">
            <v>804.25</v>
          </cell>
          <cell r="F541">
            <v>1</v>
          </cell>
          <cell r="G541">
            <v>804.25</v>
          </cell>
          <cell r="H541" t="str">
            <v>und</v>
          </cell>
        </row>
        <row r="542">
          <cell r="A542" t="str">
            <v>10100284</v>
          </cell>
          <cell r="B542" t="str">
            <v>CHILE MORRON ASADO (UND:2.9 K)</v>
          </cell>
          <cell r="E542" t="e">
            <v>#N/A</v>
          </cell>
          <cell r="F542">
            <v>2900</v>
          </cell>
          <cell r="G542" t="e">
            <v>#N/A</v>
          </cell>
          <cell r="H542" t="str">
            <v>Gramos</v>
          </cell>
        </row>
        <row r="543">
          <cell r="A543" t="str">
            <v>1110372</v>
          </cell>
          <cell r="B543" t="str">
            <v>MANTEQUILLA MANI (2.27 Kg)</v>
          </cell>
          <cell r="E543">
            <v>10335</v>
          </cell>
          <cell r="F543">
            <v>2270</v>
          </cell>
          <cell r="G543">
            <v>4.5528634361233484</v>
          </cell>
          <cell r="H543" t="str">
            <v>Gramos</v>
          </cell>
        </row>
        <row r="544">
          <cell r="A544" t="str">
            <v>109000136</v>
          </cell>
          <cell r="B544" t="str">
            <v>BANANO CONGELADO (PAQ: 3 KILOS)</v>
          </cell>
          <cell r="E544">
            <v>3000</v>
          </cell>
          <cell r="F544">
            <v>3000</v>
          </cell>
          <cell r="G544">
            <v>1</v>
          </cell>
          <cell r="H544" t="str">
            <v>Gramos</v>
          </cell>
        </row>
        <row r="545">
          <cell r="A545" t="str">
            <v>106000006</v>
          </cell>
          <cell r="B545" t="str">
            <v>ENCURTIDO EN MOSTAZA (UND:960 G)</v>
          </cell>
          <cell r="E545">
            <v>2590.9499999999998</v>
          </cell>
          <cell r="F545">
            <v>960</v>
          </cell>
          <cell r="G545">
            <v>2.6989062499999998</v>
          </cell>
          <cell r="H545" t="str">
            <v>Gramos</v>
          </cell>
        </row>
        <row r="546">
          <cell r="A546" t="str">
            <v>50700018</v>
          </cell>
          <cell r="B546" t="str">
            <v>COMBO PACK DOBLE USO 8 onz (CAJA:200 UN)</v>
          </cell>
          <cell r="E546">
            <v>15627.5</v>
          </cell>
          <cell r="F546">
            <v>200</v>
          </cell>
          <cell r="G546">
            <v>78.137500000000003</v>
          </cell>
          <cell r="H546" t="str">
            <v>und</v>
          </cell>
        </row>
        <row r="547">
          <cell r="A547" t="str">
            <v>60100062</v>
          </cell>
          <cell r="B547" t="str">
            <v>ETIQUETA GALLETA MEDIA LUNA DARK ( UND)</v>
          </cell>
          <cell r="E547">
            <v>42.5</v>
          </cell>
          <cell r="F547">
            <v>1</v>
          </cell>
          <cell r="G547">
            <v>42.5</v>
          </cell>
          <cell r="H547" t="str">
            <v>und</v>
          </cell>
        </row>
        <row r="548">
          <cell r="A548" t="str">
            <v>60100109</v>
          </cell>
          <cell r="B548" t="str">
            <v>ETIQ MEDIA LUNA CHOCOLATE LECHE RECT</v>
          </cell>
          <cell r="E548">
            <v>22.5</v>
          </cell>
          <cell r="F548" t="str">
            <v>1</v>
          </cell>
          <cell r="G548">
            <v>22.5</v>
          </cell>
          <cell r="H548" t="str">
            <v>Und</v>
          </cell>
        </row>
        <row r="549">
          <cell r="A549" t="str">
            <v>60100107</v>
          </cell>
          <cell r="B549" t="str">
            <v>ETIQU PALITOS DE QUESO RECT</v>
          </cell>
          <cell r="E549">
            <v>22.5</v>
          </cell>
          <cell r="F549" t="str">
            <v>1</v>
          </cell>
          <cell r="G549">
            <v>22.5</v>
          </cell>
          <cell r="H549" t="str">
            <v>Und</v>
          </cell>
        </row>
        <row r="550">
          <cell r="A550" t="str">
            <v>60100104</v>
          </cell>
          <cell r="B550" t="str">
            <v>ETIQ OREJITAS RECT</v>
          </cell>
          <cell r="E550">
            <v>22.5</v>
          </cell>
          <cell r="F550" t="str">
            <v>1</v>
          </cell>
          <cell r="G550">
            <v>22.5</v>
          </cell>
          <cell r="H550" t="str">
            <v>Und</v>
          </cell>
        </row>
        <row r="551">
          <cell r="A551" t="str">
            <v>51400046</v>
          </cell>
          <cell r="B551" t="str">
            <v xml:space="preserve">QUEQUERA BASE CON DOMO 8" ALTA (40 UND) </v>
          </cell>
          <cell r="E551">
            <v>13601</v>
          </cell>
          <cell r="F551" t="str">
            <v>40</v>
          </cell>
          <cell r="G551">
            <v>340.02499999999998</v>
          </cell>
          <cell r="H551" t="str">
            <v>Und</v>
          </cell>
        </row>
        <row r="552">
          <cell r="A552" t="str">
            <v>10700045</v>
          </cell>
          <cell r="B552" t="str">
            <v>CHOCOLATE DARK MONEDAS (PAQ: 1 K)</v>
          </cell>
          <cell r="E552">
            <v>9000</v>
          </cell>
          <cell r="F552">
            <v>1000</v>
          </cell>
          <cell r="G552">
            <v>9</v>
          </cell>
          <cell r="H552" t="str">
            <v>Gramos</v>
          </cell>
        </row>
        <row r="553">
          <cell r="A553" t="str">
            <v>10300050</v>
          </cell>
          <cell r="B553" t="str">
            <v>FILET CORTE MARIPOSA</v>
          </cell>
          <cell r="E553">
            <v>3500</v>
          </cell>
          <cell r="F553">
            <v>1000</v>
          </cell>
          <cell r="G553">
            <v>3.5</v>
          </cell>
          <cell r="H553" t="str">
            <v>Gramos</v>
          </cell>
        </row>
        <row r="554">
          <cell r="A554" t="str">
            <v>10100309</v>
          </cell>
          <cell r="B554" t="str">
            <v>FRIJOL ROJO TIO PELON (BULTO: 15/800G)</v>
          </cell>
          <cell r="E554">
            <v>16826</v>
          </cell>
          <cell r="F554">
            <v>12000</v>
          </cell>
          <cell r="G554">
            <v>1.4021666666666666</v>
          </cell>
          <cell r="H554" t="str">
            <v>Gramos</v>
          </cell>
        </row>
        <row r="555">
          <cell r="A555" t="str">
            <v>60100025</v>
          </cell>
          <cell r="B555" t="str">
            <v>ETIQ R-245 SELLO SEGURIDA (ROLLO:1000 U)</v>
          </cell>
          <cell r="E555" t="e">
            <v>#N/A</v>
          </cell>
          <cell r="F555">
            <v>1000</v>
          </cell>
          <cell r="G555" t="e">
            <v>#N/A</v>
          </cell>
          <cell r="H555" t="str">
            <v>und</v>
          </cell>
        </row>
        <row r="556">
          <cell r="A556" t="str">
            <v>50400029</v>
          </cell>
          <cell r="B556" t="str">
            <v>BURUCHA KRAFT (UND: KILO)</v>
          </cell>
          <cell r="E556">
            <v>5800</v>
          </cell>
          <cell r="F556">
            <v>1000</v>
          </cell>
          <cell r="G556">
            <v>5.8</v>
          </cell>
          <cell r="H556" t="str">
            <v>Gramos</v>
          </cell>
        </row>
        <row r="557">
          <cell r="A557" t="str">
            <v>50400032</v>
          </cell>
          <cell r="B557" t="str">
            <v>CAJA KRAFT CON VENTANA RECTANGULAR</v>
          </cell>
          <cell r="E557">
            <v>355</v>
          </cell>
          <cell r="F557">
            <v>1</v>
          </cell>
          <cell r="G557">
            <v>355</v>
          </cell>
          <cell r="H557" t="str">
            <v>und</v>
          </cell>
        </row>
        <row r="558">
          <cell r="A558" t="str">
            <v>60100063</v>
          </cell>
          <cell r="B558" t="str">
            <v>ETIQUETA GALLETA MEDIA LUNA MILK ( UND)</v>
          </cell>
          <cell r="E558" t="e">
            <v>#N/A</v>
          </cell>
          <cell r="F558">
            <v>1</v>
          </cell>
          <cell r="G558" t="e">
            <v>#N/A</v>
          </cell>
          <cell r="H558" t="str">
            <v>und</v>
          </cell>
        </row>
        <row r="559">
          <cell r="A559" t="str">
            <v>117000020</v>
          </cell>
          <cell r="B559" t="str">
            <v xml:space="preserve">RELLENO SALTY CARAMEL (KILO) </v>
          </cell>
          <cell r="E559" t="e">
            <v>#N/A</v>
          </cell>
          <cell r="F559">
            <v>1000</v>
          </cell>
          <cell r="G559" t="e">
            <v>#N/A</v>
          </cell>
          <cell r="H559" t="str">
            <v>Gramos</v>
          </cell>
        </row>
        <row r="560">
          <cell r="A560" t="str">
            <v>0310099</v>
          </cell>
          <cell r="B560" t="str">
            <v>CREMA DULCE (UND: 3.6 K)</v>
          </cell>
          <cell r="E560">
            <v>10248</v>
          </cell>
          <cell r="F560">
            <v>3600</v>
          </cell>
          <cell r="G560">
            <v>2.8466666666666667</v>
          </cell>
          <cell r="H560" t="str">
            <v>Gramos</v>
          </cell>
        </row>
        <row r="561">
          <cell r="A561" t="str">
            <v>1952402</v>
          </cell>
          <cell r="B561" t="str">
            <v xml:space="preserve">BOLSA BUCCA CLASSICA </v>
          </cell>
          <cell r="E561">
            <v>4500</v>
          </cell>
          <cell r="F561" t="str">
            <v>1000</v>
          </cell>
          <cell r="G561">
            <v>4.5</v>
          </cell>
          <cell r="H561" t="str">
            <v>Und</v>
          </cell>
        </row>
        <row r="562">
          <cell r="A562" t="str">
            <v>10100313</v>
          </cell>
          <cell r="B562" t="str">
            <v xml:space="preserve">ACEITE DE OLIVA LUGLIO ( UND ) </v>
          </cell>
          <cell r="E562" t="e">
            <v>#N/A</v>
          </cell>
          <cell r="F562">
            <v>5000</v>
          </cell>
          <cell r="G562" t="e">
            <v>#N/A</v>
          </cell>
          <cell r="H562" t="str">
            <v>Mililitros</v>
          </cell>
        </row>
        <row r="563">
          <cell r="A563" t="str">
            <v>0610261</v>
          </cell>
          <cell r="B563" t="str">
            <v>SEMILLA AMAPOLA (PAQ:1 K)</v>
          </cell>
          <cell r="E563">
            <v>7754</v>
          </cell>
          <cell r="F563">
            <v>1000</v>
          </cell>
          <cell r="G563">
            <v>7.7539999999999996</v>
          </cell>
          <cell r="H563" t="str">
            <v>Gramos</v>
          </cell>
        </row>
        <row r="564">
          <cell r="A564" t="str">
            <v>105000041</v>
          </cell>
          <cell r="B564" t="str">
            <v xml:space="preserve">CLAVO DE OLOR MOLIDO ( PAQ: 500 G) </v>
          </cell>
          <cell r="E564">
            <v>11743.78</v>
          </cell>
          <cell r="F564">
            <v>500</v>
          </cell>
          <cell r="G564">
            <v>23.487560000000002</v>
          </cell>
          <cell r="H564" t="str">
            <v>Gramos</v>
          </cell>
        </row>
        <row r="565">
          <cell r="A565" t="str">
            <v>10100290</v>
          </cell>
          <cell r="B565" t="str">
            <v>MARGARINA HOJALDRE OLMECA(CAJA: 13.61 K)</v>
          </cell>
          <cell r="E565">
            <v>18085</v>
          </cell>
          <cell r="F565">
            <v>13600</v>
          </cell>
          <cell r="G565">
            <v>1.3297794117647059</v>
          </cell>
        </row>
        <row r="566">
          <cell r="A566" t="str">
            <v>51400039</v>
          </cell>
          <cell r="B566" t="str">
            <v>BURBUJA PLASTICA 5 (CAJA: 500 UND</v>
          </cell>
          <cell r="E566">
            <v>30000</v>
          </cell>
          <cell r="F566">
            <v>500</v>
          </cell>
          <cell r="G566">
            <v>60</v>
          </cell>
          <cell r="H566" t="str">
            <v>Und</v>
          </cell>
        </row>
        <row r="567">
          <cell r="A567" t="str">
            <v>10300053</v>
          </cell>
          <cell r="B567" t="str">
            <v>TOCINETA (PAQ= 1 K)</v>
          </cell>
          <cell r="E567">
            <v>7284.69</v>
          </cell>
          <cell r="F567">
            <v>1000</v>
          </cell>
          <cell r="G567">
            <v>7.2846899999999994</v>
          </cell>
          <cell r="H567" t="str">
            <v>Gramos</v>
          </cell>
        </row>
        <row r="568">
          <cell r="A568" t="str">
            <v>102000062</v>
          </cell>
          <cell r="B568" t="str">
            <v xml:space="preserve">VINO BLANCO (UND: 750 ML) </v>
          </cell>
          <cell r="E568">
            <v>2795</v>
          </cell>
          <cell r="F568">
            <v>750</v>
          </cell>
          <cell r="G568">
            <v>3.7266666666666666</v>
          </cell>
          <cell r="H568" t="str">
            <v>Mililitros</v>
          </cell>
        </row>
        <row r="569">
          <cell r="A569" t="str">
            <v>101000006</v>
          </cell>
          <cell r="B569" t="str">
            <v>MOSTAZA DIJON EXTRA FUERTE ( UND: 370 G)</v>
          </cell>
          <cell r="E569">
            <v>2224.4499999999998</v>
          </cell>
          <cell r="F569">
            <v>370</v>
          </cell>
          <cell r="G569">
            <v>6.0120270270270266</v>
          </cell>
          <cell r="H569" t="str">
            <v>Gramos</v>
          </cell>
        </row>
        <row r="570">
          <cell r="A570" t="str">
            <v>10300044</v>
          </cell>
          <cell r="B570" t="str">
            <v>ANCHOA FILETEADA TROZOS (UND: 550 G)</v>
          </cell>
          <cell r="E570">
            <v>19134.5</v>
          </cell>
          <cell r="F570">
            <v>550</v>
          </cell>
          <cell r="G570">
            <v>34.79</v>
          </cell>
          <cell r="H570" t="str">
            <v>Gramos</v>
          </cell>
        </row>
        <row r="571">
          <cell r="A571" t="str">
            <v>10100317</v>
          </cell>
          <cell r="B571" t="str">
            <v>FIDEOS ARROZ PADTHAI ROLAND (UND:396G)</v>
          </cell>
          <cell r="E571">
            <v>2697.3</v>
          </cell>
          <cell r="F571">
            <v>396</v>
          </cell>
          <cell r="G571">
            <v>6.8113636363636365</v>
          </cell>
          <cell r="H571" t="str">
            <v>Gramos</v>
          </cell>
        </row>
        <row r="572">
          <cell r="A572" t="str">
            <v>102000063</v>
          </cell>
          <cell r="B572" t="str">
            <v>VINO TINTO TORO (UND:LITRO)</v>
          </cell>
          <cell r="E572">
            <v>2596.5</v>
          </cell>
          <cell r="F572">
            <v>1000</v>
          </cell>
          <cell r="G572">
            <v>2.5964999999999998</v>
          </cell>
          <cell r="H572" t="str">
            <v>Mililitros</v>
          </cell>
        </row>
        <row r="573">
          <cell r="A573" t="str">
            <v>120000039</v>
          </cell>
          <cell r="B573" t="str">
            <v xml:space="preserve">JARABE TRES LECHES EN POLVO (PAQ: 25 K) </v>
          </cell>
          <cell r="E573">
            <v>73852.25</v>
          </cell>
          <cell r="F573">
            <v>25000</v>
          </cell>
          <cell r="G573">
            <v>2.9540899999999999</v>
          </cell>
          <cell r="H573" t="str">
            <v>Gramos</v>
          </cell>
        </row>
        <row r="574">
          <cell r="A574" t="str">
            <v>10100051</v>
          </cell>
          <cell r="B574" t="str">
            <v>SALSA CHINA GALON</v>
          </cell>
          <cell r="E574">
            <v>4446</v>
          </cell>
          <cell r="F574" t="str">
            <v>3785</v>
          </cell>
          <cell r="G574">
            <v>1.1746367239101718</v>
          </cell>
          <cell r="H574" t="str">
            <v>Mililitros</v>
          </cell>
        </row>
        <row r="575">
          <cell r="A575" t="str">
            <v>10100319</v>
          </cell>
          <cell r="B575" t="str">
            <v xml:space="preserve">CODITOS ROMA (PAQ: KILO) </v>
          </cell>
          <cell r="E575">
            <v>2185</v>
          </cell>
          <cell r="F575">
            <v>1000</v>
          </cell>
          <cell r="G575">
            <v>2.1850000000000001</v>
          </cell>
          <cell r="H575" t="str">
            <v>Gramos</v>
          </cell>
        </row>
        <row r="576">
          <cell r="A576" t="str">
            <v>10100318</v>
          </cell>
          <cell r="B576" t="str">
            <v>SALSA QUESO CHEDDAR (UNIDAD: 3.9 KG)</v>
          </cell>
          <cell r="E576">
            <v>10296</v>
          </cell>
          <cell r="F576">
            <v>3900</v>
          </cell>
          <cell r="G576">
            <v>2.64</v>
          </cell>
          <cell r="H576" t="str">
            <v>Gramos</v>
          </cell>
        </row>
        <row r="577">
          <cell r="A577" t="str">
            <v>0510259</v>
          </cell>
          <cell r="B577" t="str">
            <v>SABORIZANTE FRESA BOSQUE (KILO)</v>
          </cell>
          <cell r="E577">
            <v>14167</v>
          </cell>
          <cell r="F577">
            <v>1000</v>
          </cell>
          <cell r="G577">
            <v>14.167</v>
          </cell>
          <cell r="H577" t="str">
            <v>Gramos</v>
          </cell>
        </row>
        <row r="578">
          <cell r="A578" t="str">
            <v>1950671</v>
          </cell>
          <cell r="B578" t="str">
            <v xml:space="preserve">BANDEJA 5 ( CAJA: 330 UND) </v>
          </cell>
          <cell r="E578">
            <v>24500</v>
          </cell>
          <cell r="F578">
            <v>330</v>
          </cell>
          <cell r="G578">
            <v>74.242424242424249</v>
          </cell>
          <cell r="H578" t="str">
            <v>Und</v>
          </cell>
        </row>
        <row r="579">
          <cell r="A579" t="str">
            <v>60100088</v>
          </cell>
          <cell r="B579" t="str">
            <v>ETIQ GALLETA BELGA MIIK (ROLLO:1000 UND)</v>
          </cell>
          <cell r="E579">
            <v>75000</v>
          </cell>
          <cell r="F579">
            <v>1000</v>
          </cell>
          <cell r="G579">
            <v>75</v>
          </cell>
          <cell r="H579" t="str">
            <v>Und</v>
          </cell>
        </row>
        <row r="580">
          <cell r="A580" t="str">
            <v>60100085</v>
          </cell>
          <cell r="B580" t="str">
            <v>ETIQUETA OREJITAS (ROLLO:. 1000 UND)</v>
          </cell>
          <cell r="E580">
            <v>75000</v>
          </cell>
          <cell r="F580">
            <v>1000</v>
          </cell>
          <cell r="G580">
            <v>75</v>
          </cell>
          <cell r="H580" t="str">
            <v>Und</v>
          </cell>
        </row>
        <row r="581">
          <cell r="A581" t="str">
            <v>60100086</v>
          </cell>
          <cell r="B581" t="str">
            <v>ETIQUETA PALITO D QUESO (ROLLO:1000 UND)</v>
          </cell>
          <cell r="E581">
            <v>75000</v>
          </cell>
          <cell r="F581">
            <v>1000</v>
          </cell>
          <cell r="G581">
            <v>75</v>
          </cell>
          <cell r="H581" t="str">
            <v>Und</v>
          </cell>
        </row>
        <row r="582">
          <cell r="A582" t="str">
            <v>50100044</v>
          </cell>
          <cell r="B582" t="str">
            <v>BANDEJA DELI PLASTICA(CAJA: 200 U)</v>
          </cell>
          <cell r="E582">
            <v>9101</v>
          </cell>
          <cell r="F582">
            <v>200</v>
          </cell>
          <cell r="G582">
            <v>45.505000000000003</v>
          </cell>
          <cell r="H582" t="str">
            <v>Und</v>
          </cell>
        </row>
        <row r="583">
          <cell r="A583" t="str">
            <v>51600039</v>
          </cell>
          <cell r="B583" t="str">
            <v>BOLSA TRANSPARENTE 14 X 20 ( ROLLO )</v>
          </cell>
          <cell r="E583">
            <v>7685</v>
          </cell>
          <cell r="F583">
            <v>270</v>
          </cell>
          <cell r="G583">
            <v>28.462962962962962</v>
          </cell>
          <cell r="H583" t="str">
            <v>Und</v>
          </cell>
        </row>
        <row r="584">
          <cell r="A584" t="str">
            <v>10200031</v>
          </cell>
          <cell r="B584" t="str">
            <v>CHOCOLATE MARMITA (PAQ: 400 G)</v>
          </cell>
          <cell r="E584">
            <v>1241.8800000000001</v>
          </cell>
          <cell r="F584">
            <v>400</v>
          </cell>
          <cell r="G584">
            <v>3.1047000000000002</v>
          </cell>
          <cell r="H584" t="str">
            <v>Gramos</v>
          </cell>
        </row>
        <row r="585">
          <cell r="A585" t="str">
            <v>11200072</v>
          </cell>
          <cell r="B585" t="str">
            <v>HARINA SILVER CAKE (SACO: 25K)</v>
          </cell>
          <cell r="E585">
            <v>15830.58</v>
          </cell>
          <cell r="F585">
            <v>25000</v>
          </cell>
          <cell r="G585">
            <v>0.63322319999999999</v>
          </cell>
          <cell r="H585" t="str">
            <v>Gramos</v>
          </cell>
        </row>
        <row r="586">
          <cell r="A586" t="str">
            <v>11200071</v>
          </cell>
          <cell r="B586" t="str">
            <v>HARINA FHACASA VERDE (SACO: 25 K)</v>
          </cell>
          <cell r="E586">
            <v>15328.37</v>
          </cell>
          <cell r="F586">
            <v>25000</v>
          </cell>
          <cell r="G586">
            <v>0.61313479999999998</v>
          </cell>
          <cell r="H586" t="str">
            <v>Gramos</v>
          </cell>
        </row>
        <row r="587">
          <cell r="A587" t="str">
            <v>11200074</v>
          </cell>
          <cell r="B587" t="str">
            <v>CACAO EN POLVO (SACO: 25 K)</v>
          </cell>
          <cell r="E587">
            <v>187425</v>
          </cell>
          <cell r="F587">
            <v>25000</v>
          </cell>
          <cell r="G587">
            <v>7.4969999999999999</v>
          </cell>
          <cell r="H587" t="str">
            <v>Gramos</v>
          </cell>
        </row>
        <row r="588">
          <cell r="A588" t="str">
            <v>120000042</v>
          </cell>
          <cell r="B588" t="str">
            <v>GOMA</v>
          </cell>
          <cell r="E588" t="e">
            <v>#N/A</v>
          </cell>
          <cell r="F588">
            <v>1000</v>
          </cell>
          <cell r="G588" t="e">
            <v>#N/A</v>
          </cell>
          <cell r="H588" t="str">
            <v>Gramos</v>
          </cell>
        </row>
        <row r="589">
          <cell r="A589" t="str">
            <v>11200073</v>
          </cell>
          <cell r="B589" t="str">
            <v>CONCENTRADO DAWN CHOCOLATE (SACO: 22.7K)</v>
          </cell>
          <cell r="E589">
            <v>57377.82</v>
          </cell>
          <cell r="F589">
            <v>22700</v>
          </cell>
          <cell r="G589">
            <v>2.527657268722467</v>
          </cell>
          <cell r="H589" t="str">
            <v>Gramos</v>
          </cell>
        </row>
        <row r="590">
          <cell r="A590" t="str">
            <v>51400041</v>
          </cell>
          <cell r="B590" t="str">
            <v>DOMO REDONDO 8 BAJA (CAJA:100 UND)</v>
          </cell>
          <cell r="E590">
            <v>40446</v>
          </cell>
          <cell r="F590">
            <v>100</v>
          </cell>
          <cell r="G590">
            <v>404.46</v>
          </cell>
          <cell r="H590" t="str">
            <v>Und</v>
          </cell>
        </row>
        <row r="591">
          <cell r="A591" t="str">
            <v>11200070</v>
          </cell>
          <cell r="B591" t="str">
            <v>HARINA HARISOL HOJALDRE (SACO: 25 K)</v>
          </cell>
          <cell r="E591">
            <v>15773.66</v>
          </cell>
          <cell r="F591">
            <v>25000</v>
          </cell>
          <cell r="G591">
            <v>0.63094640000000002</v>
          </cell>
          <cell r="H591" t="str">
            <v>Gramos</v>
          </cell>
        </row>
        <row r="592">
          <cell r="A592" t="str">
            <v>60100093</v>
          </cell>
          <cell r="B592" t="str">
            <v>ETIQUETA QQ GRANDE CARAMELO (ROLLO: 250 UND)</v>
          </cell>
          <cell r="E592">
            <v>41250</v>
          </cell>
          <cell r="F592">
            <v>250</v>
          </cell>
          <cell r="G592">
            <v>165</v>
          </cell>
          <cell r="H592" t="str">
            <v>Und</v>
          </cell>
        </row>
        <row r="593">
          <cell r="A593" t="str">
            <v>60100094</v>
          </cell>
          <cell r="B593" t="str">
            <v>ETIQUETA QQ GRANDE CHOCOFRESA (ROLLO: 250 UND)</v>
          </cell>
          <cell r="E593">
            <v>41250</v>
          </cell>
          <cell r="F593">
            <v>250</v>
          </cell>
          <cell r="G593">
            <v>165</v>
          </cell>
          <cell r="H593" t="str">
            <v>Und</v>
          </cell>
        </row>
        <row r="594">
          <cell r="A594" t="str">
            <v>60100095</v>
          </cell>
          <cell r="B594" t="str">
            <v>ETIQUETA QQ GRANDE CHOCOLATE (ROLLO: 250 UND)</v>
          </cell>
          <cell r="E594">
            <v>41250</v>
          </cell>
          <cell r="F594">
            <v>250</v>
          </cell>
          <cell r="G594">
            <v>165</v>
          </cell>
          <cell r="H594" t="str">
            <v>Und</v>
          </cell>
        </row>
        <row r="595">
          <cell r="A595" t="str">
            <v>60100092</v>
          </cell>
          <cell r="B595" t="str">
            <v>ETIQUETA QQ GRANDE HIGO (ROLLO: 250 UND)</v>
          </cell>
          <cell r="E595">
            <v>41250</v>
          </cell>
          <cell r="F595">
            <v>250</v>
          </cell>
          <cell r="G595">
            <v>165</v>
          </cell>
          <cell r="H595" t="str">
            <v>Und</v>
          </cell>
        </row>
        <row r="596">
          <cell r="A596" t="str">
            <v>60100091</v>
          </cell>
          <cell r="B596" t="str">
            <v>ETIQUETA QQ GRANDE PIE DE LIMON (ROLLO: 250 UND)</v>
          </cell>
          <cell r="E596">
            <v>41250</v>
          </cell>
          <cell r="F596">
            <v>250</v>
          </cell>
          <cell r="G596">
            <v>165</v>
          </cell>
          <cell r="H596" t="str">
            <v>Und</v>
          </cell>
        </row>
        <row r="597">
          <cell r="A597" t="str">
            <v>60100090</v>
          </cell>
          <cell r="B597" t="str">
            <v>ETIQUETA QUEQUE GRANDE CHURCHILL (ROLLO: 250 UND)</v>
          </cell>
          <cell r="E597">
            <v>41250</v>
          </cell>
          <cell r="F597">
            <v>250</v>
          </cell>
          <cell r="G597">
            <v>165</v>
          </cell>
          <cell r="H597" t="str">
            <v>Und</v>
          </cell>
        </row>
        <row r="598">
          <cell r="A598" t="str">
            <v>60100097</v>
          </cell>
          <cell r="B598" t="str">
            <v>ETIQ. MEDIANA CARAMELO (ROLLO: 250 UND)</v>
          </cell>
          <cell r="E598">
            <v>8975</v>
          </cell>
          <cell r="F598">
            <v>250</v>
          </cell>
          <cell r="G598">
            <v>35.9</v>
          </cell>
          <cell r="H598" t="str">
            <v>Und</v>
          </cell>
        </row>
        <row r="599">
          <cell r="A599" t="str">
            <v>60100098</v>
          </cell>
          <cell r="B599" t="str">
            <v>ETIQ. MEDIANA CHOCOFRESA(ROLLO: 250 UND)</v>
          </cell>
          <cell r="E599">
            <v>8975</v>
          </cell>
          <cell r="F599">
            <v>250</v>
          </cell>
          <cell r="G599">
            <v>35.9</v>
          </cell>
          <cell r="H599" t="str">
            <v>Und</v>
          </cell>
        </row>
        <row r="600">
          <cell r="A600" t="str">
            <v>60100099</v>
          </cell>
          <cell r="B600" t="str">
            <v>ETIQ. MEDIANA MELOCOTON (ROLLO: 250 UND)</v>
          </cell>
          <cell r="E600">
            <v>8975</v>
          </cell>
          <cell r="F600">
            <v>250</v>
          </cell>
          <cell r="G600">
            <v>35.9</v>
          </cell>
          <cell r="H600" t="str">
            <v>Und</v>
          </cell>
        </row>
        <row r="601">
          <cell r="A601" t="str">
            <v>60100100</v>
          </cell>
          <cell r="B601" t="str">
            <v>ETIQ. MEDIANA CHOCOLATE (ROLLO: 250 UND)</v>
          </cell>
          <cell r="E601">
            <v>8975</v>
          </cell>
          <cell r="F601">
            <v>250</v>
          </cell>
          <cell r="G601">
            <v>35.9</v>
          </cell>
          <cell r="H601" t="str">
            <v>Und</v>
          </cell>
        </row>
        <row r="602">
          <cell r="A602" t="str">
            <v>50100062</v>
          </cell>
          <cell r="B602" t="str">
            <v>CONTENEDOR PLAST KFC (CAJA: 500 UND)</v>
          </cell>
          <cell r="E602">
            <v>25507</v>
          </cell>
          <cell r="F602">
            <v>500</v>
          </cell>
          <cell r="G602">
            <v>51.014000000000003</v>
          </cell>
          <cell r="H602" t="str">
            <v>Und</v>
          </cell>
        </row>
        <row r="603">
          <cell r="A603" t="str">
            <v>50100063</v>
          </cell>
          <cell r="B603" t="str">
            <v>TAPA PLAST KFC (CAJA: 500 UND)</v>
          </cell>
          <cell r="E603">
            <v>20409</v>
          </cell>
          <cell r="F603">
            <v>500</v>
          </cell>
          <cell r="G603">
            <v>40.817999999999998</v>
          </cell>
          <cell r="H603" t="str">
            <v>Und</v>
          </cell>
        </row>
        <row r="604">
          <cell r="A604" t="str">
            <v>50100065</v>
          </cell>
          <cell r="B604" t="str">
            <v>CONTENEDOR CON TAPA KFC 8 OZ(CAJA:240 U)</v>
          </cell>
          <cell r="E604">
            <v>29739</v>
          </cell>
          <cell r="F604" t="str">
            <v>240</v>
          </cell>
          <cell r="G604">
            <v>123.91249999999999</v>
          </cell>
          <cell r="H604" t="str">
            <v>Und</v>
          </cell>
        </row>
        <row r="605">
          <cell r="A605" t="str">
            <v>0807007</v>
          </cell>
          <cell r="B605" t="str">
            <v xml:space="preserve">Lamina Azucar De Fondant </v>
          </cell>
          <cell r="E605">
            <v>29827</v>
          </cell>
          <cell r="F605" t="str">
            <v>24</v>
          </cell>
          <cell r="G605">
            <v>1242.7916666666667</v>
          </cell>
          <cell r="H605" t="str">
            <v>Und</v>
          </cell>
        </row>
        <row r="606">
          <cell r="A606" t="str">
            <v>10100157</v>
          </cell>
          <cell r="B606" t="str">
            <v>SALSA HOISIN (UND:2.27 K)</v>
          </cell>
          <cell r="E606">
            <v>9224.2000000000007</v>
          </cell>
          <cell r="F606" t="str">
            <v>2270</v>
          </cell>
          <cell r="G606">
            <v>4.0635242290748899</v>
          </cell>
          <cell r="H606" t="str">
            <v>Und</v>
          </cell>
        </row>
        <row r="607">
          <cell r="A607" t="str">
            <v>1210398</v>
          </cell>
          <cell r="B607" t="str">
            <v xml:space="preserve">Trozos Chocolate Oscuro </v>
          </cell>
          <cell r="E607">
            <v>11500</v>
          </cell>
          <cell r="F607">
            <v>1000</v>
          </cell>
          <cell r="G607">
            <v>11.5</v>
          </cell>
          <cell r="H607" t="str">
            <v>Gramos</v>
          </cell>
        </row>
        <row r="608">
          <cell r="A608" t="str">
            <v>14003009</v>
          </cell>
          <cell r="B608" t="str">
            <v>HOJUELA DE PAPA (SACO:18.14 K)</v>
          </cell>
          <cell r="E608">
            <v>63490</v>
          </cell>
          <cell r="F608" t="str">
            <v>18140</v>
          </cell>
          <cell r="G608">
            <v>3.5</v>
          </cell>
          <cell r="H608" t="str">
            <v>Gramos</v>
          </cell>
        </row>
        <row r="609">
          <cell r="A609" t="str">
            <v>120000037</v>
          </cell>
          <cell r="B609" t="str">
            <v>PAN CUADRADO MULTIGRANO (PAQ:14 REBANA)</v>
          </cell>
          <cell r="E609">
            <v>1666.5</v>
          </cell>
          <cell r="F609" t="str">
            <v>14</v>
          </cell>
          <cell r="G609">
            <v>119.03571428571429</v>
          </cell>
          <cell r="H609" t="str">
            <v>Rebanada</v>
          </cell>
        </row>
        <row r="610">
          <cell r="A610" t="str">
            <v>503000006</v>
          </cell>
          <cell r="B610" t="str">
            <v>BOLSA AL VACIO 10X15 UND</v>
          </cell>
          <cell r="E610">
            <v>93</v>
          </cell>
          <cell r="F610" t="str">
            <v>1</v>
          </cell>
          <cell r="G610">
            <v>93</v>
          </cell>
          <cell r="H610" t="str">
            <v>Und</v>
          </cell>
        </row>
        <row r="611">
          <cell r="A611" t="str">
            <v>51600021</v>
          </cell>
          <cell r="B611" t="str">
            <v>ROLLO POS 16" 1067MTS  (UND)</v>
          </cell>
          <cell r="E611">
            <v>76459</v>
          </cell>
          <cell r="F611" t="str">
            <v>100000</v>
          </cell>
          <cell r="G611">
            <v>0.76458999999999999</v>
          </cell>
          <cell r="H611" t="str">
            <v>Centimetros</v>
          </cell>
        </row>
        <row r="612">
          <cell r="A612" t="str">
            <v>60100101</v>
          </cell>
          <cell r="B612" t="str">
            <v>STICKER KIT DE NIÑOS (ROLLO: 100 UND)</v>
          </cell>
          <cell r="E612">
            <v>46.5</v>
          </cell>
          <cell r="F612" t="str">
            <v>100</v>
          </cell>
          <cell r="G612">
            <v>0.46500000000000002</v>
          </cell>
          <cell r="H612" t="str">
            <v>Und</v>
          </cell>
        </row>
        <row r="613">
          <cell r="A613" t="str">
            <v>10100332</v>
          </cell>
          <cell r="B613" t="str">
            <v>BOLITAS SAB CHOCOLATE BLANCO ARROZ</v>
          </cell>
          <cell r="E613">
            <v>4301.25</v>
          </cell>
          <cell r="F613" t="str">
            <v>1000</v>
          </cell>
          <cell r="G613">
            <v>4.3012499999999996</v>
          </cell>
          <cell r="H613" t="str">
            <v>Gramos</v>
          </cell>
        </row>
        <row r="614">
          <cell r="A614" t="str">
            <v>10200019</v>
          </cell>
          <cell r="B614" t="str">
            <v>RON PLATA ESPECIAL (UND: 750 ML)</v>
          </cell>
          <cell r="E614">
            <v>4224.5</v>
          </cell>
          <cell r="F614">
            <v>750</v>
          </cell>
          <cell r="G614">
            <v>5.6326666666666663</v>
          </cell>
          <cell r="H614" t="str">
            <v>Mililitros</v>
          </cell>
        </row>
        <row r="615">
          <cell r="A615" t="str">
            <v>10100121</v>
          </cell>
          <cell r="B615" t="str">
            <v>DULCE GRANULADO (UND=900GR)</v>
          </cell>
          <cell r="E615">
            <v>1202</v>
          </cell>
          <cell r="F615" t="str">
            <v>900</v>
          </cell>
          <cell r="G615">
            <v>1.3355555555555556</v>
          </cell>
          <cell r="H615" t="str">
            <v>Gramos</v>
          </cell>
        </row>
        <row r="616">
          <cell r="A616" t="str">
            <v>10700048</v>
          </cell>
          <cell r="B616" t="str">
            <v>FRUTA CONFITADA (CAJA:15 K)</v>
          </cell>
          <cell r="E616">
            <v>39877</v>
          </cell>
          <cell r="F616" t="str">
            <v>15000</v>
          </cell>
          <cell r="G616">
            <v>2.6584666666666665</v>
          </cell>
          <cell r="H616" t="str">
            <v>Gramos</v>
          </cell>
        </row>
        <row r="617">
          <cell r="A617" t="str">
            <v>118000017</v>
          </cell>
          <cell r="B617" t="str">
            <v>SABORIZANTE RON (UND)</v>
          </cell>
          <cell r="E617">
            <v>10648</v>
          </cell>
          <cell r="F617" t="str">
            <v>1000</v>
          </cell>
          <cell r="G617">
            <v>10.648</v>
          </cell>
          <cell r="H617" t="str">
            <v>Gramos</v>
          </cell>
        </row>
      </sheetData>
      <sheetData sheetId="1"/>
      <sheetData sheetId="2"/>
      <sheetData sheetId="3"/>
      <sheetData sheetId="4">
        <row r="2">
          <cell r="A2" t="str">
            <v>10416</v>
          </cell>
          <cell r="B2" t="str">
            <v>MANO DE OBRA</v>
          </cell>
          <cell r="C2">
            <v>10416</v>
          </cell>
          <cell r="D2" t="str">
            <v>Mano De Obra</v>
          </cell>
          <cell r="E2" t="str">
            <v>Min</v>
          </cell>
        </row>
        <row r="3">
          <cell r="A3" t="str">
            <v>1950928</v>
          </cell>
          <cell r="B3" t="str">
            <v>BOLSA TRANSPARENTE 56X96X1.80 KILO</v>
          </cell>
          <cell r="C3" t="str">
            <v>EM10001</v>
          </cell>
          <cell r="D3" t="str">
            <v>Bolsa Transparente 56X96X1.80</v>
          </cell>
          <cell r="E3" t="str">
            <v>Gramos</v>
          </cell>
        </row>
        <row r="4">
          <cell r="A4" t="str">
            <v>0702069</v>
          </cell>
          <cell r="B4" t="str">
            <v>ETIQ.BLANCA 1 1/4 * 3/4 (UND)</v>
          </cell>
          <cell r="C4" t="str">
            <v>EM10002</v>
          </cell>
          <cell r="D4" t="str">
            <v>Etiq.Blanca 1 1/4 * 3/4</v>
          </cell>
          <cell r="E4" t="str">
            <v>Unidades</v>
          </cell>
        </row>
        <row r="5">
          <cell r="A5" t="str">
            <v>0702006</v>
          </cell>
          <cell r="B5" t="str">
            <v>ETIQ.FECHA VENCIMIENTO AMARILLO (ROLLO)</v>
          </cell>
          <cell r="C5" t="str">
            <v>EM10003</v>
          </cell>
          <cell r="D5" t="str">
            <v xml:space="preserve">Etiq.Fecha Vencimiento Amarillo </v>
          </cell>
          <cell r="E5" t="str">
            <v>Unidades</v>
          </cell>
        </row>
        <row r="6">
          <cell r="A6" t="str">
            <v>0702007</v>
          </cell>
          <cell r="B6" t="str">
            <v>ETIQ.FECHA VENCIMIENTO BLANCO (ROLLO)</v>
          </cell>
          <cell r="C6" t="str">
            <v>EM10004</v>
          </cell>
          <cell r="D6" t="str">
            <v xml:space="preserve">Etiq.Fecha Vencimiento Blanco </v>
          </cell>
          <cell r="E6" t="str">
            <v>Unidades</v>
          </cell>
        </row>
        <row r="7">
          <cell r="A7" t="str">
            <v>0702012</v>
          </cell>
          <cell r="B7" t="str">
            <v>ETIQ.FECHA VENCIMIENTO VERDE (ROLLO)</v>
          </cell>
          <cell r="C7" t="str">
            <v>EM10005</v>
          </cell>
          <cell r="D7" t="str">
            <v>Etiq.Fecha Vencimiento Verde</v>
          </cell>
          <cell r="E7" t="str">
            <v>Unidades</v>
          </cell>
        </row>
        <row r="8">
          <cell r="A8" t="str">
            <v>702175</v>
          </cell>
          <cell r="B8" t="str">
            <v>ETIQUETA IMPRES SPOON GRANDE V-272 (UND)</v>
          </cell>
          <cell r="C8" t="str">
            <v>EM10006</v>
          </cell>
          <cell r="D8" t="str">
            <v>Etiqueta Impres Spoon Grande V-272</v>
          </cell>
          <cell r="E8" t="str">
            <v>Unidades</v>
          </cell>
        </row>
        <row r="9">
          <cell r="A9" t="str">
            <v>60100023</v>
          </cell>
          <cell r="B9" t="str">
            <v>ETIQ APP SPOONERS CARD CUADRADA (UND)</v>
          </cell>
          <cell r="C9" t="str">
            <v>EM10007</v>
          </cell>
          <cell r="D9" t="str">
            <v>Etiq App Spooners Card Cuadrada</v>
          </cell>
          <cell r="E9" t="str">
            <v>Unidades</v>
          </cell>
        </row>
        <row r="10">
          <cell r="A10" t="str">
            <v>1950692</v>
          </cell>
          <cell r="B10" t="str">
            <v>ORLA CARTON 10" DORADA (UND)</v>
          </cell>
          <cell r="C10" t="str">
            <v>EM10008</v>
          </cell>
          <cell r="D10" t="str">
            <v>Orla Carton 10" Dorada</v>
          </cell>
          <cell r="E10" t="str">
            <v>Unidades</v>
          </cell>
        </row>
        <row r="11">
          <cell r="A11" t="str">
            <v>121603</v>
          </cell>
          <cell r="B11" t="str">
            <v>QUEQUERA RED  BASE/DOMO 10 (CAJA:50)</v>
          </cell>
          <cell r="C11" t="str">
            <v>EM10009</v>
          </cell>
          <cell r="D11" t="str">
            <v xml:space="preserve">Quequera Red  Base/Domo 10 </v>
          </cell>
          <cell r="E11" t="str">
            <v>Unidades</v>
          </cell>
        </row>
        <row r="12">
          <cell r="A12" t="str">
            <v>1950704</v>
          </cell>
          <cell r="B12" t="str">
            <v>Bolsa 5X8 Transparente</v>
          </cell>
          <cell r="C12" t="str">
            <v>EM10010</v>
          </cell>
          <cell r="D12" t="str">
            <v>Bolsa 5X8 Transparente</v>
          </cell>
          <cell r="E12" t="str">
            <v>Gramos</v>
          </cell>
        </row>
        <row r="13">
          <cell r="A13" t="str">
            <v>0702123</v>
          </cell>
          <cell r="B13" t="str">
            <v>ETIQUETA BLANCA 2 5/8X1 15/16 (UND)</v>
          </cell>
          <cell r="C13" t="str">
            <v>EM10011</v>
          </cell>
          <cell r="D13" t="str">
            <v xml:space="preserve">Etiqueta Blanca 2 5/8X1 15/16 </v>
          </cell>
          <cell r="E13" t="str">
            <v>Unidades</v>
          </cell>
        </row>
        <row r="14">
          <cell r="A14" t="e">
            <v>#N/A</v>
          </cell>
          <cell r="B14" t="e">
            <v>#N/A</v>
          </cell>
          <cell r="C14" t="str">
            <v>EM10012</v>
          </cell>
          <cell r="D14" t="str">
            <v>Etiqueta Nestle La Lechera Gold</v>
          </cell>
          <cell r="E14" t="str">
            <v>Unidades</v>
          </cell>
        </row>
        <row r="15">
          <cell r="A15" t="str">
            <v>1950708</v>
          </cell>
          <cell r="B15" t="str">
            <v>BOLSA 17x25 TRANSP KILO</v>
          </cell>
          <cell r="C15" t="str">
            <v>EM10013</v>
          </cell>
          <cell r="D15" t="str">
            <v>Bolsa 17X25 Transparente</v>
          </cell>
          <cell r="E15" t="str">
            <v>Gramos</v>
          </cell>
        </row>
        <row r="16">
          <cell r="A16" t="str">
            <v>1950756</v>
          </cell>
          <cell r="B16" t="str">
            <v>BANDEJA ALUMINIO# 4040 6P  (UNIDAD)</v>
          </cell>
          <cell r="C16" t="str">
            <v>EM10014</v>
          </cell>
          <cell r="D16" t="str">
            <v>Bandeja Aluminio# 4040 6P</v>
          </cell>
          <cell r="E16" t="str">
            <v>Unidades</v>
          </cell>
        </row>
        <row r="17">
          <cell r="A17" t="str">
            <v>1952432</v>
          </cell>
          <cell r="B17" t="str">
            <v>TAPA BAND ALUM 4040 (UNIDAD)</v>
          </cell>
          <cell r="C17" t="str">
            <v>EM10015</v>
          </cell>
          <cell r="D17" t="str">
            <v>Tapa Band Alum 4040</v>
          </cell>
          <cell r="E17" t="str">
            <v>Unidades</v>
          </cell>
        </row>
        <row r="18">
          <cell r="A18" t="str">
            <v>1950702</v>
          </cell>
          <cell r="B18" t="str">
            <v>BOLSA 12x18 TRANSP KILO</v>
          </cell>
          <cell r="C18" t="str">
            <v>EM10016</v>
          </cell>
          <cell r="D18" t="str">
            <v>Bolsa 12X18 Transparente</v>
          </cell>
          <cell r="E18" t="str">
            <v>Gramos</v>
          </cell>
        </row>
        <row r="19">
          <cell r="A19" t="str">
            <v>1950729</v>
          </cell>
          <cell r="B19" t="str">
            <v>CAJA BLANCA MEDIANA (PAQ:100 UND)</v>
          </cell>
          <cell r="C19" t="str">
            <v>EM10017</v>
          </cell>
          <cell r="D19" t="str">
            <v xml:space="preserve">Caja Blanca Mediana </v>
          </cell>
          <cell r="E19" t="str">
            <v>Unidades</v>
          </cell>
        </row>
        <row r="20">
          <cell r="A20" t="str">
            <v>0906036</v>
          </cell>
          <cell r="B20" t="str">
            <v>PAPEL MANTEQUILLA (CAJA= 1000 UND)</v>
          </cell>
          <cell r="C20" t="str">
            <v>EM10018</v>
          </cell>
          <cell r="D20" t="str">
            <v xml:space="preserve">Papel Mantequilla </v>
          </cell>
          <cell r="E20" t="str">
            <v>Unidades</v>
          </cell>
        </row>
        <row r="21">
          <cell r="A21" t="str">
            <v>0702009</v>
          </cell>
          <cell r="B21" t="str">
            <v>ETIQ.FECHA VENCIMIENTO NARANJA (ROLLO)</v>
          </cell>
          <cell r="C21" t="str">
            <v>EM10019</v>
          </cell>
          <cell r="D21" t="str">
            <v xml:space="preserve">Etiq.Fecha Vencimiento Naranja </v>
          </cell>
          <cell r="E21" t="str">
            <v>Unidades</v>
          </cell>
        </row>
        <row r="22">
          <cell r="A22" t="str">
            <v>1950693</v>
          </cell>
          <cell r="B22" t="str">
            <v>ORLA #9  DORADA (UND)</v>
          </cell>
          <cell r="C22" t="str">
            <v>EM10020</v>
          </cell>
          <cell r="D22" t="str">
            <v xml:space="preserve">Orla #9  Dorada </v>
          </cell>
          <cell r="E22" t="str">
            <v>Unidades</v>
          </cell>
        </row>
        <row r="23">
          <cell r="A23" t="str">
            <v>51400021</v>
          </cell>
          <cell r="B23" t="str">
            <v>QUEQUERA RED C/BASE ALTA 9" (CAJA:100 U)</v>
          </cell>
          <cell r="C23" t="str">
            <v>EM10021</v>
          </cell>
          <cell r="D23" t="str">
            <v>Quequera Red C/Base Alta 9"</v>
          </cell>
          <cell r="E23" t="str">
            <v>Unidades</v>
          </cell>
        </row>
        <row r="24">
          <cell r="A24" t="str">
            <v>1950873</v>
          </cell>
          <cell r="B24" t="str">
            <v>BOLSA CELOFAN 30X45 (KILO)</v>
          </cell>
          <cell r="C24" t="str">
            <v>EM10022</v>
          </cell>
          <cell r="D24" t="str">
            <v>Bolsa Celofan 30X45</v>
          </cell>
          <cell r="E24" t="str">
            <v>Gramos</v>
          </cell>
        </row>
        <row r="25">
          <cell r="A25" t="str">
            <v>51400015</v>
          </cell>
          <cell r="B25" t="str">
            <v>QUEQUERA CHILENA (CAJA:50 UND)</v>
          </cell>
          <cell r="C25" t="str">
            <v>EM10023</v>
          </cell>
          <cell r="D25" t="str">
            <v xml:space="preserve">Quequera Chilena </v>
          </cell>
          <cell r="E25" t="str">
            <v>Unidades</v>
          </cell>
        </row>
        <row r="26">
          <cell r="A26" t="str">
            <v>702182</v>
          </cell>
          <cell r="B26" t="str">
            <v>ETIQUETA IMP. SPOON MEDIANA V-273 (UND)</v>
          </cell>
          <cell r="C26" t="str">
            <v>EM10024</v>
          </cell>
          <cell r="D26" t="str">
            <v>Etiqueta Imp. Spoon Mediana V-273</v>
          </cell>
          <cell r="E26" t="str">
            <v>Unidades</v>
          </cell>
        </row>
        <row r="27">
          <cell r="A27" t="str">
            <v>1950808</v>
          </cell>
          <cell r="B27" t="str">
            <v>ORLA CARTON  8" DORADA (UND)</v>
          </cell>
          <cell r="C27" t="str">
            <v>EM10025</v>
          </cell>
          <cell r="D27" t="str">
            <v xml:space="preserve">Orla Carton  8" Dorada </v>
          </cell>
          <cell r="E27" t="str">
            <v>Unidades</v>
          </cell>
        </row>
        <row r="28">
          <cell r="A28" t="str">
            <v>51400046</v>
          </cell>
          <cell r="B28" t="str">
            <v xml:space="preserve">QUEQUERA BASE CON DOMO 8" ALTA (50 UND) </v>
          </cell>
          <cell r="C28" t="str">
            <v>EM10026</v>
          </cell>
          <cell r="D28" t="str">
            <v xml:space="preserve">Quequera Base con Domo 8'' alta </v>
          </cell>
          <cell r="E28" t="str">
            <v>Unidades</v>
          </cell>
        </row>
        <row r="29">
          <cell r="A29" t="str">
            <v>51400017</v>
          </cell>
          <cell r="B29" t="str">
            <v>BASE QUEQUERA 8" ALTA (CAJA:200 UND)</v>
          </cell>
          <cell r="C29" t="str">
            <v>EM10027</v>
          </cell>
          <cell r="D29" t="str">
            <v xml:space="preserve">Base Quequera 8" Alta </v>
          </cell>
          <cell r="E29" t="str">
            <v>Unidades</v>
          </cell>
        </row>
        <row r="30">
          <cell r="A30" t="str">
            <v>1950716</v>
          </cell>
          <cell r="B30" t="str">
            <v>BANDEJA  94121 24 OZ (CAJA:200 UND)</v>
          </cell>
          <cell r="C30" t="str">
            <v>EM10028</v>
          </cell>
          <cell r="D30" t="str">
            <v xml:space="preserve">Bandeja  94121 24 Oz </v>
          </cell>
          <cell r="E30" t="str">
            <v>Unidades</v>
          </cell>
        </row>
        <row r="31">
          <cell r="A31" t="str">
            <v>1952409</v>
          </cell>
          <cell r="B31" t="str">
            <v>BANDEJA ALUMINIO A-42 (4POR)(CAJA:500 U)</v>
          </cell>
          <cell r="C31" t="str">
            <v>EM10030</v>
          </cell>
          <cell r="D31" t="str">
            <v>Bandeja Aluminio A-42 (4Por)</v>
          </cell>
          <cell r="E31" t="str">
            <v>Unidades</v>
          </cell>
        </row>
        <row r="32">
          <cell r="A32" t="str">
            <v>51600026</v>
          </cell>
          <cell r="B32" t="str">
            <v>BANDEJA FIBRA 10X7.5X1.5 (PAQ:50 UND)</v>
          </cell>
          <cell r="C32" t="str">
            <v>EM10032</v>
          </cell>
          <cell r="D32" t="str">
            <v>Bandeja Fibra 10X7.5X1.5</v>
          </cell>
          <cell r="E32" t="str">
            <v>Unidades</v>
          </cell>
        </row>
        <row r="33">
          <cell r="A33" t="str">
            <v>1950811</v>
          </cell>
          <cell r="B33" t="str">
            <v>BASE CARTON 15 PORCIONES (UND)</v>
          </cell>
          <cell r="C33" t="str">
            <v>EM10033</v>
          </cell>
          <cell r="D33" t="str">
            <v xml:space="preserve">Base Carton 15 Porciones </v>
          </cell>
          <cell r="E33" t="str">
            <v>Unidades</v>
          </cell>
        </row>
        <row r="34">
          <cell r="A34" t="str">
            <v>1950829</v>
          </cell>
          <cell r="B34" t="str">
            <v>BASE CARTON 30 PORCIONES UND</v>
          </cell>
          <cell r="C34" t="str">
            <v>EM10034</v>
          </cell>
          <cell r="D34" t="str">
            <v>Base Carton 30 Porciones</v>
          </cell>
          <cell r="E34" t="str">
            <v>Unidades</v>
          </cell>
        </row>
        <row r="35">
          <cell r="A35" t="str">
            <v>1950699</v>
          </cell>
          <cell r="B35" t="str">
            <v>BASE PARA ROSQUETE (UND)</v>
          </cell>
          <cell r="C35" t="str">
            <v>EM10035</v>
          </cell>
          <cell r="D35" t="str">
            <v xml:space="preserve">Base Carton Para Rosquete </v>
          </cell>
          <cell r="E35" t="str">
            <v>Unidades</v>
          </cell>
        </row>
        <row r="36">
          <cell r="A36" t="str">
            <v>51600044</v>
          </cell>
          <cell r="B36" t="str">
            <v>BOLSA 21X24X2 ROJA ( KILO)</v>
          </cell>
          <cell r="C36" t="str">
            <v>EM10036</v>
          </cell>
          <cell r="D36" t="str">
            <v xml:space="preserve">Bolsa 21X24X2 Roja </v>
          </cell>
          <cell r="E36" t="str">
            <v>Gramos</v>
          </cell>
        </row>
        <row r="37">
          <cell r="A37" t="str">
            <v>1950705</v>
          </cell>
          <cell r="B37" t="str">
            <v>BOLSA 8x12 TRANSPARENTE KILO</v>
          </cell>
          <cell r="C37" t="str">
            <v>EM10037</v>
          </cell>
          <cell r="D37" t="str">
            <v>Bolsa 8X12 Transparente</v>
          </cell>
          <cell r="E37" t="str">
            <v>Gramos</v>
          </cell>
        </row>
        <row r="38">
          <cell r="A38" t="str">
            <v>503000006</v>
          </cell>
          <cell r="B38" t="str">
            <v>BOLSA AL VACIO 10X15 UND</v>
          </cell>
          <cell r="C38" t="str">
            <v>EM10038</v>
          </cell>
          <cell r="D38" t="str">
            <v xml:space="preserve">Bolsa Al Vacio 10X15 </v>
          </cell>
          <cell r="E38" t="str">
            <v>Unidades</v>
          </cell>
        </row>
        <row r="39">
          <cell r="A39" t="str">
            <v>1952393</v>
          </cell>
          <cell r="B39" t="str">
            <v>BOLSA AL VACIO 8X10 UND</v>
          </cell>
          <cell r="C39" t="str">
            <v>EM10039</v>
          </cell>
          <cell r="D39" t="str">
            <v xml:space="preserve">Bolsa Al Vacio 8X10 </v>
          </cell>
          <cell r="E39" t="str">
            <v>Unidades</v>
          </cell>
        </row>
        <row r="40">
          <cell r="A40" t="str">
            <v>1952402</v>
          </cell>
          <cell r="B40" t="str">
            <v xml:space="preserve">BOLSA BUCCA CLASSICA (10*13.5cm) ( KILO </v>
          </cell>
          <cell r="C40" t="str">
            <v>EM10040</v>
          </cell>
          <cell r="D40" t="str">
            <v>Bolsa Bucca Classica (10*13.5Cm)</v>
          </cell>
          <cell r="E40" t="str">
            <v>Gramos</v>
          </cell>
        </row>
        <row r="41">
          <cell r="A41" t="str">
            <v>51600045</v>
          </cell>
          <cell r="B41" t="str">
            <v>BOLSA CELOFAN 10X16 ( KILO)</v>
          </cell>
          <cell r="C41" t="str">
            <v>EM10041</v>
          </cell>
          <cell r="D41" t="str">
            <v xml:space="preserve">Bolsa Celofan 10X16 </v>
          </cell>
          <cell r="E41" t="str">
            <v>Gramos</v>
          </cell>
        </row>
        <row r="42">
          <cell r="A42" t="str">
            <v>51600043</v>
          </cell>
          <cell r="B42" t="str">
            <v>BOLSA DOYPACK KRAFT 11X19 (UND)</v>
          </cell>
          <cell r="C42" t="str">
            <v>EM10042</v>
          </cell>
          <cell r="D42" t="str">
            <v>Bolsa Doypack Kraft 11X19</v>
          </cell>
          <cell r="E42" t="str">
            <v>Unidades</v>
          </cell>
        </row>
        <row r="43">
          <cell r="A43" t="str">
            <v>1950786</v>
          </cell>
          <cell r="B43" t="str">
            <v>BOLSA IMP. SPOON CAMI 12*25 KILO</v>
          </cell>
          <cell r="C43" t="str">
            <v>EM10043</v>
          </cell>
          <cell r="D43" t="str">
            <v xml:space="preserve">Bolsa Imp. Spoon Cami 12*25 </v>
          </cell>
          <cell r="E43" t="str">
            <v>Gramos</v>
          </cell>
        </row>
        <row r="44">
          <cell r="A44" t="str">
            <v>1950904</v>
          </cell>
          <cell r="B44" t="str">
            <v>BOLSA TRANSPARENTE  6 X 10 KILO</v>
          </cell>
          <cell r="C44" t="str">
            <v>EM10044</v>
          </cell>
          <cell r="D44" t="str">
            <v xml:space="preserve">Bolsa Transparente  6 X 10 </v>
          </cell>
          <cell r="E44" t="str">
            <v>Gramos</v>
          </cell>
        </row>
        <row r="45">
          <cell r="A45" t="str">
            <v>401000002</v>
          </cell>
          <cell r="B45" t="str">
            <v>BOLSA TRANSPARENTE 6X6X4 KILO</v>
          </cell>
          <cell r="C45" t="str">
            <v>EM10045</v>
          </cell>
          <cell r="D45" t="str">
            <v xml:space="preserve">Bolsa Transparente 6X6X4 </v>
          </cell>
          <cell r="E45" t="str">
            <v>Gramos</v>
          </cell>
        </row>
        <row r="46">
          <cell r="A46" t="str">
            <v>401000003</v>
          </cell>
          <cell r="B46" t="str">
            <v>BOLSA TRANSPARENTE 6X8X4 KILO</v>
          </cell>
          <cell r="C46" t="str">
            <v>EM10046</v>
          </cell>
          <cell r="D46" t="str">
            <v>Bolsa Transparente 6X8X4</v>
          </cell>
          <cell r="E46" t="str">
            <v>Gramos</v>
          </cell>
        </row>
        <row r="47">
          <cell r="A47" t="str">
            <v>401000004</v>
          </cell>
          <cell r="B47" t="str">
            <v>BOLSA TRANSPARENTE 7X9X4 KILO</v>
          </cell>
          <cell r="C47" t="str">
            <v>EM10047</v>
          </cell>
          <cell r="D47" t="str">
            <v>Bolsa Transparente 7X9X4</v>
          </cell>
          <cell r="E47" t="str">
            <v>Gramos</v>
          </cell>
        </row>
        <row r="48">
          <cell r="A48" t="str">
            <v>1840640</v>
          </cell>
          <cell r="B48" t="str">
            <v>BOLSAS TRANSP EXTRAGRANDE 37x55 KILO</v>
          </cell>
          <cell r="C48" t="str">
            <v>EM10048</v>
          </cell>
          <cell r="D48" t="str">
            <v>Bolsas Transp Extragrande 37X55</v>
          </cell>
          <cell r="E48" t="str">
            <v>Gramos</v>
          </cell>
        </row>
        <row r="49">
          <cell r="A49" t="str">
            <v>51400020</v>
          </cell>
          <cell r="B49" t="str">
            <v>BURBUJA I-3 ALTA (CAJA:250 UND)</v>
          </cell>
          <cell r="C49" t="str">
            <v>EM10050</v>
          </cell>
          <cell r="D49" t="str">
            <v xml:space="preserve">Burbuja I-3 Alta </v>
          </cell>
          <cell r="E49" t="str">
            <v>Unidades</v>
          </cell>
        </row>
        <row r="50">
          <cell r="A50" t="str">
            <v>51400039</v>
          </cell>
          <cell r="B50" t="str">
            <v xml:space="preserve">BURBUJA PLASTICA 5 (CAJA: 500 UND) </v>
          </cell>
          <cell r="C50" t="str">
            <v>EM10051</v>
          </cell>
          <cell r="D50" t="str">
            <v xml:space="preserve">Burbuja Plastica 5 </v>
          </cell>
          <cell r="E50" t="str">
            <v>Unidades</v>
          </cell>
        </row>
        <row r="51">
          <cell r="A51" t="str">
            <v>1950712</v>
          </cell>
          <cell r="B51" t="str">
            <v xml:space="preserve">BURBUJA PLASTICA 6 ( CAJA: 500 UND) </v>
          </cell>
          <cell r="C51" t="str">
            <v>EM10052</v>
          </cell>
          <cell r="D51" t="str">
            <v xml:space="preserve">Burbuja Plastica 6 </v>
          </cell>
          <cell r="E51" t="str">
            <v>Unidades</v>
          </cell>
        </row>
        <row r="52">
          <cell r="A52" t="str">
            <v>1959752</v>
          </cell>
          <cell r="B52" t="str">
            <v>CAJA BLANCA MINI (PAQ:100 UND)</v>
          </cell>
          <cell r="C52" t="str">
            <v>EM10054</v>
          </cell>
          <cell r="D52" t="str">
            <v xml:space="preserve">Caja Blanca Mini </v>
          </cell>
          <cell r="E52" t="str">
            <v>Unidades</v>
          </cell>
        </row>
        <row r="53">
          <cell r="A53" t="str">
            <v>1950730</v>
          </cell>
          <cell r="B53" t="str">
            <v>CAJA BLANCA PEQUEÑA (PAQ:100 UND)</v>
          </cell>
          <cell r="C53" t="str">
            <v>EM10055</v>
          </cell>
          <cell r="D53" t="str">
            <v xml:space="preserve">Caja Blanca Pequeña </v>
          </cell>
          <cell r="E53" t="str">
            <v>Unidades</v>
          </cell>
        </row>
        <row r="54">
          <cell r="A54" t="str">
            <v>1952910</v>
          </cell>
          <cell r="B54" t="str">
            <v>CAJA CARTON GRANDE (UND)</v>
          </cell>
          <cell r="C54" t="str">
            <v>EM10056</v>
          </cell>
          <cell r="D54" t="str">
            <v>Caja Carton Grande</v>
          </cell>
          <cell r="E54" t="str">
            <v>Unidades</v>
          </cell>
        </row>
        <row r="55">
          <cell r="A55" t="str">
            <v>50400030</v>
          </cell>
          <cell r="B55" t="str">
            <v>CAJA CON IMPRESIÓN KRAFT (UND)</v>
          </cell>
          <cell r="C55" t="str">
            <v>EM10057</v>
          </cell>
          <cell r="D55" t="str">
            <v>Caja Con Impresión Kraft</v>
          </cell>
          <cell r="E55" t="str">
            <v>Unidades</v>
          </cell>
        </row>
        <row r="56">
          <cell r="A56" t="str">
            <v>50400015</v>
          </cell>
          <cell r="B56" t="str">
            <v>CAJA MEDIANA OFFICE BREAK (CAJA:400 UND)</v>
          </cell>
          <cell r="C56" t="str">
            <v>EM10060</v>
          </cell>
          <cell r="D56" t="str">
            <v xml:space="preserve">Caja Mediana Office Break </v>
          </cell>
          <cell r="E56" t="str">
            <v>Unidades</v>
          </cell>
        </row>
        <row r="57">
          <cell r="A57" t="str">
            <v>50400003</v>
          </cell>
          <cell r="B57" t="str">
            <v>CAJA MUSMANNI #2 (UND)</v>
          </cell>
          <cell r="C57" t="str">
            <v>EM10061</v>
          </cell>
          <cell r="D57" t="str">
            <v xml:space="preserve">Caja Musmanni #2 </v>
          </cell>
          <cell r="E57" t="str">
            <v>Unidades</v>
          </cell>
        </row>
        <row r="58">
          <cell r="A58" t="str">
            <v>1952871</v>
          </cell>
          <cell r="B58" t="str">
            <v>CAJA PRALINE (UND)</v>
          </cell>
          <cell r="C58" t="str">
            <v>EM10062</v>
          </cell>
          <cell r="D58" t="str">
            <v xml:space="preserve">Caja Praline </v>
          </cell>
          <cell r="E58" t="str">
            <v>Unidades</v>
          </cell>
        </row>
        <row r="59">
          <cell r="A59" t="str">
            <v>1952919</v>
          </cell>
          <cell r="B59" t="str">
            <v>CAJA PRALINE 2 (UND)</v>
          </cell>
          <cell r="C59" t="str">
            <v>EM10063</v>
          </cell>
          <cell r="D59" t="str">
            <v xml:space="preserve">Caja Praline 2 </v>
          </cell>
          <cell r="E59" t="str">
            <v>Unidades</v>
          </cell>
        </row>
        <row r="60">
          <cell r="A60" t="str">
            <v>1952445</v>
          </cell>
          <cell r="B60" t="str">
            <v>CAJA SIX PACK MUSMANNI (UND)</v>
          </cell>
          <cell r="C60" t="str">
            <v>EM10066</v>
          </cell>
          <cell r="D60" t="str">
            <v xml:space="preserve">Caja Six Pack Musmanni </v>
          </cell>
          <cell r="E60" t="str">
            <v>Unidades</v>
          </cell>
        </row>
        <row r="61">
          <cell r="A61" t="str">
            <v>1950733</v>
          </cell>
          <cell r="B61" t="str">
            <v>CAPSULA # 10 BLANCA (PAQ:500 UND)</v>
          </cell>
          <cell r="C61" t="str">
            <v>EM10067</v>
          </cell>
          <cell r="D61" t="str">
            <v xml:space="preserve">Capsula # 10 Blanca </v>
          </cell>
          <cell r="E61" t="str">
            <v>Unidades</v>
          </cell>
        </row>
        <row r="62">
          <cell r="A62" t="str">
            <v>1950731</v>
          </cell>
          <cell r="B62" t="str">
            <v>CAPSULA # 3 LOGO (PAQ:1000 UND)</v>
          </cell>
          <cell r="C62" t="str">
            <v>EM10068</v>
          </cell>
          <cell r="D62" t="str">
            <v xml:space="preserve">Capsula # 3 Logo </v>
          </cell>
          <cell r="E62" t="str">
            <v>Unidades</v>
          </cell>
        </row>
        <row r="63">
          <cell r="A63" t="str">
            <v>50600003</v>
          </cell>
          <cell r="B63" t="str">
            <v>CAPSULA # 5 BLANCA (PAQ:1000 UND)</v>
          </cell>
          <cell r="C63" t="str">
            <v>EM10069</v>
          </cell>
          <cell r="D63" t="str">
            <v xml:space="preserve">Capsula # 5 Blanca </v>
          </cell>
          <cell r="E63" t="str">
            <v>Unidades</v>
          </cell>
        </row>
        <row r="64">
          <cell r="A64" t="str">
            <v>1950735</v>
          </cell>
          <cell r="B64" t="str">
            <v>CAPSULA # 5 LOGO (PAQ:1000 UND)</v>
          </cell>
          <cell r="C64" t="str">
            <v>EM10070</v>
          </cell>
          <cell r="D64" t="str">
            <v xml:space="preserve">Capsula # 5 Logo </v>
          </cell>
          <cell r="E64" t="str">
            <v>Unidades</v>
          </cell>
        </row>
        <row r="65">
          <cell r="A65" t="str">
            <v>0702169</v>
          </cell>
          <cell r="B65" t="str">
            <v>CARTULINA KRAFT 2.5 X 31 -8 (UND)</v>
          </cell>
          <cell r="C65" t="str">
            <v>EM10071</v>
          </cell>
          <cell r="D65" t="str">
            <v xml:space="preserve">Cartulina Kraft 2.5 X 31 -8 </v>
          </cell>
          <cell r="E65" t="str">
            <v>Unidades</v>
          </cell>
        </row>
        <row r="66">
          <cell r="A66" t="str">
            <v>50700018</v>
          </cell>
          <cell r="B66" t="str">
            <v>COMBO PACK DOBLE USO 8 onz (CAJA:200 UN)</v>
          </cell>
          <cell r="C66" t="str">
            <v>EM10073</v>
          </cell>
          <cell r="D66" t="str">
            <v>Combo Pack Doble Uso 8 Onz</v>
          </cell>
          <cell r="E66" t="str">
            <v>Unidades</v>
          </cell>
        </row>
        <row r="67">
          <cell r="A67" t="str">
            <v>1950909</v>
          </cell>
          <cell r="B67" t="str">
            <v>CONT.24 ONZ.TAPA PLANA (CAJA:200 UND)</v>
          </cell>
          <cell r="C67" t="str">
            <v>EM10074</v>
          </cell>
          <cell r="D67" t="str">
            <v xml:space="preserve">Cont.24 Onz.Tapa Plana </v>
          </cell>
          <cell r="E67" t="str">
            <v>Unidades</v>
          </cell>
        </row>
        <row r="68">
          <cell r="A68" t="str">
            <v>1950672</v>
          </cell>
          <cell r="B68" t="str">
            <v>CONT.48 ON TRAN.TAPA PLANA (CAJA:200UND)</v>
          </cell>
          <cell r="C68" t="str">
            <v>EM10075</v>
          </cell>
          <cell r="D68" t="str">
            <v>Cont.48 On Tran.Tapa Plana</v>
          </cell>
          <cell r="E68" t="str">
            <v>Unidades</v>
          </cell>
        </row>
        <row r="69">
          <cell r="A69" t="str">
            <v>1950682</v>
          </cell>
          <cell r="B69" t="str">
            <v>CONTEN LBH 692 PRALINE (CAJA:200 UND)</v>
          </cell>
          <cell r="C69" t="str">
            <v>EM10076</v>
          </cell>
          <cell r="D69" t="str">
            <v>Conten Lbh 692 Praline</v>
          </cell>
          <cell r="E69" t="str">
            <v>Unidades</v>
          </cell>
        </row>
        <row r="70">
          <cell r="A70" t="str">
            <v>1952912</v>
          </cell>
          <cell r="B70" t="str">
            <v>CONTENEDOR TRIANGU ALTO (CAJA:200 UND)</v>
          </cell>
          <cell r="C70" t="str">
            <v>EM10079</v>
          </cell>
          <cell r="D70" t="str">
            <v xml:space="preserve">Contenedor Triangular Alto </v>
          </cell>
          <cell r="E70" t="str">
            <v>Unidades</v>
          </cell>
        </row>
        <row r="71">
          <cell r="A71" t="str">
            <v>1950837</v>
          </cell>
          <cell r="B71" t="str">
            <v>FONDO P/CAJA BLANCA (PAQ:100 UND)</v>
          </cell>
          <cell r="C71" t="str">
            <v>EM10080</v>
          </cell>
          <cell r="D71" t="str">
            <v>Fondo P/Caja Blanca</v>
          </cell>
          <cell r="E71" t="str">
            <v>Unidades</v>
          </cell>
        </row>
        <row r="72">
          <cell r="A72" t="str">
            <v>51600004</v>
          </cell>
          <cell r="B72" t="str">
            <v>LAZOS ROJOS (UND)</v>
          </cell>
          <cell r="C72" t="str">
            <v>EM10081</v>
          </cell>
          <cell r="D72" t="str">
            <v>Lazos Rojos</v>
          </cell>
          <cell r="E72" t="str">
            <v>Unidades</v>
          </cell>
        </row>
        <row r="73">
          <cell r="A73" t="str">
            <v>1952875</v>
          </cell>
          <cell r="B73" t="str">
            <v>ORLA # 10 BUCCA (UND)</v>
          </cell>
          <cell r="C73" t="str">
            <v>EM10084</v>
          </cell>
          <cell r="D73" t="str">
            <v xml:space="preserve">Orla # 10 Bucca </v>
          </cell>
          <cell r="E73" t="str">
            <v>Unidades</v>
          </cell>
        </row>
        <row r="74">
          <cell r="A74" t="str">
            <v>1950942</v>
          </cell>
          <cell r="B74" t="str">
            <v>ORLA #4 AZUL REDONDA (UND)</v>
          </cell>
          <cell r="C74" t="str">
            <v>EM10085</v>
          </cell>
          <cell r="D74" t="str">
            <v>Orla #4 Azul Redonda</v>
          </cell>
          <cell r="E74" t="str">
            <v>Unidades</v>
          </cell>
        </row>
        <row r="75">
          <cell r="A75" t="str">
            <v>1952874</v>
          </cell>
          <cell r="B75" t="str">
            <v>ORLA #8 BUCCA (UND)</v>
          </cell>
          <cell r="C75" t="str">
            <v>EM10086</v>
          </cell>
          <cell r="D75" t="str">
            <v xml:space="preserve">Orla #8 Bucca </v>
          </cell>
          <cell r="E75" t="str">
            <v>Unidades</v>
          </cell>
        </row>
        <row r="76">
          <cell r="A76" t="str">
            <v>11000006</v>
          </cell>
          <cell r="B76" t="str">
            <v>ORLA 6.5'' (UND)</v>
          </cell>
          <cell r="C76" t="str">
            <v>EM10087</v>
          </cell>
          <cell r="D76" t="str">
            <v xml:space="preserve">Orla 6.5'' </v>
          </cell>
          <cell r="E76" t="str">
            <v>Unidades</v>
          </cell>
        </row>
        <row r="77">
          <cell r="A77" t="str">
            <v>11000008</v>
          </cell>
          <cell r="B77" t="str">
            <v>ORLA NAVIDEÑA GRANDE (UND)</v>
          </cell>
          <cell r="C77" t="str">
            <v>EM10088</v>
          </cell>
          <cell r="D77" t="str">
            <v xml:space="preserve">Orla Navideña Grande </v>
          </cell>
          <cell r="E77" t="str">
            <v>Unidades</v>
          </cell>
        </row>
        <row r="78">
          <cell r="A78" t="str">
            <v>11000007</v>
          </cell>
          <cell r="B78" t="str">
            <v>ORLA NAVIDEÑA PEQUEÑA (UND)</v>
          </cell>
          <cell r="C78" t="str">
            <v>EM10089</v>
          </cell>
          <cell r="D78" t="str">
            <v xml:space="preserve">Orla Navideña Pequeña </v>
          </cell>
          <cell r="E78" t="str">
            <v>Unidades</v>
          </cell>
        </row>
        <row r="79">
          <cell r="A79" t="str">
            <v>1950772</v>
          </cell>
          <cell r="B79" t="str">
            <v>PAPEL ENCERADO 12 X 10 (CAJA:500 UND)</v>
          </cell>
          <cell r="C79" t="str">
            <v>EM10090</v>
          </cell>
          <cell r="D79" t="str">
            <v xml:space="preserve">Papel Encerado 12 X 10 </v>
          </cell>
          <cell r="E79" t="str">
            <v>Unidades</v>
          </cell>
        </row>
        <row r="80">
          <cell r="A80" t="str">
            <v>121208</v>
          </cell>
          <cell r="B80" t="str">
            <v>QUEQUERA PLAST 12 CENT (CAJA:250UND)</v>
          </cell>
          <cell r="C80" t="str">
            <v>EM10091</v>
          </cell>
          <cell r="D80" t="str">
            <v xml:space="preserve">Quequera Plast 12 Cent </v>
          </cell>
          <cell r="E80" t="str">
            <v>Unidades</v>
          </cell>
        </row>
        <row r="81">
          <cell r="A81" t="str">
            <v>1950818</v>
          </cell>
          <cell r="B81" t="str">
            <v>QUEQUERA RECT. T41 (CAJA:50 UND)</v>
          </cell>
          <cell r="C81" t="str">
            <v>EM10092</v>
          </cell>
          <cell r="D81" t="str">
            <v xml:space="preserve">Quequera Rect. T41 </v>
          </cell>
          <cell r="E81" t="str">
            <v>Unidades</v>
          </cell>
        </row>
        <row r="82">
          <cell r="A82" t="str">
            <v>51400001</v>
          </cell>
          <cell r="B82" t="str">
            <v>QUEQUERA RECTANGULAR 1/2 (CAJA:30 UND)</v>
          </cell>
          <cell r="C82" t="str">
            <v>EM10093</v>
          </cell>
          <cell r="D82" t="str">
            <v xml:space="preserve">Quequera Rectangular 1/2 </v>
          </cell>
          <cell r="E82" t="str">
            <v>Unidades</v>
          </cell>
        </row>
        <row r="83">
          <cell r="A83" t="str">
            <v>1950880</v>
          </cell>
          <cell r="B83" t="str">
            <v>TAPA BANDEJA PLAST 3 DIV (CAJA:250 UND)</v>
          </cell>
          <cell r="C83" t="str">
            <v>EM10095</v>
          </cell>
          <cell r="D83" t="str">
            <v xml:space="preserve">Tapa Bandeja Plast 3 Div </v>
          </cell>
          <cell r="E83" t="str">
            <v>Unidades</v>
          </cell>
        </row>
        <row r="84">
          <cell r="A84" t="str">
            <v>50100035</v>
          </cell>
          <cell r="B84" t="str">
            <v>TAPA CONT ALUMINIO 16 ONZ (CAJA:500 UND)</v>
          </cell>
          <cell r="C84" t="str">
            <v>EM10096</v>
          </cell>
          <cell r="D84" t="str">
            <v xml:space="preserve">Tapa Cont Aluminio 16 Onz </v>
          </cell>
          <cell r="E84" t="str">
            <v>Unidades</v>
          </cell>
        </row>
        <row r="85">
          <cell r="A85" t="str">
            <v>1952410</v>
          </cell>
          <cell r="B85" t="str">
            <v>TAPA CONTE.ALUMI A-42 (CAJA:500)</v>
          </cell>
          <cell r="C85" t="str">
            <v>EM10097</v>
          </cell>
          <cell r="D85" t="str">
            <v xml:space="preserve">Tapa Conte.Alumi A-42 </v>
          </cell>
          <cell r="E85" t="str">
            <v>Unidades</v>
          </cell>
        </row>
        <row r="86">
          <cell r="A86" t="str">
            <v>1950409</v>
          </cell>
          <cell r="B86" t="str">
            <v>TAPA P/FONDO CAJA BLANCA (PAQ:100 UND)</v>
          </cell>
          <cell r="C86" t="str">
            <v>EM10098</v>
          </cell>
          <cell r="D86" t="str">
            <v>Tapa P/Fondo Caja Blanca</v>
          </cell>
          <cell r="E86" t="str">
            <v>Unidades</v>
          </cell>
        </row>
        <row r="87">
          <cell r="A87" t="str">
            <v>51600027</v>
          </cell>
          <cell r="B87" t="str">
            <v>TAPA TRANSPARENT 10X7.5X1.5 (PAQ:50 UND)</v>
          </cell>
          <cell r="C87" t="str">
            <v>EM10101</v>
          </cell>
          <cell r="D87" t="str">
            <v>Tapa Transparent 10X7.5X1.5</v>
          </cell>
          <cell r="E87" t="str">
            <v>Unidades</v>
          </cell>
        </row>
        <row r="88">
          <cell r="A88" t="str">
            <v>51500039</v>
          </cell>
          <cell r="B88" t="str">
            <v xml:space="preserve">VASO 300 ML (PAQ:100 UND) </v>
          </cell>
          <cell r="C88" t="str">
            <v>EM10103</v>
          </cell>
          <cell r="D88" t="str">
            <v xml:space="preserve">Vaso 300 Ml </v>
          </cell>
          <cell r="E88" t="str">
            <v>Unidades</v>
          </cell>
        </row>
        <row r="89">
          <cell r="A89" t="str">
            <v>51500040</v>
          </cell>
          <cell r="B89" t="str">
            <v>VASO 500 ML (PAQ:100 UND)</v>
          </cell>
          <cell r="C89" t="str">
            <v>EM10104</v>
          </cell>
          <cell r="D89" t="str">
            <v xml:space="preserve">Vaso 500 Ml </v>
          </cell>
          <cell r="E89" t="str">
            <v>Unidades</v>
          </cell>
        </row>
        <row r="90">
          <cell r="A90" t="str">
            <v>1950853</v>
          </cell>
          <cell r="B90" t="str">
            <v>VASO 9oz SUNDA TS9 PAQ:50(CAJA:1000 UND)</v>
          </cell>
          <cell r="C90" t="str">
            <v>EM10105</v>
          </cell>
          <cell r="D90" t="str">
            <v xml:space="preserve">Vaso 9Oz Sunda Ts9 </v>
          </cell>
          <cell r="E90" t="str">
            <v>Unidades</v>
          </cell>
        </row>
        <row r="91">
          <cell r="A91" t="str">
            <v>51500012</v>
          </cell>
          <cell r="B91" t="str">
            <v>VASO BIODEGRADABLE 12 ONZ (PAQ:25 UND)</v>
          </cell>
          <cell r="C91" t="str">
            <v>EM10106</v>
          </cell>
          <cell r="D91" t="str">
            <v xml:space="preserve">Vaso Biodegradable 12 Onz </v>
          </cell>
          <cell r="E91" t="str">
            <v>Unidades</v>
          </cell>
        </row>
        <row r="92">
          <cell r="A92" t="str">
            <v>51500014</v>
          </cell>
          <cell r="B92" t="str">
            <v>VASO BIODEGRADABLE 8 onz (PAQ:25 UND)</v>
          </cell>
          <cell r="C92" t="str">
            <v>EM10107</v>
          </cell>
          <cell r="D92" t="str">
            <v xml:space="preserve">Vaso Biodegradable 8 Onz </v>
          </cell>
          <cell r="E92" t="str">
            <v>Unidades</v>
          </cell>
        </row>
        <row r="93">
          <cell r="A93" t="str">
            <v>1950797</v>
          </cell>
          <cell r="B93" t="str">
            <v>VASO PLAST. TRASL 16OZ (PAQ:50 UND)</v>
          </cell>
          <cell r="C93" t="str">
            <v>EM10108</v>
          </cell>
          <cell r="D93" t="str">
            <v>Vaso Plast. Trasl 16Oz</v>
          </cell>
          <cell r="E93" t="str">
            <v>Unidades</v>
          </cell>
        </row>
        <row r="94">
          <cell r="A94" t="str">
            <v>0702058</v>
          </cell>
          <cell r="B94" t="str">
            <v>STICKER REDONDO ROJO</v>
          </cell>
          <cell r="C94" t="str">
            <v>EM10109</v>
          </cell>
          <cell r="D94" t="str">
            <v>Sticker Redondo Rojo</v>
          </cell>
          <cell r="E94" t="str">
            <v>Unidades</v>
          </cell>
        </row>
        <row r="95">
          <cell r="A95" t="str">
            <v>0702060</v>
          </cell>
          <cell r="B95" t="str">
            <v>STICKER REDONDO VERDE</v>
          </cell>
          <cell r="C95" t="str">
            <v>EM10110</v>
          </cell>
          <cell r="D95" t="str">
            <v>Sticker Redondo Verde</v>
          </cell>
          <cell r="E95" t="str">
            <v>Unidades</v>
          </cell>
        </row>
        <row r="96">
          <cell r="A96" t="str">
            <v>0702087</v>
          </cell>
          <cell r="B96" t="str">
            <v>ET.  BUCCA DULCE (UND)</v>
          </cell>
          <cell r="C96" t="str">
            <v>EM10111</v>
          </cell>
          <cell r="D96" t="str">
            <v xml:space="preserve">Et.  Bucca Dulce </v>
          </cell>
          <cell r="E96" t="str">
            <v>Unidades</v>
          </cell>
        </row>
        <row r="97">
          <cell r="A97" t="str">
            <v>2172411</v>
          </cell>
          <cell r="B97" t="str">
            <v>ET. TORTA BUCCA GENERICA PEQUEÑA (UND)</v>
          </cell>
          <cell r="C97" t="str">
            <v>EM10112</v>
          </cell>
          <cell r="D97" t="str">
            <v>Et. Torta Bucca Generica Pequeña</v>
          </cell>
          <cell r="E97" t="str">
            <v>Unidades</v>
          </cell>
        </row>
        <row r="98">
          <cell r="A98" t="str">
            <v>60100024</v>
          </cell>
          <cell r="B98" t="str">
            <v>ETIQ CIRCULO APP SPOONERS CARD (UND)</v>
          </cell>
          <cell r="C98" t="str">
            <v>EM10113</v>
          </cell>
          <cell r="D98" t="str">
            <v xml:space="preserve">Etiq Circulo App Spooners Card </v>
          </cell>
          <cell r="E98" t="str">
            <v>Unidades</v>
          </cell>
        </row>
        <row r="99">
          <cell r="A99" t="str">
            <v>60100040</v>
          </cell>
          <cell r="B99" t="str">
            <v>ETIQ LLEVAME CON VOS NEGRO (ROLLO:1000)</v>
          </cell>
          <cell r="C99" t="str">
            <v>EM10114</v>
          </cell>
          <cell r="D99" t="str">
            <v>Etiq Llevame Con Vos Negro</v>
          </cell>
          <cell r="E99" t="str">
            <v>Unidades</v>
          </cell>
        </row>
        <row r="100">
          <cell r="A100" t="str">
            <v>60100039</v>
          </cell>
          <cell r="B100" t="str">
            <v>ETIQ LLEVAME CON VOS ROJO (ROLLO:1000)</v>
          </cell>
          <cell r="C100" t="str">
            <v>EM10115</v>
          </cell>
          <cell r="D100" t="str">
            <v>Etiq Llevame Con Vos Rojo</v>
          </cell>
          <cell r="E100" t="str">
            <v>Unidades</v>
          </cell>
        </row>
        <row r="101">
          <cell r="A101" t="str">
            <v>60100038</v>
          </cell>
          <cell r="B101" t="str">
            <v>ETIQ LLEVAME CON VOS VERDE (ROLLO:1000)</v>
          </cell>
          <cell r="C101" t="str">
            <v>EM10116</v>
          </cell>
          <cell r="D101" t="str">
            <v xml:space="preserve">Etiq Llevame Con Vos Verde </v>
          </cell>
          <cell r="E101" t="str">
            <v>Unidades</v>
          </cell>
        </row>
        <row r="102">
          <cell r="A102" t="str">
            <v>0702030</v>
          </cell>
          <cell r="B102" t="str">
            <v>ETIQ PRODUCCION BLANCO (1000 X ROLLO)</v>
          </cell>
          <cell r="C102" t="str">
            <v>EM10117</v>
          </cell>
          <cell r="D102" t="str">
            <v xml:space="preserve">Etiq Produccion Blanco </v>
          </cell>
          <cell r="E102" t="str">
            <v>Unidades</v>
          </cell>
        </row>
        <row r="103">
          <cell r="A103" t="str">
            <v>60100011</v>
          </cell>
          <cell r="B103" t="str">
            <v>ETIQ TORTA GENERICA BUCCA GRANDE (UND)</v>
          </cell>
          <cell r="C103" t="str">
            <v>EM10118</v>
          </cell>
          <cell r="D103" t="str">
            <v xml:space="preserve">Etiq Torta Generica Bucca Grande </v>
          </cell>
          <cell r="E103" t="str">
            <v>Unidades</v>
          </cell>
        </row>
        <row r="104">
          <cell r="A104" t="str">
            <v>0702077</v>
          </cell>
          <cell r="B104" t="str">
            <v>ETIQ. GENERICA PEQUEÑA V-274 (UND)</v>
          </cell>
          <cell r="C104" t="str">
            <v>EM10119</v>
          </cell>
          <cell r="D104" t="str">
            <v xml:space="preserve">Etiq. Generica Pequeña V-274 </v>
          </cell>
          <cell r="E104" t="str">
            <v>Unidades</v>
          </cell>
        </row>
        <row r="105">
          <cell r="A105" t="str">
            <v>0702067</v>
          </cell>
          <cell r="B105" t="str">
            <v>ETIQ.BLANCA 1 13/16 * 1 7/8 (UND)</v>
          </cell>
          <cell r="C105" t="str">
            <v>EM10120</v>
          </cell>
          <cell r="D105" t="str">
            <v>Etiq.Blanca 1 13/16 * 1 7/8</v>
          </cell>
          <cell r="E105" t="str">
            <v>Unidades</v>
          </cell>
        </row>
        <row r="106">
          <cell r="A106" t="str">
            <v>0702008</v>
          </cell>
          <cell r="B106" t="str">
            <v>ETIQ.FECHA VENCIMIENTO CELESTE (ROLLO)</v>
          </cell>
          <cell r="C106" t="str">
            <v>EM10121</v>
          </cell>
          <cell r="D106" t="str">
            <v xml:space="preserve">Etiq.Fecha Vencimiento Celeste </v>
          </cell>
          <cell r="E106" t="str">
            <v>Unidades</v>
          </cell>
        </row>
        <row r="107">
          <cell r="A107" t="str">
            <v>0702010</v>
          </cell>
          <cell r="B107" t="str">
            <v>ETIQ.FECHA VENCIMIENTO ROJO (ROLLO)</v>
          </cell>
          <cell r="C107" t="str">
            <v>EM10122</v>
          </cell>
          <cell r="D107" t="str">
            <v>Etiq.Fecha Vencimiento Rojo</v>
          </cell>
          <cell r="E107" t="str">
            <v>Unidades</v>
          </cell>
        </row>
        <row r="108">
          <cell r="A108" t="str">
            <v>0702011</v>
          </cell>
          <cell r="B108" t="str">
            <v>ETIQ.FECHA VENCIMIENTO ROSADO (ROLLO)</v>
          </cell>
          <cell r="C108" t="str">
            <v>EM10123</v>
          </cell>
          <cell r="D108" t="str">
            <v xml:space="preserve">Etiq.Fecha Vencimiento Rosado </v>
          </cell>
          <cell r="E108" t="str">
            <v>Unidades</v>
          </cell>
        </row>
        <row r="109">
          <cell r="A109" t="str">
            <v>701096</v>
          </cell>
          <cell r="B109" t="str">
            <v>ETIQUETA BLANCA R-153 (UND)</v>
          </cell>
          <cell r="C109" t="str">
            <v>EM10124</v>
          </cell>
          <cell r="D109" t="str">
            <v xml:space="preserve">Etiqueta Blanca R-153 </v>
          </cell>
          <cell r="E109" t="str">
            <v>Unidades</v>
          </cell>
        </row>
        <row r="110">
          <cell r="A110" t="str">
            <v>0702155</v>
          </cell>
          <cell r="B110" t="str">
            <v>ETIQUETA BLANCA VENCE (ROLLO:1000 UND)</v>
          </cell>
          <cell r="C110" t="str">
            <v>EM10125</v>
          </cell>
          <cell r="D110" t="str">
            <v>Etiqueta Blanca Vencimiento</v>
          </cell>
          <cell r="E110" t="str">
            <v>Unidades</v>
          </cell>
        </row>
        <row r="111">
          <cell r="A111" t="str">
            <v>60100062</v>
          </cell>
          <cell r="B111" t="str">
            <v>ETIQUETA GALLETA MEDIA LUNA DARK ( UND)</v>
          </cell>
          <cell r="C111" t="str">
            <v>EM10126</v>
          </cell>
          <cell r="D111" t="str">
            <v xml:space="preserve">Etiqueta Galleta Media Luna Dark </v>
          </cell>
          <cell r="E111" t="str">
            <v>Unidades</v>
          </cell>
        </row>
        <row r="112">
          <cell r="A112" t="str">
            <v>60100063</v>
          </cell>
          <cell r="B112" t="str">
            <v>ETIQUETA GALLETA MEDIA LUNA MILK ( UND)</v>
          </cell>
          <cell r="C112" t="str">
            <v>EM10127</v>
          </cell>
          <cell r="D112" t="str">
            <v xml:space="preserve">Etiqueta Galleta Media Luna Milk </v>
          </cell>
          <cell r="E112" t="str">
            <v>Unidades</v>
          </cell>
        </row>
        <row r="113">
          <cell r="A113" t="str">
            <v>60100001</v>
          </cell>
          <cell r="B113" t="str">
            <v>ETIQUETA LOGO MUSMANNI (UND)</v>
          </cell>
          <cell r="C113" t="str">
            <v>EM10128</v>
          </cell>
          <cell r="D113" t="str">
            <v>Etiqueta Logo Musmanni</v>
          </cell>
          <cell r="E113" t="str">
            <v>Unidades</v>
          </cell>
        </row>
        <row r="114">
          <cell r="A114" t="str">
            <v>60100056</v>
          </cell>
          <cell r="B114" t="str">
            <v>ETIQUETA NUMEROS ( ROLLO: 1000 UND)</v>
          </cell>
          <cell r="C114" t="str">
            <v>EM10129</v>
          </cell>
          <cell r="D114" t="str">
            <v xml:space="preserve">Etiqueta Numeros </v>
          </cell>
          <cell r="E114" t="str">
            <v>Unidades</v>
          </cell>
        </row>
        <row r="115">
          <cell r="A115" t="str">
            <v>60100079</v>
          </cell>
          <cell r="B115" t="str">
            <v>ETIQUETA POLVORONES ( UND)</v>
          </cell>
          <cell r="C115" t="str">
            <v>EM10130</v>
          </cell>
          <cell r="D115" t="str">
            <v>Etiqueta Polvorones ( Und)</v>
          </cell>
          <cell r="E115" t="str">
            <v>Unidades</v>
          </cell>
        </row>
        <row r="116">
          <cell r="A116" t="str">
            <v>0702041</v>
          </cell>
          <cell r="B116" t="str">
            <v>ETIQUETA QQ GRAND  V-272 CHOCOFRESA(UND)</v>
          </cell>
          <cell r="C116" t="str">
            <v>EM10131</v>
          </cell>
          <cell r="D116" t="str">
            <v>Etiqueta Qq Grand  V-272 Chocofresa</v>
          </cell>
          <cell r="E116" t="str">
            <v>Unidades</v>
          </cell>
        </row>
        <row r="117">
          <cell r="A117" t="str">
            <v>0702039</v>
          </cell>
          <cell r="B117" t="str">
            <v>ETIQUETA QQ GRANDE V-272 CHOCOLATE (UND)</v>
          </cell>
          <cell r="C117" t="str">
            <v>EM10132</v>
          </cell>
          <cell r="D117" t="str">
            <v>Etiqueta Qq Grande V-272 Chocolate</v>
          </cell>
          <cell r="E117" t="str">
            <v>Unidades</v>
          </cell>
        </row>
        <row r="118">
          <cell r="A118" t="str">
            <v>60100010</v>
          </cell>
          <cell r="B118" t="str">
            <v>ETIQUETA ROJA LETRA ALERJENO (UND)</v>
          </cell>
          <cell r="C118" t="str">
            <v>EM10133</v>
          </cell>
          <cell r="D118" t="str">
            <v xml:space="preserve">Etiqueta Roja Letra Alerjeno </v>
          </cell>
          <cell r="E118" t="str">
            <v>Unidades</v>
          </cell>
        </row>
        <row r="119">
          <cell r="A119" t="str">
            <v>60100046</v>
          </cell>
          <cell r="B119" t="str">
            <v>ETIQUETA ROMPOPE (UND)</v>
          </cell>
          <cell r="C119" t="str">
            <v>EM10134</v>
          </cell>
          <cell r="D119" t="str">
            <v xml:space="preserve">Etiqueta Rompope </v>
          </cell>
          <cell r="E119" t="str">
            <v>Unidades</v>
          </cell>
        </row>
        <row r="120">
          <cell r="A120" t="str">
            <v>702174</v>
          </cell>
          <cell r="B120" t="str">
            <v>ETIQUETA SELLO SEGURIDAD (ROLLO:1000)</v>
          </cell>
          <cell r="C120" t="str">
            <v>EM10135</v>
          </cell>
          <cell r="D120" t="str">
            <v xml:space="preserve">Etiqueta Sello Seguridad </v>
          </cell>
          <cell r="E120" t="str">
            <v>Unidades</v>
          </cell>
        </row>
        <row r="121">
          <cell r="A121" t="str">
            <v>60100007</v>
          </cell>
          <cell r="B121" t="str">
            <v>ETiQUETA BLANCA  R-17 (UND)</v>
          </cell>
          <cell r="C121" t="str">
            <v>EM10136</v>
          </cell>
          <cell r="D121" t="str">
            <v xml:space="preserve">Etiqueta Blanca  R-17 </v>
          </cell>
          <cell r="E121" t="str">
            <v>Unidades</v>
          </cell>
        </row>
        <row r="122">
          <cell r="A122" t="str">
            <v>60100026</v>
          </cell>
          <cell r="B122" t="str">
            <v>LOGO OVALADO SPOON GRANDE (ROLLO:1000 U)</v>
          </cell>
          <cell r="C122" t="str">
            <v>EM10137</v>
          </cell>
          <cell r="D122" t="str">
            <v xml:space="preserve">Logo Ovalado Spoon Grande </v>
          </cell>
          <cell r="E122" t="str">
            <v>Unidades</v>
          </cell>
        </row>
        <row r="123">
          <cell r="A123" t="str">
            <v>60100027</v>
          </cell>
          <cell r="B123" t="str">
            <v>LOGO OVALADO SPOON PEQ  (ROLLO:1000 U)</v>
          </cell>
          <cell r="C123" t="str">
            <v>EM10138</v>
          </cell>
          <cell r="D123" t="str">
            <v xml:space="preserve">Logo Ovalado Spoon Peq  </v>
          </cell>
          <cell r="E123" t="str">
            <v>Unidades</v>
          </cell>
        </row>
        <row r="124">
          <cell r="A124" t="str">
            <v>51600022</v>
          </cell>
          <cell r="B124" t="str">
            <v>ROLLO SELLO SEGURIDAD ROJO (1000 UND)</v>
          </cell>
          <cell r="C124" t="str">
            <v>EM10139</v>
          </cell>
          <cell r="D124" t="str">
            <v>Rollo Sello Seguridad Rojo</v>
          </cell>
          <cell r="E124" t="str">
            <v>Unidades</v>
          </cell>
        </row>
        <row r="125">
          <cell r="A125" t="str">
            <v>0702053</v>
          </cell>
          <cell r="B125" t="str">
            <v>STICKER REDONDO AMARILLO (ROLLO)</v>
          </cell>
          <cell r="C125" t="str">
            <v>EM10141</v>
          </cell>
          <cell r="D125" t="str">
            <v>Sticker Redondo Amarillo</v>
          </cell>
          <cell r="E125" t="str">
            <v>Unidades</v>
          </cell>
        </row>
        <row r="126">
          <cell r="A126" t="str">
            <v>0702054</v>
          </cell>
          <cell r="B126" t="str">
            <v>STICKER REDONDO BLANCO</v>
          </cell>
          <cell r="C126" t="str">
            <v>EM10142</v>
          </cell>
          <cell r="D126" t="str">
            <v>Sticker Redondo Blanco</v>
          </cell>
          <cell r="E126" t="str">
            <v>Unidades</v>
          </cell>
        </row>
        <row r="127">
          <cell r="A127" t="str">
            <v>0702119</v>
          </cell>
          <cell r="B127" t="str">
            <v>STICKER REDONDO CAFE (ROLLO)</v>
          </cell>
          <cell r="C127" t="str">
            <v>EM10143</v>
          </cell>
          <cell r="D127" t="str">
            <v xml:space="preserve">Sticker Redondo Cafe </v>
          </cell>
          <cell r="E127" t="str">
            <v>Unidades</v>
          </cell>
        </row>
        <row r="128">
          <cell r="A128" t="str">
            <v>0702056</v>
          </cell>
          <cell r="B128" t="str">
            <v>STICKER REDONDO CELESTE (ROLLO)</v>
          </cell>
          <cell r="C128" t="str">
            <v>EM10144</v>
          </cell>
          <cell r="D128" t="str">
            <v>Sticker Redondo Celeste</v>
          </cell>
          <cell r="E128" t="str">
            <v>Unidades</v>
          </cell>
        </row>
        <row r="129">
          <cell r="A129" t="str">
            <v>0702057</v>
          </cell>
          <cell r="B129" t="str">
            <v>STICKER REDONDO NARANJA (ROLLO)</v>
          </cell>
          <cell r="C129" t="str">
            <v>EM10145</v>
          </cell>
          <cell r="D129" t="str">
            <v xml:space="preserve">Sticker Redondo Naranja </v>
          </cell>
          <cell r="E129" t="str">
            <v>Unidades</v>
          </cell>
        </row>
        <row r="130">
          <cell r="A130" t="str">
            <v>0702059</v>
          </cell>
          <cell r="B130" t="str">
            <v>STICKER REDONDO ROSADO (ROLLO)</v>
          </cell>
          <cell r="C130" t="str">
            <v>EM10146</v>
          </cell>
          <cell r="D130" t="str">
            <v>Sticker Redondo Rosado</v>
          </cell>
          <cell r="E130" t="str">
            <v>Unidades</v>
          </cell>
        </row>
        <row r="131">
          <cell r="A131" t="str">
            <v>60100055</v>
          </cell>
          <cell r="B131" t="str">
            <v>STICKER TORTA KAHLUA (ROLLO: 1000 UND)</v>
          </cell>
          <cell r="C131" t="str">
            <v>EM10147</v>
          </cell>
          <cell r="D131" t="str">
            <v>Sticker Torta Kahlua</v>
          </cell>
          <cell r="E131" t="str">
            <v>Unidades</v>
          </cell>
        </row>
        <row r="132">
          <cell r="A132" t="e">
            <v>#N/A</v>
          </cell>
          <cell r="B132" t="e">
            <v>#N/A</v>
          </cell>
          <cell r="C132" t="str">
            <v>EM10148</v>
          </cell>
          <cell r="D132" t="str">
            <v xml:space="preserve">Bandeja Fibra 2 Divisiones </v>
          </cell>
          <cell r="E132" t="str">
            <v>Unidades</v>
          </cell>
        </row>
        <row r="133">
          <cell r="A133" t="str">
            <v>51400026</v>
          </cell>
          <cell r="B133" t="str">
            <v>Bandeja fibra 3  divisiones</v>
          </cell>
          <cell r="C133" t="str">
            <v>EM10149</v>
          </cell>
          <cell r="D133" t="str">
            <v xml:space="preserve">Bandeja Fibra 3 Divisiones </v>
          </cell>
          <cell r="E133" t="str">
            <v>Unidades</v>
          </cell>
        </row>
        <row r="134">
          <cell r="A134" t="e">
            <v>#N/A</v>
          </cell>
          <cell r="B134" t="e">
            <v>#N/A</v>
          </cell>
          <cell r="C134" t="str">
            <v>EM10150</v>
          </cell>
          <cell r="D134" t="str">
            <v>Bowl Fibra 16 Onz Compostable</v>
          </cell>
          <cell r="E134" t="str">
            <v>Unidades</v>
          </cell>
        </row>
        <row r="135">
          <cell r="A135" t="e">
            <v>#N/A</v>
          </cell>
          <cell r="B135" t="e">
            <v>#N/A</v>
          </cell>
          <cell r="C135" t="str">
            <v>EM10151</v>
          </cell>
          <cell r="D135" t="str">
            <v>Bowl Fibra 24 Onz Compostable</v>
          </cell>
          <cell r="E135" t="str">
            <v>Unidades</v>
          </cell>
        </row>
        <row r="136">
          <cell r="A136" t="e">
            <v>#N/A</v>
          </cell>
          <cell r="B136" t="e">
            <v>#N/A</v>
          </cell>
          <cell r="C136" t="str">
            <v>EM10152</v>
          </cell>
          <cell r="D136" t="str">
            <v>Bowl Fibra 32 Onz Compostable</v>
          </cell>
          <cell r="E136" t="str">
            <v>Unidades</v>
          </cell>
        </row>
        <row r="137">
          <cell r="A137" t="e">
            <v>#N/A</v>
          </cell>
          <cell r="B137" t="e">
            <v>#N/A</v>
          </cell>
          <cell r="C137" t="str">
            <v>EM10153</v>
          </cell>
          <cell r="D137" t="str">
            <v xml:space="preserve">Bowl Fibra Sopa 12 Onz </v>
          </cell>
          <cell r="E137" t="str">
            <v>Unidades</v>
          </cell>
        </row>
        <row r="138">
          <cell r="A138" t="e">
            <v>#N/A</v>
          </cell>
          <cell r="B138" t="e">
            <v>#N/A</v>
          </cell>
          <cell r="C138" t="str">
            <v>EM10154</v>
          </cell>
          <cell r="D138" t="str">
            <v xml:space="preserve">Bowl Fibra Sopa 16 Onz </v>
          </cell>
          <cell r="E138" t="str">
            <v>Unidades</v>
          </cell>
        </row>
        <row r="139">
          <cell r="A139" t="e">
            <v>#N/A</v>
          </cell>
          <cell r="B139" t="e">
            <v>#N/A</v>
          </cell>
          <cell r="C139" t="str">
            <v>EM10155</v>
          </cell>
          <cell r="D139" t="str">
            <v xml:space="preserve">Bowl Fibra Sopa 8 Onz </v>
          </cell>
          <cell r="E139" t="str">
            <v>Unidades</v>
          </cell>
        </row>
        <row r="140">
          <cell r="A140" t="e">
            <v>#N/A</v>
          </cell>
          <cell r="B140" t="e">
            <v>#N/A</v>
          </cell>
          <cell r="C140" t="str">
            <v>EM10156</v>
          </cell>
          <cell r="D140" t="str">
            <v xml:space="preserve">Caja Pequeña Office Break </v>
          </cell>
          <cell r="E140" t="str">
            <v>Unidades</v>
          </cell>
        </row>
        <row r="141">
          <cell r="A141" t="e">
            <v>#N/A</v>
          </cell>
          <cell r="B141" t="e">
            <v>#N/A</v>
          </cell>
          <cell r="C141" t="str">
            <v>EM10157</v>
          </cell>
          <cell r="D141" t="str">
            <v xml:space="preserve">Caja Porcion Office Break </v>
          </cell>
          <cell r="E141" t="str">
            <v>Unidades</v>
          </cell>
        </row>
        <row r="142">
          <cell r="A142" t="e">
            <v>#N/A</v>
          </cell>
          <cell r="B142" t="e">
            <v>#N/A</v>
          </cell>
          <cell r="C142" t="str">
            <v>EM10158</v>
          </cell>
          <cell r="D142" t="str">
            <v>Caja Spoon #1 (Industria)</v>
          </cell>
          <cell r="E142" t="str">
            <v>Unidades</v>
          </cell>
        </row>
        <row r="143">
          <cell r="A143" t="str">
            <v>50100051</v>
          </cell>
          <cell r="B143" t="str">
            <v>CONTENEDOR SUFLE 1 OZ (PAQ: 250 UND)</v>
          </cell>
          <cell r="C143" t="str">
            <v>EM10162</v>
          </cell>
          <cell r="D143" t="str">
            <v xml:space="preserve">Contenedor Sufle 1 Oz </v>
          </cell>
          <cell r="E143" t="str">
            <v>Unidades</v>
          </cell>
        </row>
        <row r="144">
          <cell r="A144" t="e">
            <v>#N/A</v>
          </cell>
          <cell r="B144" t="e">
            <v>#N/A</v>
          </cell>
          <cell r="C144" t="str">
            <v>EM10163</v>
          </cell>
          <cell r="D144" t="str">
            <v xml:space="preserve">Contenedor Sufle 2 Oz </v>
          </cell>
          <cell r="E144" t="str">
            <v>Unidades</v>
          </cell>
        </row>
        <row r="145">
          <cell r="A145" t="e">
            <v>#N/A</v>
          </cell>
          <cell r="B145" t="e">
            <v>#N/A</v>
          </cell>
          <cell r="C145" t="str">
            <v>EM10164</v>
          </cell>
          <cell r="D145" t="str">
            <v xml:space="preserve">Pajilla 19 Cm Trasparente </v>
          </cell>
          <cell r="E145" t="str">
            <v>Unidades</v>
          </cell>
        </row>
        <row r="146">
          <cell r="A146" t="e">
            <v>#N/A</v>
          </cell>
          <cell r="B146" t="e">
            <v>#N/A</v>
          </cell>
          <cell r="C146" t="str">
            <v>EM10165</v>
          </cell>
          <cell r="D146" t="str">
            <v xml:space="preserve">Papel Aluminio 12 * 1000 </v>
          </cell>
          <cell r="E146" t="str">
            <v>Centimetos</v>
          </cell>
        </row>
        <row r="147">
          <cell r="A147" t="e">
            <v>#N/A</v>
          </cell>
          <cell r="B147" t="e">
            <v>#N/A</v>
          </cell>
          <cell r="C147" t="str">
            <v>EM10166</v>
          </cell>
          <cell r="D147" t="str">
            <v xml:space="preserve">Plato N° 6 Bagazo Caña </v>
          </cell>
          <cell r="E147" t="str">
            <v>Unidades</v>
          </cell>
        </row>
        <row r="148">
          <cell r="A148" t="e">
            <v>#N/A</v>
          </cell>
          <cell r="B148" t="e">
            <v>#N/A</v>
          </cell>
          <cell r="C148" t="str">
            <v>EM10167</v>
          </cell>
          <cell r="D148" t="str">
            <v xml:space="preserve">Plato N° 9 Bagazo Caña </v>
          </cell>
          <cell r="E148" t="str">
            <v>Unidades</v>
          </cell>
        </row>
        <row r="149">
          <cell r="A149" t="e">
            <v>#N/A</v>
          </cell>
          <cell r="B149" t="e">
            <v>#N/A</v>
          </cell>
          <cell r="C149" t="str">
            <v>EM10168</v>
          </cell>
          <cell r="D149" t="str">
            <v xml:space="preserve">Porta Cubiertos Papel Rojo </v>
          </cell>
          <cell r="E149" t="str">
            <v>Unidades</v>
          </cell>
        </row>
        <row r="150">
          <cell r="A150" t="e">
            <v>#N/A</v>
          </cell>
          <cell r="B150" t="e">
            <v>#N/A</v>
          </cell>
          <cell r="C150" t="str">
            <v>EM10169</v>
          </cell>
          <cell r="D150" t="str">
            <v>Porta Vaso 4 Cavidades (Und)</v>
          </cell>
          <cell r="E150" t="str">
            <v>Unidades</v>
          </cell>
        </row>
        <row r="151">
          <cell r="A151" t="e">
            <v>#N/A</v>
          </cell>
          <cell r="B151" t="e">
            <v>#N/A</v>
          </cell>
          <cell r="C151" t="str">
            <v>EM10170</v>
          </cell>
          <cell r="D151" t="str">
            <v>Tapa  Bowl 16/24/32 Onz</v>
          </cell>
          <cell r="E151" t="str">
            <v>Unidades</v>
          </cell>
        </row>
        <row r="152">
          <cell r="A152" t="e">
            <v>#N/A</v>
          </cell>
          <cell r="B152" t="e">
            <v>#N/A</v>
          </cell>
          <cell r="C152" t="str">
            <v>EM10172</v>
          </cell>
          <cell r="D152" t="str">
            <v xml:space="preserve">Tapa Bowl Sopa 12/16/32 Onz </v>
          </cell>
          <cell r="E152" t="str">
            <v>Unidades</v>
          </cell>
        </row>
        <row r="153">
          <cell r="A153" t="e">
            <v>#N/A</v>
          </cell>
          <cell r="B153" t="e">
            <v>#N/A</v>
          </cell>
          <cell r="C153" t="str">
            <v>EM10173</v>
          </cell>
          <cell r="D153" t="str">
            <v xml:space="preserve">Tapa Bowl Sopa 8 Onz </v>
          </cell>
          <cell r="E153" t="str">
            <v>Unidades</v>
          </cell>
        </row>
        <row r="154">
          <cell r="A154" t="str">
            <v>50100052</v>
          </cell>
          <cell r="B154" t="str">
            <v>TAPA CONTENEDOR SUFLE 1OZ (PAQ: 100 UND)</v>
          </cell>
          <cell r="C154" t="str">
            <v>EM10175</v>
          </cell>
          <cell r="D154" t="str">
            <v xml:space="preserve">Tapa Contenedor Sufle 1Oz </v>
          </cell>
          <cell r="E154" t="str">
            <v>Unidades</v>
          </cell>
        </row>
        <row r="155">
          <cell r="A155" t="str">
            <v>50100053</v>
          </cell>
          <cell r="B155" t="str">
            <v>TAPA CONTENEDOR SUFLE 2OZ (PAQ: 125 UND)</v>
          </cell>
          <cell r="C155" t="str">
            <v>EM10176</v>
          </cell>
          <cell r="D155" t="str">
            <v xml:space="preserve">Tapa Contenedor Sufle 2Oz </v>
          </cell>
          <cell r="E155" t="str">
            <v>Unidades</v>
          </cell>
        </row>
        <row r="156">
          <cell r="A156" t="e">
            <v>#N/A</v>
          </cell>
          <cell r="B156" t="e">
            <v>#N/A</v>
          </cell>
          <cell r="C156" t="str">
            <v>EM10177</v>
          </cell>
          <cell r="D156" t="str">
            <v>Tapa Domo P/Vaso Trasl 16Onz</v>
          </cell>
          <cell r="E156" t="str">
            <v>Unidades</v>
          </cell>
        </row>
        <row r="157">
          <cell r="A157" t="e">
            <v>#N/A</v>
          </cell>
          <cell r="B157" t="e">
            <v>#N/A</v>
          </cell>
          <cell r="C157" t="str">
            <v>EM10178</v>
          </cell>
          <cell r="D157" t="str">
            <v>Tapa Fibra Bandeja 2 Divisiones</v>
          </cell>
          <cell r="E157" t="str">
            <v>Unidades</v>
          </cell>
        </row>
        <row r="158">
          <cell r="A158" t="e">
            <v>#N/A</v>
          </cell>
          <cell r="B158" t="e">
            <v>#N/A</v>
          </cell>
          <cell r="C158" t="str">
            <v>EM10179</v>
          </cell>
          <cell r="D158" t="str">
            <v>Tapa Fibra Bandeja 3 Divisiones</v>
          </cell>
          <cell r="E158" t="str">
            <v>Unidades</v>
          </cell>
        </row>
        <row r="159">
          <cell r="A159" t="e">
            <v>#N/A</v>
          </cell>
          <cell r="B159" t="e">
            <v>#N/A</v>
          </cell>
          <cell r="C159" t="str">
            <v>EM10180</v>
          </cell>
          <cell r="D159" t="str">
            <v xml:space="preserve">Tapa Plast Sufle 3.25 Onz </v>
          </cell>
          <cell r="E159" t="str">
            <v>Unidades</v>
          </cell>
        </row>
        <row r="160">
          <cell r="A160" t="str">
            <v>1950854</v>
          </cell>
          <cell r="B160" t="e">
            <v>#N/A</v>
          </cell>
          <cell r="C160" t="str">
            <v>EM10181</v>
          </cell>
          <cell r="D160" t="str">
            <v xml:space="preserve">Tapa Vaso Sundae 9Oz </v>
          </cell>
          <cell r="E160" t="str">
            <v>Unidades</v>
          </cell>
        </row>
        <row r="161">
          <cell r="A161" t="e">
            <v>#N/A</v>
          </cell>
          <cell r="B161" t="e">
            <v>#N/A</v>
          </cell>
          <cell r="C161" t="str">
            <v>EM10182</v>
          </cell>
          <cell r="D161" t="str">
            <v xml:space="preserve">Tapa Vaso Biodegradable 8 Onz </v>
          </cell>
          <cell r="E161" t="str">
            <v>Unidades</v>
          </cell>
        </row>
        <row r="162">
          <cell r="A162" t="e">
            <v>#N/A</v>
          </cell>
          <cell r="B162" t="e">
            <v>#N/A</v>
          </cell>
          <cell r="C162" t="str">
            <v>EM10183</v>
          </cell>
          <cell r="D162" t="str">
            <v xml:space="preserve">Tapa Vaso Biodegrable 12,16 Onz </v>
          </cell>
          <cell r="E162" t="str">
            <v>Unidades</v>
          </cell>
        </row>
        <row r="163">
          <cell r="A163" t="str">
            <v>1952434</v>
          </cell>
          <cell r="B163" t="str">
            <v>CAJA SPOON #1 (20 UND) (INDUSTRIA)</v>
          </cell>
          <cell r="C163" t="str">
            <v>EM10184</v>
          </cell>
          <cell r="D163" t="str">
            <v>Caja Spoon #1 (Industria)</v>
          </cell>
          <cell r="E163" t="str">
            <v>Unidades</v>
          </cell>
        </row>
        <row r="164">
          <cell r="A164" t="str">
            <v>401000006</v>
          </cell>
          <cell r="B164" t="str">
            <v>BOLSA TRANSPARENTE 10X12X4 KILO</v>
          </cell>
          <cell r="C164" t="str">
            <v>EM10185</v>
          </cell>
          <cell r="D164" t="str">
            <v>Bolsa Transparente 10X12X4</v>
          </cell>
          <cell r="E164" t="str">
            <v>Gramos</v>
          </cell>
        </row>
        <row r="165">
          <cell r="A165" t="str">
            <v>50100044</v>
          </cell>
          <cell r="B165" t="str">
            <v>BANDEJA DELI PLASTICA(CAJA: 200 U)</v>
          </cell>
          <cell r="C165" t="str">
            <v>EM10186</v>
          </cell>
          <cell r="D165" t="str">
            <v>Bandeja Deli Plastica</v>
          </cell>
          <cell r="E165" t="str">
            <v>Unidades</v>
          </cell>
        </row>
        <row r="166">
          <cell r="A166" t="str">
            <v>1950725</v>
          </cell>
          <cell r="B166" t="str">
            <v>CAJA TROQUELADA # 25 (UND)</v>
          </cell>
          <cell r="C166" t="str">
            <v>EM10187</v>
          </cell>
          <cell r="D166" t="str">
            <v>Caja Troquelada # 25 (Und)</v>
          </cell>
          <cell r="E166" t="str">
            <v>Unidades</v>
          </cell>
        </row>
        <row r="167">
          <cell r="A167" t="str">
            <v>51000003</v>
          </cell>
          <cell r="B167" t="str">
            <v>ORLA 14.5" (UND)</v>
          </cell>
          <cell r="C167" t="str">
            <v>EM10188</v>
          </cell>
          <cell r="D167" t="str">
            <v xml:space="preserve">Orla 14.5" </v>
          </cell>
          <cell r="E167" t="str">
            <v>Unidades</v>
          </cell>
        </row>
        <row r="168">
          <cell r="A168" t="str">
            <v>510000013</v>
          </cell>
          <cell r="B168" t="str">
            <v>ORLA 13" C163 (UND)</v>
          </cell>
          <cell r="C168" t="str">
            <v>EM10189</v>
          </cell>
          <cell r="D168" t="str">
            <v xml:space="preserve">Orla 13" C163 </v>
          </cell>
          <cell r="E168" t="str">
            <v>Unidades</v>
          </cell>
        </row>
        <row r="169">
          <cell r="A169" t="str">
            <v>1952856</v>
          </cell>
          <cell r="B169" t="str">
            <v>BOLSA TRANSPARENTE 76X24X210 (KILO)</v>
          </cell>
          <cell r="C169" t="str">
            <v>EM10190</v>
          </cell>
          <cell r="D169" t="str">
            <v xml:space="preserve">Bolsa Transparente 76X24X210 </v>
          </cell>
          <cell r="E169" t="str">
            <v>Gramos</v>
          </cell>
        </row>
        <row r="170">
          <cell r="A170" t="str">
            <v>51600039</v>
          </cell>
          <cell r="B170" t="str">
            <v>BOLSA TRANSPARENTE 14 X 20 ( ROLLO )</v>
          </cell>
          <cell r="C170" t="str">
            <v>EM10228</v>
          </cell>
          <cell r="D170" t="str">
            <v xml:space="preserve">Bolsa Transparente 14 X 20 </v>
          </cell>
          <cell r="E170" t="str">
            <v>Unidades</v>
          </cell>
        </row>
        <row r="171">
          <cell r="A171" t="str">
            <v>51400041</v>
          </cell>
          <cell r="B171" t="str">
            <v>DOMO REDONDO 8 BAJA (CAJA:100 UND)</v>
          </cell>
          <cell r="C171" t="str">
            <v>EM10229</v>
          </cell>
          <cell r="D171" t="str">
            <v xml:space="preserve">Domo Redondo 8 Baja </v>
          </cell>
          <cell r="E171" t="str">
            <v>Unidades</v>
          </cell>
        </row>
        <row r="172">
          <cell r="A172" t="str">
            <v>60100093</v>
          </cell>
          <cell r="B172" t="str">
            <v>ETIQUETA QQ GRANDE CARAMELO (ROLLO: 250 UND)</v>
          </cell>
          <cell r="C172" t="str">
            <v>EM10230</v>
          </cell>
          <cell r="D172" t="str">
            <v xml:space="preserve">Etiqueta QQ Grande Caramelo </v>
          </cell>
          <cell r="E172" t="str">
            <v>Unidades</v>
          </cell>
        </row>
        <row r="173">
          <cell r="A173" t="str">
            <v>60100094</v>
          </cell>
          <cell r="B173" t="str">
            <v>ETIQUETA QQ GRANDE CHOCOFRESA (ROLLO: 250 UND)</v>
          </cell>
          <cell r="C173" t="str">
            <v>EM10231</v>
          </cell>
          <cell r="D173" t="str">
            <v xml:space="preserve">Etiqueta Qq Grande Chocofresa </v>
          </cell>
          <cell r="E173" t="str">
            <v>Unidades</v>
          </cell>
        </row>
        <row r="174">
          <cell r="A174" t="str">
            <v>60100095</v>
          </cell>
          <cell r="B174" t="str">
            <v>ETIQUETA QQ GRANDE CHOCOLATE (ROLLO: 250 UND)</v>
          </cell>
          <cell r="C174" t="str">
            <v>EM10232</v>
          </cell>
          <cell r="D174" t="str">
            <v xml:space="preserve">Etiqueta Qq Grande Chocolate </v>
          </cell>
          <cell r="E174" t="str">
            <v>Unidades</v>
          </cell>
        </row>
        <row r="175">
          <cell r="A175" t="str">
            <v>60100092</v>
          </cell>
          <cell r="B175" t="str">
            <v>ETIQUETA QQ GRANDE HIGO (ROLLO: 250 UND)</v>
          </cell>
          <cell r="C175" t="str">
            <v>EM10233</v>
          </cell>
          <cell r="D175" t="str">
            <v xml:space="preserve">Etiqueta Qq Grande Higo </v>
          </cell>
          <cell r="E175" t="str">
            <v>Unidades</v>
          </cell>
        </row>
        <row r="176">
          <cell r="A176" t="str">
            <v>60100091</v>
          </cell>
          <cell r="B176" t="str">
            <v>ETIQUETA QQ GRANDE PIE DE LIMON (ROLLO: 250 UND)</v>
          </cell>
          <cell r="C176" t="str">
            <v>EM10234</v>
          </cell>
          <cell r="D176" t="str">
            <v xml:space="preserve">Etiqueta Qq Grande Pie De Limon </v>
          </cell>
          <cell r="E176" t="str">
            <v>Unidades</v>
          </cell>
        </row>
        <row r="177">
          <cell r="A177" t="str">
            <v>60100090</v>
          </cell>
          <cell r="B177" t="str">
            <v>ETIQUETA QUEQUE GRANDE CHURCHILL (ROLLO: 250 UND)</v>
          </cell>
          <cell r="C177" t="str">
            <v>EM10235</v>
          </cell>
          <cell r="D177" t="str">
            <v>Etiqueta Queque Grande Churchill</v>
          </cell>
          <cell r="E177" t="str">
            <v>Unidades</v>
          </cell>
        </row>
        <row r="178">
          <cell r="A178" t="str">
            <v>60100097</v>
          </cell>
          <cell r="B178" t="str">
            <v>ETIQ. MEDIANA CARAMELO (ROLLO: 250 UND)</v>
          </cell>
          <cell r="C178" t="str">
            <v>EM10236</v>
          </cell>
          <cell r="D178" t="str">
            <v xml:space="preserve">Etiq. Mediana Caramelo </v>
          </cell>
          <cell r="E178" t="str">
            <v>Unidades</v>
          </cell>
        </row>
        <row r="179">
          <cell r="A179" t="str">
            <v>60100098</v>
          </cell>
          <cell r="B179" t="str">
            <v>ETIQ. MEDIANA CHOCOFRESA(ROLLO: 250 UND)</v>
          </cell>
          <cell r="C179" t="str">
            <v>EM10237</v>
          </cell>
          <cell r="D179" t="str">
            <v>Etiq. Mediana Chocofresa</v>
          </cell>
          <cell r="E179" t="str">
            <v>Unidades</v>
          </cell>
        </row>
        <row r="180">
          <cell r="A180" t="str">
            <v>60100099</v>
          </cell>
          <cell r="B180" t="str">
            <v>ETIQ. MEDIANA MELOCOTON (ROLLO: 250 UND)</v>
          </cell>
          <cell r="C180" t="str">
            <v>EM10238</v>
          </cell>
          <cell r="D180" t="str">
            <v>Etiq. Mediana Melocoton</v>
          </cell>
          <cell r="E180" t="str">
            <v>Unidades</v>
          </cell>
        </row>
        <row r="181">
          <cell r="A181" t="str">
            <v>60100100</v>
          </cell>
          <cell r="B181" t="str">
            <v>ETIQ. MEDIANA CHOCOLATE (ROLLO: 250 UND)</v>
          </cell>
          <cell r="C181" t="str">
            <v>EM10239</v>
          </cell>
          <cell r="D181" t="str">
            <v xml:space="preserve">Etiq. Mediana Chocolate </v>
          </cell>
          <cell r="E181" t="str">
            <v>Unidades</v>
          </cell>
        </row>
        <row r="182">
          <cell r="A182" t="str">
            <v>50100062</v>
          </cell>
          <cell r="B182" t="str">
            <v>CONTENEDOR PLAST KFC (CAJA: 500 UND)</v>
          </cell>
          <cell r="C182" t="str">
            <v>EM10240</v>
          </cell>
          <cell r="D182" t="str">
            <v xml:space="preserve">Contenedor Plast Kfc </v>
          </cell>
          <cell r="E182" t="str">
            <v>Unidades</v>
          </cell>
        </row>
        <row r="183">
          <cell r="A183" t="str">
            <v>60100109</v>
          </cell>
          <cell r="B183" t="str">
            <v>ETIQ MEDIA LUNA CHOCOLATE LECHE RECT</v>
          </cell>
          <cell r="C183" t="str">
            <v>EM10244</v>
          </cell>
          <cell r="D183" t="str">
            <v xml:space="preserve">Etiqueta Media Luna Chocolate Leche </v>
          </cell>
          <cell r="E183" t="str">
            <v>Unidades</v>
          </cell>
        </row>
        <row r="184">
          <cell r="A184" t="str">
            <v>60100107</v>
          </cell>
          <cell r="B184" t="str">
            <v>ETIQU PALITOS DE QUESO RECT</v>
          </cell>
          <cell r="C184" t="str">
            <v>EM10245</v>
          </cell>
          <cell r="D184" t="str">
            <v>Etiqueta Palitos de Queso Rect</v>
          </cell>
          <cell r="E184" t="str">
            <v>Unidades</v>
          </cell>
        </row>
        <row r="185">
          <cell r="A185" t="str">
            <v>60100104</v>
          </cell>
          <cell r="B185" t="str">
            <v>ETIQ OREJITAS RECT</v>
          </cell>
          <cell r="C185" t="str">
            <v>EM10246</v>
          </cell>
          <cell r="D185" t="str">
            <v>Etiqueta Orejitas Rec</v>
          </cell>
          <cell r="E185" t="str">
            <v>Unidades</v>
          </cell>
        </row>
        <row r="186">
          <cell r="A186" t="str">
            <v>50100063</v>
          </cell>
          <cell r="B186" t="str">
            <v>TAPA PLAST KFC (CAJA: 500 UND)</v>
          </cell>
          <cell r="C186" t="str">
            <v>EM10249</v>
          </cell>
          <cell r="D186" t="str">
            <v xml:space="preserve">Tapa Plast Kfc </v>
          </cell>
          <cell r="E186" t="str">
            <v>Unidades</v>
          </cell>
        </row>
        <row r="187">
          <cell r="A187" t="str">
            <v>51400040</v>
          </cell>
          <cell r="B187" t="str">
            <v>QUEQUERA RECTANGULAR 1/4 ( CAJA: 65 UND)</v>
          </cell>
          <cell r="C187" t="str">
            <v>EM10250</v>
          </cell>
          <cell r="D187" t="str">
            <v xml:space="preserve">Quequera Rectangular 1/4 </v>
          </cell>
          <cell r="E187" t="str">
            <v>Unidades</v>
          </cell>
        </row>
        <row r="188">
          <cell r="A188" t="str">
            <v>1950671</v>
          </cell>
          <cell r="B188" t="str">
            <v xml:space="preserve">BANDEJA 5 ( CAJA: 330 UND) </v>
          </cell>
          <cell r="C188" t="str">
            <v>EM10251</v>
          </cell>
          <cell r="D188" t="str">
            <v xml:space="preserve">Bandeja 5 </v>
          </cell>
          <cell r="E188" t="str">
            <v>Unidades</v>
          </cell>
        </row>
        <row r="189">
          <cell r="A189" t="str">
            <v>1950895</v>
          </cell>
          <cell r="B189" t="str">
            <v>BOLSA CELOFAN 6 X 9 (KILO)</v>
          </cell>
          <cell r="C189" t="str">
            <v>EM10252</v>
          </cell>
          <cell r="D189" t="str">
            <v xml:space="preserve">Bolsa Celofan 6x9 </v>
          </cell>
          <cell r="E189" t="str">
            <v>Unidades</v>
          </cell>
        </row>
        <row r="190">
          <cell r="A190" t="str">
            <v>703020</v>
          </cell>
          <cell r="B190" t="str">
            <v>CINTA ADHESIVA TRANSPARENT 2*100 M (UND)</v>
          </cell>
          <cell r="C190" t="str">
            <v>EM10253</v>
          </cell>
          <cell r="D190" t="str">
            <v>Cinta adhesiva Transparente 200 m</v>
          </cell>
          <cell r="E190" t="str">
            <v>Centimetos</v>
          </cell>
        </row>
        <row r="191">
          <cell r="A191" t="str">
            <v>1952873</v>
          </cell>
          <cell r="B191" t="str">
            <v>CONTENEDOR CUADRADO POTE (CAJA=600UND)</v>
          </cell>
          <cell r="C191" t="str">
            <v>EM10254</v>
          </cell>
          <cell r="D191" t="str">
            <v>Contenedor cuadrado Pote</v>
          </cell>
          <cell r="E191" t="str">
            <v>Unidades</v>
          </cell>
        </row>
        <row r="192">
          <cell r="A192" t="str">
            <v>512000002</v>
          </cell>
          <cell r="B192" t="str">
            <v>PLASTICO  AUTOAD (UND: 18 * 2000 M)</v>
          </cell>
          <cell r="C192" t="str">
            <v>EM10255</v>
          </cell>
          <cell r="D192" t="str">
            <v xml:space="preserve">Plastico autoadherible </v>
          </cell>
          <cell r="E192" t="str">
            <v>Centimetos</v>
          </cell>
        </row>
        <row r="193">
          <cell r="A193" t="str">
            <v>503000041</v>
          </cell>
          <cell r="B193" t="str">
            <v xml:space="preserve">BOLSA CELOFAN 7 X 10 (KILO) </v>
          </cell>
          <cell r="C193" t="str">
            <v>EM10256</v>
          </cell>
          <cell r="D193" t="str">
            <v>Bolsa Celofan 7x10</v>
          </cell>
          <cell r="E193" t="str">
            <v>Unidades</v>
          </cell>
        </row>
        <row r="194">
          <cell r="A194" t="str">
            <v>503000043</v>
          </cell>
          <cell r="B194" t="str">
            <v>BOLSA TRASPARENTE 9x14x2000 (KILO)</v>
          </cell>
          <cell r="C194" t="str">
            <v>EM10257</v>
          </cell>
          <cell r="D194" t="str">
            <v>Bolsa Transparente 9x14x2000</v>
          </cell>
          <cell r="E194" t="str">
            <v>Unidades</v>
          </cell>
        </row>
        <row r="195">
          <cell r="A195" t="str">
            <v>50400012</v>
          </cell>
          <cell r="B195" t="str">
            <v>CAJA QUEQUE NAVIDEÑO 700g (UNIDAD)</v>
          </cell>
          <cell r="C195" t="str">
            <v>EM10258</v>
          </cell>
          <cell r="D195" t="str">
            <v>Caja Queque Navideño Grande</v>
          </cell>
          <cell r="E195" t="str">
            <v>Unidades</v>
          </cell>
        </row>
        <row r="196">
          <cell r="A196" t="str">
            <v>51600021</v>
          </cell>
          <cell r="B196" t="str">
            <v>ROLLO POS 16" 1067MTS  (UND)</v>
          </cell>
          <cell r="C196" t="str">
            <v>EM10259</v>
          </cell>
          <cell r="D196" t="str">
            <v xml:space="preserve">Rollo Pos </v>
          </cell>
          <cell r="E196" t="str">
            <v>Centimetos</v>
          </cell>
        </row>
        <row r="197">
          <cell r="A197" t="str">
            <v>50400029</v>
          </cell>
          <cell r="B197" t="str">
            <v>BURUCHA KRAFT (UND: KILO)</v>
          </cell>
          <cell r="C197" t="str">
            <v>EM10260</v>
          </cell>
          <cell r="D197" t="str">
            <v xml:space="preserve">Burucha Kraft </v>
          </cell>
          <cell r="E197" t="str">
            <v>Gramos</v>
          </cell>
        </row>
        <row r="198">
          <cell r="A198" t="str">
            <v>50400032</v>
          </cell>
          <cell r="B198" t="str">
            <v>CAJA KRAFT CON VENTANA RECTANGULAR</v>
          </cell>
          <cell r="C198" t="str">
            <v>EM10261</v>
          </cell>
          <cell r="D198" t="str">
            <v>Caja Kraft con ventana rectangular</v>
          </cell>
          <cell r="E198" t="str">
            <v>Unidades</v>
          </cell>
        </row>
        <row r="199">
          <cell r="A199" t="str">
            <v>60100101</v>
          </cell>
          <cell r="B199" t="str">
            <v>STICKER KIT DE NIÑOS (ROLLO: 100 UND)</v>
          </cell>
          <cell r="C199" t="str">
            <v>EM10262</v>
          </cell>
          <cell r="D199" t="str">
            <v xml:space="preserve">Sticker Kit de Niños </v>
          </cell>
          <cell r="E199" t="str">
            <v>Unidades</v>
          </cell>
        </row>
        <row r="200">
          <cell r="A200" t="str">
            <v>50400031</v>
          </cell>
          <cell r="B200" t="str">
            <v>CAJA NAVIDEÑA PEQ</v>
          </cell>
          <cell r="C200" t="str">
            <v>EM10263</v>
          </cell>
          <cell r="D200" t="str">
            <v xml:space="preserve">Caja Navideña Pequeña </v>
          </cell>
          <cell r="E200" t="str">
            <v>Unidades</v>
          </cell>
        </row>
        <row r="201">
          <cell r="A201" t="str">
            <v>1952400</v>
          </cell>
          <cell r="B201" t="str">
            <v>BOLSA BUCCA PALMERITAS (10*20CM)( KILO )</v>
          </cell>
          <cell r="C201" t="str">
            <v>EM10264</v>
          </cell>
          <cell r="D201" t="str">
            <v>Bolsa Bucca Palmeritas (10*20 cm)</v>
          </cell>
          <cell r="E201" t="str">
            <v>Gramos</v>
          </cell>
        </row>
        <row r="202">
          <cell r="A202" t="str">
            <v>60100088</v>
          </cell>
          <cell r="B202" t="str">
            <v>ETIQ GALLETA BELGA MIIK (ROLLO:1000 UND)</v>
          </cell>
          <cell r="C202" t="str">
            <v>EM10265</v>
          </cell>
          <cell r="D202" t="str">
            <v>Etiq Galleta Belga Milk</v>
          </cell>
          <cell r="E202" t="str">
            <v>Unidades</v>
          </cell>
        </row>
        <row r="203">
          <cell r="A203" t="str">
            <v>60100085</v>
          </cell>
          <cell r="B203" t="str">
            <v>ETIQUETA OREJITAS (ROLLO:. 1000 UND)</v>
          </cell>
          <cell r="C203" t="str">
            <v>EM10266</v>
          </cell>
          <cell r="D203" t="str">
            <v>Etiqueta Orejitas</v>
          </cell>
          <cell r="E203" t="str">
            <v>Unidades</v>
          </cell>
        </row>
        <row r="204">
          <cell r="A204" t="str">
            <v>60100086</v>
          </cell>
          <cell r="B204" t="str">
            <v>ETIQUETA PALITO D QUESO (ROLLO:1000 UND)</v>
          </cell>
          <cell r="C204" t="str">
            <v>EM10267</v>
          </cell>
          <cell r="D204" t="str">
            <v xml:space="preserve">Etiqueta Palito Queso </v>
          </cell>
          <cell r="E204" t="str">
            <v>Unidades</v>
          </cell>
        </row>
        <row r="205">
          <cell r="A205" t="str">
            <v>50100065</v>
          </cell>
          <cell r="B205" t="str">
            <v>CONTENEDOR CON TAPA KFC 8 OZ(CAJA:240 U)</v>
          </cell>
          <cell r="C205" t="str">
            <v>EM10268</v>
          </cell>
          <cell r="D205" t="str">
            <v>Contenedor con tapa KFC 8 oz</v>
          </cell>
          <cell r="E205" t="str">
            <v>Unidades</v>
          </cell>
        </row>
        <row r="206">
          <cell r="A206" t="str">
            <v>0702167</v>
          </cell>
          <cell r="B206" t="str">
            <v>ETIQUETA D-31 TORTA BAILEYS (ROLLO)</v>
          </cell>
          <cell r="C206" t="str">
            <v>EM10269</v>
          </cell>
          <cell r="D206" t="str">
            <v>Etiqueta D-31 Torta Baileys</v>
          </cell>
          <cell r="E206" t="str">
            <v>Unidades</v>
          </cell>
        </row>
        <row r="207">
          <cell r="A207" t="str">
            <v>51400047</v>
          </cell>
          <cell r="B207" t="str">
            <v>QUEQUERA MINI CAKE (CAJA:100 UND)</v>
          </cell>
          <cell r="C207" t="str">
            <v>EM10270</v>
          </cell>
          <cell r="D207" t="str">
            <v xml:space="preserve">Quequera Mini Cake </v>
          </cell>
          <cell r="E207" t="str">
            <v>Unidades</v>
          </cell>
        </row>
        <row r="208">
          <cell r="A208" t="str">
            <v>1210386</v>
          </cell>
          <cell r="B208" t="str">
            <v>COBERTURA CHOCOLATE LECHE (PAQ:5 K)</v>
          </cell>
          <cell r="C208" t="str">
            <v>MP10001</v>
          </cell>
          <cell r="D208" t="str">
            <v xml:space="preserve">Cobertura Chocolate Leche </v>
          </cell>
          <cell r="E208" t="str">
            <v>Gramos</v>
          </cell>
        </row>
        <row r="209">
          <cell r="A209" t="str">
            <v>10100050</v>
          </cell>
          <cell r="B209" t="str">
            <v>ACEITE CAPULLO RBD (UND:17  L)</v>
          </cell>
          <cell r="C209" t="str">
            <v>MP10002</v>
          </cell>
          <cell r="D209" t="str">
            <v xml:space="preserve">Aceite Capullo Rbd </v>
          </cell>
          <cell r="E209" t="str">
            <v>Mililitros</v>
          </cell>
        </row>
        <row r="210">
          <cell r="A210" t="str">
            <v>1210401</v>
          </cell>
          <cell r="B210" t="str">
            <v>MANTECA MAX PAN (CAJA:25 k)</v>
          </cell>
          <cell r="C210" t="str">
            <v>MP10003</v>
          </cell>
          <cell r="D210" t="str">
            <v xml:space="preserve">Manteca Max Pan </v>
          </cell>
          <cell r="E210" t="str">
            <v>Gramos</v>
          </cell>
        </row>
        <row r="211">
          <cell r="A211" t="str">
            <v>0510188</v>
          </cell>
          <cell r="B211" t="str">
            <v>HARINA ESTANDAR FHACASA  (SACO: 25 KG )</v>
          </cell>
          <cell r="C211" t="str">
            <v>MP10004</v>
          </cell>
          <cell r="D211" t="str">
            <v xml:space="preserve">Harina Estandar Fhacasa </v>
          </cell>
          <cell r="E211" t="str">
            <v>Gramos</v>
          </cell>
        </row>
        <row r="212">
          <cell r="A212" t="str">
            <v>1210482</v>
          </cell>
          <cell r="B212" t="str">
            <v>HUEVO ENTERO PASTERI INNOVO (CAJA:10 K)</v>
          </cell>
          <cell r="C212" t="str">
            <v>MP10005</v>
          </cell>
          <cell r="D212" t="str">
            <v>Huevo Liquido Refrigerado</v>
          </cell>
          <cell r="E212" t="str">
            <v>Gramos</v>
          </cell>
        </row>
        <row r="213">
          <cell r="A213" t="str">
            <v>11400027</v>
          </cell>
          <cell r="B213" t="str">
            <v>CREMA BETTERCREAM DOBLE CHOCO (UND:4 K)</v>
          </cell>
          <cell r="C213" t="str">
            <v>MP10006</v>
          </cell>
          <cell r="D213" t="str">
            <v>Crema Bettercream Doble Chocolate</v>
          </cell>
          <cell r="E213" t="str">
            <v>Gramos</v>
          </cell>
        </row>
        <row r="214">
          <cell r="A214" t="str">
            <v>1112431</v>
          </cell>
          <cell r="B214" t="str">
            <v>MANJAR LECHE CONDENSADA (PAQ: 4.5 K)</v>
          </cell>
          <cell r="C214" t="str">
            <v>MP10007</v>
          </cell>
          <cell r="D214" t="str">
            <v>Manjar Leche Condensada</v>
          </cell>
          <cell r="E214" t="str">
            <v>Gramos</v>
          </cell>
        </row>
        <row r="215">
          <cell r="A215" t="str">
            <v>1212410</v>
          </cell>
          <cell r="B215" t="str">
            <v>PRESERVANTE 1047S (PAQ=5 KILO)</v>
          </cell>
          <cell r="C215" t="str">
            <v>MP10008</v>
          </cell>
          <cell r="D215" t="str">
            <v xml:space="preserve">Preservante 1047S </v>
          </cell>
          <cell r="E215" t="str">
            <v>Gramos</v>
          </cell>
        </row>
        <row r="216">
          <cell r="A216" t="str">
            <v>0410151</v>
          </cell>
          <cell r="B216" t="str">
            <v>RELLENO FUDGE KILO</v>
          </cell>
          <cell r="C216" t="str">
            <v>MP10009</v>
          </cell>
          <cell r="D216" t="str">
            <v>Relleno Fudge</v>
          </cell>
          <cell r="E216" t="str">
            <v>Gramos</v>
          </cell>
        </row>
        <row r="217">
          <cell r="A217" t="str">
            <v>1200003</v>
          </cell>
          <cell r="B217" t="str">
            <v>CHOCOLATE OSCURO BLOSSOMS (KILO)</v>
          </cell>
          <cell r="C217" t="str">
            <v>MP10010</v>
          </cell>
          <cell r="D217" t="str">
            <v xml:space="preserve">Chocolate Oscuro Blossoms </v>
          </cell>
          <cell r="E217" t="str">
            <v>Gramos</v>
          </cell>
        </row>
        <row r="218">
          <cell r="A218" t="str">
            <v>10700013</v>
          </cell>
          <cell r="B218" t="str">
            <v>STICK DORADO (CAJA:100 UND)</v>
          </cell>
          <cell r="C218" t="str">
            <v>MP10011</v>
          </cell>
          <cell r="D218" t="str">
            <v xml:space="preserve">Stick Dorado </v>
          </cell>
          <cell r="E218" t="str">
            <v>Unidades</v>
          </cell>
        </row>
        <row r="219">
          <cell r="A219" t="str">
            <v>0510240</v>
          </cell>
          <cell r="B219" t="str">
            <v>PREMEZCLA PILS. CHOCOLATE (SACO:22.68 K)</v>
          </cell>
          <cell r="C219" t="str">
            <v>MP10012</v>
          </cell>
          <cell r="D219" t="str">
            <v>Premezcla Chocolate Pillsbury</v>
          </cell>
          <cell r="E219" t="str">
            <v>Gramos</v>
          </cell>
        </row>
        <row r="220">
          <cell r="A220" t="str">
            <v>0610256</v>
          </cell>
          <cell r="B220" t="str">
            <v>NUEZ MOSCADA MOLIDA (PAQ:3 K)</v>
          </cell>
          <cell r="C220" t="str">
            <v>MP10013</v>
          </cell>
          <cell r="D220" t="str">
            <v xml:space="preserve">Nuez Moscada Molida </v>
          </cell>
          <cell r="E220" t="str">
            <v>Gramos</v>
          </cell>
        </row>
        <row r="221">
          <cell r="A221" t="str">
            <v>0610254</v>
          </cell>
          <cell r="B221" t="str">
            <v>PIMIENTA BLANCA  MOLIDA (PAQ:5 K)</v>
          </cell>
          <cell r="C221" t="str">
            <v>MP10014</v>
          </cell>
          <cell r="D221" t="str">
            <v>Pimienta Blanca  Molida</v>
          </cell>
          <cell r="E221" t="str">
            <v>Gramos</v>
          </cell>
        </row>
        <row r="222">
          <cell r="A222" t="str">
            <v>0210117</v>
          </cell>
          <cell r="B222" t="str">
            <v>RECORTE FILET Nº1358 KILO</v>
          </cell>
          <cell r="C222" t="str">
            <v>MP10016</v>
          </cell>
          <cell r="D222" t="str">
            <v xml:space="preserve">Recorte Filet Nº1358 </v>
          </cell>
          <cell r="E222" t="str">
            <v>Gramos</v>
          </cell>
        </row>
        <row r="223">
          <cell r="A223" t="str">
            <v>610220</v>
          </cell>
          <cell r="B223" t="str">
            <v>CONSOME POLLO ALSERRO (PAQ: 1 K)</v>
          </cell>
          <cell r="C223" t="str">
            <v>MP10017</v>
          </cell>
          <cell r="D223" t="str">
            <v>Consome Pollo</v>
          </cell>
          <cell r="E223" t="str">
            <v>Gramos</v>
          </cell>
        </row>
        <row r="224">
          <cell r="A224" t="str">
            <v>0101240</v>
          </cell>
          <cell r="B224" t="str">
            <v>ZANAHORIA ENTERA KILO</v>
          </cell>
          <cell r="C224" t="str">
            <v>MP10018</v>
          </cell>
          <cell r="D224" t="str">
            <v xml:space="preserve">Zanahoria Entera </v>
          </cell>
          <cell r="E224" t="str">
            <v>Gramos</v>
          </cell>
        </row>
        <row r="225">
          <cell r="A225" t="str">
            <v>0512319</v>
          </cell>
          <cell r="B225" t="str">
            <v>PASTA AJO (PAQ: 1 KILO)</v>
          </cell>
          <cell r="C225" t="str">
            <v>MP10019</v>
          </cell>
          <cell r="D225" t="str">
            <v xml:space="preserve">Pasta Ajo </v>
          </cell>
          <cell r="E225" t="str">
            <v>Gramos</v>
          </cell>
        </row>
        <row r="226">
          <cell r="A226" t="str">
            <v>101035</v>
          </cell>
          <cell r="B226" t="str">
            <v>CEBOLLA PICADA (PAQ:KILO)</v>
          </cell>
          <cell r="C226" t="str">
            <v>MP10020</v>
          </cell>
          <cell r="D226" t="str">
            <v>Cebolla Picada</v>
          </cell>
          <cell r="E226" t="str">
            <v>Gramos</v>
          </cell>
        </row>
        <row r="227">
          <cell r="A227" t="str">
            <v>101005</v>
          </cell>
          <cell r="B227" t="str">
            <v>AJO PELADO (PAQ:1 KILO)</v>
          </cell>
          <cell r="C227" t="str">
            <v>MP10021</v>
          </cell>
          <cell r="D227" t="str">
            <v>Ajo Pelado</v>
          </cell>
          <cell r="E227" t="str">
            <v>Gramos</v>
          </cell>
        </row>
        <row r="228">
          <cell r="A228" t="str">
            <v>0310107</v>
          </cell>
          <cell r="B228" t="str">
            <v>LACTOCREMA GRANEL (CAJA:25 KG)</v>
          </cell>
          <cell r="C228" t="str">
            <v>MP10022</v>
          </cell>
          <cell r="D228" t="str">
            <v>Lactocrema Granel</v>
          </cell>
          <cell r="E228" t="str">
            <v>Gramos</v>
          </cell>
        </row>
        <row r="229">
          <cell r="A229" t="str">
            <v>1210405</v>
          </cell>
          <cell r="B229" t="str">
            <v>PASTA P/LASAG/(PAQ:1 KG)</v>
          </cell>
          <cell r="C229" t="str">
            <v>MP10023</v>
          </cell>
          <cell r="D229" t="str">
            <v>Pasta Lasagña</v>
          </cell>
          <cell r="E229" t="str">
            <v>Gramos</v>
          </cell>
        </row>
        <row r="230">
          <cell r="A230" t="str">
            <v>1110414</v>
          </cell>
          <cell r="B230" t="str">
            <v>LECHE EVAPORADA (UND: 1 L)</v>
          </cell>
          <cell r="C230" t="str">
            <v>MP10024</v>
          </cell>
          <cell r="D230" t="str">
            <v xml:space="preserve">Leche Evaporada </v>
          </cell>
          <cell r="E230" t="str">
            <v>Mililitros</v>
          </cell>
        </row>
        <row r="231">
          <cell r="A231" t="str">
            <v>1212412</v>
          </cell>
          <cell r="B231" t="str">
            <v>PRESERVANTE 1017S (PAQ=5 KILO)</v>
          </cell>
          <cell r="C231" t="str">
            <v>MP10025</v>
          </cell>
          <cell r="D231" t="str">
            <v>Preservante 1017S</v>
          </cell>
          <cell r="E231" t="str">
            <v>Gramos</v>
          </cell>
        </row>
        <row r="232">
          <cell r="A232" t="str">
            <v>510215</v>
          </cell>
          <cell r="B232" t="str">
            <v xml:space="preserve">ALMIDON MODIFICADO (SACO:25 K) </v>
          </cell>
          <cell r="C232" t="str">
            <v>MP10026</v>
          </cell>
          <cell r="D232" t="str">
            <v>Almidon Modificado</v>
          </cell>
          <cell r="E232" t="str">
            <v>Gramos</v>
          </cell>
        </row>
        <row r="233">
          <cell r="A233" t="str">
            <v>5000001</v>
          </cell>
          <cell r="B233" t="str">
            <v>SAL INDUSTRIA (SACO:25 Kg)</v>
          </cell>
          <cell r="C233" t="str">
            <v>MP10027</v>
          </cell>
          <cell r="D233" t="str">
            <v>Sal Industrial</v>
          </cell>
          <cell r="E233" t="str">
            <v>Gramos</v>
          </cell>
        </row>
        <row r="234">
          <cell r="A234" t="str">
            <v>12000003</v>
          </cell>
          <cell r="B234" t="str">
            <v>CREMA VERSATIE (UND: L)</v>
          </cell>
          <cell r="C234" t="str">
            <v>MP10028</v>
          </cell>
          <cell r="D234" t="str">
            <v>Crema Versatie</v>
          </cell>
          <cell r="E234" t="str">
            <v>Mililitros</v>
          </cell>
        </row>
        <row r="235">
          <cell r="A235" t="str">
            <v>11400045</v>
          </cell>
          <cell r="B235" t="str">
            <v>QUESO RALLADO RICO DOS PINO SP (PAQ:2 K)</v>
          </cell>
          <cell r="C235" t="str">
            <v>MP10029</v>
          </cell>
          <cell r="D235" t="str">
            <v xml:space="preserve">Queso Rallado Rico Dos Pinos </v>
          </cell>
          <cell r="E235" t="str">
            <v>Gramos</v>
          </cell>
        </row>
        <row r="236">
          <cell r="A236" t="str">
            <v>11400047</v>
          </cell>
          <cell r="B236" t="str">
            <v>LECHE 2% PASTEURIZADA GALÓN (UND)</v>
          </cell>
          <cell r="C236" t="str">
            <v>MP10030</v>
          </cell>
          <cell r="D236" t="str">
            <v xml:space="preserve">Leche 2% Pasteurizada </v>
          </cell>
          <cell r="E236" t="str">
            <v>Mililitros</v>
          </cell>
        </row>
        <row r="237">
          <cell r="A237" t="str">
            <v>10100098</v>
          </cell>
          <cell r="B237" t="str">
            <v>SAL REFINADA (PAQ:500g)</v>
          </cell>
          <cell r="C237" t="str">
            <v>MP10031</v>
          </cell>
          <cell r="D237" t="str">
            <v>Sal Refinada</v>
          </cell>
          <cell r="E237" t="str">
            <v>Gramos</v>
          </cell>
        </row>
        <row r="238">
          <cell r="A238" t="str">
            <v>0910351</v>
          </cell>
          <cell r="B238" t="str">
            <v>SALSA CHILE AJI (PAQ:1 KILO)</v>
          </cell>
          <cell r="C238" t="str">
            <v>MP10032</v>
          </cell>
          <cell r="D238" t="str">
            <v xml:space="preserve">Salsa Chile Aji </v>
          </cell>
          <cell r="E238" t="str">
            <v>Gramos</v>
          </cell>
        </row>
        <row r="239">
          <cell r="A239" t="str">
            <v>10500</v>
          </cell>
          <cell r="B239" t="str">
            <v>PAPRIKA (UND:454g)</v>
          </cell>
          <cell r="C239" t="str">
            <v>MP10034</v>
          </cell>
          <cell r="D239" t="str">
            <v>Paprika</v>
          </cell>
          <cell r="E239" t="str">
            <v>Gramos</v>
          </cell>
        </row>
        <row r="240">
          <cell r="A240" t="str">
            <v>0710261</v>
          </cell>
          <cell r="B240" t="str">
            <v>PAN CUADRADO BLANCO (PAQ=22 REBANADAS )</v>
          </cell>
          <cell r="C240" t="str">
            <v>MP10035</v>
          </cell>
          <cell r="D240" t="str">
            <v xml:space="preserve">Pan Cuadrado Blanco </v>
          </cell>
          <cell r="E240" t="str">
            <v>Rebanada</v>
          </cell>
        </row>
        <row r="241">
          <cell r="A241" t="str">
            <v>0510107</v>
          </cell>
          <cell r="B241" t="str">
            <v>HARINA HARISOL WINTER (SACO:25 KG)</v>
          </cell>
          <cell r="C241" t="str">
            <v>MP10036</v>
          </cell>
          <cell r="D241" t="str">
            <v xml:space="preserve">Harina Harisol Winter </v>
          </cell>
          <cell r="E241" t="str">
            <v>Gramos</v>
          </cell>
        </row>
        <row r="242">
          <cell r="A242" t="str">
            <v>11300011</v>
          </cell>
          <cell r="B242" t="str">
            <v>YEMA DE HUEVO (UND: 8.34 K)</v>
          </cell>
          <cell r="C242" t="str">
            <v>MP10037</v>
          </cell>
          <cell r="D242" t="str">
            <v>Yema De Huevo Pasteurizada</v>
          </cell>
          <cell r="E242" t="str">
            <v>Gramos</v>
          </cell>
        </row>
        <row r="243">
          <cell r="A243" t="str">
            <v>0610236</v>
          </cell>
          <cell r="B243" t="str">
            <v>PIMIENTA NEGRA MOLIDA (PAQ: 5 K)</v>
          </cell>
          <cell r="C243" t="str">
            <v>MP10038</v>
          </cell>
          <cell r="D243" t="str">
            <v>Pimienta Negra Molida</v>
          </cell>
          <cell r="E243" t="str">
            <v>Gramos</v>
          </cell>
        </row>
        <row r="244">
          <cell r="A244" t="str">
            <v>109000127</v>
          </cell>
          <cell r="B244" t="str">
            <v>MELOCOTON EN CUBOS COUNTREE (UND:3 K)</v>
          </cell>
          <cell r="C244" t="str">
            <v>MP10039</v>
          </cell>
          <cell r="D244" t="str">
            <v xml:space="preserve">Melocoton En Cubos </v>
          </cell>
          <cell r="E244" t="str">
            <v>Gramos</v>
          </cell>
        </row>
        <row r="245">
          <cell r="A245" t="str">
            <v>10100289</v>
          </cell>
          <cell r="B245" t="str">
            <v>MARGARINA BAKER TABLETA (CAJA: 25 K)</v>
          </cell>
          <cell r="C245" t="str">
            <v>MP10040</v>
          </cell>
          <cell r="D245" t="str">
            <v>Margarina Baker Tableta</v>
          </cell>
          <cell r="E245" t="str">
            <v>Gramos</v>
          </cell>
        </row>
        <row r="246">
          <cell r="A246" t="str">
            <v>101000073</v>
          </cell>
          <cell r="B246" t="str">
            <v>AZUCAR GLASS MOLIDA (PAQ: 4 K)</v>
          </cell>
          <cell r="C246" t="str">
            <v>MP10041</v>
          </cell>
          <cell r="D246" t="str">
            <v xml:space="preserve">Azucar Glass Molida </v>
          </cell>
          <cell r="E246" t="str">
            <v>Gramos</v>
          </cell>
        </row>
        <row r="247">
          <cell r="A247" t="str">
            <v>1010339</v>
          </cell>
          <cell r="B247" t="str">
            <v xml:space="preserve">TRIPLE SEC </v>
          </cell>
          <cell r="C247" t="str">
            <v>MP10042</v>
          </cell>
          <cell r="D247" t="str">
            <v xml:space="preserve">Triple Sec </v>
          </cell>
          <cell r="E247" t="str">
            <v>Mililitros</v>
          </cell>
        </row>
        <row r="248">
          <cell r="A248" t="str">
            <v>0510186</v>
          </cell>
          <cell r="B248" t="str">
            <v>GELATINA PURA  (PAQ:1 k)</v>
          </cell>
          <cell r="C248" t="str">
            <v>MP10043</v>
          </cell>
          <cell r="D248" t="str">
            <v xml:space="preserve">Gelatina Pura  </v>
          </cell>
          <cell r="E248" t="str">
            <v>Gramos</v>
          </cell>
        </row>
        <row r="249">
          <cell r="A249" t="str">
            <v>0710282</v>
          </cell>
          <cell r="B249" t="str">
            <v>GALLETA POZUELO ENTERA KILO</v>
          </cell>
          <cell r="C249" t="str">
            <v>MP10044</v>
          </cell>
          <cell r="D249" t="str">
            <v>Galleta Pozuelo Entera</v>
          </cell>
          <cell r="E249" t="str">
            <v>Gramos</v>
          </cell>
        </row>
        <row r="250">
          <cell r="A250" t="str">
            <v>114000002</v>
          </cell>
          <cell r="B250" t="str">
            <v>LECHE HOMOGENIZ TB 3.5%  (CAJA:12 UND)</v>
          </cell>
          <cell r="C250" t="str">
            <v>MP10045</v>
          </cell>
          <cell r="D250" t="str">
            <v>Leche Homogeniz Tb 3.5%</v>
          </cell>
          <cell r="E250" t="str">
            <v>Mililitros</v>
          </cell>
        </row>
        <row r="251">
          <cell r="A251" t="str">
            <v>1730660</v>
          </cell>
          <cell r="B251" t="str">
            <v>QUESO CREMA PANADERO (CAJA: 5 K)</v>
          </cell>
          <cell r="C251" t="str">
            <v>MP10046</v>
          </cell>
          <cell r="D251" t="str">
            <v>Queso Crema Panadero</v>
          </cell>
          <cell r="E251" t="str">
            <v>Gramos</v>
          </cell>
        </row>
        <row r="252">
          <cell r="A252" t="str">
            <v>310148</v>
          </cell>
          <cell r="B252" t="str">
            <v>BETTERCREME SUPREMO (UND:4 K)</v>
          </cell>
          <cell r="C252" t="str">
            <v>MP10047</v>
          </cell>
          <cell r="D252" t="str">
            <v>Bettercreme Supremo</v>
          </cell>
          <cell r="E252" t="str">
            <v>Gramos</v>
          </cell>
        </row>
        <row r="253">
          <cell r="A253" t="str">
            <v>11400031</v>
          </cell>
          <cell r="B253" t="str">
            <v>CREMA PRESTIGE GRAND (UND:1 K)</v>
          </cell>
          <cell r="C253" t="str">
            <v>MP10048</v>
          </cell>
          <cell r="D253" t="str">
            <v>Crema Prestige Grand</v>
          </cell>
          <cell r="E253" t="str">
            <v>Gramos</v>
          </cell>
        </row>
        <row r="254">
          <cell r="A254" t="str">
            <v>10100003</v>
          </cell>
          <cell r="B254" t="str">
            <v>AZUCAR POLVO P.REAL (PAQ:2.5 Kg)</v>
          </cell>
          <cell r="C254" t="str">
            <v>MP10049</v>
          </cell>
          <cell r="D254" t="str">
            <v>Azucar Polvo Pastelero Real</v>
          </cell>
          <cell r="E254" t="str">
            <v>Gramos</v>
          </cell>
        </row>
        <row r="255">
          <cell r="A255" t="str">
            <v>11400046</v>
          </cell>
          <cell r="B255" t="str">
            <v>LECHE CONDENSADA (PAQ:11 K)</v>
          </cell>
          <cell r="C255" t="str">
            <v>MP10050</v>
          </cell>
          <cell r="D255" t="str">
            <v xml:space="preserve">Leche Condensada </v>
          </cell>
          <cell r="E255" t="str">
            <v>Gramos</v>
          </cell>
        </row>
        <row r="256">
          <cell r="A256" t="str">
            <v>11200064</v>
          </cell>
          <cell r="B256" t="str">
            <v>HARINA TRIGO NACARINA (SACO: 25 K)</v>
          </cell>
          <cell r="C256" t="str">
            <v>MP10051</v>
          </cell>
          <cell r="D256" t="str">
            <v xml:space="preserve">Harina Trigo Nacarina </v>
          </cell>
          <cell r="E256" t="str">
            <v>Gramos</v>
          </cell>
        </row>
        <row r="257">
          <cell r="A257" t="str">
            <v>10100290</v>
          </cell>
          <cell r="B257" t="str">
            <v>MARGARINA HOJALDRE OLMECA(CAJA: 13.61 K)</v>
          </cell>
          <cell r="C257" t="str">
            <v>MP10052</v>
          </cell>
          <cell r="D257" t="str">
            <v xml:space="preserve">Margarina Hojaldre </v>
          </cell>
          <cell r="E257" t="str">
            <v>Gramos</v>
          </cell>
        </row>
        <row r="258">
          <cell r="A258" t="str">
            <v>910311</v>
          </cell>
          <cell r="B258" t="str">
            <v>ACEITE DE OLIVA PLAST (UND:5 L)</v>
          </cell>
          <cell r="C258" t="str">
            <v>MP10053</v>
          </cell>
          <cell r="D258" t="str">
            <v xml:space="preserve">Aceite De Oliva </v>
          </cell>
          <cell r="E258" t="str">
            <v>Mililitros</v>
          </cell>
        </row>
        <row r="259">
          <cell r="A259" t="str">
            <v>111000002</v>
          </cell>
          <cell r="B259" t="str">
            <v xml:space="preserve">ACEITE DE SESAMO (UND:1656 ml) </v>
          </cell>
          <cell r="C259" t="str">
            <v>MP10054</v>
          </cell>
          <cell r="D259" t="str">
            <v xml:space="preserve">Aceite De Sesamo </v>
          </cell>
          <cell r="E259" t="str">
            <v>Mililitros</v>
          </cell>
        </row>
        <row r="260">
          <cell r="A260" t="str">
            <v>10100103</v>
          </cell>
          <cell r="B260" t="str">
            <v>ACEITE EXTRA VIRGEN FILIPPO (UND:250 ML)</v>
          </cell>
          <cell r="C260" t="str">
            <v>MP10055</v>
          </cell>
          <cell r="D260" t="str">
            <v xml:space="preserve">Aceite Extra Virgen </v>
          </cell>
          <cell r="E260" t="str">
            <v>Mililitros</v>
          </cell>
        </row>
        <row r="261">
          <cell r="A261" t="str">
            <v>10100049</v>
          </cell>
          <cell r="B261" t="str">
            <v>ACEITE LIBRE TRANS INOLAS (UND:15.88 L)</v>
          </cell>
          <cell r="C261" t="str">
            <v>MP10056</v>
          </cell>
          <cell r="D261" t="str">
            <v>Aceite Libre Trans</v>
          </cell>
          <cell r="E261" t="str">
            <v>Mililitros</v>
          </cell>
        </row>
        <row r="262">
          <cell r="A262" t="str">
            <v>10900073</v>
          </cell>
          <cell r="B262" t="str">
            <v>ACEITUNA C/ PIMIENTO YBARRA (UND: 780G</v>
          </cell>
          <cell r="C262" t="str">
            <v>MP10057</v>
          </cell>
          <cell r="D262" t="str">
            <v xml:space="preserve">Aceituna  C/Pimiento </v>
          </cell>
          <cell r="E262" t="str">
            <v>Gramos</v>
          </cell>
        </row>
        <row r="263">
          <cell r="A263" t="str">
            <v>105000009</v>
          </cell>
          <cell r="B263" t="str">
            <v>ACHIOTE (UND:850g)</v>
          </cell>
          <cell r="C263" t="str">
            <v>MP10058</v>
          </cell>
          <cell r="D263" t="str">
            <v xml:space="preserve">Achiote </v>
          </cell>
          <cell r="E263" t="str">
            <v>Gramos</v>
          </cell>
        </row>
        <row r="264">
          <cell r="A264" t="str">
            <v>10900051</v>
          </cell>
          <cell r="B264" t="str">
            <v>AGUACATE KILO</v>
          </cell>
          <cell r="C264" t="str">
            <v>MP10059</v>
          </cell>
          <cell r="D264" t="str">
            <v>Aguacate Kilo</v>
          </cell>
          <cell r="E264" t="str">
            <v>Gramos</v>
          </cell>
        </row>
        <row r="265">
          <cell r="A265" t="str">
            <v>0510146</v>
          </cell>
          <cell r="B265" t="str">
            <v>AJONJOLI (PAQ:1 KILO)</v>
          </cell>
          <cell r="C265" t="str">
            <v>MP10060</v>
          </cell>
          <cell r="D265" t="str">
            <v>Ajonjoli Blanco</v>
          </cell>
          <cell r="E265" t="str">
            <v>Gramos</v>
          </cell>
        </row>
        <row r="266">
          <cell r="A266" t="str">
            <v>101260</v>
          </cell>
          <cell r="B266" t="str">
            <v>ALBAHACA KILO</v>
          </cell>
          <cell r="C266" t="str">
            <v>MP10061</v>
          </cell>
          <cell r="D266" t="str">
            <v>Albahaca Kilo</v>
          </cell>
          <cell r="E266" t="str">
            <v>Gramos</v>
          </cell>
        </row>
        <row r="267">
          <cell r="A267" t="str">
            <v>1110354</v>
          </cell>
          <cell r="B267" t="str">
            <v>ALCAPARRA (UND:944g)</v>
          </cell>
          <cell r="C267" t="str">
            <v>MP10062</v>
          </cell>
          <cell r="D267" t="str">
            <v xml:space="preserve">Alcaparra </v>
          </cell>
          <cell r="E267" t="str">
            <v>Gramos</v>
          </cell>
        </row>
        <row r="268">
          <cell r="A268" t="str">
            <v>10900047</v>
          </cell>
          <cell r="B268" t="str">
            <v>ALFALFA (PAQ:150g)</v>
          </cell>
          <cell r="C268" t="str">
            <v>MP10063</v>
          </cell>
          <cell r="D268" t="str">
            <v>Alfalfa</v>
          </cell>
          <cell r="E268" t="str">
            <v>Gramos</v>
          </cell>
        </row>
        <row r="269">
          <cell r="A269" t="str">
            <v>1730640</v>
          </cell>
          <cell r="B269" t="str">
            <v xml:space="preserve">ALITAS DE POLLO KILO </v>
          </cell>
          <cell r="C269" t="str">
            <v>MP10064</v>
          </cell>
          <cell r="D269" t="str">
            <v>Alitas De Pollo</v>
          </cell>
          <cell r="E269" t="str">
            <v>Gramos</v>
          </cell>
        </row>
        <row r="270">
          <cell r="A270" t="str">
            <v>510149</v>
          </cell>
          <cell r="B270" t="str">
            <v>ALMENDRA ENTERA (CAJA:12 KG)</v>
          </cell>
          <cell r="C270" t="str">
            <v>MP10065</v>
          </cell>
          <cell r="D270" t="str">
            <v>Almendra Entera</v>
          </cell>
          <cell r="E270" t="str">
            <v>Gramos</v>
          </cell>
        </row>
        <row r="271">
          <cell r="A271" t="str">
            <v>510148</v>
          </cell>
          <cell r="B271" t="str">
            <v>ALMENDRA FILETEADA (CAJA: 11,34KG)</v>
          </cell>
          <cell r="C271" t="str">
            <v>MP10066</v>
          </cell>
          <cell r="D271" t="str">
            <v>Almendra Fileteada</v>
          </cell>
          <cell r="E271" t="str">
            <v>Gramos</v>
          </cell>
        </row>
        <row r="272">
          <cell r="A272" t="str">
            <v>10300044</v>
          </cell>
          <cell r="B272" t="str">
            <v>ANCHOA FILETEADA TROZOS (UND: 550 G)</v>
          </cell>
          <cell r="C272" t="str">
            <v>MP10067</v>
          </cell>
          <cell r="D272" t="str">
            <v>Anchoa Fileteada Trozos</v>
          </cell>
          <cell r="E272" t="str">
            <v>Gramos</v>
          </cell>
        </row>
        <row r="273">
          <cell r="A273" t="str">
            <v>0510294</v>
          </cell>
          <cell r="B273" t="str">
            <v>ANTIOXIDANTE ESPECIAL (KILO)</v>
          </cell>
          <cell r="C273" t="str">
            <v>MP10068</v>
          </cell>
          <cell r="D273" t="str">
            <v>Antioxidante Especial</v>
          </cell>
          <cell r="E273" t="str">
            <v>Gramos</v>
          </cell>
        </row>
        <row r="274">
          <cell r="A274" t="str">
            <v>101150</v>
          </cell>
          <cell r="B274" t="str">
            <v>APIO PICADO (PAQ:500gr)</v>
          </cell>
          <cell r="C274" t="str">
            <v>MP10069</v>
          </cell>
          <cell r="D274" t="str">
            <v xml:space="preserve">Apio Picado </v>
          </cell>
          <cell r="E274" t="str">
            <v>Gramos</v>
          </cell>
        </row>
        <row r="275">
          <cell r="A275" t="str">
            <v>510100</v>
          </cell>
          <cell r="B275" t="str">
            <v>ARROZ PRECOCIDO MI SABOR(BULTO:15 K)</v>
          </cell>
          <cell r="C275" t="str">
            <v>MP10070</v>
          </cell>
          <cell r="D275" t="str">
            <v xml:space="preserve">Arroz Precocido </v>
          </cell>
          <cell r="E275" t="str">
            <v>Gramos</v>
          </cell>
        </row>
        <row r="276">
          <cell r="A276" t="str">
            <v>510151</v>
          </cell>
          <cell r="B276" t="str">
            <v>ARROZ TIO PELON 96% (BULTO:12/1.8 K)</v>
          </cell>
          <cell r="C276" t="str">
            <v>MP10071</v>
          </cell>
          <cell r="D276" t="str">
            <v xml:space="preserve">Arroz Blanco 96% </v>
          </cell>
          <cell r="E276" t="str">
            <v>Gramos</v>
          </cell>
        </row>
        <row r="277">
          <cell r="A277" t="str">
            <v>1110406</v>
          </cell>
          <cell r="B277" t="str">
            <v>ATUN LOMO TROZOS AGUA (UND:1 K)</v>
          </cell>
          <cell r="C277" t="str">
            <v>MP10072</v>
          </cell>
          <cell r="D277" t="str">
            <v xml:space="preserve">Atun Lomo Trozos Agua </v>
          </cell>
          <cell r="E277" t="str">
            <v>Gramos</v>
          </cell>
        </row>
        <row r="278">
          <cell r="A278" t="str">
            <v>10900021</v>
          </cell>
          <cell r="B278" t="str">
            <v>AYOTE SAZON PELADO EN TROZOS (PAQ: 2Kg)</v>
          </cell>
          <cell r="C278" t="str">
            <v>MP10073</v>
          </cell>
          <cell r="D278" t="str">
            <v xml:space="preserve">Ayote Sazon Pelado En Trozos </v>
          </cell>
          <cell r="E278" t="str">
            <v>Gramos</v>
          </cell>
        </row>
        <row r="279">
          <cell r="A279" t="str">
            <v>510301</v>
          </cell>
          <cell r="B279" t="str">
            <v>AZUCAR BLANCO INDUSTRIAL (SACO:50 K)</v>
          </cell>
          <cell r="C279" t="str">
            <v>MP10074</v>
          </cell>
          <cell r="D279" t="str">
            <v xml:space="preserve">Azucar Blanco Industrial </v>
          </cell>
          <cell r="E279" t="str">
            <v>Gramos</v>
          </cell>
        </row>
        <row r="280">
          <cell r="A280" t="str">
            <v>10100045</v>
          </cell>
          <cell r="B280" t="str">
            <v>AZUCAR CARAMELO (PAQ:0.5 K)</v>
          </cell>
          <cell r="C280" t="str">
            <v>MP10075</v>
          </cell>
          <cell r="D280" t="str">
            <v xml:space="preserve">Azucar Caramelo </v>
          </cell>
          <cell r="E280" t="str">
            <v>Gramos</v>
          </cell>
        </row>
        <row r="281">
          <cell r="A281" t="str">
            <v>510157</v>
          </cell>
          <cell r="B281" t="str">
            <v>AZUCAR MORENO (PAQ:2 K)</v>
          </cell>
          <cell r="C281" t="str">
            <v>MP10076</v>
          </cell>
          <cell r="D281" t="str">
            <v>Azucar Moreno</v>
          </cell>
          <cell r="E281" t="str">
            <v>Gramos</v>
          </cell>
        </row>
        <row r="282">
          <cell r="A282" t="str">
            <v>101000015</v>
          </cell>
          <cell r="B282" t="str">
            <v>AZUCAR REFINADA VICTORIA (PAQ:1 K)</v>
          </cell>
          <cell r="C282" t="str">
            <v>MP10077</v>
          </cell>
          <cell r="D282" t="str">
            <v xml:space="preserve">Azucar Refinada Victoria </v>
          </cell>
          <cell r="E282" t="str">
            <v>Gramos</v>
          </cell>
        </row>
        <row r="283">
          <cell r="A283" t="str">
            <v>510302</v>
          </cell>
          <cell r="B283" t="str">
            <v>AZUCAR REFINO INDUSTRIAL (SACO:50 K)</v>
          </cell>
          <cell r="C283" t="str">
            <v>MP10078</v>
          </cell>
          <cell r="D283" t="str">
            <v xml:space="preserve">Azucar Refino Industrial </v>
          </cell>
          <cell r="E283" t="str">
            <v>Gramos</v>
          </cell>
        </row>
        <row r="284">
          <cell r="A284" t="str">
            <v>109000136</v>
          </cell>
          <cell r="B284" t="str">
            <v>BANANO CONGELADO (PAQ: 3 KILOS)</v>
          </cell>
          <cell r="C284" t="str">
            <v>MP10079</v>
          </cell>
          <cell r="D284" t="str">
            <v xml:space="preserve">Banano Congelado </v>
          </cell>
          <cell r="E284" t="str">
            <v>Gramos</v>
          </cell>
        </row>
        <row r="285">
          <cell r="A285" t="str">
            <v>710295</v>
          </cell>
          <cell r="B285" t="str">
            <v>BARQUILLO VETEAD CHOCOLAT (CAJA:420 UND)</v>
          </cell>
          <cell r="C285" t="str">
            <v>MP10080</v>
          </cell>
          <cell r="D285" t="str">
            <v xml:space="preserve">Barquillo Vetead Chocolat </v>
          </cell>
          <cell r="E285" t="str">
            <v>Unidad</v>
          </cell>
        </row>
        <row r="286">
          <cell r="A286" t="str">
            <v>10200030</v>
          </cell>
          <cell r="B286" t="str">
            <v>BASE LECHE  MILK SHAKE (PAQ:1 K)</v>
          </cell>
          <cell r="C286" t="str">
            <v>MP10081</v>
          </cell>
          <cell r="D286" t="str">
            <v xml:space="preserve">Base Leche  Milk Shake </v>
          </cell>
          <cell r="E286" t="str">
            <v>Gramos</v>
          </cell>
        </row>
        <row r="287">
          <cell r="A287" t="str">
            <v>102000046</v>
          </cell>
          <cell r="B287" t="str">
            <v>BEBIDA TE CHAI (PAQ: 300 G)</v>
          </cell>
          <cell r="C287" t="str">
            <v>MP10082</v>
          </cell>
          <cell r="D287" t="str">
            <v xml:space="preserve">Bebida Te Chai </v>
          </cell>
          <cell r="E287" t="str">
            <v>Gramos</v>
          </cell>
        </row>
        <row r="288">
          <cell r="A288" t="str">
            <v>0512334</v>
          </cell>
          <cell r="B288" t="str">
            <v>BENZOATO SODIO (PAQ:2.5 K)</v>
          </cell>
          <cell r="C288" t="str">
            <v>MP10083</v>
          </cell>
          <cell r="D288" t="str">
            <v xml:space="preserve">Benzoato Sodio </v>
          </cell>
          <cell r="E288" t="str">
            <v>Gramos</v>
          </cell>
        </row>
        <row r="289">
          <cell r="A289" t="str">
            <v>114000017</v>
          </cell>
          <cell r="B289" t="str">
            <v>BETTERCREAM CHOCOLATE (UND:4 Kg)</v>
          </cell>
          <cell r="C289" t="str">
            <v>MP10084</v>
          </cell>
          <cell r="D289" t="str">
            <v xml:space="preserve">Bettercream Chocolate </v>
          </cell>
          <cell r="E289" t="str">
            <v>Gramos</v>
          </cell>
        </row>
        <row r="290">
          <cell r="A290" t="str">
            <v>503000036</v>
          </cell>
          <cell r="B290" t="str">
            <v>BICARBONATO DE SODIO (PAQ:2.5 K)</v>
          </cell>
          <cell r="C290" t="str">
            <v>MP10085</v>
          </cell>
          <cell r="D290" t="str">
            <v xml:space="preserve">Bicarbonato De Sodio </v>
          </cell>
          <cell r="E290" t="str">
            <v>Gramos</v>
          </cell>
        </row>
        <row r="291">
          <cell r="A291" t="str">
            <v>210107</v>
          </cell>
          <cell r="B291" t="str">
            <v>BISTEC CERDO KILO</v>
          </cell>
          <cell r="C291" t="str">
            <v>MP10086</v>
          </cell>
          <cell r="D291" t="str">
            <v xml:space="preserve">Bistec Cerdo </v>
          </cell>
          <cell r="E291" t="str">
            <v>Gramos</v>
          </cell>
        </row>
        <row r="292">
          <cell r="A292" t="str">
            <v>0210101</v>
          </cell>
          <cell r="B292" t="str">
            <v>BISTEK POPULAR (KILO)</v>
          </cell>
          <cell r="C292" t="str">
            <v>MP10087</v>
          </cell>
          <cell r="D292" t="str">
            <v xml:space="preserve">Bistek Popular </v>
          </cell>
          <cell r="E292" t="str">
            <v>Gramos</v>
          </cell>
        </row>
        <row r="293">
          <cell r="A293" t="str">
            <v>1730670</v>
          </cell>
          <cell r="B293" t="str">
            <v>BOLITA FALAFEL CRUDA (PAQ:100 UND)</v>
          </cell>
          <cell r="C293" t="str">
            <v>MP10088</v>
          </cell>
          <cell r="D293" t="str">
            <v xml:space="preserve">Bolita Falafel Cruda </v>
          </cell>
          <cell r="E293" t="str">
            <v>Unidades</v>
          </cell>
        </row>
        <row r="294">
          <cell r="A294" t="str">
            <v>410118</v>
          </cell>
          <cell r="B294" t="str">
            <v>BRILLO GLIT (UND:5 KILOS)</v>
          </cell>
          <cell r="C294" t="str">
            <v>MP10089</v>
          </cell>
          <cell r="D294" t="str">
            <v xml:space="preserve">Brillo Glit </v>
          </cell>
          <cell r="E294" t="str">
            <v>Gramos</v>
          </cell>
        </row>
        <row r="295">
          <cell r="A295" t="str">
            <v>101025</v>
          </cell>
          <cell r="B295" t="str">
            <v>BROCOLI KILO</v>
          </cell>
          <cell r="C295" t="str">
            <v>MP10090</v>
          </cell>
          <cell r="D295" t="str">
            <v>Brocoli granel</v>
          </cell>
          <cell r="E295" t="str">
            <v>Gramos</v>
          </cell>
        </row>
        <row r="296">
          <cell r="A296" t="str">
            <v>512316</v>
          </cell>
          <cell r="B296" t="str">
            <v>CAFÉ INSTANTANEO (PAQ: 500 G)</v>
          </cell>
          <cell r="C296" t="str">
            <v>MP10091</v>
          </cell>
          <cell r="D296" t="str">
            <v xml:space="preserve">Café Instantaneo </v>
          </cell>
          <cell r="E296" t="str">
            <v>Gramos</v>
          </cell>
        </row>
        <row r="297">
          <cell r="A297" t="str">
            <v>10900025</v>
          </cell>
          <cell r="B297" t="str">
            <v>CAMOTE EN TROZOS (PAQ: 2K)</v>
          </cell>
          <cell r="C297" t="str">
            <v>MP10094</v>
          </cell>
          <cell r="D297" t="str">
            <v>Camote En Trozos</v>
          </cell>
          <cell r="E297" t="str">
            <v>Gramos</v>
          </cell>
        </row>
        <row r="298">
          <cell r="A298" t="str">
            <v>10100311</v>
          </cell>
          <cell r="B298" t="str">
            <v>CANELA EN ASTILLAS BADIA ( UND: 340,2 G)</v>
          </cell>
          <cell r="C298" t="str">
            <v>MP10095</v>
          </cell>
          <cell r="D298" t="str">
            <v xml:space="preserve">Canela En Astilla </v>
          </cell>
          <cell r="E298" t="str">
            <v>Gramos</v>
          </cell>
        </row>
        <row r="299">
          <cell r="A299" t="str">
            <v>10100122</v>
          </cell>
          <cell r="B299" t="str">
            <v>CANELA EN POLVO BADIA (UND: 1.82 K)</v>
          </cell>
          <cell r="C299" t="str">
            <v>MP10096</v>
          </cell>
          <cell r="D299" t="str">
            <v xml:space="preserve">Canela En Polvo </v>
          </cell>
          <cell r="E299" t="str">
            <v>Gramos</v>
          </cell>
        </row>
        <row r="300">
          <cell r="A300" t="str">
            <v>2000002</v>
          </cell>
          <cell r="B300" t="str">
            <v>CARNE ANALOGA POLLO (CAJA:13.6 Kg)</v>
          </cell>
          <cell r="C300" t="str">
            <v>MP10097</v>
          </cell>
          <cell r="D300" t="str">
            <v>Carne Analoga Pollo</v>
          </cell>
          <cell r="E300" t="str">
            <v>Gramos</v>
          </cell>
        </row>
        <row r="301">
          <cell r="A301" t="str">
            <v>10300006</v>
          </cell>
          <cell r="B301" t="str">
            <v>CARNE ANALOGA RES (CAJA:13.6 Kg)</v>
          </cell>
          <cell r="C301" t="str">
            <v>MP10098</v>
          </cell>
          <cell r="D301" t="str">
            <v>Carne Analoga Res</v>
          </cell>
          <cell r="E301" t="str">
            <v>Gramos</v>
          </cell>
        </row>
        <row r="302">
          <cell r="A302" t="str">
            <v>10300049</v>
          </cell>
          <cell r="B302" t="str">
            <v>CARNE MOLIDA 80-20 (KILO)</v>
          </cell>
          <cell r="C302" t="str">
            <v>MP10099</v>
          </cell>
          <cell r="D302" t="str">
            <v>Carne Molida 80-20</v>
          </cell>
          <cell r="E302" t="str">
            <v>Gramos</v>
          </cell>
        </row>
        <row r="303">
          <cell r="A303" t="str">
            <v>210069</v>
          </cell>
          <cell r="B303" t="str">
            <v>CARNE MOLIDA RES PREMIUM KILO</v>
          </cell>
          <cell r="C303" t="str">
            <v>MP10100</v>
          </cell>
          <cell r="D303" t="str">
            <v xml:space="preserve">Carne Molida Res Premium </v>
          </cell>
          <cell r="E303" t="str">
            <v>Gramos</v>
          </cell>
        </row>
        <row r="304">
          <cell r="A304" t="str">
            <v>103000021</v>
          </cell>
          <cell r="B304" t="str">
            <v>CARNE OSOBUCO PICADO (KILO)</v>
          </cell>
          <cell r="C304" t="str">
            <v>MP10101</v>
          </cell>
          <cell r="D304" t="str">
            <v xml:space="preserve">Carne Osobuco Picado </v>
          </cell>
          <cell r="E304" t="str">
            <v>Gramos</v>
          </cell>
        </row>
        <row r="305">
          <cell r="A305" t="str">
            <v>10300028</v>
          </cell>
          <cell r="B305" t="str">
            <v>CARNE PARA MECHAR TD KILO</v>
          </cell>
          <cell r="C305" t="str">
            <v>MP10102</v>
          </cell>
          <cell r="D305" t="str">
            <v>Carne Para Mechar Td</v>
          </cell>
          <cell r="E305" t="str">
            <v>Gramos</v>
          </cell>
        </row>
        <row r="306">
          <cell r="A306" t="str">
            <v>10300051</v>
          </cell>
          <cell r="B306" t="str">
            <v>CARNITAS DE FILET (KILO)</v>
          </cell>
          <cell r="C306" t="str">
            <v>MP10103</v>
          </cell>
          <cell r="D306" t="str">
            <v xml:space="preserve">Carnitas De Filet </v>
          </cell>
          <cell r="E306" t="str">
            <v>Gramos</v>
          </cell>
        </row>
        <row r="307">
          <cell r="A307" t="str">
            <v>101043</v>
          </cell>
          <cell r="B307" t="str">
            <v>CEBOLLA BLANCA JULIANA (PAQ:1 KILO )</v>
          </cell>
          <cell r="C307" t="str">
            <v>MP10104</v>
          </cell>
          <cell r="D307" t="str">
            <v>Cebolla Blanca Juliana</v>
          </cell>
          <cell r="E307" t="str">
            <v>Gramos</v>
          </cell>
        </row>
        <row r="308">
          <cell r="A308" t="str">
            <v>110080</v>
          </cell>
          <cell r="B308" t="str">
            <v>CEBOLLA MORADA KILO</v>
          </cell>
          <cell r="C308" t="str">
            <v>MP10105</v>
          </cell>
          <cell r="D308" t="str">
            <v xml:space="preserve">Cebolla Morada </v>
          </cell>
          <cell r="E308" t="str">
            <v>Gramos</v>
          </cell>
        </row>
        <row r="309">
          <cell r="A309" t="str">
            <v>101040</v>
          </cell>
          <cell r="B309" t="str">
            <v>CEBOLLA TRENZA KILO</v>
          </cell>
          <cell r="C309" t="str">
            <v>MP10106</v>
          </cell>
          <cell r="D309" t="str">
            <v>Cebolla Trenza</v>
          </cell>
          <cell r="E309" t="str">
            <v>Gramos</v>
          </cell>
        </row>
        <row r="310">
          <cell r="A310" t="str">
            <v>101045</v>
          </cell>
          <cell r="B310" t="str">
            <v>CEBOLLINO KILO</v>
          </cell>
          <cell r="C310" t="str">
            <v>MP10107</v>
          </cell>
          <cell r="D310" t="str">
            <v xml:space="preserve">Cebollino </v>
          </cell>
          <cell r="E310" t="str">
            <v>Gramos</v>
          </cell>
        </row>
        <row r="311">
          <cell r="A311" t="str">
            <v>510171</v>
          </cell>
          <cell r="B311" t="str">
            <v>CEREZA CONFITADA (CAJA:10 K)</v>
          </cell>
          <cell r="C311" t="str">
            <v>MP10108</v>
          </cell>
          <cell r="D311" t="str">
            <v xml:space="preserve">Cereza Confitada </v>
          </cell>
          <cell r="E311" t="str">
            <v>Gramos</v>
          </cell>
        </row>
        <row r="312">
          <cell r="A312" t="str">
            <v>10900060</v>
          </cell>
          <cell r="B312" t="str">
            <v>CEREZA ROJA C/TALLO MARASCH (UND:GALON)</v>
          </cell>
          <cell r="C312" t="str">
            <v>MP10109</v>
          </cell>
          <cell r="D312" t="str">
            <v xml:space="preserve">Cereza Roja C/Tallo </v>
          </cell>
          <cell r="E312" t="str">
            <v>Mililitros</v>
          </cell>
        </row>
        <row r="313">
          <cell r="A313" t="str">
            <v>11400035</v>
          </cell>
          <cell r="B313" t="str">
            <v xml:space="preserve">CHANTILLY TOP CREAM BASE (UND: 2K) </v>
          </cell>
          <cell r="C313" t="str">
            <v>MP10110</v>
          </cell>
          <cell r="D313" t="str">
            <v>Chantilly Top Cream Base</v>
          </cell>
          <cell r="E313" t="str">
            <v>Gramos</v>
          </cell>
        </row>
        <row r="314">
          <cell r="A314" t="str">
            <v>1210492</v>
          </cell>
          <cell r="B314" t="str">
            <v>CHANTILLY TOP CREAM CHOCOLATE (UND:2 K)</v>
          </cell>
          <cell r="C314" t="str">
            <v>MP10111</v>
          </cell>
          <cell r="D314" t="str">
            <v xml:space="preserve">Chantilly Top Cream Chocolate </v>
          </cell>
          <cell r="E314" t="str">
            <v>Gramos</v>
          </cell>
        </row>
        <row r="315">
          <cell r="A315" t="str">
            <v>101050</v>
          </cell>
          <cell r="B315" t="str">
            <v>CHAYOTE (UND)</v>
          </cell>
          <cell r="C315" t="str">
            <v>MP10112</v>
          </cell>
          <cell r="D315" t="str">
            <v>Chayote Granel</v>
          </cell>
          <cell r="E315" t="str">
            <v>Gramos</v>
          </cell>
        </row>
        <row r="316">
          <cell r="A316" t="str">
            <v>101051</v>
          </cell>
          <cell r="B316" t="str">
            <v>CHAYOTE PICADO (PAQ:1 KILO)</v>
          </cell>
          <cell r="C316" t="str">
            <v>MP10113</v>
          </cell>
          <cell r="D316" t="str">
            <v>Chayote Picado</v>
          </cell>
          <cell r="E316" t="str">
            <v>Gramos</v>
          </cell>
        </row>
        <row r="317">
          <cell r="A317" t="str">
            <v>10900022</v>
          </cell>
          <cell r="B317" t="str">
            <v>CHAYOTE TIERNO EN TROZOS (PAQ:2 KILOS)</v>
          </cell>
          <cell r="C317" t="str">
            <v>MP10114</v>
          </cell>
          <cell r="D317" t="str">
            <v xml:space="preserve">Chayote Tierno En Trozos </v>
          </cell>
          <cell r="E317" t="str">
            <v>Gramos</v>
          </cell>
        </row>
        <row r="318">
          <cell r="A318" t="str">
            <v>0210047</v>
          </cell>
          <cell r="B318" t="str">
            <v xml:space="preserve">CHICHARON KILO </v>
          </cell>
          <cell r="C318" t="str">
            <v>MP10115</v>
          </cell>
          <cell r="D318" t="str">
            <v xml:space="preserve">Chicharon </v>
          </cell>
          <cell r="E318" t="str">
            <v>Gramos</v>
          </cell>
        </row>
        <row r="319">
          <cell r="A319" t="str">
            <v>1010009</v>
          </cell>
          <cell r="B319" t="str">
            <v>CHILE CHIPOTLE COSTEÑA (UND:2.9 K)</v>
          </cell>
          <cell r="C319" t="str">
            <v>MP10116</v>
          </cell>
          <cell r="D319" t="str">
            <v>Chile Chipotle Costeña</v>
          </cell>
          <cell r="E319" t="str">
            <v>Gramos</v>
          </cell>
        </row>
        <row r="320">
          <cell r="A320" t="str">
            <v>101055</v>
          </cell>
          <cell r="B320" t="str">
            <v>CHILE DULCE ENTERO KILO</v>
          </cell>
          <cell r="C320" t="str">
            <v>MP10117</v>
          </cell>
          <cell r="D320" t="str">
            <v xml:space="preserve">Chile Dulce Entero </v>
          </cell>
          <cell r="E320" t="str">
            <v>Gramos</v>
          </cell>
        </row>
        <row r="321">
          <cell r="A321" t="str">
            <v>10100263</v>
          </cell>
          <cell r="B321" t="str">
            <v>CHILE DULCE JULIANO (PAQ:KILO)</v>
          </cell>
          <cell r="C321" t="str">
            <v>MP10118</v>
          </cell>
          <cell r="D321" t="str">
            <v xml:space="preserve">Chile Dulce Juliano </v>
          </cell>
          <cell r="E321" t="str">
            <v>Gramos</v>
          </cell>
        </row>
        <row r="322">
          <cell r="A322" t="str">
            <v>101115</v>
          </cell>
          <cell r="B322" t="str">
            <v>CHILE DULCE PICADO (PAQ:500g)</v>
          </cell>
          <cell r="C322" t="str">
            <v>MP10119</v>
          </cell>
          <cell r="D322" t="str">
            <v xml:space="preserve">Chile Dulce Picado </v>
          </cell>
          <cell r="E322" t="str">
            <v>Gramos</v>
          </cell>
        </row>
        <row r="323">
          <cell r="A323" t="str">
            <v>10100084</v>
          </cell>
          <cell r="B323" t="str">
            <v>CHILE MORRON ASADO (UND:2.9 K)</v>
          </cell>
          <cell r="C323" t="str">
            <v>MP10120</v>
          </cell>
          <cell r="D323" t="str">
            <v>Chile Morron Asado</v>
          </cell>
          <cell r="E323" t="str">
            <v>Gramos</v>
          </cell>
        </row>
        <row r="324">
          <cell r="A324" t="str">
            <v>10100089</v>
          </cell>
          <cell r="B324" t="str">
            <v xml:space="preserve">CHILE MORRON LATA (UND:390g) </v>
          </cell>
          <cell r="C324" t="str">
            <v>MP10121</v>
          </cell>
          <cell r="D324" t="str">
            <v xml:space="preserve">Chile Morron Lata </v>
          </cell>
          <cell r="E324" t="str">
            <v>Gramos</v>
          </cell>
        </row>
        <row r="325">
          <cell r="A325" t="str">
            <v>1730495</v>
          </cell>
          <cell r="B325" t="str">
            <v>CHILE PANAMEÑO (KILO)</v>
          </cell>
          <cell r="C325" t="str">
            <v>MP10122</v>
          </cell>
          <cell r="D325" t="str">
            <v>Chile Panameño</v>
          </cell>
          <cell r="E325" t="str">
            <v>Gramos</v>
          </cell>
        </row>
        <row r="326">
          <cell r="A326" t="str">
            <v>10100178</v>
          </cell>
          <cell r="B326" t="str">
            <v>CHILE ROJO TRITURADO (UND:368G)</v>
          </cell>
          <cell r="C326" t="str">
            <v>MP10123</v>
          </cell>
          <cell r="D326" t="str">
            <v>Chile Rojo Triturado</v>
          </cell>
          <cell r="E326" t="str">
            <v>Gramos</v>
          </cell>
        </row>
        <row r="327">
          <cell r="A327" t="str">
            <v>10100039</v>
          </cell>
          <cell r="B327" t="str">
            <v>CHIPS CHOCOLATE AMARGO (PAQ: 2,5 k)</v>
          </cell>
          <cell r="C327" t="str">
            <v>MP10124</v>
          </cell>
          <cell r="D327" t="str">
            <v>Chips Chocolate Amargo</v>
          </cell>
          <cell r="E327" t="str">
            <v>Gramos</v>
          </cell>
        </row>
        <row r="328">
          <cell r="A328" t="str">
            <v>10700045</v>
          </cell>
          <cell r="B328" t="str">
            <v>CHOCOLATE DARK MONEDAS (PAQ: 1 K)</v>
          </cell>
          <cell r="C328" t="str">
            <v>MP10125</v>
          </cell>
          <cell r="D328" t="str">
            <v xml:space="preserve">Chocolate Dark Monedas </v>
          </cell>
          <cell r="E328" t="str">
            <v>Gramos</v>
          </cell>
        </row>
        <row r="329">
          <cell r="A329" t="str">
            <v>10700015</v>
          </cell>
          <cell r="B329" t="str">
            <v>CHOCOLATE ESTRELLA DORADA (CAJA:215 UN)</v>
          </cell>
          <cell r="C329" t="str">
            <v>MP10126</v>
          </cell>
          <cell r="D329" t="str">
            <v xml:space="preserve">Chocolate Estrella Dorada </v>
          </cell>
          <cell r="E329" t="str">
            <v>Unidades</v>
          </cell>
        </row>
        <row r="330">
          <cell r="A330" t="str">
            <v>1210473</v>
          </cell>
          <cell r="B330" t="str">
            <v>CHOCOLATE HOJA OTOÑO (CAJA:150 UND)</v>
          </cell>
          <cell r="C330" t="str">
            <v>MP10128</v>
          </cell>
          <cell r="D330" t="str">
            <v xml:space="preserve">Chocolate Hoja Otoño </v>
          </cell>
          <cell r="E330" t="str">
            <v>Unidades</v>
          </cell>
        </row>
        <row r="331">
          <cell r="A331" t="str">
            <v>1210396</v>
          </cell>
          <cell r="B331" t="str">
            <v>CHOCOLATE LECHE BELCOLADE (PAQ: 1 K)</v>
          </cell>
          <cell r="C331" t="str">
            <v>MP10129</v>
          </cell>
          <cell r="D331" t="str">
            <v xml:space="preserve">Chocolate Leche Belcolade </v>
          </cell>
          <cell r="E331" t="str">
            <v>Gramos</v>
          </cell>
        </row>
        <row r="332">
          <cell r="A332" t="str">
            <v>1070002</v>
          </cell>
          <cell r="B332" t="str">
            <v>CHOCOLATE TRIAN OLEA  PEQ (CAJA:250 UND)</v>
          </cell>
          <cell r="C332" t="str">
            <v>MP10130</v>
          </cell>
          <cell r="D332" t="str">
            <v>Chocolate Triangulo Oleaje  Peq</v>
          </cell>
          <cell r="E332" t="str">
            <v>Unidades</v>
          </cell>
        </row>
        <row r="333">
          <cell r="A333" t="str">
            <v>1210464</v>
          </cell>
          <cell r="B333" t="str">
            <v>CHOCOLATE TRIAN OLEAJE GRD (CAJA:200 UN)</v>
          </cell>
          <cell r="C333" t="str">
            <v>MP10131</v>
          </cell>
          <cell r="D333" t="str">
            <v xml:space="preserve">Chocolate Triangulo Oleaje Grd </v>
          </cell>
          <cell r="E333" t="str">
            <v>Unidades</v>
          </cell>
        </row>
        <row r="334">
          <cell r="A334" t="str">
            <v>1210495</v>
          </cell>
          <cell r="B334" t="str">
            <v>CHOCOLATE TRIANGULO CURVO (CAJA:150 UND)</v>
          </cell>
          <cell r="C334" t="str">
            <v>MP10132</v>
          </cell>
          <cell r="D334" t="str">
            <v xml:space="preserve">Chocolate Triangulo Curvo </v>
          </cell>
          <cell r="E334" t="str">
            <v>Unidades</v>
          </cell>
        </row>
        <row r="335">
          <cell r="A335" t="str">
            <v>1210461</v>
          </cell>
          <cell r="B335" t="str">
            <v>CHOCOLATE TULIPAN MARMOL (CAJA:150 UND)</v>
          </cell>
          <cell r="C335" t="str">
            <v>MP10133</v>
          </cell>
          <cell r="D335" t="str">
            <v>Chocolate Tulipan Marmol</v>
          </cell>
          <cell r="E335" t="str">
            <v>Unidades</v>
          </cell>
        </row>
        <row r="336">
          <cell r="A336" t="str">
            <v>210060</v>
          </cell>
          <cell r="B336" t="str">
            <v>CHORIZO  CRIOLLO KILO</v>
          </cell>
          <cell r="C336" t="str">
            <v>MP10135</v>
          </cell>
          <cell r="D336" t="str">
            <v xml:space="preserve">Chorizo  Criollo </v>
          </cell>
          <cell r="E336" t="str">
            <v>Gramos</v>
          </cell>
        </row>
        <row r="337">
          <cell r="A337" t="str">
            <v>0210108</v>
          </cell>
          <cell r="B337" t="str">
            <v>CHULETA AHUMADA KILO</v>
          </cell>
          <cell r="C337" t="str">
            <v>MP10137</v>
          </cell>
          <cell r="D337" t="str">
            <v xml:space="preserve">Chuleta Ahumada </v>
          </cell>
          <cell r="E337" t="str">
            <v>Gramos</v>
          </cell>
        </row>
        <row r="338">
          <cell r="A338" t="str">
            <v>1730579</v>
          </cell>
          <cell r="B338" t="str">
            <v>CHULETAS KILO</v>
          </cell>
          <cell r="C338" t="str">
            <v>MP10138</v>
          </cell>
          <cell r="D338" t="str">
            <v>Chuletas</v>
          </cell>
          <cell r="E338" t="str">
            <v>Gramos</v>
          </cell>
        </row>
        <row r="339">
          <cell r="A339" t="str">
            <v>906288</v>
          </cell>
          <cell r="B339" t="str">
            <v>CILINDRO CHANTILLY (CAJA=10UND)</v>
          </cell>
          <cell r="C339" t="str">
            <v>MP10139</v>
          </cell>
          <cell r="D339" t="str">
            <v xml:space="preserve">Cilindro Chantilly </v>
          </cell>
          <cell r="E339" t="str">
            <v>Unidades</v>
          </cell>
        </row>
        <row r="340">
          <cell r="A340" t="str">
            <v>109000146</v>
          </cell>
          <cell r="B340" t="str">
            <v>CIRUELA (CAJA:10 Kg)</v>
          </cell>
          <cell r="C340" t="str">
            <v>MP10140</v>
          </cell>
          <cell r="D340" t="str">
            <v xml:space="preserve">Ciruela </v>
          </cell>
          <cell r="E340" t="str">
            <v>Gramos</v>
          </cell>
        </row>
        <row r="341">
          <cell r="A341" t="str">
            <v>11300009</v>
          </cell>
          <cell r="B341" t="str">
            <v xml:space="preserve">CLARA DE HUEVO (CAJA:5 K) </v>
          </cell>
          <cell r="C341" t="str">
            <v>MP10141</v>
          </cell>
          <cell r="D341" t="str">
            <v xml:space="preserve">Clara De Huevo </v>
          </cell>
          <cell r="E341" t="str">
            <v>Gramos</v>
          </cell>
        </row>
        <row r="342">
          <cell r="A342" t="str">
            <v>1210445</v>
          </cell>
          <cell r="B342" t="str">
            <v>CLARAS HUEVO DESHIDRATADA (CAJA:22.68 K)</v>
          </cell>
          <cell r="C342" t="str">
            <v>MP10142</v>
          </cell>
          <cell r="D342" t="str">
            <v xml:space="preserve">Claras Huevo Deshidratada </v>
          </cell>
          <cell r="E342" t="str">
            <v>Gramos</v>
          </cell>
        </row>
        <row r="343">
          <cell r="A343" t="str">
            <v>1210387</v>
          </cell>
          <cell r="B343" t="str">
            <v xml:space="preserve">COBERTURA CHOCOLATE BLANCO (PAQ:1 K) </v>
          </cell>
          <cell r="C343" t="str">
            <v>MP10143</v>
          </cell>
          <cell r="D343" t="str">
            <v>Cobertura Chocolate Blanco Nacional</v>
          </cell>
          <cell r="E343" t="str">
            <v>Gramos</v>
          </cell>
        </row>
        <row r="344">
          <cell r="A344" t="str">
            <v>10100287</v>
          </cell>
          <cell r="B344" t="str">
            <v>COBERTURA DONA BLANCA (UND: 10.43 K)</v>
          </cell>
          <cell r="C344" t="str">
            <v>MP10144</v>
          </cell>
          <cell r="D344" t="str">
            <v xml:space="preserve">Cobertura Dona Blanca </v>
          </cell>
          <cell r="E344" t="str">
            <v>Gramos</v>
          </cell>
        </row>
        <row r="345">
          <cell r="A345" t="str">
            <v>510174</v>
          </cell>
          <cell r="B345" t="str">
            <v>COCO RALLADO (PAQ: 1 K)</v>
          </cell>
          <cell r="C345" t="str">
            <v>MP10145</v>
          </cell>
          <cell r="D345" t="str">
            <v xml:space="preserve">Coco Rallado </v>
          </cell>
          <cell r="E345" t="str">
            <v>Gramos</v>
          </cell>
        </row>
        <row r="346">
          <cell r="A346" t="str">
            <v>0512255</v>
          </cell>
          <cell r="B346" t="str">
            <v>COCOA DUTCH PROCESS (SACO:25 KG)</v>
          </cell>
          <cell r="C346" t="str">
            <v>MP10146</v>
          </cell>
          <cell r="D346" t="str">
            <v xml:space="preserve">Cocoa Dutch Process </v>
          </cell>
          <cell r="E346" t="str">
            <v>Gramos</v>
          </cell>
        </row>
        <row r="347">
          <cell r="A347" t="str">
            <v>10100319</v>
          </cell>
          <cell r="B347" t="str">
            <v xml:space="preserve">CODITOS ROMA (PAQ: KILO) </v>
          </cell>
          <cell r="C347" t="str">
            <v>MP10147</v>
          </cell>
          <cell r="D347" t="str">
            <v>Coditos Roma</v>
          </cell>
          <cell r="E347" t="str">
            <v>Gramos</v>
          </cell>
        </row>
        <row r="348">
          <cell r="A348" t="str">
            <v>101065</v>
          </cell>
          <cell r="B348" t="str">
            <v>COLIFLOR KILO</v>
          </cell>
          <cell r="C348" t="str">
            <v>MP10148</v>
          </cell>
          <cell r="D348" t="str">
            <v>Coliflor granel</v>
          </cell>
          <cell r="E348" t="str">
            <v>Gramos</v>
          </cell>
        </row>
        <row r="349">
          <cell r="A349" t="str">
            <v>10400011</v>
          </cell>
          <cell r="B349" t="str">
            <v>COLORANTE ARTIFICIAL ROSADO F225 (LITRO)</v>
          </cell>
          <cell r="C349" t="str">
            <v>MP10149</v>
          </cell>
          <cell r="D349" t="str">
            <v xml:space="preserve">Colorante Artificial Rosado F225 </v>
          </cell>
          <cell r="E349" t="str">
            <v>Mililitros</v>
          </cell>
        </row>
        <row r="350">
          <cell r="A350" t="str">
            <v>10400008</v>
          </cell>
          <cell r="B350" t="str">
            <v>COLORANTE GEL EGG YELLOW  (UND= 130 ML)</v>
          </cell>
          <cell r="C350" t="str">
            <v>MP10150</v>
          </cell>
          <cell r="D350" t="str">
            <v xml:space="preserve">Colorante Gel Egg Yellow </v>
          </cell>
          <cell r="E350" t="str">
            <v>Mililitros</v>
          </cell>
        </row>
        <row r="351">
          <cell r="A351" t="str">
            <v>10400003</v>
          </cell>
          <cell r="B351" t="str">
            <v>COLORANTE GEL ELECTRIC BLUE (UND=130ml)</v>
          </cell>
          <cell r="C351" t="str">
            <v>MP10151</v>
          </cell>
          <cell r="D351" t="str">
            <v xml:space="preserve">Colorante Gel Electric Blue </v>
          </cell>
          <cell r="E351" t="str">
            <v>Mililitros</v>
          </cell>
        </row>
        <row r="352">
          <cell r="A352" t="str">
            <v>10400001</v>
          </cell>
          <cell r="B352" t="str">
            <v>COLORANTE GEL ELECTRIC GREEN (UD=130ml)</v>
          </cell>
          <cell r="C352" t="str">
            <v>MP10152</v>
          </cell>
          <cell r="D352" t="str">
            <v xml:space="preserve">Colorante Gel Electric Green </v>
          </cell>
          <cell r="E352" t="str">
            <v>Mililitros</v>
          </cell>
        </row>
        <row r="353">
          <cell r="A353" t="str">
            <v>10400007</v>
          </cell>
          <cell r="B353" t="str">
            <v>COLORANTE GEL ELECTRIC ORANGE (UND=130m)</v>
          </cell>
          <cell r="C353" t="str">
            <v>MP10153</v>
          </cell>
          <cell r="D353" t="str">
            <v>Colorante Gel Electric Orange</v>
          </cell>
          <cell r="E353" t="str">
            <v>Mililitros</v>
          </cell>
        </row>
        <row r="354">
          <cell r="A354" t="str">
            <v>10400005</v>
          </cell>
          <cell r="B354" t="str">
            <v>COLORANTE GEL ELECTRIC PINK (UND=4.5 OZ)</v>
          </cell>
          <cell r="C354" t="str">
            <v>MP10154</v>
          </cell>
          <cell r="D354" t="str">
            <v xml:space="preserve">Colorante Gel Electric Pink </v>
          </cell>
          <cell r="E354" t="str">
            <v>Mililitros</v>
          </cell>
        </row>
        <row r="355">
          <cell r="A355" t="str">
            <v>10400002</v>
          </cell>
          <cell r="B355" t="str">
            <v>COLORANTE GEL ELECTRIC PURPLE (UND=4.5)</v>
          </cell>
          <cell r="C355" t="str">
            <v>MP10155</v>
          </cell>
          <cell r="D355" t="str">
            <v xml:space="preserve">Colorante Gel Electric Purple </v>
          </cell>
          <cell r="E355" t="str">
            <v>Mililitros</v>
          </cell>
        </row>
        <row r="356">
          <cell r="A356" t="str">
            <v>10400006</v>
          </cell>
          <cell r="B356" t="str">
            <v>COLORANTE GEL LEMON YELLOW UND 130 ML</v>
          </cell>
          <cell r="C356" t="str">
            <v>MP10156</v>
          </cell>
          <cell r="D356" t="str">
            <v xml:space="preserve">Colorante Gel Lemon Yellow </v>
          </cell>
          <cell r="E356" t="str">
            <v>Mililitros</v>
          </cell>
        </row>
        <row r="357">
          <cell r="A357" t="str">
            <v>10400009</v>
          </cell>
          <cell r="B357" t="str">
            <v xml:space="preserve">COLORANTE GEL SUPER RED 130 ml </v>
          </cell>
          <cell r="C357" t="str">
            <v>MP10157</v>
          </cell>
          <cell r="D357" t="str">
            <v xml:space="preserve">Colorante Gel Super Red </v>
          </cell>
          <cell r="E357" t="str">
            <v>Mililitros</v>
          </cell>
        </row>
        <row r="358">
          <cell r="A358" t="str">
            <v>610218</v>
          </cell>
          <cell r="B358" t="str">
            <v>COMINO (UND:454G)</v>
          </cell>
          <cell r="C358" t="str">
            <v>MP10158</v>
          </cell>
          <cell r="D358" t="str">
            <v>Condimento Comino</v>
          </cell>
          <cell r="E358" t="str">
            <v>Gramos</v>
          </cell>
        </row>
        <row r="359">
          <cell r="A359" t="str">
            <v>11200041</v>
          </cell>
          <cell r="B359" t="str">
            <v>CONCHA PIZZA (PAQ:5 UND)</v>
          </cell>
          <cell r="C359" t="str">
            <v>MP10159</v>
          </cell>
          <cell r="D359" t="str">
            <v xml:space="preserve">Concha Pizza </v>
          </cell>
          <cell r="E359" t="str">
            <v>Unidades</v>
          </cell>
        </row>
        <row r="360">
          <cell r="A360" t="str">
            <v>10700014</v>
          </cell>
          <cell r="B360" t="str">
            <v>CONFITE FIGURA NAVIDAD (PAQ:500 G)</v>
          </cell>
          <cell r="C360" t="str">
            <v>MP10160</v>
          </cell>
          <cell r="D360" t="str">
            <v>Confite Figura Navidad</v>
          </cell>
          <cell r="E360" t="str">
            <v>Gramos</v>
          </cell>
        </row>
        <row r="361">
          <cell r="A361" t="str">
            <v>10700008</v>
          </cell>
          <cell r="B361" t="str">
            <v>CONFITE PALITO CHOCOLATE (PAQ:680 G)</v>
          </cell>
          <cell r="C361" t="str">
            <v>MP10161</v>
          </cell>
          <cell r="D361" t="str">
            <v>Confite Palito Chocolate</v>
          </cell>
          <cell r="E361" t="str">
            <v>Gramos</v>
          </cell>
        </row>
        <row r="362">
          <cell r="A362" t="str">
            <v>510179</v>
          </cell>
          <cell r="B362" t="str">
            <v>CONFITURA COLORES(PAQ:1 KILO)</v>
          </cell>
          <cell r="C362" t="str">
            <v>MP10162</v>
          </cell>
          <cell r="D362" t="str">
            <v>Confitura Colores</v>
          </cell>
          <cell r="E362" t="str">
            <v>Gramos</v>
          </cell>
        </row>
        <row r="363">
          <cell r="A363" t="str">
            <v>105000029</v>
          </cell>
          <cell r="B363" t="str">
            <v>CONSOME CONCEN. DE RES (UND:2 K)</v>
          </cell>
          <cell r="C363" t="str">
            <v>MP10163</v>
          </cell>
          <cell r="D363" t="str">
            <v xml:space="preserve">Consome Concen. De Res </v>
          </cell>
          <cell r="E363" t="str">
            <v>Gramos</v>
          </cell>
        </row>
        <row r="364">
          <cell r="A364" t="str">
            <v>1730580</v>
          </cell>
          <cell r="B364" t="str">
            <v>COSTILLA DE CERDO (PAQ:1 KILO)</v>
          </cell>
          <cell r="C364" t="str">
            <v>MP10164</v>
          </cell>
          <cell r="D364" t="str">
            <v xml:space="preserve">Costilla De Cerdo </v>
          </cell>
          <cell r="E364" t="str">
            <v>Gramos</v>
          </cell>
        </row>
        <row r="365">
          <cell r="A365" t="str">
            <v>11400029</v>
          </cell>
          <cell r="B365" t="str">
            <v>CREMA BETTER DULCE LECHE RICH (UND:4 K)</v>
          </cell>
          <cell r="C365" t="str">
            <v>MP10165</v>
          </cell>
          <cell r="D365" t="str">
            <v>Crema Better Dulce Leche Rich</v>
          </cell>
          <cell r="E365" t="str">
            <v>Gramos</v>
          </cell>
        </row>
        <row r="366">
          <cell r="A366" t="str">
            <v>610223</v>
          </cell>
          <cell r="B366" t="str">
            <v>CREMA DE HONGOS (CAJA:12 UND)</v>
          </cell>
          <cell r="C366" t="str">
            <v>MP10166</v>
          </cell>
          <cell r="D366" t="str">
            <v>Crema De Hongos</v>
          </cell>
          <cell r="E366" t="str">
            <v>Gramos</v>
          </cell>
        </row>
        <row r="367">
          <cell r="A367" t="str">
            <v>105000051</v>
          </cell>
          <cell r="B367" t="str">
            <v>CULANTRO COYOTE ( ROLLO)</v>
          </cell>
          <cell r="C367" t="str">
            <v>MP10171</v>
          </cell>
          <cell r="D367" t="str">
            <v xml:space="preserve">Culantro Coyote </v>
          </cell>
          <cell r="E367" t="str">
            <v>Gramos</v>
          </cell>
        </row>
        <row r="368">
          <cell r="A368" t="str">
            <v>101072</v>
          </cell>
          <cell r="B368" t="str">
            <v>CULANTRO DESINFECTADO</v>
          </cell>
          <cell r="C368" t="str">
            <v>MP10172</v>
          </cell>
          <cell r="D368" t="str">
            <v>Culantro Desinfectado 100 grs</v>
          </cell>
          <cell r="E368" t="str">
            <v>Gramos</v>
          </cell>
        </row>
        <row r="369">
          <cell r="A369" t="str">
            <v>101073</v>
          </cell>
          <cell r="B369" t="str">
            <v>CULANTRO DESINFECTADO (PAQ:250g)</v>
          </cell>
          <cell r="C369" t="str">
            <v>MP10173</v>
          </cell>
          <cell r="D369" t="str">
            <v>Culantro Desinfectado 250 grs</v>
          </cell>
          <cell r="E369" t="str">
            <v>Gramos</v>
          </cell>
        </row>
        <row r="370">
          <cell r="A370" t="str">
            <v>105000001</v>
          </cell>
          <cell r="B370" t="str">
            <v>CURRY POLVO (UND:454 G)</v>
          </cell>
          <cell r="C370" t="str">
            <v>MP10174</v>
          </cell>
          <cell r="D370" t="str">
            <v>Curry Polvo</v>
          </cell>
          <cell r="E370" t="str">
            <v>Gramos</v>
          </cell>
        </row>
        <row r="371">
          <cell r="A371" t="str">
            <v>11700002</v>
          </cell>
          <cell r="B371" t="str">
            <v>DULCE LECHE LA CIABATA (UND:5 K )</v>
          </cell>
          <cell r="C371" t="str">
            <v>MP10176</v>
          </cell>
          <cell r="D371" t="str">
            <v xml:space="preserve">Dulce Leche La Ciabata </v>
          </cell>
          <cell r="E371" t="str">
            <v>Gramos</v>
          </cell>
        </row>
        <row r="372">
          <cell r="A372" t="str">
            <v>10900026</v>
          </cell>
          <cell r="B372" t="str">
            <v>ELOTE BLANCO EN TROZOS (PAQ:2K)</v>
          </cell>
          <cell r="C372" t="str">
            <v>MP10177</v>
          </cell>
          <cell r="D372" t="str">
            <v>Elote Blanco En Trozos</v>
          </cell>
          <cell r="E372" t="str">
            <v>Gramos</v>
          </cell>
        </row>
        <row r="373">
          <cell r="A373" t="str">
            <v>20400119</v>
          </cell>
          <cell r="B373" t="str">
            <v>EMPANIZADOR DE PESCADO (PAQ:KIL) COMEDOR</v>
          </cell>
          <cell r="C373" t="str">
            <v>MP10178</v>
          </cell>
          <cell r="D373" t="str">
            <v xml:space="preserve">Empanizador De Pescado </v>
          </cell>
          <cell r="E373" t="str">
            <v>Gramos</v>
          </cell>
        </row>
        <row r="374">
          <cell r="A374" t="str">
            <v>20400118</v>
          </cell>
          <cell r="B374" t="str">
            <v>EMPANIZADOR DE POLLO (PAQ:KILO) COMEDOR</v>
          </cell>
          <cell r="C374" t="str">
            <v>MP10179</v>
          </cell>
          <cell r="D374" t="str">
            <v xml:space="preserve">Empanizador De Pollo </v>
          </cell>
          <cell r="E374" t="str">
            <v>Gramos</v>
          </cell>
        </row>
        <row r="375">
          <cell r="A375" t="str">
            <v>112000047</v>
          </cell>
          <cell r="B375" t="str">
            <v>EMPANIZADOR PANKO (PAQ: 3 K)</v>
          </cell>
          <cell r="C375" t="str">
            <v>MP10180</v>
          </cell>
          <cell r="D375" t="str">
            <v xml:space="preserve">Empanizador Panko </v>
          </cell>
          <cell r="E375" t="str">
            <v>Gramos</v>
          </cell>
        </row>
        <row r="376">
          <cell r="A376" t="str">
            <v>510280</v>
          </cell>
          <cell r="B376" t="str">
            <v>EMULCON TM (SACO:20 K)</v>
          </cell>
          <cell r="C376" t="str">
            <v>MP10181</v>
          </cell>
          <cell r="D376" t="str">
            <v xml:space="preserve">Emulcon Tm </v>
          </cell>
          <cell r="E376" t="str">
            <v>Gramos</v>
          </cell>
        </row>
        <row r="377">
          <cell r="A377" t="str">
            <v>10100306</v>
          </cell>
          <cell r="B377" t="str">
            <v>ENDULZANTE SWEET SPOON (CAJA: 1000 UND)</v>
          </cell>
          <cell r="C377" t="str">
            <v>MP10183</v>
          </cell>
          <cell r="D377" t="str">
            <v xml:space="preserve">Endulzante Sweet Spoon </v>
          </cell>
          <cell r="E377" t="str">
            <v>Unidades</v>
          </cell>
        </row>
        <row r="378">
          <cell r="A378" t="str">
            <v>176799</v>
          </cell>
          <cell r="B378" t="str">
            <v>ENELDO SECO (UND:141 G)</v>
          </cell>
          <cell r="C378" t="str">
            <v>MP10184</v>
          </cell>
          <cell r="D378" t="str">
            <v>Eneldo Seco</v>
          </cell>
          <cell r="E378" t="str">
            <v>Gramos</v>
          </cell>
        </row>
        <row r="379">
          <cell r="A379" t="str">
            <v>1210420</v>
          </cell>
          <cell r="B379" t="str">
            <v>ESPAGUETTI (PAQ: 1K)</v>
          </cell>
          <cell r="C379" t="str">
            <v>MP10185</v>
          </cell>
          <cell r="D379" t="str">
            <v xml:space="preserve">Espaguetti </v>
          </cell>
          <cell r="E379" t="str">
            <v>Gramos</v>
          </cell>
        </row>
        <row r="380">
          <cell r="A380" t="str">
            <v>0101075</v>
          </cell>
          <cell r="B380" t="str">
            <v>ESPINACA EN HOJA (PAQ:500g)</v>
          </cell>
          <cell r="C380" t="str">
            <v>MP10186</v>
          </cell>
          <cell r="D380" t="str">
            <v xml:space="preserve">Espinaca En Hoja </v>
          </cell>
          <cell r="E380" t="str">
            <v>Gramos</v>
          </cell>
        </row>
        <row r="381">
          <cell r="A381" t="str">
            <v>10100317</v>
          </cell>
          <cell r="B381" t="str">
            <v>FIDEOS ARROZ PADTHAI ROLAND (UND:396G)</v>
          </cell>
          <cell r="C381" t="str">
            <v>MP10187</v>
          </cell>
          <cell r="D381" t="str">
            <v xml:space="preserve">Pasta Fideos Arroz Padthai </v>
          </cell>
          <cell r="E381" t="str">
            <v>Gramos</v>
          </cell>
        </row>
        <row r="382">
          <cell r="A382" t="str">
            <v>10100135</v>
          </cell>
          <cell r="B382" t="str">
            <v>FIDEOS TORNILLITO (PAQ:1 K)</v>
          </cell>
          <cell r="C382" t="str">
            <v>MP10188</v>
          </cell>
          <cell r="D382" t="str">
            <v>Pasta Fideos Tornillito</v>
          </cell>
          <cell r="E382" t="str">
            <v>Gramos</v>
          </cell>
        </row>
        <row r="383">
          <cell r="A383" t="str">
            <v>10300050</v>
          </cell>
          <cell r="B383" t="str">
            <v>FILET CORTE MARIPOSA</v>
          </cell>
          <cell r="C383" t="str">
            <v>MP10189</v>
          </cell>
          <cell r="D383" t="str">
            <v>Filet Corte Mariposa</v>
          </cell>
          <cell r="E383" t="str">
            <v>Gramos</v>
          </cell>
        </row>
        <row r="384">
          <cell r="A384" t="str">
            <v>3110271</v>
          </cell>
          <cell r="B384" t="str">
            <v>FILET TILAPIA (5-7 ONZ P/KILO)</v>
          </cell>
          <cell r="C384" t="str">
            <v>MP10190</v>
          </cell>
          <cell r="D384" t="str">
            <v>Filet Tilapia (5-7 Onz)</v>
          </cell>
          <cell r="E384" t="str">
            <v>Gramos</v>
          </cell>
        </row>
        <row r="385">
          <cell r="A385" t="str">
            <v>10100230</v>
          </cell>
          <cell r="B385" t="str">
            <v>FRESA CONGELADA BEGRO (PAQ:1 K)</v>
          </cell>
          <cell r="C385" t="str">
            <v>MP10191</v>
          </cell>
          <cell r="D385" t="str">
            <v xml:space="preserve">Fresa Entera Congelada </v>
          </cell>
          <cell r="E385" t="str">
            <v>Gramos</v>
          </cell>
        </row>
        <row r="386">
          <cell r="A386" t="str">
            <v>10900032</v>
          </cell>
          <cell r="B386" t="str">
            <v>FRESA ENTERA (UND:300 g)</v>
          </cell>
          <cell r="C386" t="str">
            <v>MP10192</v>
          </cell>
          <cell r="D386" t="str">
            <v>Fresa Entera fresca</v>
          </cell>
          <cell r="E386" t="str">
            <v>Gramos</v>
          </cell>
        </row>
        <row r="387">
          <cell r="A387" t="str">
            <v>101081</v>
          </cell>
          <cell r="B387" t="str">
            <v>FRESA PICADA KILO</v>
          </cell>
          <cell r="C387" t="str">
            <v>MP10193</v>
          </cell>
          <cell r="D387" t="str">
            <v xml:space="preserve">Fresa Picada </v>
          </cell>
          <cell r="E387" t="str">
            <v>Gramos</v>
          </cell>
        </row>
        <row r="388">
          <cell r="A388" t="str">
            <v>1112444</v>
          </cell>
          <cell r="B388" t="str">
            <v>FRIJOL MOLIDO NEGRO LA CHULA (UND:2.2 K)</v>
          </cell>
          <cell r="C388" t="str">
            <v>MP10194</v>
          </cell>
          <cell r="D388" t="str">
            <v>Frijol Molido Negro</v>
          </cell>
          <cell r="E388" t="str">
            <v>Gramos</v>
          </cell>
        </row>
        <row r="389">
          <cell r="A389" t="str">
            <v>10100174</v>
          </cell>
          <cell r="B389" t="str">
            <v>FRIJOL NEGRO TIO PELON (BULTO:15/800 G)</v>
          </cell>
          <cell r="C389" t="str">
            <v>MP10195</v>
          </cell>
          <cell r="D389" t="str">
            <v xml:space="preserve">Frijoles Negros </v>
          </cell>
          <cell r="E389" t="str">
            <v>Gramos</v>
          </cell>
        </row>
        <row r="390">
          <cell r="A390" t="str">
            <v>10100309</v>
          </cell>
          <cell r="B390" t="str">
            <v>FRIJOL ROJO TIO PELON (BULTO: 15/800G)</v>
          </cell>
          <cell r="C390" t="str">
            <v>MP10196</v>
          </cell>
          <cell r="D390" t="str">
            <v>Frijoles Rojos</v>
          </cell>
          <cell r="E390" t="str">
            <v>Gramos</v>
          </cell>
        </row>
        <row r="391">
          <cell r="A391" t="str">
            <v>510268</v>
          </cell>
          <cell r="B391" t="str">
            <v>FRIJOL TIERNO (PAQ:1KILO)</v>
          </cell>
          <cell r="C391" t="str">
            <v>MP10197</v>
          </cell>
          <cell r="D391" t="str">
            <v xml:space="preserve">Frijoles Tiernos </v>
          </cell>
          <cell r="E391" t="str">
            <v>Gramos</v>
          </cell>
        </row>
        <row r="392">
          <cell r="A392" t="str">
            <v>109000131</v>
          </cell>
          <cell r="B392" t="str">
            <v>FRUTOS DEL BOSQUE (PAQ: 500 G)</v>
          </cell>
          <cell r="C392" t="str">
            <v>MP10199</v>
          </cell>
          <cell r="D392" t="str">
            <v xml:space="preserve">Frutos Del Bosque </v>
          </cell>
          <cell r="E392" t="str">
            <v>Gramos</v>
          </cell>
        </row>
        <row r="393">
          <cell r="A393" t="str">
            <v>112000050</v>
          </cell>
          <cell r="B393" t="str">
            <v>GALLETA CHOCOLATE (PAQ:KG)</v>
          </cell>
          <cell r="C393" t="str">
            <v>MP10200</v>
          </cell>
          <cell r="D393" t="str">
            <v xml:space="preserve">Galleta Chocolate </v>
          </cell>
          <cell r="E393" t="str">
            <v>Gramos</v>
          </cell>
        </row>
        <row r="394">
          <cell r="A394" t="str">
            <v>10100041</v>
          </cell>
          <cell r="B394" t="str">
            <v>GARBANZOS (UND:3 K)</v>
          </cell>
          <cell r="C394" t="str">
            <v>MP10201</v>
          </cell>
          <cell r="D394" t="str">
            <v xml:space="preserve">Garbanzos </v>
          </cell>
          <cell r="E394" t="str">
            <v>Gramos</v>
          </cell>
        </row>
        <row r="395">
          <cell r="A395" t="str">
            <v>120000038</v>
          </cell>
          <cell r="B395" t="str">
            <v>GNC AMP GOLD ADVANCED VAN (UND: 10 LB)</v>
          </cell>
          <cell r="C395" t="str">
            <v>MP10202</v>
          </cell>
          <cell r="D395" t="str">
            <v xml:space="preserve">Gnc Amp Gold Advanced Van </v>
          </cell>
          <cell r="E395" t="str">
            <v>Gramos</v>
          </cell>
        </row>
        <row r="396">
          <cell r="A396" t="str">
            <v>1160001</v>
          </cell>
          <cell r="B396" t="str">
            <v>GOMA XANTAN (KILO)</v>
          </cell>
          <cell r="C396" t="str">
            <v>MP10203</v>
          </cell>
          <cell r="D396" t="str">
            <v xml:space="preserve">Goma Xantan </v>
          </cell>
          <cell r="E396" t="str">
            <v>Gramos</v>
          </cell>
        </row>
        <row r="397">
          <cell r="A397" t="str">
            <v>1110408</v>
          </cell>
          <cell r="B397" t="str">
            <v>GUISANTES LAMB WESTON (PAQ: 1 K)</v>
          </cell>
          <cell r="C397" t="str">
            <v>MP10204</v>
          </cell>
          <cell r="D397" t="str">
            <v xml:space="preserve">Guisantes </v>
          </cell>
          <cell r="E397" t="str">
            <v>Gramos</v>
          </cell>
        </row>
        <row r="398">
          <cell r="A398" t="str">
            <v>0510190</v>
          </cell>
          <cell r="B398" t="str">
            <v>HARINA GOLD MEDAL (PAQ:4.5 K)</v>
          </cell>
          <cell r="C398" t="str">
            <v>MP10205</v>
          </cell>
          <cell r="D398" t="str">
            <v xml:space="preserve">Harina Gold Medal </v>
          </cell>
          <cell r="E398" t="str">
            <v>Gramos</v>
          </cell>
        </row>
        <row r="399">
          <cell r="A399" t="str">
            <v>11200070</v>
          </cell>
          <cell r="B399" t="str">
            <v>HARINA HARISOL HOJALDRE (SACO: 25 K)</v>
          </cell>
          <cell r="C399" t="str">
            <v>MP10206</v>
          </cell>
          <cell r="D399" t="str">
            <v>Harina Harisol Hojaldre</v>
          </cell>
          <cell r="E399" t="str">
            <v>Gramos</v>
          </cell>
        </row>
        <row r="400">
          <cell r="A400" t="str">
            <v>10900042</v>
          </cell>
          <cell r="B400" t="str">
            <v>HIERBA BUENA (PAQ:100g)</v>
          </cell>
          <cell r="C400" t="str">
            <v>MP10207</v>
          </cell>
          <cell r="D400" t="str">
            <v xml:space="preserve">Hierba Buena </v>
          </cell>
          <cell r="E400" t="str">
            <v>Gramos</v>
          </cell>
        </row>
        <row r="401">
          <cell r="A401" t="str">
            <v>10500016</v>
          </cell>
          <cell r="B401" t="str">
            <v>HOJA DE LAUREL (UND:43g)</v>
          </cell>
          <cell r="C401" t="str">
            <v>MP10209</v>
          </cell>
          <cell r="D401" t="str">
            <v xml:space="preserve">Hojas De Laurel </v>
          </cell>
          <cell r="E401" t="str">
            <v>Gramos</v>
          </cell>
        </row>
        <row r="402">
          <cell r="A402" t="str">
            <v>10100320</v>
          </cell>
          <cell r="B402" t="str">
            <v>HOJUELA DE PAPA (SACO:14 K )</v>
          </cell>
          <cell r="C402" t="str">
            <v>MP10211</v>
          </cell>
          <cell r="D402" t="str">
            <v>Hojuela De Papa</v>
          </cell>
          <cell r="E402" t="str">
            <v>Gramos</v>
          </cell>
        </row>
        <row r="403">
          <cell r="A403" t="str">
            <v>0101105</v>
          </cell>
          <cell r="B403" t="str">
            <v>HONGO FRESCO REBANADO (KILO)</v>
          </cell>
          <cell r="C403" t="str">
            <v>MP10212</v>
          </cell>
          <cell r="D403" t="str">
            <v xml:space="preserve">Hongo Fresco Rebanado </v>
          </cell>
          <cell r="E403" t="str">
            <v>Gramos</v>
          </cell>
        </row>
        <row r="404">
          <cell r="A404" t="str">
            <v>11300010</v>
          </cell>
          <cell r="B404" t="str">
            <v>HUEVO DURO (PAQ:4 UND)</v>
          </cell>
          <cell r="C404" t="str">
            <v>MP10213</v>
          </cell>
          <cell r="D404" t="str">
            <v xml:space="preserve">Huevo Duro </v>
          </cell>
          <cell r="E404" t="str">
            <v>Unidades</v>
          </cell>
        </row>
        <row r="405">
          <cell r="A405" t="str">
            <v>11300005</v>
          </cell>
          <cell r="B405" t="str">
            <v>HUEVOS EN CARTON (30 UND)</v>
          </cell>
          <cell r="C405" t="str">
            <v>MP10214</v>
          </cell>
          <cell r="D405" t="str">
            <v xml:space="preserve">Huevos En Carton </v>
          </cell>
          <cell r="E405" t="str">
            <v>Unidades</v>
          </cell>
        </row>
        <row r="406">
          <cell r="A406" t="str">
            <v>10100145</v>
          </cell>
          <cell r="B406" t="str">
            <v>JALEA DE GUAYABA (PAQ:200g)</v>
          </cell>
          <cell r="C406" t="str">
            <v>MP10215</v>
          </cell>
          <cell r="D406" t="str">
            <v>Jalea De Guayaba</v>
          </cell>
          <cell r="E406" t="str">
            <v>Gramos</v>
          </cell>
        </row>
        <row r="407">
          <cell r="A407" t="str">
            <v>0410137</v>
          </cell>
          <cell r="B407" t="str">
            <v>JALEA FRESA (UND:5 K)</v>
          </cell>
          <cell r="C407" t="str">
            <v>MP10216</v>
          </cell>
          <cell r="D407" t="str">
            <v xml:space="preserve">Jalea Fresa </v>
          </cell>
          <cell r="E407" t="str">
            <v>Gramos</v>
          </cell>
        </row>
        <row r="408">
          <cell r="A408" t="str">
            <v>10300007</v>
          </cell>
          <cell r="B408" t="str">
            <v>JAMON COCIDO (PAQ:250g)</v>
          </cell>
          <cell r="C408" t="str">
            <v>MP10217</v>
          </cell>
          <cell r="D408" t="str">
            <v xml:space="preserve">Jamon Cocido </v>
          </cell>
          <cell r="E408" t="str">
            <v>Gramos</v>
          </cell>
        </row>
        <row r="409">
          <cell r="A409" t="str">
            <v>120000039</v>
          </cell>
          <cell r="B409" t="str">
            <v xml:space="preserve">JARABE TRES LECHES EN POLVO (PAQ: 25 K) </v>
          </cell>
          <cell r="C409" t="str">
            <v>MP10218</v>
          </cell>
          <cell r="D409" t="str">
            <v xml:space="preserve">Jarabe Tres Leches En Polvo </v>
          </cell>
          <cell r="E409" t="str">
            <v>Gramos</v>
          </cell>
        </row>
        <row r="410">
          <cell r="A410" t="str">
            <v>10300001</v>
          </cell>
          <cell r="B410" t="str">
            <v>JARRETE PICADO KILO</v>
          </cell>
          <cell r="C410" t="str">
            <v>MP10219</v>
          </cell>
          <cell r="D410" t="str">
            <v xml:space="preserve">Jarrete Picado </v>
          </cell>
          <cell r="E410" t="str">
            <v>Gramos</v>
          </cell>
        </row>
        <row r="411">
          <cell r="A411" t="str">
            <v>0610212</v>
          </cell>
          <cell r="B411" t="str">
            <v>JENGIBRE ENTERO KILO</v>
          </cell>
          <cell r="C411" t="str">
            <v>MP10220</v>
          </cell>
          <cell r="D411" t="str">
            <v>Jengibre Entero</v>
          </cell>
          <cell r="E411" t="str">
            <v>Gramos</v>
          </cell>
        </row>
        <row r="412">
          <cell r="A412" t="str">
            <v>0610244</v>
          </cell>
          <cell r="B412" t="str">
            <v>JENGIBRE MOLIDO (UND:340g)</v>
          </cell>
          <cell r="C412" t="str">
            <v>MP10221</v>
          </cell>
          <cell r="D412" t="str">
            <v xml:space="preserve">Jengibre Molido </v>
          </cell>
          <cell r="E412" t="str">
            <v>Gramos</v>
          </cell>
        </row>
        <row r="413">
          <cell r="A413" t="str">
            <v>102000028</v>
          </cell>
          <cell r="B413" t="str">
            <v>JUGO DE NARANJA NATURAL (UND:3.785 L)</v>
          </cell>
          <cell r="C413" t="str">
            <v>MP10222</v>
          </cell>
          <cell r="D413" t="str">
            <v xml:space="preserve">Jugo De Naranja Natural </v>
          </cell>
          <cell r="E413" t="str">
            <v>Mililitros</v>
          </cell>
        </row>
        <row r="414">
          <cell r="A414" t="str">
            <v>0810288</v>
          </cell>
          <cell r="B414" t="str">
            <v>JUGO DE NARANJA TB (CAJA:12 UND)</v>
          </cell>
          <cell r="C414" t="str">
            <v>MP10223</v>
          </cell>
          <cell r="D414" t="str">
            <v>Jugo De Naranja Tetra Brik</v>
          </cell>
          <cell r="E414" t="str">
            <v>Mililitros</v>
          </cell>
        </row>
        <row r="415">
          <cell r="A415" t="str">
            <v>102000035</v>
          </cell>
          <cell r="B415" t="str">
            <v>JUGO LIMON (UND=930 ml)</v>
          </cell>
          <cell r="C415" t="str">
            <v>MP10224</v>
          </cell>
          <cell r="D415" t="str">
            <v xml:space="preserve">Jugo Limon </v>
          </cell>
          <cell r="E415" t="str">
            <v>Mililitros</v>
          </cell>
        </row>
        <row r="416">
          <cell r="A416" t="str">
            <v>102000049</v>
          </cell>
          <cell r="B416" t="str">
            <v>KAHLUA LICOR DE CAFÉ (UND: 750 ML)</v>
          </cell>
          <cell r="C416" t="str">
            <v>MP10225</v>
          </cell>
          <cell r="D416" t="str">
            <v xml:space="preserve">Kahlua Licor De Café </v>
          </cell>
          <cell r="E416" t="str">
            <v>Mililitros</v>
          </cell>
        </row>
        <row r="417">
          <cell r="A417" t="str">
            <v>10100304</v>
          </cell>
          <cell r="B417" t="str">
            <v>KALE ( PAQ: 100 G)</v>
          </cell>
          <cell r="C417" t="str">
            <v>MP10226</v>
          </cell>
          <cell r="D417" t="str">
            <v xml:space="preserve">Kale </v>
          </cell>
          <cell r="E417" t="str">
            <v>Gramos</v>
          </cell>
        </row>
        <row r="418">
          <cell r="A418" t="str">
            <v>0807007</v>
          </cell>
          <cell r="B418" t="str">
            <v>LAMINA AZUCAR DE FONDANT (CAJA:24 UND)</v>
          </cell>
          <cell r="C418" t="str">
            <v>MP10227</v>
          </cell>
          <cell r="D418" t="str">
            <v xml:space="preserve">Lamina Azucar De Fondant </v>
          </cell>
          <cell r="E418" t="str">
            <v>Unidades</v>
          </cell>
        </row>
        <row r="419">
          <cell r="A419" t="str">
            <v>1310108</v>
          </cell>
          <cell r="B419" t="str">
            <v>LECHE AZUL DOS PINOS (CAJA: 12 UND)</v>
          </cell>
          <cell r="C419" t="str">
            <v>MP10228</v>
          </cell>
          <cell r="D419" t="str">
            <v xml:space="preserve">Leche Azul Dos Pinos </v>
          </cell>
          <cell r="E419" t="str">
            <v>Mililitros</v>
          </cell>
        </row>
        <row r="420">
          <cell r="A420" t="str">
            <v>11400038</v>
          </cell>
          <cell r="B420" t="str">
            <v>LECHE COND COCINADA (CAJA:18.96 K)</v>
          </cell>
          <cell r="C420" t="str">
            <v>MP10229</v>
          </cell>
          <cell r="D420" t="str">
            <v xml:space="preserve">Leche Condensada Cocinada </v>
          </cell>
          <cell r="E420" t="str">
            <v>Gramos</v>
          </cell>
        </row>
        <row r="421">
          <cell r="A421" t="str">
            <v>11400032</v>
          </cell>
          <cell r="B421" t="str">
            <v>LECHE CONDENSADA NEST CHILE  (PAQ:4.5 K)</v>
          </cell>
          <cell r="C421" t="str">
            <v>MP10230</v>
          </cell>
          <cell r="D421" t="str">
            <v xml:space="preserve">Leche Condensada Nest Chile  </v>
          </cell>
          <cell r="E421" t="str">
            <v>Gramos</v>
          </cell>
        </row>
        <row r="422">
          <cell r="A422" t="str">
            <v>10100207</v>
          </cell>
          <cell r="B422" t="str">
            <v>LECHE DESCREMADA TB DOS PINOS(CAJA:12 L)</v>
          </cell>
          <cell r="C422" t="str">
            <v>MP10233</v>
          </cell>
          <cell r="D422" t="str">
            <v>Leche Descremada Tetra brik</v>
          </cell>
          <cell r="E422" t="str">
            <v>Mililitros</v>
          </cell>
        </row>
        <row r="423">
          <cell r="A423" t="str">
            <v>0310145</v>
          </cell>
          <cell r="B423" t="str">
            <v>LECHE POLVO INDUSTRIAL (SACO:25 KG)</v>
          </cell>
          <cell r="C423" t="str">
            <v>MP10234</v>
          </cell>
          <cell r="D423" t="str">
            <v xml:space="preserve">Leche Polvo Industrial </v>
          </cell>
          <cell r="E423" t="str">
            <v>Gramos</v>
          </cell>
        </row>
        <row r="424">
          <cell r="A424" t="str">
            <v>10200029</v>
          </cell>
          <cell r="B424" t="str">
            <v>LECHE SABORIZADA FRAPPE MIX (PAQ: 1 K)</v>
          </cell>
          <cell r="C424" t="str">
            <v>MP10235</v>
          </cell>
          <cell r="D424" t="str">
            <v>Leche Saborizada Frappe Mix</v>
          </cell>
          <cell r="E424" t="str">
            <v>Gramos</v>
          </cell>
        </row>
        <row r="425">
          <cell r="A425" t="str">
            <v>10900036</v>
          </cell>
          <cell r="B425" t="str">
            <v>LECHUGA AMERICANA ENTERA (PAQ:500g)</v>
          </cell>
          <cell r="C425" t="str">
            <v>MP10236</v>
          </cell>
          <cell r="D425" t="str">
            <v xml:space="preserve">Lechuga Americana Entera </v>
          </cell>
          <cell r="E425" t="str">
            <v>Gramos</v>
          </cell>
        </row>
        <row r="426">
          <cell r="A426" t="str">
            <v>0101133</v>
          </cell>
          <cell r="B426" t="str">
            <v>LECHUGA MIX CUADRO # 2 (PAQ:500g)</v>
          </cell>
          <cell r="C426" t="str">
            <v>MP10237</v>
          </cell>
          <cell r="D426" t="str">
            <v xml:space="preserve">Lechuga Mix Cuadro # 2 </v>
          </cell>
          <cell r="E426" t="str">
            <v>Gramos</v>
          </cell>
        </row>
        <row r="427">
          <cell r="A427" t="str">
            <v>10100253</v>
          </cell>
          <cell r="B427" t="str">
            <v>LENTEJAS ( PAQ:1 K)</v>
          </cell>
          <cell r="C427" t="str">
            <v>MP10238</v>
          </cell>
          <cell r="D427" t="str">
            <v xml:space="preserve">Lentejas </v>
          </cell>
          <cell r="E427" t="str">
            <v>Gramos</v>
          </cell>
        </row>
        <row r="428">
          <cell r="A428" t="str">
            <v>0101132</v>
          </cell>
          <cell r="B428" t="str">
            <v>LIMON EN POLVO (SACO:25 KG)</v>
          </cell>
          <cell r="C428" t="str">
            <v>MP10239</v>
          </cell>
          <cell r="D428" t="str">
            <v xml:space="preserve">Limon En Polvo </v>
          </cell>
          <cell r="E428" t="str">
            <v>Gramos</v>
          </cell>
        </row>
        <row r="429">
          <cell r="A429" t="str">
            <v>0101130</v>
          </cell>
          <cell r="B429" t="str">
            <v>LIMONES MAYA (UND)</v>
          </cell>
          <cell r="C429" t="str">
            <v>MP10240</v>
          </cell>
          <cell r="D429" t="str">
            <v xml:space="preserve">Limones Maya </v>
          </cell>
          <cell r="E429" t="str">
            <v>Unidades</v>
          </cell>
        </row>
        <row r="430">
          <cell r="A430" t="str">
            <v>0210076</v>
          </cell>
          <cell r="B430" t="str">
            <v>LOMITO DE CERDO KILO</v>
          </cell>
          <cell r="C430" t="str">
            <v>MP10241</v>
          </cell>
          <cell r="D430" t="str">
            <v xml:space="preserve">Lomito De Cerdo </v>
          </cell>
          <cell r="E430" t="str">
            <v>Gramos</v>
          </cell>
        </row>
        <row r="431">
          <cell r="A431" t="str">
            <v>1730588</v>
          </cell>
          <cell r="B431" t="str">
            <v>LOMO DE AGUJA KILO</v>
          </cell>
          <cell r="C431" t="str">
            <v>MP10242</v>
          </cell>
          <cell r="D431" t="str">
            <v>Lomo De Aguja</v>
          </cell>
          <cell r="E431" t="str">
            <v>Gramos</v>
          </cell>
        </row>
        <row r="432">
          <cell r="A432" t="str">
            <v>0510194</v>
          </cell>
          <cell r="B432" t="str">
            <v>MACADAMIA #8 (PAQ:800g)</v>
          </cell>
          <cell r="C432" t="str">
            <v>MP10243</v>
          </cell>
          <cell r="D432" t="str">
            <v>Macadamia #8</v>
          </cell>
          <cell r="E432" t="str">
            <v>Gramos</v>
          </cell>
        </row>
        <row r="433">
          <cell r="A433" t="str">
            <v>0210104</v>
          </cell>
          <cell r="B433" t="str">
            <v>MANO PIEDRA KILO</v>
          </cell>
          <cell r="C433" t="str">
            <v>MP10244</v>
          </cell>
          <cell r="D433" t="str">
            <v xml:space="preserve">Mano Piedra </v>
          </cell>
          <cell r="E433" t="str">
            <v>Gramos</v>
          </cell>
        </row>
        <row r="434">
          <cell r="A434" t="str">
            <v>11100006</v>
          </cell>
          <cell r="B434" t="str">
            <v>MANTEQUILLA BLISTER 7g  (CAJA:120 UND)</v>
          </cell>
          <cell r="C434" t="str">
            <v>MP10246</v>
          </cell>
          <cell r="D434" t="str">
            <v xml:space="preserve">Mantequilla Blister 7G  </v>
          </cell>
          <cell r="E434" t="str">
            <v>Unidades</v>
          </cell>
        </row>
        <row r="435">
          <cell r="A435" t="str">
            <v>10100067</v>
          </cell>
          <cell r="B435" t="str">
            <v>MAÍZ DULCE GALON (1.800K= DRENADO)</v>
          </cell>
          <cell r="C435" t="str">
            <v>MP10249</v>
          </cell>
          <cell r="D435" t="str">
            <v xml:space="preserve">Maíz Dulce Galon </v>
          </cell>
          <cell r="E435" t="str">
            <v>Mililitros</v>
          </cell>
        </row>
        <row r="436">
          <cell r="A436">
            <v>10100087</v>
          </cell>
          <cell r="B436" t="str">
            <v xml:space="preserve">MELOCOTON MITADES ( UND: 820 G) </v>
          </cell>
          <cell r="C436" t="str">
            <v>MP10250</v>
          </cell>
          <cell r="D436" t="str">
            <v xml:space="preserve">Melocoton Mitades </v>
          </cell>
          <cell r="E436" t="str">
            <v>Gramos</v>
          </cell>
        </row>
        <row r="437">
          <cell r="A437" t="str">
            <v>10900005</v>
          </cell>
          <cell r="B437" t="str">
            <v>MENTA EN RAMAS (PAQ:100g)</v>
          </cell>
          <cell r="C437" t="str">
            <v>MP10251</v>
          </cell>
          <cell r="D437" t="str">
            <v xml:space="preserve">Menta En Ramas </v>
          </cell>
          <cell r="E437" t="str">
            <v>Gramos</v>
          </cell>
        </row>
        <row r="438">
          <cell r="A438" t="str">
            <v>10100161</v>
          </cell>
          <cell r="B438" t="str">
            <v>MERMELADA NARANJA UJARRAS (UND: 4.5 K)</v>
          </cell>
          <cell r="C438" t="str">
            <v>MP10252</v>
          </cell>
          <cell r="D438" t="str">
            <v xml:space="preserve">Mermelada Naranja </v>
          </cell>
          <cell r="E438" t="str">
            <v>Gramos</v>
          </cell>
        </row>
        <row r="439">
          <cell r="A439" t="str">
            <v>1210462</v>
          </cell>
          <cell r="B439" t="str">
            <v>MONEDAS MARMOLEADAS (CAJA:240 UND)</v>
          </cell>
          <cell r="C439" t="str">
            <v>MP10253</v>
          </cell>
          <cell r="D439" t="str">
            <v xml:space="preserve">Monedas Marmoleadas </v>
          </cell>
          <cell r="E439" t="str">
            <v>Unidades</v>
          </cell>
        </row>
        <row r="440">
          <cell r="A440" t="str">
            <v>0212275</v>
          </cell>
          <cell r="B440" t="str">
            <v>MORTADELA ESPECIAL KILO</v>
          </cell>
          <cell r="C440" t="str">
            <v>MP10254</v>
          </cell>
          <cell r="D440" t="str">
            <v xml:space="preserve">Mortadela Especial </v>
          </cell>
          <cell r="E440" t="str">
            <v>Gramos</v>
          </cell>
        </row>
        <row r="441">
          <cell r="A441" t="str">
            <v>10100033</v>
          </cell>
          <cell r="B441" t="str">
            <v>MOSTAZA DE DIJON (UND:850ML)</v>
          </cell>
          <cell r="C441" t="str">
            <v>MP10255</v>
          </cell>
          <cell r="D441" t="str">
            <v>Mostaza De Dijon</v>
          </cell>
          <cell r="E441" t="str">
            <v>Mililitros</v>
          </cell>
        </row>
        <row r="442">
          <cell r="A442" t="str">
            <v>101000006</v>
          </cell>
          <cell r="B442" t="str">
            <v>MOSTAZA DIJON EXTRA FUERTE ( UND: 370 G)</v>
          </cell>
          <cell r="C442" t="str">
            <v>MP10256</v>
          </cell>
          <cell r="D442" t="str">
            <v xml:space="preserve">Mostaza Dijon Extra Fuerte </v>
          </cell>
          <cell r="E442" t="str">
            <v>Gramos</v>
          </cell>
        </row>
        <row r="443">
          <cell r="A443" t="str">
            <v>10100315</v>
          </cell>
          <cell r="B443" t="str">
            <v xml:space="preserve">MOSTAZA DIJON GRANULADA (UND: 370 G) </v>
          </cell>
          <cell r="C443" t="str">
            <v>MP10257</v>
          </cell>
          <cell r="D443" t="str">
            <v xml:space="preserve">Mostaza Dijon Granulada </v>
          </cell>
          <cell r="E443" t="str">
            <v>Gramos</v>
          </cell>
        </row>
        <row r="444">
          <cell r="A444" t="str">
            <v>10100173</v>
          </cell>
          <cell r="B444" t="str">
            <v>MOSTAZA HELLMANNS (UND: 4 K)</v>
          </cell>
          <cell r="C444" t="str">
            <v>MP10258</v>
          </cell>
          <cell r="D444" t="str">
            <v>Mostaza Hellmanns</v>
          </cell>
          <cell r="E444" t="str">
            <v>Gramos</v>
          </cell>
        </row>
        <row r="445">
          <cell r="B445" t="str">
            <v>MOSTAZA RED GOLD ( UND: 2.97 K)</v>
          </cell>
          <cell r="C445" t="str">
            <v>MP10259</v>
          </cell>
          <cell r="D445" t="str">
            <v xml:space="preserve">Mostaza Red Gold </v>
          </cell>
          <cell r="E445" t="str">
            <v>Gramos</v>
          </cell>
        </row>
        <row r="446">
          <cell r="A446" t="str">
            <v>1730602</v>
          </cell>
          <cell r="B446" t="str">
            <v>MUSLO DE POLLO DESHUESADO KILO</v>
          </cell>
          <cell r="C446" t="str">
            <v>MP10260</v>
          </cell>
          <cell r="D446" t="str">
            <v xml:space="preserve">Muslo De Pollo Deshuesado </v>
          </cell>
          <cell r="E446" t="str">
            <v>Gramos</v>
          </cell>
        </row>
        <row r="447">
          <cell r="A447" t="str">
            <v>10300042</v>
          </cell>
          <cell r="B447" t="str">
            <v>MUSLO DE POLLO ENTERO (KILO)</v>
          </cell>
          <cell r="C447" t="str">
            <v>MP10261</v>
          </cell>
          <cell r="D447" t="str">
            <v xml:space="preserve">Muslo De Pollo Entero </v>
          </cell>
          <cell r="E447" t="str">
            <v>Gramos</v>
          </cell>
        </row>
        <row r="448">
          <cell r="A448" t="str">
            <v>1730610</v>
          </cell>
          <cell r="B448" t="str">
            <v>NATILLA GALON (UND :3.785 K)</v>
          </cell>
          <cell r="C448" t="str">
            <v>MP10263</v>
          </cell>
          <cell r="D448" t="str">
            <v>Natilla</v>
          </cell>
          <cell r="E448" t="str">
            <v>Mililitros</v>
          </cell>
        </row>
        <row r="449">
          <cell r="A449" t="str">
            <v>11900001</v>
          </cell>
          <cell r="B449" t="str">
            <v>NUEZ PECANA QUEBRADURA (CAJA:10 Kg)</v>
          </cell>
          <cell r="C449" t="str">
            <v>MP10264</v>
          </cell>
          <cell r="D449" t="str">
            <v xml:space="preserve">Nuez Pecana Quebradura </v>
          </cell>
          <cell r="E449" t="str">
            <v>Gramos</v>
          </cell>
        </row>
        <row r="450">
          <cell r="A450" t="str">
            <v>10900004</v>
          </cell>
          <cell r="B450" t="str">
            <v>OLLA DE CARNE MIXTO (PAQ:1KILO)</v>
          </cell>
          <cell r="C450" t="str">
            <v>MP10265</v>
          </cell>
          <cell r="D450" t="str">
            <v xml:space="preserve">Olla De Carne Mixto </v>
          </cell>
          <cell r="E450" t="str">
            <v>Gramos</v>
          </cell>
        </row>
        <row r="451">
          <cell r="A451" t="str">
            <v>105000002</v>
          </cell>
          <cell r="B451" t="str">
            <v>OREGANO (UND: 156 G)</v>
          </cell>
          <cell r="C451" t="str">
            <v>MP10266</v>
          </cell>
          <cell r="D451" t="str">
            <v xml:space="preserve">Oregano </v>
          </cell>
          <cell r="E451" t="str">
            <v>Gramos</v>
          </cell>
        </row>
        <row r="452">
          <cell r="A452" t="str">
            <v>0101155</v>
          </cell>
          <cell r="B452" t="str">
            <v>PALMITO CRUDO KILO</v>
          </cell>
          <cell r="C452" t="str">
            <v>MP10267</v>
          </cell>
          <cell r="D452" t="str">
            <v>Palmito Crudo</v>
          </cell>
          <cell r="E452" t="str">
            <v>Gramos</v>
          </cell>
        </row>
        <row r="453">
          <cell r="A453">
            <v>120000040</v>
          </cell>
          <cell r="B453" t="str">
            <v xml:space="preserve">PALOMITAS DE CARAMELO KITTY </v>
          </cell>
          <cell r="C453" t="str">
            <v>MP10268</v>
          </cell>
          <cell r="D453" t="str">
            <v xml:space="preserve">Palomitas De Caramelo Kitty </v>
          </cell>
          <cell r="E453" t="str">
            <v>Gramos</v>
          </cell>
        </row>
        <row r="454">
          <cell r="A454" t="str">
            <v>11200058</v>
          </cell>
          <cell r="B454" t="str">
            <v xml:space="preserve">PAN ARABE BLANCO 15 CM </v>
          </cell>
          <cell r="C454" t="str">
            <v>MP10269</v>
          </cell>
          <cell r="D454" t="str">
            <v>Pan Arabe Blanco 15 Cm</v>
          </cell>
          <cell r="E454" t="str">
            <v>Unidades</v>
          </cell>
        </row>
        <row r="455">
          <cell r="A455" t="str">
            <v>11200005</v>
          </cell>
          <cell r="B455" t="str">
            <v xml:space="preserve">PAN BAGUETTINO </v>
          </cell>
          <cell r="C455" t="str">
            <v>MP10270</v>
          </cell>
          <cell r="D455" t="str">
            <v>Pan Baguettino</v>
          </cell>
          <cell r="E455" t="str">
            <v>Unidades</v>
          </cell>
        </row>
        <row r="456">
          <cell r="A456" t="str">
            <v>11200063</v>
          </cell>
          <cell r="B456" t="str">
            <v>PAN CIABATTA 16 CM (PAQ:10 UND)</v>
          </cell>
          <cell r="C456" t="str">
            <v>MP10271</v>
          </cell>
          <cell r="D456" t="str">
            <v xml:space="preserve">Pan Ciabatta 16 Cm </v>
          </cell>
          <cell r="E456" t="str">
            <v>Unidades</v>
          </cell>
        </row>
        <row r="457">
          <cell r="A457" t="str">
            <v>120000036</v>
          </cell>
          <cell r="B457" t="str">
            <v>PAN CUADRADO MASA MADRE (PAQ:14 REBANAD)</v>
          </cell>
          <cell r="C457" t="str">
            <v>MP10272</v>
          </cell>
          <cell r="D457" t="str">
            <v xml:space="preserve">Pan Cuadrado Masa Madre </v>
          </cell>
          <cell r="E457" t="str">
            <v>Rebanada</v>
          </cell>
        </row>
        <row r="458">
          <cell r="A458" t="str">
            <v>120000037</v>
          </cell>
          <cell r="B458" t="str">
            <v>PAN CUADRADO MULTIGRANO (PAQ:14 REBANA)</v>
          </cell>
          <cell r="C458" t="str">
            <v>MP10273</v>
          </cell>
          <cell r="D458" t="str">
            <v xml:space="preserve">Pan Cuadrado Multigrano </v>
          </cell>
          <cell r="E458" t="str">
            <v>Rebanada</v>
          </cell>
        </row>
        <row r="459">
          <cell r="A459" t="str">
            <v>1210422</v>
          </cell>
          <cell r="B459" t="str">
            <v>PAN HAMBURGUESA (PAQ:8 UND)</v>
          </cell>
          <cell r="C459" t="str">
            <v>MP10274</v>
          </cell>
          <cell r="D459" t="str">
            <v xml:space="preserve">Pan Hamburguesa </v>
          </cell>
          <cell r="E459" t="str">
            <v>Unidades</v>
          </cell>
        </row>
        <row r="460">
          <cell r="A460" t="str">
            <v>11200019</v>
          </cell>
          <cell r="B460" t="str">
            <v>PAN MINI BAGUET (PAQ:5 UND)</v>
          </cell>
          <cell r="C460" t="str">
            <v>MP10275</v>
          </cell>
          <cell r="D460" t="str">
            <v xml:space="preserve">Pan Mini Baguet </v>
          </cell>
          <cell r="E460" t="str">
            <v>Unidades</v>
          </cell>
        </row>
        <row r="461">
          <cell r="A461" t="str">
            <v>0710262</v>
          </cell>
          <cell r="B461" t="str">
            <v>PAN MOLIDO (PAQ:5 K)</v>
          </cell>
          <cell r="C461" t="str">
            <v>MP10276</v>
          </cell>
          <cell r="D461" t="str">
            <v>Pan Molido</v>
          </cell>
          <cell r="E461" t="str">
            <v>Gramos</v>
          </cell>
        </row>
        <row r="462">
          <cell r="A462" t="str">
            <v>112000061</v>
          </cell>
          <cell r="B462" t="str">
            <v>PAN MUFFIN 70G (PAQ:6 UND)</v>
          </cell>
          <cell r="C462" t="str">
            <v>MP10277</v>
          </cell>
          <cell r="D462" t="str">
            <v xml:space="preserve">Pan Muffin 70G </v>
          </cell>
          <cell r="E462" t="str">
            <v>Unidades</v>
          </cell>
        </row>
        <row r="463">
          <cell r="A463" t="str">
            <v>11200004</v>
          </cell>
          <cell r="B463" t="str">
            <v>PAN TRENZA(PAQ:10 UND)</v>
          </cell>
          <cell r="C463" t="str">
            <v>MP10278</v>
          </cell>
          <cell r="D463" t="str">
            <v>Pan Trenza</v>
          </cell>
          <cell r="E463" t="str">
            <v>Unidades</v>
          </cell>
        </row>
        <row r="464">
          <cell r="A464" t="str">
            <v>10900023</v>
          </cell>
          <cell r="B464" t="str">
            <v xml:space="preserve">PAPA EN TROZOS (PAQ: 2 K) </v>
          </cell>
          <cell r="C464" t="str">
            <v>MP10279</v>
          </cell>
          <cell r="D464" t="str">
            <v xml:space="preserve">Papa En Trozos </v>
          </cell>
          <cell r="E464" t="str">
            <v>Gramos</v>
          </cell>
        </row>
        <row r="465">
          <cell r="A465" t="str">
            <v>0101022</v>
          </cell>
          <cell r="B465" t="str">
            <v>PAPA MINI KILO</v>
          </cell>
          <cell r="C465" t="str">
            <v>MP10280</v>
          </cell>
          <cell r="D465" t="str">
            <v>Papa Mini</v>
          </cell>
          <cell r="E465" t="str">
            <v>Gramos</v>
          </cell>
        </row>
        <row r="466">
          <cell r="A466" t="str">
            <v>0101166</v>
          </cell>
          <cell r="B466" t="str">
            <v>PAPA PICADA (PAQ:1 KILO)</v>
          </cell>
          <cell r="C466" t="str">
            <v>MP10281</v>
          </cell>
          <cell r="D466" t="str">
            <v>Papa Picada</v>
          </cell>
          <cell r="E466" t="str">
            <v>Gramos</v>
          </cell>
        </row>
        <row r="467">
          <cell r="A467" t="str">
            <v>01011701</v>
          </cell>
          <cell r="B467" t="str">
            <v>PAPA PREFRITA CORTE RECTO 5/16" NG 6/5 L</v>
          </cell>
          <cell r="C467" t="str">
            <v>MP10282</v>
          </cell>
          <cell r="D467" t="str">
            <v xml:space="preserve">Papa Prefrita Corte Recto 5/16" Ng </v>
          </cell>
          <cell r="E467" t="str">
            <v>Gramos</v>
          </cell>
        </row>
        <row r="468">
          <cell r="A468" t="str">
            <v>0710290</v>
          </cell>
          <cell r="B468" t="str">
            <v>PAPEL DE ARROZ (PAQ:36 UND)</v>
          </cell>
          <cell r="C468" t="str">
            <v>MP10283</v>
          </cell>
          <cell r="D468" t="str">
            <v>Papel De Arroz</v>
          </cell>
          <cell r="E468" t="str">
            <v>Unidades</v>
          </cell>
        </row>
        <row r="469">
          <cell r="A469" t="str">
            <v>10100068</v>
          </cell>
          <cell r="B469" t="str">
            <v>PAPITA RAYADA (PAQ:1.5 KILOS)</v>
          </cell>
          <cell r="C469" t="str">
            <v>MP10284</v>
          </cell>
          <cell r="D469" t="str">
            <v xml:space="preserve">Papita Rayada </v>
          </cell>
          <cell r="E469" t="str">
            <v>Gramos</v>
          </cell>
        </row>
        <row r="470">
          <cell r="A470" t="str">
            <v>5105009</v>
          </cell>
          <cell r="B470" t="str">
            <v>PASAS (CAJA:10 K)</v>
          </cell>
          <cell r="C470" t="str">
            <v>MP10285</v>
          </cell>
          <cell r="D470" t="str">
            <v xml:space="preserve">Pasas </v>
          </cell>
          <cell r="E470" t="str">
            <v>Gramos</v>
          </cell>
        </row>
        <row r="471">
          <cell r="A471" t="str">
            <v>1210437</v>
          </cell>
          <cell r="B471" t="str">
            <v>PASTA CARACOLITOS (PAQ: 1  K)</v>
          </cell>
          <cell r="C471" t="str">
            <v>MP10286</v>
          </cell>
          <cell r="D471" t="str">
            <v xml:space="preserve">Pasta Caracolitos </v>
          </cell>
          <cell r="E471" t="str">
            <v>Gramos</v>
          </cell>
        </row>
        <row r="472">
          <cell r="A472" t="str">
            <v>10100125</v>
          </cell>
          <cell r="B472" t="str">
            <v>PASTA TOMATE OLD CALI (UND:3.14 K)</v>
          </cell>
          <cell r="C472" t="str">
            <v>MP10287</v>
          </cell>
          <cell r="D472" t="str">
            <v xml:space="preserve">Pasta Tomate </v>
          </cell>
          <cell r="E472" t="str">
            <v>Gramos</v>
          </cell>
        </row>
        <row r="473">
          <cell r="A473" t="str">
            <v>1210413</v>
          </cell>
          <cell r="B473" t="str">
            <v>PASTA WANTAN (PAQ:465g)</v>
          </cell>
          <cell r="C473" t="str">
            <v>MP10288</v>
          </cell>
          <cell r="D473" t="str">
            <v xml:space="preserve">Pasta Wantan </v>
          </cell>
          <cell r="E473" t="str">
            <v>Gramos</v>
          </cell>
        </row>
        <row r="474">
          <cell r="A474" t="str">
            <v>0510051</v>
          </cell>
          <cell r="B474" t="str">
            <v>PASTAS DE HARINA AMARILLA (CAJA:9.52 KG)</v>
          </cell>
          <cell r="C474" t="str">
            <v>MP10289</v>
          </cell>
          <cell r="D474" t="str">
            <v>Pastas De Harina Amarilla</v>
          </cell>
          <cell r="E474" t="str">
            <v>Gramos</v>
          </cell>
        </row>
        <row r="475">
          <cell r="A475" t="str">
            <v>0510262</v>
          </cell>
          <cell r="B475" t="str">
            <v>PECANA ENTERA (CAJA:13.6 K)</v>
          </cell>
          <cell r="C475" t="str">
            <v>MP10290</v>
          </cell>
          <cell r="D475" t="str">
            <v xml:space="preserve">Pecana Entera </v>
          </cell>
          <cell r="E475" t="str">
            <v>Gramos</v>
          </cell>
        </row>
        <row r="476">
          <cell r="A476" t="str">
            <v>1730592</v>
          </cell>
          <cell r="B476" t="str">
            <v>PECHO LIMPIO KILO</v>
          </cell>
          <cell r="C476" t="str">
            <v>MP10291</v>
          </cell>
          <cell r="D476" t="str">
            <v xml:space="preserve">Pecho Limpio </v>
          </cell>
          <cell r="E476" t="str">
            <v>Gramos</v>
          </cell>
        </row>
        <row r="477">
          <cell r="A477" t="str">
            <v>10300047</v>
          </cell>
          <cell r="B477" t="str">
            <v>PECHUGA DE PAVO FUD (PAQ: 450 G)</v>
          </cell>
          <cell r="C477" t="str">
            <v>MP10292</v>
          </cell>
          <cell r="D477" t="str">
            <v xml:space="preserve">Pechuga De Pavo </v>
          </cell>
          <cell r="E477" t="str">
            <v>Gramos</v>
          </cell>
        </row>
        <row r="478">
          <cell r="A478" t="str">
            <v>1110380</v>
          </cell>
          <cell r="B478" t="str">
            <v>PEPINILLOS REBANADOS (GALON)</v>
          </cell>
          <cell r="C478" t="str">
            <v>MP10293</v>
          </cell>
          <cell r="D478" t="str">
            <v xml:space="preserve">Pepinillos Rebanados </v>
          </cell>
          <cell r="E478" t="str">
            <v>Mililitros</v>
          </cell>
        </row>
        <row r="479">
          <cell r="A479" t="str">
            <v>2001001</v>
          </cell>
          <cell r="B479" t="str">
            <v>PEPINO ENTERO KILO</v>
          </cell>
          <cell r="C479" t="str">
            <v>MP10294</v>
          </cell>
          <cell r="D479" t="str">
            <v>Pepino Entero</v>
          </cell>
          <cell r="E479" t="str">
            <v>Gramos</v>
          </cell>
        </row>
        <row r="480">
          <cell r="A480" t="str">
            <v>10900040</v>
          </cell>
          <cell r="B480" t="str">
            <v>PEREJIL (PAQUETE: 32 gr)</v>
          </cell>
          <cell r="C480" t="str">
            <v>MP10295</v>
          </cell>
          <cell r="D480" t="str">
            <v xml:space="preserve">Perejil </v>
          </cell>
          <cell r="E480" t="str">
            <v>Gramos</v>
          </cell>
        </row>
        <row r="481">
          <cell r="A481" t="str">
            <v>0101074</v>
          </cell>
          <cell r="B481" t="str">
            <v>PEREJIL DESINFECTADO (PAQ: 250g)</v>
          </cell>
          <cell r="C481" t="str">
            <v>MP10296</v>
          </cell>
          <cell r="D481" t="str">
            <v xml:space="preserve">Perejil Desinfectado </v>
          </cell>
          <cell r="E481" t="str">
            <v>Gramos</v>
          </cell>
        </row>
        <row r="482">
          <cell r="A482" t="str">
            <v>105000003</v>
          </cell>
          <cell r="B482" t="str">
            <v>PEREJIL SECO (UND:57 G)</v>
          </cell>
          <cell r="C482" t="str">
            <v>MP10297</v>
          </cell>
          <cell r="D482" t="str">
            <v>Perejil Seco</v>
          </cell>
          <cell r="E482" t="str">
            <v>Gramos</v>
          </cell>
        </row>
        <row r="483">
          <cell r="A483" t="str">
            <v>1110415</v>
          </cell>
          <cell r="B483" t="str">
            <v>PETI PIOS CON ZANAHORIA (PAQ: 1 K)</v>
          </cell>
          <cell r="C483" t="str">
            <v>MP10298</v>
          </cell>
          <cell r="D483" t="str">
            <v>Peti Pios Con Zanahoria</v>
          </cell>
          <cell r="E483" t="str">
            <v>Gramos</v>
          </cell>
        </row>
        <row r="484">
          <cell r="A484" t="str">
            <v>1110393</v>
          </cell>
          <cell r="B484" t="str">
            <v>PIÑA EN RODAJAS (UND: 3 K)</v>
          </cell>
          <cell r="C484" t="str">
            <v>MP10300</v>
          </cell>
          <cell r="D484" t="str">
            <v>Piña En Rodajas</v>
          </cell>
          <cell r="E484" t="str">
            <v>Gramos</v>
          </cell>
        </row>
        <row r="485">
          <cell r="A485" t="str">
            <v>10700026</v>
          </cell>
          <cell r="B485" t="str">
            <v>PLACA DE FONDANT (PAQ:10 UND)</v>
          </cell>
          <cell r="C485" t="str">
            <v>MP10301</v>
          </cell>
          <cell r="D485" t="str">
            <v xml:space="preserve">Placa De Fondant </v>
          </cell>
          <cell r="E485" t="str">
            <v>Unidades</v>
          </cell>
        </row>
        <row r="486">
          <cell r="A486" t="str">
            <v>10900062</v>
          </cell>
          <cell r="B486" t="str">
            <v>PLATANO MADURO KILO</v>
          </cell>
          <cell r="C486" t="str">
            <v>MP10302</v>
          </cell>
          <cell r="D486" t="str">
            <v xml:space="preserve">Platano Maduro </v>
          </cell>
          <cell r="E486" t="str">
            <v>Gramos</v>
          </cell>
        </row>
        <row r="487">
          <cell r="A487" t="str">
            <v>10100046</v>
          </cell>
          <cell r="B487" t="str">
            <v>POLVO HORNEAR FLEISHMAN (PAQ:2.5 K)</v>
          </cell>
          <cell r="C487" t="str">
            <v>MP10304</v>
          </cell>
          <cell r="D487" t="str">
            <v>Polvo Hornear Fleishman</v>
          </cell>
          <cell r="E487" t="str">
            <v>Gramos</v>
          </cell>
        </row>
        <row r="488">
          <cell r="A488" t="str">
            <v>0210096</v>
          </cell>
          <cell r="B488" t="str">
            <v>POSTA DE CERDO KILO</v>
          </cell>
          <cell r="C488" t="str">
            <v>MP10305</v>
          </cell>
          <cell r="D488" t="str">
            <v xml:space="preserve">Posta De Cerdo </v>
          </cell>
          <cell r="E488" t="str">
            <v>Gramos</v>
          </cell>
        </row>
        <row r="489">
          <cell r="A489" t="str">
            <v>906000010</v>
          </cell>
          <cell r="B489" t="str">
            <v>PREMEZCLA CHOCOMIX (SACO:25k)</v>
          </cell>
          <cell r="C489" t="str">
            <v>MP10306</v>
          </cell>
          <cell r="D489" t="str">
            <v xml:space="preserve">Premezcla Chocomix </v>
          </cell>
          <cell r="E489" t="str">
            <v>Gramos</v>
          </cell>
        </row>
        <row r="490">
          <cell r="A490" t="str">
            <v>0510258</v>
          </cell>
          <cell r="B490" t="str">
            <v>PREMEZCLA MOIST PUDIN CAKE (SACO:25 K)</v>
          </cell>
          <cell r="C490" t="str">
            <v>MP10307</v>
          </cell>
          <cell r="D490" t="str">
            <v xml:space="preserve">Premezcla Moist Pudin Cake </v>
          </cell>
          <cell r="E490" t="str">
            <v>Gramos</v>
          </cell>
        </row>
        <row r="491">
          <cell r="A491" t="str">
            <v>0510304</v>
          </cell>
          <cell r="B491" t="str">
            <v xml:space="preserve">PREMEZCLA PASTEL SUPER ESPONJA </v>
          </cell>
          <cell r="C491" t="str">
            <v>MP10308</v>
          </cell>
          <cell r="D491" t="str">
            <v xml:space="preserve">Premezcla Pastel Super Esponja </v>
          </cell>
          <cell r="E491" t="str">
            <v>Gramos</v>
          </cell>
        </row>
        <row r="492">
          <cell r="A492" t="str">
            <v>11200067</v>
          </cell>
          <cell r="B492" t="str">
            <v>PREMEZCLA PUDING CAKE PILLSB (SC:22.6 K)</v>
          </cell>
          <cell r="C492" t="str">
            <v>MP10309</v>
          </cell>
          <cell r="D492" t="str">
            <v xml:space="preserve">Premezcla Puding Cake Pillsb </v>
          </cell>
          <cell r="E492" t="str">
            <v>Gramos</v>
          </cell>
        </row>
        <row r="493">
          <cell r="A493" t="str">
            <v>11200069</v>
          </cell>
          <cell r="B493" t="str">
            <v>PREMEZCLA PUNDING CAKE AMERIC (SC:22.68K</v>
          </cell>
          <cell r="C493" t="str">
            <v>MP10310</v>
          </cell>
          <cell r="D493" t="str">
            <v xml:space="preserve">Premezcla Punding Cake Americ </v>
          </cell>
          <cell r="E493" t="str">
            <v>Gramos</v>
          </cell>
        </row>
        <row r="494">
          <cell r="A494" t="str">
            <v>0510298</v>
          </cell>
          <cell r="B494" t="str">
            <v>PREMEZCLA TEGRAL BIZCO MELOC (PAQ:6K)</v>
          </cell>
          <cell r="C494" t="str">
            <v>MP10311</v>
          </cell>
          <cell r="D494" t="str">
            <v>Premezcla Tegral Bizco Melocoton</v>
          </cell>
          <cell r="E494" t="str">
            <v>Gramos</v>
          </cell>
        </row>
        <row r="495">
          <cell r="A495" t="str">
            <v>0510287</v>
          </cell>
          <cell r="B495" t="str">
            <v>PREMEZCLA TEGRAL CHIFON (SACO:10K)</v>
          </cell>
          <cell r="C495" t="str">
            <v>MP10312</v>
          </cell>
          <cell r="D495" t="str">
            <v>Premezcla Tegral Chifon</v>
          </cell>
          <cell r="E495" t="str">
            <v>Gramos</v>
          </cell>
        </row>
        <row r="496">
          <cell r="A496" t="str">
            <v>11200048</v>
          </cell>
          <cell r="B496" t="str">
            <v>PREMEZCLA TEGRAL QQ CHOCOLATE (SACO:20K)</v>
          </cell>
          <cell r="C496" t="str">
            <v>MP10313</v>
          </cell>
          <cell r="D496" t="str">
            <v xml:space="preserve">Premezcla Tegral  Chocolate </v>
          </cell>
          <cell r="E496" t="str">
            <v>Gramos</v>
          </cell>
        </row>
        <row r="497">
          <cell r="A497" t="str">
            <v>11200043</v>
          </cell>
          <cell r="B497" t="str">
            <v>PREMEZCLA TEGRAL QQ VAINILLA (SACO:25K)</v>
          </cell>
          <cell r="C497" t="str">
            <v>MP10314</v>
          </cell>
          <cell r="D497" t="str">
            <v xml:space="preserve">Premezcla Tegral  Vainilla </v>
          </cell>
          <cell r="E497" t="str">
            <v>Gramos</v>
          </cell>
        </row>
        <row r="498">
          <cell r="A498" t="str">
            <v>1212437</v>
          </cell>
          <cell r="B498" t="str">
            <v>PRESERVANTE MIXTO (UND:17 K)</v>
          </cell>
          <cell r="C498" t="str">
            <v>MP10315</v>
          </cell>
          <cell r="D498" t="str">
            <v xml:space="preserve">Preservante Mixto </v>
          </cell>
          <cell r="E498" t="str">
            <v>Gramos</v>
          </cell>
        </row>
        <row r="499">
          <cell r="A499" t="str">
            <v>116000009</v>
          </cell>
          <cell r="B499" t="str">
            <v>PRESERVANTE OPTIFORM PD4 (UND:25K)</v>
          </cell>
          <cell r="C499" t="str">
            <v>MP10316</v>
          </cell>
          <cell r="D499" t="str">
            <v xml:space="preserve">Preservante Optiform Pd4 </v>
          </cell>
          <cell r="E499" t="str">
            <v>Gramos</v>
          </cell>
        </row>
        <row r="500">
          <cell r="A500" t="str">
            <v>0512262</v>
          </cell>
          <cell r="B500" t="str">
            <v>PROPIANATO CALCIO (PAQ:2.5 K)</v>
          </cell>
          <cell r="C500" t="str">
            <v>MP10317</v>
          </cell>
          <cell r="D500" t="str">
            <v xml:space="preserve">Propianato Calcio </v>
          </cell>
          <cell r="E500" t="str">
            <v>Gramos</v>
          </cell>
        </row>
        <row r="501">
          <cell r="A501" t="str">
            <v>0110060</v>
          </cell>
          <cell r="B501" t="str">
            <v>PULPA DE TAMARINDO KILO</v>
          </cell>
          <cell r="C501" t="str">
            <v>MP10318</v>
          </cell>
          <cell r="D501" t="str">
            <v>Pulpa De Tamarindo</v>
          </cell>
          <cell r="E501" t="str">
            <v>Gramos</v>
          </cell>
        </row>
        <row r="502">
          <cell r="A502" t="str">
            <v>11400048</v>
          </cell>
          <cell r="B502" t="str">
            <v>QUESO AMERI CHEESE NESTLE (PAQ:52 UND)</v>
          </cell>
          <cell r="C502" t="str">
            <v>MP10319</v>
          </cell>
          <cell r="D502" t="str">
            <v>Queso Ameri Cheese Nestle</v>
          </cell>
          <cell r="E502" t="str">
            <v>Gramos</v>
          </cell>
        </row>
        <row r="503">
          <cell r="A503" t="str">
            <v>0312277</v>
          </cell>
          <cell r="B503" t="str">
            <v>QUESO BOCCONCINI (PAQ:500g)</v>
          </cell>
          <cell r="C503" t="str">
            <v>MP10320</v>
          </cell>
          <cell r="D503" t="str">
            <v xml:space="preserve">Queso Bocconcini </v>
          </cell>
          <cell r="E503" t="str">
            <v>Gramos</v>
          </cell>
        </row>
        <row r="504">
          <cell r="A504" t="str">
            <v>0310115</v>
          </cell>
          <cell r="B504" t="str">
            <v>QUESO CHEDDAR BLOCK (UND:2 kg)</v>
          </cell>
          <cell r="C504" t="str">
            <v>MP10321</v>
          </cell>
          <cell r="D504" t="str">
            <v xml:space="preserve">Queso Cheddar Block </v>
          </cell>
          <cell r="E504" t="str">
            <v>Gramos</v>
          </cell>
        </row>
        <row r="505">
          <cell r="A505" t="str">
            <v>11400036</v>
          </cell>
          <cell r="B505" t="str">
            <v>QUESO FETTA (PAQ:200g)</v>
          </cell>
          <cell r="C505" t="str">
            <v>MP10322</v>
          </cell>
          <cell r="D505" t="str">
            <v>Queso Fetta</v>
          </cell>
          <cell r="E505" t="str">
            <v>Gramos</v>
          </cell>
        </row>
        <row r="506">
          <cell r="A506" t="str">
            <v>11400015</v>
          </cell>
          <cell r="B506" t="str">
            <v>QUESO GOUDA (PAQ:160g)</v>
          </cell>
          <cell r="C506" t="str">
            <v>MP10323</v>
          </cell>
          <cell r="D506" t="str">
            <v xml:space="preserve">Queso Gouda </v>
          </cell>
          <cell r="E506" t="str">
            <v>Gramos</v>
          </cell>
        </row>
        <row r="507">
          <cell r="A507" t="str">
            <v>0310116</v>
          </cell>
          <cell r="B507" t="str">
            <v>QUESO PARMERSANO (KILO)</v>
          </cell>
          <cell r="C507" t="str">
            <v>MP10324</v>
          </cell>
          <cell r="D507" t="str">
            <v>Queso Parmersano</v>
          </cell>
          <cell r="E507" t="str">
            <v>Gramos</v>
          </cell>
        </row>
        <row r="508">
          <cell r="A508" t="str">
            <v>0310112</v>
          </cell>
          <cell r="B508" t="str">
            <v>QUESO PRADO RICO REBANADO KILO</v>
          </cell>
          <cell r="C508" t="str">
            <v>MP10325</v>
          </cell>
          <cell r="D508" t="str">
            <v>Queso Prado Rico Rebanado</v>
          </cell>
          <cell r="E508" t="str">
            <v>Gramos</v>
          </cell>
        </row>
        <row r="509">
          <cell r="A509" t="str">
            <v>0310120</v>
          </cell>
          <cell r="B509" t="str">
            <v>QUESO RICOTTA (UND: KILO)</v>
          </cell>
          <cell r="C509" t="str">
            <v>MP10326</v>
          </cell>
          <cell r="D509" t="str">
            <v xml:space="preserve">Queso Ricotta </v>
          </cell>
          <cell r="E509" t="str">
            <v>Gramos</v>
          </cell>
        </row>
        <row r="510">
          <cell r="A510" t="str">
            <v>11400056</v>
          </cell>
          <cell r="B510" t="str">
            <v>QUESO SUIZO REBANADO ( PAQ: 1.5 LB)</v>
          </cell>
          <cell r="C510" t="str">
            <v>MP10327</v>
          </cell>
          <cell r="D510" t="str">
            <v>Queso Suizo Rebanado</v>
          </cell>
          <cell r="E510" t="str">
            <v>Gramos</v>
          </cell>
        </row>
        <row r="511">
          <cell r="A511" t="str">
            <v>11400024</v>
          </cell>
          <cell r="B511" t="str">
            <v>QUESO TURRIALBA (PAQ: 3 K)</v>
          </cell>
          <cell r="C511" t="str">
            <v>MP10328</v>
          </cell>
          <cell r="D511" t="str">
            <v xml:space="preserve">Queso Turrialba </v>
          </cell>
          <cell r="E511" t="str">
            <v>Gramos</v>
          </cell>
        </row>
        <row r="512">
          <cell r="A512" t="str">
            <v>1900001</v>
          </cell>
          <cell r="B512" t="str">
            <v>QUINUA BLANCA (SACO:25 Kg)</v>
          </cell>
          <cell r="C512" t="str">
            <v>MP10329</v>
          </cell>
          <cell r="D512" t="str">
            <v xml:space="preserve">Quinua Blanca </v>
          </cell>
          <cell r="E512" t="str">
            <v>Gramos</v>
          </cell>
        </row>
        <row r="513">
          <cell r="A513" t="str">
            <v>10900059</v>
          </cell>
          <cell r="B513" t="str">
            <v>RABANO (PAQ:125g)</v>
          </cell>
          <cell r="C513" t="str">
            <v>MP10330</v>
          </cell>
          <cell r="D513" t="str">
            <v xml:space="preserve">Rabano </v>
          </cell>
          <cell r="E513" t="str">
            <v>Gramos</v>
          </cell>
        </row>
        <row r="514">
          <cell r="A514" t="str">
            <v>0410154</v>
          </cell>
          <cell r="B514" t="str">
            <v>RELLENO CARAMELO KILO</v>
          </cell>
          <cell r="C514" t="str">
            <v>MP10331</v>
          </cell>
          <cell r="D514" t="str">
            <v>Relleno Caramelo</v>
          </cell>
          <cell r="E514" t="str">
            <v>Gramos</v>
          </cell>
        </row>
        <row r="515">
          <cell r="A515" t="str">
            <v>410174</v>
          </cell>
          <cell r="B515" t="str">
            <v>RELLENO PIÑA COLADA KILO</v>
          </cell>
          <cell r="C515" t="str">
            <v>MP10333</v>
          </cell>
          <cell r="D515" t="str">
            <v>Relleno Piña Colada</v>
          </cell>
          <cell r="E515" t="str">
            <v>Gramos</v>
          </cell>
        </row>
        <row r="516">
          <cell r="A516" t="str">
            <v>117000020</v>
          </cell>
          <cell r="B516" t="str">
            <v xml:space="preserve">RELLENO SALTY CARAMEL (KILO) </v>
          </cell>
          <cell r="C516" t="str">
            <v>MP10334</v>
          </cell>
          <cell r="D516" t="str">
            <v xml:space="preserve">Relleno Salty Caramel </v>
          </cell>
          <cell r="E516" t="str">
            <v>Gramos</v>
          </cell>
        </row>
        <row r="517">
          <cell r="A517" t="str">
            <v>1730616</v>
          </cell>
          <cell r="B517" t="str">
            <v>REMOLACHA KILO</v>
          </cell>
          <cell r="C517" t="str">
            <v>MP10335</v>
          </cell>
          <cell r="D517" t="str">
            <v xml:space="preserve">Remolacha </v>
          </cell>
          <cell r="E517" t="str">
            <v>Gramos</v>
          </cell>
        </row>
        <row r="518">
          <cell r="A518" t="str">
            <v>10900041</v>
          </cell>
          <cell r="B518" t="str">
            <v>REPOLLO MORADO RALLADO (PAQ:250g)</v>
          </cell>
          <cell r="C518" t="str">
            <v>MP10336</v>
          </cell>
          <cell r="D518" t="str">
            <v xml:space="preserve">Repollo Morado Rallado </v>
          </cell>
          <cell r="E518" t="str">
            <v>Gramos</v>
          </cell>
        </row>
        <row r="519">
          <cell r="A519" t="str">
            <v>1730617</v>
          </cell>
          <cell r="B519" t="str">
            <v>REPOLLO VERDE RAYADO KILO</v>
          </cell>
          <cell r="C519" t="str">
            <v>MP10337</v>
          </cell>
          <cell r="D519" t="str">
            <v>Repollo Verde Rayado</v>
          </cell>
          <cell r="E519" t="str">
            <v>Gramos</v>
          </cell>
        </row>
        <row r="520">
          <cell r="A520" t="str">
            <v>10300038</v>
          </cell>
          <cell r="B520" t="str">
            <v>ROAF BEEF REBANADO (PAQ:1 K)</v>
          </cell>
          <cell r="C520" t="str">
            <v>MP10338</v>
          </cell>
          <cell r="D520" t="str">
            <v xml:space="preserve">Roaf Beef Rebanado </v>
          </cell>
          <cell r="E520" t="str">
            <v>Gramos</v>
          </cell>
        </row>
        <row r="521">
          <cell r="A521" t="str">
            <v>10200088</v>
          </cell>
          <cell r="B521" t="str">
            <v>RON ABUELO RESERVA (UND: LITRO)</v>
          </cell>
          <cell r="C521" t="str">
            <v>MP10339</v>
          </cell>
          <cell r="D521" t="str">
            <v>Ron Abuelo Reserva</v>
          </cell>
          <cell r="E521" t="str">
            <v>Mililitros</v>
          </cell>
        </row>
        <row r="522">
          <cell r="A522" t="str">
            <v>10200019</v>
          </cell>
          <cell r="B522" t="str">
            <v>RON PLATA ESPECIAL (UND: LITRO)</v>
          </cell>
          <cell r="C522" t="str">
            <v>MP10340</v>
          </cell>
          <cell r="D522" t="str">
            <v xml:space="preserve">Ron Plata Especial </v>
          </cell>
          <cell r="E522" t="str">
            <v>Mililitros</v>
          </cell>
        </row>
        <row r="523">
          <cell r="A523" t="str">
            <v>0510259</v>
          </cell>
          <cell r="B523" t="str">
            <v>SABORIZANTE FRESA BOSQUE (KILO)</v>
          </cell>
          <cell r="C523" t="str">
            <v>MP10342</v>
          </cell>
          <cell r="D523" t="str">
            <v xml:space="preserve">Saborizante Fresa Bosque </v>
          </cell>
          <cell r="E523" t="str">
            <v>Gramos</v>
          </cell>
        </row>
        <row r="524">
          <cell r="A524" t="str">
            <v>118000014</v>
          </cell>
          <cell r="B524" t="str">
            <v>SABORIZANTE MENTA A0162 (KILO)</v>
          </cell>
          <cell r="C524" t="str">
            <v>MP10343</v>
          </cell>
          <cell r="D524" t="str">
            <v xml:space="preserve">Saborizante Menta A0162 </v>
          </cell>
          <cell r="E524" t="str">
            <v>Gramos</v>
          </cell>
        </row>
        <row r="525">
          <cell r="A525" t="str">
            <v>11800012</v>
          </cell>
          <cell r="B525" t="str">
            <v>SABORIZANTE NARANJA A-0191 KILO</v>
          </cell>
          <cell r="C525" t="str">
            <v>MP10344</v>
          </cell>
          <cell r="D525" t="str">
            <v>Saborizante Naranja A-0191</v>
          </cell>
          <cell r="E525" t="str">
            <v>Gramos</v>
          </cell>
        </row>
        <row r="526">
          <cell r="A526" t="str">
            <v>11800006</v>
          </cell>
          <cell r="B526" t="str">
            <v>SABORIZANTE PIÑA COLADA (KILO)</v>
          </cell>
          <cell r="C526" t="str">
            <v>MP10345</v>
          </cell>
          <cell r="D526" t="str">
            <v xml:space="preserve">Saborizante Piña Colada </v>
          </cell>
          <cell r="E526" t="str">
            <v>Gramos</v>
          </cell>
        </row>
        <row r="527">
          <cell r="A527" t="str">
            <v>1730589</v>
          </cell>
          <cell r="B527" t="str">
            <v>SALCHICHAS KILO</v>
          </cell>
          <cell r="C527" t="str">
            <v>MP10346</v>
          </cell>
          <cell r="D527" t="str">
            <v xml:space="preserve">Salchichas </v>
          </cell>
          <cell r="E527" t="str">
            <v>Gramos</v>
          </cell>
        </row>
        <row r="528">
          <cell r="A528" t="str">
            <v>0210093</v>
          </cell>
          <cell r="B528" t="str">
            <v>SALCHICHON KILO</v>
          </cell>
          <cell r="C528" t="str">
            <v>MP10347</v>
          </cell>
          <cell r="D528" t="str">
            <v>Salchichon</v>
          </cell>
          <cell r="E528" t="str">
            <v>Gramos</v>
          </cell>
        </row>
        <row r="529">
          <cell r="A529" t="str">
            <v>2000001</v>
          </cell>
          <cell r="B529" t="str">
            <v>SALMON AHUMADO  (PAQ:900g)</v>
          </cell>
          <cell r="C529" t="str">
            <v>MP10348</v>
          </cell>
          <cell r="D529" t="str">
            <v xml:space="preserve">Salmon Ahumado </v>
          </cell>
          <cell r="E529" t="str">
            <v>Gramos</v>
          </cell>
        </row>
        <row r="530">
          <cell r="A530" t="str">
            <v>103000001</v>
          </cell>
          <cell r="B530" t="str">
            <v>SALMON EN MEDALLON KILO</v>
          </cell>
          <cell r="C530" t="str">
            <v>MP10349</v>
          </cell>
          <cell r="D530" t="str">
            <v xml:space="preserve">Salmon En Medallon </v>
          </cell>
          <cell r="E530" t="str">
            <v>Gramos</v>
          </cell>
        </row>
        <row r="531">
          <cell r="A531" t="str">
            <v>12300005</v>
          </cell>
          <cell r="B531" t="str">
            <v>SALSA AJI AMARILLO (UND:160 ML)</v>
          </cell>
          <cell r="C531" t="str">
            <v>MP10350</v>
          </cell>
          <cell r="D531" t="str">
            <v>Salsa Aji Amarillo 160g</v>
          </cell>
          <cell r="E531" t="str">
            <v>Mililitros</v>
          </cell>
        </row>
        <row r="532">
          <cell r="A532" t="str">
            <v>1730663</v>
          </cell>
          <cell r="B532" t="str">
            <v>SALSA AJI AMARILLO DOYPACK  (UND:460g)</v>
          </cell>
          <cell r="C532" t="str">
            <v>MP10351</v>
          </cell>
          <cell r="D532" t="str">
            <v xml:space="preserve">Salsa Aji Amarillo Doypack  </v>
          </cell>
          <cell r="E532" t="str">
            <v>Unidades</v>
          </cell>
        </row>
        <row r="533">
          <cell r="A533" t="str">
            <v>10100051</v>
          </cell>
          <cell r="B533" t="str">
            <v>SALSA CHINA GALON</v>
          </cell>
          <cell r="C533" t="str">
            <v>MP10352</v>
          </cell>
          <cell r="D533" t="str">
            <v>Salsa China</v>
          </cell>
          <cell r="E533" t="str">
            <v>Mililitros</v>
          </cell>
        </row>
        <row r="534">
          <cell r="A534" t="str">
            <v>10100157</v>
          </cell>
          <cell r="B534" t="str">
            <v>SALSA HOISIN (UND:2.27 K)</v>
          </cell>
          <cell r="C534" t="str">
            <v>MP10353</v>
          </cell>
          <cell r="D534" t="str">
            <v xml:space="preserve">Salsa Hoisin </v>
          </cell>
          <cell r="E534" t="str">
            <v>Gramos</v>
          </cell>
        </row>
        <row r="535">
          <cell r="A535" t="str">
            <v>0910341</v>
          </cell>
          <cell r="B535" t="str">
            <v>SALSA INGLESA LIZANO (UND:3.7 L)</v>
          </cell>
          <cell r="C535" t="str">
            <v>MP10354</v>
          </cell>
          <cell r="D535" t="str">
            <v xml:space="preserve">Salsa Inglesa Lizano </v>
          </cell>
          <cell r="E535" t="str">
            <v>Mililitros</v>
          </cell>
        </row>
        <row r="536">
          <cell r="A536" t="str">
            <v>10100318</v>
          </cell>
          <cell r="B536" t="str">
            <v>SALSA QUESO CHEDDAR (UNIDAD: 3.9 KG)</v>
          </cell>
          <cell r="C536" t="str">
            <v>MP10355</v>
          </cell>
          <cell r="D536" t="str">
            <v xml:space="preserve">Salsa Queso Cheddar </v>
          </cell>
          <cell r="E536" t="str">
            <v>Gramos</v>
          </cell>
        </row>
        <row r="537">
          <cell r="A537" t="str">
            <v>10100053</v>
          </cell>
          <cell r="B537" t="str">
            <v>SALSA TOMATE BANQUETE (PAQ:2 Kg)</v>
          </cell>
          <cell r="C537" t="str">
            <v>MP10356</v>
          </cell>
          <cell r="D537" t="str">
            <v xml:space="preserve">Salsa Tomate </v>
          </cell>
          <cell r="E537" t="str">
            <v>Gramos</v>
          </cell>
        </row>
        <row r="538">
          <cell r="A538" t="str">
            <v>119000026</v>
          </cell>
          <cell r="B538" t="str">
            <v>SEMILLA DE AMAPOLA (UND: 566 G)</v>
          </cell>
          <cell r="C538" t="str">
            <v>MP10357</v>
          </cell>
          <cell r="D538" t="str">
            <v xml:space="preserve">Semilla Amapola </v>
          </cell>
          <cell r="E538" t="str">
            <v>Gramos</v>
          </cell>
        </row>
        <row r="539">
          <cell r="A539" t="str">
            <v>1010047</v>
          </cell>
          <cell r="B539" t="str">
            <v>SIROPE CHOCOLATE HERSHEY (UND:24 ONZ)</v>
          </cell>
          <cell r="C539" t="str">
            <v>MP10358</v>
          </cell>
          <cell r="D539" t="str">
            <v xml:space="preserve">Sirope Chocolate Hershey </v>
          </cell>
          <cell r="E539" t="str">
            <v>Gramos</v>
          </cell>
        </row>
        <row r="540">
          <cell r="A540" t="str">
            <v>10200001</v>
          </cell>
          <cell r="B540" t="str">
            <v>SIROPE DE KOLA (GALON)</v>
          </cell>
          <cell r="C540" t="str">
            <v>MP10359</v>
          </cell>
          <cell r="D540" t="str">
            <v>Sirope De Kola</v>
          </cell>
          <cell r="E540" t="str">
            <v>Mililitros</v>
          </cell>
        </row>
        <row r="541">
          <cell r="A541" t="str">
            <v>10100048</v>
          </cell>
          <cell r="B541" t="str">
            <v>SIROPE KARO DARK (UND: 3.78 K)</v>
          </cell>
          <cell r="C541" t="str">
            <v>MP10360</v>
          </cell>
          <cell r="D541" t="str">
            <v>Sirope Karo Dark</v>
          </cell>
          <cell r="E541" t="str">
            <v>Mililitros</v>
          </cell>
        </row>
        <row r="542">
          <cell r="A542" t="str">
            <v>510414</v>
          </cell>
          <cell r="B542" t="str">
            <v>SNACK MIX PLATANO-YUCA (PAQ:500g)</v>
          </cell>
          <cell r="C542" t="str">
            <v>MP10361</v>
          </cell>
          <cell r="D542" t="str">
            <v xml:space="preserve">Snack Mix Platano-Yuca </v>
          </cell>
          <cell r="E542" t="str">
            <v>Gramos</v>
          </cell>
        </row>
        <row r="543">
          <cell r="A543" t="str">
            <v>0610253</v>
          </cell>
          <cell r="B543" t="str">
            <v>SOPA OLLA CARNE MAGGI (CAJA:12 UND)</v>
          </cell>
          <cell r="C543" t="str">
            <v>MP10362</v>
          </cell>
          <cell r="D543" t="str">
            <v>Sopa Olla Carne Maggi</v>
          </cell>
          <cell r="E543" t="str">
            <v>Gramos</v>
          </cell>
        </row>
        <row r="544">
          <cell r="A544" t="str">
            <v>10100270</v>
          </cell>
          <cell r="B544" t="str">
            <v>TABASCO BANQUETE (UND: 1/2 GALON)</v>
          </cell>
          <cell r="C544" t="str">
            <v>MP10363</v>
          </cell>
          <cell r="D544" t="str">
            <v xml:space="preserve">Tabasco </v>
          </cell>
          <cell r="E544" t="str">
            <v>Gramos</v>
          </cell>
        </row>
        <row r="545">
          <cell r="A545" t="str">
            <v>10200026</v>
          </cell>
          <cell r="B545" t="str">
            <v>TE BED TIME "MANZANILLA" (PAQ:12 UND)</v>
          </cell>
          <cell r="C545" t="str">
            <v>MP10364</v>
          </cell>
          <cell r="D545" t="str">
            <v>Te Bed Time "Manzanilla"</v>
          </cell>
          <cell r="E545" t="str">
            <v>Unidades</v>
          </cell>
        </row>
        <row r="546">
          <cell r="A546" t="str">
            <v>10200012</v>
          </cell>
          <cell r="B546" t="str">
            <v>TE CHAI ESPECIES (PAQ:800g)</v>
          </cell>
          <cell r="C546" t="str">
            <v>MP10365</v>
          </cell>
          <cell r="D546" t="str">
            <v>Te Chai Especies</v>
          </cell>
          <cell r="E546" t="str">
            <v>Gramos</v>
          </cell>
        </row>
        <row r="547">
          <cell r="A547" t="str">
            <v>102000041</v>
          </cell>
          <cell r="B547" t="str">
            <v>TE FRIO LIMON (PAQ:500 G)</v>
          </cell>
          <cell r="C547" t="str">
            <v>MP10366</v>
          </cell>
          <cell r="D547" t="str">
            <v>Te Frio Limon Polvo</v>
          </cell>
          <cell r="E547" t="str">
            <v>Gramos</v>
          </cell>
        </row>
        <row r="548">
          <cell r="A548" t="str">
            <v>102000037</v>
          </cell>
          <cell r="B548" t="str">
            <v xml:space="preserve">TE FRIO MELOCOTON (CAJA: 6 PAQ) </v>
          </cell>
          <cell r="C548" t="str">
            <v>MP10367</v>
          </cell>
          <cell r="D548" t="str">
            <v>Te Frio Melocoton Polvo</v>
          </cell>
          <cell r="E548" t="str">
            <v>Unidades</v>
          </cell>
        </row>
        <row r="549">
          <cell r="A549" t="str">
            <v>10200027</v>
          </cell>
          <cell r="B549" t="str">
            <v>TE GINGER FRESH (PAQ:12 UND)</v>
          </cell>
          <cell r="C549" t="str">
            <v>MP10368</v>
          </cell>
          <cell r="D549" t="str">
            <v xml:space="preserve">Te Ginger Fresh </v>
          </cell>
          <cell r="E549" t="str">
            <v>Unidades</v>
          </cell>
        </row>
        <row r="550">
          <cell r="A550" t="str">
            <v>10200028</v>
          </cell>
          <cell r="B550" t="str">
            <v>TE MAGIC TEA "AZUL" (PAQ:12 UND)</v>
          </cell>
          <cell r="C550" t="str">
            <v>MP10369</v>
          </cell>
          <cell r="D550" t="str">
            <v>Te Magic Tea "Azul"</v>
          </cell>
          <cell r="E550" t="str">
            <v>Unidades</v>
          </cell>
        </row>
        <row r="551">
          <cell r="A551" t="str">
            <v>10200024</v>
          </cell>
          <cell r="B551" t="str">
            <v>TE MENTA DEGESTIVA (PAQ:12 UND)</v>
          </cell>
          <cell r="C551" t="str">
            <v>MP10370</v>
          </cell>
          <cell r="D551" t="str">
            <v xml:space="preserve">Te Menta Degestiva </v>
          </cell>
          <cell r="E551" t="str">
            <v>Unidades</v>
          </cell>
        </row>
        <row r="552">
          <cell r="A552" t="str">
            <v>10200022</v>
          </cell>
          <cell r="B552" t="str">
            <v>TE PALACIO ROYAL"ARANDANO" (PAQ:12 UND)</v>
          </cell>
          <cell r="C552" t="str">
            <v>MP10371</v>
          </cell>
          <cell r="D552" t="str">
            <v>Te Palacio Royal"Arandano"</v>
          </cell>
          <cell r="E552" t="str">
            <v>Unidades</v>
          </cell>
        </row>
        <row r="553">
          <cell r="A553" t="str">
            <v>10300053</v>
          </cell>
          <cell r="B553" t="str">
            <v>TOCINETA (PAQ= 1 K)</v>
          </cell>
          <cell r="C553" t="str">
            <v>MP10372</v>
          </cell>
          <cell r="D553" t="str">
            <v xml:space="preserve">Tocineta </v>
          </cell>
          <cell r="E553" t="str">
            <v>Gramos</v>
          </cell>
        </row>
        <row r="554">
          <cell r="A554" t="str">
            <v>10900043</v>
          </cell>
          <cell r="B554" t="str">
            <v>TOMATE CHERRY (PAQ:200g)</v>
          </cell>
          <cell r="C554" t="str">
            <v>MP10373</v>
          </cell>
          <cell r="D554" t="str">
            <v xml:space="preserve">Tomate Cherry </v>
          </cell>
          <cell r="E554" t="str">
            <v>Gramos</v>
          </cell>
        </row>
        <row r="555">
          <cell r="A555" t="str">
            <v>0101210</v>
          </cell>
          <cell r="B555" t="str">
            <v>TOMATE KILO</v>
          </cell>
          <cell r="C555" t="str">
            <v>MP10374</v>
          </cell>
          <cell r="D555" t="str">
            <v>Tomate Granel</v>
          </cell>
          <cell r="E555" t="str">
            <v>Gramos</v>
          </cell>
        </row>
        <row r="556">
          <cell r="A556" t="str">
            <v>1110378</v>
          </cell>
          <cell r="B556" t="str">
            <v>TOMATE LICUADO LATA (UND: 4.1 K)</v>
          </cell>
          <cell r="C556" t="str">
            <v>MP10375</v>
          </cell>
          <cell r="D556" t="str">
            <v xml:space="preserve">Tomate Licuado Lata </v>
          </cell>
          <cell r="E556" t="str">
            <v>Gramos</v>
          </cell>
        </row>
        <row r="557">
          <cell r="A557" t="str">
            <v>109000137</v>
          </cell>
          <cell r="B557" t="str">
            <v>TOMATE PELADO ENTERO (UND: 2.89 K)</v>
          </cell>
          <cell r="C557" t="str">
            <v>MP10376</v>
          </cell>
          <cell r="D557" t="str">
            <v>Tomate Pelado Entero</v>
          </cell>
          <cell r="E557" t="str">
            <v>Gramos</v>
          </cell>
        </row>
        <row r="558">
          <cell r="A558" t="str">
            <v>105000054</v>
          </cell>
          <cell r="B558" t="str">
            <v>TOMILLO DESINFECTADO (PAQ: 20 G)</v>
          </cell>
          <cell r="C558" t="str">
            <v>MP10377</v>
          </cell>
          <cell r="D558" t="str">
            <v xml:space="preserve">Tomillo Desinfectado </v>
          </cell>
          <cell r="E558" t="str">
            <v>Gramos</v>
          </cell>
        </row>
        <row r="559">
          <cell r="A559" t="str">
            <v>0110086</v>
          </cell>
          <cell r="B559" t="str">
            <v>TOMILLO FRESCO ROLLO KILO</v>
          </cell>
          <cell r="C559" t="str">
            <v>MP10378</v>
          </cell>
          <cell r="D559" t="str">
            <v xml:space="preserve">Tomillo Fresco Rollo </v>
          </cell>
          <cell r="E559" t="str">
            <v>Gramos</v>
          </cell>
        </row>
        <row r="560">
          <cell r="A560" t="str">
            <v>103000026</v>
          </cell>
          <cell r="B560" t="str">
            <v>TORTA HAMBURGUESA(CAJA=48 UND)</v>
          </cell>
          <cell r="C560" t="str">
            <v>MP10379</v>
          </cell>
          <cell r="D560" t="str">
            <v>Torta Hamburguesa</v>
          </cell>
          <cell r="E560" t="str">
            <v>Unidades</v>
          </cell>
        </row>
        <row r="561">
          <cell r="A561" t="str">
            <v>10100107</v>
          </cell>
          <cell r="B561" t="str">
            <v>TORTILLA (PAQ:50 UND)</v>
          </cell>
          <cell r="C561" t="str">
            <v>MP10380</v>
          </cell>
          <cell r="D561" t="str">
            <v xml:space="preserve">Tortilla </v>
          </cell>
          <cell r="E561" t="str">
            <v>Unidades</v>
          </cell>
        </row>
        <row r="562">
          <cell r="A562" t="str">
            <v>2006223</v>
          </cell>
          <cell r="B562" t="str">
            <v>TORTILLA REDONDITA RUMBA (PAQ:1 KG)</v>
          </cell>
          <cell r="C562" t="str">
            <v>MP10381</v>
          </cell>
          <cell r="D562" t="str">
            <v xml:space="preserve">Tortilla Redondita Rumba </v>
          </cell>
          <cell r="E562" t="str">
            <v>Gramos</v>
          </cell>
        </row>
        <row r="563">
          <cell r="A563" t="str">
            <v>10100252</v>
          </cell>
          <cell r="B563" t="str">
            <v>TORTILLA TRIGO MISION 12" CON (CJ:6 PAQ)</v>
          </cell>
          <cell r="C563" t="str">
            <v>MP10382</v>
          </cell>
          <cell r="D563" t="str">
            <v xml:space="preserve">Tortilla Trigo Mision 12" </v>
          </cell>
          <cell r="E563" t="str">
            <v>Unidades</v>
          </cell>
        </row>
        <row r="564">
          <cell r="A564" t="str">
            <v>10100307</v>
          </cell>
          <cell r="B564" t="str">
            <v>TRES LECHES LA LECHERA (UND: 900 ML)</v>
          </cell>
          <cell r="C564" t="str">
            <v>MP10383</v>
          </cell>
          <cell r="D564" t="str">
            <v xml:space="preserve">Tres Leches La Lechera </v>
          </cell>
          <cell r="E564" t="str">
            <v>Mililitros</v>
          </cell>
        </row>
        <row r="565">
          <cell r="A565" t="str">
            <v>1210398</v>
          </cell>
          <cell r="B565" t="str">
            <v>TROZOS CHOCOLATE OSCURO (CAJA:1 K)</v>
          </cell>
          <cell r="C565" t="str">
            <v>MP10384</v>
          </cell>
          <cell r="D565" t="str">
            <v xml:space="preserve">Trozos Chocolate Oscuro </v>
          </cell>
          <cell r="E565" t="str">
            <v>Gramos</v>
          </cell>
        </row>
        <row r="566">
          <cell r="A566" t="str">
            <v>118000004</v>
          </cell>
          <cell r="B566" t="str">
            <v>VAINILLA OSCURA (UND: 3.78 L)</v>
          </cell>
          <cell r="C566" t="str">
            <v>MP10385</v>
          </cell>
          <cell r="D566" t="str">
            <v xml:space="preserve">Vainilla Oscura </v>
          </cell>
          <cell r="E566" t="str">
            <v>Mililitros</v>
          </cell>
        </row>
        <row r="567">
          <cell r="A567" t="str">
            <v>1110407</v>
          </cell>
          <cell r="B567" t="str">
            <v>VEGETALES MIXTOS LAMB WESTON (PAQ: 1 K)</v>
          </cell>
          <cell r="C567" t="str">
            <v>MP10386</v>
          </cell>
          <cell r="D567" t="str">
            <v xml:space="preserve">Vegetales Mixtos Lamb Weston </v>
          </cell>
          <cell r="E567" t="str">
            <v>Gramos</v>
          </cell>
        </row>
        <row r="568">
          <cell r="A568" t="str">
            <v>1010008</v>
          </cell>
          <cell r="B568" t="str">
            <v>VINAGRE BALSAMICO ROLAND (UND:5 L)</v>
          </cell>
          <cell r="C568" t="str">
            <v>MP10387</v>
          </cell>
          <cell r="D568" t="str">
            <v xml:space="preserve">Vinagre Balsamico </v>
          </cell>
          <cell r="E568" t="str">
            <v>Mililitros</v>
          </cell>
        </row>
        <row r="569">
          <cell r="A569" t="str">
            <v>10100088</v>
          </cell>
          <cell r="B569" t="str">
            <v>VINAGRE BALSAMICO TINTO (UND:250 ML)**</v>
          </cell>
          <cell r="C569" t="str">
            <v>MP10388</v>
          </cell>
          <cell r="D569" t="str">
            <v>Vinagre Balsamico Tinto</v>
          </cell>
          <cell r="E569" t="str">
            <v>Mililitros</v>
          </cell>
        </row>
        <row r="570">
          <cell r="A570" t="str">
            <v>0910322</v>
          </cell>
          <cell r="B570" t="str">
            <v>VINAGRE BLANCO (UND:3.785 L)</v>
          </cell>
          <cell r="C570" t="str">
            <v>MP10389</v>
          </cell>
          <cell r="D570" t="str">
            <v>Vinagre Blanco</v>
          </cell>
          <cell r="E570" t="str">
            <v>Mililitros</v>
          </cell>
        </row>
        <row r="571">
          <cell r="A571" t="str">
            <v>0910339</v>
          </cell>
          <cell r="B571" t="str">
            <v>VINAGRE VINO DE ARROZ (UND:3.785)</v>
          </cell>
          <cell r="C571" t="str">
            <v>MP10390</v>
          </cell>
          <cell r="D571" t="str">
            <v>Vinagre Vino De Arroz</v>
          </cell>
          <cell r="E571" t="str">
            <v>Mililitros</v>
          </cell>
        </row>
        <row r="572">
          <cell r="A572" t="str">
            <v>1010340</v>
          </cell>
          <cell r="B572" t="str">
            <v>VINO AROMO CHARDONAY (UND:750 ML)</v>
          </cell>
          <cell r="C572" t="str">
            <v>MP10391</v>
          </cell>
          <cell r="D572" t="str">
            <v>Vino Aromo Chardonay</v>
          </cell>
          <cell r="E572" t="str">
            <v>Mililitros</v>
          </cell>
        </row>
        <row r="573">
          <cell r="A573" t="str">
            <v>102000004</v>
          </cell>
          <cell r="B573" t="str">
            <v xml:space="preserve">VINO BLANCO (UND: 750 ML) </v>
          </cell>
          <cell r="C573" t="str">
            <v>MP10392</v>
          </cell>
          <cell r="D573" t="str">
            <v xml:space="preserve">Vino Blanco </v>
          </cell>
          <cell r="E573" t="str">
            <v>Mililitros</v>
          </cell>
        </row>
        <row r="574">
          <cell r="A574" t="str">
            <v>102000063</v>
          </cell>
          <cell r="B574" t="str">
            <v>VINO TINTO TORO (UND:LITRO)</v>
          </cell>
          <cell r="C574" t="str">
            <v>MP10393</v>
          </cell>
          <cell r="D574" t="str">
            <v xml:space="preserve">Vino Tinto </v>
          </cell>
          <cell r="E574" t="str">
            <v>Mililitros</v>
          </cell>
        </row>
        <row r="575">
          <cell r="A575" t="str">
            <v>11400040</v>
          </cell>
          <cell r="B575" t="str">
            <v>YOGURT BATIDO NATURAL (UND:1 K)</v>
          </cell>
          <cell r="C575" t="str">
            <v>MP10394</v>
          </cell>
          <cell r="D575" t="str">
            <v>Yogurt Batido Natural</v>
          </cell>
          <cell r="E575" t="str">
            <v>Gramos</v>
          </cell>
        </row>
        <row r="576">
          <cell r="A576" t="str">
            <v>10900024</v>
          </cell>
          <cell r="B576" t="str">
            <v>YUCA EN TROZOS (PAQ: 2K)</v>
          </cell>
          <cell r="C576" t="str">
            <v>MP10395</v>
          </cell>
          <cell r="D576" t="str">
            <v xml:space="preserve">Yuca En Trozos </v>
          </cell>
          <cell r="E576" t="str">
            <v>Gramos</v>
          </cell>
        </row>
        <row r="577">
          <cell r="A577" t="str">
            <v>10900020</v>
          </cell>
          <cell r="B577" t="str">
            <v>ZANAHORIA EN TROZOS (PAQ=2Kg)</v>
          </cell>
          <cell r="C577" t="str">
            <v>MP10396</v>
          </cell>
          <cell r="D577" t="str">
            <v xml:space="preserve">Zanahoria En Trozos </v>
          </cell>
          <cell r="E577" t="str">
            <v>Gramos</v>
          </cell>
        </row>
        <row r="578">
          <cell r="A578" t="str">
            <v>0101236</v>
          </cell>
          <cell r="B578" t="str">
            <v>ZANAHORIA JULIANA (PAQ:1 KILO)</v>
          </cell>
          <cell r="C578" t="str">
            <v>MP10397</v>
          </cell>
          <cell r="D578" t="str">
            <v xml:space="preserve">Zanahoria Juliana </v>
          </cell>
          <cell r="E578" t="str">
            <v>Gramos</v>
          </cell>
        </row>
        <row r="579">
          <cell r="A579" t="str">
            <v>0101241</v>
          </cell>
          <cell r="B579" t="str">
            <v>ZANAHORIA PICADA (PAQ:1 KILO)</v>
          </cell>
          <cell r="C579" t="str">
            <v>MP10398</v>
          </cell>
          <cell r="D579" t="str">
            <v>Zanahoria Picada</v>
          </cell>
          <cell r="E579" t="str">
            <v>Gramos</v>
          </cell>
        </row>
        <row r="580">
          <cell r="A580" t="str">
            <v>10900029</v>
          </cell>
          <cell r="B580" t="str">
            <v>ZANAHORIA TIRAS (PAQ:500g)</v>
          </cell>
          <cell r="C580" t="str">
            <v>MP10399</v>
          </cell>
          <cell r="D580" t="str">
            <v>Zanahoria Tiras</v>
          </cell>
          <cell r="E580" t="str">
            <v>Gramos</v>
          </cell>
        </row>
        <row r="581">
          <cell r="A581" t="str">
            <v>0101248</v>
          </cell>
          <cell r="B581" t="str">
            <v>ZUQUINI KILO</v>
          </cell>
          <cell r="C581" t="str">
            <v>MP10400</v>
          </cell>
          <cell r="D581" t="str">
            <v>Zuquini</v>
          </cell>
          <cell r="E581" t="str">
            <v>Gramos</v>
          </cell>
        </row>
        <row r="582">
          <cell r="A582" t="str">
            <v>10900057</v>
          </cell>
          <cell r="B582" t="str">
            <v>ZUQUINI MINI (PAQ:200g)</v>
          </cell>
          <cell r="C582" t="str">
            <v>MP10401</v>
          </cell>
          <cell r="D582" t="str">
            <v xml:space="preserve">Zuquini Mini </v>
          </cell>
          <cell r="E582" t="str">
            <v>Gramos</v>
          </cell>
        </row>
        <row r="583">
          <cell r="A583" t="str">
            <v>512261</v>
          </cell>
          <cell r="B583" t="str">
            <v>ACIDO SORBICO (PAQ:2.5 K)</v>
          </cell>
          <cell r="C583" t="str">
            <v>MP10402</v>
          </cell>
          <cell r="D583" t="str">
            <v xml:space="preserve">Acido Sorbico </v>
          </cell>
          <cell r="E583" t="str">
            <v>Gramos</v>
          </cell>
        </row>
        <row r="584">
          <cell r="A584" t="str">
            <v>118000007</v>
          </cell>
          <cell r="B584" t="str">
            <v>SABORIZANTE MELO (KILO)</v>
          </cell>
          <cell r="C584" t="str">
            <v>MP10403</v>
          </cell>
          <cell r="D584" t="str">
            <v>Saborizante de Melocotón</v>
          </cell>
          <cell r="E584" t="str">
            <v>Gramos</v>
          </cell>
        </row>
        <row r="585">
          <cell r="A585" t="str">
            <v>10400004</v>
          </cell>
          <cell r="B585" t="str">
            <v>COLORANTE GEL MINT GREEN (UND)</v>
          </cell>
          <cell r="C585" t="str">
            <v>MP10404</v>
          </cell>
          <cell r="D585" t="str">
            <v>Colorante Gel Mint Green</v>
          </cell>
          <cell r="E585" t="str">
            <v>Mililitros</v>
          </cell>
        </row>
        <row r="586">
          <cell r="A586" t="str">
            <v>105000041</v>
          </cell>
          <cell r="B586" t="str">
            <v xml:space="preserve">CLAVO DE OLOR MOLIDO ( PAQ: 500 G) </v>
          </cell>
          <cell r="C586" t="str">
            <v>MP10405</v>
          </cell>
          <cell r="D586" t="str">
            <v>Clavo De Olor Molido</v>
          </cell>
          <cell r="E586" t="str">
            <v>Gramos</v>
          </cell>
        </row>
        <row r="587">
          <cell r="A587" t="str">
            <v>1012341</v>
          </cell>
          <cell r="B587" t="str">
            <v>BAILEYS (BOTELLA=1 LITRO)</v>
          </cell>
          <cell r="C587" t="str">
            <v>MP10406</v>
          </cell>
          <cell r="D587" t="str">
            <v>Licor de Baileys</v>
          </cell>
          <cell r="E587" t="str">
            <v>Mililitros</v>
          </cell>
        </row>
        <row r="588">
          <cell r="A588" t="str">
            <v>10100229</v>
          </cell>
          <cell r="B588" t="str">
            <v>NEGRO B100 ESPECIAL (BULTO:36 PAQ)</v>
          </cell>
          <cell r="C588" t="str">
            <v>MP10408</v>
          </cell>
          <cell r="D588" t="str">
            <v>Té negro B100 especial</v>
          </cell>
          <cell r="E588" t="str">
            <v>Unidades</v>
          </cell>
        </row>
        <row r="589">
          <cell r="A589" t="str">
            <v>106000001</v>
          </cell>
          <cell r="B589" t="str">
            <v>HIGOS EN ALMIBAR (UND:23 K)</v>
          </cell>
          <cell r="C589" t="str">
            <v>MP10409</v>
          </cell>
          <cell r="D589" t="str">
            <v>Higos En Almibar</v>
          </cell>
          <cell r="E589" t="str">
            <v>Gramos</v>
          </cell>
        </row>
        <row r="590">
          <cell r="A590" t="str">
            <v>12100006</v>
          </cell>
          <cell r="B590" t="str">
            <v>CHOCOLATE GUAYABITA (PAQ=36 UND)</v>
          </cell>
          <cell r="C590" t="str">
            <v>MP10410</v>
          </cell>
          <cell r="D590" t="str">
            <v xml:space="preserve">Chocolate Guayabita </v>
          </cell>
          <cell r="E590" t="str">
            <v>Gramos</v>
          </cell>
        </row>
        <row r="591">
          <cell r="A591" t="str">
            <v>11200007</v>
          </cell>
          <cell r="B591" t="str">
            <v>PREMEZCLA DAWN BROWNIE ( SACO: 22.68 K )</v>
          </cell>
          <cell r="C591" t="str">
            <v>MP10475</v>
          </cell>
          <cell r="D591" t="str">
            <v xml:space="preserve">Premezcla Dawn Brownie </v>
          </cell>
          <cell r="E591" t="str">
            <v>Gramos</v>
          </cell>
        </row>
        <row r="592">
          <cell r="A592" t="str">
            <v>10200031</v>
          </cell>
          <cell r="B592" t="str">
            <v>CHOCOLATE MARMITA (PAQ: 400 G)</v>
          </cell>
          <cell r="C592" t="str">
            <v>MP10476</v>
          </cell>
          <cell r="D592" t="str">
            <v>Chocolate Marmita</v>
          </cell>
          <cell r="E592" t="str">
            <v>Gramos</v>
          </cell>
        </row>
        <row r="593">
          <cell r="A593" t="str">
            <v>505605</v>
          </cell>
          <cell r="B593" t="str">
            <v>LECHE CONDENSADA NESTLE (UND:395 G)</v>
          </cell>
          <cell r="C593" t="str">
            <v>MP10477</v>
          </cell>
          <cell r="D593" t="str">
            <v xml:space="preserve">Leche Condensada Nestle Lata </v>
          </cell>
          <cell r="E593" t="str">
            <v>Unidades</v>
          </cell>
        </row>
        <row r="594">
          <cell r="A594" t="str">
            <v>11200072</v>
          </cell>
          <cell r="B594" t="str">
            <v>HARINA SILVER CAKE (SACO: 25K)</v>
          </cell>
          <cell r="C594" t="str">
            <v>MP10478</v>
          </cell>
          <cell r="D594" t="str">
            <v>Harina Silver Cake</v>
          </cell>
          <cell r="E594" t="str">
            <v>Gramos</v>
          </cell>
        </row>
        <row r="595">
          <cell r="A595" t="str">
            <v>11200071</v>
          </cell>
          <cell r="B595" t="str">
            <v>HARINA FHACASA VERDE (SACO: 25 K)</v>
          </cell>
          <cell r="C595" t="str">
            <v>MP10479</v>
          </cell>
          <cell r="D595" t="str">
            <v>Harina Fhacasa Verde</v>
          </cell>
          <cell r="E595" t="str">
            <v>Gramos</v>
          </cell>
        </row>
        <row r="596">
          <cell r="A596" t="str">
            <v>11200074</v>
          </cell>
          <cell r="B596" t="str">
            <v>CACAO EN POLVO (SACO: 25 K)</v>
          </cell>
          <cell r="C596" t="str">
            <v>MP10480</v>
          </cell>
          <cell r="D596" t="str">
            <v xml:space="preserve">Cacao En Polvo </v>
          </cell>
          <cell r="E596" t="str">
            <v>Gramos</v>
          </cell>
        </row>
        <row r="597">
          <cell r="A597" t="str">
            <v>120000042</v>
          </cell>
          <cell r="B597" t="str">
            <v>GOMA</v>
          </cell>
          <cell r="C597" t="str">
            <v>MP10481</v>
          </cell>
          <cell r="D597" t="str">
            <v>Goma</v>
          </cell>
          <cell r="E597" t="str">
            <v>Gramos</v>
          </cell>
        </row>
        <row r="598">
          <cell r="A598" t="str">
            <v>11200073</v>
          </cell>
          <cell r="B598" t="str">
            <v>CONCENTRADO DAWN CHOCOLATE (SACO: 22.7K)</v>
          </cell>
          <cell r="C598" t="str">
            <v>MP10482</v>
          </cell>
          <cell r="D598" t="str">
            <v xml:space="preserve">Concentrado Dawn Chocolate </v>
          </cell>
          <cell r="E598" t="str">
            <v>Gramos</v>
          </cell>
        </row>
        <row r="599">
          <cell r="A599" t="str">
            <v>10100295</v>
          </cell>
          <cell r="B599" t="str">
            <v xml:space="preserve">COBERTURA CHOCOLATE BLANCO (PAQ:1 K) </v>
          </cell>
          <cell r="C599" t="str">
            <v>MP10483</v>
          </cell>
          <cell r="D599" t="str">
            <v>Cobertura Chocolate Blanco Belcolade</v>
          </cell>
          <cell r="E599" t="str">
            <v>Gramos</v>
          </cell>
        </row>
        <row r="600">
          <cell r="A600" t="str">
            <v>107000012</v>
          </cell>
          <cell r="B600" t="str">
            <v>CONFITILLO CORAZON MAVALERIO (PAQ:150G)</v>
          </cell>
          <cell r="C600" t="str">
            <v>MP10484</v>
          </cell>
          <cell r="D600" t="str">
            <v xml:space="preserve">Confitillo Corazon </v>
          </cell>
          <cell r="E600" t="str">
            <v>Gramos</v>
          </cell>
        </row>
        <row r="601">
          <cell r="A601" t="str">
            <v>14003009</v>
          </cell>
          <cell r="B601" t="str">
            <v>HOJUELA DE PAPA (SACO:18.14 K)</v>
          </cell>
          <cell r="C601" t="str">
            <v>MP10485</v>
          </cell>
          <cell r="D601" t="str">
            <v>Hojuela De Papa</v>
          </cell>
          <cell r="E601" t="str">
            <v>Gramos</v>
          </cell>
        </row>
        <row r="602">
          <cell r="A602" t="str">
            <v>10100193</v>
          </cell>
          <cell r="B602" t="str">
            <v>CONSOME POLLO MAGGI (PAQ:1K)</v>
          </cell>
          <cell r="C602" t="str">
            <v>MP10486</v>
          </cell>
          <cell r="D602" t="str">
            <v xml:space="preserve">Consome de pollo </v>
          </cell>
          <cell r="E602" t="str">
            <v>Gramos</v>
          </cell>
        </row>
        <row r="603">
          <cell r="A603" t="str">
            <v>102000062</v>
          </cell>
          <cell r="B603" t="str">
            <v xml:space="preserve">VINO BLANCO (UND: 750 ML) </v>
          </cell>
          <cell r="C603" t="str">
            <v>MP10487</v>
          </cell>
          <cell r="D603" t="str">
            <v xml:space="preserve">Vino Blanco </v>
          </cell>
          <cell r="E603" t="str">
            <v>Mililitros</v>
          </cell>
        </row>
        <row r="604">
          <cell r="A604" t="str">
            <v>110090</v>
          </cell>
          <cell r="B604" t="str">
            <v>MARACUYA SEMILLAS KILO</v>
          </cell>
          <cell r="C604" t="str">
            <v>MP10488</v>
          </cell>
          <cell r="D604" t="str">
            <v xml:space="preserve">Maracuya Semillas </v>
          </cell>
          <cell r="E604" t="str">
            <v>Gramos</v>
          </cell>
        </row>
        <row r="605">
          <cell r="A605" t="str">
            <v>118000018</v>
          </cell>
          <cell r="B605" t="str">
            <v>SABORIZANTE DE AVELLANAS  KILO</v>
          </cell>
          <cell r="C605" t="str">
            <v>MP10489</v>
          </cell>
          <cell r="D605" t="str">
            <v xml:space="preserve">Saborizante de Avellanas </v>
          </cell>
          <cell r="E605" t="str">
            <v>Gramos</v>
          </cell>
        </row>
        <row r="606">
          <cell r="A606" t="str">
            <v>11400061</v>
          </cell>
          <cell r="B606" t="str">
            <v>CREMA ROSSANA  200 g</v>
          </cell>
          <cell r="C606" t="str">
            <v>MP10490</v>
          </cell>
          <cell r="D606" t="str">
            <v xml:space="preserve">Crema Rossana </v>
          </cell>
          <cell r="E606" t="str">
            <v>Gramos</v>
          </cell>
        </row>
        <row r="607">
          <cell r="A607" t="str">
            <v>51600042</v>
          </cell>
          <cell r="B607" t="str">
            <v>CHOCOLATE LOGO ROSSANA  CAJA 50 UND</v>
          </cell>
          <cell r="C607" t="str">
            <v>MP10491</v>
          </cell>
          <cell r="D607" t="str">
            <v>Chocolate Logo Rossana</v>
          </cell>
          <cell r="E607" t="str">
            <v>Unidades</v>
          </cell>
        </row>
        <row r="608">
          <cell r="A608" t="str">
            <v>10300035</v>
          </cell>
          <cell r="B608" t="str">
            <v>JAMON COCIDO DELIKA GI (PAQ:250 G)</v>
          </cell>
          <cell r="C608" t="str">
            <v>MP10492</v>
          </cell>
          <cell r="D608" t="str">
            <v xml:space="preserve">Jamon Cocido Delika </v>
          </cell>
          <cell r="E608" t="str">
            <v>Gramos</v>
          </cell>
        </row>
        <row r="609">
          <cell r="A609" t="str">
            <v>11400065</v>
          </cell>
          <cell r="B609" t="str">
            <v>QUESO PROVOLONE</v>
          </cell>
          <cell r="C609" t="str">
            <v>MP10493</v>
          </cell>
          <cell r="D609" t="str">
            <v>Queso Provolone</v>
          </cell>
          <cell r="E609" t="str">
            <v>Gramos</v>
          </cell>
        </row>
        <row r="610">
          <cell r="A610" t="str">
            <v>11200079</v>
          </cell>
          <cell r="B610" t="str">
            <v xml:space="preserve">PAN CIABATTA 10 CM (PAQ: 12 UND)  </v>
          </cell>
          <cell r="C610" t="str">
            <v>MP10494</v>
          </cell>
          <cell r="D610" t="str">
            <v>Pan Ciabatta 10 cm</v>
          </cell>
          <cell r="E610" t="str">
            <v>Unidades</v>
          </cell>
        </row>
        <row r="611">
          <cell r="A611" t="str">
            <v>11200077</v>
          </cell>
          <cell r="B611" t="str">
            <v xml:space="preserve">PAN HOAGIE ROLL 15 CM (PAQ 10 UND) </v>
          </cell>
          <cell r="C611" t="str">
            <v>MP10495</v>
          </cell>
          <cell r="D611" t="str">
            <v xml:space="preserve">Pan Hoagie Roll 15 cm </v>
          </cell>
          <cell r="E611" t="str">
            <v>Unidades</v>
          </cell>
        </row>
        <row r="612">
          <cell r="A612" t="str">
            <v>1110377</v>
          </cell>
          <cell r="B612" t="str">
            <v>MOSTAZA FRENCH (UND:2.98 L)</v>
          </cell>
          <cell r="C612" t="str">
            <v>MP10496</v>
          </cell>
          <cell r="D612" t="str">
            <v xml:space="preserve">Mostaza French </v>
          </cell>
          <cell r="E612" t="str">
            <v>Gramos</v>
          </cell>
        </row>
        <row r="613">
          <cell r="A613" t="str">
            <v>10300055</v>
          </cell>
          <cell r="B613" t="str">
            <v xml:space="preserve">SALAMI GENOA ( UND 500) </v>
          </cell>
          <cell r="C613" t="str">
            <v>MP10497</v>
          </cell>
          <cell r="D613" t="str">
            <v>Salami Genoa 500g</v>
          </cell>
          <cell r="E613" t="str">
            <v>Gramos</v>
          </cell>
        </row>
        <row r="614">
          <cell r="A614" t="str">
            <v>10300056</v>
          </cell>
          <cell r="B614" t="str">
            <v xml:space="preserve">PEPPERONI ALL PORK (UND: 200 GRS) </v>
          </cell>
          <cell r="C614" t="str">
            <v>MP10498</v>
          </cell>
          <cell r="D614" t="str">
            <v>Pepperoni All Pork 200 g</v>
          </cell>
          <cell r="E614" t="str">
            <v>Gramos</v>
          </cell>
        </row>
        <row r="615">
          <cell r="A615" t="str">
            <v>10100331</v>
          </cell>
          <cell r="B615" t="str">
            <v>CHOCOLATE SEMI AMARGO 54% (PAQ 5 k)</v>
          </cell>
          <cell r="C615" t="str">
            <v>MP10499</v>
          </cell>
          <cell r="D615" t="str">
            <v xml:space="preserve">Chocolate Semi Amargo 54% </v>
          </cell>
          <cell r="E615" t="str">
            <v>Gramos</v>
          </cell>
        </row>
        <row r="616">
          <cell r="A616" t="str">
            <v>10200035</v>
          </cell>
          <cell r="B616" t="str">
            <v>CHOCOLATE JOHNNYS MARMITA (CAJA: 12K)</v>
          </cell>
          <cell r="C616" t="str">
            <v>MP10513</v>
          </cell>
          <cell r="D616" t="str">
            <v xml:space="preserve">Chocolate Johnnys Marmita </v>
          </cell>
          <cell r="E616" t="str">
            <v>Gramos</v>
          </cell>
        </row>
        <row r="617">
          <cell r="A617" t="str">
            <v>10100171</v>
          </cell>
          <cell r="B617" t="str">
            <v>LECHE CONDENSADA COCINADA ( PAQ:4 K)</v>
          </cell>
          <cell r="C617" t="str">
            <v>MP10514</v>
          </cell>
          <cell r="D617" t="str">
            <v>Leche Condensada Cocinada 1/ 4 Kg</v>
          </cell>
          <cell r="E617" t="str">
            <v>Gramos</v>
          </cell>
        </row>
        <row r="618">
          <cell r="A618" t="str">
            <v>10100121</v>
          </cell>
          <cell r="B618" t="str">
            <v>DULCE GRANULADO (UND=900GR)</v>
          </cell>
          <cell r="C618" t="str">
            <v>MP10515</v>
          </cell>
          <cell r="D618" t="str">
            <v xml:space="preserve">Dulce Granulado </v>
          </cell>
          <cell r="E618" t="str">
            <v>Gramos</v>
          </cell>
        </row>
        <row r="619">
          <cell r="A619" t="str">
            <v>10700048</v>
          </cell>
          <cell r="B619" t="str">
            <v>FRUTA CONFITADA (CAJA:15 K)</v>
          </cell>
          <cell r="C619" t="str">
            <v>MP10516</v>
          </cell>
          <cell r="D619" t="str">
            <v xml:space="preserve">Fruta Confitada </v>
          </cell>
          <cell r="E619" t="str">
            <v>Gramos</v>
          </cell>
        </row>
        <row r="620">
          <cell r="A620" t="str">
            <v>10100332</v>
          </cell>
          <cell r="B620" t="str">
            <v>BOLITAS SAB CHOCOLATE BLANCO ARROZ</v>
          </cell>
          <cell r="C620" t="str">
            <v>MP10517</v>
          </cell>
          <cell r="D620" t="str">
            <v>Bolitas Sab Chocolate Blanco Arroz</v>
          </cell>
          <cell r="E620" t="str">
            <v>Gramos</v>
          </cell>
        </row>
        <row r="621">
          <cell r="A621" t="str">
            <v>118000017</v>
          </cell>
          <cell r="B621" t="str">
            <v>SABORIZANTE RON (UND)</v>
          </cell>
          <cell r="C621" t="str">
            <v>MP10518</v>
          </cell>
          <cell r="D621" t="str">
            <v>Saborizante de Ron</v>
          </cell>
          <cell r="E621" t="str">
            <v>Mililitros</v>
          </cell>
        </row>
        <row r="622">
          <cell r="A622" t="str">
            <v>106000006</v>
          </cell>
          <cell r="B622" t="str">
            <v>ENCURTIDO EN MOSTAZA (UND:960 G)</v>
          </cell>
          <cell r="C622" t="str">
            <v>MP10519</v>
          </cell>
          <cell r="D622" t="str">
            <v>Encurtido en Mostaza</v>
          </cell>
          <cell r="E622" t="str">
            <v>Gramos</v>
          </cell>
        </row>
        <row r="623">
          <cell r="A623" t="str">
            <v>1110372</v>
          </cell>
          <cell r="B623" t="str">
            <v>MANTEQUILLA MANI (2.27 Kg)</v>
          </cell>
          <cell r="C623" t="str">
            <v>MP10520</v>
          </cell>
          <cell r="D623" t="str">
            <v>Mantequilla de Maní</v>
          </cell>
          <cell r="E623" t="str">
            <v>Gramos</v>
          </cell>
        </row>
        <row r="624">
          <cell r="A624" t="str">
            <v>112000009</v>
          </cell>
          <cell r="B624" t="str">
            <v>MASECA GRANEL (SACO:20 K)</v>
          </cell>
          <cell r="C624" t="str">
            <v>MP10521</v>
          </cell>
          <cell r="D624" t="str">
            <v xml:space="preserve">Maseca Granel </v>
          </cell>
          <cell r="E624" t="str">
            <v>Gramos</v>
          </cell>
        </row>
        <row r="625">
          <cell r="A625" t="str">
            <v>18406411</v>
          </cell>
          <cell r="B625" t="str">
            <v>CLORO 5% MFS (UND:GL)</v>
          </cell>
          <cell r="C625" t="str">
            <v>MP10522</v>
          </cell>
          <cell r="D625" t="str">
            <v xml:space="preserve">Cloro 5% MFS </v>
          </cell>
          <cell r="E625" t="str">
            <v>Mililitros</v>
          </cell>
        </row>
        <row r="626">
          <cell r="A626" t="str">
            <v>0101100</v>
          </cell>
          <cell r="B626" t="str">
            <v>HOJA TAMAL KILO</v>
          </cell>
          <cell r="C626" t="str">
            <v>MP10523</v>
          </cell>
          <cell r="D626" t="str">
            <v xml:space="preserve">Hoja de Tamal </v>
          </cell>
          <cell r="E626" t="str">
            <v>Gramos</v>
          </cell>
        </row>
        <row r="627">
          <cell r="A627" t="str">
            <v>1210415</v>
          </cell>
          <cell r="B627" t="str">
            <v>PABILO ROJO</v>
          </cell>
          <cell r="C627" t="str">
            <v>MP10524</v>
          </cell>
          <cell r="D627" t="str">
            <v>Pabilo Rojo</v>
          </cell>
          <cell r="E627" t="str">
            <v>Centimetos</v>
          </cell>
        </row>
        <row r="628">
          <cell r="A628" t="str">
            <v>0212254</v>
          </cell>
          <cell r="B628" t="str">
            <v>MANTECA DE CERDO</v>
          </cell>
          <cell r="C628" t="str">
            <v>MP10525</v>
          </cell>
          <cell r="D628" t="str">
            <v>Manteca de Cerdo</v>
          </cell>
          <cell r="E628" t="str">
            <v>Gramos</v>
          </cell>
        </row>
        <row r="629">
          <cell r="A629" t="str">
            <v>11400066</v>
          </cell>
          <cell r="B629" t="str">
            <v>MANJAR LECHE CONDENSADA (PAQ: 6 K)</v>
          </cell>
          <cell r="C629" t="str">
            <v>MP10526</v>
          </cell>
          <cell r="D629" t="str">
            <v>Manjar Leche Condensada</v>
          </cell>
          <cell r="E629" t="str">
            <v>Gramos</v>
          </cell>
        </row>
        <row r="630">
          <cell r="A630" t="str">
            <v>10200002</v>
          </cell>
          <cell r="B630" t="str">
            <v>WHISKY RED LABEL (UND:LITRO)</v>
          </cell>
          <cell r="C630" t="str">
            <v>MP10527</v>
          </cell>
          <cell r="D630" t="str">
            <v xml:space="preserve">Whisky Red Label </v>
          </cell>
          <cell r="E630" t="str">
            <v>Mililitros</v>
          </cell>
        </row>
        <row r="631">
          <cell r="A631" t="str">
            <v>11200082</v>
          </cell>
          <cell r="B631" t="str">
            <v>EASY QUEQUE VAINILLA SP SACO 25 K</v>
          </cell>
          <cell r="C631" t="str">
            <v>MP10528</v>
          </cell>
          <cell r="D631" t="str">
            <v xml:space="preserve">Easy Queque Vainilla SP </v>
          </cell>
          <cell r="E631" t="str">
            <v>Gramos</v>
          </cell>
        </row>
        <row r="632">
          <cell r="A632" t="str">
            <v>1110386</v>
          </cell>
          <cell r="B632" t="str">
            <v>TABASCO 62g (CAJA:36 UND)</v>
          </cell>
          <cell r="C632" t="str">
            <v>MP10529</v>
          </cell>
          <cell r="D632" t="str">
            <v xml:space="preserve">Tabasco </v>
          </cell>
          <cell r="E632" t="str">
            <v>Gramos</v>
          </cell>
        </row>
        <row r="633">
          <cell r="A633" t="str">
            <v>11200083</v>
          </cell>
          <cell r="B633" t="str">
            <v xml:space="preserve">EASY CHOCOLATE BC 20% (SACO: 25K) </v>
          </cell>
          <cell r="C633" t="str">
            <v>MP10500</v>
          </cell>
          <cell r="D633" t="str">
            <v>Easy Chocolate BC 20%</v>
          </cell>
          <cell r="E633" t="str">
            <v>Gramos</v>
          </cell>
        </row>
        <row r="634">
          <cell r="A634" t="str">
            <v>11200087</v>
          </cell>
          <cell r="B634" t="str">
            <v>COCENTRADO VAINILLA DAWN</v>
          </cell>
          <cell r="C634" t="str">
            <v>MP10501</v>
          </cell>
          <cell r="D634" t="str">
            <v>Concentrado Vainilla Dawn</v>
          </cell>
          <cell r="E634" t="str">
            <v>Gramos</v>
          </cell>
        </row>
        <row r="635">
          <cell r="A635" t="str">
            <v>10100337</v>
          </cell>
          <cell r="B635" t="str">
            <v>CMC CARBOXIMETIL CELULOSA (PAQ 500 G)</v>
          </cell>
          <cell r="C635" t="str">
            <v>MP10502</v>
          </cell>
          <cell r="D635" t="str">
            <v xml:space="preserve">Cmc Caboximetil Celulosa </v>
          </cell>
          <cell r="E635" t="str">
            <v>Gramos</v>
          </cell>
        </row>
        <row r="636">
          <cell r="A636" t="str">
            <v>11200080</v>
          </cell>
          <cell r="B636" t="str">
            <v>EASY VAINILLA BC 20% (SACO 25K)</v>
          </cell>
          <cell r="C636" t="str">
            <v>MP10503</v>
          </cell>
          <cell r="D636" t="str">
            <v>Easy Vainilla BC 20%</v>
          </cell>
          <cell r="E636" t="str">
            <v>Gramos</v>
          </cell>
        </row>
        <row r="637">
          <cell r="A637" t="str">
            <v>11200081</v>
          </cell>
          <cell r="B637" t="str">
            <v xml:space="preserve">EASY QUEQUE CHOCOLATE SP 20% (SACO 25K) </v>
          </cell>
          <cell r="C637" t="str">
            <v>MP10504</v>
          </cell>
          <cell r="D637" t="str">
            <v>Easy Queque Chocolate Sp 20 %</v>
          </cell>
          <cell r="E637" t="str">
            <v>Gramos</v>
          </cell>
        </row>
        <row r="638">
          <cell r="A638" t="str">
            <v>11300012</v>
          </cell>
          <cell r="B638" t="str">
            <v>ACTI EGG (SACO 10 KILOS)</v>
          </cell>
          <cell r="C638" t="str">
            <v>MP10530</v>
          </cell>
          <cell r="D638" t="str">
            <v xml:space="preserve">Acti Egg </v>
          </cell>
          <cell r="E638" t="str">
            <v>Gramos</v>
          </cell>
        </row>
      </sheetData>
      <sheetData sheetId="5"/>
      <sheetData sheetId="6">
        <row r="1">
          <cell r="C1" t="str">
            <v>ExternalID</v>
          </cell>
          <cell r="D1" t="str">
            <v>Sales Description</v>
          </cell>
          <cell r="E1" t="str">
            <v>Class (Product Line)</v>
          </cell>
          <cell r="F1" t="str">
            <v xml:space="preserve">Costing Method </v>
          </cell>
          <cell r="G1" t="str">
            <v xml:space="preserve">Units Type </v>
          </cell>
          <cell r="H1" t="str">
            <v xml:space="preserve">Consumption Units </v>
          </cell>
          <cell r="I1" t="str">
            <v>Costo MP</v>
          </cell>
          <cell r="J1" t="str">
            <v>Costo Minimo</v>
          </cell>
          <cell r="K1" t="str">
            <v>Costo EMP</v>
          </cell>
          <cell r="L1" t="str">
            <v>Costo Minimo</v>
          </cell>
          <cell r="M1" t="str">
            <v>Costo MO</v>
          </cell>
          <cell r="N1" t="str">
            <v>Costo Minimo MO</v>
          </cell>
        </row>
        <row r="2">
          <cell r="A2" t="str">
            <v>908000032</v>
          </cell>
          <cell r="B2" t="str">
            <v>GANACHE CHOCOLATE OSCURO (KILO)</v>
          </cell>
          <cell r="C2" t="str">
            <v>SE00001</v>
          </cell>
          <cell r="D2" t="str">
            <v>Ganache Chocolate Oscuro</v>
          </cell>
          <cell r="F2" t="str">
            <v>Estándar</v>
          </cell>
          <cell r="G2" t="str">
            <v>Peso</v>
          </cell>
          <cell r="H2" t="str">
            <v>Gramos</v>
          </cell>
          <cell r="I2">
            <v>3736.3599000000004</v>
          </cell>
          <cell r="J2">
            <v>3.7363599000000005</v>
          </cell>
          <cell r="K2">
            <v>1.1599999999999999E-2</v>
          </cell>
          <cell r="L2">
            <v>1.1599999999999999E-5</v>
          </cell>
          <cell r="M2">
            <v>42.746000000000002</v>
          </cell>
          <cell r="N2">
            <v>4.2745999999999999E-2</v>
          </cell>
        </row>
        <row r="3">
          <cell r="A3" t="str">
            <v>95113</v>
          </cell>
          <cell r="B3" t="str">
            <v>ROSQUETE DE CHOCOLATE PILLSBURY (530g)</v>
          </cell>
          <cell r="C3" t="str">
            <v>SE00002</v>
          </cell>
          <cell r="D3" t="str">
            <v>Rosquete Chocolate Spoon 530G</v>
          </cell>
          <cell r="F3" t="str">
            <v>Estándar</v>
          </cell>
          <cell r="G3" t="str">
            <v>Unidad</v>
          </cell>
          <cell r="H3" t="str">
            <v>Unidades</v>
          </cell>
          <cell r="I3">
            <v>1039.9049390945863</v>
          </cell>
          <cell r="J3">
            <v>1039.9049390945863</v>
          </cell>
          <cell r="K3">
            <v>4.7291437483439989</v>
          </cell>
          <cell r="L3">
            <v>4.7291437483439989</v>
          </cell>
          <cell r="M3">
            <v>21.717097358</v>
          </cell>
          <cell r="N3">
            <v>21.717097358</v>
          </cell>
        </row>
        <row r="4">
          <cell r="A4" t="str">
            <v>903000009</v>
          </cell>
          <cell r="B4" t="str">
            <v>ROSQUETE MELO FROM SCRATCH 320g</v>
          </cell>
          <cell r="C4" t="str">
            <v>SE00003</v>
          </cell>
          <cell r="D4" t="str">
            <v>Rosquete Melo From Scratch 320G</v>
          </cell>
          <cell r="F4" t="str">
            <v>Estándar</v>
          </cell>
          <cell r="G4" t="str">
            <v>Unidad</v>
          </cell>
          <cell r="H4" t="str">
            <v>Unidades</v>
          </cell>
          <cell r="I4">
            <v>680.65891426419478</v>
          </cell>
          <cell r="J4">
            <v>680.65891426419478</v>
          </cell>
          <cell r="K4">
            <v>4.2618799999999997</v>
          </cell>
          <cell r="L4">
            <v>4.2618799999999997</v>
          </cell>
          <cell r="M4">
            <v>18.989669799999998</v>
          </cell>
          <cell r="N4">
            <v>18.989669799999998</v>
          </cell>
        </row>
        <row r="5">
          <cell r="A5" t="str">
            <v>902000013</v>
          </cell>
          <cell r="B5" t="str">
            <v>BATIDO CHOCO PILLS KILO</v>
          </cell>
          <cell r="C5" t="str">
            <v>SE00004</v>
          </cell>
          <cell r="D5" t="str">
            <v>Batido Chocolate Pillsbury</v>
          </cell>
          <cell r="F5" t="str">
            <v>Estándar</v>
          </cell>
          <cell r="G5" t="str">
            <v>Peso</v>
          </cell>
          <cell r="H5" t="str">
            <v>Gramos</v>
          </cell>
          <cell r="I5">
            <v>1912.7743699926923</v>
          </cell>
          <cell r="J5">
            <v>1.9127743699926922</v>
          </cell>
          <cell r="K5">
            <v>9.8264799999999985E-2</v>
          </cell>
          <cell r="L5">
            <v>9.8264799999999981E-5</v>
          </cell>
          <cell r="M5">
            <v>12.0686</v>
          </cell>
          <cell r="N5">
            <v>1.2068600000000001E-2</v>
          </cell>
        </row>
        <row r="6">
          <cell r="A6" t="str">
            <v>908000021</v>
          </cell>
          <cell r="B6" t="str">
            <v>ALMIBAR (KILO)</v>
          </cell>
          <cell r="C6" t="str">
            <v>SE00005</v>
          </cell>
          <cell r="D6" t="str">
            <v>Almibar</v>
          </cell>
          <cell r="F6" t="str">
            <v>Estándar</v>
          </cell>
          <cell r="G6" t="str">
            <v>Peso</v>
          </cell>
          <cell r="H6" t="str">
            <v>Gramos</v>
          </cell>
          <cell r="I6">
            <v>174.86567952941175</v>
          </cell>
          <cell r="J6">
            <v>0.17486567952941176</v>
          </cell>
          <cell r="K6">
            <v>12.858048</v>
          </cell>
          <cell r="L6">
            <v>1.2858048E-2</v>
          </cell>
          <cell r="M6">
            <v>28.761968</v>
          </cell>
          <cell r="N6">
            <v>2.8761967999999999E-2</v>
          </cell>
        </row>
        <row r="7">
          <cell r="A7" t="str">
            <v>906000102</v>
          </cell>
          <cell r="B7" t="str">
            <v>Premezcla Batido para Rosquete Chocolate Pillsbury</v>
          </cell>
          <cell r="C7" t="str">
            <v>SE00006</v>
          </cell>
          <cell r="D7" t="str">
            <v>Premezcla Chocolate Pillsbury Planta</v>
          </cell>
          <cell r="F7" t="str">
            <v>Estándar</v>
          </cell>
          <cell r="G7" t="str">
            <v>Peso</v>
          </cell>
          <cell r="H7" t="str">
            <v>Gramos</v>
          </cell>
          <cell r="I7">
            <v>7879.9080000000004</v>
          </cell>
          <cell r="J7">
            <v>7.8799080000000004</v>
          </cell>
          <cell r="K7">
            <v>86.96</v>
          </cell>
          <cell r="L7">
            <v>8.6959999999999996E-2</v>
          </cell>
          <cell r="M7">
            <v>629.88</v>
          </cell>
          <cell r="N7">
            <v>0.62</v>
          </cell>
        </row>
        <row r="8">
          <cell r="A8" t="str">
            <v>902000085</v>
          </cell>
          <cell r="B8" t="str">
            <v>RELLENO DE LIMÓN</v>
          </cell>
          <cell r="C8" t="str">
            <v>SE00008</v>
          </cell>
          <cell r="D8" t="str">
            <v>Relleno De Limón</v>
          </cell>
          <cell r="F8" t="str">
            <v>Estándar</v>
          </cell>
          <cell r="G8" t="str">
            <v>Peso</v>
          </cell>
          <cell r="H8" t="str">
            <v>Gramos</v>
          </cell>
          <cell r="I8">
            <v>2022.902422222222</v>
          </cell>
          <cell r="J8">
            <v>2.0229024222222218</v>
          </cell>
          <cell r="K8">
            <v>5.7999999999999996E-2</v>
          </cell>
          <cell r="L8">
            <v>5.7999999999999994E-5</v>
          </cell>
          <cell r="M8">
            <v>23.200000000000003</v>
          </cell>
          <cell r="N8">
            <v>2.3200000000000002E-2</v>
          </cell>
        </row>
        <row r="9">
          <cell r="A9" t="str">
            <v>20500039</v>
          </cell>
          <cell r="B9" t="str">
            <v>EMPAQUE RELLENO MELO CON TOPING KILO</v>
          </cell>
          <cell r="C9" t="str">
            <v>SE00009</v>
          </cell>
          <cell r="D9" t="str">
            <v>Empaque Relleno Melo Con Toping</v>
          </cell>
          <cell r="F9" t="str">
            <v>Estándar</v>
          </cell>
          <cell r="G9" t="str">
            <v>Peso</v>
          </cell>
          <cell r="H9" t="str">
            <v>Gramos</v>
          </cell>
          <cell r="I9">
            <v>2143.9955935713228</v>
          </cell>
          <cell r="J9">
            <v>2.1439955935713226</v>
          </cell>
          <cell r="K9">
            <v>5.1333097120798392</v>
          </cell>
          <cell r="L9">
            <v>5.1333097120798395E-3</v>
          </cell>
          <cell r="M9">
            <v>64.290348023543999</v>
          </cell>
          <cell r="N9">
            <v>6.4290348023543997E-2</v>
          </cell>
        </row>
        <row r="10">
          <cell r="A10" t="str">
            <v>95717</v>
          </cell>
          <cell r="B10" t="str">
            <v>CREMA CHANTILLY BLANCA (SPOON-IND)</v>
          </cell>
          <cell r="C10" t="str">
            <v>SE00010</v>
          </cell>
          <cell r="D10" t="str">
            <v>Crema Chantilly Blanca (Spoon-Ind)</v>
          </cell>
          <cell r="F10" t="str">
            <v>Estándar</v>
          </cell>
          <cell r="G10" t="str">
            <v>Peso</v>
          </cell>
          <cell r="H10" t="str">
            <v>Gramos</v>
          </cell>
          <cell r="I10">
            <v>2354.6604700099997</v>
          </cell>
          <cell r="J10">
            <v>2.3546604700099998</v>
          </cell>
          <cell r="K10">
            <v>0.10214400000000001</v>
          </cell>
          <cell r="L10">
            <v>1.0214400000000002E-4</v>
          </cell>
          <cell r="M10">
            <v>27.84</v>
          </cell>
          <cell r="N10">
            <v>2.784E-2</v>
          </cell>
        </row>
        <row r="11">
          <cell r="A11" t="str">
            <v>902000009</v>
          </cell>
          <cell r="B11" t="str">
            <v>BATIDO MELOCOTON FROM SCRATCH KILO</v>
          </cell>
          <cell r="C11" t="str">
            <v>SE00011</v>
          </cell>
          <cell r="D11" t="str">
            <v xml:space="preserve">Batido Melocoton From Scratch </v>
          </cell>
          <cell r="F11" t="str">
            <v>Estándar</v>
          </cell>
          <cell r="G11" t="str">
            <v>Peso</v>
          </cell>
          <cell r="H11" t="str">
            <v>Gramos</v>
          </cell>
          <cell r="I11">
            <v>2031.1320568414794</v>
          </cell>
          <cell r="J11">
            <v>2.0311320568414795</v>
          </cell>
          <cell r="K11">
            <v>0</v>
          </cell>
          <cell r="L11">
            <v>0</v>
          </cell>
          <cell r="M11">
            <v>21.46</v>
          </cell>
          <cell r="N11">
            <v>2.146E-2</v>
          </cell>
        </row>
        <row r="12">
          <cell r="A12" t="str">
            <v>20100117</v>
          </cell>
          <cell r="B12" t="str">
            <v>Empaque Topping Melocoton</v>
          </cell>
          <cell r="C12" t="str">
            <v>SE00012</v>
          </cell>
          <cell r="D12" t="str">
            <v>Empaque Topping Melocoton</v>
          </cell>
          <cell r="F12" t="str">
            <v>Estándar</v>
          </cell>
          <cell r="G12" t="str">
            <v>Peso</v>
          </cell>
          <cell r="H12" t="str">
            <v>Gramos</v>
          </cell>
          <cell r="I12">
            <v>1825.3654890512823</v>
          </cell>
          <cell r="J12">
            <v>1.8253654890512823</v>
          </cell>
          <cell r="K12">
            <v>23.97745656</v>
          </cell>
          <cell r="L12">
            <v>2.3977456559999999E-2</v>
          </cell>
          <cell r="M12">
            <v>129.06519600000001</v>
          </cell>
          <cell r="N12">
            <v>0.12906519600000002</v>
          </cell>
        </row>
        <row r="13">
          <cell r="A13" t="str">
            <v>90100286</v>
          </cell>
          <cell r="B13" t="str">
            <v>TOPPING DE MELOCOTON</v>
          </cell>
          <cell r="C13" t="str">
            <v>SE00013</v>
          </cell>
          <cell r="D13" t="str">
            <v>Topping De Melocoton</v>
          </cell>
          <cell r="F13" t="str">
            <v>Estándar</v>
          </cell>
          <cell r="G13" t="str">
            <v>Peso</v>
          </cell>
          <cell r="H13" t="str">
            <v>Gramos</v>
          </cell>
          <cell r="I13">
            <v>1825.3654890512823</v>
          </cell>
          <cell r="J13">
            <v>1.8253654890512823</v>
          </cell>
          <cell r="K13">
            <v>14.261456559999999</v>
          </cell>
          <cell r="L13">
            <v>1.426145656E-2</v>
          </cell>
          <cell r="M13">
            <v>117.46519600000001</v>
          </cell>
          <cell r="N13">
            <v>0.11746519600000001</v>
          </cell>
        </row>
        <row r="14">
          <cell r="A14" t="str">
            <v>90100129</v>
          </cell>
          <cell r="B14" t="str">
            <v>EMPAQUE ALMIDON MODIFICADO KILO</v>
          </cell>
          <cell r="C14" t="str">
            <v>SE00014</v>
          </cell>
          <cell r="D14" t="str">
            <v>Empaque Almidon Modificado</v>
          </cell>
          <cell r="F14" t="str">
            <v>Estándar</v>
          </cell>
          <cell r="G14" t="str">
            <v>Peso</v>
          </cell>
          <cell r="H14" t="str">
            <v>Gramos</v>
          </cell>
          <cell r="I14">
            <v>2200.5879999999997</v>
          </cell>
          <cell r="J14">
            <v>2.2005879999999998</v>
          </cell>
          <cell r="K14">
            <v>10.025599999999999</v>
          </cell>
          <cell r="L14">
            <v>1.0025599999999999E-2</v>
          </cell>
          <cell r="M14">
            <v>11.600000000000001</v>
          </cell>
          <cell r="N14">
            <v>1.1600000000000001E-2</v>
          </cell>
        </row>
        <row r="15">
          <cell r="A15" t="str">
            <v>908000036</v>
          </cell>
          <cell r="B15" t="str">
            <v>JUGO LIMON PLANTA</v>
          </cell>
          <cell r="C15" t="str">
            <v>SE00015</v>
          </cell>
          <cell r="D15" t="str">
            <v>Jugo Limon Planta</v>
          </cell>
          <cell r="F15" t="str">
            <v>Estándar</v>
          </cell>
          <cell r="G15" t="str">
            <v>Peso</v>
          </cell>
          <cell r="H15" t="str">
            <v>Gramos</v>
          </cell>
          <cell r="I15">
            <v>545.45400000000006</v>
          </cell>
          <cell r="J15">
            <v>0.54545400000000011</v>
          </cell>
          <cell r="K15">
            <v>0.19152</v>
          </cell>
          <cell r="L15">
            <v>1.9151999999999998E-4</v>
          </cell>
          <cell r="M15">
            <v>15.776000000000002</v>
          </cell>
          <cell r="N15">
            <v>1.5776000000000002E-2</v>
          </cell>
        </row>
        <row r="16">
          <cell r="A16" t="str">
            <v>90100131</v>
          </cell>
          <cell r="B16" t="str">
            <v>AZUCAR BLANCO INDUSTRIAL (BOLSAS:1500g)</v>
          </cell>
          <cell r="C16" t="str">
            <v>SE00016</v>
          </cell>
          <cell r="D16" t="str">
            <v xml:space="preserve">Empaque Azucar  Industrial </v>
          </cell>
          <cell r="F16" t="str">
            <v>Estándar</v>
          </cell>
          <cell r="G16" t="str">
            <v>Peso</v>
          </cell>
          <cell r="H16" t="str">
            <v>Gramos</v>
          </cell>
          <cell r="I16">
            <v>430.32</v>
          </cell>
          <cell r="J16">
            <v>0.43031999999999998</v>
          </cell>
          <cell r="K16">
            <v>49.728000000000002</v>
          </cell>
          <cell r="L16">
            <v>4.9728000000000001E-2</v>
          </cell>
          <cell r="M16">
            <v>3.8280000000000003</v>
          </cell>
          <cell r="N16">
            <v>3.8280000000000002E-3</v>
          </cell>
        </row>
        <row r="17">
          <cell r="A17" t="str">
            <v>95805</v>
          </cell>
          <cell r="B17" t="str">
            <v>ROSQUETE CHOCOLATE PILLSBURY (440g)</v>
          </cell>
          <cell r="C17" t="str">
            <v>SE00017</v>
          </cell>
          <cell r="D17" t="str">
            <v>Rosquete Chocolate Pillsbury (440G)</v>
          </cell>
          <cell r="F17" t="str">
            <v>Estándar</v>
          </cell>
          <cell r="G17" t="str">
            <v>Unidad</v>
          </cell>
          <cell r="H17" t="str">
            <v>Unidades</v>
          </cell>
          <cell r="I17">
            <v>786.40495183945495</v>
          </cell>
          <cell r="J17">
            <v>786.40495183945495</v>
          </cell>
          <cell r="K17">
            <v>4.4208007144000003</v>
          </cell>
          <cell r="L17">
            <v>4.4208007144000003</v>
          </cell>
          <cell r="M17">
            <v>16.347645800000002</v>
          </cell>
          <cell r="N17">
            <v>16.347645800000002</v>
          </cell>
        </row>
        <row r="18">
          <cell r="A18" t="str">
            <v>905000001</v>
          </cell>
          <cell r="B18" t="str">
            <v>BATIDO RELL P/TORTA CHOCOFRESA KILO</v>
          </cell>
          <cell r="C18" t="str">
            <v>SE00018</v>
          </cell>
          <cell r="D18" t="str">
            <v xml:space="preserve">Batido Rell P/Torta Chocofresa </v>
          </cell>
          <cell r="F18" t="str">
            <v>Estándar</v>
          </cell>
          <cell r="G18" t="str">
            <v>Peso</v>
          </cell>
          <cell r="H18" t="str">
            <v>Gramos</v>
          </cell>
          <cell r="I18">
            <v>3493.32</v>
          </cell>
          <cell r="J18">
            <v>3.4933200000000002</v>
          </cell>
          <cell r="K18">
            <v>9.284320000000001</v>
          </cell>
          <cell r="L18">
            <v>9.2843200000000004E-3</v>
          </cell>
          <cell r="M18">
            <v>33.059999999999995</v>
          </cell>
          <cell r="N18">
            <v>3.3059999999999992E-2</v>
          </cell>
        </row>
        <row r="19">
          <cell r="A19" t="str">
            <v>902000066</v>
          </cell>
          <cell r="B19" t="str">
            <v>SUSPIRO QUEBRADO</v>
          </cell>
          <cell r="C19" t="str">
            <v>SE00019</v>
          </cell>
          <cell r="D19" t="str">
            <v>Suspiro Quebrado</v>
          </cell>
          <cell r="F19" t="str">
            <v>Estándar</v>
          </cell>
          <cell r="G19" t="str">
            <v>Peso</v>
          </cell>
          <cell r="H19" t="str">
            <v>Gramos</v>
          </cell>
          <cell r="I19">
            <v>3303.843470280528</v>
          </cell>
          <cell r="J19">
            <v>3.3038434702805279</v>
          </cell>
          <cell r="K19">
            <v>10.28370847725285</v>
          </cell>
          <cell r="L19">
            <v>1.0283708477252849E-2</v>
          </cell>
          <cell r="M19">
            <v>210.49716567678337</v>
          </cell>
          <cell r="N19">
            <v>0.21049716567678337</v>
          </cell>
        </row>
        <row r="20">
          <cell r="A20" t="str">
            <v>909000037</v>
          </cell>
          <cell r="B20" t="str">
            <v>EMPAQUE SUSPIRO BANDEJA</v>
          </cell>
          <cell r="C20" t="str">
            <v>SE00020</v>
          </cell>
          <cell r="D20" t="str">
            <v>Empaque Suspiro Bandeja</v>
          </cell>
          <cell r="F20" t="str">
            <v>Estándar</v>
          </cell>
          <cell r="G20" t="str">
            <v>Peso</v>
          </cell>
          <cell r="H20" t="str">
            <v>Gramos</v>
          </cell>
          <cell r="I20">
            <v>3199.2906517803463</v>
          </cell>
          <cell r="J20">
            <v>3.1992906517803461</v>
          </cell>
          <cell r="K20">
            <v>9.9582721436000003</v>
          </cell>
          <cell r="L20">
            <v>9.9582721436000006E-3</v>
          </cell>
          <cell r="M20">
            <v>138.12329635200001</v>
          </cell>
          <cell r="N20">
            <v>0.13812329635200002</v>
          </cell>
        </row>
        <row r="21">
          <cell r="A21" t="str">
            <v>907000203</v>
          </cell>
          <cell r="B21" t="str">
            <v>SUSPIRO BANDEJA KILO</v>
          </cell>
          <cell r="C21" t="str">
            <v>SE00021</v>
          </cell>
          <cell r="D21" t="str">
            <v>Suspiro Bandeja</v>
          </cell>
          <cell r="F21" t="str">
            <v>Estándar</v>
          </cell>
          <cell r="G21" t="str">
            <v>Peso</v>
          </cell>
          <cell r="H21" t="str">
            <v>Gramos</v>
          </cell>
          <cell r="I21">
            <v>3199.2906517803463</v>
          </cell>
          <cell r="J21">
            <v>3.1992906517803461</v>
          </cell>
          <cell r="K21">
            <v>1.4471321436</v>
          </cell>
          <cell r="L21">
            <v>1.4471321436E-3</v>
          </cell>
          <cell r="M21">
            <v>123.449296352</v>
          </cell>
          <cell r="N21">
            <v>0.123449296352</v>
          </cell>
        </row>
        <row r="22">
          <cell r="A22" t="str">
            <v>902000021</v>
          </cell>
          <cell r="B22" t="str">
            <v>MERENGUE P/SUSPIRO DESHIDRATADO KILO</v>
          </cell>
          <cell r="C22" t="str">
            <v>SE00022</v>
          </cell>
          <cell r="D22" t="str">
            <v>Merengue P/Suspiro Deshidratado</v>
          </cell>
          <cell r="F22" t="str">
            <v>Estándar</v>
          </cell>
          <cell r="G22" t="str">
            <v>Peso</v>
          </cell>
          <cell r="H22" t="str">
            <v>Gramos</v>
          </cell>
          <cell r="I22">
            <v>3022.2337449768679</v>
          </cell>
          <cell r="J22">
            <v>3.0222337449768677</v>
          </cell>
          <cell r="K22">
            <v>1.3861418999999999</v>
          </cell>
          <cell r="L22">
            <v>1.3861418999999999E-3</v>
          </cell>
          <cell r="M22">
            <v>35.802008000000001</v>
          </cell>
          <cell r="N22">
            <v>3.5802008000000003E-2</v>
          </cell>
        </row>
        <row r="23">
          <cell r="A23" t="str">
            <v>901000015</v>
          </cell>
          <cell r="B23" t="str">
            <v>PREMEZCLA SUSPIRO CLARAS DESHID KILO</v>
          </cell>
          <cell r="C23" t="str">
            <v>SE00023</v>
          </cell>
          <cell r="D23" t="str">
            <v>Premezcla Suspiro Claras Deshidratada</v>
          </cell>
          <cell r="F23" t="str">
            <v>Estándar</v>
          </cell>
          <cell r="G23" t="str">
            <v>Peso</v>
          </cell>
          <cell r="H23" t="str">
            <v>Gramos</v>
          </cell>
          <cell r="I23">
            <v>3477.8293958306881</v>
          </cell>
          <cell r="J23">
            <v>3.4778293958306881</v>
          </cell>
          <cell r="K23">
            <v>1.5951</v>
          </cell>
          <cell r="L23">
            <v>1.5950999999999999E-3</v>
          </cell>
          <cell r="M23">
            <v>11.831999999999999</v>
          </cell>
          <cell r="N23">
            <v>1.1831999999999999E-2</v>
          </cell>
        </row>
        <row r="24">
          <cell r="A24" t="str">
            <v>95718</v>
          </cell>
          <cell r="B24" t="str">
            <v>Crema Chocolate Spoon(23875g)</v>
          </cell>
          <cell r="C24" t="str">
            <v>SE00024</v>
          </cell>
          <cell r="D24" t="str">
            <v>Crema Chocolate Spoon</v>
          </cell>
          <cell r="F24" t="str">
            <v>Estándar</v>
          </cell>
          <cell r="G24" t="str">
            <v>Peso</v>
          </cell>
          <cell r="H24" t="str">
            <v>Gramos</v>
          </cell>
          <cell r="I24">
            <v>2644.8502370399997</v>
          </cell>
          <cell r="J24">
            <v>2.6448502370399996</v>
          </cell>
          <cell r="K24">
            <v>8.5120000000000001E-2</v>
          </cell>
          <cell r="L24">
            <v>8.5119999999999998E-5</v>
          </cell>
          <cell r="M24">
            <v>14.558</v>
          </cell>
          <cell r="N24">
            <v>1.4558E-2</v>
          </cell>
        </row>
        <row r="25">
          <cell r="A25" t="str">
            <v>904000002</v>
          </cell>
          <cell r="B25" t="str">
            <v xml:space="preserve">SALSA FRESA  </v>
          </cell>
          <cell r="C25" t="str">
            <v>SE00025</v>
          </cell>
          <cell r="D25" t="str">
            <v xml:space="preserve">Salsa Fresa  </v>
          </cell>
          <cell r="F25" t="str">
            <v>Estándar</v>
          </cell>
          <cell r="G25" t="str">
            <v>Peso</v>
          </cell>
          <cell r="H25" t="str">
            <v>Gramos</v>
          </cell>
          <cell r="I25">
            <v>1899.3559672960491</v>
          </cell>
          <cell r="J25">
            <v>1.8993559672960492</v>
          </cell>
          <cell r="K25">
            <v>22.633454513705431</v>
          </cell>
          <cell r="L25">
            <v>2.263345451370543E-2</v>
          </cell>
          <cell r="M25">
            <v>206.96501321227271</v>
          </cell>
          <cell r="N25">
            <v>0.2069650132122727</v>
          </cell>
        </row>
        <row r="26">
          <cell r="A26" t="str">
            <v>20100116</v>
          </cell>
          <cell r="B26" t="str">
            <v>RELLENO DE FRESA  5000g EMPAQUE</v>
          </cell>
          <cell r="C26" t="str">
            <v>SE00026</v>
          </cell>
          <cell r="D26" t="str">
            <v>Empaque Relleno Fresa</v>
          </cell>
          <cell r="F26" t="str">
            <v>Estándar</v>
          </cell>
          <cell r="G26" t="str">
            <v>Peso</v>
          </cell>
          <cell r="H26" t="str">
            <v>Gramos</v>
          </cell>
          <cell r="I26">
            <v>1755.5447625676923</v>
          </cell>
          <cell r="J26">
            <v>1.7555447625676923</v>
          </cell>
          <cell r="K26">
            <v>21.385802468800001</v>
          </cell>
          <cell r="L26">
            <v>2.1385802468800001E-2</v>
          </cell>
          <cell r="M26">
            <v>66.494731040000005</v>
          </cell>
          <cell r="N26">
            <v>6.6494731040000005E-2</v>
          </cell>
        </row>
        <row r="27">
          <cell r="A27" t="str">
            <v>90100285</v>
          </cell>
          <cell r="B27" t="str">
            <v>RELLENO DE FRESA PLANTA</v>
          </cell>
          <cell r="C27" t="str">
            <v>SE00027</v>
          </cell>
          <cell r="D27" t="str">
            <v>Relleno De Fresa Planta</v>
          </cell>
          <cell r="F27" t="str">
            <v>Estándar</v>
          </cell>
          <cell r="G27" t="str">
            <v>Peso</v>
          </cell>
          <cell r="H27" t="str">
            <v>Gramos</v>
          </cell>
          <cell r="I27">
            <v>1755.5447625676923</v>
          </cell>
          <cell r="J27">
            <v>1.7555447625676923</v>
          </cell>
          <cell r="K27">
            <v>11.6698024688</v>
          </cell>
          <cell r="L27">
            <v>1.1669802468800001E-2</v>
          </cell>
          <cell r="M27">
            <v>66.494731040000005</v>
          </cell>
          <cell r="N27">
            <v>6.6494731040000005E-2</v>
          </cell>
        </row>
        <row r="28">
          <cell r="A28" t="str">
            <v>907000052</v>
          </cell>
          <cell r="B28" t="str">
            <v xml:space="preserve">ROSQUETE ESPONJA CARAMELO 380G </v>
          </cell>
          <cell r="C28" t="str">
            <v>SE00028</v>
          </cell>
          <cell r="D28" t="str">
            <v>Rosquete Esponja Caramelo 380 grs</v>
          </cell>
          <cell r="F28" t="str">
            <v>Estándar</v>
          </cell>
          <cell r="G28" t="str">
            <v>Unidad</v>
          </cell>
          <cell r="H28" t="str">
            <v>Unidades</v>
          </cell>
          <cell r="I28">
            <v>827.20917268016001</v>
          </cell>
          <cell r="J28">
            <v>827.20917268016001</v>
          </cell>
          <cell r="K28">
            <v>4.5339910051167998</v>
          </cell>
          <cell r="L28">
            <v>4.5339910051167998</v>
          </cell>
          <cell r="M28">
            <v>18.80456031296</v>
          </cell>
          <cell r="N28">
            <v>18.80456031296</v>
          </cell>
        </row>
        <row r="29">
          <cell r="A29" t="str">
            <v>907000061</v>
          </cell>
          <cell r="B29" t="str">
            <v>BATIDO SUPER ESPONJA KILO</v>
          </cell>
          <cell r="C29" t="str">
            <v>SE00029</v>
          </cell>
          <cell r="D29" t="str">
            <v>Batido Super Esponja</v>
          </cell>
          <cell r="F29" t="str">
            <v>Estándar</v>
          </cell>
          <cell r="G29" t="str">
            <v>Peso</v>
          </cell>
          <cell r="H29" t="str">
            <v>Gramos</v>
          </cell>
          <cell r="I29">
            <v>2119.1965847199999</v>
          </cell>
          <cell r="J29">
            <v>2.1191965847200001</v>
          </cell>
          <cell r="K29">
            <v>0.23882768960000003</v>
          </cell>
          <cell r="L29">
            <v>2.3882768960000004E-4</v>
          </cell>
          <cell r="M29">
            <v>12.450549120000002</v>
          </cell>
          <cell r="N29">
            <v>1.2450549120000001E-2</v>
          </cell>
        </row>
        <row r="30">
          <cell r="A30" t="str">
            <v>901000033</v>
          </cell>
          <cell r="B30" t="str">
            <v>Premezcla Batidos para Rosquete Super esponja 120g</v>
          </cell>
          <cell r="C30" t="str">
            <v>SE00030</v>
          </cell>
          <cell r="D30" t="str">
            <v>Premezcla Rosquete Super esponja</v>
          </cell>
          <cell r="F30" t="str">
            <v>Estándar</v>
          </cell>
          <cell r="G30" t="str">
            <v>Peso</v>
          </cell>
          <cell r="H30" t="str">
            <v>Gramos</v>
          </cell>
          <cell r="I30">
            <v>2273.7180000000003</v>
          </cell>
          <cell r="J30">
            <v>2.2737180000000001</v>
          </cell>
          <cell r="K30">
            <v>78.56174</v>
          </cell>
          <cell r="L30">
            <v>7.8561740000000005E-2</v>
          </cell>
          <cell r="M30">
            <v>241.62800000000001</v>
          </cell>
          <cell r="N30">
            <v>0.24162800000000001</v>
          </cell>
        </row>
        <row r="31">
          <cell r="A31" t="str">
            <v>907000001</v>
          </cell>
          <cell r="B31" t="str">
            <v>MEZCLA TRES LECHES PASTEURIZADA KILO</v>
          </cell>
          <cell r="C31" t="str">
            <v>SE00031</v>
          </cell>
          <cell r="D31" t="str">
            <v>Mezcla Tres Leches Pasteurizada</v>
          </cell>
          <cell r="F31" t="str">
            <v>Estándar</v>
          </cell>
          <cell r="G31" t="str">
            <v>Peso</v>
          </cell>
          <cell r="H31" t="str">
            <v>Gramos</v>
          </cell>
          <cell r="I31">
            <v>1758.9170920806821</v>
          </cell>
          <cell r="J31">
            <v>1.758917092080682</v>
          </cell>
          <cell r="K31">
            <v>1.1735808000000001</v>
          </cell>
          <cell r="L31">
            <v>1.1735808000000001E-3</v>
          </cell>
          <cell r="M31">
            <v>10.2983408</v>
          </cell>
          <cell r="N31">
            <v>1.02983408E-2</v>
          </cell>
        </row>
        <row r="32">
          <cell r="A32" t="str">
            <v>96344</v>
          </cell>
          <cell r="B32" t="str">
            <v>CREMA DULCE LECHE KILO</v>
          </cell>
          <cell r="C32" t="str">
            <v>SE00032</v>
          </cell>
          <cell r="D32" t="str">
            <v>Crema Dulce Leche</v>
          </cell>
          <cell r="F32" t="str">
            <v>Estándar</v>
          </cell>
          <cell r="G32" t="str">
            <v>Peso</v>
          </cell>
          <cell r="H32" t="str">
            <v>Gramos</v>
          </cell>
          <cell r="I32">
            <v>2627.0870046999999</v>
          </cell>
          <cell r="J32">
            <v>2.6270870046999999</v>
          </cell>
          <cell r="K32">
            <v>8.5120000000000001E-2</v>
          </cell>
          <cell r="L32">
            <v>8.5119999999999998E-5</v>
          </cell>
          <cell r="M32">
            <v>11.831999999999999</v>
          </cell>
          <cell r="N32">
            <v>1.1831999999999999E-2</v>
          </cell>
        </row>
        <row r="33">
          <cell r="A33" t="str">
            <v>910000008</v>
          </cell>
          <cell r="B33" t="str">
            <v>CHOCOLATE BLANCO RALLADO (KILO)</v>
          </cell>
          <cell r="C33" t="str">
            <v>SE00033</v>
          </cell>
          <cell r="D33" t="str">
            <v>Chocolate Blanco Rallado</v>
          </cell>
          <cell r="F33" t="str">
            <v>Estándar</v>
          </cell>
          <cell r="G33" t="str">
            <v>Peso</v>
          </cell>
          <cell r="H33" t="str">
            <v>Gramos</v>
          </cell>
          <cell r="I33">
            <v>3904.0051555555556</v>
          </cell>
          <cell r="J33">
            <v>3.9040051555555557</v>
          </cell>
          <cell r="K33">
            <v>0.12179999999999999</v>
          </cell>
          <cell r="L33">
            <v>1.2179999999999999E-4</v>
          </cell>
          <cell r="M33">
            <v>85.84</v>
          </cell>
          <cell r="N33">
            <v>8.584E-2</v>
          </cell>
        </row>
        <row r="34">
          <cell r="A34" t="str">
            <v>910000006</v>
          </cell>
          <cell r="B34" t="str">
            <v>MEZCLA SIROPE DULCE LECHE KILO</v>
          </cell>
          <cell r="C34" t="str">
            <v>SE00034</v>
          </cell>
          <cell r="D34" t="str">
            <v>Mezcla Sirope manjar Dulce Leche</v>
          </cell>
          <cell r="F34" t="str">
            <v>Estándar</v>
          </cell>
          <cell r="G34" t="str">
            <v>Peso</v>
          </cell>
          <cell r="H34" t="str">
            <v>Gramos</v>
          </cell>
          <cell r="I34">
            <v>2396.8335416666664</v>
          </cell>
          <cell r="J34">
            <v>2.3968335416666666</v>
          </cell>
          <cell r="K34">
            <v>16.048746000000001</v>
          </cell>
          <cell r="L34">
            <v>1.6048746000000003E-2</v>
          </cell>
          <cell r="M34">
            <v>32.480000000000004</v>
          </cell>
          <cell r="N34">
            <v>3.2480000000000002E-2</v>
          </cell>
        </row>
        <row r="35">
          <cell r="A35" t="str">
            <v>903000028</v>
          </cell>
          <cell r="B35" t="str">
            <v>Rosquete de Tres Leches Para Campero 750g</v>
          </cell>
          <cell r="C35" t="str">
            <v>SE00035</v>
          </cell>
          <cell r="D35" t="str">
            <v>Rosquete Tres Leches 750 grs</v>
          </cell>
          <cell r="F35" t="str">
            <v>Estándar</v>
          </cell>
          <cell r="G35" t="str">
            <v>Unidad</v>
          </cell>
          <cell r="H35" t="str">
            <v>Unidades</v>
          </cell>
          <cell r="I35">
            <v>1220.6062865018946</v>
          </cell>
          <cell r="J35">
            <v>1220.6062865018946</v>
          </cell>
          <cell r="K35">
            <v>20.790471432575998</v>
          </cell>
          <cell r="L35">
            <v>20.790471432575998</v>
          </cell>
          <cell r="M35">
            <v>49.017508913276004</v>
          </cell>
          <cell r="N35">
            <v>49.017508913276004</v>
          </cell>
        </row>
        <row r="36">
          <cell r="A36" t="str">
            <v>902000016</v>
          </cell>
          <cell r="B36" t="str">
            <v xml:space="preserve">BATIDO P/ROSQUETE TRES LECHES </v>
          </cell>
          <cell r="C36" t="str">
            <v>SE00036</v>
          </cell>
          <cell r="D36" t="str">
            <v xml:space="preserve">Batido Rosquete Tres Leches </v>
          </cell>
          <cell r="F36" t="str">
            <v>Estándar</v>
          </cell>
          <cell r="G36" t="str">
            <v>Peso</v>
          </cell>
          <cell r="H36" t="str">
            <v>Gramos</v>
          </cell>
          <cell r="I36">
            <v>1552.1701238944886</v>
          </cell>
          <cell r="J36">
            <v>1.5521701238944885</v>
          </cell>
          <cell r="K36">
            <v>19.384628351999996</v>
          </cell>
          <cell r="L36">
            <v>1.9384628351999996E-2</v>
          </cell>
          <cell r="M36">
            <v>26.235267252</v>
          </cell>
          <cell r="N36">
            <v>2.6235267252E-2</v>
          </cell>
        </row>
        <row r="37">
          <cell r="A37" t="str">
            <v>95364</v>
          </cell>
          <cell r="B37" t="str">
            <v>Pre mezcla Rosquete tres leches</v>
          </cell>
          <cell r="C37" t="str">
            <v>SE00037</v>
          </cell>
          <cell r="D37" t="str">
            <v>Premezcla Rosquete tres leches</v>
          </cell>
          <cell r="F37" t="str">
            <v>Estándar</v>
          </cell>
          <cell r="G37" t="str">
            <v>Peso</v>
          </cell>
          <cell r="H37" t="str">
            <v>Gramos</v>
          </cell>
          <cell r="I37">
            <v>671.37475200000006</v>
          </cell>
          <cell r="J37">
            <v>0.67137475200000007</v>
          </cell>
          <cell r="K37">
            <v>36.782975999999998</v>
          </cell>
          <cell r="L37">
            <v>3.6782975999999995E-2</v>
          </cell>
          <cell r="M37">
            <v>13.793676</v>
          </cell>
          <cell r="N37">
            <v>1.3793676E-2</v>
          </cell>
        </row>
        <row r="38">
          <cell r="A38" t="str">
            <v>910000005</v>
          </cell>
          <cell r="B38" t="str">
            <v xml:space="preserve">MEZCLA DULCE LECHE C/AGUA </v>
          </cell>
          <cell r="C38" t="str">
            <v>SE00038</v>
          </cell>
          <cell r="D38" t="str">
            <v>Mezcla Dulce Leche Bettercream con agua</v>
          </cell>
          <cell r="F38" t="str">
            <v>Estándar</v>
          </cell>
          <cell r="G38" t="str">
            <v>Peso</v>
          </cell>
          <cell r="H38" t="str">
            <v>Gramos</v>
          </cell>
          <cell r="I38">
            <v>1951.9223440000001</v>
          </cell>
          <cell r="J38">
            <v>1.951922344</v>
          </cell>
          <cell r="K38">
            <v>1.1599999999999999</v>
          </cell>
          <cell r="L38">
            <v>1.16E-3</v>
          </cell>
          <cell r="M38">
            <v>96.28</v>
          </cell>
          <cell r="N38">
            <v>9.6280000000000004E-2</v>
          </cell>
        </row>
        <row r="39">
          <cell r="A39" t="str">
            <v>907000233</v>
          </cell>
          <cell r="B39" t="str">
            <v>ROSQUETE MELOCOTON PERSONAL 180 g</v>
          </cell>
          <cell r="C39" t="str">
            <v>SE00039</v>
          </cell>
          <cell r="D39" t="str">
            <v>Rosquete Melocoton 180 grs</v>
          </cell>
          <cell r="F39" t="str">
            <v>Estándar</v>
          </cell>
          <cell r="G39" t="str">
            <v>Unidad</v>
          </cell>
          <cell r="H39" t="str">
            <v>Unidades</v>
          </cell>
          <cell r="I39">
            <v>388.72357079007372</v>
          </cell>
          <cell r="J39">
            <v>388.72357079007372</v>
          </cell>
          <cell r="K39">
            <v>0.57999999999999996</v>
          </cell>
          <cell r="L39">
            <v>0.57999999999999996</v>
          </cell>
          <cell r="M39">
            <v>13.2501</v>
          </cell>
          <cell r="N39">
            <v>13.2501</v>
          </cell>
        </row>
        <row r="40">
          <cell r="A40" t="str">
            <v>903000023</v>
          </cell>
          <cell r="B40" t="str">
            <v>ROSQUETE CHOCOLATE PILLSBURY (280g)</v>
          </cell>
          <cell r="C40" t="str">
            <v>SE00040</v>
          </cell>
          <cell r="D40" t="str">
            <v>Rosquete Chocolate Pillsbury 280 grs</v>
          </cell>
          <cell r="F40" t="str">
            <v>Estándar</v>
          </cell>
          <cell r="G40" t="str">
            <v>Unidad</v>
          </cell>
          <cell r="H40" t="str">
            <v>Unidades</v>
          </cell>
          <cell r="I40">
            <v>547.86103844429852</v>
          </cell>
          <cell r="J40">
            <v>547.86103844429852</v>
          </cell>
          <cell r="K40">
            <v>2.4857124087999996</v>
          </cell>
          <cell r="L40">
            <v>2.4857124087999996</v>
          </cell>
          <cell r="M40">
            <v>13.3672766</v>
          </cell>
          <cell r="N40">
            <v>13.3672766</v>
          </cell>
        </row>
        <row r="41">
          <cell r="A41" t="str">
            <v>907000002</v>
          </cell>
          <cell r="B41" t="str">
            <v>BASE GALLETA P/CHESSE CAKE</v>
          </cell>
          <cell r="C41" t="str">
            <v>SE00041</v>
          </cell>
          <cell r="D41" t="str">
            <v>Base Galleta P/Chesse Cake</v>
          </cell>
          <cell r="F41" t="str">
            <v>Estándar</v>
          </cell>
          <cell r="G41" t="str">
            <v>Peso</v>
          </cell>
          <cell r="H41" t="str">
            <v>Gramos</v>
          </cell>
          <cell r="I41">
            <v>2619.8139702200001</v>
          </cell>
          <cell r="J41">
            <v>2.6198139702200001</v>
          </cell>
          <cell r="K41">
            <v>0</v>
          </cell>
          <cell r="L41">
            <v>0</v>
          </cell>
          <cell r="M41">
            <v>154.85999999999999</v>
          </cell>
          <cell r="N41">
            <v>0.15486</v>
          </cell>
        </row>
        <row r="42">
          <cell r="A42" t="str">
            <v>90200029</v>
          </cell>
          <cell r="B42" t="str">
            <v>RELLENO CHEESECAKE INDUSTRIA</v>
          </cell>
          <cell r="C42" t="str">
            <v>SE00042</v>
          </cell>
          <cell r="D42" t="str">
            <v xml:space="preserve">Relleno Cheesecake </v>
          </cell>
          <cell r="F42" t="str">
            <v>Estándar</v>
          </cell>
          <cell r="G42" t="str">
            <v>Peso</v>
          </cell>
          <cell r="H42" t="str">
            <v>Gramos</v>
          </cell>
          <cell r="I42">
            <v>2345.6502128728789</v>
          </cell>
          <cell r="J42">
            <v>2.3456502128728789</v>
          </cell>
          <cell r="K42">
            <v>2.7241804800000002E-2</v>
          </cell>
          <cell r="L42">
            <v>2.7241804800000001E-5</v>
          </cell>
          <cell r="M42">
            <v>103.704928</v>
          </cell>
          <cell r="N42">
            <v>0.103704928</v>
          </cell>
        </row>
        <row r="43">
          <cell r="A43" t="str">
            <v>905000024</v>
          </cell>
          <cell r="B43" t="str">
            <v>RELLENO TOPPING FRESAS (5.5 Kg)</v>
          </cell>
          <cell r="C43" t="str">
            <v>SE00043</v>
          </cell>
          <cell r="D43" t="str">
            <v>Relleno Topping Fresas</v>
          </cell>
          <cell r="F43" t="str">
            <v>Estándar</v>
          </cell>
          <cell r="G43" t="str">
            <v>Peso</v>
          </cell>
          <cell r="H43" t="str">
            <v>Gramos</v>
          </cell>
          <cell r="I43">
            <v>1641.6846722342541</v>
          </cell>
          <cell r="J43">
            <v>1.6416846722342542</v>
          </cell>
          <cell r="K43">
            <v>17.246580400963762</v>
          </cell>
          <cell r="L43">
            <v>1.7246580400963763E-2</v>
          </cell>
          <cell r="M43">
            <v>91.034675847208007</v>
          </cell>
          <cell r="N43">
            <v>9.1034675847208008E-2</v>
          </cell>
        </row>
        <row r="44">
          <cell r="A44" t="str">
            <v>907000088</v>
          </cell>
          <cell r="B44" t="str">
            <v>ROSQUETE SUPER ESPONJA 220g</v>
          </cell>
          <cell r="C44" t="str">
            <v>SE00044</v>
          </cell>
          <cell r="D44" t="str">
            <v>Rosquete Super Esponja 220 grs</v>
          </cell>
          <cell r="F44" t="str">
            <v>Estándar</v>
          </cell>
          <cell r="G44" t="str">
            <v>Unidad</v>
          </cell>
          <cell r="H44" t="str">
            <v>Unidades</v>
          </cell>
          <cell r="I44">
            <v>492.15152918720003</v>
          </cell>
          <cell r="J44">
            <v>492.15152918720003</v>
          </cell>
          <cell r="K44">
            <v>2.2168420917120004</v>
          </cell>
          <cell r="L44">
            <v>2.2168420917120004</v>
          </cell>
          <cell r="M44">
            <v>10.685120806400001</v>
          </cell>
          <cell r="N44">
            <v>10.685120806400001</v>
          </cell>
        </row>
        <row r="45">
          <cell r="A45" t="str">
            <v>96292</v>
          </cell>
          <cell r="B45" t="str">
            <v>ROSQUETE TRES LECHES redondo mini 150g</v>
          </cell>
          <cell r="C45" t="str">
            <v>SE00045</v>
          </cell>
          <cell r="D45" t="str">
            <v>Rosquete Tres Leches Red. 150 grs</v>
          </cell>
          <cell r="F45" t="str">
            <v>Estándar</v>
          </cell>
          <cell r="G45" t="str">
            <v>Unidad</v>
          </cell>
          <cell r="H45" t="str">
            <v>Unidades</v>
          </cell>
          <cell r="I45">
            <v>256.92847984901675</v>
          </cell>
          <cell r="J45">
            <v>256.92847984901675</v>
          </cell>
          <cell r="K45">
            <v>4.5843481378559989</v>
          </cell>
          <cell r="L45">
            <v>4.5843481378559989</v>
          </cell>
          <cell r="M45">
            <v>30.577995889556</v>
          </cell>
          <cell r="N45">
            <v>30.577995889556</v>
          </cell>
        </row>
        <row r="46">
          <cell r="A46" t="str">
            <v>907000031</v>
          </cell>
          <cell r="B46" t="str">
            <v>FLAN DE CARAMELO SPOON REDONDO MINI</v>
          </cell>
          <cell r="C46" t="str">
            <v>SE00046</v>
          </cell>
          <cell r="D46" t="str">
            <v>Flan Caramelo red. Spoon</v>
          </cell>
          <cell r="F46" t="str">
            <v>Estándar</v>
          </cell>
          <cell r="G46" t="str">
            <v>Unidad</v>
          </cell>
          <cell r="H46" t="str">
            <v>Unidades</v>
          </cell>
          <cell r="I46">
            <v>1174.2920842086905</v>
          </cell>
          <cell r="J46">
            <v>1174.2920842086905</v>
          </cell>
          <cell r="K46">
            <v>1.1818654847999999</v>
          </cell>
          <cell r="L46">
            <v>1.1818654847999999</v>
          </cell>
          <cell r="M46">
            <v>85.0434628</v>
          </cell>
          <cell r="N46">
            <v>85.0434628</v>
          </cell>
        </row>
        <row r="47">
          <cell r="A47" t="str">
            <v>907000003</v>
          </cell>
          <cell r="B47" t="str">
            <v>CREMA CON MANJAR</v>
          </cell>
          <cell r="C47" t="str">
            <v>SE00047</v>
          </cell>
          <cell r="D47" t="str">
            <v>Crema Con Manjar</v>
          </cell>
          <cell r="F47" t="str">
            <v>Estándar</v>
          </cell>
          <cell r="G47" t="str">
            <v>Peso</v>
          </cell>
          <cell r="H47" t="str">
            <v>Gramos</v>
          </cell>
          <cell r="I47">
            <v>2288.3256704761907</v>
          </cell>
          <cell r="J47">
            <v>2.2883256704761905</v>
          </cell>
          <cell r="K47">
            <v>2.7619047619047616E-2</v>
          </cell>
          <cell r="L47">
            <v>2.7619047619047615E-5</v>
          </cell>
          <cell r="M47">
            <v>27.607999999999997</v>
          </cell>
          <cell r="N47">
            <v>2.7607999999999997E-2</v>
          </cell>
        </row>
        <row r="48">
          <cell r="A48" t="str">
            <v>907000012</v>
          </cell>
          <cell r="B48" t="str">
            <v>Caramelo para Flan 900g Spoon</v>
          </cell>
          <cell r="C48" t="str">
            <v>SE00048</v>
          </cell>
          <cell r="D48" t="str">
            <v>Caramelo Para Flan 900 grs Spoon</v>
          </cell>
          <cell r="F48" t="str">
            <v>Estándar</v>
          </cell>
          <cell r="G48" t="str">
            <v>Peso</v>
          </cell>
          <cell r="H48" t="str">
            <v>Gramos</v>
          </cell>
          <cell r="I48">
            <v>537.68835119999994</v>
          </cell>
          <cell r="J48">
            <v>0.53768835119999991</v>
          </cell>
          <cell r="K48">
            <v>19.69775808</v>
          </cell>
          <cell r="L48">
            <v>1.9697758079999999E-2</v>
          </cell>
          <cell r="M48">
            <v>450.72438</v>
          </cell>
          <cell r="N48">
            <v>0.45072437999999998</v>
          </cell>
        </row>
        <row r="49">
          <cell r="A49" t="str">
            <v>90200048</v>
          </cell>
          <cell r="B49" t="str">
            <v>CREMA DE CHOCOLATE LIQUIDA P/MARMOLEAR</v>
          </cell>
          <cell r="C49" t="str">
            <v>SE00049</v>
          </cell>
          <cell r="D49" t="str">
            <v>Crema De Chocolate Liquida P/Marmolear</v>
          </cell>
          <cell r="F49" t="str">
            <v>Estándar</v>
          </cell>
          <cell r="G49" t="str">
            <v>Peso</v>
          </cell>
          <cell r="H49" t="str">
            <v>Gramos</v>
          </cell>
          <cell r="I49">
            <v>2834.3561400000003</v>
          </cell>
          <cell r="J49">
            <v>2.8343561400000001</v>
          </cell>
          <cell r="K49">
            <v>1757.47</v>
          </cell>
          <cell r="L49">
            <v>1.7574700000000001</v>
          </cell>
          <cell r="M49">
            <v>148.47999999999999</v>
          </cell>
          <cell r="N49">
            <v>0.14848</v>
          </cell>
        </row>
        <row r="50">
          <cell r="A50" t="str">
            <v>907000230</v>
          </cell>
          <cell r="B50" t="str">
            <v>ROSQUETE CHOCOLATE SPOON RED  (460g)</v>
          </cell>
          <cell r="C50" t="str">
            <v>SE00050</v>
          </cell>
          <cell r="D50" t="str">
            <v xml:space="preserve">Rosquete Chocolate Red 460 grs Spoon </v>
          </cell>
          <cell r="F50" t="str">
            <v>Estándar</v>
          </cell>
          <cell r="G50" t="str">
            <v>Unidad</v>
          </cell>
          <cell r="H50" t="str">
            <v>Unidades</v>
          </cell>
          <cell r="I50">
            <v>914.62485604974006</v>
          </cell>
          <cell r="J50">
            <v>914.62485604974006</v>
          </cell>
          <cell r="K50">
            <v>9.2387926399999987E-2</v>
          </cell>
          <cell r="L50">
            <v>9.2387926399999987E-2</v>
          </cell>
          <cell r="M50">
            <v>16.958104800000001</v>
          </cell>
          <cell r="N50">
            <v>16.958104800000001</v>
          </cell>
        </row>
        <row r="51">
          <cell r="A51" t="str">
            <v>908000045</v>
          </cell>
          <cell r="B51" t="str">
            <v>GANACHE CHOCOLATE BLANCO (KILO)</v>
          </cell>
          <cell r="C51" t="str">
            <v>SE00051</v>
          </cell>
          <cell r="D51" t="str">
            <v xml:space="preserve">Ganache Chocolate Blanco </v>
          </cell>
          <cell r="F51" t="str">
            <v>Estándar</v>
          </cell>
          <cell r="G51" t="str">
            <v>Peso</v>
          </cell>
          <cell r="H51" t="str">
            <v>Gramos</v>
          </cell>
          <cell r="I51">
            <v>3139.3413611111109</v>
          </cell>
          <cell r="J51">
            <v>3.1393413611111107</v>
          </cell>
          <cell r="K51">
            <v>0</v>
          </cell>
          <cell r="L51">
            <v>0</v>
          </cell>
          <cell r="M51">
            <v>38.744</v>
          </cell>
          <cell r="N51">
            <v>3.8744000000000001E-2</v>
          </cell>
        </row>
        <row r="52">
          <cell r="A52" t="str">
            <v>903000052</v>
          </cell>
          <cell r="B52" t="str">
            <v>ROSQUETE CHOCOLATE PASTELERO REAL 400g</v>
          </cell>
          <cell r="C52" t="str">
            <v>SE00052</v>
          </cell>
          <cell r="D52" t="str">
            <v>Rosquete Chocolate 400 grs Pastelero R.</v>
          </cell>
          <cell r="F52" t="str">
            <v>Estándar</v>
          </cell>
          <cell r="G52" t="str">
            <v>Unidad</v>
          </cell>
          <cell r="H52" t="str">
            <v>Unidades</v>
          </cell>
          <cell r="I52">
            <v>678.98589431512789</v>
          </cell>
          <cell r="J52">
            <v>678.98589431512789</v>
          </cell>
          <cell r="K52">
            <v>4.3570038051539992</v>
          </cell>
          <cell r="L52">
            <v>4.3570038051539992</v>
          </cell>
          <cell r="M52">
            <v>19.188894782999999</v>
          </cell>
          <cell r="N52">
            <v>19.188894782999999</v>
          </cell>
        </row>
        <row r="53">
          <cell r="A53" t="str">
            <v>910000002</v>
          </cell>
          <cell r="B53" t="str">
            <v>MEZCLA ALMIBAR C/CAFE (KILO)</v>
          </cell>
          <cell r="C53" t="str">
            <v>SE00053</v>
          </cell>
          <cell r="D53" t="str">
            <v xml:space="preserve">Mezcla Almibar C/Cafe </v>
          </cell>
          <cell r="F53" t="str">
            <v>Estándar</v>
          </cell>
          <cell r="G53" t="str">
            <v>Peso</v>
          </cell>
          <cell r="H53" t="str">
            <v>Gramos</v>
          </cell>
          <cell r="I53">
            <v>321.43475409317648</v>
          </cell>
          <cell r="J53">
            <v>0.32143475409317646</v>
          </cell>
          <cell r="K53">
            <v>12.853783615999999</v>
          </cell>
          <cell r="L53">
            <v>1.2853783616E-2</v>
          </cell>
          <cell r="M53">
            <v>47.671872256</v>
          </cell>
          <cell r="N53">
            <v>4.7671872256000003E-2</v>
          </cell>
        </row>
        <row r="54">
          <cell r="A54" t="str">
            <v>910000023</v>
          </cell>
          <cell r="B54" t="str">
            <v>CREMA TOP BASE CHOCOLATE (KILO)</v>
          </cell>
          <cell r="C54" t="str">
            <v>SE00054</v>
          </cell>
          <cell r="D54" t="str">
            <v>Crema Top Base Chocolate</v>
          </cell>
          <cell r="F54" t="str">
            <v>Estándar</v>
          </cell>
          <cell r="G54" t="str">
            <v>Peso</v>
          </cell>
          <cell r="H54" t="str">
            <v>Gramos</v>
          </cell>
          <cell r="I54">
            <v>2531.5555618490921</v>
          </cell>
          <cell r="J54">
            <v>2.5315555618490921</v>
          </cell>
          <cell r="K54">
            <v>2.3875190384061249E-2</v>
          </cell>
          <cell r="L54">
            <v>2.3875190384061249E-5</v>
          </cell>
          <cell r="M54">
            <v>23.837999999999997</v>
          </cell>
          <cell r="N54">
            <v>2.3837999999999998E-2</v>
          </cell>
        </row>
        <row r="55">
          <cell r="A55" t="str">
            <v>907000212</v>
          </cell>
          <cell r="B55" t="str">
            <v xml:space="preserve">BATIDO QQ CHOCOLATE PURATOS </v>
          </cell>
          <cell r="C55" t="str">
            <v>SE00055</v>
          </cell>
          <cell r="D55" t="str">
            <v xml:space="preserve">Batido Chocolate Puratos </v>
          </cell>
          <cell r="F55" t="str">
            <v>Estándar</v>
          </cell>
          <cell r="G55" t="str">
            <v>Peso</v>
          </cell>
          <cell r="H55" t="str">
            <v>Gramos</v>
          </cell>
          <cell r="I55">
            <v>1629.4454957647058</v>
          </cell>
          <cell r="J55">
            <v>1.6294454957647058</v>
          </cell>
          <cell r="K55">
            <v>4.3801559999999996E-2</v>
          </cell>
          <cell r="L55">
            <v>4.3801559999999995E-5</v>
          </cell>
          <cell r="M55">
            <v>16.92962</v>
          </cell>
          <cell r="N55">
            <v>1.6929619999999999E-2</v>
          </cell>
        </row>
        <row r="56">
          <cell r="A56" t="str">
            <v>906000115</v>
          </cell>
          <cell r="B56" t="str">
            <v>BASE DE PRE MEZCLA QUEQUE CHOCOLATE PURATOS</v>
          </cell>
          <cell r="C56" t="str">
            <v>SE00056</v>
          </cell>
          <cell r="D56" t="str">
            <v>Base Premezcla Chocolate Puratos</v>
          </cell>
          <cell r="F56" t="str">
            <v>Estándar</v>
          </cell>
          <cell r="G56" t="str">
            <v>Peso</v>
          </cell>
          <cell r="H56" t="str">
            <v>Gramos</v>
          </cell>
          <cell r="I56">
            <v>2273.7180000000003</v>
          </cell>
          <cell r="J56">
            <v>2.2737180000000001</v>
          </cell>
          <cell r="K56">
            <v>14.600519999999999</v>
          </cell>
          <cell r="L56">
            <v>1.4600519999999999E-2</v>
          </cell>
          <cell r="M56">
            <v>546.93999999999994</v>
          </cell>
          <cell r="N56">
            <v>0.54693999999999998</v>
          </cell>
        </row>
        <row r="57">
          <cell r="A57" t="str">
            <v>903000051</v>
          </cell>
          <cell r="B57" t="str">
            <v>ROSQUETE VAINILLA PASTELERO REAL 400g</v>
          </cell>
          <cell r="C57" t="str">
            <v>SE00057</v>
          </cell>
          <cell r="D57" t="str">
            <v>Rosquete Vainilla 400 grs Pastelero R.</v>
          </cell>
          <cell r="F57" t="str">
            <v>Estándar</v>
          </cell>
          <cell r="G57" t="str">
            <v>Unidad</v>
          </cell>
          <cell r="H57" t="str">
            <v>Unidades</v>
          </cell>
          <cell r="I57">
            <v>598.01590370751535</v>
          </cell>
          <cell r="J57">
            <v>598.01590370751535</v>
          </cell>
          <cell r="K57">
            <v>4.3844298887202005</v>
          </cell>
          <cell r="L57">
            <v>4.3844298887202005</v>
          </cell>
          <cell r="M57">
            <v>30.518984039999999</v>
          </cell>
          <cell r="N57">
            <v>30.518984039999999</v>
          </cell>
        </row>
        <row r="58">
          <cell r="A58" t="str">
            <v>907000022</v>
          </cell>
          <cell r="B58" t="str">
            <v>SEMILLAS ALMENDRAS TOSTADAS (KILO)</v>
          </cell>
          <cell r="C58" t="str">
            <v>SE00058</v>
          </cell>
          <cell r="D58" t="str">
            <v>Semillas Almendras Tostadas</v>
          </cell>
          <cell r="F58" t="str">
            <v>Estándar</v>
          </cell>
          <cell r="G58" t="str">
            <v>Peso</v>
          </cell>
          <cell r="H58" t="str">
            <v>Gramos</v>
          </cell>
          <cell r="I58">
            <v>5186.7448132499994</v>
          </cell>
          <cell r="J58">
            <v>5.1867448132499998</v>
          </cell>
          <cell r="K58">
            <v>320</v>
          </cell>
          <cell r="L58">
            <v>0.32</v>
          </cell>
          <cell r="M58">
            <v>193.14000000000001</v>
          </cell>
          <cell r="N58">
            <v>0.19314000000000001</v>
          </cell>
        </row>
        <row r="59">
          <cell r="A59" t="str">
            <v>907000109</v>
          </cell>
          <cell r="B59" t="str">
            <v>BATIDO VAINILLA PURATOS BUCCA KILO</v>
          </cell>
          <cell r="C59" t="str">
            <v>SE00059</v>
          </cell>
          <cell r="D59" t="str">
            <v>Batido Vainilla Tegral Bucca</v>
          </cell>
          <cell r="F59" t="str">
            <v>Estándar</v>
          </cell>
          <cell r="G59" t="str">
            <v>Peso</v>
          </cell>
          <cell r="H59" t="str">
            <v>Gramos</v>
          </cell>
          <cell r="I59">
            <v>1426.6516272235297</v>
          </cell>
          <cell r="J59">
            <v>1.4266516272235297</v>
          </cell>
          <cell r="K59">
            <v>0.32683264020000002</v>
          </cell>
          <cell r="L59">
            <v>3.2683264020000005E-4</v>
          </cell>
          <cell r="M59">
            <v>13.768040000000001</v>
          </cell>
          <cell r="N59">
            <v>1.376804E-2</v>
          </cell>
        </row>
        <row r="60">
          <cell r="A60" t="str">
            <v>906000096</v>
          </cell>
          <cell r="B60" t="str">
            <v>BASE DE PRE MEZCLA QUEQUE VAINILLA PURATOS</v>
          </cell>
          <cell r="C60" t="str">
            <v>SE00060</v>
          </cell>
          <cell r="D60" t="str">
            <v>Base Premezcla Vainilla Tegral</v>
          </cell>
          <cell r="F60" t="str">
            <v>Estándar</v>
          </cell>
          <cell r="G60" t="str">
            <v>Peso</v>
          </cell>
          <cell r="H60" t="str">
            <v>Gramos</v>
          </cell>
          <cell r="I60">
            <v>2273.7180000000003</v>
          </cell>
          <cell r="J60">
            <v>2.2737180000000001</v>
          </cell>
          <cell r="K60">
            <v>108.94421340000001</v>
          </cell>
          <cell r="L60">
            <v>0.1089442134</v>
          </cell>
          <cell r="M60">
            <v>432.68</v>
          </cell>
          <cell r="N60">
            <v>0.43268000000000001</v>
          </cell>
        </row>
        <row r="61">
          <cell r="A61" t="str">
            <v>907000251</v>
          </cell>
          <cell r="B61" t="str">
            <v>ROSQUETE VAINILLA PASTELERO REAL 550</v>
          </cell>
          <cell r="C61" t="str">
            <v>SE00061</v>
          </cell>
          <cell r="D61" t="str">
            <v>Rosquete Vainilla 550 grs Pastelero R.</v>
          </cell>
          <cell r="F61" t="str">
            <v>Estándar</v>
          </cell>
          <cell r="G61" t="str">
            <v>Unidad</v>
          </cell>
          <cell r="H61" t="str">
            <v>Unidades</v>
          </cell>
          <cell r="I61">
            <v>835.60818412833817</v>
          </cell>
          <cell r="J61">
            <v>835.60818412833817</v>
          </cell>
          <cell r="K61">
            <v>24.767480279894482</v>
          </cell>
          <cell r="L61">
            <v>24.767480279894482</v>
          </cell>
          <cell r="M61">
            <v>31.553747296399997</v>
          </cell>
          <cell r="N61">
            <v>31.553747296399997</v>
          </cell>
        </row>
        <row r="62">
          <cell r="A62" t="str">
            <v>905000062</v>
          </cell>
          <cell r="B62" t="str">
            <v>CREMA CHANTILLY AZUL ELECTRICO 9792g</v>
          </cell>
          <cell r="C62" t="str">
            <v>SE00062</v>
          </cell>
          <cell r="D62" t="str">
            <v xml:space="preserve">Crema Chantilly Azul Electrico </v>
          </cell>
          <cell r="F62" t="str">
            <v>Estándar</v>
          </cell>
          <cell r="G62" t="str">
            <v>Peso</v>
          </cell>
          <cell r="H62" t="str">
            <v>Gramos</v>
          </cell>
          <cell r="I62">
            <v>2470.0450853946149</v>
          </cell>
          <cell r="J62">
            <v>2.4700450853946148</v>
          </cell>
          <cell r="K62">
            <v>0.10214400000000001</v>
          </cell>
          <cell r="L62">
            <v>1.0214400000000002E-4</v>
          </cell>
          <cell r="M62">
            <v>38.86</v>
          </cell>
          <cell r="N62">
            <v>3.8859999999999999E-2</v>
          </cell>
        </row>
        <row r="63">
          <cell r="A63" t="str">
            <v>905000061</v>
          </cell>
          <cell r="B63" t="str">
            <v>CREMA CHANTILLY FUCSIA 9800G</v>
          </cell>
          <cell r="C63" t="str">
            <v>SE00063</v>
          </cell>
          <cell r="D63" t="str">
            <v xml:space="preserve">Crema Chantilly Fucsia </v>
          </cell>
          <cell r="F63" t="str">
            <v>Estándar</v>
          </cell>
          <cell r="G63" t="str">
            <v>Peso</v>
          </cell>
          <cell r="H63" t="str">
            <v>Gramos</v>
          </cell>
          <cell r="I63">
            <v>3029.2450853946148</v>
          </cell>
          <cell r="J63">
            <v>3.0292450853946149</v>
          </cell>
          <cell r="K63">
            <v>0.10214400000000001</v>
          </cell>
          <cell r="L63">
            <v>1.0214400000000002E-4</v>
          </cell>
          <cell r="M63">
            <v>38.86</v>
          </cell>
          <cell r="N63">
            <v>3.8859999999999999E-2</v>
          </cell>
        </row>
        <row r="64">
          <cell r="A64" t="str">
            <v>905000064</v>
          </cell>
          <cell r="B64" t="str">
            <v>CREMA CHANTILLY VERDE OSCURO PLANCHA9792</v>
          </cell>
          <cell r="C64" t="str">
            <v>SE00064</v>
          </cell>
          <cell r="D64" t="str">
            <v>Crema Chantilly Verde Oscuro</v>
          </cell>
          <cell r="F64" t="str">
            <v>Estándar</v>
          </cell>
          <cell r="G64" t="str">
            <v>Peso</v>
          </cell>
          <cell r="H64" t="str">
            <v>Gramos</v>
          </cell>
          <cell r="I64">
            <v>2549.798931548461</v>
          </cell>
          <cell r="J64">
            <v>2.549798931548461</v>
          </cell>
          <cell r="K64">
            <v>0.10214400000000001</v>
          </cell>
          <cell r="L64">
            <v>1.0214400000000002E-4</v>
          </cell>
          <cell r="M64">
            <v>38.86</v>
          </cell>
          <cell r="N64">
            <v>3.8859999999999999E-2</v>
          </cell>
        </row>
        <row r="65">
          <cell r="A65" t="str">
            <v>905000100</v>
          </cell>
          <cell r="B65" t="str">
            <v>CREMA CHANTILLY LILA KILO</v>
          </cell>
          <cell r="C65" t="str">
            <v>SE00065</v>
          </cell>
          <cell r="D65" t="str">
            <v xml:space="preserve">Crema Chantilly Lila </v>
          </cell>
          <cell r="F65" t="str">
            <v>Estándar</v>
          </cell>
          <cell r="G65" t="str">
            <v>Peso</v>
          </cell>
          <cell r="H65" t="str">
            <v>Gramos</v>
          </cell>
          <cell r="I65">
            <v>2478.9066238561536</v>
          </cell>
          <cell r="J65">
            <v>2.4789066238561537</v>
          </cell>
          <cell r="K65">
            <v>0.20854400000000001</v>
          </cell>
          <cell r="L65">
            <v>2.0854400000000001E-4</v>
          </cell>
          <cell r="M65">
            <v>87</v>
          </cell>
          <cell r="N65">
            <v>8.6999999999999994E-2</v>
          </cell>
        </row>
        <row r="66">
          <cell r="A66" t="str">
            <v>905000101</v>
          </cell>
          <cell r="B66" t="str">
            <v>CREMA CHANTILLY MORADO BARNIE KILO</v>
          </cell>
          <cell r="C66" t="str">
            <v>SE00066</v>
          </cell>
          <cell r="D66" t="str">
            <v>Crema Chantilly Morado Barnie</v>
          </cell>
          <cell r="F66" t="str">
            <v>Estándar</v>
          </cell>
          <cell r="G66" t="str">
            <v>Peso</v>
          </cell>
          <cell r="H66" t="str">
            <v>Gramos</v>
          </cell>
          <cell r="I66">
            <v>2487.0804774869225</v>
          </cell>
          <cell r="J66">
            <v>2.4870804774869226</v>
          </cell>
          <cell r="K66">
            <v>0.10214400000000001</v>
          </cell>
          <cell r="L66">
            <v>1.0214400000000002E-4</v>
          </cell>
          <cell r="M66">
            <v>33.64</v>
          </cell>
          <cell r="N66">
            <v>3.3640000000000003E-2</v>
          </cell>
        </row>
        <row r="67">
          <cell r="A67" t="str">
            <v>903000069</v>
          </cell>
          <cell r="B67" t="str">
            <v>ROSQUETE ZANAHORIA/PIÑA 280G</v>
          </cell>
          <cell r="C67" t="str">
            <v>SE00067</v>
          </cell>
          <cell r="D67" t="str">
            <v>Rosquete Zanahoria/Piña 280 grs</v>
          </cell>
          <cell r="F67" t="str">
            <v>Estándar</v>
          </cell>
          <cell r="G67" t="str">
            <v>Unidad</v>
          </cell>
          <cell r="H67" t="str">
            <v>Unidades</v>
          </cell>
          <cell r="I67">
            <v>580.41066110725785</v>
          </cell>
          <cell r="J67">
            <v>580.41066110725785</v>
          </cell>
          <cell r="K67">
            <v>1.4666577290836798</v>
          </cell>
          <cell r="L67">
            <v>1.4666577290836798</v>
          </cell>
          <cell r="M67">
            <v>62.898167104607992</v>
          </cell>
          <cell r="N67">
            <v>62.898167104607992</v>
          </cell>
        </row>
        <row r="68">
          <cell r="A68" t="str">
            <v>905000028</v>
          </cell>
          <cell r="B68" t="str">
            <v>RELLENO QUESO P/TORTA ZANAHORIA (KILO)</v>
          </cell>
          <cell r="C68" t="str">
            <v>SE00068</v>
          </cell>
          <cell r="D68" t="str">
            <v xml:space="preserve">Relleno Queso P/Torta Zanahoria </v>
          </cell>
          <cell r="F68" t="str">
            <v>Estándar</v>
          </cell>
          <cell r="G68" t="str">
            <v>Peso</v>
          </cell>
          <cell r="H68" t="str">
            <v>Gramos</v>
          </cell>
          <cell r="I68">
            <v>2926.8133541818183</v>
          </cell>
          <cell r="J68">
            <v>2.9268133541818182</v>
          </cell>
          <cell r="K68">
            <v>0</v>
          </cell>
          <cell r="L68">
            <v>0</v>
          </cell>
          <cell r="M68">
            <v>31.610000000000003</v>
          </cell>
          <cell r="N68">
            <v>3.1610000000000006E-2</v>
          </cell>
        </row>
        <row r="69">
          <cell r="A69" t="str">
            <v>910000018</v>
          </cell>
          <cell r="B69" t="str">
            <v>CREMA BEIDGE (KILO)</v>
          </cell>
          <cell r="C69" t="str">
            <v>SE00069</v>
          </cell>
          <cell r="D69" t="str">
            <v xml:space="preserve">Crema Beidge </v>
          </cell>
          <cell r="F69" t="str">
            <v>Estándar</v>
          </cell>
          <cell r="G69" t="str">
            <v>Peso</v>
          </cell>
          <cell r="H69" t="str">
            <v>Gramos</v>
          </cell>
          <cell r="I69">
            <v>2360.9373930869228</v>
          </cell>
          <cell r="J69">
            <v>2.3609373930869229</v>
          </cell>
          <cell r="K69">
            <v>0.12998400000000002</v>
          </cell>
          <cell r="L69">
            <v>1.2998400000000001E-4</v>
          </cell>
          <cell r="M69">
            <v>33.06</v>
          </cell>
          <cell r="N69">
            <v>3.3059999999999999E-2</v>
          </cell>
        </row>
        <row r="70">
          <cell r="A70" t="str">
            <v>905000060</v>
          </cell>
          <cell r="B70" t="str">
            <v>CREMA NARANJA BUCCA 20000G</v>
          </cell>
          <cell r="C70" t="str">
            <v>SE00070</v>
          </cell>
          <cell r="D70" t="str">
            <v xml:space="preserve">Crema Naranja Bucca </v>
          </cell>
          <cell r="F70" t="str">
            <v>Estándar</v>
          </cell>
          <cell r="G70" t="str">
            <v>Peso</v>
          </cell>
          <cell r="H70" t="str">
            <v>Gramos</v>
          </cell>
          <cell r="I70">
            <v>2367.9474261557766</v>
          </cell>
          <cell r="J70">
            <v>2.3679474261557765</v>
          </cell>
          <cell r="K70">
            <v>0</v>
          </cell>
          <cell r="L70">
            <v>0</v>
          </cell>
          <cell r="M70">
            <v>23.258000000000003</v>
          </cell>
          <cell r="N70">
            <v>2.3258000000000004E-2</v>
          </cell>
        </row>
        <row r="71">
          <cell r="A71" t="str">
            <v>910000011</v>
          </cell>
          <cell r="B71" t="str">
            <v>BORONA P/DECORAR (KILO)</v>
          </cell>
          <cell r="C71" t="str">
            <v>SE00071</v>
          </cell>
          <cell r="D71" t="str">
            <v>Borona P/Decorar</v>
          </cell>
          <cell r="F71" t="str">
            <v>Estándar</v>
          </cell>
          <cell r="G71" t="str">
            <v>Peso</v>
          </cell>
          <cell r="H71" t="str">
            <v>Gramos</v>
          </cell>
          <cell r="I71">
            <v>2746.3344532981309</v>
          </cell>
          <cell r="J71">
            <v>2.7463344532981311</v>
          </cell>
          <cell r="K71">
            <v>16.819090136987775</v>
          </cell>
          <cell r="L71">
            <v>1.6819090136987774E-2</v>
          </cell>
          <cell r="M71">
            <v>399.06314023902718</v>
          </cell>
          <cell r="N71">
            <v>0.39906314023902717</v>
          </cell>
        </row>
        <row r="72">
          <cell r="A72" t="str">
            <v>902000015</v>
          </cell>
          <cell r="B72" t="str">
            <v>BATIDO ZANAHORIA CON PIÑA</v>
          </cell>
          <cell r="C72" t="str">
            <v>SE00072</v>
          </cell>
          <cell r="D72" t="str">
            <v>Batido Zanahoria Con Piña</v>
          </cell>
          <cell r="F72" t="str">
            <v>Estándar</v>
          </cell>
          <cell r="G72" t="str">
            <v>Peso</v>
          </cell>
          <cell r="H72" t="str">
            <v>Gramos</v>
          </cell>
          <cell r="I72">
            <v>1863.8249033535556</v>
          </cell>
          <cell r="J72">
            <v>1.8638249033535557</v>
          </cell>
          <cell r="K72">
            <v>3.1686512879999995</v>
          </cell>
          <cell r="L72">
            <v>3.1686512879999995E-3</v>
          </cell>
          <cell r="M72">
            <v>98.329812799999999</v>
          </cell>
          <cell r="N72">
            <v>9.8329812799999999E-2</v>
          </cell>
        </row>
        <row r="73">
          <cell r="A73" t="str">
            <v>95610</v>
          </cell>
          <cell r="B73" t="str">
            <v>PRE MEZCLA ROSQUETE DE ZANAHORIA</v>
          </cell>
          <cell r="C73" t="str">
            <v>SE00073</v>
          </cell>
          <cell r="D73" t="str">
            <v>Premezcla Rosquete  Zanahoria</v>
          </cell>
          <cell r="F73" t="str">
            <v>Estándar</v>
          </cell>
          <cell r="G73" t="str">
            <v>Peso</v>
          </cell>
          <cell r="H73" t="str">
            <v>Gramos</v>
          </cell>
          <cell r="I73">
            <v>975.58288523274587</v>
          </cell>
          <cell r="J73">
            <v>0.97558288523274583</v>
          </cell>
          <cell r="K73">
            <v>6.4878199999999993</v>
          </cell>
          <cell r="L73">
            <v>6.4878199999999992E-3</v>
          </cell>
          <cell r="M73">
            <v>33.291999999999994</v>
          </cell>
          <cell r="N73">
            <v>3.3291999999999995E-2</v>
          </cell>
        </row>
        <row r="74">
          <cell r="A74" t="str">
            <v>907000240</v>
          </cell>
          <cell r="B74" t="str">
            <v>ROSQUETE KALUA 280G</v>
          </cell>
          <cell r="C74" t="str">
            <v>SE00074</v>
          </cell>
          <cell r="D74" t="str">
            <v>Rosquete Kalua 280 grs</v>
          </cell>
          <cell r="F74" t="str">
            <v>Estándar</v>
          </cell>
          <cell r="G74" t="str">
            <v>Unidad</v>
          </cell>
          <cell r="H74" t="str">
            <v>Unidades</v>
          </cell>
          <cell r="I74">
            <v>738.51449826508508</v>
          </cell>
          <cell r="J74">
            <v>738.51449826508508</v>
          </cell>
          <cell r="K74">
            <v>6.6247320060781387</v>
          </cell>
          <cell r="L74">
            <v>6.6247320060781387</v>
          </cell>
          <cell r="M74">
            <v>27.292755672375996</v>
          </cell>
          <cell r="N74">
            <v>27.292755672375996</v>
          </cell>
        </row>
        <row r="75">
          <cell r="A75" t="str">
            <v>910000004</v>
          </cell>
          <cell r="B75" t="str">
            <v>LICOR DE CAFE CON ALMIBAR</v>
          </cell>
          <cell r="C75" t="str">
            <v>SE00075</v>
          </cell>
          <cell r="D75" t="str">
            <v>Licor De Cafe Con Almibar</v>
          </cell>
          <cell r="F75" t="str">
            <v>Estándar</v>
          </cell>
          <cell r="G75" t="str">
            <v>Peso</v>
          </cell>
          <cell r="H75" t="str">
            <v>Gramos</v>
          </cell>
          <cell r="I75">
            <v>3687.1944185954021</v>
          </cell>
          <cell r="J75">
            <v>3.6871944185954022</v>
          </cell>
          <cell r="K75">
            <v>7.9291724601599993</v>
          </cell>
          <cell r="L75">
            <v>7.9291724601599986E-3</v>
          </cell>
          <cell r="M75">
            <v>36.87664280656</v>
          </cell>
          <cell r="N75">
            <v>3.687664280656E-2</v>
          </cell>
        </row>
        <row r="76">
          <cell r="A76" t="str">
            <v>910000017</v>
          </cell>
          <cell r="B76" t="str">
            <v>CREMA BLANCA SPOON CON CAFÉ</v>
          </cell>
          <cell r="C76" t="str">
            <v>SE00076</v>
          </cell>
          <cell r="D76" t="str">
            <v>Crema Blanca Spoon Con Café</v>
          </cell>
          <cell r="F76" t="str">
            <v>Estándar</v>
          </cell>
          <cell r="G76" t="str">
            <v>Peso</v>
          </cell>
          <cell r="H76" t="str">
            <v>Gramos</v>
          </cell>
          <cell r="I76">
            <v>2443.6262300099997</v>
          </cell>
          <cell r="J76">
            <v>2.4436262300099996</v>
          </cell>
          <cell r="K76">
            <v>0.20418188060417169</v>
          </cell>
          <cell r="L76">
            <v>2.041818806041717E-4</v>
          </cell>
          <cell r="M76">
            <v>55.622</v>
          </cell>
          <cell r="N76">
            <v>5.5621999999999998E-2</v>
          </cell>
        </row>
        <row r="77">
          <cell r="A77" t="str">
            <v>911000005</v>
          </cell>
          <cell r="B77" t="str">
            <v>Galleta Vainilla/ Chocolate Blanco(KILO)</v>
          </cell>
          <cell r="C77" t="str">
            <v>SE00077</v>
          </cell>
          <cell r="D77" t="str">
            <v>Galleta Vainilla/ Chocolate Blanco</v>
          </cell>
          <cell r="F77" t="str">
            <v>Estándar</v>
          </cell>
          <cell r="G77" t="str">
            <v>Peso</v>
          </cell>
          <cell r="H77" t="str">
            <v>Gramos</v>
          </cell>
          <cell r="I77">
            <v>8059.7800000000007</v>
          </cell>
          <cell r="J77">
            <v>8.0597799999999999</v>
          </cell>
          <cell r="K77">
            <v>0</v>
          </cell>
          <cell r="L77">
            <v>0</v>
          </cell>
          <cell r="M77">
            <v>181.25</v>
          </cell>
          <cell r="N77">
            <v>0.18124999999999999</v>
          </cell>
        </row>
        <row r="78">
          <cell r="A78" t="str">
            <v>906000140</v>
          </cell>
          <cell r="B78" t="str">
            <v>BATIDO NUCLEO KALUA DAWN</v>
          </cell>
          <cell r="C78" t="str">
            <v>SE00078</v>
          </cell>
          <cell r="D78" t="str">
            <v>Batido Nucleo Kalua Dawn</v>
          </cell>
          <cell r="F78" t="str">
            <v>Estándar</v>
          </cell>
          <cell r="G78" t="str">
            <v>Peso</v>
          </cell>
          <cell r="H78" t="str">
            <v>Gramos</v>
          </cell>
          <cell r="I78">
            <v>2457.2165006270566</v>
          </cell>
          <cell r="J78">
            <v>2.4572165006270565</v>
          </cell>
          <cell r="K78">
            <v>11.715659531100002</v>
          </cell>
          <cell r="L78">
            <v>1.1715659531100002E-2</v>
          </cell>
          <cell r="M78">
            <v>30.944357199999999</v>
          </cell>
          <cell r="N78">
            <v>3.0944357199999998E-2</v>
          </cell>
        </row>
        <row r="79">
          <cell r="A79" t="str">
            <v>906000118</v>
          </cell>
          <cell r="B79" t="str">
            <v>PREMEZCLA BATIDO KALUA</v>
          </cell>
          <cell r="C79" t="str">
            <v>SE00079</v>
          </cell>
          <cell r="D79" t="str">
            <v>Premezcla Batido Kalua</v>
          </cell>
          <cell r="F79" t="str">
            <v>Estándar</v>
          </cell>
          <cell r="G79" t="str">
            <v>Peso</v>
          </cell>
          <cell r="H79" t="str">
            <v>Gramos</v>
          </cell>
          <cell r="I79">
            <v>5515.5248822058829</v>
          </cell>
          <cell r="J79">
            <v>5.5155248822058827</v>
          </cell>
          <cell r="K79">
            <v>30.266950000000001</v>
          </cell>
          <cell r="L79">
            <v>3.0266950000000001E-2</v>
          </cell>
          <cell r="M79">
            <v>31.146000000000001</v>
          </cell>
          <cell r="N79">
            <v>3.1146E-2</v>
          </cell>
        </row>
        <row r="80">
          <cell r="A80" t="str">
            <v>907000117</v>
          </cell>
          <cell r="B80" t="str">
            <v>ROSQUETE CHOCOLATE BUCCA 280 g</v>
          </cell>
          <cell r="C80" t="str">
            <v>SE00080</v>
          </cell>
          <cell r="D80" t="str">
            <v>Rosquete Chocolate 280 grs Bucca</v>
          </cell>
          <cell r="F80" t="str">
            <v>Estándar</v>
          </cell>
          <cell r="G80" t="str">
            <v>Unidad</v>
          </cell>
          <cell r="H80" t="str">
            <v>Unidades</v>
          </cell>
          <cell r="I80">
            <v>503.65681032097962</v>
          </cell>
          <cell r="J80">
            <v>503.65681032097962</v>
          </cell>
          <cell r="K80">
            <v>2.4008292681912682</v>
          </cell>
          <cell r="L80">
            <v>2.4008292681912682</v>
          </cell>
          <cell r="M80">
            <v>8.432510617546777</v>
          </cell>
          <cell r="N80">
            <v>8.432510617546777</v>
          </cell>
        </row>
        <row r="81">
          <cell r="A81" t="str">
            <v>910000019</v>
          </cell>
          <cell r="B81" t="str">
            <v>CREMA BLANCA C/GALLETA CHOCO (KILO)</v>
          </cell>
          <cell r="C81" t="str">
            <v>SE00081</v>
          </cell>
          <cell r="D81" t="str">
            <v xml:space="preserve">Crema Blanca C/Galleta Choco </v>
          </cell>
          <cell r="F81" t="str">
            <v>Estándar</v>
          </cell>
          <cell r="G81" t="str">
            <v>Peso</v>
          </cell>
          <cell r="H81" t="str">
            <v>Gramos</v>
          </cell>
          <cell r="I81">
            <v>2428.5036700099995</v>
          </cell>
          <cell r="J81">
            <v>2.4285036700099996</v>
          </cell>
          <cell r="K81">
            <v>0.20066251851851852</v>
          </cell>
          <cell r="L81">
            <v>2.0066251851851851E-4</v>
          </cell>
          <cell r="M81">
            <v>54.636000000000003</v>
          </cell>
          <cell r="N81">
            <v>5.4636000000000004E-2</v>
          </cell>
        </row>
        <row r="82">
          <cell r="A82" t="str">
            <v>902000002</v>
          </cell>
          <cell r="B82" t="str">
            <v>BATIDO CHOCOLATE BUCCA (KILO)</v>
          </cell>
          <cell r="C82" t="str">
            <v>SE00082</v>
          </cell>
          <cell r="D82" t="str">
            <v xml:space="preserve">Batido Chocolate Bucca </v>
          </cell>
          <cell r="F82" t="str">
            <v>Estándar</v>
          </cell>
          <cell r="G82" t="str">
            <v>Peso</v>
          </cell>
          <cell r="H82" t="str">
            <v>Gramos</v>
          </cell>
          <cell r="I82">
            <v>1753.7164741347683</v>
          </cell>
          <cell r="J82">
            <v>1.7537164741347684</v>
          </cell>
          <cell r="K82">
            <v>8.3160083160083165E-2</v>
          </cell>
          <cell r="L82">
            <v>8.3160083160083159E-5</v>
          </cell>
          <cell r="M82">
            <v>12.039642411642411</v>
          </cell>
          <cell r="N82">
            <v>1.2039642411642411E-2</v>
          </cell>
        </row>
        <row r="83">
          <cell r="A83" t="str">
            <v>95574</v>
          </cell>
          <cell r="B83" t="str">
            <v xml:space="preserve"> Premezcla Rosquete de chocolate Bucca  95574</v>
          </cell>
          <cell r="C83" t="str">
            <v>SE00083</v>
          </cell>
          <cell r="D83" t="str">
            <v xml:space="preserve">Premezcla Chocolate Bucca </v>
          </cell>
          <cell r="F83" t="str">
            <v>Estándar</v>
          </cell>
          <cell r="G83" t="str">
            <v>Peso</v>
          </cell>
          <cell r="H83" t="str">
            <v>Gramos</v>
          </cell>
          <cell r="I83">
            <v>7879.9080000000004</v>
          </cell>
          <cell r="J83">
            <v>7.8799080000000004</v>
          </cell>
          <cell r="K83">
            <v>160</v>
          </cell>
          <cell r="L83">
            <v>0.16</v>
          </cell>
          <cell r="M83">
            <v>4640</v>
          </cell>
          <cell r="N83">
            <v>4.6399999999999997</v>
          </cell>
        </row>
        <row r="84">
          <cell r="A84" t="str">
            <v>910000007</v>
          </cell>
          <cell r="B84" t="str">
            <v>MEZCLA TRES LECHES C/BAILEYS LITRO</v>
          </cell>
          <cell r="C84" t="str">
            <v>SE00084</v>
          </cell>
          <cell r="D84" t="str">
            <v xml:space="preserve">Mezcla Tres Leches C/Baileys </v>
          </cell>
          <cell r="F84" t="str">
            <v>Estándar</v>
          </cell>
          <cell r="G84" t="str">
            <v>Peso</v>
          </cell>
          <cell r="H84" t="str">
            <v>Gramos</v>
          </cell>
          <cell r="I84">
            <v>7759.6346826372583</v>
          </cell>
          <cell r="J84">
            <v>7.759634682637258</v>
          </cell>
          <cell r="K84">
            <v>0.6513959119360001</v>
          </cell>
          <cell r="L84">
            <v>6.5139591193600006E-4</v>
          </cell>
          <cell r="M84">
            <v>36.191009661136</v>
          </cell>
          <cell r="N84">
            <v>3.6191009661136003E-2</v>
          </cell>
        </row>
        <row r="85">
          <cell r="A85" t="str">
            <v>905000031</v>
          </cell>
          <cell r="B85" t="str">
            <v>RELLENO CREMA MOKA C/BAILEYS (KILO)</v>
          </cell>
          <cell r="C85" t="str">
            <v>SE00085</v>
          </cell>
          <cell r="D85" t="str">
            <v xml:space="preserve">Relleno Crema Moka C/Baileys </v>
          </cell>
          <cell r="F85" t="str">
            <v>Estándar</v>
          </cell>
          <cell r="G85" t="str">
            <v>Peso</v>
          </cell>
          <cell r="H85" t="str">
            <v>Gramos</v>
          </cell>
          <cell r="I85">
            <v>5031.2361606981176</v>
          </cell>
          <cell r="J85">
            <v>5.0312361606981177</v>
          </cell>
          <cell r="K85">
            <v>0.6122126725</v>
          </cell>
          <cell r="L85">
            <v>6.1221267250000002E-4</v>
          </cell>
          <cell r="M85">
            <v>208.95255353333334</v>
          </cell>
          <cell r="N85">
            <v>0.20895255353333334</v>
          </cell>
        </row>
        <row r="86">
          <cell r="A86" t="str">
            <v>907000015</v>
          </cell>
          <cell r="B86" t="str">
            <v>MEZCLA CHOCOLATE BLANCO C/PECANA (KILO)</v>
          </cell>
          <cell r="C86" t="str">
            <v>SE00086</v>
          </cell>
          <cell r="D86" t="str">
            <v xml:space="preserve">Mezcla Chocolate Blanco C/Pecana </v>
          </cell>
          <cell r="F86" t="str">
            <v>Estándar</v>
          </cell>
          <cell r="G86" t="str">
            <v>Peso</v>
          </cell>
          <cell r="H86" t="str">
            <v>Gramos</v>
          </cell>
          <cell r="I86">
            <v>10821.7246</v>
          </cell>
          <cell r="J86">
            <v>10.8217246</v>
          </cell>
          <cell r="K86">
            <v>0</v>
          </cell>
          <cell r="L86">
            <v>0</v>
          </cell>
          <cell r="M86">
            <v>580</v>
          </cell>
          <cell r="N86">
            <v>0.57999999999999996</v>
          </cell>
        </row>
        <row r="87">
          <cell r="A87" t="str">
            <v>908000048</v>
          </cell>
          <cell r="B87" t="str">
            <v>GANACHE BAILEYS (KILO)</v>
          </cell>
          <cell r="C87" t="str">
            <v>SE00087</v>
          </cell>
          <cell r="D87" t="str">
            <v>Ganache Baileys</v>
          </cell>
          <cell r="F87" t="str">
            <v>Estándar</v>
          </cell>
          <cell r="G87" t="str">
            <v>Peso</v>
          </cell>
          <cell r="H87" t="str">
            <v>Gramos</v>
          </cell>
          <cell r="I87">
            <v>8629.5232142857149</v>
          </cell>
          <cell r="J87">
            <v>8.6295232142857152</v>
          </cell>
          <cell r="K87">
            <v>2.7619047619047616E-2</v>
          </cell>
          <cell r="L87">
            <v>2.7619047619047615E-5</v>
          </cell>
          <cell r="M87">
            <v>13.803999999999998</v>
          </cell>
          <cell r="N87">
            <v>1.3803999999999999E-2</v>
          </cell>
        </row>
        <row r="88">
          <cell r="A88" t="str">
            <v>903000040</v>
          </cell>
          <cell r="B88" t="str">
            <v>ROSQUETE VAINILLA PURATOS BUCCA 350g</v>
          </cell>
          <cell r="C88" t="str">
            <v>SE00088</v>
          </cell>
          <cell r="D88" t="str">
            <v>Rosquete Vainilla 350 grs Bucca</v>
          </cell>
          <cell r="F88" t="str">
            <v>Estándar</v>
          </cell>
          <cell r="G88" t="str">
            <v>Unidad</v>
          </cell>
          <cell r="H88" t="str">
            <v>Unidades</v>
          </cell>
          <cell r="I88">
            <v>551.51225132951129</v>
          </cell>
          <cell r="J88">
            <v>551.51225132951129</v>
          </cell>
          <cell r="K88">
            <v>5.0139586343083877</v>
          </cell>
          <cell r="L88">
            <v>5.0139586343083877</v>
          </cell>
          <cell r="M88">
            <v>10.018100613243952</v>
          </cell>
          <cell r="N88">
            <v>10.018100613243952</v>
          </cell>
        </row>
        <row r="89">
          <cell r="A89" t="str">
            <v>90100289</v>
          </cell>
          <cell r="B89" t="str">
            <v>EMPAQUE RELLENO MELOCOTON BUCCA (4000G)</v>
          </cell>
          <cell r="C89" t="str">
            <v>SE00089</v>
          </cell>
          <cell r="D89" t="str">
            <v>Empaque Relleno Melocoton Bucca</v>
          </cell>
          <cell r="F89" t="str">
            <v>Estándar</v>
          </cell>
          <cell r="G89" t="str">
            <v>Peso</v>
          </cell>
          <cell r="H89" t="str">
            <v>Gramos</v>
          </cell>
          <cell r="I89">
            <v>1309.7351498076926</v>
          </cell>
          <cell r="J89">
            <v>1.3097351498076926</v>
          </cell>
          <cell r="K89">
            <v>4.3582999999999998</v>
          </cell>
          <cell r="L89">
            <v>4.3582999999999998E-3</v>
          </cell>
          <cell r="M89">
            <v>69.208500000000001</v>
          </cell>
          <cell r="N89">
            <v>6.9208500000000006E-2</v>
          </cell>
        </row>
        <row r="90">
          <cell r="A90" t="str">
            <v>907000114</v>
          </cell>
          <cell r="B90" t="str">
            <v>Batido De Vainilla Puratos BUCCA SACO</v>
          </cell>
          <cell r="C90" t="str">
            <v>SE00090</v>
          </cell>
          <cell r="D90" t="str">
            <v>Batido De Vainilla Pudin cake Bucca</v>
          </cell>
          <cell r="F90" t="str">
            <v>Estándar</v>
          </cell>
          <cell r="G90" t="str">
            <v>Peso</v>
          </cell>
          <cell r="H90" t="str">
            <v>Gramos</v>
          </cell>
          <cell r="I90">
            <v>1501.6675718246611</v>
          </cell>
          <cell r="J90">
            <v>1.501667571824661</v>
          </cell>
          <cell r="K90">
            <v>3.7042818123096772</v>
          </cell>
          <cell r="L90">
            <v>3.7042818123096772E-3</v>
          </cell>
          <cell r="M90">
            <v>14.040287466411291</v>
          </cell>
          <cell r="N90">
            <v>1.4040287466411292E-2</v>
          </cell>
        </row>
        <row r="91">
          <cell r="A91" t="str">
            <v>906000137</v>
          </cell>
          <cell r="B91" t="str">
            <v>BASE Pre mezcla Rosquete de Vainilla Puratos 12522g Bucca</v>
          </cell>
          <cell r="C91" t="str">
            <v>SE00091</v>
          </cell>
          <cell r="D91" t="str">
            <v>Premezcla Vainilla Puding Cake Bucca</v>
          </cell>
          <cell r="F91" t="str">
            <v>Estándar</v>
          </cell>
          <cell r="G91" t="str">
            <v>Peso</v>
          </cell>
          <cell r="H91" t="str">
            <v>Gramos</v>
          </cell>
          <cell r="I91">
            <v>707.44509072580649</v>
          </cell>
          <cell r="J91">
            <v>0.70744509072580652</v>
          </cell>
          <cell r="K91">
            <v>46.466154193548391</v>
          </cell>
          <cell r="L91">
            <v>4.6466154193548388E-2</v>
          </cell>
          <cell r="M91">
            <v>29.883184475806452</v>
          </cell>
          <cell r="N91">
            <v>2.9883184475806453E-2</v>
          </cell>
        </row>
        <row r="92">
          <cell r="A92" t="str">
            <v>90100288</v>
          </cell>
          <cell r="B92" t="str">
            <v>RELLENO DE MELOCOTON BUCCA PLANTA</v>
          </cell>
          <cell r="C92" t="str">
            <v>SE00092</v>
          </cell>
          <cell r="D92" t="str">
            <v>Relleno De Melocoton Bucca Planta</v>
          </cell>
          <cell r="F92" t="str">
            <v>Estándar</v>
          </cell>
          <cell r="G92" t="str">
            <v>Peso</v>
          </cell>
          <cell r="H92" t="str">
            <v>Gramos</v>
          </cell>
          <cell r="I92">
            <v>1309.7351498076926</v>
          </cell>
          <cell r="J92">
            <v>1.3097351498076926</v>
          </cell>
          <cell r="K92">
            <v>0.31329999999999997</v>
          </cell>
          <cell r="L92">
            <v>3.1329999999999997E-4</v>
          </cell>
          <cell r="M92">
            <v>54.708500000000001</v>
          </cell>
          <cell r="N92">
            <v>5.47085E-2</v>
          </cell>
        </row>
        <row r="93">
          <cell r="A93" t="str">
            <v>907000211</v>
          </cell>
          <cell r="B93" t="str">
            <v>ROSQUETE MELOCOTON MEDIANO 300G</v>
          </cell>
          <cell r="C93" t="str">
            <v>SE00093</v>
          </cell>
          <cell r="D93" t="str">
            <v>Rosquete Melocoton 300 grs</v>
          </cell>
          <cell r="F93" t="str">
            <v>Estándar</v>
          </cell>
          <cell r="G93" t="str">
            <v>Unidad</v>
          </cell>
          <cell r="H93" t="str">
            <v>Unidades</v>
          </cell>
          <cell r="I93">
            <v>627.83558575616166</v>
          </cell>
          <cell r="J93">
            <v>627.83558575616166</v>
          </cell>
          <cell r="K93">
            <v>4.2836999999999996</v>
          </cell>
          <cell r="L93">
            <v>4.2836999999999996</v>
          </cell>
          <cell r="M93">
            <v>19.921840000000003</v>
          </cell>
          <cell r="N93">
            <v>19.921840000000003</v>
          </cell>
        </row>
        <row r="94">
          <cell r="A94" t="str">
            <v>95357</v>
          </cell>
          <cell r="B94" t="str">
            <v xml:space="preserve">Rosquete De Tres Leches Maquila 230g </v>
          </cell>
          <cell r="C94" t="str">
            <v>SE00094</v>
          </cell>
          <cell r="D94" t="str">
            <v>Rosquete Tres Leches 230 grs</v>
          </cell>
          <cell r="F94" t="str">
            <v>Estándar</v>
          </cell>
          <cell r="G94" t="str">
            <v>Unidad</v>
          </cell>
          <cell r="H94" t="str">
            <v>Unidades</v>
          </cell>
          <cell r="I94">
            <v>375.13141959155678</v>
          </cell>
          <cell r="J94">
            <v>375.13141959155678</v>
          </cell>
          <cell r="K94">
            <v>12.985987662719999</v>
          </cell>
          <cell r="L94">
            <v>12.985987662719999</v>
          </cell>
          <cell r="M94">
            <v>24.725287804219999</v>
          </cell>
          <cell r="N94">
            <v>24.725287804219999</v>
          </cell>
        </row>
        <row r="95">
          <cell r="A95" t="str">
            <v>903000039</v>
          </cell>
          <cell r="B95" t="str">
            <v>ROSQUETE CHOCOLATE BUCCA 425g</v>
          </cell>
          <cell r="C95" t="str">
            <v>SE00095</v>
          </cell>
          <cell r="D95" t="str">
            <v>Rosquete Chocolate 425 grs Bucca</v>
          </cell>
          <cell r="F95" t="str">
            <v>Estándar</v>
          </cell>
          <cell r="G95" t="str">
            <v>Unidad</v>
          </cell>
          <cell r="H95" t="str">
            <v>Unidades</v>
          </cell>
          <cell r="I95">
            <v>774.91639401488271</v>
          </cell>
          <cell r="J95">
            <v>774.91639401488271</v>
          </cell>
          <cell r="K95">
            <v>4.4757083160083164</v>
          </cell>
          <cell r="L95">
            <v>4.4757083160083164</v>
          </cell>
          <cell r="M95">
            <v>15.653165164241162</v>
          </cell>
          <cell r="N95">
            <v>15.653165164241162</v>
          </cell>
        </row>
        <row r="96">
          <cell r="A96" t="str">
            <v>903000043</v>
          </cell>
          <cell r="B96" t="str">
            <v>ROSQUETE VAINILLA PURATOS BUCCA 200g</v>
          </cell>
          <cell r="C96" t="str">
            <v>SE00096</v>
          </cell>
          <cell r="D96" t="str">
            <v>Rosquete Vainilla 200 grs Bucca</v>
          </cell>
          <cell r="F96" t="str">
            <v>Estándar</v>
          </cell>
          <cell r="G96" t="str">
            <v>Unidad</v>
          </cell>
          <cell r="H96" t="str">
            <v>Unidades</v>
          </cell>
          <cell r="I96">
            <v>315.75044255303959</v>
          </cell>
          <cell r="J96">
            <v>315.75044255303959</v>
          </cell>
          <cell r="K96">
            <v>3.1808263897757674</v>
          </cell>
          <cell r="L96">
            <v>3.1808263897757674</v>
          </cell>
          <cell r="M96">
            <v>14.889775481017379</v>
          </cell>
          <cell r="N96">
            <v>14.889775481017379</v>
          </cell>
        </row>
        <row r="97">
          <cell r="A97" t="str">
            <v>90100143</v>
          </cell>
          <cell r="B97" t="str">
            <v>ROSQUETE VAINILLA PASTELERO REAL 1400g</v>
          </cell>
          <cell r="C97" t="str">
            <v>SE00097</v>
          </cell>
          <cell r="D97" t="str">
            <v>Rosquete Vainilla 1400 grs Pastelero R.</v>
          </cell>
          <cell r="F97" t="str">
            <v>Estándar</v>
          </cell>
          <cell r="G97" t="str">
            <v>Unidad</v>
          </cell>
          <cell r="H97" t="str">
            <v>Unidades</v>
          </cell>
          <cell r="I97">
            <v>2062.0093451397133</v>
          </cell>
          <cell r="J97">
            <v>2062.0093451397133</v>
          </cell>
          <cell r="K97">
            <v>13.740007190041799</v>
          </cell>
          <cell r="L97">
            <v>13.740007190041799</v>
          </cell>
          <cell r="M97">
            <v>56.287168359999995</v>
          </cell>
          <cell r="N97">
            <v>56.287168359999995</v>
          </cell>
        </row>
        <row r="98">
          <cell r="A98" t="str">
            <v>907000259</v>
          </cell>
          <cell r="B98" t="str">
            <v>ROSQUETE CHOCOLATE PASTELERO REAL 600g</v>
          </cell>
          <cell r="C98" t="str">
            <v>SE00098</v>
          </cell>
          <cell r="D98" t="str">
            <v>Rosquete Chocolate 600 grs Pastelero R.</v>
          </cell>
          <cell r="F98" t="str">
            <v>Estándar</v>
          </cell>
          <cell r="G98" t="str">
            <v>Unidad</v>
          </cell>
          <cell r="H98" t="str">
            <v>Unidades</v>
          </cell>
          <cell r="I98">
            <v>1005.8913750179097</v>
          </cell>
          <cell r="J98">
            <v>1005.8913750179097</v>
          </cell>
          <cell r="K98">
            <v>11.317072340679999</v>
          </cell>
          <cell r="L98">
            <v>11.317072340679999</v>
          </cell>
          <cell r="M98">
            <v>33.176560860000002</v>
          </cell>
          <cell r="N98">
            <v>33.176560860000002</v>
          </cell>
        </row>
        <row r="99">
          <cell r="A99" t="str">
            <v>907000304</v>
          </cell>
          <cell r="B99" t="str">
            <v>Rosquete Easy Queque Vainilla 1800g Sp</v>
          </cell>
          <cell r="C99" t="str">
            <v>SE00099</v>
          </cell>
          <cell r="D99" t="str">
            <v>Rosquete Easy Queque Vainilla 1800g Sp</v>
          </cell>
          <cell r="F99" t="str">
            <v>Estándar</v>
          </cell>
          <cell r="G99" t="str">
            <v>Unidad</v>
          </cell>
          <cell r="H99" t="str">
            <v>Unidades</v>
          </cell>
          <cell r="I99">
            <v>2135.5569398934399</v>
          </cell>
          <cell r="J99">
            <v>2135.5569398934399</v>
          </cell>
          <cell r="K99">
            <v>16.741249803015165</v>
          </cell>
          <cell r="L99">
            <v>16.741249803015165</v>
          </cell>
          <cell r="M99">
            <v>49.762034618495996</v>
          </cell>
          <cell r="N99">
            <v>49.762034618495996</v>
          </cell>
        </row>
        <row r="100">
          <cell r="A100" t="str">
            <v>905000065</v>
          </cell>
          <cell r="B100" t="str">
            <v>CREMA CHANTILLY AMARILLA PLANCHA 9792G</v>
          </cell>
          <cell r="C100" t="str">
            <v>SE00100</v>
          </cell>
          <cell r="D100" t="str">
            <v xml:space="preserve">Crema Chantilly Amarilla </v>
          </cell>
          <cell r="F100" t="str">
            <v>Estándar</v>
          </cell>
          <cell r="G100" t="str">
            <v>Peso</v>
          </cell>
          <cell r="H100" t="str">
            <v>Gramos</v>
          </cell>
          <cell r="I100">
            <v>2530.9681623176921</v>
          </cell>
          <cell r="J100">
            <v>2.5309681623176923</v>
          </cell>
          <cell r="K100">
            <v>0.10214400000000001</v>
          </cell>
          <cell r="L100">
            <v>1.0214400000000002E-4</v>
          </cell>
          <cell r="M100">
            <v>38.86</v>
          </cell>
          <cell r="N100">
            <v>3.8859999999999999E-2</v>
          </cell>
        </row>
        <row r="101">
          <cell r="A101" t="str">
            <v>95301</v>
          </cell>
          <cell r="B101" t="str">
            <v>Gallo pinto spoon en sarten basculante</v>
          </cell>
          <cell r="C101" t="str">
            <v>SE00101</v>
          </cell>
          <cell r="D101" t="str">
            <v xml:space="preserve">Gallo Pinto Kilo Spoon </v>
          </cell>
          <cell r="F101" t="str">
            <v>Estándar</v>
          </cell>
          <cell r="G101" t="str">
            <v>Peso</v>
          </cell>
          <cell r="H101" t="str">
            <v>Gramos</v>
          </cell>
          <cell r="I101">
            <v>1396.4967696989238</v>
          </cell>
          <cell r="J101">
            <v>1.3964967696989239</v>
          </cell>
          <cell r="K101">
            <v>0.33354674048442906</v>
          </cell>
          <cell r="L101">
            <v>3.3354674048442908E-4</v>
          </cell>
          <cell r="M101">
            <v>118.66679584775086</v>
          </cell>
          <cell r="N101">
            <v>0.11866679584775086</v>
          </cell>
        </row>
        <row r="102">
          <cell r="A102" t="str">
            <v>95299</v>
          </cell>
          <cell r="B102" t="str">
            <v>FRIJOLES PARA GALLO PINTO</v>
          </cell>
          <cell r="C102" t="str">
            <v>SE00102</v>
          </cell>
          <cell r="D102" t="str">
            <v>Frijoles Para Gallo Pinto</v>
          </cell>
          <cell r="F102" t="str">
            <v>Estándar</v>
          </cell>
          <cell r="G102" t="str">
            <v>Peso</v>
          </cell>
          <cell r="H102" t="str">
            <v>Gramos</v>
          </cell>
          <cell r="I102">
            <v>784.5716666666666</v>
          </cell>
          <cell r="J102">
            <v>0.78457166666666656</v>
          </cell>
          <cell r="K102">
            <v>0</v>
          </cell>
          <cell r="L102">
            <v>0</v>
          </cell>
          <cell r="M102">
            <v>29.231999999999999</v>
          </cell>
          <cell r="N102">
            <v>2.9232000000000001E-2</v>
          </cell>
        </row>
        <row r="103">
          <cell r="A103" t="str">
            <v>908000005</v>
          </cell>
          <cell r="B103" t="str">
            <v>ARROZ BLANCO PRECOCIDO (KILO)</v>
          </cell>
          <cell r="C103" t="str">
            <v>SE00103</v>
          </cell>
          <cell r="D103" t="str">
            <v>Coccion Arroz Blanco precocido</v>
          </cell>
          <cell r="F103" t="str">
            <v>Estándar</v>
          </cell>
          <cell r="G103" t="str">
            <v>Peso</v>
          </cell>
          <cell r="H103" t="str">
            <v>Gramos</v>
          </cell>
          <cell r="I103">
            <v>639.34671868758187</v>
          </cell>
          <cell r="J103">
            <v>0.63934671868758186</v>
          </cell>
          <cell r="K103">
            <v>0.60481365333333337</v>
          </cell>
          <cell r="L103">
            <v>6.0481365333333334E-4</v>
          </cell>
          <cell r="M103">
            <v>58.122186666666664</v>
          </cell>
          <cell r="N103">
            <v>5.8122186666666666E-2</v>
          </cell>
        </row>
        <row r="104">
          <cell r="A104" t="str">
            <v>90100142</v>
          </cell>
          <cell r="B104" t="str">
            <v>SAL (BOLSA:5000g)</v>
          </cell>
          <cell r="C104" t="str">
            <v>SE00104</v>
          </cell>
          <cell r="D104" t="str">
            <v>Sal Empacada Planta</v>
          </cell>
          <cell r="F104" t="str">
            <v>Estándar</v>
          </cell>
          <cell r="G104" t="str">
            <v>Peso</v>
          </cell>
          <cell r="H104" t="str">
            <v>Gramos</v>
          </cell>
          <cell r="I104">
            <v>276.8</v>
          </cell>
          <cell r="J104">
            <v>0.27679999999999999</v>
          </cell>
          <cell r="K104">
            <v>3.5456000000000003</v>
          </cell>
          <cell r="L104">
            <v>3.5456000000000003E-3</v>
          </cell>
          <cell r="M104">
            <v>11.600000000000001</v>
          </cell>
          <cell r="N104">
            <v>1.1600000000000001E-2</v>
          </cell>
        </row>
        <row r="105">
          <cell r="A105" t="str">
            <v>90100346</v>
          </cell>
          <cell r="B105" t="str">
            <v>MEZCLA ARROZ CON SALSA BLANCA</v>
          </cell>
          <cell r="C105" t="str">
            <v>SE00105</v>
          </cell>
          <cell r="D105" t="str">
            <v>Mezcla Arroz Con Salsa Blanca</v>
          </cell>
          <cell r="F105" t="str">
            <v>Estándar</v>
          </cell>
          <cell r="G105" t="str">
            <v>Peso</v>
          </cell>
          <cell r="H105" t="str">
            <v>Gramos</v>
          </cell>
          <cell r="I105">
            <v>1224.9227136052061</v>
          </cell>
          <cell r="J105">
            <v>1.2249227136052061</v>
          </cell>
          <cell r="K105">
            <v>6.1375517197399256</v>
          </cell>
          <cell r="L105">
            <v>6.1375517197399254E-3</v>
          </cell>
          <cell r="M105">
            <v>67.429406571402694</v>
          </cell>
          <cell r="N105">
            <v>6.74294065714027E-2</v>
          </cell>
        </row>
        <row r="106">
          <cell r="A106" t="str">
            <v>908000012</v>
          </cell>
          <cell r="B106" t="str">
            <v>QUESO PARMESANO RALLADO KILO</v>
          </cell>
          <cell r="C106" t="str">
            <v>SE00106</v>
          </cell>
          <cell r="D106" t="str">
            <v>Queso Parmesano Rallado</v>
          </cell>
          <cell r="F106" t="str">
            <v>Estándar</v>
          </cell>
          <cell r="G106" t="str">
            <v>Peso</v>
          </cell>
          <cell r="H106" t="str">
            <v>Gramos</v>
          </cell>
          <cell r="I106">
            <v>11305</v>
          </cell>
          <cell r="J106">
            <v>11.305</v>
          </cell>
          <cell r="K106">
            <v>10.94</v>
          </cell>
          <cell r="L106">
            <v>1.094E-2</v>
          </cell>
          <cell r="M106">
            <v>131.66</v>
          </cell>
          <cell r="N106">
            <v>0.13166</v>
          </cell>
        </row>
        <row r="107">
          <cell r="A107" t="str">
            <v>908000024</v>
          </cell>
          <cell r="B107" t="str">
            <v>Palmito Picado en Coccion 9600g</v>
          </cell>
          <cell r="C107" t="str">
            <v>SE00107</v>
          </cell>
          <cell r="D107" t="str">
            <v>Cocción Palmito Picado</v>
          </cell>
          <cell r="F107" t="str">
            <v>Estándar</v>
          </cell>
          <cell r="G107" t="str">
            <v>Peso</v>
          </cell>
          <cell r="H107" t="str">
            <v>Gramos</v>
          </cell>
          <cell r="I107">
            <v>3432.3060675245101</v>
          </cell>
          <cell r="J107">
            <v>3.4323060675245101</v>
          </cell>
          <cell r="K107">
            <v>0</v>
          </cell>
          <cell r="L107">
            <v>0</v>
          </cell>
          <cell r="M107">
            <v>60.32</v>
          </cell>
          <cell r="N107">
            <v>6.0319999999999999E-2</v>
          </cell>
        </row>
        <row r="108">
          <cell r="A108" t="str">
            <v>901000199</v>
          </cell>
          <cell r="B108" t="str">
            <v>EMPAQUE SALSA BLANCA SPOON KILO</v>
          </cell>
          <cell r="C108" t="str">
            <v>SE00108</v>
          </cell>
          <cell r="D108" t="str">
            <v>Empaque Salsa Blanca Spoon</v>
          </cell>
          <cell r="F108" t="str">
            <v>Estándar</v>
          </cell>
          <cell r="G108" t="str">
            <v>Peso</v>
          </cell>
          <cell r="H108" t="str">
            <v>Gramos</v>
          </cell>
          <cell r="I108">
            <v>1634.7517091581271</v>
          </cell>
          <cell r="J108">
            <v>1.6347517091581272</v>
          </cell>
          <cell r="K108">
            <v>10.978697527845693</v>
          </cell>
          <cell r="L108">
            <v>1.0978697527845693E-2</v>
          </cell>
          <cell r="M108">
            <v>39.685723988046725</v>
          </cell>
          <cell r="N108">
            <v>3.9685723988046727E-2</v>
          </cell>
        </row>
        <row r="109">
          <cell r="A109" t="str">
            <v>95453</v>
          </cell>
          <cell r="B109" t="str">
            <v>Salsa Blanca SPOON</v>
          </cell>
          <cell r="C109" t="str">
            <v>SE00109</v>
          </cell>
          <cell r="D109" t="str">
            <v>Salsa Blanca Spoon</v>
          </cell>
          <cell r="F109" t="str">
            <v>Estándar</v>
          </cell>
          <cell r="G109" t="str">
            <v>Peso</v>
          </cell>
          <cell r="H109" t="str">
            <v>Gramos</v>
          </cell>
          <cell r="I109">
            <v>1634.7517091581271</v>
          </cell>
          <cell r="J109">
            <v>1.6347517091581272</v>
          </cell>
          <cell r="K109">
            <v>0.9530975278456939</v>
          </cell>
          <cell r="L109">
            <v>9.5309752784569388E-4</v>
          </cell>
          <cell r="M109">
            <v>19.385723988046728</v>
          </cell>
          <cell r="N109">
            <v>1.9385723988046728E-2</v>
          </cell>
        </row>
        <row r="110">
          <cell r="A110" t="str">
            <v>95289</v>
          </cell>
          <cell r="B110" t="str">
            <v>Coccio Arroz Blanco 14195g</v>
          </cell>
          <cell r="C110" t="str">
            <v>SE00110</v>
          </cell>
          <cell r="D110" t="str">
            <v xml:space="preserve">Coccion Arroz Blanco </v>
          </cell>
          <cell r="F110" t="str">
            <v>Estándar</v>
          </cell>
          <cell r="G110" t="str">
            <v>Peso</v>
          </cell>
          <cell r="H110" t="str">
            <v>Gramos</v>
          </cell>
          <cell r="I110">
            <v>576.80583831092133</v>
          </cell>
          <cell r="J110">
            <v>0.57680583831092136</v>
          </cell>
          <cell r="K110">
            <v>4.4960056357872494E-2</v>
          </cell>
          <cell r="L110">
            <v>4.4960056357872494E-5</v>
          </cell>
          <cell r="M110">
            <v>40.979094047199716</v>
          </cell>
          <cell r="N110">
            <v>4.0979094047199717E-2</v>
          </cell>
        </row>
        <row r="111">
          <cell r="A111" t="str">
            <v>95784</v>
          </cell>
          <cell r="B111" t="str">
            <v>SALSA ROJA SPOON (33 Kg)</v>
          </cell>
          <cell r="C111" t="str">
            <v>SE00111</v>
          </cell>
          <cell r="D111" t="str">
            <v xml:space="preserve">Salsa Roja Spoon </v>
          </cell>
          <cell r="F111" t="str">
            <v>Estándar</v>
          </cell>
          <cell r="G111" t="str">
            <v>Peso</v>
          </cell>
          <cell r="H111" t="str">
            <v>Gramos</v>
          </cell>
          <cell r="I111">
            <v>1426.0279409526822</v>
          </cell>
          <cell r="J111">
            <v>1.4260279409526821</v>
          </cell>
          <cell r="K111">
            <v>1.8847365039370079</v>
          </cell>
          <cell r="L111">
            <v>1.8847365039370079E-3</v>
          </cell>
          <cell r="M111">
            <v>37.110409448818899</v>
          </cell>
          <cell r="N111">
            <v>3.7110409448818896E-2</v>
          </cell>
        </row>
        <row r="112">
          <cell r="A112" t="str">
            <v>96242</v>
          </cell>
          <cell r="B112" t="str">
            <v>PURE DE PAPA NATURAL</v>
          </cell>
          <cell r="C112" t="str">
            <v>SE00112</v>
          </cell>
          <cell r="D112" t="str">
            <v>Pure Papa Natural</v>
          </cell>
          <cell r="F112" t="str">
            <v>Estándar</v>
          </cell>
          <cell r="G112" t="str">
            <v>Peso</v>
          </cell>
          <cell r="H112" t="str">
            <v>Gramos</v>
          </cell>
          <cell r="I112">
            <v>1643.7148647298466</v>
          </cell>
          <cell r="J112">
            <v>1.6437148647298465</v>
          </cell>
          <cell r="K112">
            <v>1.539597827160494</v>
          </cell>
          <cell r="L112">
            <v>1.5395978271604939E-3</v>
          </cell>
          <cell r="M112">
            <v>171.69288888888889</v>
          </cell>
          <cell r="N112">
            <v>0.17169288888888889</v>
          </cell>
        </row>
        <row r="113">
          <cell r="A113" t="str">
            <v>90100084</v>
          </cell>
          <cell r="B113" t="str">
            <v xml:space="preserve">COCCION DE PAPA </v>
          </cell>
          <cell r="C113" t="str">
            <v>SE00113</v>
          </cell>
          <cell r="D113" t="str">
            <v xml:space="preserve">Coccion De Papa </v>
          </cell>
          <cell r="F113" t="str">
            <v>Estándar</v>
          </cell>
          <cell r="G113" t="str">
            <v>Peso</v>
          </cell>
          <cell r="H113" t="str">
            <v>Gramos</v>
          </cell>
          <cell r="I113">
            <v>1652.768</v>
          </cell>
          <cell r="J113">
            <v>1.652768</v>
          </cell>
          <cell r="K113">
            <v>2.163456</v>
          </cell>
          <cell r="L113">
            <v>2.1634560000000002E-3</v>
          </cell>
          <cell r="M113">
            <v>116.116</v>
          </cell>
          <cell r="N113">
            <v>0.116116</v>
          </cell>
        </row>
        <row r="114">
          <cell r="A114" t="str">
            <v>904000009</v>
          </cell>
          <cell r="B114" t="str">
            <v>Salsa Para Arreglado 3780g</v>
          </cell>
          <cell r="C114" t="str">
            <v>SE00114</v>
          </cell>
          <cell r="D114" t="str">
            <v>Salsa para arreglado</v>
          </cell>
          <cell r="F114" t="str">
            <v>Estándar</v>
          </cell>
          <cell r="G114" t="str">
            <v>Peso</v>
          </cell>
          <cell r="H114" t="str">
            <v>Gramos</v>
          </cell>
          <cell r="I114">
            <v>934.0689975689977</v>
          </cell>
          <cell r="J114">
            <v>0.93406899756899775</v>
          </cell>
          <cell r="K114">
            <v>0</v>
          </cell>
          <cell r="L114">
            <v>0</v>
          </cell>
          <cell r="M114">
            <v>76.56</v>
          </cell>
          <cell r="N114">
            <v>7.6560000000000003E-2</v>
          </cell>
        </row>
        <row r="115">
          <cell r="A115" t="str">
            <v>90100319</v>
          </cell>
          <cell r="B115" t="str">
            <v>RAGU A LA BOLOÑESA</v>
          </cell>
          <cell r="C115" t="str">
            <v>SE00115</v>
          </cell>
          <cell r="D115" t="str">
            <v>Ragu a La Boloñesa</v>
          </cell>
          <cell r="F115" t="str">
            <v>Estándar</v>
          </cell>
          <cell r="G115" t="str">
            <v>Peso</v>
          </cell>
          <cell r="H115" t="str">
            <v>Gramos</v>
          </cell>
          <cell r="I115">
            <v>4419.838277580222</v>
          </cell>
          <cell r="J115">
            <v>4.4198382775802223</v>
          </cell>
          <cell r="K115">
            <v>2.4811756473058087E-2</v>
          </cell>
          <cell r="L115">
            <v>2.4811756473058087E-5</v>
          </cell>
          <cell r="M115">
            <v>811.50117564730579</v>
          </cell>
          <cell r="N115">
            <v>0.81150117564730584</v>
          </cell>
        </row>
        <row r="116">
          <cell r="A116" t="str">
            <v>904000006</v>
          </cell>
          <cell r="B116" t="str">
            <v>SALSA ROJA SPOON (31750g)</v>
          </cell>
          <cell r="C116" t="str">
            <v>SE00116</v>
          </cell>
          <cell r="D116" t="str">
            <v>Empaque salsa Roja Spoon Planta</v>
          </cell>
          <cell r="F116" t="str">
            <v>Estándar</v>
          </cell>
          <cell r="G116" t="str">
            <v>Peso</v>
          </cell>
          <cell r="H116" t="str">
            <v>Gramos</v>
          </cell>
          <cell r="I116">
            <v>1426.0279409526822</v>
          </cell>
          <cell r="J116">
            <v>1.4260279409526821</v>
          </cell>
          <cell r="K116">
            <v>12.180736503937007</v>
          </cell>
          <cell r="L116">
            <v>1.2180736503937008E-2</v>
          </cell>
          <cell r="M116">
            <v>62.804409448818902</v>
          </cell>
          <cell r="N116">
            <v>6.2804409448818904E-2</v>
          </cell>
        </row>
        <row r="117">
          <cell r="A117" t="str">
            <v>96360</v>
          </cell>
          <cell r="B117" t="str">
            <v>Coccion Palmito ensalada</v>
          </cell>
          <cell r="C117" t="str">
            <v>SE00117</v>
          </cell>
          <cell r="D117" t="str">
            <v>Coccion Palmito Ensalada</v>
          </cell>
          <cell r="F117" t="str">
            <v>Estándar</v>
          </cell>
          <cell r="G117" t="str">
            <v>Peso</v>
          </cell>
          <cell r="H117" t="str">
            <v>Gramos</v>
          </cell>
          <cell r="I117">
            <v>3531.5103419195052</v>
          </cell>
          <cell r="J117">
            <v>3.5315103419195051</v>
          </cell>
          <cell r="K117">
            <v>7.4644210526315799E-2</v>
          </cell>
          <cell r="L117">
            <v>7.4644210526315794E-5</v>
          </cell>
          <cell r="M117">
            <v>91.304210526315785</v>
          </cell>
          <cell r="N117">
            <v>9.1304210526315779E-2</v>
          </cell>
        </row>
        <row r="118">
          <cell r="A118" t="str">
            <v>95930</v>
          </cell>
          <cell r="B118" t="str">
            <v>Tiqueños de queso</v>
          </cell>
          <cell r="C118" t="str">
            <v>SE00118</v>
          </cell>
          <cell r="D118" t="str">
            <v>Tiqueños de queso</v>
          </cell>
          <cell r="F118" t="str">
            <v>Estándar</v>
          </cell>
          <cell r="G118" t="str">
            <v>Unidad</v>
          </cell>
          <cell r="H118" t="str">
            <v>Unidades</v>
          </cell>
          <cell r="I118">
            <v>24.974170000000001</v>
          </cell>
          <cell r="J118">
            <v>24.974170000000001</v>
          </cell>
          <cell r="K118">
            <v>0</v>
          </cell>
          <cell r="L118">
            <v>0</v>
          </cell>
          <cell r="M118">
            <v>5.3360000000000003</v>
          </cell>
          <cell r="N118">
            <v>5.3360000000000003</v>
          </cell>
        </row>
        <row r="119">
          <cell r="A119" t="str">
            <v>96192</v>
          </cell>
          <cell r="B119" t="str">
            <v>Aderezo Aceite De Ajo y Perejil 1000g</v>
          </cell>
          <cell r="C119" t="str">
            <v>SE00119</v>
          </cell>
          <cell r="D119" t="str">
            <v xml:space="preserve">Aderezo Aceite De Ajo Y Perejil </v>
          </cell>
          <cell r="F119" t="str">
            <v>Estándar</v>
          </cell>
          <cell r="G119" t="str">
            <v>Peso</v>
          </cell>
          <cell r="H119" t="str">
            <v>Gramos</v>
          </cell>
          <cell r="I119">
            <v>3212.7723564705884</v>
          </cell>
          <cell r="J119">
            <v>3.2127723564705883</v>
          </cell>
          <cell r="K119">
            <v>0.2275664</v>
          </cell>
          <cell r="L119">
            <v>2.2756640000000001E-4</v>
          </cell>
          <cell r="M119">
            <v>235.31992</v>
          </cell>
          <cell r="N119">
            <v>0.23531991999999999</v>
          </cell>
        </row>
        <row r="120">
          <cell r="A120" t="str">
            <v>95627</v>
          </cell>
          <cell r="B120" t="str">
            <v>Aderezo Chipotle 21288g</v>
          </cell>
          <cell r="C120" t="str">
            <v>SE00120</v>
          </cell>
          <cell r="D120" t="str">
            <v>Aderezo Chipotle Planta</v>
          </cell>
          <cell r="F120" t="str">
            <v>Estándar</v>
          </cell>
          <cell r="G120" t="str">
            <v>Peso</v>
          </cell>
          <cell r="H120" t="str">
            <v>Gramos</v>
          </cell>
          <cell r="I120">
            <v>1965.7240245246508</v>
          </cell>
          <cell r="J120">
            <v>1.9657240245246508</v>
          </cell>
          <cell r="K120">
            <v>0.13884515209354209</v>
          </cell>
          <cell r="L120">
            <v>1.388451520935421E-4</v>
          </cell>
          <cell r="M120">
            <v>77.921744367493645</v>
          </cell>
          <cell r="N120">
            <v>7.7921744367493648E-2</v>
          </cell>
        </row>
        <row r="121">
          <cell r="A121" t="str">
            <v>90100086</v>
          </cell>
          <cell r="B121" t="str">
            <v>MAYONESA SPOON</v>
          </cell>
          <cell r="C121" t="str">
            <v>SE00121</v>
          </cell>
          <cell r="D121" t="str">
            <v>Mayonesa Spoon Planta</v>
          </cell>
          <cell r="F121" t="str">
            <v>Estándar</v>
          </cell>
          <cell r="G121" t="str">
            <v>Peso</v>
          </cell>
          <cell r="H121" t="str">
            <v>Gramos</v>
          </cell>
          <cell r="I121">
            <v>1452.7894418882559</v>
          </cell>
          <cell r="J121">
            <v>1.4527894418882559</v>
          </cell>
          <cell r="K121">
            <v>4.5792513368983961E-2</v>
          </cell>
          <cell r="L121">
            <v>4.5792513368983958E-5</v>
          </cell>
          <cell r="M121">
            <v>62.961946524064167</v>
          </cell>
          <cell r="N121">
            <v>6.2961946524064172E-2</v>
          </cell>
        </row>
        <row r="122">
          <cell r="A122" t="str">
            <v>95149</v>
          </cell>
          <cell r="B122" t="str">
            <v>Frijoles Molidos 14133g</v>
          </cell>
          <cell r="C122" t="str">
            <v>SE00122</v>
          </cell>
          <cell r="D122" t="str">
            <v xml:space="preserve">Coccion frijoles molidos </v>
          </cell>
          <cell r="F122" t="str">
            <v>Estándar</v>
          </cell>
          <cell r="G122" t="str">
            <v>Peso</v>
          </cell>
          <cell r="H122" t="str">
            <v>Gramos</v>
          </cell>
          <cell r="I122">
            <v>1109.7682491488531</v>
          </cell>
          <cell r="J122">
            <v>1.1097682491488532</v>
          </cell>
          <cell r="K122">
            <v>0.7112409254935258</v>
          </cell>
          <cell r="L122">
            <v>7.1124092549352581E-4</v>
          </cell>
          <cell r="M122">
            <v>102.15879431118658</v>
          </cell>
          <cell r="N122">
            <v>0.10215879431118659</v>
          </cell>
        </row>
        <row r="123">
          <cell r="A123" t="str">
            <v>95645</v>
          </cell>
          <cell r="B123" t="str">
            <v>Aderezo De Vinagreta De Albahaca 8425g</v>
          </cell>
          <cell r="C123" t="str">
            <v>SE00123</v>
          </cell>
          <cell r="D123" t="str">
            <v>Aderezo Vinagreta Albahaca</v>
          </cell>
          <cell r="F123" t="str">
            <v>Estándar</v>
          </cell>
          <cell r="G123" t="str">
            <v>Peso</v>
          </cell>
          <cell r="H123" t="str">
            <v>Gramos</v>
          </cell>
          <cell r="I123">
            <v>3488.0954848852843</v>
          </cell>
          <cell r="J123">
            <v>3.4880954848852843</v>
          </cell>
          <cell r="K123">
            <v>4.2113272997032644E-2</v>
          </cell>
          <cell r="L123">
            <v>4.2113272997032642E-5</v>
          </cell>
          <cell r="M123">
            <v>109.75768545994065</v>
          </cell>
          <cell r="N123">
            <v>0.10975768545994065</v>
          </cell>
        </row>
        <row r="124">
          <cell r="A124" t="str">
            <v>90100206</v>
          </cell>
          <cell r="B124" t="str">
            <v xml:space="preserve">Salsa De Tamarindo y Tomillo </v>
          </cell>
          <cell r="C124" t="str">
            <v>SE00124</v>
          </cell>
          <cell r="D124" t="str">
            <v xml:space="preserve">Salsa Tamarindo Y Tomillo </v>
          </cell>
          <cell r="F124" t="str">
            <v>Estándar</v>
          </cell>
          <cell r="G124" t="str">
            <v>Peso</v>
          </cell>
          <cell r="H124" t="str">
            <v>Gramos</v>
          </cell>
          <cell r="I124">
            <v>1108.2139032611994</v>
          </cell>
          <cell r="J124">
            <v>1.1082139032611995</v>
          </cell>
          <cell r="K124">
            <v>11.47964342857143</v>
          </cell>
          <cell r="L124">
            <v>1.147964342857143E-2</v>
          </cell>
          <cell r="M124">
            <v>77.932114285714292</v>
          </cell>
          <cell r="N124">
            <v>7.7932114285714296E-2</v>
          </cell>
        </row>
        <row r="125">
          <cell r="A125" t="str">
            <v>95647</v>
          </cell>
          <cell r="B125" t="str">
            <v>Aderezo Albahaca 3500g</v>
          </cell>
          <cell r="C125" t="str">
            <v>SE00125</v>
          </cell>
          <cell r="D125" t="str">
            <v xml:space="preserve">Aderezo Albahaca </v>
          </cell>
          <cell r="F125" t="str">
            <v>Estándar</v>
          </cell>
          <cell r="G125" t="str">
            <v>Peso</v>
          </cell>
          <cell r="H125" t="str">
            <v>Gramos</v>
          </cell>
          <cell r="I125">
            <v>1879.6035031365386</v>
          </cell>
          <cell r="J125">
            <v>1.8796035031365386</v>
          </cell>
          <cell r="K125">
            <v>3.3382742245989305E-2</v>
          </cell>
          <cell r="L125">
            <v>3.3382742245989308E-5</v>
          </cell>
          <cell r="M125">
            <v>178.42925901604278</v>
          </cell>
          <cell r="N125">
            <v>0.17842925901604278</v>
          </cell>
        </row>
        <row r="126">
          <cell r="A126" t="str">
            <v>95648</v>
          </cell>
          <cell r="B126" t="str">
            <v>Aderezo Grill 11880g</v>
          </cell>
          <cell r="C126" t="str">
            <v>SE00126</v>
          </cell>
          <cell r="D126" t="str">
            <v>Aderezo Grill Planta</v>
          </cell>
          <cell r="F126" t="str">
            <v>Estándar</v>
          </cell>
          <cell r="G126" t="str">
            <v>Peso</v>
          </cell>
          <cell r="H126" t="str">
            <v>Gramos</v>
          </cell>
          <cell r="I126">
            <v>1982.510391943584</v>
          </cell>
          <cell r="J126">
            <v>1.982510391943584</v>
          </cell>
          <cell r="K126">
            <v>1.2776052690901889</v>
          </cell>
          <cell r="L126">
            <v>1.277605269090189E-3</v>
          </cell>
          <cell r="M126">
            <v>67.451401753722607</v>
          </cell>
          <cell r="N126">
            <v>6.7451401753722606E-2</v>
          </cell>
        </row>
        <row r="127">
          <cell r="A127" t="str">
            <v>95110</v>
          </cell>
          <cell r="B127" t="str">
            <v>Aderezo Pesto Albahaca 10000g</v>
          </cell>
          <cell r="C127" t="str">
            <v>SE00127</v>
          </cell>
          <cell r="D127" t="str">
            <v>Aderezo Pesto Albahaca Planta</v>
          </cell>
          <cell r="F127" t="str">
            <v>Estándar</v>
          </cell>
          <cell r="G127" t="str">
            <v>Peso</v>
          </cell>
          <cell r="H127" t="str">
            <v>Gramos</v>
          </cell>
          <cell r="I127">
            <v>3161.0075581568631</v>
          </cell>
          <cell r="J127">
            <v>3.1610075581568631</v>
          </cell>
          <cell r="K127">
            <v>0.67514280000000004</v>
          </cell>
          <cell r="L127">
            <v>6.7514280000000005E-4</v>
          </cell>
          <cell r="M127">
            <v>94.721249999999998</v>
          </cell>
          <cell r="N127">
            <v>9.4721249999999993E-2</v>
          </cell>
        </row>
        <row r="128">
          <cell r="A128" t="str">
            <v>906000008</v>
          </cell>
          <cell r="B128" t="str">
            <v>PASTEL DE PALMITO PERSONAL (UND)</v>
          </cell>
          <cell r="C128" t="str">
            <v>SE00128</v>
          </cell>
          <cell r="D128" t="str">
            <v>Pastel De Palmito Personal</v>
          </cell>
          <cell r="F128" t="str">
            <v>Estándar</v>
          </cell>
          <cell r="G128" t="str">
            <v>Unidad</v>
          </cell>
          <cell r="H128" t="str">
            <v>Unidades</v>
          </cell>
          <cell r="I128">
            <v>228.28973935609889</v>
          </cell>
          <cell r="J128">
            <v>228.28973935609889</v>
          </cell>
          <cell r="K128">
            <v>2.8091985910552068E-2</v>
          </cell>
          <cell r="L128">
            <v>2.8091985910552068E-2</v>
          </cell>
          <cell r="M128">
            <v>61.27994497178976</v>
          </cell>
          <cell r="N128">
            <v>61.27994497178976</v>
          </cell>
        </row>
        <row r="129">
          <cell r="A129" t="str">
            <v>95001</v>
          </cell>
          <cell r="B129" t="str">
            <v>PASTA DE HOJALDRE (31.2 Kg)</v>
          </cell>
          <cell r="C129" t="str">
            <v>SE00129</v>
          </cell>
          <cell r="D129" t="str">
            <v xml:space="preserve">Pasta De Hojaldre </v>
          </cell>
          <cell r="F129" t="str">
            <v>Estándar</v>
          </cell>
          <cell r="G129" t="str">
            <v>Peso</v>
          </cell>
          <cell r="H129" t="str">
            <v>Gramos</v>
          </cell>
          <cell r="I129">
            <v>733.17489005985431</v>
          </cell>
          <cell r="J129">
            <v>0.73317489005985426</v>
          </cell>
          <cell r="K129">
            <v>5.4084173722172425E-2</v>
          </cell>
          <cell r="L129">
            <v>5.4084173722172423E-5</v>
          </cell>
          <cell r="M129">
            <v>86.30315361485367</v>
          </cell>
          <cell r="N129">
            <v>8.6303153614853675E-2</v>
          </cell>
        </row>
        <row r="130">
          <cell r="A130" t="str">
            <v>905000007</v>
          </cell>
          <cell r="B130" t="str">
            <v>RELLENO PALMITO PASTEL (28.5 Kg)</v>
          </cell>
          <cell r="C130" t="str">
            <v>SE00130</v>
          </cell>
          <cell r="D130" t="str">
            <v xml:space="preserve">Relleno Palmito Pastel </v>
          </cell>
          <cell r="F130" t="str">
            <v>Estándar</v>
          </cell>
          <cell r="G130" t="str">
            <v>Peso</v>
          </cell>
          <cell r="H130" t="str">
            <v>Gramos</v>
          </cell>
          <cell r="I130">
            <v>2183.624439859891</v>
          </cell>
          <cell r="J130">
            <v>2.1836244398598912</v>
          </cell>
          <cell r="K130">
            <v>0.32408124999999999</v>
          </cell>
          <cell r="L130">
            <v>3.2408124999999997E-4</v>
          </cell>
          <cell r="M130">
            <v>92.329656249999999</v>
          </cell>
          <cell r="N130">
            <v>9.2329656250000003E-2</v>
          </cell>
        </row>
        <row r="131">
          <cell r="A131" t="str">
            <v>95614</v>
          </cell>
          <cell r="B131" t="str">
            <v>PRE MEZCLA PASTA HOJALDRE</v>
          </cell>
          <cell r="C131" t="str">
            <v>SE00131</v>
          </cell>
          <cell r="D131" t="str">
            <v>Premezcla Pasta Hojaldre</v>
          </cell>
          <cell r="F131" t="str">
            <v>Estándar</v>
          </cell>
          <cell r="G131" t="str">
            <v>Peso</v>
          </cell>
          <cell r="H131" t="str">
            <v>Gramos</v>
          </cell>
          <cell r="I131">
            <v>907.70548685659344</v>
          </cell>
          <cell r="J131">
            <v>0.90770548685659347</v>
          </cell>
          <cell r="K131">
            <v>7.2434046928552598E-2</v>
          </cell>
          <cell r="L131">
            <v>7.2434046928552601E-5</v>
          </cell>
          <cell r="M131">
            <v>11.540684945953071</v>
          </cell>
          <cell r="N131">
            <v>1.1540684945953072E-2</v>
          </cell>
        </row>
        <row r="132">
          <cell r="A132" t="str">
            <v>906000034</v>
          </cell>
          <cell r="B132" t="str">
            <v>PASTA FROLA (KILO)</v>
          </cell>
          <cell r="C132" t="str">
            <v>SE00132</v>
          </cell>
          <cell r="D132" t="str">
            <v>Pasta Frola</v>
          </cell>
          <cell r="F132" t="str">
            <v>Estándar</v>
          </cell>
          <cell r="G132" t="str">
            <v>Peso</v>
          </cell>
          <cell r="H132" t="str">
            <v>Gramos</v>
          </cell>
          <cell r="I132">
            <v>909.25485889625247</v>
          </cell>
          <cell r="J132">
            <v>0.90925485889625246</v>
          </cell>
          <cell r="K132">
            <v>6.4660048507903527</v>
          </cell>
          <cell r="L132">
            <v>6.4660048507903531E-3</v>
          </cell>
          <cell r="M132">
            <v>84.893243910500942</v>
          </cell>
          <cell r="N132">
            <v>8.4893243910500946E-2</v>
          </cell>
        </row>
        <row r="133">
          <cell r="A133" t="str">
            <v>909000003</v>
          </cell>
          <cell r="B133" t="str">
            <v>RELLENO POLLO P/PASTEL (KILO)</v>
          </cell>
          <cell r="C133" t="str">
            <v>SE00133</v>
          </cell>
          <cell r="D133" t="str">
            <v>Relleno Pollo P/Pastel</v>
          </cell>
          <cell r="F133" t="str">
            <v>Estándar</v>
          </cell>
          <cell r="G133" t="str">
            <v>Peso</v>
          </cell>
          <cell r="H133" t="str">
            <v>Gramos</v>
          </cell>
          <cell r="I133">
            <v>4014.1288317023468</v>
          </cell>
          <cell r="J133">
            <v>4.0141288317023465</v>
          </cell>
          <cell r="K133">
            <v>0.28434911104809152</v>
          </cell>
          <cell r="L133">
            <v>2.843491110480915E-4</v>
          </cell>
          <cell r="M133">
            <v>124.88809535262347</v>
          </cell>
          <cell r="N133">
            <v>0.12488809535262346</v>
          </cell>
        </row>
        <row r="134">
          <cell r="A134" t="str">
            <v>95615</v>
          </cell>
          <cell r="B134" t="str">
            <v>BASE PREMEZCLA PASTA FROLA KILO</v>
          </cell>
          <cell r="C134" t="str">
            <v>SE00134</v>
          </cell>
          <cell r="D134" t="str">
            <v>Premezcla Pasta Frola</v>
          </cell>
          <cell r="F134" t="str">
            <v>Estándar</v>
          </cell>
          <cell r="G134" t="str">
            <v>Peso</v>
          </cell>
          <cell r="H134" t="str">
            <v>Gramos</v>
          </cell>
          <cell r="I134">
            <v>893.92741001855302</v>
          </cell>
          <cell r="J134">
            <v>0.89392741001855303</v>
          </cell>
          <cell r="K134">
            <v>7.9697343228200372</v>
          </cell>
          <cell r="L134">
            <v>7.9697343228200372E-3</v>
          </cell>
          <cell r="M134">
            <v>8.1265640074211518</v>
          </cell>
          <cell r="N134">
            <v>8.1265640074211516E-3</v>
          </cell>
        </row>
        <row r="135">
          <cell r="A135" t="str">
            <v>908000046</v>
          </cell>
          <cell r="B135" t="str">
            <v>POLLO RECORTE COCCION KILO</v>
          </cell>
          <cell r="C135" t="str">
            <v>SE00135</v>
          </cell>
          <cell r="D135" t="str">
            <v xml:space="preserve">Cocción Pollo Recorte </v>
          </cell>
          <cell r="F135" t="str">
            <v>Estándar</v>
          </cell>
          <cell r="G135" t="str">
            <v>Peso</v>
          </cell>
          <cell r="H135" t="str">
            <v>Gramos</v>
          </cell>
          <cell r="I135">
            <v>5681.4589359603033</v>
          </cell>
          <cell r="J135">
            <v>5.6814589359603032</v>
          </cell>
          <cell r="K135">
            <v>5.6091392000000004E-2</v>
          </cell>
          <cell r="L135">
            <v>5.6091392000000001E-5</v>
          </cell>
          <cell r="M135">
            <v>75.409511999999992</v>
          </cell>
          <cell r="N135">
            <v>7.5409511999999998E-2</v>
          </cell>
        </row>
        <row r="136">
          <cell r="A136" t="str">
            <v>901000182</v>
          </cell>
          <cell r="B136" t="str">
            <v>Aderezo Culantro</v>
          </cell>
          <cell r="C136" t="str">
            <v>SE00136</v>
          </cell>
          <cell r="D136" t="str">
            <v>Aderezo Culantro Planta</v>
          </cell>
          <cell r="F136" t="str">
            <v>Estándar</v>
          </cell>
          <cell r="G136" t="str">
            <v>Peso</v>
          </cell>
          <cell r="H136" t="str">
            <v>Gramos</v>
          </cell>
          <cell r="I136">
            <v>1913.6989362292704</v>
          </cell>
          <cell r="J136">
            <v>1.9136989362292705</v>
          </cell>
          <cell r="K136">
            <v>1.5014094777183602</v>
          </cell>
          <cell r="L136">
            <v>1.5014094777183603E-3</v>
          </cell>
          <cell r="M136">
            <v>90.539130793226377</v>
          </cell>
          <cell r="N136">
            <v>9.0539130793226383E-2</v>
          </cell>
        </row>
        <row r="137">
          <cell r="A137" t="str">
            <v>95854</v>
          </cell>
          <cell r="B137" t="str">
            <v>Coccion Crema Ayote</v>
          </cell>
          <cell r="C137" t="str">
            <v>SE00137</v>
          </cell>
          <cell r="D137" t="str">
            <v>Coccion Crema Ayote</v>
          </cell>
          <cell r="F137" t="str">
            <v>Estándar</v>
          </cell>
          <cell r="G137" t="str">
            <v>Peso</v>
          </cell>
          <cell r="H137" t="str">
            <v>Gramos</v>
          </cell>
          <cell r="I137">
            <v>1434.1976327634002</v>
          </cell>
          <cell r="J137">
            <v>1.4341976327634003</v>
          </cell>
          <cell r="K137">
            <v>0.1849972943722944</v>
          </cell>
          <cell r="L137">
            <v>1.8499729437229439E-4</v>
          </cell>
          <cell r="M137">
            <v>58.718393398268397</v>
          </cell>
          <cell r="N137">
            <v>5.8718393398268398E-2</v>
          </cell>
        </row>
        <row r="138">
          <cell r="A138" t="str">
            <v>904000017</v>
          </cell>
          <cell r="B138" t="str">
            <v>ADEREZO ALCAPARRAS Y ANCHOAS (1200g)</v>
          </cell>
          <cell r="C138" t="str">
            <v>SE00138</v>
          </cell>
          <cell r="D138" t="str">
            <v>Aderezo Alcaparras Y Anchoas Planta</v>
          </cell>
          <cell r="F138" t="str">
            <v>Estándar</v>
          </cell>
          <cell r="G138" t="str">
            <v>Peso</v>
          </cell>
          <cell r="H138" t="str">
            <v>Gramos</v>
          </cell>
          <cell r="I138">
            <v>4384.5626328742846</v>
          </cell>
          <cell r="J138">
            <v>4.3845626328742844</v>
          </cell>
          <cell r="K138">
            <v>1.0292089839572192</v>
          </cell>
          <cell r="L138">
            <v>1.0292089839572191E-3</v>
          </cell>
          <cell r="M138">
            <v>233.55385479612298</v>
          </cell>
          <cell r="N138">
            <v>0.23355385479612298</v>
          </cell>
        </row>
        <row r="139">
          <cell r="A139" t="str">
            <v>95307</v>
          </cell>
          <cell r="B139" t="str">
            <v>Pollo Desmenuzado en Coccion 32000g</v>
          </cell>
          <cell r="C139" t="str">
            <v>SE00139</v>
          </cell>
          <cell r="D139" t="str">
            <v>Cocción Pollo Desmenuzado</v>
          </cell>
          <cell r="F139" t="str">
            <v>Estándar</v>
          </cell>
          <cell r="G139" t="str">
            <v>Peso</v>
          </cell>
          <cell r="H139" t="str">
            <v>Gramos</v>
          </cell>
          <cell r="I139">
            <v>5610.4651374999994</v>
          </cell>
          <cell r="J139">
            <v>5.6104651374999994</v>
          </cell>
          <cell r="K139">
            <v>1.0304</v>
          </cell>
          <cell r="L139">
            <v>1.0303999999999999E-3</v>
          </cell>
          <cell r="M139">
            <v>163.33525</v>
          </cell>
          <cell r="N139">
            <v>0.16333525000000002</v>
          </cell>
        </row>
        <row r="140">
          <cell r="A140" t="str">
            <v>908000050</v>
          </cell>
          <cell r="B140" t="str">
            <v>Queso parmesano laminado</v>
          </cell>
          <cell r="C140" t="str">
            <v>SE00140</v>
          </cell>
          <cell r="D140" t="str">
            <v>Queso parmesano laminado</v>
          </cell>
          <cell r="F140" t="str">
            <v>Estándar</v>
          </cell>
          <cell r="G140" t="str">
            <v>Peso</v>
          </cell>
          <cell r="H140" t="str">
            <v>Gramos</v>
          </cell>
          <cell r="I140">
            <v>11528.95205</v>
          </cell>
          <cell r="J140">
            <v>11.528952049999999</v>
          </cell>
          <cell r="K140">
            <v>5.8E-5</v>
          </cell>
          <cell r="L140">
            <v>5.8000000000000003E-8</v>
          </cell>
          <cell r="M140">
            <v>33.756</v>
          </cell>
          <cell r="N140">
            <v>3.3756000000000001E-2</v>
          </cell>
        </row>
        <row r="141">
          <cell r="A141" t="str">
            <v>95878</v>
          </cell>
          <cell r="B141" t="str">
            <v xml:space="preserve">Salsa De Limon y Alcaparras 1385g </v>
          </cell>
          <cell r="C141" t="str">
            <v>SE00141</v>
          </cell>
          <cell r="D141" t="str">
            <v>Salsa De Limon y Alcaparras Planta</v>
          </cell>
          <cell r="F141" t="str">
            <v>Estándar</v>
          </cell>
          <cell r="G141" t="str">
            <v>Peso</v>
          </cell>
          <cell r="H141" t="str">
            <v>Gramos</v>
          </cell>
          <cell r="I141">
            <v>1964.1083809590391</v>
          </cell>
          <cell r="J141">
            <v>1.9641083809590392</v>
          </cell>
          <cell r="K141">
            <v>0.24588399999999999</v>
          </cell>
          <cell r="L141">
            <v>2.4588399999999998E-4</v>
          </cell>
          <cell r="M141">
            <v>73.476333333333329</v>
          </cell>
          <cell r="N141">
            <v>7.3476333333333324E-2</v>
          </cell>
        </row>
        <row r="142">
          <cell r="A142" t="str">
            <v>908000057</v>
          </cell>
          <cell r="B142" t="str">
            <v>Fideo Chao ming 8750g</v>
          </cell>
          <cell r="C142" t="str">
            <v>SE00142</v>
          </cell>
          <cell r="D142" t="str">
            <v xml:space="preserve">Fideo Chaoming </v>
          </cell>
          <cell r="F142" t="str">
            <v>Estándar</v>
          </cell>
          <cell r="G142" t="str">
            <v>Peso</v>
          </cell>
          <cell r="H142" t="str">
            <v>Gramos</v>
          </cell>
          <cell r="I142">
            <v>4888.1839390330169</v>
          </cell>
          <cell r="J142">
            <v>4.8881839390330173</v>
          </cell>
          <cell r="K142">
            <v>0</v>
          </cell>
          <cell r="L142">
            <v>0</v>
          </cell>
          <cell r="M142">
            <v>298.23600000000005</v>
          </cell>
          <cell r="N142">
            <v>0.29823600000000006</v>
          </cell>
        </row>
        <row r="143">
          <cell r="A143" t="str">
            <v>90100297</v>
          </cell>
          <cell r="B143" t="str">
            <v>ARROZ CON POLLO SPOON</v>
          </cell>
          <cell r="C143" t="str">
            <v>SE00143</v>
          </cell>
          <cell r="D143" t="str">
            <v>Arroz con Pollo Spoon Planta</v>
          </cell>
          <cell r="F143" t="str">
            <v>Estándar</v>
          </cell>
          <cell r="G143" t="str">
            <v>Peso</v>
          </cell>
          <cell r="H143" t="str">
            <v>Gramos</v>
          </cell>
          <cell r="I143">
            <v>2380.1690143314381</v>
          </cell>
          <cell r="J143">
            <v>2.3801690143314382</v>
          </cell>
          <cell r="K143">
            <v>0.18808699106656127</v>
          </cell>
          <cell r="L143">
            <v>1.8808699106656127E-4</v>
          </cell>
          <cell r="M143">
            <v>173.86451550292492</v>
          </cell>
          <cell r="N143">
            <v>0.17386451550292492</v>
          </cell>
        </row>
        <row r="144">
          <cell r="A144" t="str">
            <v>90100296</v>
          </cell>
          <cell r="B144" t="str">
            <v>PECHUGA DESMENUZADA A MANO SPOON</v>
          </cell>
          <cell r="C144" t="str">
            <v>SE00144</v>
          </cell>
          <cell r="D144" t="str">
            <v>Pechuga desmenuzada a mano</v>
          </cell>
          <cell r="F144" t="str">
            <v>Estándar</v>
          </cell>
          <cell r="G144" t="str">
            <v>Peso</v>
          </cell>
          <cell r="H144" t="str">
            <v>Gramos</v>
          </cell>
          <cell r="I144">
            <v>5778.0437378716288</v>
          </cell>
          <cell r="J144">
            <v>5.7780437378716289</v>
          </cell>
          <cell r="K144">
            <v>5.7044945664E-2</v>
          </cell>
          <cell r="L144">
            <v>5.7044945664E-5</v>
          </cell>
          <cell r="M144">
            <v>153.83147370400002</v>
          </cell>
          <cell r="N144">
            <v>0.15383147370400002</v>
          </cell>
        </row>
        <row r="145">
          <cell r="A145" t="str">
            <v>90100295</v>
          </cell>
          <cell r="B145" t="str">
            <v>ARROZ AMARILLO SPOON</v>
          </cell>
          <cell r="C145" t="str">
            <v>SE00145</v>
          </cell>
          <cell r="D145" t="str">
            <v xml:space="preserve">Arroz amarillo </v>
          </cell>
          <cell r="F145" t="str">
            <v>Estándar</v>
          </cell>
          <cell r="G145" t="str">
            <v>Peso</v>
          </cell>
          <cell r="H145" t="str">
            <v>Gramos</v>
          </cell>
          <cell r="I145">
            <v>516.20375734880895</v>
          </cell>
          <cell r="J145">
            <v>0.51620375734880897</v>
          </cell>
          <cell r="K145">
            <v>1.2584691358024692E-2</v>
          </cell>
          <cell r="L145">
            <v>1.2584691358024691E-5</v>
          </cell>
          <cell r="M145">
            <v>134.02117283950616</v>
          </cell>
          <cell r="N145">
            <v>0.13402117283950615</v>
          </cell>
        </row>
        <row r="146">
          <cell r="A146" t="str">
            <v>901000081</v>
          </cell>
          <cell r="B146" t="str">
            <v>ADOBO PECHUGA PARRILLA  (41940g)</v>
          </cell>
          <cell r="C146" t="str">
            <v>SE00146</v>
          </cell>
          <cell r="D146" t="str">
            <v>Adobo Pechuga Parrilla</v>
          </cell>
          <cell r="F146" t="str">
            <v>Estándar</v>
          </cell>
          <cell r="G146" t="str">
            <v>Unidad</v>
          </cell>
          <cell r="H146" t="str">
            <v>Unidades</v>
          </cell>
          <cell r="I146">
            <v>551.4069809393668</v>
          </cell>
          <cell r="J146">
            <v>551.4069809393668</v>
          </cell>
          <cell r="K146">
            <v>3.798661596958175E-2</v>
          </cell>
          <cell r="L146">
            <v>3.798661596958175E-2</v>
          </cell>
          <cell r="M146">
            <v>20.957847908745247</v>
          </cell>
          <cell r="N146">
            <v>20.957847908745247</v>
          </cell>
        </row>
        <row r="147">
          <cell r="A147" t="str">
            <v>90100117</v>
          </cell>
          <cell r="B147" t="str">
            <v>RELLENO DE ESPINACA Y POLLO</v>
          </cell>
          <cell r="C147" t="str">
            <v>SE00147</v>
          </cell>
          <cell r="D147" t="str">
            <v>Relleno De Espinaca Y Pollo</v>
          </cell>
          <cell r="F147" t="str">
            <v>Estándar</v>
          </cell>
          <cell r="G147" t="str">
            <v>Peso</v>
          </cell>
          <cell r="H147" t="str">
            <v>Gramos</v>
          </cell>
          <cell r="I147">
            <v>4147.3057072715364</v>
          </cell>
          <cell r="J147">
            <v>4.1473057072715367</v>
          </cell>
          <cell r="K147">
            <v>0.87671332336196295</v>
          </cell>
          <cell r="L147">
            <v>8.7671332336196296E-4</v>
          </cell>
          <cell r="M147">
            <v>232.93420017218887</v>
          </cell>
          <cell r="N147">
            <v>0.23293420017218885</v>
          </cell>
        </row>
        <row r="148">
          <cell r="A148" t="str">
            <v>908000008</v>
          </cell>
          <cell r="B148" t="str">
            <v>ESPINACA SALTEADA (770g)</v>
          </cell>
          <cell r="C148" t="str">
            <v>SE00148</v>
          </cell>
          <cell r="D148" t="str">
            <v>Espinaca Salteada</v>
          </cell>
          <cell r="F148" t="str">
            <v>Estándar</v>
          </cell>
          <cell r="G148" t="str">
            <v>Peso</v>
          </cell>
          <cell r="H148" t="str">
            <v>Gramos</v>
          </cell>
          <cell r="I148">
            <v>4742.921537662337</v>
          </cell>
          <cell r="J148">
            <v>4.7429215376623368</v>
          </cell>
          <cell r="K148">
            <v>2.762805194805195E-2</v>
          </cell>
          <cell r="L148">
            <v>2.762805194805195E-5</v>
          </cell>
          <cell r="M148">
            <v>376.51038961038961</v>
          </cell>
          <cell r="N148">
            <v>0.37651038961038963</v>
          </cell>
        </row>
        <row r="149">
          <cell r="A149" t="str">
            <v>901000090</v>
          </cell>
          <cell r="B149" t="str">
            <v>Aderezo Rosado 37850g Spoon</v>
          </cell>
          <cell r="C149" t="str">
            <v>SE00149</v>
          </cell>
          <cell r="D149" t="str">
            <v>Aderezo Rosado Planta</v>
          </cell>
          <cell r="F149" t="str">
            <v>Estándar</v>
          </cell>
          <cell r="G149" t="str">
            <v>Peso</v>
          </cell>
          <cell r="H149" t="str">
            <v>Gramos</v>
          </cell>
          <cell r="I149">
            <v>982.30170025398354</v>
          </cell>
          <cell r="J149">
            <v>0.98230170025398356</v>
          </cell>
          <cell r="K149">
            <v>1.9347833389248521</v>
          </cell>
          <cell r="L149">
            <v>1.9347833389248522E-3</v>
          </cell>
          <cell r="M149">
            <v>53.066368511117368</v>
          </cell>
          <cell r="N149">
            <v>5.3066368511117366E-2</v>
          </cell>
        </row>
        <row r="150">
          <cell r="A150" t="str">
            <v>90100279</v>
          </cell>
          <cell r="B150" t="str">
            <v>Salsa de culanttro</v>
          </cell>
          <cell r="C150" t="str">
            <v>SE00150</v>
          </cell>
          <cell r="D150" t="str">
            <v>Salsa de Culantro Planta</v>
          </cell>
          <cell r="F150" t="str">
            <v>Estándar</v>
          </cell>
          <cell r="G150" t="str">
            <v>Peso</v>
          </cell>
          <cell r="H150" t="str">
            <v>Gramos</v>
          </cell>
          <cell r="I150">
            <v>1105.8425321518528</v>
          </cell>
          <cell r="J150">
            <v>1.1058425321518528</v>
          </cell>
          <cell r="K150">
            <v>0.42690719999999993</v>
          </cell>
          <cell r="L150">
            <v>4.2690719999999993E-4</v>
          </cell>
          <cell r="M150">
            <v>290.54520000000002</v>
          </cell>
          <cell r="N150">
            <v>0.2905452</v>
          </cell>
        </row>
        <row r="151">
          <cell r="A151" t="str">
            <v>90100280</v>
          </cell>
          <cell r="B151" t="str">
            <v>Salsa roja pomodoro</v>
          </cell>
          <cell r="C151" t="str">
            <v>SE00151</v>
          </cell>
          <cell r="D151" t="str">
            <v>Salsa roja pomodoro Planta</v>
          </cell>
          <cell r="F151" t="str">
            <v>Estándar</v>
          </cell>
          <cell r="G151" t="str">
            <v>Peso</v>
          </cell>
          <cell r="H151" t="str">
            <v>Gramos</v>
          </cell>
          <cell r="I151">
            <v>1022.710515969935</v>
          </cell>
          <cell r="J151">
            <v>1.022710515969935</v>
          </cell>
          <cell r="K151">
            <v>0.8964266666666667</v>
          </cell>
          <cell r="L151">
            <v>8.9642666666666672E-4</v>
          </cell>
          <cell r="M151">
            <v>13.197706666666667</v>
          </cell>
          <cell r="N151">
            <v>1.3197706666666666E-2</v>
          </cell>
        </row>
        <row r="152">
          <cell r="A152" t="str">
            <v>90100294</v>
          </cell>
          <cell r="B152" t="str">
            <v>ADEREZO ORIENTAL</v>
          </cell>
          <cell r="C152" t="str">
            <v>SE00152</v>
          </cell>
          <cell r="D152" t="str">
            <v>Aderezo Oriental Planta</v>
          </cell>
          <cell r="F152" t="str">
            <v>Estándar</v>
          </cell>
          <cell r="G152" t="str">
            <v>Peso</v>
          </cell>
          <cell r="H152" t="str">
            <v>Gramos</v>
          </cell>
          <cell r="I152">
            <v>5080.8271005781617</v>
          </cell>
          <cell r="J152">
            <v>5.080827100578162</v>
          </cell>
          <cell r="K152">
            <v>8.8666666666666679E-4</v>
          </cell>
          <cell r="L152">
            <v>8.8666666666666682E-7</v>
          </cell>
          <cell r="M152">
            <v>120.81400000000001</v>
          </cell>
          <cell r="N152">
            <v>0.120814</v>
          </cell>
        </row>
        <row r="153">
          <cell r="A153" t="str">
            <v>90100299</v>
          </cell>
          <cell r="B153" t="str">
            <v>Relleno de pollo enchilada mexicana</v>
          </cell>
          <cell r="C153" t="str">
            <v>SE00153</v>
          </cell>
          <cell r="D153" t="str">
            <v>Relleno de pollo enchilada mexicana</v>
          </cell>
          <cell r="F153" t="str">
            <v>Estándar</v>
          </cell>
          <cell r="G153" t="str">
            <v>Peso</v>
          </cell>
          <cell r="H153" t="str">
            <v>Gramos</v>
          </cell>
          <cell r="I153">
            <v>4075.6057317693658</v>
          </cell>
          <cell r="J153">
            <v>4.0756057317693655</v>
          </cell>
          <cell r="K153">
            <v>0.66127127272727271</v>
          </cell>
          <cell r="L153">
            <v>6.6127127272727268E-4</v>
          </cell>
          <cell r="M153">
            <v>385.81518272727271</v>
          </cell>
          <cell r="N153">
            <v>0.38581518272727272</v>
          </cell>
        </row>
        <row r="154">
          <cell r="A154" t="str">
            <v>90100298</v>
          </cell>
          <cell r="B154" t="str">
            <v>Salsa roja mexicana</v>
          </cell>
          <cell r="C154" t="str">
            <v>SE00154</v>
          </cell>
          <cell r="D154" t="str">
            <v>Salsa roja mexicana Planta</v>
          </cell>
          <cell r="F154" t="str">
            <v>Estándar</v>
          </cell>
          <cell r="G154" t="str">
            <v>Peso</v>
          </cell>
          <cell r="H154" t="str">
            <v>Gramos</v>
          </cell>
          <cell r="I154">
            <v>1103.8764396511051</v>
          </cell>
          <cell r="J154">
            <v>1.1038764396511052</v>
          </cell>
          <cell r="K154">
            <v>6.5659259259259264E-2</v>
          </cell>
          <cell r="L154">
            <v>6.565925925925926E-5</v>
          </cell>
          <cell r="M154">
            <v>393.23177621481483</v>
          </cell>
          <cell r="N154">
            <v>0.39323177621481481</v>
          </cell>
        </row>
        <row r="155">
          <cell r="A155" t="str">
            <v>904000007</v>
          </cell>
          <cell r="B155" t="str">
            <v>Salsa para pechugas rellenas</v>
          </cell>
          <cell r="C155" t="str">
            <v>SE00155</v>
          </cell>
          <cell r="D155" t="str">
            <v>Salsa para pechugas rellenas Planta</v>
          </cell>
          <cell r="F155" t="str">
            <v>Estándar</v>
          </cell>
          <cell r="G155" t="str">
            <v>Peso</v>
          </cell>
          <cell r="H155" t="str">
            <v>Gramos</v>
          </cell>
          <cell r="I155">
            <v>2412.5199414038016</v>
          </cell>
          <cell r="J155">
            <v>2.4125199414038017</v>
          </cell>
          <cell r="K155">
            <v>4.3332923076923067E-2</v>
          </cell>
          <cell r="L155">
            <v>4.3332923076923069E-5</v>
          </cell>
          <cell r="M155">
            <v>111.42023076923077</v>
          </cell>
          <cell r="N155">
            <v>0.11142023076923077</v>
          </cell>
        </row>
        <row r="156">
          <cell r="A156" t="str">
            <v>90100321</v>
          </cell>
          <cell r="B156" t="str">
            <v>Chili con carne</v>
          </cell>
          <cell r="C156" t="str">
            <v>SE00156</v>
          </cell>
          <cell r="D156" t="str">
            <v>Chili con Carne Planta</v>
          </cell>
          <cell r="F156" t="str">
            <v>Estándar</v>
          </cell>
          <cell r="G156" t="str">
            <v>Peso</v>
          </cell>
          <cell r="H156" t="str">
            <v>Gramos</v>
          </cell>
          <cell r="I156">
            <v>2312.6745427220608</v>
          </cell>
          <cell r="J156">
            <v>2.312674542722061</v>
          </cell>
          <cell r="K156">
            <v>0.18294962758620689</v>
          </cell>
          <cell r="L156">
            <v>1.8294962758620689E-4</v>
          </cell>
          <cell r="M156">
            <v>191.90112000000002</v>
          </cell>
          <cell r="N156">
            <v>0.19190112000000001</v>
          </cell>
        </row>
        <row r="157">
          <cell r="A157" t="str">
            <v>90100320</v>
          </cell>
          <cell r="B157" t="str">
            <v>COCCION DE FRIJOLES ROJOS</v>
          </cell>
          <cell r="C157" t="str">
            <v>SE00157</v>
          </cell>
          <cell r="D157" t="str">
            <v>Coccion De Frijoles Rojos</v>
          </cell>
          <cell r="F157" t="str">
            <v>Estándar</v>
          </cell>
          <cell r="G157" t="str">
            <v>Peso</v>
          </cell>
          <cell r="H157" t="str">
            <v>Gramos</v>
          </cell>
          <cell r="I157">
            <v>345.19396551724139</v>
          </cell>
          <cell r="J157">
            <v>0.34519396551724141</v>
          </cell>
          <cell r="K157">
            <v>3.6689655172413797E-4</v>
          </cell>
          <cell r="L157">
            <v>3.6689655172413796E-7</v>
          </cell>
          <cell r="M157">
            <v>49.996000000000002</v>
          </cell>
          <cell r="N157">
            <v>4.9995999999999999E-2</v>
          </cell>
        </row>
        <row r="158">
          <cell r="A158" t="str">
            <v>90100323</v>
          </cell>
          <cell r="B158" t="str">
            <v>PICADILLO DE CHAYOTE SPOON</v>
          </cell>
          <cell r="C158" t="str">
            <v>SE00158</v>
          </cell>
          <cell r="D158" t="str">
            <v>Picadillo de chayote Planta</v>
          </cell>
          <cell r="F158" t="str">
            <v>Estándar</v>
          </cell>
          <cell r="G158" t="str">
            <v>Peso</v>
          </cell>
          <cell r="H158" t="str">
            <v>Gramos</v>
          </cell>
          <cell r="I158">
            <v>1720.7274941178496</v>
          </cell>
          <cell r="J158">
            <v>1.7207274941178496</v>
          </cell>
          <cell r="K158">
            <v>4.1550000000000004E-2</v>
          </cell>
          <cell r="L158">
            <v>4.155E-5</v>
          </cell>
          <cell r="M158">
            <v>84.81593749999999</v>
          </cell>
          <cell r="N158">
            <v>8.4815937499999994E-2</v>
          </cell>
        </row>
        <row r="159">
          <cell r="A159" t="str">
            <v>90100324</v>
          </cell>
          <cell r="B159" t="str">
            <v xml:space="preserve">EXTRACTO DE TE SPOON </v>
          </cell>
          <cell r="C159" t="str">
            <v>SE00159</v>
          </cell>
          <cell r="D159" t="str">
            <v>Extracto De Te Spoon Planta</v>
          </cell>
          <cell r="F159" t="str">
            <v>Estándar</v>
          </cell>
          <cell r="G159" t="str">
            <v>Peso</v>
          </cell>
          <cell r="H159" t="str">
            <v>Gramos</v>
          </cell>
          <cell r="I159">
            <v>120.87376764705881</v>
          </cell>
          <cell r="J159">
            <v>0.12087376764705882</v>
          </cell>
          <cell r="K159">
            <v>0</v>
          </cell>
          <cell r="L159">
            <v>0</v>
          </cell>
          <cell r="M159">
            <v>72.5</v>
          </cell>
          <cell r="N159">
            <v>7.2499999999999995E-2</v>
          </cell>
        </row>
        <row r="160">
          <cell r="A160" t="str">
            <v>903000036</v>
          </cell>
          <cell r="B160" t="str">
            <v>ROSQUETE TURRON DE ALMENDRA</v>
          </cell>
          <cell r="C160" t="str">
            <v>SE00160</v>
          </cell>
          <cell r="D160" t="str">
            <v>Rosquete Turron De Almendra</v>
          </cell>
          <cell r="F160" t="str">
            <v>Estándar</v>
          </cell>
          <cell r="G160" t="str">
            <v>Unidad</v>
          </cell>
          <cell r="H160" t="str">
            <v>Unidades</v>
          </cell>
          <cell r="I160">
            <v>725.77326968042064</v>
          </cell>
          <cell r="J160">
            <v>725.77326968042064</v>
          </cell>
          <cell r="K160">
            <v>12.856254306812129</v>
          </cell>
          <cell r="L160">
            <v>12.856254306812129</v>
          </cell>
          <cell r="M160">
            <v>72.503481706697229</v>
          </cell>
          <cell r="N160">
            <v>72.503481706697229</v>
          </cell>
        </row>
        <row r="161">
          <cell r="A161" t="str">
            <v>902000010</v>
          </cell>
          <cell r="B161" t="str">
            <v>BATIDO TURRON DE ALMENDRAS</v>
          </cell>
          <cell r="C161" t="str">
            <v>SE00161</v>
          </cell>
          <cell r="D161" t="str">
            <v>Batido Turron De Almendras</v>
          </cell>
          <cell r="F161" t="str">
            <v>Estándar</v>
          </cell>
          <cell r="G161" t="str">
            <v>Peso</v>
          </cell>
          <cell r="H161" t="str">
            <v>Gramos</v>
          </cell>
          <cell r="I161">
            <v>2110.4197244713614</v>
          </cell>
          <cell r="J161">
            <v>2.1104197244713614</v>
          </cell>
          <cell r="K161">
            <v>23.379478090599999</v>
          </cell>
          <cell r="L161">
            <v>2.3379478090599998E-2</v>
          </cell>
          <cell r="M161">
            <v>177.865503645611</v>
          </cell>
          <cell r="N161">
            <v>0.17786550364561099</v>
          </cell>
        </row>
        <row r="162">
          <cell r="A162" t="str">
            <v>901000011</v>
          </cell>
          <cell r="B162" t="str">
            <v>PREMEZCLA PARA TURRON DE ALMENDRAS</v>
          </cell>
          <cell r="C162" t="str">
            <v>SE00162</v>
          </cell>
          <cell r="D162" t="str">
            <v>Premezcla Para Turron De Almendras</v>
          </cell>
          <cell r="F162" t="str">
            <v>Estándar</v>
          </cell>
          <cell r="G162" t="str">
            <v>Peso</v>
          </cell>
          <cell r="H162" t="str">
            <v>Gramos</v>
          </cell>
          <cell r="I162">
            <v>1717.23302659775</v>
          </cell>
          <cell r="J162">
            <v>1.71723302659775</v>
          </cell>
          <cell r="K162">
            <v>33.782932000000002</v>
          </cell>
          <cell r="L162">
            <v>3.3782932000000002E-2</v>
          </cell>
          <cell r="M162">
            <v>115.37533942000002</v>
          </cell>
          <cell r="N162">
            <v>0.11537533942000001</v>
          </cell>
        </row>
        <row r="163">
          <cell r="A163" t="str">
            <v>90100343</v>
          </cell>
          <cell r="B163" t="str">
            <v>ALMENDRA TOSTADA PROCESADA</v>
          </cell>
          <cell r="C163" t="str">
            <v>SE00163</v>
          </cell>
          <cell r="D163" t="str">
            <v>Almendra Entera Tostada Procesada</v>
          </cell>
          <cell r="F163" t="str">
            <v>Estándar</v>
          </cell>
          <cell r="G163" t="str">
            <v>Peso</v>
          </cell>
          <cell r="H163" t="str">
            <v>Gramos</v>
          </cell>
          <cell r="I163">
            <v>4915.4829749999999</v>
          </cell>
          <cell r="J163">
            <v>4.9154829749999998</v>
          </cell>
          <cell r="K163">
            <v>0</v>
          </cell>
          <cell r="L163">
            <v>0</v>
          </cell>
          <cell r="M163">
            <v>305.25400000000002</v>
          </cell>
          <cell r="N163">
            <v>0.30525400000000003</v>
          </cell>
        </row>
        <row r="164">
          <cell r="A164" t="str">
            <v>905000094</v>
          </cell>
          <cell r="B164" t="str">
            <v>ENSAMBLE MEDIA TORTA CHOCOLATE</v>
          </cell>
          <cell r="C164" t="str">
            <v>SE00164</v>
          </cell>
          <cell r="D164" t="str">
            <v>Ensamble Media Torta Chocolate</v>
          </cell>
          <cell r="F164" t="str">
            <v>Estándar</v>
          </cell>
          <cell r="G164" t="str">
            <v>Unidad</v>
          </cell>
          <cell r="H164" t="str">
            <v>Unidades</v>
          </cell>
          <cell r="I164">
            <v>2031.5211139391331</v>
          </cell>
          <cell r="J164">
            <v>2031.5211139391331</v>
          </cell>
          <cell r="K164">
            <v>10.217165395933486</v>
          </cell>
          <cell r="L164">
            <v>10.217165395933486</v>
          </cell>
          <cell r="M164">
            <v>335.9367248569863</v>
          </cell>
          <cell r="N164">
            <v>335.9367248569863</v>
          </cell>
        </row>
        <row r="165">
          <cell r="A165" t="str">
            <v>905000095</v>
          </cell>
          <cell r="B165" t="str">
            <v>ENSAMBLE MEDIA TORTA MELOCOTON</v>
          </cell>
          <cell r="C165" t="str">
            <v>SE00165</v>
          </cell>
          <cell r="D165" t="str">
            <v>Ensamble Media Torta Melocoton</v>
          </cell>
          <cell r="F165" t="str">
            <v>Estándar</v>
          </cell>
          <cell r="G165" t="str">
            <v>Unidad</v>
          </cell>
          <cell r="H165" t="str">
            <v>Unidades</v>
          </cell>
          <cell r="I165">
            <v>2335.4125373865718</v>
          </cell>
          <cell r="J165">
            <v>2335.4125373865718</v>
          </cell>
          <cell r="K165">
            <v>16.121452021790482</v>
          </cell>
          <cell r="L165">
            <v>16.121452021790482</v>
          </cell>
          <cell r="M165">
            <v>299.62633530986801</v>
          </cell>
          <cell r="N165">
            <v>299.62633530986801</v>
          </cell>
        </row>
        <row r="166">
          <cell r="A166" t="str">
            <v>907000220</v>
          </cell>
          <cell r="B166" t="str">
            <v>ENSAMBLE BROWNIE CHOCOMENTA</v>
          </cell>
          <cell r="C166" t="str">
            <v>SE00166</v>
          </cell>
          <cell r="D166" t="str">
            <v>Ensamble Brownie Chocomenta</v>
          </cell>
          <cell r="F166" t="str">
            <v>Estándar</v>
          </cell>
          <cell r="G166" t="str">
            <v>Unidad</v>
          </cell>
          <cell r="H166" t="str">
            <v>Unidades</v>
          </cell>
          <cell r="I166">
            <v>4133.8181870358385</v>
          </cell>
          <cell r="J166">
            <v>4133.8181870358385</v>
          </cell>
          <cell r="K166">
            <v>62.536712156296296</v>
          </cell>
          <cell r="L166">
            <v>62.536712156296296</v>
          </cell>
          <cell r="M166">
            <v>748.74963700000001</v>
          </cell>
          <cell r="N166">
            <v>748.74963700000001</v>
          </cell>
        </row>
        <row r="167">
          <cell r="A167" t="str">
            <v>907000219</v>
          </cell>
          <cell r="B167" t="str">
            <v>ROSQUETE BROWNIE MENTA 1000g</v>
          </cell>
          <cell r="C167" t="str">
            <v>SE00167</v>
          </cell>
          <cell r="D167" t="str">
            <v xml:space="preserve">Rosquete Brownie Menta </v>
          </cell>
          <cell r="F167" t="str">
            <v>Estándar</v>
          </cell>
          <cell r="G167" t="str">
            <v>Unidad</v>
          </cell>
          <cell r="H167" t="str">
            <v>Unidades</v>
          </cell>
          <cell r="I167">
            <v>1443.9280483167756</v>
          </cell>
          <cell r="J167">
            <v>1443.9280483167756</v>
          </cell>
          <cell r="K167">
            <v>59.47761586</v>
          </cell>
          <cell r="L167">
            <v>59.47761586</v>
          </cell>
          <cell r="M167">
            <v>126.81563700000001</v>
          </cell>
          <cell r="N167">
            <v>126.81563700000001</v>
          </cell>
        </row>
        <row r="168">
          <cell r="A168" t="str">
            <v>907000217</v>
          </cell>
          <cell r="B168" t="str">
            <v>RELLENO DE CHOCOMENTA</v>
          </cell>
          <cell r="C168" t="str">
            <v>SE00168</v>
          </cell>
          <cell r="D168" t="str">
            <v>Relleno De Chocomenta</v>
          </cell>
          <cell r="F168" t="str">
            <v>Estándar</v>
          </cell>
          <cell r="G168" t="str">
            <v>Peso</v>
          </cell>
          <cell r="H168" t="str">
            <v>Gramos</v>
          </cell>
          <cell r="I168">
            <v>2689.8901387190626</v>
          </cell>
          <cell r="J168">
            <v>2.6898901387190626</v>
          </cell>
          <cell r="K168">
            <v>3.0590962962962966</v>
          </cell>
          <cell r="L168">
            <v>3.0590962962962968E-3</v>
          </cell>
          <cell r="M168">
            <v>331.93399999999997</v>
          </cell>
          <cell r="N168">
            <v>0.33193399999999995</v>
          </cell>
        </row>
        <row r="169">
          <cell r="A169" t="str">
            <v>902000014</v>
          </cell>
          <cell r="B169" t="str">
            <v>BATIDO BROWNIE CASERO (KILO)</v>
          </cell>
          <cell r="C169" t="str">
            <v>SE00169</v>
          </cell>
          <cell r="D169" t="str">
            <v>Batido Brownie Casero</v>
          </cell>
          <cell r="F169" t="str">
            <v>Estándar</v>
          </cell>
          <cell r="G169" t="str">
            <v>Peso</v>
          </cell>
          <cell r="H169" t="str">
            <v>Gramos</v>
          </cell>
          <cell r="I169">
            <v>1371.5886600814815</v>
          </cell>
          <cell r="J169">
            <v>1.3715886600814815</v>
          </cell>
          <cell r="K169">
            <v>13.35261586</v>
          </cell>
          <cell r="L169">
            <v>1.335261586E-2</v>
          </cell>
          <cell r="M169">
            <v>54.315637000000009</v>
          </cell>
          <cell r="N169">
            <v>5.4315637000000007E-2</v>
          </cell>
        </row>
        <row r="170">
          <cell r="A170" t="str">
            <v>95361</v>
          </cell>
          <cell r="B170" t="str">
            <v>PREMEZCLA PARA BROWNIE CASERO</v>
          </cell>
          <cell r="C170" t="str">
            <v>SE00170</v>
          </cell>
          <cell r="D170" t="str">
            <v>Premezcla Para Brownie Casero</v>
          </cell>
          <cell r="F170" t="str">
            <v>Estándar</v>
          </cell>
          <cell r="G170" t="str">
            <v>Peso</v>
          </cell>
          <cell r="H170" t="str">
            <v>Gramos</v>
          </cell>
          <cell r="I170">
            <v>829.04900877598152</v>
          </cell>
          <cell r="J170">
            <v>0.82904900877598153</v>
          </cell>
          <cell r="K170">
            <v>11.727442133109387</v>
          </cell>
          <cell r="L170">
            <v>1.1727442133109386E-2</v>
          </cell>
          <cell r="M170">
            <v>30.392000000000003</v>
          </cell>
          <cell r="N170">
            <v>3.0392000000000002E-2</v>
          </cell>
        </row>
        <row r="171">
          <cell r="A171" t="str">
            <v>907000222</v>
          </cell>
          <cell r="B171" t="str">
            <v>PLANCHA BROWNIE BLONDIE</v>
          </cell>
          <cell r="C171" t="str">
            <v>SE00171</v>
          </cell>
          <cell r="D171" t="str">
            <v>Plancha Brownie Blondie</v>
          </cell>
          <cell r="F171" t="str">
            <v>Estándar</v>
          </cell>
          <cell r="G171" t="str">
            <v>Unidad</v>
          </cell>
          <cell r="H171" t="str">
            <v>Unidades</v>
          </cell>
          <cell r="I171">
            <v>4283.3686786009239</v>
          </cell>
          <cell r="J171">
            <v>4283.3686786009239</v>
          </cell>
          <cell r="K171">
            <v>77.52022524695775</v>
          </cell>
          <cell r="L171">
            <v>77.52022524695775</v>
          </cell>
          <cell r="M171">
            <v>178.05583641200002</v>
          </cell>
          <cell r="N171">
            <v>178.05583641200002</v>
          </cell>
        </row>
        <row r="172">
          <cell r="A172" t="str">
            <v>907000221</v>
          </cell>
          <cell r="B172" t="str">
            <v>BATIDO BROWNIE BLONDIE SPOON</v>
          </cell>
          <cell r="C172" t="str">
            <v>SE00172</v>
          </cell>
          <cell r="D172" t="str">
            <v>Batido Brownie Blondie Spoon</v>
          </cell>
          <cell r="F172" t="str">
            <v>Estándar</v>
          </cell>
          <cell r="G172" t="str">
            <v>Peso</v>
          </cell>
          <cell r="H172" t="str">
            <v>Gramos</v>
          </cell>
          <cell r="I172">
            <v>2105.3624360324879</v>
          </cell>
          <cell r="J172">
            <v>2.1053624360324878</v>
          </cell>
          <cell r="K172">
            <v>13.143779290145538</v>
          </cell>
          <cell r="L172">
            <v>1.3143779290145537E-2</v>
          </cell>
          <cell r="M172">
            <v>40.887918206000002</v>
          </cell>
          <cell r="N172">
            <v>4.0887918206000004E-2</v>
          </cell>
        </row>
        <row r="173">
          <cell r="A173" t="str">
            <v>907000223</v>
          </cell>
          <cell r="B173" t="str">
            <v>PREMEZCLA BROWNIE BLONDIE</v>
          </cell>
          <cell r="C173" t="str">
            <v>SE00173</v>
          </cell>
          <cell r="D173" t="str">
            <v>Premezcla Brownie Blondie</v>
          </cell>
          <cell r="F173" t="str">
            <v>Estándar</v>
          </cell>
          <cell r="G173" t="str">
            <v>Peso</v>
          </cell>
          <cell r="H173" t="str">
            <v>Gramos</v>
          </cell>
          <cell r="I173">
            <v>1103.3708806799998</v>
          </cell>
          <cell r="J173">
            <v>1.1033708806799998</v>
          </cell>
          <cell r="K173">
            <v>21.16175764380792</v>
          </cell>
          <cell r="L173">
            <v>2.116175764380792E-2</v>
          </cell>
          <cell r="M173">
            <v>35.014600000000002</v>
          </cell>
          <cell r="N173">
            <v>3.50146E-2</v>
          </cell>
        </row>
        <row r="174">
          <cell r="A174" t="str">
            <v>907000313</v>
          </cell>
          <cell r="B174" t="str">
            <v>Rosquete Nucleo Kalua Dawn 380g</v>
          </cell>
          <cell r="C174" t="str">
            <v>SE00174</v>
          </cell>
          <cell r="D174" t="str">
            <v>Rosquete Nucleo Kalua Dawn 380g</v>
          </cell>
          <cell r="F174" t="str">
            <v>Estándar</v>
          </cell>
          <cell r="G174" t="str">
            <v>Unidad</v>
          </cell>
          <cell r="H174" t="str">
            <v>Unidades</v>
          </cell>
          <cell r="I174">
            <v>971.02821299917844</v>
          </cell>
          <cell r="J174">
            <v>971.02821299917844</v>
          </cell>
          <cell r="K174">
            <v>9.0980969688516833</v>
          </cell>
          <cell r="L174">
            <v>9.0980969688516833</v>
          </cell>
          <cell r="M174">
            <v>33.941818666263998</v>
          </cell>
          <cell r="N174">
            <v>33.941818666263998</v>
          </cell>
        </row>
        <row r="175">
          <cell r="A175" t="str">
            <v>903000128</v>
          </cell>
          <cell r="B175" t="str">
            <v>SOMBRERO PALMITO 65g UND</v>
          </cell>
          <cell r="C175" t="str">
            <v>SE00175</v>
          </cell>
          <cell r="D175" t="str">
            <v>Sombrero Palmito 65 grs</v>
          </cell>
          <cell r="F175" t="str">
            <v>Estándar</v>
          </cell>
          <cell r="G175" t="str">
            <v>Unidad</v>
          </cell>
          <cell r="H175" t="str">
            <v>Unidades</v>
          </cell>
          <cell r="I175">
            <v>94.24396623602567</v>
          </cell>
          <cell r="J175">
            <v>94.24396623602567</v>
          </cell>
          <cell r="K175">
            <v>1.1367422252816142</v>
          </cell>
          <cell r="L175">
            <v>1.1367422252816142</v>
          </cell>
          <cell r="M175">
            <v>38.183971162670041</v>
          </cell>
          <cell r="N175">
            <v>38.183971162670041</v>
          </cell>
        </row>
        <row r="176">
          <cell r="A176" t="str">
            <v>903000180</v>
          </cell>
          <cell r="B176" t="str">
            <v>CIRCULOS DE CHILENA INDIVIDUAL 14 CM</v>
          </cell>
          <cell r="C176" t="str">
            <v>SE00176</v>
          </cell>
          <cell r="D176" t="str">
            <v>Circulos De Chilena Individual 14 Cm</v>
          </cell>
          <cell r="F176" t="str">
            <v>Estándar</v>
          </cell>
          <cell r="G176" t="str">
            <v>Unidad</v>
          </cell>
          <cell r="H176" t="str">
            <v>Unidades</v>
          </cell>
          <cell r="I176">
            <v>73.503566425979685</v>
          </cell>
          <cell r="J176">
            <v>73.503566425979685</v>
          </cell>
          <cell r="K176">
            <v>0.27464962802244519</v>
          </cell>
          <cell r="L176">
            <v>0.27464962802244519</v>
          </cell>
          <cell r="M176">
            <v>16.403842412718401</v>
          </cell>
          <cell r="N176">
            <v>16.403842412718401</v>
          </cell>
        </row>
        <row r="177">
          <cell r="A177" t="str">
            <v>906000035</v>
          </cell>
          <cell r="B177" t="str">
            <v>PASTA TORTA CHILENA SPOON KILO</v>
          </cell>
          <cell r="C177" t="str">
            <v>SE00177</v>
          </cell>
          <cell r="D177" t="str">
            <v>Pasta Alfajor/ Chilena Spoon</v>
          </cell>
          <cell r="F177" t="str">
            <v>Estándar</v>
          </cell>
          <cell r="G177" t="str">
            <v>Peso</v>
          </cell>
          <cell r="H177" t="str">
            <v>Gramos</v>
          </cell>
          <cell r="I177">
            <v>1075.6070140711024</v>
          </cell>
          <cell r="J177">
            <v>1.0756070140711025</v>
          </cell>
          <cell r="K177">
            <v>4.1201564359802756</v>
          </cell>
          <cell r="L177">
            <v>4.120156435980276E-3</v>
          </cell>
          <cell r="M177">
            <v>28.560492240000002</v>
          </cell>
          <cell r="N177">
            <v>2.8560492240000002E-2</v>
          </cell>
        </row>
        <row r="178">
          <cell r="A178" t="str">
            <v>901000014</v>
          </cell>
          <cell r="B178" t="str">
            <v>PREMEZCLA P/PASTA CHILENA SPOON</v>
          </cell>
          <cell r="C178" t="str">
            <v>SE00178</v>
          </cell>
          <cell r="D178" t="str">
            <v>Premezcla P/Pasta Chilena Spoon</v>
          </cell>
          <cell r="F178" t="str">
            <v>Estándar</v>
          </cell>
          <cell r="G178" t="str">
            <v>Peso</v>
          </cell>
          <cell r="H178" t="str">
            <v>Gramos</v>
          </cell>
          <cell r="I178">
            <v>1065.3688197136541</v>
          </cell>
          <cell r="J178">
            <v>1.0653688197136542</v>
          </cell>
          <cell r="K178">
            <v>4.080938615881653</v>
          </cell>
          <cell r="L178">
            <v>4.0809386158816531E-3</v>
          </cell>
          <cell r="M178">
            <v>8.5839999999999996</v>
          </cell>
          <cell r="N178">
            <v>8.5839999999999996E-3</v>
          </cell>
        </row>
        <row r="179">
          <cell r="A179" t="str">
            <v>903000127</v>
          </cell>
          <cell r="B179" t="str">
            <v>Enchilada de Carne con Papa</v>
          </cell>
          <cell r="C179" t="str">
            <v>SE00179</v>
          </cell>
          <cell r="D179" t="str">
            <v>Enchilada De Carne Con Papa</v>
          </cell>
          <cell r="F179" t="str">
            <v>Estándar</v>
          </cell>
          <cell r="G179" t="str">
            <v>Unidad</v>
          </cell>
          <cell r="H179" t="str">
            <v>Unidades</v>
          </cell>
          <cell r="I179">
            <v>151.06448731443913</v>
          </cell>
          <cell r="J179">
            <v>151.06448731443913</v>
          </cell>
          <cell r="K179">
            <v>0.72901669502507738</v>
          </cell>
          <cell r="L179">
            <v>0.72901669502507738</v>
          </cell>
          <cell r="M179">
            <v>23.070488049356051</v>
          </cell>
          <cell r="N179">
            <v>23.070488049356051</v>
          </cell>
        </row>
        <row r="180">
          <cell r="A180" t="str">
            <v>903000155</v>
          </cell>
          <cell r="B180" t="str">
            <v>CUADRO HOJALDRE ENCHILADA PAPA Y CARNE</v>
          </cell>
          <cell r="C180" t="str">
            <v>SE00180</v>
          </cell>
          <cell r="D180" t="str">
            <v>Cuadro Hojaldre Enchilada Papa Y Carne</v>
          </cell>
          <cell r="F180" t="str">
            <v>Estándar</v>
          </cell>
          <cell r="G180" t="str">
            <v>Unidad</v>
          </cell>
          <cell r="H180" t="str">
            <v>Unidades</v>
          </cell>
          <cell r="I180">
            <v>29.764956002394172</v>
          </cell>
          <cell r="J180">
            <v>29.764956002394172</v>
          </cell>
          <cell r="K180">
            <v>2.1633669488868969E-3</v>
          </cell>
          <cell r="L180">
            <v>2.1633669488868969E-3</v>
          </cell>
          <cell r="M180">
            <v>13.080126144594146</v>
          </cell>
          <cell r="N180">
            <v>13.080126144594146</v>
          </cell>
        </row>
        <row r="181">
          <cell r="A181" t="str">
            <v>905000073</v>
          </cell>
          <cell r="B181" t="str">
            <v>RELLENO PAPA C/CARNE  ENCHILADA KILO</v>
          </cell>
          <cell r="C181" t="str">
            <v>SE00181</v>
          </cell>
          <cell r="D181" t="str">
            <v xml:space="preserve">Relleno Papa C/Carne  Enchilada </v>
          </cell>
          <cell r="F181" t="str">
            <v>Estándar</v>
          </cell>
          <cell r="G181" t="str">
            <v>Peso</v>
          </cell>
          <cell r="H181" t="str">
            <v>Gramos</v>
          </cell>
          <cell r="I181">
            <v>3010.7646817506998</v>
          </cell>
          <cell r="J181">
            <v>3.0107646817506999</v>
          </cell>
          <cell r="K181">
            <v>6.3314285714285712E-3</v>
          </cell>
          <cell r="L181">
            <v>6.3314285714285712E-6</v>
          </cell>
          <cell r="M181">
            <v>177.21071428571429</v>
          </cell>
          <cell r="N181">
            <v>0.17721071428571428</v>
          </cell>
        </row>
        <row r="182">
          <cell r="A182" t="str">
            <v>95460</v>
          </cell>
          <cell r="B182" t="str">
            <v>Carne Mechada en Coccion 8550 g</v>
          </cell>
          <cell r="C182" t="str">
            <v>SE00182</v>
          </cell>
          <cell r="D182" t="str">
            <v xml:space="preserve">Cocción Carne Mechada </v>
          </cell>
          <cell r="F182" t="str">
            <v>Estándar</v>
          </cell>
          <cell r="G182" t="str">
            <v>Peso</v>
          </cell>
          <cell r="H182" t="str">
            <v>Gramos</v>
          </cell>
          <cell r="I182">
            <v>8839.5848928571413</v>
          </cell>
          <cell r="J182">
            <v>8.8395848928571414</v>
          </cell>
          <cell r="K182">
            <v>3.7988571428571427E-2</v>
          </cell>
          <cell r="L182">
            <v>3.7988571428571429E-5</v>
          </cell>
          <cell r="M182">
            <v>193.26428571428573</v>
          </cell>
          <cell r="N182">
            <v>0.19326428571428572</v>
          </cell>
        </row>
        <row r="183">
          <cell r="A183" t="str">
            <v>90100137</v>
          </cell>
          <cell r="B183" t="str">
            <v>Harina Estandar 5000g</v>
          </cell>
          <cell r="C183" t="str">
            <v>SE00183</v>
          </cell>
          <cell r="D183" t="str">
            <v>Empaque Harina Estándar Planta</v>
          </cell>
          <cell r="F183" t="str">
            <v>Estándar</v>
          </cell>
          <cell r="G183" t="str">
            <v>Peso</v>
          </cell>
          <cell r="H183" t="str">
            <v>Gramos</v>
          </cell>
          <cell r="I183">
            <v>619.79480000000001</v>
          </cell>
          <cell r="J183">
            <v>0.61979479999999998</v>
          </cell>
          <cell r="K183">
            <v>9.6004256000000012</v>
          </cell>
          <cell r="L183">
            <v>9.600425600000002E-3</v>
          </cell>
          <cell r="M183">
            <v>11.600000000000001</v>
          </cell>
          <cell r="N183">
            <v>1.1600000000000001E-2</v>
          </cell>
        </row>
        <row r="184">
          <cell r="A184" t="str">
            <v>903000144</v>
          </cell>
          <cell r="B184" t="str">
            <v>RUEDA PASTA FROLA 14 DIAMETRO</v>
          </cell>
          <cell r="C184" t="str">
            <v>SE00184</v>
          </cell>
          <cell r="D184" t="str">
            <v>Rueda Pasta Frola 14 Diametro</v>
          </cell>
          <cell r="F184" t="str">
            <v>Estándar</v>
          </cell>
          <cell r="G184" t="str">
            <v>Unidad</v>
          </cell>
          <cell r="H184" t="str">
            <v>Unidades</v>
          </cell>
          <cell r="I184">
            <v>62.24323295077253</v>
          </cell>
          <cell r="J184">
            <v>62.24323295077253</v>
          </cell>
          <cell r="K184">
            <v>0.42956903226225712</v>
          </cell>
          <cell r="L184">
            <v>0.42956903226225712</v>
          </cell>
          <cell r="M184">
            <v>12.88988265919413</v>
          </cell>
          <cell r="N184">
            <v>12.88988265919413</v>
          </cell>
        </row>
        <row r="185">
          <cell r="A185" t="str">
            <v>903000146</v>
          </cell>
          <cell r="B185" t="str">
            <v>EMPANADA POLLO Y HONGOS</v>
          </cell>
          <cell r="C185" t="str">
            <v>SE00185</v>
          </cell>
          <cell r="D185" t="str">
            <v>Empanada Pollo Y Hongos</v>
          </cell>
          <cell r="F185" t="str">
            <v>Estándar</v>
          </cell>
          <cell r="G185" t="str">
            <v>Unidad</v>
          </cell>
          <cell r="H185" t="str">
            <v>Unidades</v>
          </cell>
          <cell r="I185">
            <v>354.92233545925291</v>
          </cell>
          <cell r="J185">
            <v>354.92233545925291</v>
          </cell>
          <cell r="K185">
            <v>1.2601983934178127</v>
          </cell>
          <cell r="L185">
            <v>1.2601983934178127</v>
          </cell>
          <cell r="M185">
            <v>55.497250414749686</v>
          </cell>
          <cell r="N185">
            <v>55.497250414749686</v>
          </cell>
        </row>
        <row r="186">
          <cell r="A186" t="str">
            <v>90100322</v>
          </cell>
          <cell r="B186" t="str">
            <v>RELLENO POLLO Y HONGOS EMPANADA</v>
          </cell>
          <cell r="C186" t="str">
            <v>SE00186</v>
          </cell>
          <cell r="D186" t="str">
            <v>Relleno Pollo Y Hongos Empanada</v>
          </cell>
          <cell r="F186" t="str">
            <v>Estándar</v>
          </cell>
          <cell r="G186" t="str">
            <v>Peso</v>
          </cell>
          <cell r="H186" t="str">
            <v>Gramos</v>
          </cell>
          <cell r="I186">
            <v>4391.3039690328842</v>
          </cell>
          <cell r="J186">
            <v>4.3913039690328839</v>
          </cell>
          <cell r="K186">
            <v>6.8573595090598287</v>
          </cell>
          <cell r="L186">
            <v>6.8573595090598285E-3</v>
          </cell>
          <cell r="M186">
            <v>134.86617059829058</v>
          </cell>
          <cell r="N186">
            <v>0.13486617059829059</v>
          </cell>
        </row>
        <row r="187">
          <cell r="A187" t="str">
            <v>903000177</v>
          </cell>
          <cell r="B187" t="str">
            <v xml:space="preserve">CORTE GALLETA ALFAJOR FLOR </v>
          </cell>
          <cell r="C187" t="str">
            <v>SE00187</v>
          </cell>
          <cell r="D187" t="str">
            <v xml:space="preserve">Corte Galleta Alfajor Flor </v>
          </cell>
          <cell r="F187" t="str">
            <v>Estándar</v>
          </cell>
          <cell r="G187" t="str">
            <v>Unidad</v>
          </cell>
          <cell r="H187" t="str">
            <v>Unidades</v>
          </cell>
          <cell r="I187">
            <v>16.665820763710979</v>
          </cell>
          <cell r="J187">
            <v>16.665820763710979</v>
          </cell>
          <cell r="K187">
            <v>6.5559646600173285E-2</v>
          </cell>
          <cell r="L187">
            <v>6.5559646600173285E-2</v>
          </cell>
          <cell r="M187">
            <v>3.1673694641619048</v>
          </cell>
          <cell r="N187">
            <v>3.1673694641619048</v>
          </cell>
        </row>
        <row r="188">
          <cell r="A188" t="str">
            <v>907000258</v>
          </cell>
          <cell r="B188" t="str">
            <v>MUFFIN DE BANANO</v>
          </cell>
          <cell r="C188" t="str">
            <v>SE00188</v>
          </cell>
          <cell r="D188" t="str">
            <v>Muffin De Banano</v>
          </cell>
          <cell r="F188" t="str">
            <v>Estándar</v>
          </cell>
          <cell r="G188" t="str">
            <v>Unidad</v>
          </cell>
          <cell r="H188" t="str">
            <v>Unidades</v>
          </cell>
          <cell r="I188">
            <v>147.06569876794546</v>
          </cell>
          <cell r="J188">
            <v>147.06569876794546</v>
          </cell>
          <cell r="K188">
            <v>9.4353522855434786</v>
          </cell>
          <cell r="L188">
            <v>9.4353522855434786</v>
          </cell>
          <cell r="M188">
            <v>39.775514869565221</v>
          </cell>
          <cell r="N188">
            <v>39.775514869565221</v>
          </cell>
        </row>
        <row r="189">
          <cell r="A189" t="str">
            <v>907000257</v>
          </cell>
          <cell r="B189" t="str">
            <v>BATIDO MUFFIN DE BANANO</v>
          </cell>
          <cell r="C189" t="str">
            <v>SE00189</v>
          </cell>
          <cell r="D189" t="str">
            <v>Batido Muffin De Banano</v>
          </cell>
          <cell r="F189" t="str">
            <v>Estándar</v>
          </cell>
          <cell r="G189" t="str">
            <v>Peso</v>
          </cell>
          <cell r="H189" t="str">
            <v>Gramos</v>
          </cell>
          <cell r="I189">
            <v>1308.8191568627453</v>
          </cell>
          <cell r="J189">
            <v>1.3088191568627454</v>
          </cell>
          <cell r="K189">
            <v>0</v>
          </cell>
          <cell r="L189">
            <v>0</v>
          </cell>
          <cell r="M189">
            <v>111.03777777777779</v>
          </cell>
          <cell r="N189">
            <v>0.11103777777777779</v>
          </cell>
        </row>
        <row r="190">
          <cell r="A190" t="str">
            <v>907000248</v>
          </cell>
          <cell r="B190" t="str">
            <v>CRUMBLE QUEQUE BANANO</v>
          </cell>
          <cell r="C190" t="str">
            <v>SE00190</v>
          </cell>
          <cell r="D190" t="str">
            <v>Crumble Queque Banano</v>
          </cell>
          <cell r="F190" t="str">
            <v>Estándar</v>
          </cell>
          <cell r="G190" t="str">
            <v>Peso</v>
          </cell>
          <cell r="H190" t="str">
            <v>Gramos</v>
          </cell>
          <cell r="I190">
            <v>1951.4649766865589</v>
          </cell>
          <cell r="J190">
            <v>1.9514649766865588</v>
          </cell>
          <cell r="K190">
            <v>34.367144369565231</v>
          </cell>
          <cell r="L190">
            <v>3.4367144369565235E-2</v>
          </cell>
          <cell r="M190">
            <v>52.140991304347828</v>
          </cell>
          <cell r="N190">
            <v>5.2140991304347829E-2</v>
          </cell>
        </row>
        <row r="191">
          <cell r="A191" t="str">
            <v>907000225</v>
          </cell>
          <cell r="B191" t="str">
            <v>BATIDO DE VAINILLA PILLSBURY</v>
          </cell>
          <cell r="C191" t="str">
            <v>SE00191</v>
          </cell>
          <cell r="D191" t="str">
            <v>Batido De Vainilla Pillsbury</v>
          </cell>
          <cell r="F191" t="str">
            <v>Estándar</v>
          </cell>
          <cell r="G191" t="str">
            <v>Peso</v>
          </cell>
          <cell r="H191" t="str">
            <v>Gramos</v>
          </cell>
          <cell r="I191">
            <v>768.77205882352951</v>
          </cell>
          <cell r="J191">
            <v>0.7687720588235295</v>
          </cell>
          <cell r="K191">
            <v>0</v>
          </cell>
          <cell r="L191">
            <v>0</v>
          </cell>
          <cell r="M191">
            <v>77.14</v>
          </cell>
          <cell r="N191">
            <v>7.714E-2</v>
          </cell>
        </row>
        <row r="192">
          <cell r="A192" t="str">
            <v>906000126</v>
          </cell>
          <cell r="B192" t="str">
            <v>PREMEZCLA CRUMBLE BANANO</v>
          </cell>
          <cell r="C192" t="str">
            <v>SE00192</v>
          </cell>
          <cell r="D192" t="str">
            <v>Premezcla Crumble Banano</v>
          </cell>
          <cell r="F192" t="str">
            <v>Estándar</v>
          </cell>
          <cell r="G192" t="str">
            <v>Peso</v>
          </cell>
          <cell r="H192" t="str">
            <v>Gramos</v>
          </cell>
          <cell r="I192">
            <v>1662.6127771428571</v>
          </cell>
          <cell r="J192">
            <v>1.6626127771428572</v>
          </cell>
          <cell r="K192">
            <v>37.640205738095247</v>
          </cell>
          <cell r="L192">
            <v>3.7640205738095248E-2</v>
          </cell>
          <cell r="M192">
            <v>24.010895238095237</v>
          </cell>
          <cell r="N192">
            <v>2.4010895238095239E-2</v>
          </cell>
        </row>
        <row r="193">
          <cell r="A193" t="str">
            <v>903000189</v>
          </cell>
          <cell r="B193" t="str">
            <v>EMPANADA DE PALMITO 55 g UND</v>
          </cell>
          <cell r="C193" t="str">
            <v>SE00193</v>
          </cell>
          <cell r="D193" t="str">
            <v>Empanada De Palmito 55 grs</v>
          </cell>
          <cell r="F193" t="str">
            <v>Estándar</v>
          </cell>
          <cell r="G193" t="str">
            <v>Unidad</v>
          </cell>
          <cell r="H193" t="str">
            <v>Unidades</v>
          </cell>
          <cell r="I193">
            <v>96.283369667141073</v>
          </cell>
          <cell r="J193">
            <v>96.283369667141073</v>
          </cell>
          <cell r="K193">
            <v>0.92573072910962984</v>
          </cell>
          <cell r="L193">
            <v>0.92573072910962984</v>
          </cell>
          <cell r="M193">
            <v>37.74098643543153</v>
          </cell>
          <cell r="N193">
            <v>37.74098643543153</v>
          </cell>
        </row>
        <row r="194">
          <cell r="A194" t="str">
            <v>90100345</v>
          </cell>
          <cell r="B194" t="str">
            <v>FIDEOS FRITOS PARA ENSALADA</v>
          </cell>
          <cell r="C194" t="str">
            <v>SE00194</v>
          </cell>
          <cell r="D194" t="str">
            <v>Fideos Fritos Para Ensalada</v>
          </cell>
          <cell r="F194" t="str">
            <v>Estándar</v>
          </cell>
          <cell r="G194" t="str">
            <v>Peso</v>
          </cell>
          <cell r="H194" t="str">
            <v>Gramos</v>
          </cell>
          <cell r="I194">
            <v>4799.8387334163663</v>
          </cell>
          <cell r="J194">
            <v>4.7998387334163661</v>
          </cell>
          <cell r="K194">
            <v>0</v>
          </cell>
          <cell r="L194">
            <v>0</v>
          </cell>
          <cell r="M194">
            <v>120.11800000000001</v>
          </cell>
          <cell r="N194">
            <v>0.120118</v>
          </cell>
        </row>
        <row r="195">
          <cell r="A195" t="str">
            <v>90100347</v>
          </cell>
          <cell r="B195" t="str">
            <v>POLLO CULANTRO PARA TACO</v>
          </cell>
          <cell r="C195" t="str">
            <v>SE00195</v>
          </cell>
          <cell r="D195" t="str">
            <v>Pollo Culantro Para Taco</v>
          </cell>
          <cell r="F195" t="str">
            <v>Estándar</v>
          </cell>
          <cell r="G195" t="str">
            <v>Peso</v>
          </cell>
          <cell r="H195" t="str">
            <v>Gramos</v>
          </cell>
          <cell r="I195">
            <v>3991.4745355336058</v>
          </cell>
          <cell r="J195">
            <v>3.9914745355336056</v>
          </cell>
          <cell r="K195">
            <v>0.62479134340740738</v>
          </cell>
          <cell r="L195">
            <v>6.2479134340740741E-4</v>
          </cell>
          <cell r="M195">
            <v>205.60059970370369</v>
          </cell>
          <cell r="N195">
            <v>0.2056005997037037</v>
          </cell>
        </row>
        <row r="196">
          <cell r="A196" t="str">
            <v>907000042</v>
          </cell>
          <cell r="B196" t="str">
            <v>ROSQUETE ARROLLADO 1000g</v>
          </cell>
          <cell r="C196" t="str">
            <v>SE00196</v>
          </cell>
          <cell r="D196" t="str">
            <v>Rosquete Arrollado 1000 grs</v>
          </cell>
          <cell r="F196" t="str">
            <v>Estándar</v>
          </cell>
          <cell r="G196" t="str">
            <v>Unidad</v>
          </cell>
          <cell r="H196" t="str">
            <v>Unidades</v>
          </cell>
          <cell r="I196">
            <v>1923.4631004412472</v>
          </cell>
          <cell r="J196">
            <v>1923.4631004412472</v>
          </cell>
          <cell r="K196">
            <v>49.627629119999995</v>
          </cell>
          <cell r="L196">
            <v>49.627629119999995</v>
          </cell>
          <cell r="M196">
            <v>115.589708</v>
          </cell>
          <cell r="N196">
            <v>115.589708</v>
          </cell>
        </row>
        <row r="197">
          <cell r="A197" t="str">
            <v>95362</v>
          </cell>
          <cell r="B197" t="str">
            <v>BASE PREMEZCLA ARROLLADO SPOON KILO</v>
          </cell>
          <cell r="C197" t="str">
            <v>SE00197</v>
          </cell>
          <cell r="D197" t="str">
            <v>Base Premezcla Arrollado Spoon</v>
          </cell>
          <cell r="F197" t="str">
            <v>Estándar</v>
          </cell>
          <cell r="G197" t="str">
            <v>Peso</v>
          </cell>
          <cell r="H197" t="str">
            <v>Gramos</v>
          </cell>
          <cell r="I197">
            <v>558.37078728606343</v>
          </cell>
          <cell r="J197">
            <v>0.55837078728606349</v>
          </cell>
          <cell r="K197">
            <v>121.33894650366747</v>
          </cell>
          <cell r="L197">
            <v>0.12133894650366747</v>
          </cell>
          <cell r="M197">
            <v>47.211999999999996</v>
          </cell>
          <cell r="N197">
            <v>4.7211999999999997E-2</v>
          </cell>
        </row>
        <row r="198">
          <cell r="A198" t="str">
            <v>903000026</v>
          </cell>
          <cell r="B198" t="str">
            <v>ROSQUETE TRES LECHES 430g 6 porciones</v>
          </cell>
          <cell r="C198" t="str">
            <v>SE00198</v>
          </cell>
          <cell r="D198" t="str">
            <v>Rosquete Tres Leches 430 grs</v>
          </cell>
          <cell r="F198" t="str">
            <v>Estándar</v>
          </cell>
          <cell r="G198" t="str">
            <v>Unidad</v>
          </cell>
          <cell r="H198" t="str">
            <v>Unidades</v>
          </cell>
          <cell r="I198">
            <v>702.23129803062136</v>
          </cell>
          <cell r="J198">
            <v>702.23129803062136</v>
          </cell>
          <cell r="K198">
            <v>286.66215949622858</v>
          </cell>
          <cell r="L198">
            <v>286.66215949622858</v>
          </cell>
          <cell r="M198">
            <v>39.039080731228566</v>
          </cell>
          <cell r="N198">
            <v>39.039080731228566</v>
          </cell>
        </row>
        <row r="199">
          <cell r="A199" t="str">
            <v>907000005</v>
          </cell>
          <cell r="B199" t="str">
            <v>MEZCLA FLAN COCO SPOON</v>
          </cell>
          <cell r="C199" t="str">
            <v>SE00199</v>
          </cell>
          <cell r="D199" t="str">
            <v>Mezcla p/Flan coco Spoon</v>
          </cell>
          <cell r="F199" t="str">
            <v>Estándar</v>
          </cell>
          <cell r="G199" t="str">
            <v>Peso</v>
          </cell>
          <cell r="H199" t="str">
            <v>Gramos</v>
          </cell>
          <cell r="I199">
            <v>2319.1889530154167</v>
          </cell>
          <cell r="J199">
            <v>2.3191889530154168</v>
          </cell>
          <cell r="K199">
            <v>0</v>
          </cell>
          <cell r="L199">
            <v>0</v>
          </cell>
          <cell r="M199">
            <v>41.411999999999999</v>
          </cell>
          <cell r="N199">
            <v>4.1411999999999997E-2</v>
          </cell>
        </row>
        <row r="200">
          <cell r="A200" t="str">
            <v>907000241</v>
          </cell>
          <cell r="B200" t="str">
            <v>ROSQUETE REDONDO BROWNIE CASERO 250g</v>
          </cell>
          <cell r="C200" t="str">
            <v>SE00200</v>
          </cell>
          <cell r="D200" t="str">
            <v>Rosquete Red. Brownie Casero 250 grs</v>
          </cell>
          <cell r="F200" t="str">
            <v>Estándar</v>
          </cell>
          <cell r="G200" t="str">
            <v>Unidad</v>
          </cell>
          <cell r="H200" t="str">
            <v>Unidades</v>
          </cell>
          <cell r="I200">
            <v>362.46342237331157</v>
          </cell>
          <cell r="J200">
            <v>362.46342237331157</v>
          </cell>
          <cell r="K200">
            <v>11.950208965</v>
          </cell>
          <cell r="L200">
            <v>11.950208965</v>
          </cell>
          <cell r="M200">
            <v>32.138909249999998</v>
          </cell>
          <cell r="N200">
            <v>32.138909249999998</v>
          </cell>
        </row>
        <row r="201">
          <cell r="A201" t="str">
            <v>904000049</v>
          </cell>
          <cell r="B201" t="str">
            <v>CHOCOLATE DE LECHE PROCESADO</v>
          </cell>
          <cell r="C201" t="str">
            <v>SE00201</v>
          </cell>
          <cell r="D201" t="str">
            <v>Procesado Chocolate De Leche</v>
          </cell>
          <cell r="F201" t="str">
            <v>Estándar</v>
          </cell>
          <cell r="G201" t="str">
            <v>Peso</v>
          </cell>
          <cell r="H201" t="str">
            <v>Gramos</v>
          </cell>
          <cell r="I201">
            <v>4680.8510638297876</v>
          </cell>
          <cell r="J201">
            <v>4.6808510638297873</v>
          </cell>
          <cell r="K201">
            <v>4.4688000000000005E-2</v>
          </cell>
          <cell r="L201">
            <v>4.4688000000000003E-5</v>
          </cell>
          <cell r="M201">
            <v>123.53999999999999</v>
          </cell>
          <cell r="N201">
            <v>0.12354</v>
          </cell>
        </row>
        <row r="202">
          <cell r="A202" t="str">
            <v>902000097</v>
          </cell>
          <cell r="B202" t="str">
            <v>RELLENO DE MANJAR Y QUESO</v>
          </cell>
          <cell r="C202" t="str">
            <v>SE00202</v>
          </cell>
          <cell r="D202" t="str">
            <v>Relleno De Manjar Y Queso</v>
          </cell>
          <cell r="F202" t="str">
            <v>Estándar</v>
          </cell>
          <cell r="G202" t="str">
            <v>Peso</v>
          </cell>
          <cell r="H202" t="str">
            <v>Gramos</v>
          </cell>
          <cell r="I202">
            <v>2316.8402493333328</v>
          </cell>
          <cell r="J202">
            <v>2.3168402493333327</v>
          </cell>
          <cell r="K202">
            <v>0</v>
          </cell>
          <cell r="L202">
            <v>0</v>
          </cell>
          <cell r="M202">
            <v>105.56</v>
          </cell>
          <cell r="N202">
            <v>0.10556</v>
          </cell>
        </row>
        <row r="203">
          <cell r="A203" t="str">
            <v>95822</v>
          </cell>
          <cell r="B203" t="str">
            <v xml:space="preserve">SOPA AZTECA </v>
          </cell>
          <cell r="C203" t="str">
            <v>SE00203</v>
          </cell>
          <cell r="D203" t="str">
            <v>Sopa Azteca Planta</v>
          </cell>
          <cell r="F203" t="str">
            <v>Estándar</v>
          </cell>
          <cell r="G203" t="str">
            <v>Peso</v>
          </cell>
          <cell r="H203" t="str">
            <v>Gramos</v>
          </cell>
          <cell r="I203">
            <v>886.04142287193065</v>
          </cell>
          <cell r="J203">
            <v>0.88604142287193066</v>
          </cell>
          <cell r="K203">
            <v>0.15342256608639587</v>
          </cell>
          <cell r="L203">
            <v>1.5342256608639587E-4</v>
          </cell>
          <cell r="M203">
            <v>18.717022566086399</v>
          </cell>
          <cell r="N203">
            <v>1.87170225660864E-2</v>
          </cell>
        </row>
        <row r="204">
          <cell r="A204" t="str">
            <v>95471</v>
          </cell>
          <cell r="B204" t="str">
            <v>Corte Galleta Chilena Grande 143g</v>
          </cell>
          <cell r="C204" t="str">
            <v>SE00204</v>
          </cell>
          <cell r="D204" t="str">
            <v>Corte Galleta Chilena Grande</v>
          </cell>
          <cell r="F204" t="str">
            <v>Estándar</v>
          </cell>
          <cell r="G204" t="str">
            <v>Unidad</v>
          </cell>
          <cell r="H204" t="str">
            <v>Unidades</v>
          </cell>
          <cell r="I204">
            <v>155.58255675576765</v>
          </cell>
          <cell r="J204">
            <v>155.58255675576765</v>
          </cell>
          <cell r="K204">
            <v>0.58918237034517951</v>
          </cell>
          <cell r="L204">
            <v>0.58918237034517951</v>
          </cell>
          <cell r="M204">
            <v>20.614150390319999</v>
          </cell>
          <cell r="N204">
            <v>20.614150390319999</v>
          </cell>
        </row>
        <row r="205">
          <cell r="A205" t="str">
            <v>907000245</v>
          </cell>
          <cell r="B205" t="str">
            <v>ROSQUETE MELOCOTON GRANDE 300G</v>
          </cell>
          <cell r="C205" t="str">
            <v>SE00205</v>
          </cell>
          <cell r="D205" t="str">
            <v>Rosquete Melocoton Grande 300 grs</v>
          </cell>
          <cell r="F205" t="str">
            <v>Estándar</v>
          </cell>
          <cell r="G205" t="str">
            <v>Unidad</v>
          </cell>
          <cell r="H205" t="str">
            <v>Unidades</v>
          </cell>
          <cell r="I205">
            <v>651.19684032677526</v>
          </cell>
          <cell r="J205">
            <v>651.19684032677526</v>
          </cell>
          <cell r="K205">
            <v>0.37072727272727274</v>
          </cell>
          <cell r="L205">
            <v>0.37072727272727274</v>
          </cell>
          <cell r="M205">
            <v>17.119912199999998</v>
          </cell>
          <cell r="N205">
            <v>17.119912199999998</v>
          </cell>
        </row>
        <row r="206">
          <cell r="A206" t="str">
            <v>903000002</v>
          </cell>
          <cell r="B206" t="str">
            <v>PLANCHA P/COCADAS 4300g (UND)</v>
          </cell>
          <cell r="C206" t="str">
            <v>SE00206</v>
          </cell>
          <cell r="D206" t="str">
            <v>Plancha P/Cocadas 4300G (Und)</v>
          </cell>
          <cell r="F206" t="str">
            <v>Estándar</v>
          </cell>
          <cell r="G206" t="str">
            <v>Unidad</v>
          </cell>
          <cell r="H206" t="str">
            <v>Unidades</v>
          </cell>
          <cell r="I206">
            <v>10522.805311572749</v>
          </cell>
          <cell r="J206">
            <v>10522.805311572749</v>
          </cell>
          <cell r="K206">
            <v>43.5</v>
          </cell>
          <cell r="L206">
            <v>43.5</v>
          </cell>
          <cell r="M206">
            <v>175.21800000000002</v>
          </cell>
          <cell r="N206">
            <v>175.21800000000002</v>
          </cell>
        </row>
        <row r="207">
          <cell r="A207" t="str">
            <v>902000017</v>
          </cell>
          <cell r="B207" t="str">
            <v>BATIDO COCADA KILO</v>
          </cell>
          <cell r="C207" t="str">
            <v>SE00207</v>
          </cell>
          <cell r="D207" t="str">
            <v>Batido Cocada Kilo</v>
          </cell>
          <cell r="F207" t="str">
            <v>Estándar</v>
          </cell>
          <cell r="G207" t="str">
            <v>Peso</v>
          </cell>
          <cell r="H207" t="str">
            <v>Gramos</v>
          </cell>
          <cell r="I207">
            <v>2430.9137933890111</v>
          </cell>
          <cell r="J207">
            <v>2.4309137933890113</v>
          </cell>
          <cell r="K207">
            <v>0</v>
          </cell>
          <cell r="L207">
            <v>0</v>
          </cell>
          <cell r="M207">
            <v>27.259999999999998</v>
          </cell>
          <cell r="N207">
            <v>2.726E-2</v>
          </cell>
        </row>
        <row r="208">
          <cell r="A208" t="str">
            <v>903000160</v>
          </cell>
          <cell r="B208" t="str">
            <v>COSTILLAS DE PASTA HOJALDRE</v>
          </cell>
          <cell r="C208" t="str">
            <v>SE00208</v>
          </cell>
          <cell r="D208" t="str">
            <v>Costillas De Pasta Hojaldre</v>
          </cell>
          <cell r="F208" t="str">
            <v>Estándar</v>
          </cell>
          <cell r="G208" t="str">
            <v>Unidad</v>
          </cell>
          <cell r="H208" t="str">
            <v>Unidades</v>
          </cell>
          <cell r="I208">
            <v>24.03897567463925</v>
          </cell>
          <cell r="J208">
            <v>24.03897567463925</v>
          </cell>
          <cell r="K208">
            <v>1.6225252116651727E-3</v>
          </cell>
          <cell r="L208">
            <v>1.6225252116651727E-3</v>
          </cell>
          <cell r="M208">
            <v>11.63709460844561</v>
          </cell>
          <cell r="N208">
            <v>11.63709460844561</v>
          </cell>
        </row>
        <row r="209">
          <cell r="A209" t="str">
            <v>903000159</v>
          </cell>
          <cell r="B209" t="str">
            <v>CORTE COSTILLAS PASTA HOJALDRE UND</v>
          </cell>
          <cell r="C209" t="str">
            <v>SE00209</v>
          </cell>
          <cell r="D209" t="str">
            <v xml:space="preserve">Corte Costillas Pasta Hojaldre </v>
          </cell>
          <cell r="F209" t="str">
            <v>Estándar</v>
          </cell>
          <cell r="G209" t="str">
            <v>Unidad</v>
          </cell>
          <cell r="H209" t="str">
            <v>Unidades</v>
          </cell>
          <cell r="I209">
            <v>22.382618451795629</v>
          </cell>
          <cell r="J209">
            <v>22.382618451795629</v>
          </cell>
          <cell r="K209">
            <v>1.6225252116651727E-3</v>
          </cell>
          <cell r="L209">
            <v>1.6225252116651727E-3</v>
          </cell>
          <cell r="M209">
            <v>8.6210946084456097</v>
          </cell>
          <cell r="N209">
            <v>8.6210946084456097</v>
          </cell>
        </row>
        <row r="210">
          <cell r="A210" t="str">
            <v>903000179</v>
          </cell>
          <cell r="B210" t="str">
            <v>CORTE LÁMINAS MIL HOJAS</v>
          </cell>
          <cell r="C210" t="str">
            <v>SE00210</v>
          </cell>
          <cell r="D210" t="str">
            <v>Corte Láminas Mil Hojas</v>
          </cell>
          <cell r="F210" t="str">
            <v>Estándar</v>
          </cell>
          <cell r="G210" t="str">
            <v>Unidad</v>
          </cell>
          <cell r="H210" t="str">
            <v>Unidades</v>
          </cell>
          <cell r="I210">
            <v>79.353611581621166</v>
          </cell>
          <cell r="J210">
            <v>79.353611581621166</v>
          </cell>
          <cell r="K210">
            <v>3.5684521501569146</v>
          </cell>
          <cell r="L210">
            <v>3.5684521501569146</v>
          </cell>
          <cell r="M210">
            <v>24.564802319801501</v>
          </cell>
          <cell r="N210">
            <v>24.564802319801501</v>
          </cell>
        </row>
        <row r="211">
          <cell r="A211" t="str">
            <v>95451</v>
          </cell>
          <cell r="B211" t="str">
            <v>PLANCHA MIL HOJAS</v>
          </cell>
          <cell r="C211" t="str">
            <v>SE00211</v>
          </cell>
          <cell r="D211" t="str">
            <v>Plancha Mil Hojas</v>
          </cell>
          <cell r="F211" t="str">
            <v>Estándar</v>
          </cell>
          <cell r="G211" t="str">
            <v>Unidad</v>
          </cell>
          <cell r="H211" t="str">
            <v>Unidades</v>
          </cell>
          <cell r="I211">
            <v>881.70679535134627</v>
          </cell>
          <cell r="J211">
            <v>881.70679535134627</v>
          </cell>
          <cell r="K211">
            <v>39.649468335076833</v>
          </cell>
          <cell r="L211">
            <v>39.649468335076833</v>
          </cell>
          <cell r="M211">
            <v>161.45335910890557</v>
          </cell>
          <cell r="N211">
            <v>161.45335910890557</v>
          </cell>
        </row>
        <row r="212">
          <cell r="A212" t="str">
            <v>96277</v>
          </cell>
          <cell r="B212" t="str">
            <v>ARREGLADOS</v>
          </cell>
          <cell r="C212" t="str">
            <v>SE00212</v>
          </cell>
          <cell r="D212" t="str">
            <v>Arreglados</v>
          </cell>
          <cell r="F212" t="str">
            <v>Estándar</v>
          </cell>
          <cell r="G212" t="str">
            <v>Unidad</v>
          </cell>
          <cell r="H212" t="str">
            <v>Unidades</v>
          </cell>
          <cell r="I212">
            <v>90.207195564602785</v>
          </cell>
          <cell r="J212">
            <v>90.207195564602785</v>
          </cell>
          <cell r="K212">
            <v>10.786056139131114</v>
          </cell>
          <cell r="L212">
            <v>10.786056139131114</v>
          </cell>
          <cell r="M212">
            <v>22.31178579005887</v>
          </cell>
          <cell r="N212">
            <v>22.31178579005887</v>
          </cell>
        </row>
        <row r="213">
          <cell r="A213" t="str">
            <v>906000014</v>
          </cell>
          <cell r="B213" t="str">
            <v>LAMINADO PASTA HOJALDRE (KILO)</v>
          </cell>
          <cell r="C213" t="str">
            <v>SE00213</v>
          </cell>
          <cell r="D213" t="str">
            <v>Laminado Pasta Hojaldre</v>
          </cell>
          <cell r="F213" t="str">
            <v>Estándar</v>
          </cell>
          <cell r="G213" t="str">
            <v>Peso</v>
          </cell>
          <cell r="H213" t="str">
            <v>Gramos</v>
          </cell>
          <cell r="I213">
            <v>741.31360965581393</v>
          </cell>
          <cell r="J213">
            <v>0.74131360965581394</v>
          </cell>
          <cell r="K213">
            <v>78.915150368469654</v>
          </cell>
          <cell r="L213">
            <v>7.8915150368469647E-2</v>
          </cell>
          <cell r="M213">
            <v>145.03547684717688</v>
          </cell>
          <cell r="N213">
            <v>0.14503547684717688</v>
          </cell>
        </row>
        <row r="214">
          <cell r="A214" t="str">
            <v>906000005</v>
          </cell>
          <cell r="B214" t="str">
            <v>Empanada  Pollo Pequeña De Pasta de Hojaldre 40g</v>
          </cell>
          <cell r="C214" t="str">
            <v>SE00214</v>
          </cell>
          <cell r="D214" t="str">
            <v xml:space="preserve">Empanada Pollo Peq Hojaldre </v>
          </cell>
          <cell r="F214" t="str">
            <v>Estándar</v>
          </cell>
          <cell r="G214" t="str">
            <v>Unidad</v>
          </cell>
          <cell r="H214" t="str">
            <v>Unidades</v>
          </cell>
          <cell r="I214">
            <v>66.225838581923583</v>
          </cell>
          <cell r="J214">
            <v>66.225838581923583</v>
          </cell>
          <cell r="K214">
            <v>0.7329865566357372</v>
          </cell>
          <cell r="L214">
            <v>0.7329865566357372</v>
          </cell>
          <cell r="M214">
            <v>27.843718072078659</v>
          </cell>
          <cell r="N214">
            <v>27.843718072078659</v>
          </cell>
        </row>
        <row r="215">
          <cell r="A215" t="str">
            <v xml:space="preserve">903000154 </v>
          </cell>
          <cell r="B215" t="str">
            <v>RUEDA HOJALDRE EMPANADA DE POLLO PEQUEÑA</v>
          </cell>
          <cell r="C215" t="str">
            <v>SE00215</v>
          </cell>
          <cell r="D215" t="str">
            <v>Rueda Hojaldre Empanada peq</v>
          </cell>
          <cell r="F215" t="str">
            <v>Estándar</v>
          </cell>
          <cell r="G215" t="str">
            <v>Unidad</v>
          </cell>
          <cell r="H215" t="str">
            <v>Unidades</v>
          </cell>
          <cell r="I215">
            <v>18.794218351496355</v>
          </cell>
          <cell r="J215">
            <v>18.794218351496355</v>
          </cell>
          <cell r="K215">
            <v>1.3521043430543105E-3</v>
          </cell>
          <cell r="L215">
            <v>1.3521043430543105E-3</v>
          </cell>
          <cell r="M215">
            <v>11.785578840371342</v>
          </cell>
          <cell r="N215">
            <v>11.785578840371342</v>
          </cell>
        </row>
        <row r="216">
          <cell r="A216" t="str">
            <v>95668</v>
          </cell>
          <cell r="B216" t="str">
            <v xml:space="preserve">RELLENO POLLO EMPANADA  </v>
          </cell>
          <cell r="C216" t="str">
            <v>SE00216</v>
          </cell>
          <cell r="D216" t="str">
            <v xml:space="preserve">Relleno Pollo Empanada  </v>
          </cell>
          <cell r="F216" t="str">
            <v>Estándar</v>
          </cell>
          <cell r="G216" t="str">
            <v>Peso</v>
          </cell>
          <cell r="H216" t="str">
            <v>Gramos</v>
          </cell>
          <cell r="I216">
            <v>3014.6056601260043</v>
          </cell>
          <cell r="J216">
            <v>3.0146056601260045</v>
          </cell>
          <cell r="K216">
            <v>0.44229681951219507</v>
          </cell>
          <cell r="L216">
            <v>4.4229681951219509E-4</v>
          </cell>
          <cell r="M216">
            <v>103.8759487804878</v>
          </cell>
          <cell r="N216">
            <v>0.10387594878048781</v>
          </cell>
        </row>
        <row r="217">
          <cell r="A217" t="str">
            <v>906000004</v>
          </cell>
          <cell r="B217" t="str">
            <v>EMPANADA POLLO HOJALDRE GDE</v>
          </cell>
          <cell r="C217" t="str">
            <v>SE00217</v>
          </cell>
          <cell r="D217" t="str">
            <v>Empanada Pollo Hojaldre Gde</v>
          </cell>
          <cell r="F217" t="str">
            <v>Estándar</v>
          </cell>
          <cell r="G217" t="str">
            <v>Unidad</v>
          </cell>
          <cell r="H217" t="str">
            <v>Unidades</v>
          </cell>
          <cell r="I217">
            <v>202.93479917146806</v>
          </cell>
          <cell r="J217">
            <v>202.93479917146806</v>
          </cell>
          <cell r="K217">
            <v>1.4847735747437414</v>
          </cell>
          <cell r="L217">
            <v>1.4847735747437414</v>
          </cell>
          <cell r="M217">
            <v>34.014550043037502</v>
          </cell>
          <cell r="N217">
            <v>34.014550043037502</v>
          </cell>
        </row>
        <row r="218">
          <cell r="A218" t="str">
            <v>95709</v>
          </cell>
          <cell r="B218" t="str">
            <v xml:space="preserve">PASTA TARTALETA/CANASTA </v>
          </cell>
          <cell r="C218" t="str">
            <v>SE00218</v>
          </cell>
          <cell r="D218" t="str">
            <v xml:space="preserve">Pasta Tartaleta/Canasta </v>
          </cell>
          <cell r="F218" t="str">
            <v>Estándar</v>
          </cell>
          <cell r="G218" t="str">
            <v>Peso</v>
          </cell>
          <cell r="H218" t="str">
            <v>Gramos</v>
          </cell>
          <cell r="I218">
            <v>1640.8593739636365</v>
          </cell>
          <cell r="J218">
            <v>1.6408593739636366</v>
          </cell>
          <cell r="K218">
            <v>31.433818181818182</v>
          </cell>
          <cell r="L218">
            <v>3.1433818181818181E-2</v>
          </cell>
          <cell r="M218">
            <v>29.443533381818185</v>
          </cell>
          <cell r="N218">
            <v>2.9443533381818186E-2</v>
          </cell>
        </row>
        <row r="219">
          <cell r="A219" t="str">
            <v>95376</v>
          </cell>
          <cell r="B219" t="str">
            <v>PRE MEZCLA PARA CANASTITA Y TARTALETA</v>
          </cell>
          <cell r="C219" t="str">
            <v>SE00219</v>
          </cell>
          <cell r="D219" t="str">
            <v>Pre Mezcla Canastita/Tartaleta</v>
          </cell>
          <cell r="F219" t="str">
            <v>Estándar</v>
          </cell>
          <cell r="G219" t="str">
            <v>Peso</v>
          </cell>
          <cell r="H219" t="str">
            <v>Gramos</v>
          </cell>
          <cell r="I219">
            <v>922.80501353450188</v>
          </cell>
          <cell r="J219">
            <v>0.92280501353450184</v>
          </cell>
          <cell r="K219">
            <v>45.262924339915692</v>
          </cell>
          <cell r="L219">
            <v>4.5262924339915689E-2</v>
          </cell>
          <cell r="M219">
            <v>19.256</v>
          </cell>
          <cell r="N219">
            <v>1.9255999999999999E-2</v>
          </cell>
        </row>
        <row r="220">
          <cell r="A220" t="str">
            <v>906000020</v>
          </cell>
          <cell r="B220" t="str">
            <v>Corte Canasta</v>
          </cell>
          <cell r="C220" t="str">
            <v>SE00220</v>
          </cell>
          <cell r="D220" t="str">
            <v>Corte Canasta</v>
          </cell>
          <cell r="F220" t="str">
            <v>Estándar</v>
          </cell>
          <cell r="G220" t="str">
            <v>Unidad</v>
          </cell>
          <cell r="H220" t="str">
            <v>Unidades</v>
          </cell>
          <cell r="I220">
            <v>29.535468731345457</v>
          </cell>
          <cell r="J220">
            <v>29.535468731345457</v>
          </cell>
          <cell r="K220">
            <v>0.56580872727272724</v>
          </cell>
          <cell r="L220">
            <v>0.56580872727272724</v>
          </cell>
          <cell r="M220">
            <v>14.043983600872728</v>
          </cell>
          <cell r="N220">
            <v>14.043983600872728</v>
          </cell>
        </row>
        <row r="221">
          <cell r="A221" t="str">
            <v>906000027</v>
          </cell>
          <cell r="B221" t="str">
            <v>EMPANADA TRES QUESOS (UND)</v>
          </cell>
          <cell r="C221" t="str">
            <v>SE00221</v>
          </cell>
          <cell r="D221" t="str">
            <v>Empanada Tres Quesos</v>
          </cell>
          <cell r="F221" t="str">
            <v>Estándar</v>
          </cell>
          <cell r="G221" t="str">
            <v>Unidad</v>
          </cell>
          <cell r="H221" t="str">
            <v>Unidades</v>
          </cell>
          <cell r="I221">
            <v>173.24312303196055</v>
          </cell>
          <cell r="J221">
            <v>173.24312303196055</v>
          </cell>
          <cell r="K221">
            <v>0.23980836695230182</v>
          </cell>
          <cell r="L221">
            <v>0.23980836695230182</v>
          </cell>
          <cell r="M221">
            <v>24.226787853852024</v>
          </cell>
          <cell r="N221">
            <v>24.226787853852024</v>
          </cell>
        </row>
        <row r="222">
          <cell r="A222" t="str">
            <v>903000161</v>
          </cell>
          <cell r="B222" t="str">
            <v xml:space="preserve">RUEDA FROLA EMPANADA TRES QUESOS </v>
          </cell>
          <cell r="C222" t="str">
            <v>SE00222</v>
          </cell>
          <cell r="D222" t="str">
            <v xml:space="preserve">Rueda Frola Empanada Tres Quesos </v>
          </cell>
          <cell r="F222" t="str">
            <v>Estándar</v>
          </cell>
          <cell r="G222" t="str">
            <v>Unidad</v>
          </cell>
          <cell r="H222" t="str">
            <v>Unidades</v>
          </cell>
          <cell r="I222">
            <v>22.286962713510057</v>
          </cell>
          <cell r="J222">
            <v>22.286962713510057</v>
          </cell>
          <cell r="K222">
            <v>0.15518411641896848</v>
          </cell>
          <cell r="L222">
            <v>0.15518411641896848</v>
          </cell>
          <cell r="M222">
            <v>11.665437853852023</v>
          </cell>
          <cell r="N222">
            <v>11.665437853852023</v>
          </cell>
        </row>
        <row r="223">
          <cell r="A223" t="str">
            <v>905000012</v>
          </cell>
          <cell r="B223" t="str">
            <v>RELLENO TRES QUESOS KILO</v>
          </cell>
          <cell r="C223" t="str">
            <v>SE00223</v>
          </cell>
          <cell r="D223" t="str">
            <v>Relleno Tres Quesos</v>
          </cell>
          <cell r="F223" t="str">
            <v>Estándar</v>
          </cell>
          <cell r="G223" t="str">
            <v>Peso</v>
          </cell>
          <cell r="H223" t="str">
            <v>Gramos</v>
          </cell>
          <cell r="I223">
            <v>5984.3646320000007</v>
          </cell>
          <cell r="J223">
            <v>5.984364632000001</v>
          </cell>
          <cell r="K223">
            <v>3.0969572533333336</v>
          </cell>
          <cell r="L223">
            <v>3.0969572533333335E-3</v>
          </cell>
          <cell r="M223">
            <v>116.986</v>
          </cell>
          <cell r="N223">
            <v>0.11698600000000001</v>
          </cell>
        </row>
        <row r="224">
          <cell r="A224" t="str">
            <v>901000083</v>
          </cell>
          <cell r="B224" t="str">
            <v>SALSA MOSTANERA (830g) BUCCA</v>
          </cell>
          <cell r="C224" t="str">
            <v>SE00224</v>
          </cell>
          <cell r="D224" t="str">
            <v>Salsa Mostanera Bucca</v>
          </cell>
          <cell r="F224" t="str">
            <v>Estándar</v>
          </cell>
          <cell r="G224" t="str">
            <v>Peso</v>
          </cell>
          <cell r="H224" t="str">
            <v>Gramos</v>
          </cell>
          <cell r="I224">
            <v>1328.2564107760579</v>
          </cell>
          <cell r="J224">
            <v>1.3282564107760579</v>
          </cell>
          <cell r="K224">
            <v>98.796549706848793</v>
          </cell>
          <cell r="L224">
            <v>9.8796549706848799E-2</v>
          </cell>
          <cell r="M224">
            <v>387.6898473036531</v>
          </cell>
          <cell r="N224">
            <v>0.38768984730365308</v>
          </cell>
        </row>
        <row r="225">
          <cell r="A225" t="str">
            <v>901000082</v>
          </cell>
          <cell r="B225" t="str">
            <v>Relleno de pollo para sandwichs Bucca</v>
          </cell>
          <cell r="C225" t="str">
            <v>SE00225</v>
          </cell>
          <cell r="D225" t="str">
            <v>Relleno Pollo sandwich Bucca</v>
          </cell>
          <cell r="F225" t="str">
            <v>Estándar</v>
          </cell>
          <cell r="G225" t="str">
            <v>Peso</v>
          </cell>
          <cell r="H225" t="str">
            <v>Gramos</v>
          </cell>
          <cell r="I225">
            <v>3690.8771083966444</v>
          </cell>
          <cell r="J225">
            <v>3.6908771083966445</v>
          </cell>
          <cell r="K225">
            <v>37.658832908581608</v>
          </cell>
          <cell r="L225">
            <v>3.7658832908581609E-2</v>
          </cell>
          <cell r="M225">
            <v>579.38065614973266</v>
          </cell>
          <cell r="N225">
            <v>0.57938065614973266</v>
          </cell>
        </row>
        <row r="226">
          <cell r="A226" t="str">
            <v>90100132</v>
          </cell>
          <cell r="B226" t="str">
            <v>AZUCAR REFINO</v>
          </cell>
          <cell r="C226" t="str">
            <v>SE00226</v>
          </cell>
          <cell r="D226" t="str">
            <v>Empaque Azucar Refino</v>
          </cell>
          <cell r="F226" t="str">
            <v>Estándar</v>
          </cell>
          <cell r="G226" t="str">
            <v>Peso</v>
          </cell>
          <cell r="H226" t="str">
            <v>Gramos</v>
          </cell>
          <cell r="I226">
            <v>483.92</v>
          </cell>
          <cell r="J226">
            <v>0.48392000000000002</v>
          </cell>
          <cell r="K226">
            <v>17.728000000000002</v>
          </cell>
          <cell r="L226">
            <v>1.7728000000000001E-2</v>
          </cell>
          <cell r="M226">
            <v>58</v>
          </cell>
          <cell r="N226">
            <v>5.8000000000000003E-2</v>
          </cell>
        </row>
        <row r="227">
          <cell r="A227" t="str">
            <v>95152</v>
          </cell>
          <cell r="B227" t="str">
            <v>Relleno De Jamon Para Arrollado</v>
          </cell>
          <cell r="C227" t="str">
            <v>SE00227</v>
          </cell>
          <cell r="D227" t="str">
            <v>Relleno De Jamon Para Arrollado</v>
          </cell>
          <cell r="F227" t="str">
            <v>Estándar</v>
          </cell>
          <cell r="G227" t="str">
            <v>Peso</v>
          </cell>
          <cell r="H227" t="str">
            <v>Gramos</v>
          </cell>
          <cell r="I227">
            <v>5398.336064936927</v>
          </cell>
          <cell r="J227">
            <v>5.3983360649369265</v>
          </cell>
          <cell r="K227">
            <v>2.5789420366378701</v>
          </cell>
          <cell r="L227">
            <v>2.5789420366378701E-3</v>
          </cell>
          <cell r="M227">
            <v>137.70795358462377</v>
          </cell>
          <cell r="N227">
            <v>0.13770795358462376</v>
          </cell>
        </row>
        <row r="228">
          <cell r="A228" t="str">
            <v>90100093</v>
          </cell>
          <cell r="B228" t="str">
            <v>EMPANADA CARNE PERUANA</v>
          </cell>
          <cell r="C228" t="str">
            <v>SE00228</v>
          </cell>
          <cell r="D228" t="str">
            <v>Empanada Carne Peruana Planta</v>
          </cell>
          <cell r="F228" t="str">
            <v>Estándar</v>
          </cell>
          <cell r="G228" t="str">
            <v>Unidad</v>
          </cell>
          <cell r="H228" t="str">
            <v>Unidades</v>
          </cell>
          <cell r="I228">
            <v>127.68094070658449</v>
          </cell>
          <cell r="J228">
            <v>127.68094070658449</v>
          </cell>
          <cell r="K228">
            <v>2.1623292296662795</v>
          </cell>
          <cell r="L228">
            <v>2.1623292296662795</v>
          </cell>
          <cell r="M228">
            <v>35.173226023048038</v>
          </cell>
          <cell r="N228">
            <v>35.173226023048038</v>
          </cell>
        </row>
        <row r="229">
          <cell r="A229" t="str">
            <v>906000076</v>
          </cell>
          <cell r="B229" t="str">
            <v>Empanada Carne mechada Fas</v>
          </cell>
          <cell r="C229" t="str">
            <v>SE00229</v>
          </cell>
          <cell r="D229" t="str">
            <v>Empanada Carne Mechada Fas</v>
          </cell>
          <cell r="F229" t="str">
            <v>Estándar</v>
          </cell>
          <cell r="G229" t="str">
            <v>Unidad</v>
          </cell>
          <cell r="H229" t="str">
            <v>Unidades</v>
          </cell>
          <cell r="I229">
            <v>322.73788806444747</v>
          </cell>
          <cell r="J229">
            <v>322.73788806444747</v>
          </cell>
          <cell r="K229">
            <v>2.2295050028949732</v>
          </cell>
          <cell r="L229">
            <v>2.2295050028949732</v>
          </cell>
          <cell r="M229">
            <v>47.185343564689845</v>
          </cell>
          <cell r="N229">
            <v>47.185343564689845</v>
          </cell>
        </row>
        <row r="230">
          <cell r="A230" t="str">
            <v>903000041</v>
          </cell>
          <cell r="B230" t="str">
            <v>TRIANGULO DE JAMON Y QUESO</v>
          </cell>
          <cell r="C230" t="str">
            <v>SE00230</v>
          </cell>
          <cell r="D230" t="str">
            <v>Triangulo De Jamon Y Queso Planta</v>
          </cell>
          <cell r="F230" t="str">
            <v>Estándar</v>
          </cell>
          <cell r="G230" t="str">
            <v>Unidad</v>
          </cell>
          <cell r="H230" t="str">
            <v>Unidades</v>
          </cell>
          <cell r="I230">
            <v>169.35771044266045</v>
          </cell>
          <cell r="J230">
            <v>169.35771044266045</v>
          </cell>
          <cell r="K230">
            <v>1.3939558244396575</v>
          </cell>
          <cell r="L230">
            <v>1.3939558244396575</v>
          </cell>
          <cell r="M230">
            <v>23.447496156930619</v>
          </cell>
          <cell r="N230">
            <v>23.447496156930619</v>
          </cell>
        </row>
        <row r="231">
          <cell r="A231" t="str">
            <v>905000004</v>
          </cell>
          <cell r="B231" t="str">
            <v>Relleno Frio Carne Peruano</v>
          </cell>
          <cell r="C231" t="str">
            <v>SE00231</v>
          </cell>
          <cell r="D231" t="str">
            <v>Relleno Frio Carne Peruano</v>
          </cell>
          <cell r="F231" t="str">
            <v>Estándar</v>
          </cell>
          <cell r="G231" t="str">
            <v>Peso</v>
          </cell>
          <cell r="H231" t="str">
            <v>Gramos</v>
          </cell>
          <cell r="I231">
            <v>3155.0306278492335</v>
          </cell>
          <cell r="J231">
            <v>3.1550306278492335</v>
          </cell>
          <cell r="K231">
            <v>0.44741376000000005</v>
          </cell>
          <cell r="L231">
            <v>4.4741376000000007E-4</v>
          </cell>
          <cell r="M231">
            <v>302.11318399999999</v>
          </cell>
          <cell r="N231">
            <v>0.30211318399999998</v>
          </cell>
        </row>
        <row r="232">
          <cell r="A232" t="str">
            <v>905000013</v>
          </cell>
          <cell r="B232" t="str">
            <v>Relleno De Carne Para lasaña 23200g</v>
          </cell>
          <cell r="C232" t="str">
            <v>SE00232</v>
          </cell>
          <cell r="D232" t="str">
            <v xml:space="preserve">Relleno De Carne Para Lasaña </v>
          </cell>
          <cell r="F232" t="str">
            <v>Estándar</v>
          </cell>
          <cell r="G232" t="str">
            <v>Peso</v>
          </cell>
          <cell r="H232" t="str">
            <v>Gramos</v>
          </cell>
          <cell r="I232">
            <v>2914.15265264751</v>
          </cell>
          <cell r="J232">
            <v>2.9141526526475099</v>
          </cell>
          <cell r="K232">
            <v>0.55926720000000008</v>
          </cell>
          <cell r="L232">
            <v>5.5926720000000008E-4</v>
          </cell>
          <cell r="M232">
            <v>87.641480000000001</v>
          </cell>
          <cell r="N232">
            <v>8.7641480000000008E-2</v>
          </cell>
        </row>
        <row r="233">
          <cell r="A233" t="str">
            <v>901000194</v>
          </cell>
          <cell r="B233" t="str">
            <v>COCCION CARNE MECHADA ARREGLADA KILO</v>
          </cell>
          <cell r="C233" t="str">
            <v>SE00233</v>
          </cell>
          <cell r="D233" t="str">
            <v>Coccion Carne Mechada Arreglada</v>
          </cell>
          <cell r="F233" t="str">
            <v>Estándar</v>
          </cell>
          <cell r="G233" t="str">
            <v>Peso</v>
          </cell>
          <cell r="H233" t="str">
            <v>Gramos</v>
          </cell>
          <cell r="I233">
            <v>5374.2120675795013</v>
          </cell>
          <cell r="J233">
            <v>5.3742120675795011</v>
          </cell>
          <cell r="K233">
            <v>1.3940739271091114</v>
          </cell>
          <cell r="L233">
            <v>1.3940739271091113E-3</v>
          </cell>
          <cell r="M233">
            <v>375.67362738329587</v>
          </cell>
          <cell r="N233">
            <v>0.37567362738329585</v>
          </cell>
        </row>
        <row r="234">
          <cell r="A234" t="str">
            <v>903000100</v>
          </cell>
          <cell r="B234" t="str">
            <v>EMPANADA DE POLLO Y CEBOLLA</v>
          </cell>
          <cell r="C234" t="str">
            <v>SE00234</v>
          </cell>
          <cell r="D234" t="str">
            <v>Empanada De Pollo Y Cebolla Planta</v>
          </cell>
          <cell r="F234" t="str">
            <v>Estándar</v>
          </cell>
          <cell r="G234" t="str">
            <v>Unidad</v>
          </cell>
          <cell r="H234" t="str">
            <v>Unidades</v>
          </cell>
          <cell r="I234">
            <v>221.98608309004635</v>
          </cell>
          <cell r="J234">
            <v>221.98608309004635</v>
          </cell>
          <cell r="K234">
            <v>1.5797794934179075</v>
          </cell>
          <cell r="L234">
            <v>1.5797794934179075</v>
          </cell>
          <cell r="M234">
            <v>33.983615376282309</v>
          </cell>
          <cell r="N234">
            <v>33.983615376282309</v>
          </cell>
        </row>
        <row r="235">
          <cell r="A235" t="str">
            <v>903000162</v>
          </cell>
          <cell r="B235" t="str">
            <v>RUEDAS PASTA FROLA PARA EMPANADA POLLO Y CEBOLLA</v>
          </cell>
          <cell r="C235" t="str">
            <v>SE00235</v>
          </cell>
          <cell r="D235" t="str">
            <v>Ruedas Pasta Frola Para Empanada Pollo Y Cebolla</v>
          </cell>
          <cell r="F235" t="str">
            <v>Estándar</v>
          </cell>
          <cell r="G235" t="str">
            <v>Unidad</v>
          </cell>
          <cell r="H235" t="str">
            <v>Unidades</v>
          </cell>
          <cell r="I235">
            <v>41.432964316998024</v>
          </cell>
          <cell r="J235">
            <v>41.432964316998024</v>
          </cell>
          <cell r="K235">
            <v>0.29897057295223256</v>
          </cell>
          <cell r="L235">
            <v>0.29897057295223256</v>
          </cell>
          <cell r="M235">
            <v>13.45786264263921</v>
          </cell>
          <cell r="N235">
            <v>13.45786264263921</v>
          </cell>
        </row>
        <row r="236">
          <cell r="A236" t="str">
            <v>901000110</v>
          </cell>
          <cell r="B236" t="str">
            <v>RELLENO DE POLLO Y CEBOLLA 400G STB</v>
          </cell>
          <cell r="C236" t="str">
            <v>SE00236</v>
          </cell>
          <cell r="D236" t="str">
            <v>Relleno De Pollo Y Cebolla 400G Stb</v>
          </cell>
          <cell r="F236" t="str">
            <v>Estándar</v>
          </cell>
          <cell r="G236" t="str">
            <v>Peso</v>
          </cell>
          <cell r="H236" t="str">
            <v>Gramos</v>
          </cell>
          <cell r="I236">
            <v>4452.680221365672</v>
          </cell>
          <cell r="J236">
            <v>4.4526802213656715</v>
          </cell>
          <cell r="K236">
            <v>13.73521591830854</v>
          </cell>
          <cell r="L236">
            <v>1.3735215918308541E-2</v>
          </cell>
          <cell r="M236">
            <v>272.25048500774409</v>
          </cell>
          <cell r="N236">
            <v>0.27225048500774407</v>
          </cell>
        </row>
        <row r="237">
          <cell r="A237" t="str">
            <v>90100091</v>
          </cell>
          <cell r="B237" t="str">
            <v>CEBOLLA CARAMELIZADA BLANCA 2000g</v>
          </cell>
          <cell r="C237" t="str">
            <v>SE00237</v>
          </cell>
          <cell r="D237" t="str">
            <v>Cebolla Caramelizada Blanca 2000G</v>
          </cell>
          <cell r="F237" t="str">
            <v>Estándar</v>
          </cell>
          <cell r="G237" t="str">
            <v>Peso</v>
          </cell>
          <cell r="H237" t="str">
            <v>Gramos</v>
          </cell>
          <cell r="I237">
            <v>3439.4103752941182</v>
          </cell>
          <cell r="J237">
            <v>3.4394103752941181</v>
          </cell>
          <cell r="K237">
            <v>6.0722560000000003</v>
          </cell>
          <cell r="L237">
            <v>6.0722560000000007E-3</v>
          </cell>
          <cell r="M237">
            <v>145.49879999999999</v>
          </cell>
          <cell r="N237">
            <v>0.14549879999999998</v>
          </cell>
        </row>
        <row r="238">
          <cell r="A238" t="str">
            <v>905000003</v>
          </cell>
          <cell r="B238" t="str">
            <v>RELLENO POLLO P/CREPA (KILO)</v>
          </cell>
          <cell r="C238" t="str">
            <v>SE00238</v>
          </cell>
          <cell r="D238" t="str">
            <v>Relleno Pollo P/Crepa (Kilo)</v>
          </cell>
          <cell r="F238" t="str">
            <v>Estándar</v>
          </cell>
          <cell r="G238" t="str">
            <v>Peso</v>
          </cell>
          <cell r="H238" t="str">
            <v>Gramos</v>
          </cell>
          <cell r="I238">
            <v>3896.4651124830389</v>
          </cell>
          <cell r="J238">
            <v>3.896465112483039</v>
          </cell>
          <cell r="K238">
            <v>0.25274021510643663</v>
          </cell>
          <cell r="L238">
            <v>2.5274021510643662E-4</v>
          </cell>
          <cell r="M238">
            <v>100.97999092317113</v>
          </cell>
          <cell r="N238">
            <v>0.10097999092317113</v>
          </cell>
        </row>
        <row r="239">
          <cell r="A239" t="str">
            <v>906000086</v>
          </cell>
          <cell r="B239" t="str">
            <v>EMPANADA PIÑA Y COCO</v>
          </cell>
          <cell r="C239" t="str">
            <v>SE00239</v>
          </cell>
          <cell r="D239" t="str">
            <v>Empanada Piña Y Coco Planta</v>
          </cell>
          <cell r="F239" t="str">
            <v>Estándar</v>
          </cell>
          <cell r="G239" t="str">
            <v>Unidad</v>
          </cell>
          <cell r="H239" t="str">
            <v>Unidades</v>
          </cell>
          <cell r="I239">
            <v>132.6988148159657</v>
          </cell>
          <cell r="J239">
            <v>132.6988148159657</v>
          </cell>
          <cell r="K239">
            <v>1.4269050196753434</v>
          </cell>
          <cell r="L239">
            <v>1.4269050196753434</v>
          </cell>
          <cell r="M239">
            <v>30.66862120489137</v>
          </cell>
          <cell r="N239">
            <v>30.66862120489137</v>
          </cell>
        </row>
        <row r="240">
          <cell r="A240" t="str">
            <v>90200046</v>
          </cell>
          <cell r="B240" t="str">
            <v>RELLENO DE COCO Y PIÑA</v>
          </cell>
          <cell r="C240" t="str">
            <v>SE00240</v>
          </cell>
          <cell r="D240" t="str">
            <v>Relleno De Coco Y Piña</v>
          </cell>
          <cell r="F240" t="str">
            <v>Estándar</v>
          </cell>
          <cell r="G240" t="str">
            <v>Peso</v>
          </cell>
          <cell r="H240" t="str">
            <v>Gramos</v>
          </cell>
          <cell r="I240">
            <v>1969.670353011971</v>
          </cell>
          <cell r="J240">
            <v>1.969670353011971</v>
          </cell>
          <cell r="K240">
            <v>1.0816834744434484E-2</v>
          </cell>
          <cell r="L240">
            <v>1.0816834744434483E-5</v>
          </cell>
          <cell r="M240">
            <v>234.76063072297075</v>
          </cell>
          <cell r="N240">
            <v>0.23476063072297074</v>
          </cell>
        </row>
        <row r="241">
          <cell r="A241" t="str">
            <v>302000073</v>
          </cell>
          <cell r="B241" t="str">
            <v>Empaque Salsa Roja Economica(3000g) Fas</v>
          </cell>
          <cell r="C241" t="str">
            <v>SE00241</v>
          </cell>
          <cell r="D241" t="str">
            <v>Empaque Salsa Roja Econ Fas</v>
          </cell>
          <cell r="F241" t="str">
            <v>Estándar</v>
          </cell>
          <cell r="G241" t="str">
            <v>Peso</v>
          </cell>
          <cell r="H241" t="str">
            <v>Gramos</v>
          </cell>
          <cell r="I241">
            <v>1058.7885662129479</v>
          </cell>
          <cell r="J241">
            <v>1.0587885662129479</v>
          </cell>
          <cell r="K241">
            <v>2.3003022365220471</v>
          </cell>
          <cell r="L241">
            <v>2.3003022365220473E-3</v>
          </cell>
          <cell r="M241">
            <v>140.9939326929134</v>
          </cell>
          <cell r="N241">
            <v>0.14099393269291341</v>
          </cell>
        </row>
        <row r="242">
          <cell r="A242" t="str">
            <v>904000045</v>
          </cell>
          <cell r="B242" t="str">
            <v>Salsa Roja Economica Ind</v>
          </cell>
          <cell r="C242" t="str">
            <v>SE00242</v>
          </cell>
          <cell r="D242" t="str">
            <v xml:space="preserve">Salsa Roja Economica </v>
          </cell>
          <cell r="F242" t="str">
            <v>Estándar</v>
          </cell>
          <cell r="G242" t="str">
            <v>Peso</v>
          </cell>
          <cell r="H242" t="str">
            <v>Gramos</v>
          </cell>
          <cell r="I242">
            <v>1058.7885662129479</v>
          </cell>
          <cell r="J242">
            <v>1.0587885662129479</v>
          </cell>
          <cell r="K242">
            <v>1.4569689116220474</v>
          </cell>
          <cell r="L242">
            <v>1.4569689116220475E-3</v>
          </cell>
          <cell r="M242">
            <v>111.99393269291339</v>
          </cell>
          <cell r="N242">
            <v>0.11199393269291338</v>
          </cell>
        </row>
        <row r="243">
          <cell r="A243" t="str">
            <v>901000001</v>
          </cell>
          <cell r="B243" t="str">
            <v>Relleno de carne lasaña Bucca</v>
          </cell>
          <cell r="C243" t="str">
            <v>SE00243</v>
          </cell>
          <cell r="D243" t="str">
            <v>Relleno De Carne Lasaña Bucca</v>
          </cell>
          <cell r="F243" t="str">
            <v>Estándar</v>
          </cell>
          <cell r="G243" t="str">
            <v>Peso</v>
          </cell>
          <cell r="H243" t="str">
            <v>Gramos</v>
          </cell>
          <cell r="I243">
            <v>2729.0808345615601</v>
          </cell>
          <cell r="J243">
            <v>2.72908083456156</v>
          </cell>
          <cell r="K243">
            <v>1.1896256000000001</v>
          </cell>
          <cell r="L243">
            <v>1.1896256000000001E-3</v>
          </cell>
          <cell r="M243">
            <v>201.1962</v>
          </cell>
          <cell r="N243">
            <v>0.20119619999999999</v>
          </cell>
        </row>
        <row r="244">
          <cell r="A244" t="str">
            <v>90100342</v>
          </cell>
          <cell r="B244" t="str">
            <v>EMPAQUE SALSA BLANCA PAPA JHONS</v>
          </cell>
          <cell r="C244" t="str">
            <v>SE00244</v>
          </cell>
          <cell r="D244" t="str">
            <v>Empaque Salsa Blanca Papa Jhons</v>
          </cell>
          <cell r="F244" t="str">
            <v>Estándar</v>
          </cell>
          <cell r="G244" t="str">
            <v>Peso</v>
          </cell>
          <cell r="H244" t="str">
            <v>Gramos</v>
          </cell>
          <cell r="I244">
            <v>1028.5238199710627</v>
          </cell>
          <cell r="J244">
            <v>1.0285238199710627</v>
          </cell>
          <cell r="K244">
            <v>1.54362306606016</v>
          </cell>
          <cell r="L244">
            <v>1.54362306606016E-3</v>
          </cell>
          <cell r="M244">
            <v>31.501083175759998</v>
          </cell>
          <cell r="N244">
            <v>3.1501083175759996E-2</v>
          </cell>
        </row>
        <row r="245">
          <cell r="A245" t="str">
            <v>90100015</v>
          </cell>
          <cell r="B245" t="str">
            <v>RELLENO POLLO BUCCA P/PASTEL TANDA=9915g</v>
          </cell>
          <cell r="C245" t="str">
            <v>SE00245</v>
          </cell>
          <cell r="D245" t="str">
            <v>Relleno Pollo Pastel Bucca</v>
          </cell>
          <cell r="F245" t="str">
            <v>Estándar</v>
          </cell>
          <cell r="G245" t="str">
            <v>Peso</v>
          </cell>
          <cell r="H245" t="str">
            <v>Gramos</v>
          </cell>
          <cell r="I245">
            <v>2010.3056683972943</v>
          </cell>
          <cell r="J245">
            <v>2.0103056683972942</v>
          </cell>
          <cell r="K245">
            <v>2.2518737888256002</v>
          </cell>
          <cell r="L245">
            <v>2.2518737888256E-3</v>
          </cell>
          <cell r="M245">
            <v>191.21873464160001</v>
          </cell>
          <cell r="N245">
            <v>0.1912187346416</v>
          </cell>
        </row>
        <row r="246">
          <cell r="A246" t="str">
            <v>90100341</v>
          </cell>
          <cell r="B246" t="str">
            <v>SALSA BLANCA PAPA JOHNS</v>
          </cell>
          <cell r="C246" t="str">
            <v>SE00246</v>
          </cell>
          <cell r="D246" t="str">
            <v>Salsa Blanca Papa Johns</v>
          </cell>
          <cell r="F246" t="str">
            <v>Estándar</v>
          </cell>
          <cell r="G246" t="str">
            <v>Peso</v>
          </cell>
          <cell r="H246" t="str">
            <v>Gramos</v>
          </cell>
          <cell r="I246">
            <v>1028.5238199710627</v>
          </cell>
          <cell r="J246">
            <v>1.0285238199710627</v>
          </cell>
          <cell r="K246">
            <v>0.71802306606015998</v>
          </cell>
          <cell r="L246">
            <v>7.1802306606015998E-4</v>
          </cell>
          <cell r="M246">
            <v>11.201083175760001</v>
          </cell>
          <cell r="N246">
            <v>1.1201083175760001E-2</v>
          </cell>
        </row>
        <row r="247">
          <cell r="A247" t="str">
            <v>96285</v>
          </cell>
          <cell r="B247" t="str">
            <v>ROSQUETE CHOCOLATE PILLSBURY 50g</v>
          </cell>
          <cell r="C247" t="str">
            <v>SE00247</v>
          </cell>
          <cell r="D247" t="str">
            <v>Rosquete Chocolate Pills 50 grs</v>
          </cell>
          <cell r="F247" t="str">
            <v>Estándar</v>
          </cell>
          <cell r="G247" t="str">
            <v>Unidad</v>
          </cell>
          <cell r="H247" t="str">
            <v>Unidades</v>
          </cell>
          <cell r="I247">
            <v>99.441457742076253</v>
          </cell>
          <cell r="J247">
            <v>99.441457742076253</v>
          </cell>
          <cell r="K247">
            <v>4.9087936258912796E-3</v>
          </cell>
          <cell r="L247">
            <v>4.9087936258912796E-3</v>
          </cell>
          <cell r="M247">
            <v>3.5608839091254598</v>
          </cell>
          <cell r="N247">
            <v>3.5608839091254598</v>
          </cell>
        </row>
        <row r="248">
          <cell r="A248" t="str">
            <v>907000255</v>
          </cell>
          <cell r="B248" t="str">
            <v>ROSQUETE DE VANILLA PURATOS 700G</v>
          </cell>
          <cell r="C248" t="str">
            <v>SE00248</v>
          </cell>
          <cell r="D248" t="str">
            <v>Rosquete Vanilla Puratos 700 grs</v>
          </cell>
          <cell r="F248" t="str">
            <v>Estándar</v>
          </cell>
          <cell r="G248" t="str">
            <v>Unidad</v>
          </cell>
          <cell r="H248" t="str">
            <v>Unidades</v>
          </cell>
          <cell r="I248">
            <v>1091.1643782291458</v>
          </cell>
          <cell r="J248">
            <v>1091.1643782291458</v>
          </cell>
          <cell r="K248">
            <v>11.572701315033365</v>
          </cell>
          <cell r="L248">
            <v>11.572701315033365</v>
          </cell>
          <cell r="M248">
            <v>20.046525049861955</v>
          </cell>
          <cell r="N248">
            <v>20.046525049861955</v>
          </cell>
        </row>
        <row r="249">
          <cell r="A249" t="str">
            <v>907000226</v>
          </cell>
          <cell r="B249" t="str">
            <v>ROSQUETE DE CHOCOLATE BUCCA (800G)</v>
          </cell>
          <cell r="C249" t="str">
            <v>SE00249</v>
          </cell>
          <cell r="D249" t="str">
            <v>Rosquete Chocolate Bucca 800 grs</v>
          </cell>
          <cell r="F249" t="str">
            <v>Estándar</v>
          </cell>
          <cell r="G249" t="str">
            <v>Unidad</v>
          </cell>
          <cell r="H249" t="str">
            <v>Unidades</v>
          </cell>
          <cell r="I249">
            <v>1438.3067915866393</v>
          </cell>
          <cell r="J249">
            <v>1438.3067915866393</v>
          </cell>
          <cell r="K249">
            <v>12.786166666666666</v>
          </cell>
          <cell r="L249">
            <v>12.786166666666666</v>
          </cell>
          <cell r="M249">
            <v>43.465779999999995</v>
          </cell>
          <cell r="N249">
            <v>43.465779999999995</v>
          </cell>
        </row>
        <row r="250">
          <cell r="A250" t="str">
            <v>907000026</v>
          </cell>
          <cell r="B250" t="str">
            <v>MEZCLA TRES LECHES Y KOLITA (LITRO)</v>
          </cell>
          <cell r="C250" t="str">
            <v>SE00250</v>
          </cell>
          <cell r="D250" t="str">
            <v xml:space="preserve">Mezcla Tres Leches Y Kolita </v>
          </cell>
          <cell r="F250" t="str">
            <v>Estándar</v>
          </cell>
          <cell r="G250" t="str">
            <v>Peso</v>
          </cell>
          <cell r="H250" t="str">
            <v>Gramos</v>
          </cell>
          <cell r="I250">
            <v>1465.3697287639206</v>
          </cell>
          <cell r="J250">
            <v>1.4653697287639207</v>
          </cell>
          <cell r="K250">
            <v>0.9597980444444445</v>
          </cell>
          <cell r="L250">
            <v>9.5979804444444453E-4</v>
          </cell>
          <cell r="M250">
            <v>23.074593044444448</v>
          </cell>
          <cell r="N250">
            <v>2.3074593044444449E-2</v>
          </cell>
        </row>
        <row r="251">
          <cell r="A251" t="str">
            <v>910000030</v>
          </cell>
          <cell r="B251" t="str">
            <v>CREMA BLANCA C/SIROPE KOLITA KILO</v>
          </cell>
          <cell r="C251" t="str">
            <v>SE00251</v>
          </cell>
          <cell r="D251" t="str">
            <v>Crema Blanca C/Sirope Kolita</v>
          </cell>
          <cell r="F251" t="str">
            <v>Estándar</v>
          </cell>
          <cell r="G251" t="str">
            <v>Peso</v>
          </cell>
          <cell r="H251" t="str">
            <v>Gramos</v>
          </cell>
          <cell r="I251">
            <v>2285.4230254669806</v>
          </cell>
          <cell r="J251">
            <v>2.2854230254669807</v>
          </cell>
          <cell r="K251">
            <v>0.12534327010461538</v>
          </cell>
          <cell r="L251">
            <v>1.2534327010461539E-4</v>
          </cell>
          <cell r="M251">
            <v>31.7829792</v>
          </cell>
          <cell r="N251">
            <v>3.1782979199999999E-2</v>
          </cell>
        </row>
        <row r="252">
          <cell r="A252" t="str">
            <v>905000078</v>
          </cell>
          <cell r="B252" t="str">
            <v>CREMA ROJA LIQUIDA PARA MARMOLEAR</v>
          </cell>
          <cell r="C252" t="str">
            <v>SE00252</v>
          </cell>
          <cell r="D252" t="str">
            <v>Crema Roja Liquida Para Marmolear</v>
          </cell>
          <cell r="F252" t="str">
            <v>Estándar</v>
          </cell>
          <cell r="G252" t="str">
            <v>Peso</v>
          </cell>
          <cell r="H252" t="str">
            <v>Gramos</v>
          </cell>
          <cell r="I252">
            <v>2444.4773175542405</v>
          </cell>
          <cell r="J252">
            <v>2.4444773175542407</v>
          </cell>
          <cell r="K252">
            <v>138.56975</v>
          </cell>
          <cell r="L252">
            <v>0.13856974999999999</v>
          </cell>
          <cell r="M252">
            <v>148.47999999999999</v>
          </cell>
          <cell r="N252">
            <v>0.14848</v>
          </cell>
        </row>
        <row r="253">
          <cell r="A253" t="str">
            <v>907000035</v>
          </cell>
          <cell r="B253" t="str">
            <v>ROSQUETE SUPER ESPONJA (380g)</v>
          </cell>
          <cell r="C253" t="str">
            <v>SE00253</v>
          </cell>
          <cell r="D253" t="str">
            <v>Rosquete Super Esponja 380 grs</v>
          </cell>
          <cell r="F253" t="str">
            <v>Estándar</v>
          </cell>
          <cell r="G253" t="str">
            <v>Unidad</v>
          </cell>
          <cell r="H253" t="str">
            <v>Unidades</v>
          </cell>
          <cell r="I253">
            <v>828.32071020472051</v>
          </cell>
          <cell r="J253">
            <v>828.32071020472051</v>
          </cell>
          <cell r="K253">
            <v>4.3931297483283887</v>
          </cell>
          <cell r="L253">
            <v>4.3931297483283887</v>
          </cell>
          <cell r="M253">
            <v>18.803472400900972</v>
          </cell>
          <cell r="N253">
            <v>18.803472400900972</v>
          </cell>
        </row>
        <row r="254">
          <cell r="A254" t="str">
            <v>96451</v>
          </cell>
          <cell r="B254" t="str">
            <v>LECHES PASTEURIZADA CON AGUA</v>
          </cell>
          <cell r="C254" t="str">
            <v>SE00254</v>
          </cell>
          <cell r="D254" t="str">
            <v>Leches Pasteurizada Con Agua</v>
          </cell>
          <cell r="F254" t="str">
            <v>Estándar</v>
          </cell>
          <cell r="G254" t="str">
            <v>Peso</v>
          </cell>
          <cell r="H254" t="str">
            <v>Gramos</v>
          </cell>
          <cell r="I254">
            <v>1906.3413422407345</v>
          </cell>
          <cell r="J254">
            <v>1.9063413422407345</v>
          </cell>
          <cell r="K254">
            <v>1.7100100923076924</v>
          </cell>
          <cell r="L254">
            <v>1.7100100923076924E-3</v>
          </cell>
          <cell r="M254">
            <v>69.090520861538465</v>
          </cell>
          <cell r="N254">
            <v>6.9090520861538468E-2</v>
          </cell>
        </row>
        <row r="255">
          <cell r="A255" t="str">
            <v>902000032</v>
          </cell>
          <cell r="B255" t="str">
            <v>RELLENO DE MANTEQUILLA Y QUESO LIMON</v>
          </cell>
          <cell r="C255" t="str">
            <v>SE00255</v>
          </cell>
          <cell r="D255" t="str">
            <v>Relleno De Mantequilla Y Queso Limon</v>
          </cell>
          <cell r="F255" t="str">
            <v>Estándar</v>
          </cell>
          <cell r="G255" t="str">
            <v>Peso</v>
          </cell>
          <cell r="H255" t="str">
            <v>Gramos</v>
          </cell>
          <cell r="I255">
            <v>2552.207053271743</v>
          </cell>
          <cell r="J255">
            <v>2.5522070532717431</v>
          </cell>
          <cell r="K255">
            <v>8.784384000000001E-3</v>
          </cell>
          <cell r="L255">
            <v>8.7843840000000014E-6</v>
          </cell>
          <cell r="M255">
            <v>24.14424</v>
          </cell>
          <cell r="N255">
            <v>2.4144240000000001E-2</v>
          </cell>
        </row>
        <row r="256">
          <cell r="A256" t="str">
            <v>96453</v>
          </cell>
          <cell r="B256" t="str">
            <v>GALLETA VAINILLA CON CHOCOLATE BLANCO</v>
          </cell>
          <cell r="C256" t="str">
            <v>SE00256</v>
          </cell>
          <cell r="D256" t="str">
            <v>Galleta Vainilla Con Chocolate Blanco</v>
          </cell>
          <cell r="F256" t="str">
            <v>Estándar</v>
          </cell>
          <cell r="G256" t="str">
            <v>Peso</v>
          </cell>
          <cell r="H256" t="str">
            <v>Gramos</v>
          </cell>
          <cell r="I256">
            <v>3424.7994444444444</v>
          </cell>
          <cell r="J256">
            <v>3.4247994444444445</v>
          </cell>
          <cell r="K256">
            <v>0</v>
          </cell>
          <cell r="L256">
            <v>0</v>
          </cell>
          <cell r="M256">
            <v>181.25</v>
          </cell>
          <cell r="N256">
            <v>0.18124999999999999</v>
          </cell>
        </row>
        <row r="257">
          <cell r="A257" t="str">
            <v>907000250</v>
          </cell>
          <cell r="B257" t="str">
            <v>ROSQUETE PILLSBURY VAINILLA REDONDO 14"(1050g) KFC</v>
          </cell>
          <cell r="C257" t="str">
            <v>SE00257</v>
          </cell>
          <cell r="D257" t="str">
            <v>Rosquete Pillsbury Vainilla Redondo 14" 1050 grs</v>
          </cell>
          <cell r="F257" t="str">
            <v>Estándar</v>
          </cell>
          <cell r="G257" t="str">
            <v>Unidad</v>
          </cell>
          <cell r="H257" t="str">
            <v>Unidades</v>
          </cell>
          <cell r="I257">
            <v>916.7257685582307</v>
          </cell>
          <cell r="J257">
            <v>916.7257685582307</v>
          </cell>
          <cell r="K257">
            <v>49.33</v>
          </cell>
          <cell r="L257">
            <v>49.33</v>
          </cell>
          <cell r="M257">
            <v>159.2825</v>
          </cell>
          <cell r="N257">
            <v>159.2825</v>
          </cell>
        </row>
        <row r="258">
          <cell r="A258" t="str">
            <v>907000228</v>
          </cell>
          <cell r="B258" t="str">
            <v>ROSQUETE CHOCOLATE LA CIABATTA 14´´(crudo 800g)</v>
          </cell>
          <cell r="C258" t="str">
            <v>SE00258</v>
          </cell>
          <cell r="D258" t="str">
            <v>Rosquete Chocolate La Ciabatta 14´´ 800 grs</v>
          </cell>
          <cell r="F258" t="str">
            <v>Estándar</v>
          </cell>
          <cell r="G258" t="str">
            <v>Unidad</v>
          </cell>
          <cell r="H258" t="str">
            <v>Unidades</v>
          </cell>
          <cell r="I258">
            <v>1438.3067915866393</v>
          </cell>
          <cell r="J258">
            <v>1438.3067915866393</v>
          </cell>
          <cell r="K258">
            <v>1.0861666666666667</v>
          </cell>
          <cell r="L258">
            <v>1.0861666666666667</v>
          </cell>
          <cell r="M258">
            <v>43.465779999999995</v>
          </cell>
          <cell r="N258">
            <v>43.465779999999995</v>
          </cell>
        </row>
        <row r="259">
          <cell r="A259" t="str">
            <v>95716</v>
          </cell>
          <cell r="B259" t="str">
            <v>CREMA CHANTILLY FIGURITAS (6000g)</v>
          </cell>
          <cell r="C259" t="str">
            <v>SE00259</v>
          </cell>
          <cell r="D259" t="str">
            <v xml:space="preserve">Crema Chantilly Figuritas </v>
          </cell>
          <cell r="F259" t="str">
            <v>Estándar</v>
          </cell>
          <cell r="G259" t="str">
            <v>Peso</v>
          </cell>
          <cell r="H259" t="str">
            <v>Gramos</v>
          </cell>
          <cell r="I259">
            <v>2504</v>
          </cell>
          <cell r="J259">
            <v>2.504</v>
          </cell>
          <cell r="K259">
            <v>0</v>
          </cell>
          <cell r="L259">
            <v>0</v>
          </cell>
          <cell r="M259">
            <v>48.314</v>
          </cell>
          <cell r="N259">
            <v>4.8314000000000003E-2</v>
          </cell>
        </row>
        <row r="260">
          <cell r="A260" t="str">
            <v>907000249</v>
          </cell>
          <cell r="B260" t="str">
            <v>ROSQUETE PILLSBURY VAINILLA REDONDO 12"(750g) KFC</v>
          </cell>
          <cell r="C260" t="str">
            <v>SE00260</v>
          </cell>
          <cell r="D260" t="str">
            <v>Rosquete Pillsbury Vainilla Redondo 12" 750 grs</v>
          </cell>
          <cell r="F260" t="str">
            <v>Estándar</v>
          </cell>
          <cell r="G260" t="str">
            <v>Unidad</v>
          </cell>
          <cell r="H260" t="str">
            <v>Unidades</v>
          </cell>
          <cell r="I260">
            <v>667.88822264193493</v>
          </cell>
          <cell r="J260">
            <v>667.88822264193493</v>
          </cell>
          <cell r="K260">
            <v>22.201136363636362</v>
          </cell>
          <cell r="L260">
            <v>22.201136363636362</v>
          </cell>
          <cell r="M260">
            <v>141.99454545454546</v>
          </cell>
          <cell r="N260">
            <v>141.99454545454546</v>
          </cell>
        </row>
        <row r="261">
          <cell r="A261" t="str">
            <v>907000030</v>
          </cell>
          <cell r="B261" t="str">
            <v>ROSQUETE CHOCOLATE LA CIABATTA(crudo 650g)</v>
          </cell>
          <cell r="C261" t="str">
            <v>SE00261</v>
          </cell>
          <cell r="D261" t="str">
            <v>Rosquete Chocolate La Ciabatta 12" 650 grs</v>
          </cell>
          <cell r="F261" t="str">
            <v>Estándar</v>
          </cell>
          <cell r="G261" t="str">
            <v>Unidad</v>
          </cell>
          <cell r="H261" t="str">
            <v>Unidades</v>
          </cell>
          <cell r="I261">
            <v>1181.4595930522823</v>
          </cell>
          <cell r="J261">
            <v>1181.4595930522823</v>
          </cell>
          <cell r="K261">
            <v>0.34876712328767123</v>
          </cell>
          <cell r="L261">
            <v>0.34876712328767123</v>
          </cell>
          <cell r="M261">
            <v>19.880969863013696</v>
          </cell>
          <cell r="N261">
            <v>19.880969863013696</v>
          </cell>
        </row>
        <row r="262">
          <cell r="A262" t="str">
            <v>907000206</v>
          </cell>
          <cell r="B262" t="str">
            <v>ROSQUETE CHAI 360 g</v>
          </cell>
          <cell r="C262" t="str">
            <v>SE00262</v>
          </cell>
          <cell r="D262" t="str">
            <v>Rosquete Chai 360 g</v>
          </cell>
          <cell r="F262" t="str">
            <v>Estándar</v>
          </cell>
          <cell r="G262" t="str">
            <v>Unidad</v>
          </cell>
          <cell r="H262" t="str">
            <v>Unidades</v>
          </cell>
          <cell r="I262">
            <v>842.23746502679069</v>
          </cell>
          <cell r="J262">
            <v>842.23746502679069</v>
          </cell>
          <cell r="K262">
            <v>7.3825923636230417</v>
          </cell>
          <cell r="L262">
            <v>7.3825923636230417</v>
          </cell>
          <cell r="M262">
            <v>22.639016250040001</v>
          </cell>
          <cell r="N262">
            <v>22.639016250040001</v>
          </cell>
        </row>
        <row r="263">
          <cell r="A263" t="str">
            <v>902000083</v>
          </cell>
          <cell r="B263" t="str">
            <v>MEZCALA LECHES Y CHAI</v>
          </cell>
          <cell r="C263" t="str">
            <v>SE00263</v>
          </cell>
          <cell r="D263" t="str">
            <v>Mezcla Leches Y Chai</v>
          </cell>
          <cell r="F263" t="str">
            <v>Estándar</v>
          </cell>
          <cell r="G263" t="str">
            <v>Peso</v>
          </cell>
          <cell r="H263" t="str">
            <v>Gramos</v>
          </cell>
          <cell r="I263">
            <v>2024.1641834124334</v>
          </cell>
          <cell r="J263">
            <v>2.0241641834124335</v>
          </cell>
          <cell r="K263">
            <v>1.2642949019607845</v>
          </cell>
          <cell r="L263">
            <v>1.2642949019607845E-3</v>
          </cell>
          <cell r="M263">
            <v>32.832412549019608</v>
          </cell>
          <cell r="N263">
            <v>3.2832412549019606E-2</v>
          </cell>
        </row>
        <row r="264">
          <cell r="A264" t="str">
            <v>902000084</v>
          </cell>
          <cell r="B264" t="str">
            <v>CREMA PASTELERA-VERSATIÉ</v>
          </cell>
          <cell r="C264" t="str">
            <v>SE00264</v>
          </cell>
          <cell r="D264" t="str">
            <v>Crema Pastelera-Versatié</v>
          </cell>
          <cell r="F264" t="str">
            <v>Estándar</v>
          </cell>
          <cell r="G264" t="str">
            <v>Peso</v>
          </cell>
          <cell r="H264" t="str">
            <v>Gramos</v>
          </cell>
          <cell r="I264">
            <v>1699.9830682630329</v>
          </cell>
          <cell r="J264">
            <v>1.699983068263033</v>
          </cell>
          <cell r="K264">
            <v>7.1052095808000031</v>
          </cell>
          <cell r="L264">
            <v>7.1052095808000031E-3</v>
          </cell>
          <cell r="M264">
            <v>164.90358285280001</v>
          </cell>
          <cell r="N264">
            <v>0.16490358285280002</v>
          </cell>
        </row>
        <row r="265">
          <cell r="A265" t="str">
            <v>905000096</v>
          </cell>
          <cell r="B265" t="str">
            <v>HIGOS PICADOS</v>
          </cell>
          <cell r="C265" t="str">
            <v>SE00265</v>
          </cell>
          <cell r="D265" t="str">
            <v>Higos Picados</v>
          </cell>
          <cell r="F265" t="str">
            <v>Estándar</v>
          </cell>
          <cell r="G265" t="str">
            <v>Peso</v>
          </cell>
          <cell r="H265" t="str">
            <v>Gramos</v>
          </cell>
          <cell r="I265">
            <v>3513.0434782608695</v>
          </cell>
          <cell r="J265">
            <v>3.5130434782608697</v>
          </cell>
          <cell r="K265">
            <v>0.57999999999999996</v>
          </cell>
          <cell r="L265">
            <v>5.8E-4</v>
          </cell>
          <cell r="M265">
            <v>290</v>
          </cell>
          <cell r="N265">
            <v>0.28999999999999998</v>
          </cell>
        </row>
        <row r="266">
          <cell r="A266" t="str">
            <v>902000036</v>
          </cell>
          <cell r="B266" t="str">
            <v>ALMENDRAS CON CHOCOLATE BLANCO ( 1950g)</v>
          </cell>
          <cell r="C266" t="str">
            <v>SE00266</v>
          </cell>
          <cell r="D266" t="str">
            <v xml:space="preserve">Almendras Con Chocolate Blanco </v>
          </cell>
          <cell r="F266" t="str">
            <v>Estándar</v>
          </cell>
          <cell r="G266" t="str">
            <v>Peso</v>
          </cell>
          <cell r="H266" t="str">
            <v>Gramos</v>
          </cell>
          <cell r="I266">
            <v>3397.7065023016949</v>
          </cell>
          <cell r="J266">
            <v>3.3977065023016948</v>
          </cell>
          <cell r="K266">
            <v>159.99163292847504</v>
          </cell>
          <cell r="L266">
            <v>0.15999163292847504</v>
          </cell>
          <cell r="M266">
            <v>358.09403508771925</v>
          </cell>
          <cell r="N266">
            <v>0.35809403508771925</v>
          </cell>
        </row>
        <row r="267">
          <cell r="A267" t="str">
            <v>907000205</v>
          </cell>
          <cell r="B267" t="str">
            <v>BATIDO CHAI</v>
          </cell>
          <cell r="C267" t="str">
            <v>SE00267</v>
          </cell>
          <cell r="D267" t="str">
            <v>Batido Rosquete Chai</v>
          </cell>
          <cell r="F267" t="str">
            <v>Estándar</v>
          </cell>
          <cell r="G267" t="str">
            <v>Peso</v>
          </cell>
          <cell r="H267" t="str">
            <v>Gramos</v>
          </cell>
          <cell r="I267">
            <v>2511.9594916820861</v>
          </cell>
          <cell r="J267">
            <v>2.5119594916820862</v>
          </cell>
          <cell r="K267">
            <v>0</v>
          </cell>
          <cell r="L267">
            <v>0</v>
          </cell>
          <cell r="M267">
            <v>12.411999999999999</v>
          </cell>
          <cell r="N267">
            <v>1.2411999999999999E-2</v>
          </cell>
        </row>
        <row r="268">
          <cell r="A268" t="str">
            <v>90100283</v>
          </cell>
          <cell r="B268" t="str">
            <v>CREMA PASTELERA 2000 g</v>
          </cell>
          <cell r="C268" t="str">
            <v>SE00268</v>
          </cell>
          <cell r="D268" t="str">
            <v xml:space="preserve">Crema Pastelera </v>
          </cell>
          <cell r="F268" t="str">
            <v>Estándar</v>
          </cell>
          <cell r="G268" t="str">
            <v>Peso</v>
          </cell>
          <cell r="H268" t="str">
            <v>Gramos</v>
          </cell>
          <cell r="I268">
            <v>1585.0858611726369</v>
          </cell>
          <cell r="J268">
            <v>1.5850858611726368</v>
          </cell>
          <cell r="K268">
            <v>9.9892640000000021</v>
          </cell>
          <cell r="L268">
            <v>9.9892640000000029E-3</v>
          </cell>
          <cell r="M268">
            <v>174.99052399999999</v>
          </cell>
          <cell r="N268">
            <v>0.17499052399999998</v>
          </cell>
        </row>
        <row r="269">
          <cell r="A269" t="str">
            <v>902000035</v>
          </cell>
          <cell r="B269" t="str">
            <v>ALMENDRAS CARAMELIZADAS</v>
          </cell>
          <cell r="C269" t="str">
            <v>SE00269</v>
          </cell>
          <cell r="D269" t="str">
            <v>Almendras Caramelizadas</v>
          </cell>
          <cell r="F269" t="str">
            <v>Estándar</v>
          </cell>
          <cell r="G269" t="str">
            <v>Peso</v>
          </cell>
          <cell r="H269" t="str">
            <v>Gramos</v>
          </cell>
          <cell r="I269">
            <v>2956.3499017105269</v>
          </cell>
          <cell r="J269">
            <v>2.956349901710527</v>
          </cell>
          <cell r="K269">
            <v>235.93368421052634</v>
          </cell>
          <cell r="L269">
            <v>0.23593368421052635</v>
          </cell>
          <cell r="M269">
            <v>408.74736842105261</v>
          </cell>
          <cell r="N269">
            <v>0.40874736842105264</v>
          </cell>
        </row>
        <row r="270">
          <cell r="A270" t="str">
            <v>906000033</v>
          </cell>
          <cell r="B270" t="str">
            <v>PASTA P/PALITOS DE QUESO (KILO)</v>
          </cell>
          <cell r="C270" t="str">
            <v>SE00270</v>
          </cell>
          <cell r="D270" t="str">
            <v>Pasta P/Palitos De Queso</v>
          </cell>
          <cell r="F270" t="str">
            <v>Estándar</v>
          </cell>
          <cell r="G270" t="str">
            <v>Peso</v>
          </cell>
          <cell r="H270" t="str">
            <v>Gramos</v>
          </cell>
          <cell r="I270">
            <v>4392.2501659412192</v>
          </cell>
          <cell r="J270">
            <v>4.3922501659412188</v>
          </cell>
          <cell r="K270">
            <v>24.977195920000003</v>
          </cell>
          <cell r="L270">
            <v>2.4977195920000004E-2</v>
          </cell>
          <cell r="M270">
            <v>306.27015999999998</v>
          </cell>
          <cell r="N270">
            <v>0.30627015999999996</v>
          </cell>
        </row>
        <row r="271">
          <cell r="A271" t="str">
            <v>901000034</v>
          </cell>
          <cell r="B271" t="str">
            <v>PREMEZCLA P/BATIDO PALITOS QUESO SPOON</v>
          </cell>
          <cell r="C271" t="str">
            <v>SE00271</v>
          </cell>
          <cell r="D271" t="str">
            <v>Premezcla P/Batido Palitos Queso Spoon</v>
          </cell>
          <cell r="F271" t="str">
            <v>Estándar</v>
          </cell>
          <cell r="G271" t="str">
            <v>Peso</v>
          </cell>
          <cell r="H271" t="str">
            <v>Gramos</v>
          </cell>
          <cell r="I271">
            <v>787.27957161290317</v>
          </cell>
          <cell r="J271">
            <v>0.78727957161290318</v>
          </cell>
          <cell r="K271">
            <v>40.285799870967743</v>
          </cell>
          <cell r="L271">
            <v>4.0285799870967746E-2</v>
          </cell>
          <cell r="M271">
            <v>44.951870967741939</v>
          </cell>
          <cell r="N271">
            <v>4.495187096774194E-2</v>
          </cell>
        </row>
        <row r="272">
          <cell r="A272" t="str">
            <v>906000011</v>
          </cell>
          <cell r="B272" t="str">
            <v>CORTE OREJITAS DULCES (KILO)</v>
          </cell>
          <cell r="C272" t="str">
            <v>SE00272</v>
          </cell>
          <cell r="D272" t="str">
            <v>Corte Orejitas Dulces (Kilo)</v>
          </cell>
          <cell r="F272" t="str">
            <v>Estándar</v>
          </cell>
          <cell r="G272" t="str">
            <v>Peso</v>
          </cell>
          <cell r="H272" t="str">
            <v>Gramos</v>
          </cell>
          <cell r="I272">
            <v>677.23821442530368</v>
          </cell>
          <cell r="J272">
            <v>0.67723821442530363</v>
          </cell>
          <cell r="K272">
            <v>20.485430692047668</v>
          </cell>
          <cell r="L272">
            <v>2.0485430692047668E-2</v>
          </cell>
          <cell r="M272">
            <v>1136.0278744623961</v>
          </cell>
          <cell r="N272">
            <v>1.1360278744623962</v>
          </cell>
        </row>
        <row r="273">
          <cell r="A273" t="str">
            <v>904000030</v>
          </cell>
          <cell r="B273" t="str">
            <v>GALLETA MEDIA LUNA BAÑADO CHOCOLATE</v>
          </cell>
          <cell r="C273" t="str">
            <v>SE00273</v>
          </cell>
          <cell r="D273" t="str">
            <v>Galleta Media Luna Bañado Chocolate</v>
          </cell>
          <cell r="F273" t="str">
            <v>Estándar</v>
          </cell>
          <cell r="G273" t="str">
            <v>Peso</v>
          </cell>
          <cell r="H273" t="str">
            <v>Gramos</v>
          </cell>
          <cell r="I273">
            <v>3177.1920537262331</v>
          </cell>
          <cell r="J273">
            <v>3.177192053726233</v>
          </cell>
          <cell r="K273">
            <v>65.178611975474965</v>
          </cell>
          <cell r="L273">
            <v>6.5178611975474962E-2</v>
          </cell>
          <cell r="M273">
            <v>973.1566647184801</v>
          </cell>
          <cell r="N273">
            <v>0.97315666471848006</v>
          </cell>
        </row>
        <row r="274">
          <cell r="A274" t="str">
            <v>906000041</v>
          </cell>
          <cell r="B274" t="str">
            <v>CORTE GALLETA MEDIA LUNA (UND)</v>
          </cell>
          <cell r="C274" t="str">
            <v>SE00274</v>
          </cell>
          <cell r="D274" t="str">
            <v>Corte Galleta Media Luna</v>
          </cell>
          <cell r="F274" t="str">
            <v>Estándar</v>
          </cell>
          <cell r="G274" t="str">
            <v>Peso</v>
          </cell>
          <cell r="H274" t="str">
            <v>Gramos</v>
          </cell>
          <cell r="I274">
            <v>1365.6308381105555</v>
          </cell>
          <cell r="J274">
            <v>1.3656308381105555</v>
          </cell>
          <cell r="K274">
            <v>10.741810224967901</v>
          </cell>
          <cell r="L274">
            <v>1.0741810224967901E-2</v>
          </cell>
          <cell r="M274">
            <v>737.53418553651295</v>
          </cell>
          <cell r="N274">
            <v>0.73753418553651295</v>
          </cell>
        </row>
        <row r="275">
          <cell r="A275" t="str">
            <v>906000031</v>
          </cell>
          <cell r="B275" t="str">
            <v>PASTA P/GALLETAS MEDIA LUNA (KILO)</v>
          </cell>
          <cell r="C275" t="str">
            <v>SE00275</v>
          </cell>
          <cell r="D275" t="str">
            <v xml:space="preserve">Pasta P/Galletas Media Luna </v>
          </cell>
          <cell r="F275" t="str">
            <v>Estándar</v>
          </cell>
          <cell r="G275" t="str">
            <v>Peso</v>
          </cell>
          <cell r="H275" t="str">
            <v>Gramos</v>
          </cell>
          <cell r="I275">
            <v>1349.0764898199575</v>
          </cell>
          <cell r="J275">
            <v>1.3490764898199574</v>
          </cell>
          <cell r="K275">
            <v>10.485388601036279</v>
          </cell>
          <cell r="L275">
            <v>1.0485388601036278E-2</v>
          </cell>
          <cell r="M275">
            <v>55.724356476683937</v>
          </cell>
          <cell r="N275">
            <v>5.5724356476683938E-2</v>
          </cell>
        </row>
        <row r="276">
          <cell r="A276" t="str">
            <v>901000021</v>
          </cell>
          <cell r="B276" t="str">
            <v>PREMEZCLA P/GALLETAS MEDIA LUNA(18320 G)</v>
          </cell>
          <cell r="C276" t="str">
            <v>SE00276</v>
          </cell>
          <cell r="D276" t="str">
            <v>Premezcla P/Galletas Media Luna</v>
          </cell>
          <cell r="F276" t="str">
            <v>Estándar</v>
          </cell>
          <cell r="G276" t="str">
            <v>Peso</v>
          </cell>
          <cell r="H276" t="str">
            <v>Gramos</v>
          </cell>
          <cell r="I276">
            <v>1231.8412690124858</v>
          </cell>
          <cell r="J276">
            <v>1.2318412690124858</v>
          </cell>
          <cell r="K276">
            <v>10.07945516458571</v>
          </cell>
          <cell r="L276">
            <v>1.0079455164585709E-2</v>
          </cell>
          <cell r="M276">
            <v>11.484</v>
          </cell>
          <cell r="N276">
            <v>1.1483999999999999E-2</v>
          </cell>
        </row>
        <row r="277">
          <cell r="A277" t="str">
            <v>905000058</v>
          </cell>
          <cell r="B277" t="str">
            <v>CREMA LIMON BUCCA</v>
          </cell>
          <cell r="C277" t="str">
            <v>SE00277</v>
          </cell>
          <cell r="D277" t="str">
            <v>Crema Limon Bucca</v>
          </cell>
          <cell r="F277" t="str">
            <v>Estándar</v>
          </cell>
          <cell r="G277" t="str">
            <v>Peso</v>
          </cell>
          <cell r="H277" t="str">
            <v>Gramos</v>
          </cell>
          <cell r="I277">
            <v>2354.6730105769229</v>
          </cell>
          <cell r="J277">
            <v>2.3546730105769229</v>
          </cell>
          <cell r="K277">
            <v>0.10230769230769231</v>
          </cell>
          <cell r="L277">
            <v>1.023076923076923E-4</v>
          </cell>
          <cell r="M277">
            <v>27.84</v>
          </cell>
          <cell r="N277">
            <v>2.784E-2</v>
          </cell>
        </row>
        <row r="278">
          <cell r="A278" t="str">
            <v>905000026</v>
          </cell>
          <cell r="B278" t="str">
            <v>RELLENO P/PIE LIMON (KILO)</v>
          </cell>
          <cell r="C278" t="str">
            <v>SE00278</v>
          </cell>
          <cell r="D278" t="str">
            <v>Relleno P/Pie Limon Spoon</v>
          </cell>
          <cell r="F278" t="str">
            <v>Estándar</v>
          </cell>
          <cell r="G278" t="str">
            <v>Peso</v>
          </cell>
          <cell r="H278" t="str">
            <v>Gramos</v>
          </cell>
          <cell r="I278">
            <v>2234.7621480304119</v>
          </cell>
          <cell r="J278">
            <v>2.2347621480304118</v>
          </cell>
          <cell r="K278">
            <v>0</v>
          </cell>
          <cell r="L278">
            <v>0</v>
          </cell>
          <cell r="M278">
            <v>22.04</v>
          </cell>
          <cell r="N278">
            <v>2.2040000000000001E-2</v>
          </cell>
        </row>
        <row r="279">
          <cell r="A279" t="str">
            <v>907000033</v>
          </cell>
          <cell r="B279" t="str">
            <v>PIE LIMON PARA PORCIONAR</v>
          </cell>
          <cell r="C279" t="str">
            <v>SE00279</v>
          </cell>
          <cell r="D279" t="str">
            <v>Pie Limon P/ Porcionar</v>
          </cell>
          <cell r="F279" t="str">
            <v>Estándar</v>
          </cell>
          <cell r="G279" t="str">
            <v>Unidad</v>
          </cell>
          <cell r="H279" t="str">
            <v>Unidades</v>
          </cell>
          <cell r="I279">
            <v>2311.7725124683293</v>
          </cell>
          <cell r="J279">
            <v>2311.7725124683293</v>
          </cell>
          <cell r="K279">
            <v>0</v>
          </cell>
          <cell r="L279">
            <v>0</v>
          </cell>
          <cell r="M279">
            <v>164.60399999999998</v>
          </cell>
          <cell r="N279">
            <v>164.60399999999998</v>
          </cell>
        </row>
        <row r="280">
          <cell r="A280" t="str">
            <v>905000045</v>
          </cell>
          <cell r="B280" t="str">
            <v>Relleno Leche Condensada Bucca (KILO)</v>
          </cell>
          <cell r="C280" t="str">
            <v>SE00280</v>
          </cell>
          <cell r="D280" t="str">
            <v xml:space="preserve">Relleno Leche Condensada Bucca </v>
          </cell>
          <cell r="F280" t="str">
            <v>Estándar</v>
          </cell>
          <cell r="G280" t="str">
            <v>Peso</v>
          </cell>
          <cell r="H280" t="str">
            <v>Gramos</v>
          </cell>
          <cell r="I280">
            <v>2367.0204938849511</v>
          </cell>
          <cell r="J280">
            <v>2.3670204938849513</v>
          </cell>
          <cell r="K280">
            <v>0</v>
          </cell>
          <cell r="L280">
            <v>0</v>
          </cell>
          <cell r="M280">
            <v>96.28</v>
          </cell>
          <cell r="N280">
            <v>9.6280000000000004E-2</v>
          </cell>
        </row>
        <row r="281">
          <cell r="A281" t="str">
            <v>907000252</v>
          </cell>
          <cell r="B281" t="str">
            <v>ROSQUETE CHOCOLATE LA CIABATTA 130g</v>
          </cell>
          <cell r="C281" t="str">
            <v>SE00281</v>
          </cell>
          <cell r="D281" t="str">
            <v>Rosquete Chocolate 130 grs Ciabatta</v>
          </cell>
          <cell r="F281" t="str">
            <v>Estándar</v>
          </cell>
          <cell r="G281" t="str">
            <v>Unidad</v>
          </cell>
          <cell r="H281" t="str">
            <v>Unidades</v>
          </cell>
          <cell r="I281">
            <v>244.07049911186152</v>
          </cell>
          <cell r="J281">
            <v>244.07049911186152</v>
          </cell>
          <cell r="K281">
            <v>2.772602744116424</v>
          </cell>
          <cell r="L281">
            <v>2.772602744116424</v>
          </cell>
          <cell r="M281">
            <v>30.644593973592301</v>
          </cell>
          <cell r="N281">
            <v>30.644593973592301</v>
          </cell>
        </row>
        <row r="282">
          <cell r="A282" t="str">
            <v>910000009</v>
          </cell>
          <cell r="B282" t="str">
            <v>CHOCOLATE LECHE RALLADO (KILO)</v>
          </cell>
          <cell r="C282" t="str">
            <v>SE00282</v>
          </cell>
          <cell r="D282" t="str">
            <v xml:space="preserve">Chocolate Leche Rallado </v>
          </cell>
          <cell r="F282" t="str">
            <v>Estándar</v>
          </cell>
          <cell r="G282" t="str">
            <v>Peso</v>
          </cell>
          <cell r="H282" t="str">
            <v>Gramos</v>
          </cell>
          <cell r="I282">
            <v>4680.8510760000008</v>
          </cell>
          <cell r="J282">
            <v>4.6808510760000006</v>
          </cell>
          <cell r="K282">
            <v>10.65276596288</v>
          </cell>
          <cell r="L282">
            <v>1.0652765962879999E-2</v>
          </cell>
          <cell r="M282">
            <v>85.84</v>
          </cell>
          <cell r="N282">
            <v>8.584E-2</v>
          </cell>
        </row>
        <row r="283">
          <cell r="A283" t="str">
            <v>903000153</v>
          </cell>
          <cell r="B283" t="str">
            <v>ROSQUETE SOUFLE CUADRADO (90G)</v>
          </cell>
          <cell r="C283" t="str">
            <v>SE00283</v>
          </cell>
          <cell r="D283" t="str">
            <v>Rosquete Soufle Cuadrado 90 grs</v>
          </cell>
          <cell r="F283" t="str">
            <v>Estándar</v>
          </cell>
          <cell r="G283" t="str">
            <v>Unidad</v>
          </cell>
          <cell r="H283" t="str">
            <v>Unidades</v>
          </cell>
          <cell r="I283">
            <v>247.821186825003</v>
          </cell>
          <cell r="J283">
            <v>247.821186825003</v>
          </cell>
          <cell r="K283">
            <v>3.2676369871687578</v>
          </cell>
          <cell r="L283">
            <v>3.2676369871687578</v>
          </cell>
          <cell r="M283">
            <v>19.896933979113598</v>
          </cell>
          <cell r="N283">
            <v>19.896933979113598</v>
          </cell>
        </row>
        <row r="284">
          <cell r="A284" t="str">
            <v>910000022</v>
          </cell>
          <cell r="B284" t="str">
            <v>CREMA TOP BASE BLANCA (KILO)</v>
          </cell>
          <cell r="C284" t="str">
            <v>SE00284</v>
          </cell>
          <cell r="D284" t="str">
            <v>Crema Top Base Blanca</v>
          </cell>
          <cell r="F284" t="str">
            <v>Estándar</v>
          </cell>
          <cell r="G284" t="str">
            <v>Peso</v>
          </cell>
          <cell r="H284" t="str">
            <v>Gramos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</row>
        <row r="285">
          <cell r="A285" t="str">
            <v>902000018</v>
          </cell>
          <cell r="B285" t="str">
            <v xml:space="preserve">Batido Rosquete Souffle 11100g </v>
          </cell>
          <cell r="C285" t="str">
            <v>SE00285</v>
          </cell>
          <cell r="D285" t="str">
            <v xml:space="preserve">Batido P/Rosquete Souffle </v>
          </cell>
          <cell r="F285" t="str">
            <v>Estándar</v>
          </cell>
          <cell r="G285" t="str">
            <v>Peso</v>
          </cell>
          <cell r="H285" t="str">
            <v>Gramos</v>
          </cell>
          <cell r="I285">
            <v>2647.7129624496215</v>
          </cell>
          <cell r="J285">
            <v>2.6477129624496216</v>
          </cell>
          <cell r="K285">
            <v>7.544015218527238</v>
          </cell>
          <cell r="L285">
            <v>7.5440152185272382E-3</v>
          </cell>
          <cell r="M285">
            <v>52.209917488903997</v>
          </cell>
          <cell r="N285">
            <v>5.2209917488903995E-2</v>
          </cell>
        </row>
        <row r="286">
          <cell r="A286" t="str">
            <v>901000022</v>
          </cell>
          <cell r="B286" t="str">
            <v xml:space="preserve">Premezcla Batido Rosquete Souffle  6034g  </v>
          </cell>
          <cell r="C286" t="str">
            <v>SE00286</v>
          </cell>
          <cell r="D286" t="str">
            <v xml:space="preserve">Premezcla Batido Souffle </v>
          </cell>
          <cell r="F286" t="str">
            <v>Estándar</v>
          </cell>
          <cell r="G286" t="str">
            <v>Peso</v>
          </cell>
          <cell r="H286" t="str">
            <v>Gramos</v>
          </cell>
          <cell r="I286">
            <v>2429.2780721301501</v>
          </cell>
          <cell r="J286">
            <v>2.4292780721301499</v>
          </cell>
          <cell r="K286">
            <v>13.87778734912</v>
          </cell>
          <cell r="L286">
            <v>1.3877787349119999E-2</v>
          </cell>
          <cell r="M286">
            <v>28.826000000000001</v>
          </cell>
          <cell r="N286">
            <v>2.8826000000000001E-2</v>
          </cell>
        </row>
        <row r="287">
          <cell r="A287" t="str">
            <v>910000010</v>
          </cell>
          <cell r="B287" t="str">
            <v>COCO TOSTADO (KILO)</v>
          </cell>
          <cell r="C287" t="str">
            <v>SE00287</v>
          </cell>
          <cell r="D287" t="str">
            <v>Coco Tostado</v>
          </cell>
          <cell r="F287" t="str">
            <v>Estándar</v>
          </cell>
          <cell r="G287" t="str">
            <v>Peso</v>
          </cell>
          <cell r="H287" t="str">
            <v>Gramos</v>
          </cell>
          <cell r="I287">
            <v>3244.9341012000004</v>
          </cell>
          <cell r="J287">
            <v>3.2449341012000006</v>
          </cell>
          <cell r="K287">
            <v>0</v>
          </cell>
          <cell r="L287">
            <v>0</v>
          </cell>
          <cell r="M287">
            <v>119.538</v>
          </cell>
          <cell r="N287">
            <v>0.11953799999999999</v>
          </cell>
        </row>
        <row r="288">
          <cell r="A288" t="str">
            <v>907000316</v>
          </cell>
          <cell r="B288" t="str">
            <v>Rosquete nucleo vainilla Dawn Redondo 35g</v>
          </cell>
          <cell r="C288" t="str">
            <v>SE00288</v>
          </cell>
          <cell r="D288" t="str">
            <v>Rosquete nucleo vainilla Dawn Redondo 35g</v>
          </cell>
          <cell r="F288" t="str">
            <v>Estándar</v>
          </cell>
          <cell r="G288" t="str">
            <v>Unidad</v>
          </cell>
          <cell r="H288" t="str">
            <v>Unidades</v>
          </cell>
          <cell r="I288">
            <v>74.333112224750124</v>
          </cell>
          <cell r="J288">
            <v>74.333112224750124</v>
          </cell>
          <cell r="K288">
            <v>1.5284217163632361</v>
          </cell>
          <cell r="L288">
            <v>1.5284217163632361</v>
          </cell>
          <cell r="M288">
            <v>5.8796832364319993</v>
          </cell>
          <cell r="N288">
            <v>5.8796832364319993</v>
          </cell>
        </row>
        <row r="289">
          <cell r="A289" t="str">
            <v>907000303</v>
          </cell>
          <cell r="B289" t="str">
            <v>Rosquete Easy queque chocolate SP 1800g</v>
          </cell>
          <cell r="C289" t="str">
            <v>SE00289</v>
          </cell>
          <cell r="D289" t="str">
            <v>Rosquete Easy Queque Chocolate SP 1800g</v>
          </cell>
          <cell r="F289" t="str">
            <v>Estándar</v>
          </cell>
          <cell r="G289" t="str">
            <v>Unidad</v>
          </cell>
          <cell r="H289" t="str">
            <v>Unidades</v>
          </cell>
          <cell r="I289">
            <v>2318.2474589093999</v>
          </cell>
          <cell r="J289">
            <v>2318.2474589093999</v>
          </cell>
          <cell r="K289">
            <v>31.279456631166546</v>
          </cell>
          <cell r="L289">
            <v>31.279456631166546</v>
          </cell>
          <cell r="M289">
            <v>64.387954575647996</v>
          </cell>
          <cell r="N289">
            <v>64.387954575647996</v>
          </cell>
        </row>
        <row r="290">
          <cell r="A290" t="str">
            <v>902000102</v>
          </cell>
          <cell r="B290" t="str">
            <v>MOUSSE CREMA DE CHOCOLATE</v>
          </cell>
          <cell r="C290" t="str">
            <v>SE00290</v>
          </cell>
          <cell r="D290" t="str">
            <v>Mousse Crema De Chocolate</v>
          </cell>
          <cell r="F290" t="str">
            <v>Estándar</v>
          </cell>
          <cell r="G290" t="str">
            <v>Peso</v>
          </cell>
          <cell r="H290" t="str">
            <v>Gramos</v>
          </cell>
          <cell r="I290">
            <v>2805.6252370399998</v>
          </cell>
          <cell r="J290">
            <v>2.8056252370399997</v>
          </cell>
          <cell r="K290">
            <v>8.5120000000000001E-2</v>
          </cell>
          <cell r="L290">
            <v>8.5119999999999998E-5</v>
          </cell>
          <cell r="M290">
            <v>96.918000000000006</v>
          </cell>
          <cell r="N290">
            <v>9.6918000000000004E-2</v>
          </cell>
        </row>
        <row r="291">
          <cell r="A291" t="str">
            <v>907000253</v>
          </cell>
          <cell r="B291" t="str">
            <v>ROSQUETE VAINILLA PASTELERO REAL (1000G)</v>
          </cell>
          <cell r="C291" t="str">
            <v>SE00291</v>
          </cell>
          <cell r="D291" t="str">
            <v xml:space="preserve">Rosquete Vainilla 1000 grs Pastelero Real </v>
          </cell>
          <cell r="F291" t="str">
            <v>Estándar</v>
          </cell>
          <cell r="G291" t="str">
            <v>Unidad</v>
          </cell>
          <cell r="H291" t="str">
            <v>Unidades</v>
          </cell>
          <cell r="I291">
            <v>1474.5700819000494</v>
          </cell>
          <cell r="J291">
            <v>1474.5700819000494</v>
          </cell>
          <cell r="K291">
            <v>13.597665310998973</v>
          </cell>
          <cell r="L291">
            <v>13.597665310998973</v>
          </cell>
          <cell r="M291">
            <v>42.917698594800001</v>
          </cell>
          <cell r="N291">
            <v>42.917698594800001</v>
          </cell>
        </row>
        <row r="292">
          <cell r="A292" t="str">
            <v>902000109</v>
          </cell>
          <cell r="B292" t="str">
            <v>RELLENO LECHE CONDENSADA Y COCO</v>
          </cell>
          <cell r="C292" t="str">
            <v>SE00292</v>
          </cell>
          <cell r="D292" t="str">
            <v>Relleno Leche Condensada Y Coco</v>
          </cell>
          <cell r="F292" t="str">
            <v>Estándar</v>
          </cell>
          <cell r="G292" t="str">
            <v>Peso</v>
          </cell>
          <cell r="H292" t="str">
            <v>Gramos</v>
          </cell>
          <cell r="I292">
            <v>2617.7110913331435</v>
          </cell>
          <cell r="J292">
            <v>2.6177110913331436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</row>
        <row r="293">
          <cell r="A293" t="str">
            <v>902000110</v>
          </cell>
          <cell r="B293" t="str">
            <v>TOPPING LECHE CONDENSADA Y COCO</v>
          </cell>
          <cell r="C293" t="str">
            <v>SE00293</v>
          </cell>
          <cell r="D293" t="str">
            <v>Topping Leche Condensada Y Coco</v>
          </cell>
          <cell r="F293" t="str">
            <v>Estándar</v>
          </cell>
          <cell r="G293" t="str">
            <v>Peso</v>
          </cell>
          <cell r="H293" t="str">
            <v>Gramos</v>
          </cell>
          <cell r="I293">
            <v>2292.4837636315365</v>
          </cell>
          <cell r="J293">
            <v>2.2924837636315365</v>
          </cell>
          <cell r="K293">
            <v>0</v>
          </cell>
          <cell r="L293">
            <v>0</v>
          </cell>
          <cell r="M293">
            <v>222.72</v>
          </cell>
          <cell r="N293">
            <v>0.22272</v>
          </cell>
        </row>
        <row r="294">
          <cell r="A294" t="str">
            <v>907000254</v>
          </cell>
          <cell r="B294" t="str">
            <v>ROSQUETE MINI CAKE SUPER ESPONJA CARAMELO 60G</v>
          </cell>
          <cell r="C294" t="str">
            <v>SE00294</v>
          </cell>
          <cell r="D294" t="str">
            <v>Rosquete Mini Cake Super Esponja Caramelo 60G</v>
          </cell>
          <cell r="F294" t="str">
            <v>Estándar</v>
          </cell>
          <cell r="G294" t="str">
            <v>Unidad</v>
          </cell>
          <cell r="H294" t="str">
            <v>Unidades</v>
          </cell>
          <cell r="I294">
            <v>133.77856899898561</v>
          </cell>
          <cell r="J294">
            <v>133.77856899898561</v>
          </cell>
          <cell r="K294">
            <v>1.266052064204928</v>
          </cell>
          <cell r="L294">
            <v>1.266052064204928</v>
          </cell>
          <cell r="M294">
            <v>3.8294993206015997</v>
          </cell>
          <cell r="N294">
            <v>3.8294993206015997</v>
          </cell>
        </row>
        <row r="295">
          <cell r="A295" t="str">
            <v>907000256</v>
          </cell>
          <cell r="B295" t="str">
            <v>ROSQUETE 3 LECHES BUCCA 280G</v>
          </cell>
          <cell r="C295" t="str">
            <v>SE00295</v>
          </cell>
          <cell r="D295" t="str">
            <v>Rosquete 3 Leches 280 grs Bucca</v>
          </cell>
          <cell r="F295" t="str">
            <v>Estándar</v>
          </cell>
          <cell r="G295" t="str">
            <v>Unidad</v>
          </cell>
          <cell r="H295" t="str">
            <v>Unidades</v>
          </cell>
          <cell r="I295">
            <v>478.72524302780516</v>
          </cell>
          <cell r="J295">
            <v>478.72524302780516</v>
          </cell>
          <cell r="K295">
            <v>278.0140283066803</v>
          </cell>
          <cell r="L295">
            <v>278.0140283066803</v>
          </cell>
          <cell r="M295">
            <v>30.088131175954324</v>
          </cell>
          <cell r="N295">
            <v>30.088131175954324</v>
          </cell>
        </row>
        <row r="296">
          <cell r="A296" t="str">
            <v>902000119</v>
          </cell>
          <cell r="B296" t="str">
            <v>MEZCLA TRES LECHES FAS</v>
          </cell>
          <cell r="C296" t="str">
            <v>SE00296</v>
          </cell>
          <cell r="D296" t="str">
            <v>Mezcla Tres Leches Fas</v>
          </cell>
          <cell r="F296" t="str">
            <v>Estándar</v>
          </cell>
          <cell r="G296" t="str">
            <v>Peso</v>
          </cell>
          <cell r="H296" t="str">
            <v>Gramos</v>
          </cell>
          <cell r="I296">
            <v>1184.0747429952655</v>
          </cell>
          <cell r="J296">
            <v>1.1840747429952656</v>
          </cell>
          <cell r="K296">
            <v>0</v>
          </cell>
          <cell r="L296">
            <v>0</v>
          </cell>
          <cell r="M296">
            <v>59.972000000000001</v>
          </cell>
          <cell r="N296">
            <v>5.9972000000000004E-2</v>
          </cell>
        </row>
        <row r="297">
          <cell r="A297" t="str">
            <v>902000120</v>
          </cell>
          <cell r="B297" t="str">
            <v>RELLENO DE CHEESE CAKE ACIDO 9000 g</v>
          </cell>
          <cell r="C297" t="str">
            <v>SE00297</v>
          </cell>
          <cell r="D297" t="str">
            <v>Relleno De Cheese Cake Acido</v>
          </cell>
          <cell r="F297" t="str">
            <v>Estándar</v>
          </cell>
          <cell r="G297" t="str">
            <v>Peso</v>
          </cell>
          <cell r="H297" t="str">
            <v>Gramos</v>
          </cell>
          <cell r="I297">
            <v>2369.8652013121123</v>
          </cell>
          <cell r="J297">
            <v>2.3698652013121122</v>
          </cell>
          <cell r="K297">
            <v>2.7238740480000006E-2</v>
          </cell>
          <cell r="L297">
            <v>2.7238740480000005E-5</v>
          </cell>
          <cell r="M297">
            <v>103.7040928</v>
          </cell>
          <cell r="N297">
            <v>0.10370409279999999</v>
          </cell>
        </row>
        <row r="298">
          <cell r="A298" t="str">
            <v>901000111</v>
          </cell>
          <cell r="B298" t="str">
            <v>GANACHE DE DULCE LECHE (4800g)</v>
          </cell>
          <cell r="C298" t="str">
            <v>SE00298</v>
          </cell>
          <cell r="D298" t="str">
            <v xml:space="preserve">Ganache De Dulce Leche </v>
          </cell>
          <cell r="F298" t="str">
            <v>Estándar</v>
          </cell>
          <cell r="G298" t="str">
            <v>Peso</v>
          </cell>
          <cell r="H298" t="str">
            <v>Gramos</v>
          </cell>
          <cell r="I298">
            <v>6875.7812455995008</v>
          </cell>
          <cell r="J298">
            <v>6.8757812455995007</v>
          </cell>
          <cell r="K298">
            <v>0.44333332624000005</v>
          </cell>
          <cell r="L298">
            <v>4.4333332624000004E-4</v>
          </cell>
          <cell r="M298">
            <v>120.81400000000001</v>
          </cell>
          <cell r="N298">
            <v>0.120814</v>
          </cell>
        </row>
        <row r="299">
          <cell r="A299" t="str">
            <v>902000116</v>
          </cell>
          <cell r="B299" t="str">
            <v>BRITTLE DE ALMENDRAS</v>
          </cell>
          <cell r="C299" t="str">
            <v>SE00299</v>
          </cell>
          <cell r="D299" t="str">
            <v>Brittle De Almendras</v>
          </cell>
          <cell r="F299" t="str">
            <v>Estándar</v>
          </cell>
          <cell r="G299" t="str">
            <v>Peso</v>
          </cell>
          <cell r="H299" t="str">
            <v>Gramos</v>
          </cell>
          <cell r="I299">
            <v>2764.6786259523806</v>
          </cell>
          <cell r="J299">
            <v>2.7646786259523806</v>
          </cell>
          <cell r="K299">
            <v>51.233438399999997</v>
          </cell>
          <cell r="L299">
            <v>5.1233438399999998E-2</v>
          </cell>
          <cell r="M299">
            <v>582.08452</v>
          </cell>
          <cell r="N299">
            <v>0.58208451999999999</v>
          </cell>
        </row>
        <row r="300">
          <cell r="A300" t="str">
            <v>902000118</v>
          </cell>
          <cell r="B300" t="str">
            <v>MOUSSE DE FRESA</v>
          </cell>
          <cell r="C300" t="str">
            <v>SE00300</v>
          </cell>
          <cell r="D300" t="str">
            <v>Mousse De Fresa</v>
          </cell>
          <cell r="F300" t="str">
            <v>Estándar</v>
          </cell>
          <cell r="G300" t="str">
            <v>Peso</v>
          </cell>
          <cell r="H300" t="str">
            <v>Gramos</v>
          </cell>
          <cell r="I300">
            <v>2350.0048936523517</v>
          </cell>
          <cell r="J300">
            <v>2.3500048936523519</v>
          </cell>
          <cell r="K300">
            <v>0.53263829814399999</v>
          </cell>
          <cell r="L300">
            <v>5.3263829814400004E-4</v>
          </cell>
          <cell r="M300">
            <v>487.43199999999996</v>
          </cell>
          <cell r="N300">
            <v>0.48743199999999998</v>
          </cell>
        </row>
        <row r="301">
          <cell r="A301" t="str">
            <v>902000048</v>
          </cell>
          <cell r="B301" t="str">
            <v>ENSAMBLE TRES LECHES (150G) FAS KFC</v>
          </cell>
          <cell r="C301" t="str">
            <v>SE00301</v>
          </cell>
          <cell r="D301" t="str">
            <v>Ensamble Tres Leches 150 grs Fas</v>
          </cell>
          <cell r="F301" t="str">
            <v>Estándar</v>
          </cell>
          <cell r="G301" t="str">
            <v>Unidad</v>
          </cell>
          <cell r="H301" t="str">
            <v>Unidades</v>
          </cell>
          <cell r="I301">
            <v>398.97389036917241</v>
          </cell>
          <cell r="J301">
            <v>398.97389036917241</v>
          </cell>
          <cell r="K301">
            <v>124.86392698033188</v>
          </cell>
          <cell r="L301">
            <v>124.86392698033188</v>
          </cell>
          <cell r="M301">
            <v>79.706988319843546</v>
          </cell>
          <cell r="N301">
            <v>79.706988319843546</v>
          </cell>
        </row>
        <row r="302">
          <cell r="A302" t="str">
            <v>907000064</v>
          </cell>
          <cell r="B302" t="str">
            <v>ROSQUETE TRES LECHES SOUFFLE KFC unitario (43g crudo)</v>
          </cell>
          <cell r="C302" t="str">
            <v>SE00302</v>
          </cell>
          <cell r="D302" t="str">
            <v xml:space="preserve">Rosquete Tres Leches Souffle 40 grs Kfc </v>
          </cell>
          <cell r="F302" t="str">
            <v>Estándar</v>
          </cell>
          <cell r="G302" t="str">
            <v>Unidad</v>
          </cell>
          <cell r="H302" t="str">
            <v>Unidades</v>
          </cell>
          <cell r="I302">
            <v>121.85259476068909</v>
          </cell>
          <cell r="J302">
            <v>121.85259476068909</v>
          </cell>
          <cell r="K302">
            <v>0.36989482033189686</v>
          </cell>
          <cell r="L302">
            <v>0.36989482033189686</v>
          </cell>
          <cell r="M302">
            <v>6.7893883198435443</v>
          </cell>
          <cell r="N302">
            <v>6.7893883198435443</v>
          </cell>
        </row>
        <row r="303">
          <cell r="A303" t="str">
            <v>906000012</v>
          </cell>
          <cell r="B303" t="str">
            <v>TAPAS DE ALFAJOR</v>
          </cell>
          <cell r="C303" t="str">
            <v>SE00303</v>
          </cell>
          <cell r="D303" t="str">
            <v>Tapas De Alfajor mediano</v>
          </cell>
          <cell r="F303" t="str">
            <v>Estándar</v>
          </cell>
          <cell r="G303" t="str">
            <v>Unidad</v>
          </cell>
          <cell r="H303" t="str">
            <v>Unidades</v>
          </cell>
          <cell r="I303">
            <v>17.280366734004442</v>
          </cell>
          <cell r="J303">
            <v>17.280366734004442</v>
          </cell>
          <cell r="K303">
            <v>6.4091505455534784E-2</v>
          </cell>
          <cell r="L303">
            <v>6.4091505455534784E-2</v>
          </cell>
          <cell r="M303">
            <v>5.7802755930885441</v>
          </cell>
          <cell r="N303">
            <v>5.7802755930885441</v>
          </cell>
        </row>
        <row r="304">
          <cell r="A304" t="str">
            <v>907000008</v>
          </cell>
          <cell r="B304" t="str">
            <v>MEZCLA P/CUATRO LECHES (KILO)</v>
          </cell>
          <cell r="C304" t="str">
            <v>SE00304</v>
          </cell>
          <cell r="D304" t="str">
            <v xml:space="preserve">Mezcla P/Cuatro Leches </v>
          </cell>
          <cell r="F304" t="str">
            <v>Estándar</v>
          </cell>
          <cell r="G304" t="str">
            <v>Peso</v>
          </cell>
          <cell r="H304" t="str">
            <v>Gramos</v>
          </cell>
          <cell r="I304">
            <v>1743.0685445120519</v>
          </cell>
          <cell r="J304">
            <v>1.743068544512052</v>
          </cell>
          <cell r="K304">
            <v>5.7462428520282298</v>
          </cell>
          <cell r="L304">
            <v>5.7462428520282296E-3</v>
          </cell>
          <cell r="M304">
            <v>99.275836126000002</v>
          </cell>
          <cell r="N304">
            <v>9.9275836126000008E-2</v>
          </cell>
        </row>
        <row r="305">
          <cell r="A305" t="str">
            <v>906000045</v>
          </cell>
          <cell r="B305" t="str">
            <v>CORTE GALLETA CHILENA GRANDE 210g c/galleta</v>
          </cell>
          <cell r="C305" t="str">
            <v>SE00305</v>
          </cell>
          <cell r="D305" t="str">
            <v>Corte Galleta Chilena Grande 210 grs</v>
          </cell>
          <cell r="F305" t="str">
            <v>Estándar</v>
          </cell>
          <cell r="G305" t="str">
            <v>Unidad</v>
          </cell>
          <cell r="H305" t="str">
            <v>Unidades</v>
          </cell>
          <cell r="I305">
            <v>230.83583135493154</v>
          </cell>
          <cell r="J305">
            <v>230.83583135493154</v>
          </cell>
          <cell r="K305">
            <v>0.94203625635585797</v>
          </cell>
          <cell r="L305">
            <v>0.94203625635585797</v>
          </cell>
          <cell r="M305">
            <v>29.290503370400003</v>
          </cell>
          <cell r="N305">
            <v>29.290503370400003</v>
          </cell>
        </row>
        <row r="306">
          <cell r="A306" t="str">
            <v>905000098</v>
          </cell>
          <cell r="B306" t="str">
            <v>PECANA TRITURADA Y HORNEADA</v>
          </cell>
          <cell r="C306" t="str">
            <v>SE00306</v>
          </cell>
          <cell r="D306" t="str">
            <v>Pecana Triturada Y Horneada</v>
          </cell>
          <cell r="F306" t="str">
            <v>Estándar</v>
          </cell>
          <cell r="G306" t="str">
            <v>Peso</v>
          </cell>
          <cell r="H306" t="str">
            <v>Gramos</v>
          </cell>
          <cell r="I306">
            <v>9768.510661764707</v>
          </cell>
          <cell r="J306">
            <v>9.7685106617647062</v>
          </cell>
          <cell r="K306">
            <v>0</v>
          </cell>
          <cell r="L306">
            <v>0</v>
          </cell>
          <cell r="M306">
            <v>61.016000000000005</v>
          </cell>
          <cell r="N306">
            <v>6.1016000000000008E-2</v>
          </cell>
        </row>
        <row r="307">
          <cell r="A307" t="str">
            <v>907000028</v>
          </cell>
          <cell r="B307" t="str">
            <v>MEZCLA TRES LECHES CON CREMA DE DULCE LECHE</v>
          </cell>
          <cell r="C307" t="str">
            <v>SE00307</v>
          </cell>
          <cell r="D307" t="str">
            <v>Mezcla Tres Leches Con Crema De Dulce Leche</v>
          </cell>
          <cell r="F307" t="str">
            <v>Estándar</v>
          </cell>
          <cell r="G307" t="str">
            <v>Peso</v>
          </cell>
          <cell r="H307" t="str">
            <v>Gramos</v>
          </cell>
          <cell r="I307">
            <v>1874.2753828726138</v>
          </cell>
          <cell r="J307">
            <v>1.8742753828726137</v>
          </cell>
          <cell r="K307">
            <v>1.48182272</v>
          </cell>
          <cell r="L307">
            <v>1.48182272E-3</v>
          </cell>
          <cell r="M307">
            <v>32.468506720000001</v>
          </cell>
          <cell r="N307">
            <v>3.2468506719999998E-2</v>
          </cell>
        </row>
        <row r="308">
          <cell r="A308" t="str">
            <v>903000134</v>
          </cell>
          <cell r="B308" t="str">
            <v>Chilena para 3 leches ensamblada</v>
          </cell>
          <cell r="C308" t="str">
            <v>SE00308</v>
          </cell>
          <cell r="D308" t="str">
            <v>Chilena Para 3 Leches Ensamblada</v>
          </cell>
          <cell r="F308" t="str">
            <v>Estándar</v>
          </cell>
          <cell r="G308" t="str">
            <v>Unidad</v>
          </cell>
          <cell r="H308" t="str">
            <v>Unidades</v>
          </cell>
          <cell r="I308">
            <v>632.81904432835995</v>
          </cell>
          <cell r="J308">
            <v>632.81904432835995</v>
          </cell>
          <cell r="K308">
            <v>1.4420959541574563</v>
          </cell>
          <cell r="L308">
            <v>1.4420959541574563</v>
          </cell>
          <cell r="M308">
            <v>86.556457888922395</v>
          </cell>
          <cell r="N308">
            <v>86.556457888922395</v>
          </cell>
        </row>
        <row r="309">
          <cell r="A309" t="str">
            <v>96294</v>
          </cell>
          <cell r="B309" t="str">
            <v>Corte de Galleta para Tres Leches Chilena</v>
          </cell>
          <cell r="C309" t="str">
            <v>SE00309</v>
          </cell>
          <cell r="D309" t="str">
            <v>Corte de Galleta para Tres Leches Chilena</v>
          </cell>
          <cell r="F309" t="str">
            <v>Estándar</v>
          </cell>
          <cell r="G309" t="str">
            <v>Unidad</v>
          </cell>
          <cell r="H309" t="str">
            <v>Unidades</v>
          </cell>
          <cell r="I309">
            <v>125.49107033167553</v>
          </cell>
          <cell r="J309">
            <v>125.49107033167553</v>
          </cell>
          <cell r="K309">
            <v>0.4806986513858188</v>
          </cell>
          <cell r="L309">
            <v>0.4806986513858188</v>
          </cell>
          <cell r="M309">
            <v>22.472152629640799</v>
          </cell>
          <cell r="N309">
            <v>22.472152629640799</v>
          </cell>
        </row>
        <row r="310">
          <cell r="A310" t="str">
            <v>903000033</v>
          </cell>
          <cell r="B310" t="str">
            <v>ROSQUETE DE CHOCOLATE (70g rosquete crudo)</v>
          </cell>
          <cell r="C310" t="str">
            <v>SE00310</v>
          </cell>
          <cell r="D310" t="str">
            <v>Rosquete De Chocolate 70 grs</v>
          </cell>
          <cell r="F310" t="str">
            <v>Estándar</v>
          </cell>
          <cell r="G310" t="str">
            <v>Unidad</v>
          </cell>
          <cell r="H310" t="str">
            <v>Unidades</v>
          </cell>
          <cell r="I310">
            <v>139.40971482214596</v>
          </cell>
          <cell r="J310">
            <v>139.40971482214596</v>
          </cell>
          <cell r="K310">
            <v>0.1135377195862069</v>
          </cell>
          <cell r="L310">
            <v>0.1135377195862069</v>
          </cell>
          <cell r="M310">
            <v>3.8628827931034482</v>
          </cell>
          <cell r="N310">
            <v>3.8628827931034482</v>
          </cell>
        </row>
        <row r="311">
          <cell r="A311" t="str">
            <v>902000025</v>
          </cell>
          <cell r="B311" t="str">
            <v>FLAN DE CARAMELO BUCCA</v>
          </cell>
          <cell r="C311" t="str">
            <v>SE00311</v>
          </cell>
          <cell r="D311" t="str">
            <v xml:space="preserve">Ensamble Flan De Caramelo Bucca 1200 grs  </v>
          </cell>
          <cell r="F311" t="str">
            <v>Estándar</v>
          </cell>
          <cell r="G311" t="str">
            <v>Unidad</v>
          </cell>
          <cell r="H311" t="str">
            <v>Unidades</v>
          </cell>
          <cell r="I311">
            <v>3246.0781927827338</v>
          </cell>
          <cell r="J311">
            <v>3246.0781927827338</v>
          </cell>
          <cell r="K311">
            <v>0</v>
          </cell>
          <cell r="L311">
            <v>0</v>
          </cell>
          <cell r="M311">
            <v>139.19999999999999</v>
          </cell>
          <cell r="N311">
            <v>139.19999999999999</v>
          </cell>
        </row>
        <row r="312">
          <cell r="A312" t="str">
            <v>907000020</v>
          </cell>
          <cell r="B312" t="str">
            <v>MEZCLA DE FLAN CARAMELO SPOON</v>
          </cell>
          <cell r="C312" t="str">
            <v>SE00312</v>
          </cell>
          <cell r="D312" t="str">
            <v>Mezcla De Flan Caramelo Spoon</v>
          </cell>
          <cell r="F312" t="str">
            <v>Estándar</v>
          </cell>
          <cell r="G312" t="str">
            <v>Peso</v>
          </cell>
          <cell r="H312" t="str">
            <v>Gramos</v>
          </cell>
          <cell r="I312">
            <v>2284.0615662733812</v>
          </cell>
          <cell r="J312">
            <v>2.2840615662733814</v>
          </cell>
          <cell r="K312">
            <v>0</v>
          </cell>
          <cell r="L312">
            <v>0</v>
          </cell>
          <cell r="M312">
            <v>58</v>
          </cell>
          <cell r="N312">
            <v>5.8000000000000003E-2</v>
          </cell>
        </row>
        <row r="313">
          <cell r="A313" t="str">
            <v>907000010</v>
          </cell>
          <cell r="B313" t="str">
            <v>MEZCLA P/CUATRO LECHES CHOCOLATE (KILO)</v>
          </cell>
          <cell r="C313" t="str">
            <v>SE00313</v>
          </cell>
          <cell r="D313" t="str">
            <v xml:space="preserve">Mezcla P/Cuatro Leches Chocolate </v>
          </cell>
          <cell r="F313" t="str">
            <v>Estándar</v>
          </cell>
          <cell r="G313" t="str">
            <v>Peso</v>
          </cell>
          <cell r="H313" t="str">
            <v>Gramos</v>
          </cell>
          <cell r="I313">
            <v>2055.3990809312331</v>
          </cell>
          <cell r="J313">
            <v>2.0553990809312332</v>
          </cell>
          <cell r="K313">
            <v>5.7095726941847991</v>
          </cell>
          <cell r="L313">
            <v>5.7095726941847995E-3</v>
          </cell>
          <cell r="M313">
            <v>85.248993467600002</v>
          </cell>
          <cell r="N313">
            <v>8.5248993467599996E-2</v>
          </cell>
        </row>
        <row r="314">
          <cell r="A314" t="str">
            <v>907000296</v>
          </cell>
          <cell r="B314" t="str">
            <v>Rosquete Easy queque chocolate SP 1300g</v>
          </cell>
          <cell r="C314" t="str">
            <v>SE00314</v>
          </cell>
          <cell r="D314" t="str">
            <v>Rosquete Easy Queque Chocolate SP 1300g</v>
          </cell>
          <cell r="F314" t="str">
            <v>Estándar</v>
          </cell>
          <cell r="G314" t="str">
            <v>Unidad</v>
          </cell>
          <cell r="H314" t="str">
            <v>Unidades</v>
          </cell>
          <cell r="I314">
            <v>1684.6677302738951</v>
          </cell>
          <cell r="J314">
            <v>1684.6677302738951</v>
          </cell>
          <cell r="K314">
            <v>14.4806113219341</v>
          </cell>
          <cell r="L314">
            <v>14.4806113219341</v>
          </cell>
          <cell r="M314">
            <v>112.93845760000001</v>
          </cell>
          <cell r="N314">
            <v>112.93845760000001</v>
          </cell>
        </row>
        <row r="315">
          <cell r="A315" t="str">
            <v>901000156</v>
          </cell>
          <cell r="B315" t="str">
            <v>CREMA CHANTILLY TOP CREAM CHOCOLATE</v>
          </cell>
          <cell r="C315" t="str">
            <v>SE00315</v>
          </cell>
          <cell r="D315" t="str">
            <v>Crema Chantilly Top Cream Chocolate</v>
          </cell>
          <cell r="F315" t="str">
            <v>Estándar</v>
          </cell>
          <cell r="G315" t="str">
            <v>Peso</v>
          </cell>
          <cell r="H315" t="str">
            <v>Gramos</v>
          </cell>
          <cell r="I315">
            <v>2531.5555618490921</v>
          </cell>
          <cell r="J315">
            <v>2.5315555618490921</v>
          </cell>
          <cell r="K315">
            <v>2.3875190384061249E-2</v>
          </cell>
          <cell r="L315">
            <v>2.3875190384061249E-5</v>
          </cell>
          <cell r="M315">
            <v>23.837999999999997</v>
          </cell>
          <cell r="N315">
            <v>2.3837999999999998E-2</v>
          </cell>
        </row>
        <row r="316">
          <cell r="A316" t="str">
            <v>903000058</v>
          </cell>
          <cell r="B316" t="str">
            <v>MUFFIN NARANJA 85g</v>
          </cell>
          <cell r="C316" t="str">
            <v>SE00316</v>
          </cell>
          <cell r="D316" t="str">
            <v>Muffin Naranja 85 grs Planta</v>
          </cell>
          <cell r="F316" t="str">
            <v>Estándar</v>
          </cell>
          <cell r="G316" t="str">
            <v>Unidad</v>
          </cell>
          <cell r="H316" t="str">
            <v>Unidades</v>
          </cell>
          <cell r="I316">
            <v>99.922491977745395</v>
          </cell>
          <cell r="J316">
            <v>99.922491977745395</v>
          </cell>
          <cell r="K316">
            <v>8.4507563782904249</v>
          </cell>
          <cell r="L316">
            <v>8.4507563782904249</v>
          </cell>
          <cell r="M316">
            <v>3.5349964014545447</v>
          </cell>
          <cell r="N316">
            <v>3.5349964014545447</v>
          </cell>
        </row>
        <row r="317">
          <cell r="A317" t="str">
            <v>95464</v>
          </cell>
          <cell r="B317" t="str">
            <v>FRIJOLES TIERNOS P/CHIFRIJO (4600g)</v>
          </cell>
          <cell r="C317" t="str">
            <v>SE00317</v>
          </cell>
          <cell r="D317" t="str">
            <v>Cocción Frijoles Tiernos P/Chifrijo</v>
          </cell>
          <cell r="F317" t="str">
            <v>Estándar</v>
          </cell>
          <cell r="G317" t="str">
            <v>Peso</v>
          </cell>
          <cell r="H317" t="str">
            <v>Gramos</v>
          </cell>
          <cell r="I317">
            <v>3094.5413741176467</v>
          </cell>
          <cell r="J317">
            <v>3.0945413741176466</v>
          </cell>
          <cell r="K317">
            <v>0.19964398268398265</v>
          </cell>
          <cell r="L317">
            <v>1.9964398268398263E-4</v>
          </cell>
          <cell r="M317">
            <v>200.91099567099567</v>
          </cell>
          <cell r="N317">
            <v>0.20091099567099568</v>
          </cell>
        </row>
        <row r="318">
          <cell r="A318" t="str">
            <v>95669</v>
          </cell>
          <cell r="B318" t="str">
            <v>Relleno de pollo lapiz</v>
          </cell>
          <cell r="C318" t="str">
            <v>SE00318</v>
          </cell>
          <cell r="D318" t="str">
            <v>Relleno De Pollo Lapiz Planta</v>
          </cell>
          <cell r="F318" t="str">
            <v>Estándar</v>
          </cell>
          <cell r="G318" t="str">
            <v>Peso</v>
          </cell>
          <cell r="H318" t="str">
            <v>Gramos</v>
          </cell>
          <cell r="I318">
            <v>3848.7314134126545</v>
          </cell>
          <cell r="J318">
            <v>3.8487314134126547</v>
          </cell>
          <cell r="K318">
            <v>0.52945603156268572</v>
          </cell>
          <cell r="L318">
            <v>5.2945603156268571E-4</v>
          </cell>
          <cell r="M318">
            <v>139.13717597147951</v>
          </cell>
          <cell r="N318">
            <v>0.13913717597147951</v>
          </cell>
        </row>
        <row r="319">
          <cell r="A319" t="str">
            <v>901000025</v>
          </cell>
          <cell r="B319" t="str">
            <v>HUMMUS</v>
          </cell>
          <cell r="C319" t="str">
            <v>SE00319</v>
          </cell>
          <cell r="D319" t="str">
            <v>Hummus Garbanzo Planta</v>
          </cell>
          <cell r="F319" t="str">
            <v>Estándar</v>
          </cell>
          <cell r="G319" t="str">
            <v>Peso</v>
          </cell>
          <cell r="H319" t="str">
            <v>Gramos</v>
          </cell>
          <cell r="I319">
            <v>1889.278563464215</v>
          </cell>
          <cell r="J319">
            <v>1.8892785634642151</v>
          </cell>
          <cell r="K319">
            <v>6.2581999999999999E-2</v>
          </cell>
          <cell r="L319">
            <v>6.2582000000000005E-5</v>
          </cell>
          <cell r="M319">
            <v>109.23285000000001</v>
          </cell>
          <cell r="N319">
            <v>0.10923285000000002</v>
          </cell>
        </row>
        <row r="320">
          <cell r="A320" t="str">
            <v>96100</v>
          </cell>
          <cell r="B320" t="str">
            <v>Coccion quinua blanca</v>
          </cell>
          <cell r="C320" t="str">
            <v>SE00320</v>
          </cell>
          <cell r="D320" t="str">
            <v>Coccion Quinua Blanca</v>
          </cell>
          <cell r="F320" t="str">
            <v>Estándar</v>
          </cell>
          <cell r="G320" t="str">
            <v>Peso</v>
          </cell>
          <cell r="H320" t="str">
            <v>Gramos</v>
          </cell>
          <cell r="I320">
            <v>105.01026666666665</v>
          </cell>
          <cell r="J320">
            <v>0.10501026666666666</v>
          </cell>
          <cell r="K320">
            <v>2.3637333333333333E-2</v>
          </cell>
          <cell r="L320">
            <v>2.3637333333333332E-5</v>
          </cell>
          <cell r="M320">
            <v>193.21733333333336</v>
          </cell>
          <cell r="N320">
            <v>0.19321733333333335</v>
          </cell>
        </row>
        <row r="321">
          <cell r="A321" t="str">
            <v>908000006</v>
          </cell>
          <cell r="B321" t="str">
            <v>FRIJOLES ARREGLADOS CASADITO</v>
          </cell>
          <cell r="C321" t="str">
            <v>SE00321</v>
          </cell>
          <cell r="D321" t="str">
            <v>Frijoles Arreglados cocidos Planta</v>
          </cell>
          <cell r="F321" t="str">
            <v>Estándar</v>
          </cell>
          <cell r="G321" t="str">
            <v>Peso</v>
          </cell>
          <cell r="H321" t="str">
            <v>Gramos</v>
          </cell>
          <cell r="I321">
            <v>1208.8402922767971</v>
          </cell>
          <cell r="J321">
            <v>1.2088402922767971</v>
          </cell>
          <cell r="K321">
            <v>4.0217785843920155E-2</v>
          </cell>
          <cell r="L321">
            <v>4.0217785843920154E-5</v>
          </cell>
          <cell r="M321">
            <v>79.011578947368434</v>
          </cell>
          <cell r="N321">
            <v>7.9011578947368433E-2</v>
          </cell>
        </row>
        <row r="322">
          <cell r="A322" t="str">
            <v>90100099</v>
          </cell>
          <cell r="B322" t="str">
            <v>Tarta de Almendra</v>
          </cell>
          <cell r="C322" t="str">
            <v>SE00322</v>
          </cell>
          <cell r="D322" t="str">
            <v>Tarta De Almendra Planta</v>
          </cell>
          <cell r="F322" t="str">
            <v>Estándar</v>
          </cell>
          <cell r="G322" t="str">
            <v>Unidad</v>
          </cell>
          <cell r="H322" t="str">
            <v>Unidades</v>
          </cell>
          <cell r="I322">
            <v>264.74502259104452</v>
          </cell>
          <cell r="J322">
            <v>264.74502259104452</v>
          </cell>
          <cell r="K322">
            <v>1.1234602269522882</v>
          </cell>
          <cell r="L322">
            <v>1.1234602269522882</v>
          </cell>
          <cell r="M322">
            <v>58.485302293086662</v>
          </cell>
          <cell r="N322">
            <v>58.485302293086662</v>
          </cell>
        </row>
        <row r="323">
          <cell r="A323" t="str">
            <v>906000039</v>
          </cell>
          <cell r="B323" t="str">
            <v>PASTA DE PIÑA</v>
          </cell>
          <cell r="C323" t="str">
            <v>SE00323</v>
          </cell>
          <cell r="D323" t="str">
            <v>Pasta De Piña</v>
          </cell>
          <cell r="F323" t="str">
            <v>Estándar</v>
          </cell>
          <cell r="G323" t="str">
            <v>Peso</v>
          </cell>
          <cell r="H323" t="str">
            <v>Gramos</v>
          </cell>
          <cell r="I323">
            <v>1228.5069406037001</v>
          </cell>
          <cell r="J323">
            <v>1.2285069406037001</v>
          </cell>
          <cell r="K323">
            <v>13.426403115871469</v>
          </cell>
          <cell r="L323">
            <v>1.3426403115871469E-2</v>
          </cell>
          <cell r="M323">
            <v>141.012288218111</v>
          </cell>
          <cell r="N323">
            <v>0.14101228821811099</v>
          </cell>
        </row>
        <row r="324">
          <cell r="A324" t="str">
            <v>90100098</v>
          </cell>
          <cell r="B324" t="str">
            <v>RELLENO DE PASTEL DE ALMENDRAS Y PECANAS SPOON</v>
          </cell>
          <cell r="C324" t="str">
            <v>SE00324</v>
          </cell>
          <cell r="D324" t="str">
            <v xml:space="preserve">Relleno De Pastel De Almendras Y Pecanas </v>
          </cell>
          <cell r="F324" t="str">
            <v>Estándar</v>
          </cell>
          <cell r="G324" t="str">
            <v>Peso</v>
          </cell>
          <cell r="H324" t="str">
            <v>Gramos</v>
          </cell>
          <cell r="I324">
            <v>2495.27087968254</v>
          </cell>
          <cell r="J324">
            <v>2.4952708796825398</v>
          </cell>
          <cell r="K324">
            <v>4.2383471999999998</v>
          </cell>
          <cell r="L324">
            <v>4.2383472E-3</v>
          </cell>
          <cell r="M324">
            <v>86.994200000000006</v>
          </cell>
          <cell r="N324">
            <v>8.6994200000000008E-2</v>
          </cell>
        </row>
        <row r="325">
          <cell r="A325" t="str">
            <v>901000051</v>
          </cell>
          <cell r="B325" t="str">
            <v>PREMEZCLA PASTA PIÑA</v>
          </cell>
          <cell r="C325" t="str">
            <v>SE00325</v>
          </cell>
          <cell r="D325" t="str">
            <v>Premezcla Pasta Piña</v>
          </cell>
          <cell r="F325" t="str">
            <v>Estándar</v>
          </cell>
          <cell r="G325" t="str">
            <v>Peso</v>
          </cell>
          <cell r="H325" t="str">
            <v>Gramos</v>
          </cell>
          <cell r="I325">
            <v>1088.0007160775372</v>
          </cell>
          <cell r="J325">
            <v>1.0880007160775371</v>
          </cell>
          <cell r="K325">
            <v>6.6121505131128853</v>
          </cell>
          <cell r="L325">
            <v>6.6121505131128853E-3</v>
          </cell>
          <cell r="M325">
            <v>55.099999999999994</v>
          </cell>
          <cell r="N325">
            <v>5.5099999999999996E-2</v>
          </cell>
        </row>
        <row r="326">
          <cell r="A326" t="str">
            <v>904000050</v>
          </cell>
          <cell r="B326" t="str">
            <v>GALLETA MEDIA LUNA BAÑADO CHOCOLATE OSCURO</v>
          </cell>
          <cell r="C326" t="str">
            <v>SE00326</v>
          </cell>
          <cell r="D326" t="str">
            <v>Galleta Media Luna Bañado Chocolate Oscuro</v>
          </cell>
          <cell r="F326" t="str">
            <v>Estándar</v>
          </cell>
          <cell r="G326" t="str">
            <v>Unidad</v>
          </cell>
          <cell r="H326" t="str">
            <v>Unidades</v>
          </cell>
          <cell r="I326">
            <v>34.485154190552777</v>
          </cell>
          <cell r="J326">
            <v>34.485154190552777</v>
          </cell>
          <cell r="K326">
            <v>5.3709051124839507E-2</v>
          </cell>
          <cell r="L326">
            <v>5.3709051124839507E-2</v>
          </cell>
          <cell r="M326">
            <v>6.471670927682565</v>
          </cell>
          <cell r="N326">
            <v>6.471670927682565</v>
          </cell>
        </row>
        <row r="327">
          <cell r="A327" t="str">
            <v>906000050</v>
          </cell>
          <cell r="B327" t="str">
            <v>CANASTA REDONDA (30g)</v>
          </cell>
          <cell r="C327" t="str">
            <v>SE00327</v>
          </cell>
          <cell r="D327" t="str">
            <v>Canasta Redonda 30 grs</v>
          </cell>
          <cell r="F327" t="str">
            <v>Estándar</v>
          </cell>
          <cell r="G327" t="str">
            <v>Unidad</v>
          </cell>
          <cell r="H327" t="str">
            <v>Unidades</v>
          </cell>
          <cell r="I327">
            <v>73.838671828363644</v>
          </cell>
          <cell r="J327">
            <v>73.838671828363644</v>
          </cell>
          <cell r="K327">
            <v>1.4145218181818182</v>
          </cell>
          <cell r="L327">
            <v>1.4145218181818182</v>
          </cell>
          <cell r="M327">
            <v>19.130959002181818</v>
          </cell>
          <cell r="N327">
            <v>19.130959002181818</v>
          </cell>
        </row>
        <row r="328">
          <cell r="A328" t="str">
            <v>90100348</v>
          </cell>
          <cell r="B328" t="str">
            <v>COCCION CODITOS</v>
          </cell>
          <cell r="C328" t="str">
            <v>SE00328</v>
          </cell>
          <cell r="D328" t="str">
            <v>Coccion Pasta Coditos</v>
          </cell>
          <cell r="F328" t="str">
            <v>Estándar</v>
          </cell>
          <cell r="G328" t="str">
            <v>Peso</v>
          </cell>
          <cell r="H328" t="str">
            <v>Gramos</v>
          </cell>
          <cell r="I328">
            <v>982.36635706914342</v>
          </cell>
          <cell r="J328">
            <v>0.98236635706914344</v>
          </cell>
          <cell r="K328">
            <v>0</v>
          </cell>
          <cell r="L328">
            <v>0</v>
          </cell>
          <cell r="M328">
            <v>81.373999999999995</v>
          </cell>
          <cell r="N328">
            <v>8.1374000000000002E-2</v>
          </cell>
        </row>
        <row r="329">
          <cell r="A329" t="str">
            <v>90100349</v>
          </cell>
          <cell r="B329" t="str">
            <v>SALSA DE QUESO</v>
          </cell>
          <cell r="C329" t="str">
            <v>SE00329</v>
          </cell>
          <cell r="D329" t="str">
            <v>Salsa De Queso Planta</v>
          </cell>
          <cell r="F329" t="str">
            <v>Estándar</v>
          </cell>
          <cell r="G329" t="str">
            <v>Peso</v>
          </cell>
          <cell r="H329" t="str">
            <v>Gramos</v>
          </cell>
          <cell r="I329">
            <v>3309.623111111111</v>
          </cell>
          <cell r="J329">
            <v>3.3096231111111112</v>
          </cell>
          <cell r="K329">
            <v>0.63141511111111104</v>
          </cell>
          <cell r="L329">
            <v>6.3141511111111106E-4</v>
          </cell>
          <cell r="M329">
            <v>522.43177777777782</v>
          </cell>
          <cell r="N329">
            <v>0.52243177777777783</v>
          </cell>
        </row>
        <row r="330">
          <cell r="A330" t="str">
            <v>907000047</v>
          </cell>
          <cell r="B330" t="str">
            <v>ROSQUETE BROWNIE CASERO 2000g</v>
          </cell>
          <cell r="C330" t="str">
            <v>SE00330</v>
          </cell>
          <cell r="D330" t="str">
            <v>Rosquete Brownie Casero 2000 grs</v>
          </cell>
          <cell r="F330" t="str">
            <v>Estándar</v>
          </cell>
          <cell r="G330" t="str">
            <v>Unidad</v>
          </cell>
          <cell r="H330" t="str">
            <v>Unidades</v>
          </cell>
          <cell r="I330">
            <v>2815.5167083982569</v>
          </cell>
          <cell r="J330">
            <v>2815.5167083982569</v>
          </cell>
          <cell r="K330">
            <v>60.93273172</v>
          </cell>
          <cell r="L330">
            <v>60.93273172</v>
          </cell>
          <cell r="M330">
            <v>253.63127400000002</v>
          </cell>
          <cell r="N330">
            <v>253.63127400000002</v>
          </cell>
        </row>
        <row r="331">
          <cell r="A331" t="str">
            <v>95832</v>
          </cell>
          <cell r="B331" t="str">
            <v>GALLETAS MANTEQUILLA</v>
          </cell>
          <cell r="C331" t="str">
            <v>SE00331</v>
          </cell>
          <cell r="D331" t="str">
            <v>Galletas Mantequilla Planta</v>
          </cell>
          <cell r="F331" t="str">
            <v>Estándar</v>
          </cell>
          <cell r="G331" t="str">
            <v>Unidad</v>
          </cell>
          <cell r="H331" t="str">
            <v>Unidades</v>
          </cell>
          <cell r="I331">
            <v>14.511049222157888</v>
          </cell>
          <cell r="J331">
            <v>14.511049222157888</v>
          </cell>
          <cell r="K331">
            <v>0.16286904859090909</v>
          </cell>
          <cell r="L331">
            <v>0.16286904859090909</v>
          </cell>
          <cell r="M331">
            <v>4.0931629334865134</v>
          </cell>
          <cell r="N331">
            <v>4.0931629334865134</v>
          </cell>
        </row>
        <row r="332">
          <cell r="A332" t="str">
            <v>95212</v>
          </cell>
          <cell r="B332" t="str">
            <v>PASTA GALLETAS FIGURA</v>
          </cell>
          <cell r="C332" t="str">
            <v>SE00332</v>
          </cell>
          <cell r="D332" t="str">
            <v>Pasta Galletas Figura</v>
          </cell>
          <cell r="F332" t="str">
            <v>Estándar</v>
          </cell>
          <cell r="G332" t="str">
            <v>Peso</v>
          </cell>
          <cell r="H332" t="str">
            <v>Gramos</v>
          </cell>
          <cell r="I332">
            <v>1915.4882943671207</v>
          </cell>
          <cell r="J332">
            <v>1.9154882943671208</v>
          </cell>
          <cell r="K332">
            <v>17.513574500000001</v>
          </cell>
          <cell r="L332">
            <v>1.75135745E-2</v>
          </cell>
          <cell r="M332">
            <v>130.17385516483517</v>
          </cell>
          <cell r="N332">
            <v>0.13017385516483518</v>
          </cell>
        </row>
        <row r="333">
          <cell r="A333" t="str">
            <v>901000020</v>
          </cell>
          <cell r="B333" t="str">
            <v>PRE MEZCLA PASTA DE FIGURA</v>
          </cell>
          <cell r="C333" t="str">
            <v>SE00333</v>
          </cell>
          <cell r="D333" t="str">
            <v>Pre Mezcla Pasta De Figura</v>
          </cell>
          <cell r="F333" t="str">
            <v>Estándar</v>
          </cell>
          <cell r="G333" t="str">
            <v>Peso</v>
          </cell>
          <cell r="H333" t="str">
            <v>Gramos</v>
          </cell>
          <cell r="I333">
            <v>1066.3477621117695</v>
          </cell>
          <cell r="J333">
            <v>1.0663477621117694</v>
          </cell>
          <cell r="K333">
            <v>2.5525499999999997</v>
          </cell>
          <cell r="L333">
            <v>2.5525499999999998E-3</v>
          </cell>
          <cell r="M333">
            <v>4.6980000000000004</v>
          </cell>
          <cell r="N333">
            <v>4.6980000000000008E-3</v>
          </cell>
        </row>
        <row r="334">
          <cell r="A334" t="str">
            <v>903000027</v>
          </cell>
          <cell r="B334" t="str">
            <v>BROWNIE CANASTA</v>
          </cell>
          <cell r="C334" t="str">
            <v>SE00334</v>
          </cell>
          <cell r="D334" t="str">
            <v>Brownie Canasta Planta</v>
          </cell>
          <cell r="F334" t="str">
            <v>Estándar</v>
          </cell>
          <cell r="G334" t="str">
            <v>Unidad</v>
          </cell>
          <cell r="H334" t="str">
            <v>Unidades</v>
          </cell>
          <cell r="I334">
            <v>235.11060102268613</v>
          </cell>
          <cell r="J334">
            <v>235.11060102268613</v>
          </cell>
          <cell r="K334">
            <v>5.0624999999999996E-2</v>
          </cell>
          <cell r="L334">
            <v>5.0624999999999996E-2</v>
          </cell>
          <cell r="M334">
            <v>23.742604499999999</v>
          </cell>
          <cell r="N334">
            <v>23.742604499999999</v>
          </cell>
        </row>
        <row r="335">
          <cell r="A335" t="str">
            <v>907000202</v>
          </cell>
          <cell r="B335" t="str">
            <v>BATIDO BROWNIE DAWN</v>
          </cell>
          <cell r="C335" t="str">
            <v>SE00335</v>
          </cell>
          <cell r="D335" t="str">
            <v>Batido Brownie Dawn</v>
          </cell>
          <cell r="F335" t="str">
            <v>Estándar</v>
          </cell>
          <cell r="G335" t="str">
            <v>Peso</v>
          </cell>
          <cell r="H335" t="str">
            <v>Gramos</v>
          </cell>
          <cell r="I335">
            <v>2564.5161469444447</v>
          </cell>
          <cell r="J335">
            <v>2.5645161469444449</v>
          </cell>
          <cell r="K335">
            <v>0.5625</v>
          </cell>
          <cell r="L335">
            <v>5.6249999999999996E-4</v>
          </cell>
          <cell r="M335">
            <v>22.140049999999999</v>
          </cell>
          <cell r="N335">
            <v>2.2140049999999998E-2</v>
          </cell>
        </row>
        <row r="336">
          <cell r="A336" t="str">
            <v>906000009</v>
          </cell>
          <cell r="B336" t="str">
            <v xml:space="preserve">PRE MEZCLA CANASTA BROWNIE </v>
          </cell>
          <cell r="C336" t="str">
            <v>SE00336</v>
          </cell>
          <cell r="D336" t="str">
            <v xml:space="preserve">Pre Mezcla Canasta Brownie </v>
          </cell>
          <cell r="F336" t="str">
            <v>Estándar</v>
          </cell>
          <cell r="G336" t="str">
            <v>Peso</v>
          </cell>
          <cell r="H336" t="str">
            <v>Gramos</v>
          </cell>
          <cell r="I336">
            <v>7879.9080000000004</v>
          </cell>
          <cell r="J336">
            <v>7.8799080000000004</v>
          </cell>
          <cell r="K336">
            <v>300</v>
          </cell>
          <cell r="L336">
            <v>0.3</v>
          </cell>
          <cell r="M336">
            <v>1074.1600000000001</v>
          </cell>
          <cell r="N336">
            <v>1.07416</v>
          </cell>
        </row>
        <row r="337">
          <cell r="A337" t="str">
            <v>20100163</v>
          </cell>
          <cell r="B337" t="str">
            <v>Empaque Fudge de chocolate Spoon</v>
          </cell>
          <cell r="C337" t="str">
            <v>SE00337</v>
          </cell>
          <cell r="D337" t="str">
            <v>Empaque Fudge De Chocolate</v>
          </cell>
          <cell r="F337" t="str">
            <v>Estándar</v>
          </cell>
          <cell r="G337" t="str">
            <v>Peso</v>
          </cell>
          <cell r="H337" t="str">
            <v>Gramos</v>
          </cell>
          <cell r="I337">
            <v>2387.8197921047936</v>
          </cell>
          <cell r="J337">
            <v>2.3878197921047937</v>
          </cell>
          <cell r="K337">
            <v>6.1181925925925933</v>
          </cell>
          <cell r="L337">
            <v>6.1181925925925936E-3</v>
          </cell>
          <cell r="M337">
            <v>83.867999999999995</v>
          </cell>
          <cell r="N337">
            <v>8.3867999999999998E-2</v>
          </cell>
        </row>
        <row r="338">
          <cell r="A338" t="str">
            <v>90100354</v>
          </cell>
          <cell r="B338" t="str">
            <v>Fudge de chocolate Spoon</v>
          </cell>
          <cell r="C338" t="str">
            <v>SE00338</v>
          </cell>
          <cell r="D338" t="str">
            <v>Fudge De Chocolate Marmita</v>
          </cell>
          <cell r="F338" t="str">
            <v>Estándar</v>
          </cell>
          <cell r="G338" t="str">
            <v>Peso</v>
          </cell>
          <cell r="H338" t="str">
            <v>Gramos</v>
          </cell>
          <cell r="I338">
            <v>2387.8197921047936</v>
          </cell>
          <cell r="J338">
            <v>2.3878197921047937</v>
          </cell>
          <cell r="K338">
            <v>0</v>
          </cell>
          <cell r="L338">
            <v>0</v>
          </cell>
          <cell r="M338">
            <v>49.067999999999998</v>
          </cell>
          <cell r="N338">
            <v>4.9068000000000001E-2</v>
          </cell>
        </row>
        <row r="339">
          <cell r="A339" t="str">
            <v>90100353</v>
          </cell>
          <cell r="B339" t="str">
            <v>Caramelo Spoon</v>
          </cell>
          <cell r="C339" t="str">
            <v>SE00339</v>
          </cell>
          <cell r="D339" t="str">
            <v>Relleno Caramelo Marmita</v>
          </cell>
          <cell r="F339" t="str">
            <v>Estándar</v>
          </cell>
          <cell r="G339" t="str">
            <v>Peso</v>
          </cell>
          <cell r="H339" t="str">
            <v>Gramos</v>
          </cell>
          <cell r="I339">
            <v>2374.0916988764047</v>
          </cell>
          <cell r="J339">
            <v>2.3740916988764047</v>
          </cell>
          <cell r="K339">
            <v>10.756314606741572</v>
          </cell>
          <cell r="L339">
            <v>1.0756314606741573E-2</v>
          </cell>
          <cell r="M339">
            <v>106.87901123595506</v>
          </cell>
          <cell r="N339">
            <v>0.10687901123595506</v>
          </cell>
        </row>
        <row r="340">
          <cell r="A340" t="str">
            <v>20100162</v>
          </cell>
          <cell r="B340" t="str">
            <v>Empaque Relleno de caramelo Spoon</v>
          </cell>
          <cell r="C340" t="str">
            <v>SE00340</v>
          </cell>
          <cell r="D340" t="str">
            <v>Empaque Relleno De Caramelo Marmita</v>
          </cell>
          <cell r="F340" t="str">
            <v>Estándar</v>
          </cell>
          <cell r="G340" t="str">
            <v>Peso</v>
          </cell>
          <cell r="H340" t="str">
            <v>Gramos</v>
          </cell>
          <cell r="I340">
            <v>2374.0916988764047</v>
          </cell>
          <cell r="J340">
            <v>2.3740916988764047</v>
          </cell>
          <cell r="K340">
            <v>18.404055347482313</v>
          </cell>
          <cell r="L340">
            <v>1.8404055347482313E-2</v>
          </cell>
          <cell r="M340">
            <v>128.62901123595506</v>
          </cell>
          <cell r="N340">
            <v>0.12862901123595505</v>
          </cell>
        </row>
        <row r="341">
          <cell r="A341" t="str">
            <v>906000130</v>
          </cell>
          <cell r="B341" t="str">
            <v>Premezcla Batido Nucleo Chocolate Dawn</v>
          </cell>
          <cell r="C341" t="str">
            <v>SE00341</v>
          </cell>
          <cell r="D341" t="str">
            <v>Premezcla Batido Nucleo Chocolate Dawn</v>
          </cell>
          <cell r="F341" t="str">
            <v>Estándar</v>
          </cell>
          <cell r="G341" t="str">
            <v>Peso</v>
          </cell>
          <cell r="H341" t="str">
            <v>Gramos</v>
          </cell>
          <cell r="I341">
            <v>1150.261350519256</v>
          </cell>
          <cell r="J341">
            <v>1.150261350519256</v>
          </cell>
          <cell r="K341">
            <v>4.8894145919621321</v>
          </cell>
          <cell r="L341">
            <v>4.889414591962132E-3</v>
          </cell>
          <cell r="M341">
            <v>7.8880000000000008</v>
          </cell>
          <cell r="N341">
            <v>7.8880000000000009E-3</v>
          </cell>
        </row>
        <row r="342">
          <cell r="A342" t="str">
            <v>907000264</v>
          </cell>
          <cell r="B342" t="str">
            <v>Batido Nucleo Chocolate Dawn</v>
          </cell>
          <cell r="C342" t="str">
            <v>SE00342</v>
          </cell>
          <cell r="D342" t="str">
            <v>Batido Nucleo Chocolate Dawn</v>
          </cell>
          <cell r="F342" t="str">
            <v>Estándar</v>
          </cell>
          <cell r="G342" t="str">
            <v>Peso</v>
          </cell>
          <cell r="H342" t="str">
            <v>Gramos</v>
          </cell>
          <cell r="I342">
            <v>1239.1319872302852</v>
          </cell>
          <cell r="J342">
            <v>1.2391319872302853</v>
          </cell>
          <cell r="K342">
            <v>2.7367031354130447</v>
          </cell>
          <cell r="L342">
            <v>2.7367031354130445E-3</v>
          </cell>
          <cell r="M342">
            <v>19.263071360000001</v>
          </cell>
          <cell r="N342">
            <v>1.9263071360000002E-2</v>
          </cell>
        </row>
        <row r="343">
          <cell r="A343" t="str">
            <v>907000265</v>
          </cell>
          <cell r="B343" t="str">
            <v>ROSQUETE CHOCOLATE DAWN 530g</v>
          </cell>
          <cell r="C343" t="str">
            <v>SE00343</v>
          </cell>
          <cell r="D343" t="str">
            <v>Rosquete Chocolate Dawn 530 grs</v>
          </cell>
          <cell r="F343" t="str">
            <v>Estándar</v>
          </cell>
          <cell r="G343" t="str">
            <v>Unidad</v>
          </cell>
          <cell r="H343" t="str">
            <v>Unidades</v>
          </cell>
          <cell r="I343">
            <v>681.44847146824407</v>
          </cell>
          <cell r="J343">
            <v>681.44847146824407</v>
          </cell>
          <cell r="K343">
            <v>5.6344783874124476</v>
          </cell>
          <cell r="L343">
            <v>5.6344783874124476</v>
          </cell>
          <cell r="M343">
            <v>34.941229904657533</v>
          </cell>
          <cell r="N343">
            <v>34.941229904657533</v>
          </cell>
        </row>
        <row r="344">
          <cell r="A344" t="str">
            <v>907000267</v>
          </cell>
          <cell r="B344" t="str">
            <v>ROSQUETE CHOCOLATE DAWN 280g</v>
          </cell>
          <cell r="C344" t="str">
            <v>SE00344</v>
          </cell>
          <cell r="D344" t="str">
            <v>Rosquete Chocolate Dawn 280 grs</v>
          </cell>
          <cell r="F344" t="str">
            <v>Estándar</v>
          </cell>
          <cell r="G344" t="str">
            <v>Unidad</v>
          </cell>
          <cell r="H344" t="str">
            <v>Unidades</v>
          </cell>
          <cell r="I344">
            <v>367.11657680669327</v>
          </cell>
          <cell r="J344">
            <v>367.11657680669327</v>
          </cell>
          <cell r="K344">
            <v>1.0318951243245233</v>
          </cell>
          <cell r="L344">
            <v>1.0318951243245233</v>
          </cell>
          <cell r="M344">
            <v>64.680746640575549</v>
          </cell>
          <cell r="N344">
            <v>64.680746640575549</v>
          </cell>
        </row>
        <row r="345">
          <cell r="A345" t="str">
            <v>907000268</v>
          </cell>
          <cell r="B345" t="str">
            <v>ROSQUETE CHOCOLATE DAWN 400g</v>
          </cell>
          <cell r="C345" t="str">
            <v>SE00345</v>
          </cell>
          <cell r="D345" t="str">
            <v>Rosquete Chocolate Dawn 400 grs</v>
          </cell>
          <cell r="F345" t="str">
            <v>Estándar</v>
          </cell>
          <cell r="G345" t="str">
            <v>Unidad</v>
          </cell>
          <cell r="H345" t="str">
            <v>Unidades</v>
          </cell>
          <cell r="I345">
            <v>517.65415709915112</v>
          </cell>
          <cell r="J345">
            <v>517.65415709915112</v>
          </cell>
          <cell r="K345">
            <v>5.292829095681534</v>
          </cell>
          <cell r="L345">
            <v>5.292829095681534</v>
          </cell>
          <cell r="M345">
            <v>31.698946216907213</v>
          </cell>
          <cell r="N345">
            <v>31.698946216907213</v>
          </cell>
        </row>
        <row r="346">
          <cell r="A346" t="str">
            <v>907000266</v>
          </cell>
          <cell r="B346" t="str">
            <v>ROSQUETE CHOCOLATE DAWN 70g</v>
          </cell>
          <cell r="C346" t="str">
            <v>SE00346</v>
          </cell>
          <cell r="D346" t="str">
            <v>Rosquete Chocolate Dawn 70 grs</v>
          </cell>
          <cell r="F346" t="str">
            <v>Estándar</v>
          </cell>
          <cell r="G346" t="str">
            <v>Unidad</v>
          </cell>
          <cell r="H346" t="str">
            <v>Unidades</v>
          </cell>
          <cell r="I346">
            <v>93.24363593861969</v>
          </cell>
          <cell r="J346">
            <v>93.24363593861969</v>
          </cell>
          <cell r="K346">
            <v>1.5944253541851143</v>
          </cell>
          <cell r="L346">
            <v>1.5944253541851143</v>
          </cell>
          <cell r="M346">
            <v>7.8447608313105928</v>
          </cell>
          <cell r="N346">
            <v>7.8447608313105928</v>
          </cell>
        </row>
        <row r="347">
          <cell r="A347" t="str">
            <v>96369</v>
          </cell>
          <cell r="B347" t="str">
            <v>Premezcla Batido para QQ seco spoon</v>
          </cell>
          <cell r="C347" t="str">
            <v>SE00347</v>
          </cell>
          <cell r="D347" t="str">
            <v>Premezcla Queque Seco Spoon</v>
          </cell>
          <cell r="F347" t="str">
            <v>Estándar</v>
          </cell>
          <cell r="G347" t="str">
            <v>Peso</v>
          </cell>
          <cell r="H347" t="str">
            <v>Gramos</v>
          </cell>
          <cell r="I347">
            <v>1138.203251724138</v>
          </cell>
          <cell r="J347">
            <v>1.1382032517241381</v>
          </cell>
          <cell r="K347">
            <v>19.365517241379312</v>
          </cell>
          <cell r="L347">
            <v>1.9365517241379311E-2</v>
          </cell>
          <cell r="M347">
            <v>37.468000000000004</v>
          </cell>
          <cell r="N347">
            <v>3.7468000000000001E-2</v>
          </cell>
        </row>
        <row r="348">
          <cell r="A348" t="str">
            <v>95345</v>
          </cell>
          <cell r="B348" t="str">
            <v>Queque Seco Con Pasas 750g</v>
          </cell>
          <cell r="C348" t="str">
            <v>SE00348</v>
          </cell>
          <cell r="D348" t="str">
            <v>Queque Seco Con Pasas 750 grs</v>
          </cell>
          <cell r="F348" t="str">
            <v>Estándar</v>
          </cell>
          <cell r="G348" t="str">
            <v>Unidad</v>
          </cell>
          <cell r="H348" t="str">
            <v>Unidades</v>
          </cell>
          <cell r="I348">
            <v>1736.8863207827005</v>
          </cell>
          <cell r="J348">
            <v>1736.8863207827005</v>
          </cell>
          <cell r="K348">
            <v>6.418285714285715</v>
          </cell>
          <cell r="L348">
            <v>6.418285714285715</v>
          </cell>
          <cell r="M348">
            <v>177.71796571428573</v>
          </cell>
          <cell r="N348">
            <v>177.71796571428573</v>
          </cell>
        </row>
        <row r="349">
          <cell r="A349" t="str">
            <v>903000191</v>
          </cell>
          <cell r="B349" t="str">
            <v>GALLETE ALFAJOR DULCE LECHE KFC</v>
          </cell>
          <cell r="C349" t="str">
            <v>SE00349</v>
          </cell>
          <cell r="D349" t="str">
            <v>Galleta Alfajor Dulce Leche Kfc</v>
          </cell>
          <cell r="F349" t="str">
            <v>Estándar</v>
          </cell>
          <cell r="G349" t="str">
            <v>Unidad</v>
          </cell>
          <cell r="H349" t="str">
            <v>Unidades</v>
          </cell>
          <cell r="I349">
            <v>143.70300464037336</v>
          </cell>
          <cell r="J349">
            <v>143.70300464037336</v>
          </cell>
          <cell r="K349">
            <v>0.22724662137403456</v>
          </cell>
          <cell r="L349">
            <v>0.22724662137403456</v>
          </cell>
          <cell r="M349">
            <v>43.463257832912475</v>
          </cell>
          <cell r="N349">
            <v>43.463257832912475</v>
          </cell>
        </row>
        <row r="350">
          <cell r="A350" t="str">
            <v>903000190</v>
          </cell>
          <cell r="B350" t="str">
            <v>CORTE GALLETA ALFAJOR KFC</v>
          </cell>
          <cell r="C350" t="str">
            <v>SE00350</v>
          </cell>
          <cell r="D350" t="str">
            <v>Corte Galleta Alfajor Kfc</v>
          </cell>
          <cell r="F350" t="str">
            <v>Estándar</v>
          </cell>
          <cell r="G350" t="str">
            <v>Unidad</v>
          </cell>
          <cell r="H350" t="str">
            <v>Unidades</v>
          </cell>
          <cell r="I350">
            <v>27.918792945186684</v>
          </cell>
          <cell r="J350">
            <v>27.918792945186684</v>
          </cell>
          <cell r="K350">
            <v>0.11296356068701728</v>
          </cell>
          <cell r="L350">
            <v>0.11296356068701728</v>
          </cell>
          <cell r="M350">
            <v>10.182088916456241</v>
          </cell>
          <cell r="N350">
            <v>10.182088916456241</v>
          </cell>
        </row>
        <row r="351">
          <cell r="A351" t="str">
            <v>904000051</v>
          </cell>
          <cell r="B351" t="str">
            <v>TEMPERADO DE CHOCOLATE DE BLANCO</v>
          </cell>
          <cell r="C351" t="str">
            <v>SE00351</v>
          </cell>
          <cell r="D351" t="str">
            <v>Temperado De Chocolate De Blanco</v>
          </cell>
          <cell r="F351" t="str">
            <v>Estándar</v>
          </cell>
          <cell r="G351" t="str">
            <v>Peso</v>
          </cell>
          <cell r="H351" t="str">
            <v>Gramos</v>
          </cell>
          <cell r="I351">
            <v>6473.1423611111113</v>
          </cell>
          <cell r="J351">
            <v>6.473142361111111</v>
          </cell>
          <cell r="K351">
            <v>0.1885</v>
          </cell>
          <cell r="L351">
            <v>1.885E-4</v>
          </cell>
          <cell r="M351">
            <v>126.44000000000001</v>
          </cell>
          <cell r="N351">
            <v>0.12644000000000002</v>
          </cell>
        </row>
        <row r="352">
          <cell r="A352" t="str">
            <v>907000275</v>
          </cell>
          <cell r="B352" t="str">
            <v>BATIDO PASTA ALFAJOR KFC</v>
          </cell>
          <cell r="C352" t="str">
            <v>SE00352</v>
          </cell>
          <cell r="D352" t="str">
            <v>Batido Pasta Alfajor Kfc</v>
          </cell>
          <cell r="F352" t="str">
            <v>Estándar</v>
          </cell>
          <cell r="G352" t="str">
            <v>Peso</v>
          </cell>
          <cell r="H352" t="str">
            <v>Gramos</v>
          </cell>
          <cell r="I352">
            <v>1060.755772724294</v>
          </cell>
          <cell r="J352">
            <v>1.060755772724294</v>
          </cell>
          <cell r="K352">
            <v>4.063268151674885</v>
          </cell>
          <cell r="L352">
            <v>4.0632681516748845E-3</v>
          </cell>
          <cell r="M352">
            <v>21.074831279999998</v>
          </cell>
          <cell r="N352">
            <v>2.1074831279999998E-2</v>
          </cell>
        </row>
        <row r="353">
          <cell r="A353" t="str">
            <v>907000025</v>
          </cell>
          <cell r="B353" t="str">
            <v>Caramelo con Chocolate (KILO)</v>
          </cell>
          <cell r="C353" t="str">
            <v>SE00353</v>
          </cell>
          <cell r="D353" t="str">
            <v xml:space="preserve">Caramelo Con Chocolate </v>
          </cell>
          <cell r="F353" t="str">
            <v>Estándar</v>
          </cell>
          <cell r="G353" t="str">
            <v>Peso</v>
          </cell>
          <cell r="H353" t="str">
            <v>Gramos</v>
          </cell>
          <cell r="I353">
            <v>2253.652222222222</v>
          </cell>
          <cell r="J353">
            <v>2.2536522222222222</v>
          </cell>
          <cell r="K353">
            <v>8.7750000000000004</v>
          </cell>
          <cell r="L353">
            <v>8.7749999999999998E-3</v>
          </cell>
          <cell r="M353">
            <v>377</v>
          </cell>
          <cell r="N353">
            <v>0.377</v>
          </cell>
        </row>
        <row r="354">
          <cell r="A354" t="str">
            <v>20100115</v>
          </cell>
          <cell r="B354" t="str">
            <v>RELLENO DE FRESA ESPESA 5000g EMPAQ</v>
          </cell>
          <cell r="C354" t="str">
            <v>SE00354</v>
          </cell>
          <cell r="D354" t="str">
            <v>Relleno De Fresa Espesa</v>
          </cell>
          <cell r="F354" t="str">
            <v>Estándar</v>
          </cell>
          <cell r="G354" t="str">
            <v>Peso</v>
          </cell>
          <cell r="H354" t="str">
            <v>Gramos</v>
          </cell>
          <cell r="I354">
            <v>1781.4154564390465</v>
          </cell>
          <cell r="J354">
            <v>1.7814154564390465</v>
          </cell>
          <cell r="K354">
            <v>21.501814040741216</v>
          </cell>
          <cell r="L354">
            <v>2.1501814040741217E-2</v>
          </cell>
          <cell r="M354">
            <v>124.16044879233226</v>
          </cell>
          <cell r="N354">
            <v>0.12416044879233226</v>
          </cell>
        </row>
        <row r="355">
          <cell r="A355" t="str">
            <v>907000027</v>
          </cell>
          <cell r="B355" t="str">
            <v>CARAMELO CROCANTE</v>
          </cell>
          <cell r="C355" t="str">
            <v>SE00355</v>
          </cell>
          <cell r="D355" t="str">
            <v>Caramelo Crocante</v>
          </cell>
          <cell r="F355" t="str">
            <v>Estándar</v>
          </cell>
          <cell r="G355" t="str">
            <v>Peso</v>
          </cell>
          <cell r="H355" t="str">
            <v>Gramos</v>
          </cell>
          <cell r="I355">
            <v>838.12666666666632</v>
          </cell>
          <cell r="J355">
            <v>0.83812666666666635</v>
          </cell>
          <cell r="K355">
            <v>1.95</v>
          </cell>
          <cell r="L355">
            <v>1.9499999999999999E-3</v>
          </cell>
          <cell r="M355">
            <v>464</v>
          </cell>
          <cell r="N355">
            <v>0.46400000000000002</v>
          </cell>
        </row>
        <row r="356">
          <cell r="A356" t="str">
            <v>902000137</v>
          </cell>
          <cell r="B356" t="str">
            <v>FRESA PICADA PARA CHOCOFRESA</v>
          </cell>
          <cell r="C356" t="str">
            <v>SE00356</v>
          </cell>
          <cell r="D356" t="str">
            <v>Fresa Picada Para Chocofresa</v>
          </cell>
          <cell r="F356" t="str">
            <v>Estándar</v>
          </cell>
          <cell r="G356" t="str">
            <v>Peso</v>
          </cell>
          <cell r="H356" t="str">
            <v>Gramos</v>
          </cell>
          <cell r="I356">
            <v>1035.794862</v>
          </cell>
          <cell r="J356">
            <v>1.0357948619999999</v>
          </cell>
          <cell r="K356">
            <v>0.28502222222222223</v>
          </cell>
          <cell r="L356">
            <v>2.8502222222222224E-4</v>
          </cell>
          <cell r="M356">
            <v>29</v>
          </cell>
          <cell r="N356">
            <v>2.9000000000000001E-2</v>
          </cell>
        </row>
        <row r="357">
          <cell r="A357" t="str">
            <v>907000277</v>
          </cell>
          <cell r="B357" t="str">
            <v>ROSQUETE CAFE 380g</v>
          </cell>
          <cell r="C357" t="str">
            <v>SE00357</v>
          </cell>
          <cell r="D357" t="str">
            <v>Rosquete Cafe 380 grs</v>
          </cell>
          <cell r="F357" t="str">
            <v>Estándar</v>
          </cell>
          <cell r="G357" t="str">
            <v>Unidad</v>
          </cell>
          <cell r="H357" t="str">
            <v>Unidades</v>
          </cell>
          <cell r="I357">
            <v>25.928601190879995</v>
          </cell>
          <cell r="J357">
            <v>25.928601190879995</v>
          </cell>
          <cell r="K357">
            <v>6.2424199999999992</v>
          </cell>
          <cell r="L357">
            <v>6.2424199999999992</v>
          </cell>
          <cell r="M357">
            <v>116</v>
          </cell>
          <cell r="N357">
            <v>116</v>
          </cell>
        </row>
        <row r="358">
          <cell r="A358" t="str">
            <v>907000276</v>
          </cell>
          <cell r="B358" t="str">
            <v>BATIDO DE CAFÉ</v>
          </cell>
          <cell r="C358" t="str">
            <v>SE00361</v>
          </cell>
          <cell r="D358" t="str">
            <v>Batido De Café</v>
          </cell>
          <cell r="F358" t="str">
            <v>Estándar</v>
          </cell>
          <cell r="G358" t="str">
            <v>Peso</v>
          </cell>
          <cell r="H358" t="str">
            <v>Gramos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</row>
        <row r="359">
          <cell r="A359" t="str">
            <v>907000269</v>
          </cell>
          <cell r="B359" t="str">
            <v>ROSQUETE CHOCOLATE DAWN 50g</v>
          </cell>
          <cell r="C359" t="str">
            <v>SE00362</v>
          </cell>
          <cell r="D359" t="str">
            <v>Rosquete Chocolate Dawn 50 grs</v>
          </cell>
          <cell r="F359" t="str">
            <v>Estándar</v>
          </cell>
          <cell r="G359" t="str">
            <v>Unidad</v>
          </cell>
          <cell r="H359" t="str">
            <v>Unidades</v>
          </cell>
          <cell r="I359">
            <v>68.835271895147955</v>
          </cell>
          <cell r="J359">
            <v>68.835271895147955</v>
          </cell>
          <cell r="K359">
            <v>1.1624931239962066</v>
          </cell>
          <cell r="L359">
            <v>1.1624931239962066</v>
          </cell>
          <cell r="M359">
            <v>7.2913177508352005</v>
          </cell>
          <cell r="N359">
            <v>7.2913177508352005</v>
          </cell>
        </row>
        <row r="360">
          <cell r="A360" t="str">
            <v>95183</v>
          </cell>
          <cell r="B360" t="str">
            <v>ROSQUETE CHOCOLATE PILLSBURY  (1500g)</v>
          </cell>
          <cell r="C360" t="str">
            <v>SE00363</v>
          </cell>
          <cell r="D360" t="str">
            <v>Rosquete ChocolatePillbury 1500 grs</v>
          </cell>
          <cell r="F360" t="str">
            <v>Estándar</v>
          </cell>
          <cell r="G360" t="str">
            <v>Unidad</v>
          </cell>
          <cell r="H360" t="str">
            <v>Unidades</v>
          </cell>
          <cell r="I360">
            <v>2922.2294189146842</v>
          </cell>
          <cell r="J360">
            <v>2922.2294189146842</v>
          </cell>
          <cell r="K360">
            <v>1.6515031199457777</v>
          </cell>
          <cell r="L360">
            <v>1.6515031199457777</v>
          </cell>
          <cell r="M360">
            <v>72.132328326000007</v>
          </cell>
          <cell r="N360">
            <v>72.132328326000007</v>
          </cell>
        </row>
        <row r="361">
          <cell r="A361" t="str">
            <v>95705</v>
          </cell>
          <cell r="B361" t="str">
            <v>Cheese Cake de Limón para torta cheesecake de limón</v>
          </cell>
          <cell r="C361" t="str">
            <v>SE00364</v>
          </cell>
          <cell r="D361" t="str">
            <v xml:space="preserve">Cheese Cake de limon para torta cheesecake limon </v>
          </cell>
          <cell r="F361" t="str">
            <v>Estándar</v>
          </cell>
          <cell r="G361" t="str">
            <v>Unidad</v>
          </cell>
          <cell r="H361" t="str">
            <v>Unidades</v>
          </cell>
          <cell r="I361">
            <v>1756.6836298041176</v>
          </cell>
          <cell r="J361">
            <v>1756.6836298041176</v>
          </cell>
          <cell r="K361">
            <v>2.2131029760000004E-2</v>
          </cell>
          <cell r="L361">
            <v>2.2131029760000004E-2</v>
          </cell>
          <cell r="M361">
            <v>126.90395359999999</v>
          </cell>
          <cell r="N361">
            <v>126.90395359999999</v>
          </cell>
        </row>
        <row r="362">
          <cell r="A362" t="str">
            <v>95456</v>
          </cell>
          <cell r="B362" t="str">
            <v xml:space="preserve">RELLENO PARA CHEESE CAKE DE LIMON </v>
          </cell>
          <cell r="C362" t="str">
            <v>SE00365</v>
          </cell>
          <cell r="D362" t="str">
            <v xml:space="preserve">Relleno para Cheeseckae de Limon </v>
          </cell>
          <cell r="F362" t="str">
            <v>Estándar</v>
          </cell>
          <cell r="G362" t="str">
            <v>Peso</v>
          </cell>
          <cell r="H362" t="str">
            <v>Gramos</v>
          </cell>
          <cell r="I362">
            <v>2454.4826126967059</v>
          </cell>
          <cell r="J362">
            <v>2.4544826126967059</v>
          </cell>
          <cell r="K362">
            <v>4.4262059520000008E-2</v>
          </cell>
          <cell r="L362">
            <v>4.426205952000001E-5</v>
          </cell>
          <cell r="M362">
            <v>128.06390719999999</v>
          </cell>
          <cell r="N362">
            <v>0.12806390719999999</v>
          </cell>
        </row>
        <row r="363">
          <cell r="A363" t="str">
            <v>90100360</v>
          </cell>
          <cell r="B363" t="str">
            <v>COCCIÓN CHOWDER DE POLLO SPOON</v>
          </cell>
          <cell r="C363" t="str">
            <v>SE00366</v>
          </cell>
          <cell r="D363" t="str">
            <v>Coccion Chowder de pollo Spoom</v>
          </cell>
          <cell r="F363" t="str">
            <v>Estándar</v>
          </cell>
          <cell r="G363" t="str">
            <v>Peso</v>
          </cell>
          <cell r="H363" t="str">
            <v>Gramos</v>
          </cell>
          <cell r="I363">
            <v>1354.2912218333333</v>
          </cell>
          <cell r="J363">
            <v>1.3542912218333334</v>
          </cell>
          <cell r="K363">
            <v>2.1280000000000001</v>
          </cell>
          <cell r="L363">
            <v>2.1280000000000001E-3</v>
          </cell>
          <cell r="M363">
            <v>94.539999999999992</v>
          </cell>
          <cell r="N363">
            <v>9.4539999999999985E-2</v>
          </cell>
        </row>
        <row r="364">
          <cell r="A364" t="str">
            <v>901000086</v>
          </cell>
          <cell r="B364" t="str">
            <v>COCCCION CREMA DE TOMATE KILO</v>
          </cell>
          <cell r="C364" t="str">
            <v>SE00367</v>
          </cell>
          <cell r="D364" t="str">
            <v xml:space="preserve">Coccion Crema de tomate </v>
          </cell>
          <cell r="F364" t="str">
            <v>Estándar</v>
          </cell>
          <cell r="G364" t="str">
            <v>Peso</v>
          </cell>
          <cell r="H364" t="str">
            <v>Gramos</v>
          </cell>
          <cell r="I364">
            <v>1205.6513290340952</v>
          </cell>
          <cell r="J364">
            <v>1.2056513290340951</v>
          </cell>
          <cell r="K364">
            <v>0.95192319999999997</v>
          </cell>
          <cell r="L364">
            <v>9.5192319999999999E-4</v>
          </cell>
          <cell r="M364">
            <v>38.955931999999997</v>
          </cell>
          <cell r="N364">
            <v>3.8955931999999999E-2</v>
          </cell>
        </row>
        <row r="365">
          <cell r="A365" t="str">
            <v>90100370</v>
          </cell>
          <cell r="B365" t="str">
            <v xml:space="preserve">COCCION PURE DE CAMOTE </v>
          </cell>
          <cell r="C365" t="str">
            <v>SE00368</v>
          </cell>
          <cell r="D365" t="str">
            <v>Coccion Pure de Camote</v>
          </cell>
          <cell r="F365" t="str">
            <v>Estándar</v>
          </cell>
          <cell r="G365" t="str">
            <v>Peso</v>
          </cell>
          <cell r="H365" t="str">
            <v>Gramos</v>
          </cell>
          <cell r="I365">
            <v>1851.5878569401584</v>
          </cell>
          <cell r="J365">
            <v>1.8515878569401585</v>
          </cell>
          <cell r="K365">
            <v>8.1373858719999994</v>
          </cell>
          <cell r="L365">
            <v>8.1373858719999987E-3</v>
          </cell>
          <cell r="M365">
            <v>113.9516314</v>
          </cell>
          <cell r="N365">
            <v>0.1139516314</v>
          </cell>
        </row>
        <row r="366">
          <cell r="A366" t="str">
            <v>90100369</v>
          </cell>
          <cell r="B366" t="str">
            <v>COCCIÒN CAMOTE</v>
          </cell>
          <cell r="C366" t="str">
            <v>SE00369</v>
          </cell>
          <cell r="D366" t="str">
            <v xml:space="preserve">Coccion de camote </v>
          </cell>
          <cell r="F366" t="str">
            <v>Estándar</v>
          </cell>
          <cell r="G366" t="str">
            <v>Peso</v>
          </cell>
          <cell r="H366" t="str">
            <v>Gramos</v>
          </cell>
          <cell r="I366">
            <v>2104.0500000000002</v>
          </cell>
          <cell r="J366">
            <v>2.10405</v>
          </cell>
          <cell r="K366">
            <v>0</v>
          </cell>
          <cell r="L366">
            <v>0</v>
          </cell>
          <cell r="M366">
            <v>67.28</v>
          </cell>
          <cell r="N366">
            <v>6.7280000000000006E-2</v>
          </cell>
        </row>
        <row r="367">
          <cell r="A367" t="str">
            <v>90100371</v>
          </cell>
          <cell r="B367" t="str">
            <v>COCCION LOMO NAVIDAD</v>
          </cell>
          <cell r="C367" t="str">
            <v>SE00370</v>
          </cell>
          <cell r="D367" t="str">
            <v xml:space="preserve">Coccion Lomo navidad </v>
          </cell>
          <cell r="F367" t="str">
            <v>Estándar</v>
          </cell>
          <cell r="G367" t="str">
            <v>Peso</v>
          </cell>
          <cell r="H367" t="str">
            <v>Gramos</v>
          </cell>
          <cell r="I367">
            <v>7131.5898104005664</v>
          </cell>
          <cell r="J367">
            <v>7.1315898104005662</v>
          </cell>
          <cell r="K367">
            <v>1.9713536E-2</v>
          </cell>
          <cell r="L367">
            <v>1.9713535999999999E-5</v>
          </cell>
          <cell r="M367">
            <v>309.20449600000001</v>
          </cell>
          <cell r="N367">
            <v>0.309204496</v>
          </cell>
        </row>
        <row r="368">
          <cell r="A368" t="str">
            <v>90100373</v>
          </cell>
          <cell r="B368" t="str">
            <v>SALSA GRAVY CERDO</v>
          </cell>
          <cell r="C368" t="str">
            <v>SE00371</v>
          </cell>
          <cell r="D368" t="str">
            <v>Salsa Gravy de Cerdo</v>
          </cell>
          <cell r="F368" t="str">
            <v>Estándar</v>
          </cell>
          <cell r="G368" t="str">
            <v>Peso</v>
          </cell>
          <cell r="H368" t="str">
            <v>Gramos</v>
          </cell>
          <cell r="I368">
            <v>83.545325348480858</v>
          </cell>
          <cell r="J368">
            <v>8.3545325348480859E-2</v>
          </cell>
          <cell r="K368">
            <v>1.1039446079999999</v>
          </cell>
          <cell r="L368">
            <v>1.1039446079999999E-3</v>
          </cell>
          <cell r="M368">
            <v>290.40694076</v>
          </cell>
          <cell r="N368">
            <v>0.29040694076000001</v>
          </cell>
        </row>
        <row r="369">
          <cell r="A369" t="str">
            <v>90100374</v>
          </cell>
          <cell r="B369" t="str">
            <v>COCCION PECHUGA POLLO</v>
          </cell>
          <cell r="C369" t="str">
            <v>SE00372</v>
          </cell>
          <cell r="D369" t="str">
            <v>Coccion Pechuga de Pollo</v>
          </cell>
          <cell r="F369" t="str">
            <v>Estándar</v>
          </cell>
          <cell r="G369" t="str">
            <v>Peso</v>
          </cell>
          <cell r="H369" t="str">
            <v>Gramos</v>
          </cell>
          <cell r="I369">
            <v>5393.1775292236425</v>
          </cell>
          <cell r="J369">
            <v>5.3931775292236424</v>
          </cell>
          <cell r="K369">
            <v>1.6274304E-2</v>
          </cell>
          <cell r="L369">
            <v>1.6274303999999999E-5</v>
          </cell>
          <cell r="M369">
            <v>171.73324400000001</v>
          </cell>
          <cell r="N369">
            <v>0.17173324400000001</v>
          </cell>
        </row>
        <row r="370">
          <cell r="A370" t="str">
            <v>90100376</v>
          </cell>
          <cell r="B370" t="str">
            <v>SALSA GRAVY POLLO</v>
          </cell>
          <cell r="C370" t="str">
            <v>SE00373</v>
          </cell>
          <cell r="D370" t="str">
            <v>Salsa Gravy de pollo</v>
          </cell>
          <cell r="F370" t="str">
            <v>Estándar</v>
          </cell>
          <cell r="G370" t="str">
            <v>Peso</v>
          </cell>
          <cell r="H370" t="str">
            <v>Gramos</v>
          </cell>
          <cell r="I370">
            <v>139.53238223550858</v>
          </cell>
          <cell r="J370">
            <v>0.13953238223550857</v>
          </cell>
          <cell r="K370">
            <v>1.5089552959999999</v>
          </cell>
          <cell r="L370">
            <v>1.5089552959999999E-3</v>
          </cell>
          <cell r="M370">
            <v>232.428156</v>
          </cell>
          <cell r="N370">
            <v>0.232428156</v>
          </cell>
        </row>
        <row r="371">
          <cell r="A371" t="str">
            <v>903000185</v>
          </cell>
          <cell r="B371" t="str">
            <v>ALFAJOR OSO</v>
          </cell>
          <cell r="C371" t="str">
            <v>SE00374</v>
          </cell>
          <cell r="D371" t="str">
            <v>Alfajor Oso</v>
          </cell>
          <cell r="F371" t="str">
            <v>Estándar</v>
          </cell>
          <cell r="G371" t="str">
            <v>Unidad</v>
          </cell>
          <cell r="H371" t="str">
            <v>Unidades</v>
          </cell>
          <cell r="I371">
            <v>15.163863312995435</v>
          </cell>
          <cell r="J371">
            <v>15.163863312995435</v>
          </cell>
          <cell r="K371">
            <v>5.9314262455723868E-2</v>
          </cell>
          <cell r="L371">
            <v>5.9314262455723868E-2</v>
          </cell>
          <cell r="M371">
            <v>10.261818891360001</v>
          </cell>
          <cell r="N371">
            <v>10.261818891360001</v>
          </cell>
        </row>
        <row r="372">
          <cell r="A372" t="str">
            <v>903000187</v>
          </cell>
          <cell r="B372" t="str">
            <v xml:space="preserve">ALFAJOR CORAZÓN </v>
          </cell>
          <cell r="C372" t="str">
            <v>SE00375</v>
          </cell>
          <cell r="D372" t="str">
            <v>Alfajor Corazon</v>
          </cell>
          <cell r="F372" t="str">
            <v>Estándar</v>
          </cell>
          <cell r="G372" t="str">
            <v>Unidad</v>
          </cell>
          <cell r="H372" t="str">
            <v>Unidades</v>
          </cell>
          <cell r="I372">
            <v>18.390684355208744</v>
          </cell>
          <cell r="J372">
            <v>18.390684355208744</v>
          </cell>
          <cell r="K372">
            <v>7.1674731763664692E-2</v>
          </cell>
          <cell r="L372">
            <v>7.1674731763664692E-2</v>
          </cell>
          <cell r="M372">
            <v>7.44750036808</v>
          </cell>
          <cell r="N372">
            <v>7.44750036808</v>
          </cell>
        </row>
        <row r="373">
          <cell r="A373" t="str">
            <v>903000188</v>
          </cell>
          <cell r="B373" t="str">
            <v xml:space="preserve">ALFAJOR BALLENA </v>
          </cell>
          <cell r="C373" t="str">
            <v>SE00376</v>
          </cell>
          <cell r="D373" t="str">
            <v xml:space="preserve">Alfajor Ballena </v>
          </cell>
          <cell r="F373" t="str">
            <v>Estándar</v>
          </cell>
          <cell r="G373" t="str">
            <v>Unidad</v>
          </cell>
          <cell r="H373" t="str">
            <v>Unidades</v>
          </cell>
          <cell r="I373">
            <v>18.390684355208744</v>
          </cell>
          <cell r="J373">
            <v>18.390684355208744</v>
          </cell>
          <cell r="K373">
            <v>7.1674731763664692E-2</v>
          </cell>
          <cell r="L373">
            <v>7.1674731763664692E-2</v>
          </cell>
          <cell r="M373">
            <v>7.44750036808</v>
          </cell>
          <cell r="N373">
            <v>7.44750036808</v>
          </cell>
        </row>
        <row r="374">
          <cell r="A374" t="str">
            <v>903000186</v>
          </cell>
          <cell r="B374" t="str">
            <v>ALFAJOR PATO</v>
          </cell>
          <cell r="C374" t="str">
            <v>SE00377</v>
          </cell>
          <cell r="D374" t="str">
            <v>Alfajor Pato</v>
          </cell>
          <cell r="F374" t="str">
            <v>Estándar</v>
          </cell>
          <cell r="G374" t="str">
            <v>Unidad</v>
          </cell>
          <cell r="H374" t="str">
            <v>Unidades</v>
          </cell>
          <cell r="I374">
            <v>17.315077341137641</v>
          </cell>
          <cell r="J374">
            <v>17.315077341137641</v>
          </cell>
          <cell r="K374">
            <v>6.7554575327684413E-2</v>
          </cell>
          <cell r="L374">
            <v>6.7554575327684413E-2</v>
          </cell>
          <cell r="M374">
            <v>10.318939875840002</v>
          </cell>
          <cell r="N374">
            <v>10.318939875840002</v>
          </cell>
        </row>
        <row r="375">
          <cell r="A375" t="str">
            <v>90700024</v>
          </cell>
          <cell r="B375" t="str">
            <v>Rosquete Zanahoria Rectangular 900g</v>
          </cell>
          <cell r="C375" t="str">
            <v>SE00378</v>
          </cell>
          <cell r="D375" t="str">
            <v>Rosquete Zanahoria rectangular 900 G</v>
          </cell>
          <cell r="F375" t="str">
            <v>Estándar</v>
          </cell>
          <cell r="G375" t="str">
            <v>Unidad</v>
          </cell>
          <cell r="H375" t="str">
            <v>Unidades</v>
          </cell>
          <cell r="I375">
            <v>1662.5783090112964</v>
          </cell>
          <cell r="J375">
            <v>1662.5783090112964</v>
          </cell>
          <cell r="K375">
            <v>14.664964742229039</v>
          </cell>
          <cell r="L375">
            <v>14.664964742229039</v>
          </cell>
          <cell r="M375">
            <v>144.85767354062401</v>
          </cell>
          <cell r="N375">
            <v>144.85767354062401</v>
          </cell>
        </row>
        <row r="376">
          <cell r="A376" t="str">
            <v>907000279</v>
          </cell>
          <cell r="B376" t="str">
            <v>ROSQUETE BROWNIE CASERO REDONDO 450G</v>
          </cell>
          <cell r="C376" t="str">
            <v>SE00379</v>
          </cell>
          <cell r="D376" t="str">
            <v>Rosquete Brownie Casero 450 grs</v>
          </cell>
          <cell r="F376" t="str">
            <v>Estándar</v>
          </cell>
          <cell r="G376" t="str">
            <v>Unidad</v>
          </cell>
          <cell r="H376" t="str">
            <v>Unidades</v>
          </cell>
          <cell r="I376">
            <v>682.2857525830384</v>
          </cell>
          <cell r="J376">
            <v>682.2857525830384</v>
          </cell>
          <cell r="K376">
            <v>17.256300830890734</v>
          </cell>
          <cell r="L376">
            <v>17.256300830890734</v>
          </cell>
          <cell r="M376">
            <v>66.74039561583001</v>
          </cell>
          <cell r="N376">
            <v>66.74039561583001</v>
          </cell>
        </row>
        <row r="377">
          <cell r="A377" t="str">
            <v>902000138</v>
          </cell>
          <cell r="B377" t="str">
            <v>RELLENO PIE DE MARACUYA</v>
          </cell>
          <cell r="C377" t="str">
            <v>SE00380</v>
          </cell>
          <cell r="D377" t="str">
            <v>Relleno Pie de Maracuya</v>
          </cell>
          <cell r="F377" t="str">
            <v>Estándar</v>
          </cell>
          <cell r="G377" t="str">
            <v>Peso</v>
          </cell>
          <cell r="H377" t="str">
            <v>Gramos</v>
          </cell>
          <cell r="I377">
            <v>2522.0441248444445</v>
          </cell>
          <cell r="J377">
            <v>2.5220441248444443</v>
          </cell>
          <cell r="K377">
            <v>0</v>
          </cell>
          <cell r="L377">
            <v>0</v>
          </cell>
          <cell r="M377">
            <v>46.400000000000006</v>
          </cell>
          <cell r="N377">
            <v>4.6400000000000004E-2</v>
          </cell>
        </row>
        <row r="378">
          <cell r="A378" t="str">
            <v>90100363</v>
          </cell>
          <cell r="B378" t="str">
            <v>SALSA DE MARACUYA CON SEMILLA</v>
          </cell>
          <cell r="C378" t="str">
            <v>SE00381</v>
          </cell>
          <cell r="D378" t="str">
            <v xml:space="preserve">Salsa de Maracuya con semilla </v>
          </cell>
          <cell r="F378" t="str">
            <v>Estándar</v>
          </cell>
          <cell r="G378" t="str">
            <v>Peso</v>
          </cell>
          <cell r="H378" t="str">
            <v>Gramos</v>
          </cell>
          <cell r="I378">
            <v>2132.4651503999999</v>
          </cell>
          <cell r="J378">
            <v>2.1324651503999998</v>
          </cell>
          <cell r="K378">
            <v>13.358879999999999</v>
          </cell>
          <cell r="L378">
            <v>1.335888E-2</v>
          </cell>
          <cell r="M378">
            <v>117.53700000000001</v>
          </cell>
          <cell r="N378">
            <v>0.117537</v>
          </cell>
        </row>
        <row r="379">
          <cell r="A379" t="str">
            <v>905000103</v>
          </cell>
          <cell r="B379" t="str">
            <v>MEZCLA TRES LECHES AVELLANA</v>
          </cell>
          <cell r="C379" t="str">
            <v>SE00382</v>
          </cell>
          <cell r="D379" t="str">
            <v xml:space="preserve">Mezcla de tres leches Avellana </v>
          </cell>
          <cell r="F379" t="str">
            <v>Estándar</v>
          </cell>
          <cell r="G379" t="str">
            <v>Peso</v>
          </cell>
          <cell r="H379" t="str">
            <v>Gramos</v>
          </cell>
          <cell r="I379">
            <v>1758.9170920806821</v>
          </cell>
          <cell r="J379">
            <v>1.758917092080682</v>
          </cell>
          <cell r="K379">
            <v>19.8758208</v>
          </cell>
          <cell r="L379">
            <v>1.9875820799999999E-2</v>
          </cell>
          <cell r="M379">
            <v>68.298340800000005</v>
          </cell>
          <cell r="N379">
            <v>6.829834080000001E-2</v>
          </cell>
        </row>
        <row r="380">
          <cell r="A380" t="str">
            <v>90100332</v>
          </cell>
          <cell r="B380" t="str">
            <v>RELLENO ROSSANA</v>
          </cell>
          <cell r="C380" t="str">
            <v>SE00383</v>
          </cell>
          <cell r="D380" t="str">
            <v xml:space="preserve">Relleno Rossanna </v>
          </cell>
          <cell r="F380" t="str">
            <v>Estándar</v>
          </cell>
          <cell r="G380" t="str">
            <v>Peso</v>
          </cell>
          <cell r="H380" t="str">
            <v>Gramos</v>
          </cell>
          <cell r="I380">
            <v>3630.9923874146593</v>
          </cell>
          <cell r="J380">
            <v>3.6309923874146595</v>
          </cell>
          <cell r="K380">
            <v>15.511156695156695</v>
          </cell>
          <cell r="L380">
            <v>1.5511156695156694E-2</v>
          </cell>
          <cell r="M380">
            <v>160.1057777777778</v>
          </cell>
          <cell r="N380">
            <v>0.16010577777777779</v>
          </cell>
        </row>
        <row r="381">
          <cell r="A381" t="str">
            <v>90100331</v>
          </cell>
          <cell r="B381" t="str">
            <v>TRASVASADO CREMA ROSSANA</v>
          </cell>
          <cell r="C381" t="str">
            <v>SE00384</v>
          </cell>
          <cell r="D381" t="str">
            <v>Trasvasado de Crema Rossana</v>
          </cell>
          <cell r="F381" t="str">
            <v>Estándar</v>
          </cell>
          <cell r="G381" t="str">
            <v>Peso</v>
          </cell>
          <cell r="H381" t="str">
            <v>Gramos</v>
          </cell>
          <cell r="I381">
            <v>7587.1794871794873</v>
          </cell>
          <cell r="J381">
            <v>7.5871794871794869</v>
          </cell>
          <cell r="K381">
            <v>14.391794871794872</v>
          </cell>
          <cell r="L381">
            <v>1.4391794871794872E-2</v>
          </cell>
          <cell r="M381">
            <v>148.47999999999999</v>
          </cell>
          <cell r="N381">
            <v>0.14848</v>
          </cell>
        </row>
        <row r="382">
          <cell r="A382" t="str">
            <v>902000144</v>
          </cell>
          <cell r="B382" t="str">
            <v>CORTE GALLETA CHILENA POPS</v>
          </cell>
          <cell r="C382" t="str">
            <v>SE00385</v>
          </cell>
          <cell r="D382" t="str">
            <v xml:space="preserve">Corte Galleta Chilena Pops </v>
          </cell>
          <cell r="F382" t="str">
            <v>Estándar</v>
          </cell>
          <cell r="G382" t="str">
            <v>Unidad</v>
          </cell>
          <cell r="H382" t="str">
            <v>Unidades</v>
          </cell>
          <cell r="I382">
            <v>13.043639024853231</v>
          </cell>
          <cell r="J382">
            <v>13.043639024853231</v>
          </cell>
          <cell r="K382">
            <v>5.1553970863763315E-2</v>
          </cell>
          <cell r="L382">
            <v>5.1553970863763315E-2</v>
          </cell>
          <cell r="M382">
            <v>9.6252779068799992</v>
          </cell>
          <cell r="N382">
            <v>9.6252779068799992</v>
          </cell>
        </row>
        <row r="383">
          <cell r="A383" t="str">
            <v>90100365</v>
          </cell>
          <cell r="B383" t="str">
            <v xml:space="preserve">TRASVASADO LECHE CONDENSADA COCINADA </v>
          </cell>
          <cell r="C383" t="str">
            <v>SE00386</v>
          </cell>
          <cell r="D383" t="str">
            <v xml:space="preserve">Trasvasado de leche condensada cocinada </v>
          </cell>
          <cell r="F383" t="str">
            <v>Estándar</v>
          </cell>
          <cell r="G383" t="str">
            <v>Peso</v>
          </cell>
          <cell r="H383" t="str">
            <v>Gramos</v>
          </cell>
          <cell r="I383">
            <v>2090.9908</v>
          </cell>
          <cell r="J383">
            <v>2.0909908000000001</v>
          </cell>
          <cell r="K383">
            <v>2.6217899999999998</v>
          </cell>
          <cell r="L383">
            <v>2.6217899999999997E-3</v>
          </cell>
          <cell r="M383">
            <v>127.02</v>
          </cell>
          <cell r="N383">
            <v>0.12701999999999999</v>
          </cell>
        </row>
        <row r="384">
          <cell r="A384" t="str">
            <v>90100377</v>
          </cell>
          <cell r="B384" t="str">
            <v>TORTA HUEVO ENTERO</v>
          </cell>
          <cell r="C384" t="str">
            <v>SE00387</v>
          </cell>
          <cell r="D384" t="str">
            <v>Torta de huevo Recasa</v>
          </cell>
          <cell r="F384" t="str">
            <v>Estándar</v>
          </cell>
          <cell r="G384" t="str">
            <v>Unidad</v>
          </cell>
          <cell r="H384" t="str">
            <v>Unidades</v>
          </cell>
          <cell r="I384">
            <v>197.00176675294117</v>
          </cell>
          <cell r="J384">
            <v>197.00176675294117</v>
          </cell>
          <cell r="K384">
            <v>0.21457280000000001</v>
          </cell>
          <cell r="L384">
            <v>0.21457280000000001</v>
          </cell>
          <cell r="M384">
            <v>87.005799999999994</v>
          </cell>
          <cell r="N384">
            <v>87.005799999999994</v>
          </cell>
        </row>
        <row r="385">
          <cell r="A385" t="str">
            <v>90100378</v>
          </cell>
          <cell r="B385" t="str">
            <v>TOCINETA HORNEADA</v>
          </cell>
          <cell r="C385" t="str">
            <v>SE00388</v>
          </cell>
          <cell r="D385" t="str">
            <v xml:space="preserve">Tocineta Horneada </v>
          </cell>
          <cell r="F385" t="str">
            <v>Estándar</v>
          </cell>
          <cell r="G385" t="str">
            <v>Peso</v>
          </cell>
          <cell r="H385" t="str">
            <v>Gramos</v>
          </cell>
          <cell r="I385">
            <v>22414.408354799998</v>
          </cell>
          <cell r="J385">
            <v>22.414408354799999</v>
          </cell>
          <cell r="K385">
            <v>6.5542400000000001</v>
          </cell>
          <cell r="L385">
            <v>6.5542400000000002E-3</v>
          </cell>
          <cell r="M385">
            <v>892.04000000000008</v>
          </cell>
          <cell r="N385">
            <v>0.89204000000000006</v>
          </cell>
        </row>
        <row r="386">
          <cell r="A386" t="str">
            <v>90100379</v>
          </cell>
          <cell r="B386" t="str">
            <v>MAYO-MOSTAZA DIJÓN</v>
          </cell>
          <cell r="C386" t="str">
            <v>SE00389</v>
          </cell>
          <cell r="D386" t="str">
            <v>Mayo Mostaza Dijon</v>
          </cell>
          <cell r="F386" t="str">
            <v>Estándar</v>
          </cell>
          <cell r="G386" t="str">
            <v>Peso</v>
          </cell>
          <cell r="H386" t="str">
            <v>Gramos</v>
          </cell>
          <cell r="I386">
            <v>3769.7323168022176</v>
          </cell>
          <cell r="J386">
            <v>3.7697323168022177</v>
          </cell>
          <cell r="K386">
            <v>2.151125219251337</v>
          </cell>
          <cell r="L386">
            <v>2.151125219251337E-3</v>
          </cell>
          <cell r="M386">
            <v>321.79578299465243</v>
          </cell>
          <cell r="N386">
            <v>0.32179578299465245</v>
          </cell>
        </row>
        <row r="387">
          <cell r="A387" t="str">
            <v>90100380</v>
          </cell>
          <cell r="B387" t="str">
            <v>MAYO-MOSTAZA FRENCH</v>
          </cell>
          <cell r="C387" t="str">
            <v>SE00390</v>
          </cell>
          <cell r="D387" t="str">
            <v>Mayo Mostaza French</v>
          </cell>
          <cell r="F387" t="str">
            <v>Estándar</v>
          </cell>
          <cell r="G387" t="str">
            <v>Peso</v>
          </cell>
          <cell r="H387" t="str">
            <v>Gramos</v>
          </cell>
          <cell r="I387">
            <v>733.65866815356924</v>
          </cell>
          <cell r="J387">
            <v>0.73365866815356928</v>
          </cell>
          <cell r="K387">
            <v>2.151125219251337</v>
          </cell>
          <cell r="L387">
            <v>2.151125219251337E-3</v>
          </cell>
          <cell r="M387">
            <v>321.79578299465243</v>
          </cell>
          <cell r="N387">
            <v>0.32179578299465245</v>
          </cell>
        </row>
        <row r="388">
          <cell r="A388" t="str">
            <v>908000042</v>
          </cell>
          <cell r="B388" t="str">
            <v xml:space="preserve">COCCION PECHUGA POLLO PARRILLA </v>
          </cell>
          <cell r="C388" t="str">
            <v>SE00391</v>
          </cell>
          <cell r="D388" t="str">
            <v xml:space="preserve">Coccion Pechuga Pollo Parrilla </v>
          </cell>
          <cell r="F388" t="str">
            <v>Estándar</v>
          </cell>
          <cell r="G388" t="str">
            <v>Unidad</v>
          </cell>
          <cell r="H388" t="str">
            <v>Unidades</v>
          </cell>
          <cell r="I388">
            <v>555.46183270407266</v>
          </cell>
          <cell r="J388">
            <v>555.46183270407266</v>
          </cell>
          <cell r="K388">
            <v>0.10098661596958176</v>
          </cell>
          <cell r="L388">
            <v>0.10098661596958176</v>
          </cell>
          <cell r="M388">
            <v>78.957847908745251</v>
          </cell>
          <cell r="N388">
            <v>78.957847908745251</v>
          </cell>
        </row>
        <row r="389">
          <cell r="A389" t="str">
            <v>902000149</v>
          </cell>
          <cell r="B389" t="str">
            <v>PROCESADO DE CHOCOLATE RALLADO OSCURO</v>
          </cell>
          <cell r="C389" t="str">
            <v>SE00392</v>
          </cell>
          <cell r="D389" t="str">
            <v>Procesado Chocolate Rallado Oscuro</v>
          </cell>
          <cell r="F389" t="str">
            <v>Estándar</v>
          </cell>
          <cell r="G389" t="str">
            <v>Peso</v>
          </cell>
          <cell r="H389" t="str">
            <v>Gramos</v>
          </cell>
          <cell r="I389">
            <v>4680.8519999999999</v>
          </cell>
          <cell r="J389">
            <v>4.6808519999999998</v>
          </cell>
          <cell r="K389">
            <v>2.4468800000000002</v>
          </cell>
          <cell r="L389">
            <v>2.4468800000000002E-3</v>
          </cell>
          <cell r="M389">
            <v>86.42</v>
          </cell>
          <cell r="N389">
            <v>8.6419999999999997E-2</v>
          </cell>
        </row>
        <row r="390">
          <cell r="A390" t="str">
            <v>95952</v>
          </cell>
          <cell r="B390" t="str">
            <v>QUEQUE NAVIDEÑO GRANDE 700 g</v>
          </cell>
          <cell r="C390" t="str">
            <v>SE00393</v>
          </cell>
          <cell r="D390" t="str">
            <v>Queque Navideño Grande 700 g</v>
          </cell>
          <cell r="F390" t="str">
            <v>Estándar</v>
          </cell>
          <cell r="G390" t="str">
            <v>Unidad</v>
          </cell>
          <cell r="H390" t="str">
            <v>Unidades</v>
          </cell>
          <cell r="I390">
            <v>2430.1393663833687</v>
          </cell>
          <cell r="J390">
            <v>2430.1393663833687</v>
          </cell>
          <cell r="K390">
            <v>3.4003688666557461</v>
          </cell>
          <cell r="L390">
            <v>3.4003688666557461</v>
          </cell>
          <cell r="M390">
            <v>102.91209488874199</v>
          </cell>
          <cell r="N390">
            <v>102.91209488874199</v>
          </cell>
        </row>
        <row r="391">
          <cell r="A391" t="str">
            <v>902000012</v>
          </cell>
          <cell r="B391" t="str">
            <v>BATIDO QUEQUE NAVIDEÑO SPOON (KILO)</v>
          </cell>
          <cell r="C391" t="str">
            <v>SE00394</v>
          </cell>
          <cell r="D391" t="str">
            <v>Batido Queque Navideño Spoon</v>
          </cell>
          <cell r="F391" t="str">
            <v>Estándar</v>
          </cell>
          <cell r="G391" t="str">
            <v>Peso</v>
          </cell>
          <cell r="H391" t="str">
            <v>Gramos</v>
          </cell>
          <cell r="I391">
            <v>2540.9832172583369</v>
          </cell>
          <cell r="J391">
            <v>2.5409832172583369</v>
          </cell>
          <cell r="K391">
            <v>2.3257880595333331</v>
          </cell>
          <cell r="L391">
            <v>2.3257880595333332E-3</v>
          </cell>
          <cell r="M391">
            <v>66.792527399999997</v>
          </cell>
          <cell r="N391">
            <v>6.6792527399999996E-2</v>
          </cell>
        </row>
        <row r="392">
          <cell r="A392" t="str">
            <v>95554</v>
          </cell>
          <cell r="B392" t="str">
            <v xml:space="preserve">Premezcla Batido para queque navideño 23760g </v>
          </cell>
          <cell r="C392" t="str">
            <v>SE00395</v>
          </cell>
          <cell r="D392" t="str">
            <v>Premezcla Batido Queque Navideño</v>
          </cell>
          <cell r="F392" t="str">
            <v>Estándar</v>
          </cell>
          <cell r="G392" t="str">
            <v>Peso</v>
          </cell>
          <cell r="H392" t="str">
            <v>Gramos</v>
          </cell>
          <cell r="I392">
            <v>2543.2640273155976</v>
          </cell>
          <cell r="J392">
            <v>2.5432640273155975</v>
          </cell>
          <cell r="K392">
            <v>0.68535333333333337</v>
          </cell>
          <cell r="L392">
            <v>6.8535333333333336E-4</v>
          </cell>
          <cell r="M392">
            <v>36.54</v>
          </cell>
          <cell r="N392">
            <v>3.6539999999999996E-2</v>
          </cell>
        </row>
        <row r="393">
          <cell r="A393" t="str">
            <v>90100337</v>
          </cell>
          <cell r="B393" t="str">
            <v>Empaque Manjar para Alfajores de Niños Casa 240 g</v>
          </cell>
          <cell r="C393" t="str">
            <v>SE00396</v>
          </cell>
          <cell r="D393" t="str">
            <v xml:space="preserve">Empaque Manjar para Alfajores de Niños Casa </v>
          </cell>
          <cell r="F393" t="str">
            <v>Estándar</v>
          </cell>
          <cell r="G393" t="str">
            <v>Unidad</v>
          </cell>
          <cell r="H393" t="str">
            <v>Unidades</v>
          </cell>
          <cell r="I393">
            <v>510.64106666666669</v>
          </cell>
          <cell r="J393">
            <v>510.64106666666669</v>
          </cell>
          <cell r="K393">
            <v>9.0531111111111109</v>
          </cell>
          <cell r="L393">
            <v>9.0531111111111109</v>
          </cell>
          <cell r="M393">
            <v>58</v>
          </cell>
          <cell r="N393">
            <v>58</v>
          </cell>
        </row>
        <row r="394">
          <cell r="A394" t="str">
            <v>907000272</v>
          </cell>
          <cell r="B394" t="str">
            <v xml:space="preserve"> Muffin de elote</v>
          </cell>
          <cell r="C394" t="str">
            <v>SE00397</v>
          </cell>
          <cell r="D394" t="str">
            <v xml:space="preserve">Muffin de Elote </v>
          </cell>
          <cell r="F394" t="str">
            <v>Estándar</v>
          </cell>
          <cell r="G394" t="str">
            <v>Unidad</v>
          </cell>
          <cell r="H394" t="str">
            <v>Unidades</v>
          </cell>
          <cell r="I394">
            <v>151.43259625668449</v>
          </cell>
          <cell r="J394">
            <v>151.43259625668449</v>
          </cell>
          <cell r="K394">
            <v>7.1473244444444441</v>
          </cell>
          <cell r="L394">
            <v>7.1473244444444441</v>
          </cell>
          <cell r="M394">
            <v>45.228399999999993</v>
          </cell>
          <cell r="N394">
            <v>45.228399999999993</v>
          </cell>
        </row>
        <row r="395">
          <cell r="A395" t="str">
            <v>907000271</v>
          </cell>
          <cell r="B395" t="str">
            <v>BATIDO DE MUFFIN DE ELOTE</v>
          </cell>
          <cell r="C395" t="str">
            <v>SE00398</v>
          </cell>
          <cell r="D395" t="str">
            <v>Batido Muffin De Elote</v>
          </cell>
          <cell r="F395" t="str">
            <v>Estándar</v>
          </cell>
          <cell r="G395" t="str">
            <v>Peso</v>
          </cell>
          <cell r="H395" t="str">
            <v>Gramos</v>
          </cell>
          <cell r="I395">
            <v>1514.325962566845</v>
          </cell>
          <cell r="J395">
            <v>1.514325962566845</v>
          </cell>
          <cell r="K395">
            <v>0</v>
          </cell>
          <cell r="L395">
            <v>0</v>
          </cell>
          <cell r="M395">
            <v>162.28399999999999</v>
          </cell>
          <cell r="N395">
            <v>0.16228399999999998</v>
          </cell>
        </row>
        <row r="396">
          <cell r="A396" t="str">
            <v>902000147</v>
          </cell>
          <cell r="B396" t="str">
            <v>Mousse de chocolate oscuro</v>
          </cell>
          <cell r="C396" t="str">
            <v>SE00399</v>
          </cell>
          <cell r="D396" t="str">
            <v>Mousse de Chocolate Oscuro</v>
          </cell>
          <cell r="F396" t="str">
            <v>Estándar</v>
          </cell>
          <cell r="G396" t="str">
            <v>Peso</v>
          </cell>
          <cell r="H396" t="str">
            <v>Gramos</v>
          </cell>
          <cell r="I396">
            <v>3637.02</v>
          </cell>
          <cell r="J396">
            <v>3.6370200000000001</v>
          </cell>
          <cell r="K396">
            <v>0</v>
          </cell>
          <cell r="L396">
            <v>0</v>
          </cell>
          <cell r="M396">
            <v>116</v>
          </cell>
          <cell r="N396">
            <v>0.11600000000000001</v>
          </cell>
        </row>
        <row r="397">
          <cell r="A397" t="str">
            <v>902000148</v>
          </cell>
          <cell r="B397" t="str">
            <v>Brittle de Pecanas</v>
          </cell>
          <cell r="C397" t="str">
            <v>SE00400</v>
          </cell>
          <cell r="D397" t="str">
            <v>Brittle de Pecanas</v>
          </cell>
          <cell r="F397" t="str">
            <v>Estándar</v>
          </cell>
          <cell r="G397" t="str">
            <v>Peso</v>
          </cell>
          <cell r="H397" t="str">
            <v>Gramos</v>
          </cell>
          <cell r="I397">
            <v>4216.4390450700284</v>
          </cell>
          <cell r="J397">
            <v>4.2164390450700289</v>
          </cell>
          <cell r="K397">
            <v>28.8084384</v>
          </cell>
          <cell r="L397">
            <v>2.8808438400000001E-2</v>
          </cell>
          <cell r="M397">
            <v>582.08452</v>
          </cell>
          <cell r="N397">
            <v>0.58208451999999999</v>
          </cell>
        </row>
        <row r="398">
          <cell r="A398" t="str">
            <v>905000097</v>
          </cell>
          <cell r="B398" t="str">
            <v>CREMA RON  20500 g</v>
          </cell>
          <cell r="C398" t="str">
            <v>SE00401</v>
          </cell>
          <cell r="D398" t="str">
            <v xml:space="preserve">Crema de Ron </v>
          </cell>
          <cell r="F398" t="str">
            <v>Estándar</v>
          </cell>
          <cell r="G398" t="str">
            <v>Peso</v>
          </cell>
          <cell r="H398" t="str">
            <v>Gramos</v>
          </cell>
          <cell r="I398">
            <v>2405.3067656799999</v>
          </cell>
          <cell r="J398">
            <v>2.4053067656799998</v>
          </cell>
          <cell r="K398">
            <v>0.10640000000000001</v>
          </cell>
          <cell r="L398">
            <v>1.0640000000000001E-4</v>
          </cell>
          <cell r="M398">
            <v>28.419999999999998</v>
          </cell>
          <cell r="N398">
            <v>2.8419999999999997E-2</v>
          </cell>
        </row>
        <row r="399">
          <cell r="A399" t="str">
            <v>907000243</v>
          </cell>
          <cell r="B399" t="str">
            <v>Mezcla tres Leches y Ron</v>
          </cell>
          <cell r="C399" t="str">
            <v>SE00402</v>
          </cell>
          <cell r="D399" t="str">
            <v>Mezcla Tres Leches y Ron</v>
          </cell>
          <cell r="F399" t="str">
            <v>Estándar</v>
          </cell>
          <cell r="G399" t="str">
            <v>Peso</v>
          </cell>
          <cell r="H399" t="str">
            <v>Gramos</v>
          </cell>
          <cell r="I399">
            <v>2463.235196550861</v>
          </cell>
          <cell r="J399">
            <v>2.463235196550861</v>
          </cell>
          <cell r="K399">
            <v>26.032929745454542</v>
          </cell>
          <cell r="L399">
            <v>2.6032929745454542E-2</v>
          </cell>
          <cell r="M399">
            <v>61.2059152</v>
          </cell>
          <cell r="N399">
            <v>6.1205915200000002E-2</v>
          </cell>
        </row>
        <row r="400">
          <cell r="A400" t="str">
            <v>902000146</v>
          </cell>
          <cell r="B400" t="str">
            <v xml:space="preserve">Mousse de manjar </v>
          </cell>
          <cell r="C400" t="str">
            <v>SE00403</v>
          </cell>
          <cell r="D400" t="str">
            <v xml:space="preserve">Mousse de Manjar </v>
          </cell>
          <cell r="F400" t="str">
            <v>Estándar</v>
          </cell>
          <cell r="G400" t="str">
            <v>Peso</v>
          </cell>
          <cell r="H400" t="str">
            <v>Gramos</v>
          </cell>
          <cell r="I400">
            <v>2546.6854621166663</v>
          </cell>
          <cell r="J400">
            <v>2.5466854621166664</v>
          </cell>
          <cell r="K400">
            <v>0</v>
          </cell>
          <cell r="L400">
            <v>0</v>
          </cell>
          <cell r="M400">
            <v>26.68</v>
          </cell>
          <cell r="N400">
            <v>2.6679999999999999E-2</v>
          </cell>
        </row>
        <row r="401">
          <cell r="A401" t="str">
            <v>902000130</v>
          </cell>
          <cell r="B401" t="str">
            <v>Mezcla de tres leches con café</v>
          </cell>
          <cell r="C401" t="str">
            <v>SE00404</v>
          </cell>
          <cell r="D401" t="str">
            <v>Mezcla de tres leches con café</v>
          </cell>
          <cell r="F401" t="str">
            <v>Estándar</v>
          </cell>
          <cell r="G401" t="str">
            <v>Peso</v>
          </cell>
          <cell r="H401" t="str">
            <v>Gramos</v>
          </cell>
          <cell r="I401">
            <v>1385.1324469316364</v>
          </cell>
          <cell r="J401">
            <v>1.3851324469316364</v>
          </cell>
          <cell r="K401">
            <v>19.331091711999999</v>
          </cell>
          <cell r="L401">
            <v>1.9331091711999999E-2</v>
          </cell>
          <cell r="M401">
            <v>64.590938112000003</v>
          </cell>
          <cell r="N401">
            <v>6.4590938112000007E-2</v>
          </cell>
        </row>
        <row r="402">
          <cell r="A402" t="str">
            <v>902000128</v>
          </cell>
          <cell r="B402" t="str">
            <v>Relleno Queso para Red Velvet</v>
          </cell>
          <cell r="C402" t="str">
            <v>SE00405</v>
          </cell>
          <cell r="D402" t="str">
            <v>Relleno Queso para Red Velvet</v>
          </cell>
          <cell r="F402" t="str">
            <v>Estándar</v>
          </cell>
          <cell r="G402" t="str">
            <v>Peso</v>
          </cell>
          <cell r="H402" t="str">
            <v>Gramos</v>
          </cell>
          <cell r="I402">
            <v>3010.5861564431821</v>
          </cell>
          <cell r="J402">
            <v>3.0105861564431819</v>
          </cell>
          <cell r="K402">
            <v>1.2234E-2</v>
          </cell>
          <cell r="L402">
            <v>1.2234E-5</v>
          </cell>
          <cell r="M402">
            <v>0.17400000000000002</v>
          </cell>
          <cell r="N402">
            <v>1.7400000000000003E-4</v>
          </cell>
        </row>
        <row r="403">
          <cell r="A403" t="str">
            <v>90100139</v>
          </cell>
          <cell r="B403" t="str">
            <v>Limon en polvo 1000g</v>
          </cell>
          <cell r="C403" t="str">
            <v>SE00406</v>
          </cell>
          <cell r="D403" t="str">
            <v xml:space="preserve">Limon en polvo </v>
          </cell>
          <cell r="F403" t="str">
            <v>Estándar</v>
          </cell>
          <cell r="G403" t="str">
            <v>Peso</v>
          </cell>
          <cell r="H403" t="str">
            <v>Gramos</v>
          </cell>
          <cell r="I403">
            <v>6000</v>
          </cell>
          <cell r="J403">
            <v>6</v>
          </cell>
          <cell r="K403">
            <v>4.0780000000000003</v>
          </cell>
          <cell r="L403">
            <v>4.078E-3</v>
          </cell>
          <cell r="M403">
            <v>58</v>
          </cell>
          <cell r="N403">
            <v>5.8000000000000003E-2</v>
          </cell>
        </row>
        <row r="404">
          <cell r="A404" t="str">
            <v>906000123</v>
          </cell>
          <cell r="B404" t="str">
            <v>COCOA DUTCH PROCESS BOLSA 5 KILOS</v>
          </cell>
          <cell r="C404" t="str">
            <v>SE00407</v>
          </cell>
          <cell r="D404" t="str">
            <v xml:space="preserve">Cocoa Dutch Process </v>
          </cell>
          <cell r="F404" t="str">
            <v>Estándar</v>
          </cell>
          <cell r="G404" t="str">
            <v>Peso</v>
          </cell>
          <cell r="H404" t="str">
            <v>Gramos</v>
          </cell>
          <cell r="I404">
            <v>3147.6076000000003</v>
          </cell>
          <cell r="J404">
            <v>3.1476076000000002</v>
          </cell>
          <cell r="K404">
            <v>4.4891111111111108</v>
          </cell>
          <cell r="L404">
            <v>4.4891111111111113E-3</v>
          </cell>
          <cell r="M404">
            <v>58</v>
          </cell>
          <cell r="N404">
            <v>5.8000000000000003E-2</v>
          </cell>
        </row>
        <row r="405">
          <cell r="A405" t="str">
            <v>907000281</v>
          </cell>
          <cell r="B405" t="str">
            <v>ROSQUETE CHOCOLATE DAWN 460g</v>
          </cell>
          <cell r="C405" t="str">
            <v>SE00408</v>
          </cell>
          <cell r="D405" t="str">
            <v>Rosquete Chocolate Dawn 460 g</v>
          </cell>
          <cell r="F405" t="str">
            <v>Estándar</v>
          </cell>
          <cell r="G405" t="str">
            <v>Unidad</v>
          </cell>
          <cell r="H405" t="str">
            <v>Unidades</v>
          </cell>
          <cell r="I405">
            <v>607.48848471914926</v>
          </cell>
          <cell r="J405">
            <v>607.48848471914926</v>
          </cell>
          <cell r="K405">
            <v>7.7572350098520326</v>
          </cell>
          <cell r="L405">
            <v>7.7572350098520326</v>
          </cell>
          <cell r="M405">
            <v>105.8036514017344</v>
          </cell>
          <cell r="N405">
            <v>105.8036514017344</v>
          </cell>
        </row>
        <row r="406">
          <cell r="A406" t="str">
            <v>908000058</v>
          </cell>
          <cell r="B406" t="str">
            <v>Arroz Para tamales Sin Pettit Pois y Zanahoria 14000 g</v>
          </cell>
          <cell r="C406" t="str">
            <v>SE00409</v>
          </cell>
          <cell r="D406" t="str">
            <v>Arroz para tamales</v>
          </cell>
          <cell r="F406" t="str">
            <v>Estándar</v>
          </cell>
          <cell r="G406" t="str">
            <v>Peso</v>
          </cell>
          <cell r="H406" t="str">
            <v>Gramos</v>
          </cell>
          <cell r="I406">
            <v>616.29622215126062</v>
          </cell>
          <cell r="J406">
            <v>0.61629622215126068</v>
          </cell>
          <cell r="K406">
            <v>4.5586285714285718E-2</v>
          </cell>
          <cell r="L406">
            <v>4.558628571428572E-5</v>
          </cell>
          <cell r="M406">
            <v>41.329142857142855</v>
          </cell>
          <cell r="N406">
            <v>4.1329142857142856E-2</v>
          </cell>
        </row>
        <row r="407">
          <cell r="A407" t="str">
            <v>908000010</v>
          </cell>
          <cell r="B407" t="str">
            <v>Mezcla arroz para tamales  6500 g</v>
          </cell>
          <cell r="C407" t="str">
            <v>SE00410</v>
          </cell>
          <cell r="D407" t="str">
            <v>Mezcla arroz para tamales</v>
          </cell>
          <cell r="F407" t="str">
            <v>Estándar</v>
          </cell>
          <cell r="G407" t="str">
            <v>Peso</v>
          </cell>
          <cell r="H407" t="str">
            <v>Gramos</v>
          </cell>
          <cell r="I407">
            <v>891.3057029654143</v>
          </cell>
          <cell r="J407">
            <v>0.89130570296541434</v>
          </cell>
          <cell r="K407">
            <v>8.61131633856</v>
          </cell>
          <cell r="L407">
            <v>8.6113163385600003E-3</v>
          </cell>
          <cell r="M407">
            <v>49.771616559999998</v>
          </cell>
          <cell r="N407">
            <v>4.9771616559999995E-2</v>
          </cell>
        </row>
        <row r="408">
          <cell r="A408" t="str">
            <v>908000022</v>
          </cell>
          <cell r="B408" t="str">
            <v>Salsa De Pipian 34000g</v>
          </cell>
          <cell r="C408" t="str">
            <v>SE00411</v>
          </cell>
          <cell r="D408" t="str">
            <v>Salsa De Pipian</v>
          </cell>
          <cell r="F408" t="str">
            <v>Estándar</v>
          </cell>
          <cell r="G408" t="str">
            <v>Peso</v>
          </cell>
          <cell r="H408" t="str">
            <v>Gramos</v>
          </cell>
          <cell r="I408">
            <v>2351.3215199490865</v>
          </cell>
          <cell r="J408">
            <v>2.3513215199490864</v>
          </cell>
          <cell r="K408">
            <v>8.5147482352941193</v>
          </cell>
          <cell r="L408">
            <v>8.5147482352941201E-3</v>
          </cell>
          <cell r="M408">
            <v>52.711764705882352</v>
          </cell>
          <cell r="N408">
            <v>5.2711764705882354E-2</v>
          </cell>
        </row>
        <row r="409">
          <cell r="A409" t="str">
            <v>908000026</v>
          </cell>
          <cell r="B409" t="str">
            <v xml:space="preserve">LICUADO PARA MASA DE TAMALES 6040g </v>
          </cell>
          <cell r="C409" t="str">
            <v>SE00412</v>
          </cell>
          <cell r="D409" t="str">
            <v xml:space="preserve">Licuado para masa de Tamales </v>
          </cell>
          <cell r="F409" t="str">
            <v>Estándar</v>
          </cell>
          <cell r="G409" t="str">
            <v>Peso</v>
          </cell>
          <cell r="H409" t="str">
            <v>Gramos</v>
          </cell>
          <cell r="I409">
            <v>1356.8294701986756</v>
          </cell>
          <cell r="J409">
            <v>1.3568294701986756</v>
          </cell>
          <cell r="K409">
            <v>0.70176000000000005</v>
          </cell>
          <cell r="L409">
            <v>7.0176000000000006E-4</v>
          </cell>
          <cell r="M409">
            <v>96.28</v>
          </cell>
          <cell r="N409">
            <v>9.6280000000000004E-2</v>
          </cell>
        </row>
        <row r="410">
          <cell r="A410" t="str">
            <v>908000027</v>
          </cell>
          <cell r="B410" t="str">
            <v>COCCIÓN ZANAHORIA PARA TAMALES 3318 g</v>
          </cell>
          <cell r="C410" t="str">
            <v>SE00413</v>
          </cell>
          <cell r="D410" t="str">
            <v xml:space="preserve">Coccion Zanahoria para Tamales </v>
          </cell>
          <cell r="F410" t="str">
            <v>Estándar</v>
          </cell>
          <cell r="G410" t="str">
            <v>Peso</v>
          </cell>
          <cell r="H410" t="str">
            <v>Gramos</v>
          </cell>
          <cell r="I410">
            <v>0</v>
          </cell>
          <cell r="J410">
            <v>0</v>
          </cell>
          <cell r="K410">
            <v>1.9557296899069052</v>
          </cell>
          <cell r="L410">
            <v>1.9557296899069053E-3</v>
          </cell>
          <cell r="M410">
            <v>87.58</v>
          </cell>
          <cell r="N410">
            <v>8.7580000000000005E-2</v>
          </cell>
        </row>
        <row r="411">
          <cell r="A411" t="str">
            <v>908000028</v>
          </cell>
          <cell r="B411" t="str">
            <v>COCCIÓN PAPA PARA TAMALES 6900 g</v>
          </cell>
          <cell r="C411" t="str">
            <v>SE00414</v>
          </cell>
          <cell r="D411" t="str">
            <v>Coccion Papa para Tamales</v>
          </cell>
          <cell r="F411" t="str">
            <v>Estándar</v>
          </cell>
          <cell r="G411" t="str">
            <v>Peso</v>
          </cell>
          <cell r="H411" t="str">
            <v>Gramos</v>
          </cell>
          <cell r="I411">
            <v>1902.16875</v>
          </cell>
          <cell r="J411">
            <v>1.90216875</v>
          </cell>
          <cell r="K411">
            <v>0.36074074074074081</v>
          </cell>
          <cell r="L411">
            <v>3.6074074074074079E-4</v>
          </cell>
          <cell r="M411">
            <v>41.76</v>
          </cell>
          <cell r="N411">
            <v>4.1759999999999999E-2</v>
          </cell>
        </row>
        <row r="412">
          <cell r="A412" t="str">
            <v>90100303</v>
          </cell>
          <cell r="B412" t="str">
            <v>Cocción Pollo Achotado Tamal de Pollo</v>
          </cell>
          <cell r="C412" t="str">
            <v>SE00415</v>
          </cell>
          <cell r="D412" t="str">
            <v>Cocción Pollo Achotado Tamal de Pollo</v>
          </cell>
          <cell r="F412" t="str">
            <v>Estándar</v>
          </cell>
          <cell r="G412" t="str">
            <v>Peso</v>
          </cell>
          <cell r="H412" t="str">
            <v>Gramos</v>
          </cell>
          <cell r="I412">
            <v>5432.816072392824</v>
          </cell>
          <cell r="J412">
            <v>5.432816072392824</v>
          </cell>
          <cell r="K412">
            <v>0.67000616960000003</v>
          </cell>
          <cell r="L412">
            <v>6.7000616960000007E-4</v>
          </cell>
          <cell r="M412">
            <v>112.28039702857143</v>
          </cell>
          <cell r="N412">
            <v>0.11228039702857143</v>
          </cell>
        </row>
        <row r="413">
          <cell r="A413" t="str">
            <v>909000005</v>
          </cell>
          <cell r="B413" t="str">
            <v>Empaque Pipian 2000g</v>
          </cell>
          <cell r="C413" t="str">
            <v>SE00416</v>
          </cell>
          <cell r="D413" t="str">
            <v xml:space="preserve">Empaque Pipian </v>
          </cell>
          <cell r="F413" t="str">
            <v>Estándar</v>
          </cell>
          <cell r="G413" t="str">
            <v>Peso</v>
          </cell>
          <cell r="H413" t="str">
            <v>Gramos</v>
          </cell>
          <cell r="I413">
            <v>2351.3215199490865</v>
          </cell>
          <cell r="J413">
            <v>2.3513215199490864</v>
          </cell>
          <cell r="K413">
            <v>10.567803790849673</v>
          </cell>
          <cell r="L413">
            <v>1.0567803790849673E-2</v>
          </cell>
          <cell r="M413">
            <v>81.711764705882359</v>
          </cell>
          <cell r="N413">
            <v>8.1711764705882359E-2</v>
          </cell>
        </row>
        <row r="414">
          <cell r="A414" t="str">
            <v>909000006</v>
          </cell>
          <cell r="B414" t="str">
            <v>EMPAQUE ARROZ PARA TAMALES</v>
          </cell>
          <cell r="C414" t="str">
            <v>SE00417</v>
          </cell>
          <cell r="D414" t="str">
            <v xml:space="preserve">Empaque Arroz Para Tamales </v>
          </cell>
          <cell r="F414" t="str">
            <v>Estándar</v>
          </cell>
          <cell r="G414" t="str">
            <v>Peso</v>
          </cell>
          <cell r="H414" t="str">
            <v>Gramos</v>
          </cell>
          <cell r="I414">
            <v>616.29622215126062</v>
          </cell>
          <cell r="J414">
            <v>0.61629622215126068</v>
          </cell>
          <cell r="K414">
            <v>0.876808507936508</v>
          </cell>
          <cell r="L414">
            <v>8.7680850793650804E-4</v>
          </cell>
          <cell r="M414">
            <v>52.929142857142857</v>
          </cell>
          <cell r="N414">
            <v>5.2929142857142855E-2</v>
          </cell>
        </row>
        <row r="415">
          <cell r="A415" t="str">
            <v>901000189</v>
          </cell>
          <cell r="B415" t="str">
            <v>EMPAQUE PAPA PARA TAMALES 6900 g</v>
          </cell>
          <cell r="C415" t="str">
            <v>SE00418</v>
          </cell>
          <cell r="D415" t="str">
            <v xml:space="preserve">Empaque Papa Para Tamales </v>
          </cell>
          <cell r="F415" t="str">
            <v>Estándar</v>
          </cell>
          <cell r="G415" t="str">
            <v>Peso</v>
          </cell>
          <cell r="H415" t="str">
            <v>Gramos</v>
          </cell>
          <cell r="I415">
            <v>1902.16875</v>
          </cell>
          <cell r="J415">
            <v>1.90216875</v>
          </cell>
          <cell r="K415">
            <v>0.98921629629629648</v>
          </cell>
          <cell r="L415">
            <v>9.8921629629629654E-4</v>
          </cell>
          <cell r="M415">
            <v>83.52</v>
          </cell>
          <cell r="N415">
            <v>8.3519999999999997E-2</v>
          </cell>
        </row>
        <row r="416">
          <cell r="A416" t="str">
            <v>90100054</v>
          </cell>
          <cell r="B416" t="str">
            <v>Empaque Pollo Tamales 3500g</v>
          </cell>
          <cell r="C416" t="str">
            <v>SE00419</v>
          </cell>
          <cell r="D416" t="str">
            <v xml:space="preserve">Empaque Pollo Tamales </v>
          </cell>
          <cell r="F416" t="str">
            <v>Estándar</v>
          </cell>
          <cell r="G416" t="str">
            <v>Peso</v>
          </cell>
          <cell r="H416" t="str">
            <v>Gramos</v>
          </cell>
          <cell r="I416">
            <v>6338.3035271785366</v>
          </cell>
          <cell r="J416">
            <v>6.3383035271785362</v>
          </cell>
          <cell r="K416">
            <v>3.5327705423316766</v>
          </cell>
          <cell r="L416">
            <v>3.5327705423316767E-3</v>
          </cell>
          <cell r="M416">
            <v>150.13417080132342</v>
          </cell>
          <cell r="N416">
            <v>0.15013417080132341</v>
          </cell>
        </row>
        <row r="417">
          <cell r="A417" t="str">
            <v>901000019</v>
          </cell>
          <cell r="B417" t="str">
            <v>Premezcla Batido Tamales 7509 g</v>
          </cell>
          <cell r="C417" t="str">
            <v>SE00420</v>
          </cell>
          <cell r="D417" t="str">
            <v>Premezcla Batido Tamales 7509 g</v>
          </cell>
          <cell r="F417" t="str">
            <v>Estándar</v>
          </cell>
          <cell r="G417" t="str">
            <v>Peso</v>
          </cell>
          <cell r="H417" t="str">
            <v>Gramos</v>
          </cell>
          <cell r="I417">
            <v>705.03802164647573</v>
          </cell>
          <cell r="J417">
            <v>0.70503802164647578</v>
          </cell>
          <cell r="K417">
            <v>2.398523056887468</v>
          </cell>
          <cell r="L417">
            <v>2.3985230568874679E-3</v>
          </cell>
          <cell r="M417">
            <v>23.200000000000003</v>
          </cell>
          <cell r="N417">
            <v>2.3200000000000002E-2</v>
          </cell>
        </row>
        <row r="418">
          <cell r="A418" t="str">
            <v>908000044</v>
          </cell>
          <cell r="B418" t="str">
            <v>SOLUCION DE CLORO</v>
          </cell>
          <cell r="C418" t="str">
            <v>SE00421</v>
          </cell>
          <cell r="D418" t="str">
            <v>Solucion de cloro</v>
          </cell>
          <cell r="F418" t="str">
            <v>Estándar</v>
          </cell>
          <cell r="G418" t="str">
            <v>Peso</v>
          </cell>
          <cell r="H418" t="str">
            <v>Gramos</v>
          </cell>
          <cell r="I418">
            <v>0.43647556142668426</v>
          </cell>
          <cell r="J418">
            <v>4.3647556142668425E-4</v>
          </cell>
          <cell r="K418">
            <v>0</v>
          </cell>
          <cell r="L418">
            <v>0</v>
          </cell>
          <cell r="M418">
            <v>33.059999999999995</v>
          </cell>
          <cell r="N418">
            <v>3.3059999999999992E-2</v>
          </cell>
        </row>
        <row r="419">
          <cell r="A419" t="str">
            <v>908000016</v>
          </cell>
          <cell r="B419" t="str">
            <v>MASA PARA TAMALES DE POLLO 46300 g</v>
          </cell>
          <cell r="C419" t="str">
            <v>SE00422</v>
          </cell>
          <cell r="D419" t="str">
            <v>Masa Para Tamales de Pollo</v>
          </cell>
          <cell r="F419" t="str">
            <v>Estándar</v>
          </cell>
          <cell r="G419" t="str">
            <v>Peso</v>
          </cell>
          <cell r="H419" t="str">
            <v>Gramos</v>
          </cell>
          <cell r="I419">
            <v>676.77729973049111</v>
          </cell>
          <cell r="J419">
            <v>0.67677729973049106</v>
          </cell>
          <cell r="K419">
            <v>2.5566257681785456</v>
          </cell>
          <cell r="L419">
            <v>2.5566257681785454E-3</v>
          </cell>
          <cell r="M419">
            <v>57.665253563714899</v>
          </cell>
          <cell r="N419">
            <v>5.7665253563714901E-2</v>
          </cell>
        </row>
        <row r="420">
          <cell r="A420" t="str">
            <v>95945</v>
          </cell>
          <cell r="B420" t="str">
            <v>Ensamble Tamal de Pollo (1 Tamal)</v>
          </cell>
          <cell r="C420" t="str">
            <v>SE00423</v>
          </cell>
          <cell r="D420" t="str">
            <v xml:space="preserve">Ensamble Tamal de Pollo </v>
          </cell>
          <cell r="F420" t="str">
            <v>Estándar</v>
          </cell>
          <cell r="G420" t="str">
            <v>Unidad</v>
          </cell>
          <cell r="H420" t="str">
            <v>Unidades</v>
          </cell>
          <cell r="I420">
            <v>501.79444329034158</v>
          </cell>
          <cell r="J420">
            <v>501.79444329034158</v>
          </cell>
          <cell r="K420">
            <v>22.800850008828341</v>
          </cell>
          <cell r="L420">
            <v>22.800850008828341</v>
          </cell>
          <cell r="M420">
            <v>131.60041735412344</v>
          </cell>
          <cell r="N420">
            <v>131.60041735412344</v>
          </cell>
        </row>
        <row r="421">
          <cell r="A421" t="str">
            <v>95636</v>
          </cell>
          <cell r="B421" t="str">
            <v xml:space="preserve">ENSAMBLE TAMAL DE CERDO (1 TAMAL) </v>
          </cell>
          <cell r="C421" t="str">
            <v>SE00424</v>
          </cell>
          <cell r="D421" t="str">
            <v>Ensamble Tamal de Cerdo</v>
          </cell>
          <cell r="F421" t="str">
            <v>Estándar</v>
          </cell>
          <cell r="G421" t="str">
            <v>Unidad</v>
          </cell>
          <cell r="H421" t="str">
            <v>Unidades</v>
          </cell>
          <cell r="I421">
            <v>486.15702818112578</v>
          </cell>
          <cell r="J421">
            <v>486.15702818112578</v>
          </cell>
          <cell r="K421">
            <v>0.79866397639289932</v>
          </cell>
          <cell r="L421">
            <v>0.79866397639289932</v>
          </cell>
          <cell r="M421">
            <v>136.47351925521443</v>
          </cell>
          <cell r="N421">
            <v>136.47351925521443</v>
          </cell>
        </row>
        <row r="422">
          <cell r="A422" t="str">
            <v>908000031</v>
          </cell>
          <cell r="B422" t="str">
            <v>Carne De Cerdo Para Tamales 9280g</v>
          </cell>
          <cell r="C422" t="str">
            <v>SE00425</v>
          </cell>
          <cell r="D422" t="str">
            <v>Carne De Cerdo Para Tamales</v>
          </cell>
          <cell r="F422" t="str">
            <v>Estándar</v>
          </cell>
          <cell r="G422" t="str">
            <v>Peso</v>
          </cell>
          <cell r="H422" t="str">
            <v>Gramos</v>
          </cell>
          <cell r="I422">
            <v>6249.3762766823647</v>
          </cell>
          <cell r="J422">
            <v>6.2493762766823648</v>
          </cell>
          <cell r="K422">
            <v>0.2904413793103448</v>
          </cell>
          <cell r="L422">
            <v>2.904413793103448E-4</v>
          </cell>
          <cell r="M422">
            <v>250.17999999999998</v>
          </cell>
          <cell r="N422">
            <v>0.25017999999999996</v>
          </cell>
        </row>
        <row r="423">
          <cell r="A423" t="str">
            <v>909000026</v>
          </cell>
          <cell r="B423" t="str">
            <v>Empaque Caldo de Cerdo (4000g)</v>
          </cell>
          <cell r="C423" t="str">
            <v>SE00426</v>
          </cell>
          <cell r="D423" t="str">
            <v>Empaque Caldo de Cerdo</v>
          </cell>
          <cell r="F423" t="str">
            <v>Estándar</v>
          </cell>
          <cell r="G423" t="str">
            <v>Peso</v>
          </cell>
          <cell r="H423" t="str">
            <v>Gramos</v>
          </cell>
          <cell r="I423">
            <v>0</v>
          </cell>
          <cell r="J423">
            <v>0</v>
          </cell>
          <cell r="K423">
            <v>0.72277777777777774</v>
          </cell>
          <cell r="L423">
            <v>7.227777777777777E-4</v>
          </cell>
          <cell r="M423">
            <v>14.5</v>
          </cell>
          <cell r="N423">
            <v>1.4500000000000001E-2</v>
          </cell>
        </row>
        <row r="424">
          <cell r="A424" t="str">
            <v>908000025</v>
          </cell>
          <cell r="B424" t="str">
            <v>MASA PARA TAMALES DE CERDO 47300 g</v>
          </cell>
          <cell r="C424" t="str">
            <v>SE00427</v>
          </cell>
          <cell r="D424" t="str">
            <v>Masa Para Tamales de Cerdo</v>
          </cell>
          <cell r="F424" t="str">
            <v>Estándar</v>
          </cell>
          <cell r="G424" t="str">
            <v>Peso</v>
          </cell>
          <cell r="H424" t="str">
            <v>Gramos</v>
          </cell>
          <cell r="I424">
            <v>597.87004180807071</v>
          </cell>
          <cell r="J424">
            <v>0.59787004180807068</v>
          </cell>
          <cell r="K424">
            <v>2.8454663039699319</v>
          </cell>
          <cell r="L424">
            <v>2.8454663039699317E-3</v>
          </cell>
          <cell r="M424">
            <v>63.088525158562362</v>
          </cell>
          <cell r="N424">
            <v>6.3088525158562364E-2</v>
          </cell>
        </row>
        <row r="425">
          <cell r="A425" t="str">
            <v>90100052</v>
          </cell>
          <cell r="B425" t="str">
            <v xml:space="preserve">Empaque Cerdo Tamales 3500g </v>
          </cell>
          <cell r="C425" t="str">
            <v>SE00428</v>
          </cell>
          <cell r="D425" t="str">
            <v xml:space="preserve">Empaque Cerdo Tamales 3500g </v>
          </cell>
          <cell r="F425" t="str">
            <v>Estándar</v>
          </cell>
          <cell r="G425" t="str">
            <v>Peso</v>
          </cell>
          <cell r="H425" t="str">
            <v>Gramos</v>
          </cell>
          <cell r="I425">
            <v>6249.3762766823647</v>
          </cell>
          <cell r="J425">
            <v>6.2493762766823648</v>
          </cell>
          <cell r="K425">
            <v>1.4812136015325668</v>
          </cell>
          <cell r="L425">
            <v>1.4812136015325667E-3</v>
          </cell>
          <cell r="M425">
            <v>308.17999999999995</v>
          </cell>
          <cell r="N425">
            <v>0.30817999999999995</v>
          </cell>
        </row>
        <row r="426">
          <cell r="A426" t="str">
            <v>95953</v>
          </cell>
          <cell r="B426" t="str">
            <v>Queque Navideño Spoon Mediano 400g</v>
          </cell>
          <cell r="C426" t="str">
            <v>SE00429</v>
          </cell>
          <cell r="D426" t="str">
            <v xml:space="preserve">Queque Navideño Spoon Mediano </v>
          </cell>
          <cell r="F426" t="str">
            <v>Estándar</v>
          </cell>
          <cell r="G426" t="str">
            <v>Unidad</v>
          </cell>
          <cell r="H426" t="str">
            <v>Unidades</v>
          </cell>
          <cell r="I426">
            <v>1414.6189745004438</v>
          </cell>
          <cell r="J426">
            <v>1414.6189745004438</v>
          </cell>
          <cell r="K426">
            <v>6.7823154015445315</v>
          </cell>
          <cell r="L426">
            <v>6.7823154015445315</v>
          </cell>
          <cell r="M426">
            <v>57.514452533563997</v>
          </cell>
          <cell r="N426">
            <v>57.514452533563997</v>
          </cell>
        </row>
        <row r="427">
          <cell r="A427" t="str">
            <v>902000042</v>
          </cell>
          <cell r="B427" t="str">
            <v>Mezcla Tres Leches Pasteurizadas y Manjar</v>
          </cell>
          <cell r="C427" t="str">
            <v>SE00430</v>
          </cell>
          <cell r="D427" t="str">
            <v>Mezcla Tres Leches Pasteurizadas y Manjar</v>
          </cell>
          <cell r="F427" t="str">
            <v>Estándar</v>
          </cell>
          <cell r="G427" t="str">
            <v>Peso</v>
          </cell>
          <cell r="H427" t="str">
            <v>Gramos</v>
          </cell>
          <cell r="I427">
            <v>1863.5074534435266</v>
          </cell>
          <cell r="J427">
            <v>1.8635074534435265</v>
          </cell>
          <cell r="K427">
            <v>37.200515295999999</v>
          </cell>
          <cell r="L427">
            <v>3.7200515295999999E-2</v>
          </cell>
          <cell r="M427">
            <v>37.959556495999998</v>
          </cell>
          <cell r="N427">
            <v>3.7959556495999996E-2</v>
          </cell>
        </row>
        <row r="428">
          <cell r="A428" t="str">
            <v>907000041</v>
          </cell>
          <cell r="B428" t="str">
            <v>Rosquete Chocolate Bucca (130g)</v>
          </cell>
          <cell r="C428" t="str">
            <v>SE00431</v>
          </cell>
          <cell r="D428" t="str">
            <v>Rosquete Chocolate Bucca (130g)</v>
          </cell>
          <cell r="F428" t="str">
            <v>Estándar</v>
          </cell>
          <cell r="G428" t="str">
            <v>Unidad</v>
          </cell>
          <cell r="H428" t="str">
            <v>Unidades</v>
          </cell>
          <cell r="I428">
            <v>233.4610270031738</v>
          </cell>
          <cell r="J428">
            <v>233.4610270031738</v>
          </cell>
          <cell r="K428">
            <v>6.0348440748440746</v>
          </cell>
          <cell r="L428">
            <v>6.0348440748440746</v>
          </cell>
          <cell r="M428">
            <v>14.909969370478171</v>
          </cell>
          <cell r="N428">
            <v>14.909969370478171</v>
          </cell>
        </row>
        <row r="429">
          <cell r="A429" t="str">
            <v>902000135</v>
          </cell>
          <cell r="B429" t="str">
            <v>Relleno de manjar y Whiskey</v>
          </cell>
          <cell r="C429" t="str">
            <v>SE00432</v>
          </cell>
          <cell r="D429" t="str">
            <v>Relleno de Manjar y Whiskey</v>
          </cell>
          <cell r="F429" t="str">
            <v>Estándar</v>
          </cell>
          <cell r="G429" t="str">
            <v>Peso</v>
          </cell>
          <cell r="H429" t="str">
            <v>Gramos</v>
          </cell>
          <cell r="I429">
            <v>3787.5631018888889</v>
          </cell>
          <cell r="J429">
            <v>3.7875631018888889</v>
          </cell>
          <cell r="K429">
            <v>0</v>
          </cell>
          <cell r="L429">
            <v>0</v>
          </cell>
          <cell r="M429">
            <v>96.28</v>
          </cell>
          <cell r="N429">
            <v>9.6280000000000004E-2</v>
          </cell>
        </row>
        <row r="430">
          <cell r="A430" t="str">
            <v>906000135</v>
          </cell>
          <cell r="B430" t="str">
            <v>Premezcla Easy Queque Vainilla SP</v>
          </cell>
          <cell r="C430" t="str">
            <v>SE00433</v>
          </cell>
          <cell r="D430" t="str">
            <v>Premezcla Easy Queque Vainilla SP</v>
          </cell>
          <cell r="F430" t="str">
            <v>Estándar</v>
          </cell>
          <cell r="G430" t="str">
            <v>Peso</v>
          </cell>
          <cell r="H430" t="str">
            <v>Gramos</v>
          </cell>
          <cell r="I430">
            <v>891.80576925599996</v>
          </cell>
          <cell r="J430">
            <v>0.89180576925599997</v>
          </cell>
          <cell r="K430">
            <v>4.1702399999999997</v>
          </cell>
          <cell r="L430">
            <v>4.1702399999999995E-3</v>
          </cell>
          <cell r="M430">
            <v>9.2799999999999994</v>
          </cell>
          <cell r="N430">
            <v>9.2800000000000001E-3</v>
          </cell>
        </row>
        <row r="431">
          <cell r="A431" t="str">
            <v>907000285</v>
          </cell>
          <cell r="B431" t="str">
            <v>Batido Easy queque vainilla SP</v>
          </cell>
          <cell r="C431" t="str">
            <v>SE00434</v>
          </cell>
          <cell r="D431" t="str">
            <v>Batido Easy queque vainilla SP</v>
          </cell>
          <cell r="F431" t="str">
            <v>Estándar</v>
          </cell>
          <cell r="G431" t="str">
            <v>Peso</v>
          </cell>
          <cell r="H431" t="str">
            <v>Gramos</v>
          </cell>
          <cell r="I431">
            <v>1150.0669406208835</v>
          </cell>
          <cell r="J431">
            <v>1.1500669406208834</v>
          </cell>
          <cell r="K431">
            <v>2.2176919295999995</v>
          </cell>
          <cell r="L431">
            <v>2.2176919295999993E-3</v>
          </cell>
          <cell r="M431">
            <v>17.115011199999998</v>
          </cell>
          <cell r="N431">
            <v>1.7115011199999999E-2</v>
          </cell>
        </row>
        <row r="432">
          <cell r="A432" t="str">
            <v>907000297</v>
          </cell>
          <cell r="B432" t="str">
            <v>Rosquete Easy queque vainilla SP  650g</v>
          </cell>
          <cell r="C432" t="str">
            <v>SE00435</v>
          </cell>
          <cell r="D432" t="str">
            <v>Rosquete Easy queque vainilla SP  650g</v>
          </cell>
          <cell r="F432" t="str">
            <v>Estándar</v>
          </cell>
          <cell r="G432" t="str">
            <v>Unidad</v>
          </cell>
          <cell r="H432" t="str">
            <v>Unidades</v>
          </cell>
          <cell r="I432">
            <v>793.42529057894626</v>
          </cell>
          <cell r="J432">
            <v>793.42529057894626</v>
          </cell>
          <cell r="K432">
            <v>29.307577572458015</v>
          </cell>
          <cell r="L432">
            <v>29.307577572458015</v>
          </cell>
          <cell r="M432">
            <v>40.267325323295999</v>
          </cell>
          <cell r="N432">
            <v>40.267325323295999</v>
          </cell>
        </row>
        <row r="433">
          <cell r="A433" t="str">
            <v>907000300</v>
          </cell>
          <cell r="B433" t="str">
            <v>Rosquete Easy queque vainilla SP 550g</v>
          </cell>
          <cell r="C433" t="str">
            <v>SE00436</v>
          </cell>
          <cell r="D433" t="str">
            <v>Rosquete Easy queque vainilla SP 550g</v>
          </cell>
          <cell r="F433" t="str">
            <v>Estándar</v>
          </cell>
          <cell r="G433" t="str">
            <v>Unidad</v>
          </cell>
          <cell r="H433" t="str">
            <v>Unidades</v>
          </cell>
          <cell r="I433">
            <v>677.63655099723564</v>
          </cell>
          <cell r="J433">
            <v>677.63655099723564</v>
          </cell>
          <cell r="K433">
            <v>29.158973682319218</v>
          </cell>
          <cell r="L433">
            <v>29.158973682319218</v>
          </cell>
          <cell r="M433">
            <v>38.544185995679996</v>
          </cell>
          <cell r="N433">
            <v>38.544185995679996</v>
          </cell>
        </row>
        <row r="434">
          <cell r="A434" t="str">
            <v>902000155</v>
          </cell>
          <cell r="B434" t="str">
            <v>Mezcla tres leches chocolate FAS</v>
          </cell>
          <cell r="C434" t="str">
            <v>SE00437</v>
          </cell>
          <cell r="D434" t="str">
            <v>Mezcla de Tres Leches Chocolate FAS</v>
          </cell>
          <cell r="F434" t="str">
            <v>Estándar</v>
          </cell>
          <cell r="G434" t="str">
            <v>Peso</v>
          </cell>
          <cell r="H434" t="str">
            <v>Gramos</v>
          </cell>
          <cell r="I434">
            <v>973.03320899272728</v>
          </cell>
          <cell r="J434">
            <v>0.97303320899272727</v>
          </cell>
          <cell r="K434">
            <v>4.4891111111111111E-2</v>
          </cell>
          <cell r="L434">
            <v>4.489111111111111E-5</v>
          </cell>
          <cell r="M434">
            <v>27.259999999999998</v>
          </cell>
          <cell r="N434">
            <v>2.726E-2</v>
          </cell>
        </row>
        <row r="435">
          <cell r="A435" t="str">
            <v>907000290</v>
          </cell>
          <cell r="B435" t="str">
            <v>ROSQUETE EASY CHOCOLATE BC 280 G</v>
          </cell>
          <cell r="C435" t="str">
            <v>SE00438</v>
          </cell>
          <cell r="D435" t="str">
            <v>Rosquete Easy Chocolate BC 280 g</v>
          </cell>
          <cell r="F435" t="str">
            <v>Estándar</v>
          </cell>
          <cell r="G435" t="str">
            <v>Unidad</v>
          </cell>
          <cell r="H435" t="str">
            <v>Unidades</v>
          </cell>
          <cell r="I435">
            <v>405.21607017707032</v>
          </cell>
          <cell r="J435">
            <v>405.21607017707032</v>
          </cell>
          <cell r="K435">
            <v>2.3816473378855689</v>
          </cell>
          <cell r="L435">
            <v>2.3816473378855689</v>
          </cell>
          <cell r="M435">
            <v>25.501976034143997</v>
          </cell>
          <cell r="N435">
            <v>25.501976034143997</v>
          </cell>
        </row>
        <row r="436">
          <cell r="A436" t="str">
            <v>905000063</v>
          </cell>
          <cell r="B436" t="str">
            <v>Crema verde electrico 9792 g</v>
          </cell>
          <cell r="C436" t="str">
            <v>SE00457</v>
          </cell>
          <cell r="D436" t="str">
            <v xml:space="preserve">Crema Verde Electrico </v>
          </cell>
          <cell r="F436" t="str">
            <v>Estándar</v>
          </cell>
          <cell r="G436" t="str">
            <v>Peso</v>
          </cell>
          <cell r="H436" t="str">
            <v>Gramos</v>
          </cell>
          <cell r="I436">
            <v>2709.8604700099995</v>
          </cell>
          <cell r="J436">
            <v>2.7098604700099993</v>
          </cell>
          <cell r="K436">
            <v>0.10214400000000001</v>
          </cell>
          <cell r="L436">
            <v>1.0214400000000002E-4</v>
          </cell>
          <cell r="M436">
            <v>38.86</v>
          </cell>
          <cell r="N436">
            <v>3.8859999999999999E-2</v>
          </cell>
        </row>
        <row r="437">
          <cell r="A437" t="str">
            <v>902000164</v>
          </cell>
          <cell r="B437" t="str">
            <v>Procesado de Chocolate Rallado Oscuro RIZOS</v>
          </cell>
          <cell r="C437" t="str">
            <v>SE00462</v>
          </cell>
          <cell r="D437" t="str">
            <v>Procesado de Chocolate Rallado Oscuro RIZOS</v>
          </cell>
          <cell r="F437" t="str">
            <v>Estándar</v>
          </cell>
          <cell r="G437" t="str">
            <v>Peso</v>
          </cell>
          <cell r="H437" t="str">
            <v>Gramos</v>
          </cell>
          <cell r="I437">
            <v>4680.8519999999999</v>
          </cell>
          <cell r="J437">
            <v>4.6808519999999998</v>
          </cell>
          <cell r="K437">
            <v>0.60687999999999998</v>
          </cell>
          <cell r="L437">
            <v>6.0687999999999996E-4</v>
          </cell>
          <cell r="M437">
            <v>86.42</v>
          </cell>
          <cell r="N437">
            <v>8.6419999999999997E-2</v>
          </cell>
        </row>
        <row r="438">
          <cell r="A438" t="str">
            <v>907000319</v>
          </cell>
          <cell r="B438" t="str">
            <v>ROSQUETE CHOCOLATE DAWN 600g</v>
          </cell>
          <cell r="C438" t="str">
            <v>SE00463</v>
          </cell>
          <cell r="D438" t="str">
            <v>Rosquete Chocolate Dawn 600 g</v>
          </cell>
          <cell r="F438" t="str">
            <v>Estándar</v>
          </cell>
          <cell r="G438" t="str">
            <v>Unidad</v>
          </cell>
          <cell r="H438" t="str">
            <v>Unidades</v>
          </cell>
          <cell r="I438">
            <v>774.54534527439125</v>
          </cell>
          <cell r="J438">
            <v>774.54534527439125</v>
          </cell>
          <cell r="K438">
            <v>6.6302121566580006</v>
          </cell>
          <cell r="L438">
            <v>6.6302121566580006</v>
          </cell>
          <cell r="M438">
            <v>40.158530425356801</v>
          </cell>
          <cell r="N438">
            <v>40.158530425356801</v>
          </cell>
        </row>
        <row r="439">
          <cell r="A439" t="str">
            <v>906000133</v>
          </cell>
          <cell r="B439" t="str">
            <v>Premezcla Easy chocolate BC</v>
          </cell>
          <cell r="C439" t="str">
            <v>SE00439</v>
          </cell>
          <cell r="D439" t="str">
            <v>Premezcla Easy chocolate BC</v>
          </cell>
          <cell r="F439" t="str">
            <v>Estándar</v>
          </cell>
          <cell r="G439" t="str">
            <v>Peso</v>
          </cell>
          <cell r="H439" t="str">
            <v>Gramos</v>
          </cell>
          <cell r="I439">
            <v>1269.511365584</v>
          </cell>
          <cell r="J439">
            <v>1.269511365584</v>
          </cell>
          <cell r="K439">
            <v>0.34327800000000003</v>
          </cell>
          <cell r="L439">
            <v>3.4327800000000003E-4</v>
          </cell>
          <cell r="M439">
            <v>9.2799999999999994</v>
          </cell>
          <cell r="N439">
            <v>9.2800000000000001E-3</v>
          </cell>
        </row>
        <row r="440">
          <cell r="A440" t="str">
            <v>907000283</v>
          </cell>
          <cell r="B440" t="str">
            <v>Batido Easy Chocolate BC</v>
          </cell>
          <cell r="C440" t="str">
            <v>SE00440</v>
          </cell>
          <cell r="D440" t="str">
            <v>Batido Easy Chocolate BC</v>
          </cell>
          <cell r="F440" t="str">
            <v>Estándar</v>
          </cell>
          <cell r="G440" t="str">
            <v>Peso</v>
          </cell>
          <cell r="H440" t="str">
            <v>Gramos</v>
          </cell>
          <cell r="I440">
            <v>1329.4628891621519</v>
          </cell>
          <cell r="J440">
            <v>1.3294628891621518</v>
          </cell>
          <cell r="K440">
            <v>0.18103451886000002</v>
          </cell>
          <cell r="L440">
            <v>1.8103451886000002E-4</v>
          </cell>
          <cell r="M440">
            <v>18.233993599999998</v>
          </cell>
          <cell r="N440">
            <v>1.8233993599999998E-2</v>
          </cell>
        </row>
        <row r="441">
          <cell r="A441" t="str">
            <v>907000289</v>
          </cell>
          <cell r="B441" t="str">
            <v xml:space="preserve"> Rosquete Easy Chocolate BC 350g</v>
          </cell>
          <cell r="C441" t="str">
            <v>SE00449</v>
          </cell>
          <cell r="D441" t="str">
            <v xml:space="preserve">Rosquete Easy Chocolate BC 350 g </v>
          </cell>
          <cell r="F441" t="str">
            <v>Estándar</v>
          </cell>
          <cell r="G441" t="str">
            <v>Unidad</v>
          </cell>
          <cell r="H441" t="str">
            <v>Unidades</v>
          </cell>
          <cell r="I441">
            <v>500.04665806100661</v>
          </cell>
          <cell r="J441">
            <v>500.04665806100661</v>
          </cell>
          <cell r="K441">
            <v>4.4652605301158532</v>
          </cell>
          <cell r="L441">
            <v>4.4652605301158532</v>
          </cell>
          <cell r="M441">
            <v>37.822606797631998</v>
          </cell>
          <cell r="N441">
            <v>37.822606797631998</v>
          </cell>
        </row>
        <row r="442">
          <cell r="A442" t="str">
            <v>907000291</v>
          </cell>
          <cell r="B442" t="str">
            <v xml:space="preserve">Rosquete Easy Chocolate BC 800g </v>
          </cell>
          <cell r="C442" t="str">
            <v>SE00441</v>
          </cell>
          <cell r="D442" t="str">
            <v xml:space="preserve">Rosquete Easy Chocolate BC 800g </v>
          </cell>
          <cell r="F442" t="str">
            <v>Estándar</v>
          </cell>
          <cell r="G442" t="str">
            <v>Unidad</v>
          </cell>
          <cell r="H442" t="str">
            <v>Unidades</v>
          </cell>
          <cell r="I442">
            <v>1131.7525846219637</v>
          </cell>
          <cell r="J442">
            <v>1131.7525846219637</v>
          </cell>
          <cell r="K442">
            <v>13.173093583316266</v>
          </cell>
          <cell r="L442">
            <v>13.173093583316266</v>
          </cell>
          <cell r="M442">
            <v>44.568889759008002</v>
          </cell>
          <cell r="N442">
            <v>44.568889759008002</v>
          </cell>
        </row>
        <row r="443">
          <cell r="A443" t="str">
            <v>906000138</v>
          </cell>
          <cell r="B443" t="str">
            <v>Premezcla Batido Nucleo Vainilla  Dawn</v>
          </cell>
          <cell r="C443" t="str">
            <v>SE00443</v>
          </cell>
          <cell r="D443" t="str">
            <v>Premezcla Batido Nucleo Vainilla  Dawn</v>
          </cell>
          <cell r="F443" t="str">
            <v>Estándar</v>
          </cell>
          <cell r="G443" t="str">
            <v>Peso</v>
          </cell>
          <cell r="H443" t="str">
            <v>Gramos</v>
          </cell>
          <cell r="I443">
            <v>1157.6919602256917</v>
          </cell>
          <cell r="J443">
            <v>1.1576919602256917</v>
          </cell>
          <cell r="K443">
            <v>12.941230000000001</v>
          </cell>
          <cell r="L443">
            <v>1.2941230000000001E-2</v>
          </cell>
          <cell r="M443">
            <v>12.76</v>
          </cell>
          <cell r="N443">
            <v>1.2760000000000001E-2</v>
          </cell>
        </row>
        <row r="444">
          <cell r="A444" t="str">
            <v>907000306</v>
          </cell>
          <cell r="B444" t="str">
            <v>Batido Nucleo vainilla Dawn</v>
          </cell>
          <cell r="C444" t="str">
            <v>SE00444</v>
          </cell>
          <cell r="D444" t="str">
            <v>Batido Nucleo Vainilla Dawn</v>
          </cell>
          <cell r="F444" t="str">
            <v>Estándar</v>
          </cell>
          <cell r="G444" t="str">
            <v>Peso</v>
          </cell>
          <cell r="H444" t="str">
            <v>Gramos</v>
          </cell>
          <cell r="I444">
            <v>1729.5655769258065</v>
          </cell>
          <cell r="J444">
            <v>1.7295655769258065</v>
          </cell>
          <cell r="K444">
            <v>7.3513951137999998</v>
          </cell>
          <cell r="L444">
            <v>7.3513951138E-3</v>
          </cell>
          <cell r="M444">
            <v>31.6084456</v>
          </cell>
          <cell r="N444">
            <v>3.16084456E-2</v>
          </cell>
        </row>
        <row r="445">
          <cell r="A445" t="str">
            <v>907000308</v>
          </cell>
          <cell r="B445" t="str">
            <v xml:space="preserve">Rosquete nucleo vainilla Dawn redondo 180g </v>
          </cell>
          <cell r="C445" t="str">
            <v>SE00445</v>
          </cell>
          <cell r="D445" t="str">
            <v xml:space="preserve">Rosquete Nucleo Vainilla Dawn Redondo 180g </v>
          </cell>
          <cell r="F445" t="str">
            <v>Estándar</v>
          </cell>
          <cell r="G445" t="str">
            <v>Unidad</v>
          </cell>
          <cell r="H445" t="str">
            <v>Unidades</v>
          </cell>
          <cell r="I445">
            <v>332.27919807604235</v>
          </cell>
          <cell r="J445">
            <v>332.27919807604235</v>
          </cell>
          <cell r="K445">
            <v>3.6467701214653117</v>
          </cell>
          <cell r="L445">
            <v>3.6467701214653117</v>
          </cell>
          <cell r="M445">
            <v>14.535551226671998</v>
          </cell>
          <cell r="N445">
            <v>14.535551226671998</v>
          </cell>
        </row>
        <row r="446">
          <cell r="A446" t="str">
            <v>907000309</v>
          </cell>
          <cell r="B446" t="str">
            <v>Rosquete nucleo vainilla Dawn Redondo 300g</v>
          </cell>
          <cell r="C446" t="str">
            <v>SE00450</v>
          </cell>
          <cell r="D446" t="str">
            <v>Rosquete Nucleo Vainilla Dawn Redondo 300g</v>
          </cell>
          <cell r="F446" t="str">
            <v>Estándar</v>
          </cell>
          <cell r="G446" t="str">
            <v>Unidad</v>
          </cell>
          <cell r="H446" t="str">
            <v>Unidades</v>
          </cell>
          <cell r="I446">
            <v>545.13683362830147</v>
          </cell>
          <cell r="J446">
            <v>545.13683362830147</v>
          </cell>
          <cell r="K446">
            <v>6.7146507625651219</v>
          </cell>
          <cell r="L446">
            <v>6.7146507625651219</v>
          </cell>
          <cell r="M446">
            <v>28.285602626663998</v>
          </cell>
          <cell r="N446">
            <v>28.285602626663998</v>
          </cell>
        </row>
        <row r="447">
          <cell r="A447" t="str">
            <v>907000310</v>
          </cell>
          <cell r="B447" t="str">
            <v>Rosquete nucleo vainilla Dawn Redondo 320g</v>
          </cell>
          <cell r="C447" t="str">
            <v>SE00448</v>
          </cell>
          <cell r="D447" t="str">
            <v>Rosquete Nucleo Vainilla Dawn Redondo 320g</v>
          </cell>
          <cell r="F447" t="str">
            <v>Estándar</v>
          </cell>
          <cell r="G447" t="str">
            <v>Unidad</v>
          </cell>
          <cell r="H447" t="str">
            <v>Unidades</v>
          </cell>
          <cell r="I447">
            <v>581.59607598989749</v>
          </cell>
          <cell r="J447">
            <v>581.59607598989749</v>
          </cell>
          <cell r="K447">
            <v>6.4897070604529148</v>
          </cell>
          <cell r="L447">
            <v>6.4897070604529148</v>
          </cell>
          <cell r="M447">
            <v>22.571908659911998</v>
          </cell>
          <cell r="N447">
            <v>22.571908659911998</v>
          </cell>
        </row>
        <row r="448">
          <cell r="A448" t="str">
            <v>906000141</v>
          </cell>
          <cell r="B448" t="str">
            <v>Premezcla Batido Nucleo Vainilla Chai Dawn</v>
          </cell>
          <cell r="C448" t="str">
            <v>SE00451</v>
          </cell>
          <cell r="D448" t="str">
            <v>Premezcla Batido Nucleo Vainilla Chai Dawn</v>
          </cell>
          <cell r="F448" t="str">
            <v>Estándar</v>
          </cell>
          <cell r="G448" t="str">
            <v>Peso</v>
          </cell>
          <cell r="H448" t="str">
            <v>Gramos</v>
          </cell>
          <cell r="I448">
            <v>2054.2028498875684</v>
          </cell>
          <cell r="J448">
            <v>2.0542028498875684</v>
          </cell>
          <cell r="K448">
            <v>16.007179999999998</v>
          </cell>
          <cell r="L448">
            <v>1.6007179999999999E-2</v>
          </cell>
          <cell r="M448">
            <v>11.600000000000001</v>
          </cell>
          <cell r="N448">
            <v>1.1600000000000001E-2</v>
          </cell>
        </row>
        <row r="449">
          <cell r="A449" t="str">
            <v>906000142</v>
          </cell>
          <cell r="B449" t="str">
            <v>Batido Nucleo vainilla Chai  Dawn</v>
          </cell>
          <cell r="C449" t="str">
            <v>SE00464</v>
          </cell>
          <cell r="D449" t="str">
            <v>Batido Nucleo vainilla Chai Dawn</v>
          </cell>
          <cell r="F449" t="str">
            <v>Estándar</v>
          </cell>
          <cell r="G449" t="str">
            <v>Peso</v>
          </cell>
          <cell r="H449" t="str">
            <v>Gramos</v>
          </cell>
          <cell r="I449">
            <v>2229.5107859226587</v>
          </cell>
          <cell r="J449">
            <v>2.2295107859226588</v>
          </cell>
          <cell r="K449">
            <v>9.3739646798000003</v>
          </cell>
          <cell r="L449">
            <v>9.3739646797999995E-3</v>
          </cell>
          <cell r="M449">
            <v>28.833075999999998</v>
          </cell>
          <cell r="N449">
            <v>2.8833075999999999E-2</v>
          </cell>
        </row>
        <row r="450">
          <cell r="A450" t="str">
            <v>907000312</v>
          </cell>
          <cell r="B450" t="str">
            <v>Rosquete Nucleo Kalua Dawn 280g</v>
          </cell>
          <cell r="C450" t="str">
            <v>SE00453</v>
          </cell>
          <cell r="D450" t="str">
            <v>Rosquete Nucleo Kalua Dawn 280g</v>
          </cell>
          <cell r="F450" t="str">
            <v>Estándar</v>
          </cell>
          <cell r="G450" t="str">
            <v>Unidad</v>
          </cell>
          <cell r="H450" t="str">
            <v>Unidades</v>
          </cell>
          <cell r="I450">
            <v>734.7422742988806</v>
          </cell>
          <cell r="J450">
            <v>734.7422742988806</v>
          </cell>
          <cell r="K450">
            <v>6.8297369261188843</v>
          </cell>
          <cell r="L450">
            <v>6.8297369261188843</v>
          </cell>
          <cell r="M450">
            <v>36.766209277911997</v>
          </cell>
          <cell r="N450">
            <v>36.766209277911997</v>
          </cell>
        </row>
        <row r="451">
          <cell r="A451" t="str">
            <v>906000136</v>
          </cell>
          <cell r="B451" t="str">
            <v>Premezcla Easy vainilla BC</v>
          </cell>
          <cell r="C451" t="str">
            <v>SE00465</v>
          </cell>
          <cell r="D451" t="str">
            <v>Premezcla Easy vainilla BC</v>
          </cell>
          <cell r="F451" t="str">
            <v>Estándar</v>
          </cell>
          <cell r="G451" t="str">
            <v>Peso</v>
          </cell>
          <cell r="H451" t="str">
            <v>Gramos</v>
          </cell>
          <cell r="I451">
            <v>1062.5464630240001</v>
          </cell>
          <cell r="J451">
            <v>1.062546463024</v>
          </cell>
          <cell r="K451">
            <v>4.7828499999999998</v>
          </cell>
          <cell r="L451">
            <v>4.7828499999999999E-3</v>
          </cell>
          <cell r="M451">
            <v>9.2799999999999994</v>
          </cell>
          <cell r="N451">
            <v>9.2800000000000001E-3</v>
          </cell>
        </row>
        <row r="452">
          <cell r="A452" t="str">
            <v>907000286</v>
          </cell>
          <cell r="B452" t="str">
            <v>Batido Easy Vainilla BC</v>
          </cell>
          <cell r="C452" t="str">
            <v>SE00466</v>
          </cell>
          <cell r="D452" t="str">
            <v>Batido Easy Vainilla BC</v>
          </cell>
          <cell r="F452" t="str">
            <v>Estándar</v>
          </cell>
          <cell r="G452" t="str">
            <v>Peso</v>
          </cell>
          <cell r="H452" t="str">
            <v>Gramos</v>
          </cell>
          <cell r="I452">
            <v>1119.8466340580435</v>
          </cell>
          <cell r="J452">
            <v>1.1198466340580435</v>
          </cell>
          <cell r="K452">
            <v>2.6524251245000001</v>
          </cell>
          <cell r="L452">
            <v>2.6524251245000001E-3</v>
          </cell>
          <cell r="M452">
            <v>19.0664096</v>
          </cell>
          <cell r="N452">
            <v>1.9066409600000001E-2</v>
          </cell>
        </row>
        <row r="453">
          <cell r="A453" t="str">
            <v>907000287</v>
          </cell>
          <cell r="B453" t="str">
            <v>Rosquete easy vainilla BC 350g</v>
          </cell>
          <cell r="C453" t="str">
            <v>SE00467</v>
          </cell>
          <cell r="D453" t="str">
            <v>Rosquete Easy Vainilla BC 350g</v>
          </cell>
          <cell r="F453" t="str">
            <v>Estándar</v>
          </cell>
          <cell r="G453" t="str">
            <v>Unidad</v>
          </cell>
          <cell r="H453" t="str">
            <v>Unidades</v>
          </cell>
          <cell r="I453">
            <v>422.1913339894387</v>
          </cell>
          <cell r="J453">
            <v>422.1913339894387</v>
          </cell>
          <cell r="K453">
            <v>4.8853006303043252</v>
          </cell>
          <cell r="L453">
            <v>4.8853006303043252</v>
          </cell>
          <cell r="M453">
            <v>28.78664903696</v>
          </cell>
          <cell r="N453">
            <v>28.78664903696</v>
          </cell>
        </row>
        <row r="454">
          <cell r="A454" t="str">
            <v>907000288</v>
          </cell>
          <cell r="B454" t="str">
            <v>Rosquete easy vainilla BC 200g</v>
          </cell>
          <cell r="C454" t="str">
            <v>SE00468</v>
          </cell>
          <cell r="D454" t="str">
            <v>Rosquete Easy Vainilla BC 200g</v>
          </cell>
          <cell r="F454" t="str">
            <v>Estándar</v>
          </cell>
          <cell r="G454" t="str">
            <v>Unidad</v>
          </cell>
          <cell r="H454" t="str">
            <v>Unidades</v>
          </cell>
          <cell r="I454">
            <v>253.86718642417415</v>
          </cell>
          <cell r="J454">
            <v>253.86718642417415</v>
          </cell>
          <cell r="K454">
            <v>0.53987460984072999</v>
          </cell>
          <cell r="L454">
            <v>0.53987460984072999</v>
          </cell>
          <cell r="M454">
            <v>33.460777009984</v>
          </cell>
          <cell r="N454">
            <v>33.460777009984</v>
          </cell>
        </row>
        <row r="455">
          <cell r="A455" t="str">
            <v>907000307</v>
          </cell>
          <cell r="B455" t="str">
            <v>Rosquete easy vainilla BC 700g</v>
          </cell>
          <cell r="C455" t="str">
            <v>SE00469</v>
          </cell>
          <cell r="D455" t="str">
            <v>Rosquete easy vainilla BC 700g</v>
          </cell>
          <cell r="F455" t="str">
            <v>Estándar</v>
          </cell>
          <cell r="G455" t="str">
            <v>Unidad</v>
          </cell>
          <cell r="H455" t="str">
            <v>Unidades</v>
          </cell>
          <cell r="I455">
            <v>818.43786698453687</v>
          </cell>
          <cell r="J455">
            <v>818.43786698453687</v>
          </cell>
          <cell r="K455">
            <v>11.334134736357406</v>
          </cell>
          <cell r="L455">
            <v>11.334134736357406</v>
          </cell>
          <cell r="M455">
            <v>58.153107409824003</v>
          </cell>
          <cell r="N455">
            <v>58.153107409824003</v>
          </cell>
        </row>
        <row r="456">
          <cell r="A456" t="str">
            <v>907000311</v>
          </cell>
          <cell r="B456" t="str">
            <v>Rosquete nucleo vainilla Dawn redondo 360g</v>
          </cell>
          <cell r="C456" t="str">
            <v>SE00470</v>
          </cell>
          <cell r="D456" t="str">
            <v>Rosquete Nucleo Vainilla Dawn Redondo 360g</v>
          </cell>
          <cell r="F456" t="str">
            <v>Estándar</v>
          </cell>
          <cell r="G456" t="str">
            <v>Unidad</v>
          </cell>
          <cell r="H456" t="str">
            <v>Unidades</v>
          </cell>
          <cell r="I456">
            <v>651.57429923231564</v>
          </cell>
          <cell r="J456">
            <v>651.57429923231564</v>
          </cell>
          <cell r="K456">
            <v>7.3035556178683745</v>
          </cell>
          <cell r="L456">
            <v>7.3035556178683745</v>
          </cell>
          <cell r="M456">
            <v>24.430786368888</v>
          </cell>
          <cell r="N456">
            <v>24.430786368888</v>
          </cell>
        </row>
        <row r="457">
          <cell r="A457" t="str">
            <v>902000150</v>
          </cell>
          <cell r="B457" t="str">
            <v>RELLENO MELOCOTÓN CUBOS PARA TORTAS</v>
          </cell>
          <cell r="C457" t="str">
            <v>SE00447</v>
          </cell>
          <cell r="D457" t="str">
            <v>Relleno Melocoton Cubos para Torta</v>
          </cell>
          <cell r="F457" t="str">
            <v>Estándar</v>
          </cell>
          <cell r="G457" t="str">
            <v>Peso</v>
          </cell>
          <cell r="H457" t="str">
            <v>Gramos</v>
          </cell>
          <cell r="I457">
            <v>2228.2337891777779</v>
          </cell>
          <cell r="J457">
            <v>2.2282337891777777</v>
          </cell>
          <cell r="K457">
            <v>6.3840000000000008E-2</v>
          </cell>
          <cell r="L457">
            <v>6.3840000000000012E-5</v>
          </cell>
          <cell r="M457">
            <v>46.980000000000004</v>
          </cell>
          <cell r="N457">
            <v>4.6980000000000001E-2</v>
          </cell>
        </row>
        <row r="458">
          <cell r="A458" t="str">
            <v>902000151</v>
          </cell>
          <cell r="B458" t="str">
            <v>EMPAQUE RELLENO MELOCOTÓN CUBOS PARA TORTAS</v>
          </cell>
          <cell r="C458" t="str">
            <v>SE00446</v>
          </cell>
          <cell r="D458" t="str">
            <v>Empaque Relleno Melocoton Cubos para Torta</v>
          </cell>
          <cell r="F458" t="str">
            <v>Estándar</v>
          </cell>
          <cell r="G458" t="str">
            <v>Peso</v>
          </cell>
          <cell r="H458" t="str">
            <v>Gramos</v>
          </cell>
          <cell r="I458">
            <v>2228.2337891777779</v>
          </cell>
          <cell r="J458">
            <v>2.2282337891777777</v>
          </cell>
          <cell r="K458">
            <v>10.252062222222223</v>
          </cell>
          <cell r="L458">
            <v>1.0252062222222223E-2</v>
          </cell>
          <cell r="M458">
            <v>58.580000000000005</v>
          </cell>
          <cell r="N458">
            <v>5.8580000000000007E-2</v>
          </cell>
        </row>
        <row r="459">
          <cell r="A459" t="str">
            <v>907000299</v>
          </cell>
          <cell r="B459" t="str">
            <v>Rosquete Easy Vainilla  SP 1400g</v>
          </cell>
          <cell r="C459" t="str">
            <v>SE00455</v>
          </cell>
          <cell r="D459" t="str">
            <v>Rosquete Easy Vainilla  SP 1400g</v>
          </cell>
          <cell r="F459" t="str">
            <v>Estándar</v>
          </cell>
          <cell r="G459" t="str">
            <v>Unidad</v>
          </cell>
          <cell r="H459" t="str">
            <v>Unidades</v>
          </cell>
          <cell r="I459">
            <v>1703.799585938212</v>
          </cell>
          <cell r="J459">
            <v>1703.799585938212</v>
          </cell>
          <cell r="K459">
            <v>16.581903980000256</v>
          </cell>
          <cell r="L459">
            <v>16.581903980000256</v>
          </cell>
          <cell r="M459">
            <v>61.703317487231999</v>
          </cell>
          <cell r="N459">
            <v>61.703317487231999</v>
          </cell>
        </row>
        <row r="460">
          <cell r="A460" t="str">
            <v>906000134</v>
          </cell>
          <cell r="B460" t="str">
            <v>Premezcla Easy Queque Chocolate SP</v>
          </cell>
          <cell r="C460" t="str">
            <v>SE00472</v>
          </cell>
          <cell r="D460" t="str">
            <v>Premezcla Easy Queque Chocolate SP</v>
          </cell>
          <cell r="F460" t="str">
            <v>Estándar</v>
          </cell>
          <cell r="G460" t="str">
            <v>Peso</v>
          </cell>
          <cell r="H460" t="str">
            <v>Gramos</v>
          </cell>
          <cell r="I460">
            <v>1158.7104457359999</v>
          </cell>
          <cell r="J460">
            <v>1.1587104457359998</v>
          </cell>
          <cell r="K460">
            <v>4.9980400000000005</v>
          </cell>
          <cell r="L460">
            <v>4.9980400000000005E-3</v>
          </cell>
          <cell r="M460">
            <v>9.2799999999999994</v>
          </cell>
          <cell r="N460">
            <v>9.2800000000000001E-3</v>
          </cell>
        </row>
        <row r="461">
          <cell r="A461" t="str">
            <v>907000284</v>
          </cell>
          <cell r="B461" t="str">
            <v>Batido Easy queque chocolate SP</v>
          </cell>
          <cell r="C461" t="str">
            <v>SE00473</v>
          </cell>
          <cell r="D461" t="str">
            <v>Batido Easy Queque Chocolate SP</v>
          </cell>
          <cell r="F461" t="str">
            <v>Estándar</v>
          </cell>
          <cell r="G461" t="str">
            <v>Peso</v>
          </cell>
          <cell r="H461" t="str">
            <v>Gramos</v>
          </cell>
          <cell r="I461">
            <v>1255.9742105912358</v>
          </cell>
          <cell r="J461">
            <v>1.2559742105912357</v>
          </cell>
          <cell r="K461">
            <v>2.5970315644000004</v>
          </cell>
          <cell r="L461">
            <v>2.5970315644000003E-3</v>
          </cell>
          <cell r="M461">
            <v>17.5819808</v>
          </cell>
          <cell r="N461">
            <v>1.7581980800000001E-2</v>
          </cell>
        </row>
        <row r="462">
          <cell r="A462" t="str">
            <v>907000294</v>
          </cell>
          <cell r="B462" t="str">
            <v>Rosquete Easy queque chocolate SP  600g</v>
          </cell>
          <cell r="C462" t="str">
            <v>SE00456</v>
          </cell>
          <cell r="D462" t="str">
            <v>Rosquete Easy Queque Chocolate SP  600g</v>
          </cell>
          <cell r="F462" t="str">
            <v>Estándar</v>
          </cell>
          <cell r="G462" t="str">
            <v>Unidad</v>
          </cell>
          <cell r="H462" t="str">
            <v>Unidades</v>
          </cell>
          <cell r="I462">
            <v>798.68324479906221</v>
          </cell>
          <cell r="J462">
            <v>798.68324479906221</v>
          </cell>
          <cell r="K462">
            <v>10.418197163457025</v>
          </cell>
          <cell r="L462">
            <v>10.418197163457025</v>
          </cell>
          <cell r="M462">
            <v>39.056043465152001</v>
          </cell>
          <cell r="N462">
            <v>39.056043465152001</v>
          </cell>
        </row>
        <row r="463">
          <cell r="A463" t="str">
            <v>907000295</v>
          </cell>
          <cell r="B463" t="str">
            <v>Rosquete Easy queque chocolate SP  400g</v>
          </cell>
          <cell r="C463" t="str">
            <v>SE00471</v>
          </cell>
          <cell r="D463" t="str">
            <v>Rosquete Easy Queque Chocolate SP  400g</v>
          </cell>
          <cell r="F463" t="str">
            <v>Estándar</v>
          </cell>
          <cell r="G463" t="str">
            <v>Unidad</v>
          </cell>
          <cell r="H463" t="str">
            <v>Unidades</v>
          </cell>
          <cell r="I463">
            <v>547.51352216502676</v>
          </cell>
          <cell r="J463">
            <v>547.51352216502676</v>
          </cell>
          <cell r="K463">
            <v>4.443431680097202</v>
          </cell>
          <cell r="L463">
            <v>4.443431680097202</v>
          </cell>
          <cell r="M463">
            <v>36.119998944768</v>
          </cell>
          <cell r="N463">
            <v>36.119998944768</v>
          </cell>
        </row>
        <row r="464">
          <cell r="A464" t="str">
            <v>907000298</v>
          </cell>
          <cell r="B464" t="str">
            <v>Rosquete Easy queque vainilla  SP 400g</v>
          </cell>
          <cell r="C464" t="str">
            <v>SE00474</v>
          </cell>
          <cell r="D464" t="str">
            <v>Rosquete Easy Queque Vainilla  SP 400g</v>
          </cell>
          <cell r="F464" t="str">
            <v>Estándar</v>
          </cell>
          <cell r="G464" t="str">
            <v>Unidad</v>
          </cell>
          <cell r="H464" t="str">
            <v>Unidades</v>
          </cell>
          <cell r="I464">
            <v>491.86022218173849</v>
          </cell>
          <cell r="J464">
            <v>491.86022218173849</v>
          </cell>
          <cell r="K464">
            <v>5.178473531438847</v>
          </cell>
          <cell r="L464">
            <v>5.178473531438847</v>
          </cell>
          <cell r="M464">
            <v>31.873804487455999</v>
          </cell>
          <cell r="N464">
            <v>31.873804487455999</v>
          </cell>
        </row>
      </sheetData>
      <sheetData sheetId="7"/>
      <sheetData sheetId="8">
        <row r="2">
          <cell r="C2" t="str">
            <v>PTI00001</v>
          </cell>
          <cell r="D2" t="str">
            <v>Torta Chocolate 1400 grs Spoon</v>
          </cell>
        </row>
        <row r="3">
          <cell r="C3" t="str">
            <v>PTI00002</v>
          </cell>
          <cell r="D3" t="str">
            <v xml:space="preserve">Torta Chocolate 750 grs Spoon </v>
          </cell>
        </row>
        <row r="4">
          <cell r="C4" t="str">
            <v>PTI00004</v>
          </cell>
          <cell r="D4" t="str">
            <v>Sal Empacada 1/ 1.162 Kg KFC</v>
          </cell>
        </row>
        <row r="5">
          <cell r="C5" t="str">
            <v>PTI00016</v>
          </cell>
          <cell r="D5" t="str">
            <v>Sandwich Jamon Y Queso Fas</v>
          </cell>
        </row>
        <row r="6">
          <cell r="C6" t="str">
            <v>PTI00017</v>
          </cell>
          <cell r="D6" t="str">
            <v>Sandwich Pollo Fas</v>
          </cell>
        </row>
        <row r="7">
          <cell r="C7" t="str">
            <v>PTI00018</v>
          </cell>
          <cell r="D7" t="str">
            <v>Triangulo Jamon Y Queso und Fas</v>
          </cell>
        </row>
        <row r="8">
          <cell r="C8" t="str">
            <v>PTI00019</v>
          </cell>
          <cell r="D8" t="str">
            <v>Empanada Carne Peruana und  Fas</v>
          </cell>
        </row>
        <row r="9">
          <cell r="C9" t="str">
            <v>PTI00020</v>
          </cell>
          <cell r="D9" t="str">
            <v>Empanada Carne Mechada und Fas</v>
          </cell>
        </row>
        <row r="10">
          <cell r="C10" t="str">
            <v>PTI00021</v>
          </cell>
          <cell r="D10" t="str">
            <v>Empanada Pollo Y Cebolla und Fas</v>
          </cell>
        </row>
        <row r="11">
          <cell r="C11" t="str">
            <v>PTI00022</v>
          </cell>
          <cell r="D11" t="str">
            <v>Empanada Coco Y Piña und Fas</v>
          </cell>
        </row>
        <row r="12">
          <cell r="C12" t="str">
            <v>PTI00023</v>
          </cell>
          <cell r="D12" t="str">
            <v>Wrap De Pollo Fas</v>
          </cell>
        </row>
        <row r="13">
          <cell r="C13" t="str">
            <v>PTI00024</v>
          </cell>
          <cell r="D13" t="str">
            <v>Lasaña De Carne 1/ 6 porc Fas</v>
          </cell>
        </row>
        <row r="14">
          <cell r="C14" t="str">
            <v>PTI00025</v>
          </cell>
          <cell r="D14" t="str">
            <v xml:space="preserve">Lasaña De Pollo 1/ 6 porc Fas </v>
          </cell>
        </row>
        <row r="15">
          <cell r="C15" t="str">
            <v>PTI00026</v>
          </cell>
          <cell r="D15" t="str">
            <v>Lasaña De Pollo 1/ 6 porc Premium</v>
          </cell>
        </row>
        <row r="16">
          <cell r="C16" t="str">
            <v>PTI00027</v>
          </cell>
          <cell r="D16" t="str">
            <v>Lasaña De Carne 1/ 6 porc Premium</v>
          </cell>
        </row>
        <row r="17">
          <cell r="C17" t="str">
            <v>PTI00029</v>
          </cell>
          <cell r="D17" t="str">
            <v>Torta Chocolate Moka 1300 grs Bucca</v>
          </cell>
        </row>
        <row r="18">
          <cell r="C18" t="str">
            <v>PTI00030</v>
          </cell>
          <cell r="D18" t="str">
            <v>Torta Manjar C/Almendras 1300 grs Bucca</v>
          </cell>
        </row>
        <row r="19">
          <cell r="C19" t="str">
            <v>PTI00031</v>
          </cell>
          <cell r="D19" t="str">
            <v>Mini Cake Chocofresa Peq Spoon</v>
          </cell>
        </row>
        <row r="20">
          <cell r="C20" t="str">
            <v>PTI00032</v>
          </cell>
          <cell r="D20" t="str">
            <v>Torta Vainilla Porcionada Fas</v>
          </cell>
        </row>
        <row r="21">
          <cell r="C21" t="str">
            <v>PTI00033</v>
          </cell>
          <cell r="D21" t="str">
            <v>Torta Chocolate Porcionado Fas</v>
          </cell>
        </row>
        <row r="22">
          <cell r="C22" t="str">
            <v>PTI00034</v>
          </cell>
          <cell r="D22" t="str">
            <v>Torta Vainilla Dec Azul 30 Porc Bucca</v>
          </cell>
        </row>
        <row r="23">
          <cell r="C23" t="str">
            <v>PTI00035</v>
          </cell>
          <cell r="D23" t="str">
            <v>Torta Vainilla Dec Fucsia 30 porc  Bucca</v>
          </cell>
        </row>
        <row r="24">
          <cell r="C24" t="str">
            <v>PTI00036</v>
          </cell>
          <cell r="D24" t="str">
            <v>Torta Churchill Spoon</v>
          </cell>
        </row>
        <row r="25">
          <cell r="C25" t="str">
            <v>PTI00037</v>
          </cell>
          <cell r="D25" t="str">
            <v>Torta Vainilla C/Dulce Leche  Niño</v>
          </cell>
        </row>
        <row r="26">
          <cell r="C26" t="str">
            <v>PTI00038</v>
          </cell>
          <cell r="D26" t="str">
            <v>Torta Vainilla C/Dulce Leche Niña</v>
          </cell>
        </row>
        <row r="27">
          <cell r="C27" t="str">
            <v>PTI00039</v>
          </cell>
          <cell r="D27" t="str">
            <v>Torta Pie De Limon 1770 grs</v>
          </cell>
        </row>
        <row r="28">
          <cell r="C28" t="str">
            <v>PTI00040</v>
          </cell>
          <cell r="D28" t="str">
            <v>Torta Mixta Dulce De Leche 14" KFC</v>
          </cell>
        </row>
        <row r="29">
          <cell r="C29" t="str">
            <v>PTI00041</v>
          </cell>
          <cell r="D29" t="str">
            <v>Torta Mixta Dulce De Leche 12" KFC</v>
          </cell>
        </row>
        <row r="30">
          <cell r="C30" t="str">
            <v>PTI00042</v>
          </cell>
          <cell r="D30" t="str">
            <v>Torta Chocolate C/ Dulce Leche 14" KFC</v>
          </cell>
        </row>
        <row r="31">
          <cell r="C31" t="str">
            <v>PTI00043</v>
          </cell>
          <cell r="D31" t="str">
            <v>Azucar En Polvo 1/250 grs</v>
          </cell>
        </row>
        <row r="32">
          <cell r="C32" t="str">
            <v>PTI00044</v>
          </cell>
          <cell r="D32" t="str">
            <v>Torta De Higos Chai</v>
          </cell>
        </row>
        <row r="33">
          <cell r="C33" t="str">
            <v>PTI00045</v>
          </cell>
          <cell r="D33" t="str">
            <v xml:space="preserve">Palitos De Queso 10/ 80 grs Spoon </v>
          </cell>
        </row>
        <row r="34">
          <cell r="C34" t="str">
            <v>PTI00046</v>
          </cell>
          <cell r="D34" t="str">
            <v>Orejitas Dulces 10/100 grs Spoon</v>
          </cell>
        </row>
        <row r="35">
          <cell r="C35" t="str">
            <v>PTI00048</v>
          </cell>
          <cell r="D35" t="str">
            <v xml:space="preserve">Galleta Media Luna 10/100 grs Spoon </v>
          </cell>
        </row>
        <row r="36">
          <cell r="C36" t="str">
            <v>PTI00049</v>
          </cell>
          <cell r="D36" t="str">
            <v xml:space="preserve">Porcion Chilena 1/6 und Bucca </v>
          </cell>
        </row>
        <row r="37">
          <cell r="C37" t="str">
            <v>PTI00051</v>
          </cell>
          <cell r="D37" t="str">
            <v>Torta Zanahoria 815 grs Fresh M</v>
          </cell>
        </row>
        <row r="38">
          <cell r="C38" t="str">
            <v>PTI00052</v>
          </cell>
          <cell r="D38" t="str">
            <v xml:space="preserve">Torta Kalua 950 grs Spoon </v>
          </cell>
        </row>
        <row r="39">
          <cell r="C39" t="str">
            <v>PTI00054</v>
          </cell>
          <cell r="D39" t="str">
            <v>Porcion Chilena 120 grs  Fresh M</v>
          </cell>
        </row>
        <row r="40">
          <cell r="C40" t="str">
            <v>PTI00055</v>
          </cell>
          <cell r="D40" t="str">
            <v>Torta Selva Negra 625 grs Fresh M</v>
          </cell>
        </row>
        <row r="41">
          <cell r="C41" t="str">
            <v>PTI00059</v>
          </cell>
          <cell r="D41" t="str">
            <v xml:space="preserve">Torta Baileys 740 grs Spoon </v>
          </cell>
        </row>
        <row r="42">
          <cell r="C42" t="str">
            <v>PTI00063</v>
          </cell>
          <cell r="D42" t="str">
            <v>Topping Guayabita 1/50 und Fas</v>
          </cell>
        </row>
        <row r="43">
          <cell r="C43" t="str">
            <v>PTI00064</v>
          </cell>
          <cell r="D43" t="str">
            <v xml:space="preserve">Chesse Cake Fresa Rect 850 grs Spoon </v>
          </cell>
        </row>
        <row r="44">
          <cell r="C44" t="str">
            <v>PTI00065</v>
          </cell>
          <cell r="D44" t="str">
            <v xml:space="preserve">Pie Limon 700 grs Spoon </v>
          </cell>
        </row>
        <row r="45">
          <cell r="C45" t="str">
            <v>PTI00066</v>
          </cell>
          <cell r="D45" t="str">
            <v>Porcion Pie Limon Triang 125 grs Spoon</v>
          </cell>
        </row>
        <row r="46">
          <cell r="C46" t="str">
            <v>PTI00067</v>
          </cell>
          <cell r="D46" t="str">
            <v>Porcion Cheese Cake Fresa 100 grs Spoon</v>
          </cell>
        </row>
        <row r="47">
          <cell r="C47" t="str">
            <v>PTI00069</v>
          </cell>
          <cell r="D47" t="str">
            <v>Tres Leches Churchill 1375 grs Spoon</v>
          </cell>
        </row>
        <row r="48">
          <cell r="C48" t="str">
            <v>PTI00070</v>
          </cell>
          <cell r="D48" t="str">
            <v>Cuatro Leches Chocolate 4 porc</v>
          </cell>
        </row>
        <row r="49">
          <cell r="C49" t="str">
            <v>PTI00071</v>
          </cell>
          <cell r="D49" t="str">
            <v>Cuatro Leches De Fresa 4 Porc.</v>
          </cell>
        </row>
        <row r="50">
          <cell r="C50" t="str">
            <v>PTI00072</v>
          </cell>
          <cell r="D50" t="str">
            <v>Cuatro Leches De Piña Colada 4 Porc.</v>
          </cell>
        </row>
        <row r="51">
          <cell r="C51" t="str">
            <v>PTI00076</v>
          </cell>
          <cell r="D51" t="str">
            <v>Cocadas 1/6 und</v>
          </cell>
        </row>
        <row r="52">
          <cell r="C52" t="str">
            <v>PTI00077</v>
          </cell>
          <cell r="D52" t="str">
            <v>Minicake Melocoton</v>
          </cell>
        </row>
        <row r="53">
          <cell r="C53" t="str">
            <v>PTI00078</v>
          </cell>
          <cell r="D53" t="str">
            <v>Postre Chocofresa 800 grs Bucca</v>
          </cell>
        </row>
        <row r="54">
          <cell r="C54" t="str">
            <v>PTI00079</v>
          </cell>
          <cell r="D54" t="str">
            <v>Mousse Leche Cond Bucca</v>
          </cell>
        </row>
        <row r="55">
          <cell r="C55" t="str">
            <v>PTI00080</v>
          </cell>
          <cell r="D55" t="str">
            <v>Mini Cake Caramelo 115 grs Spoon</v>
          </cell>
        </row>
        <row r="56">
          <cell r="C56" t="str">
            <v>PTI00081</v>
          </cell>
          <cell r="D56" t="str">
            <v>Tres Leches Food Service</v>
          </cell>
        </row>
        <row r="57">
          <cell r="C57" t="str">
            <v>PTI00082</v>
          </cell>
          <cell r="D57" t="str">
            <v>Postre Crumble Caram Almen 1000 grs Spoon</v>
          </cell>
        </row>
        <row r="58">
          <cell r="C58" t="str">
            <v>PTI00083</v>
          </cell>
          <cell r="D58" t="str">
            <v xml:space="preserve">Mousse De Chocofresa 550 grs Bucca </v>
          </cell>
        </row>
        <row r="59">
          <cell r="C59" t="str">
            <v>PTI00084</v>
          </cell>
          <cell r="D59" t="str">
            <v>Tres Leches Kfc 1/8 und</v>
          </cell>
        </row>
        <row r="60">
          <cell r="C60" t="str">
            <v>PTI00087</v>
          </cell>
          <cell r="D60" t="str">
            <v>Alfajor Mediano 1/12 und</v>
          </cell>
        </row>
        <row r="61">
          <cell r="C61" t="str">
            <v>PTI00088</v>
          </cell>
          <cell r="D61" t="str">
            <v xml:space="preserve">Torta Melocoton 1300 grs Spoon </v>
          </cell>
        </row>
        <row r="62">
          <cell r="C62" t="str">
            <v>PTI00089</v>
          </cell>
          <cell r="D62" t="str">
            <v>Torta Chocofresa 1400 grs Spoon</v>
          </cell>
        </row>
        <row r="63">
          <cell r="C63" t="str">
            <v>PTI00090</v>
          </cell>
          <cell r="D63" t="str">
            <v xml:space="preserve">Torta Caramelo 1200 grs  Spoon </v>
          </cell>
        </row>
        <row r="64">
          <cell r="C64" t="str">
            <v>PTI00091</v>
          </cell>
          <cell r="D64" t="str">
            <v>Tres Leches Tradicional Rect Spoon</v>
          </cell>
        </row>
        <row r="65">
          <cell r="C65" t="str">
            <v>PTI00092</v>
          </cell>
          <cell r="D65" t="str">
            <v>Torta Melocoton 600 grs  Spoon</v>
          </cell>
        </row>
        <row r="66">
          <cell r="C66" t="str">
            <v>PTI00093</v>
          </cell>
          <cell r="D66" t="str">
            <v xml:space="preserve">Porcion Tres Leches Trad. 190 grs Spoon </v>
          </cell>
        </row>
        <row r="67">
          <cell r="C67" t="str">
            <v>PTI00094</v>
          </cell>
          <cell r="D67" t="str">
            <v xml:space="preserve">Porción Tres Leches Melo 190 grs Spoon </v>
          </cell>
        </row>
        <row r="68">
          <cell r="C68" t="str">
            <v>PTI00095</v>
          </cell>
          <cell r="D68" t="str">
            <v xml:space="preserve">Porcion Chesse Cake Fresa 150 grs  Bucca </v>
          </cell>
        </row>
        <row r="69">
          <cell r="C69" t="str">
            <v>PTI00096</v>
          </cell>
          <cell r="D69" t="str">
            <v xml:space="preserve">Torta Caramelo 640 grs Spoon </v>
          </cell>
        </row>
        <row r="70">
          <cell r="C70" t="str">
            <v>PTI00097</v>
          </cell>
          <cell r="D70" t="str">
            <v>Porción Cuatro Leches Caramelo Bucca</v>
          </cell>
        </row>
        <row r="71">
          <cell r="C71" t="str">
            <v>PTI00098</v>
          </cell>
          <cell r="D71" t="str">
            <v>Torta Chocofresa 650 grs Spoon</v>
          </cell>
        </row>
        <row r="72">
          <cell r="C72" t="str">
            <v>PTI00099</v>
          </cell>
          <cell r="D72" t="str">
            <v xml:space="preserve">Flan De Tres Leches 900 grs Spoon </v>
          </cell>
        </row>
        <row r="73">
          <cell r="C73" t="str">
            <v>PTI00101</v>
          </cell>
          <cell r="D73" t="str">
            <v>Torta Chilena Porcionada Gde Fas</v>
          </cell>
        </row>
        <row r="74">
          <cell r="C74" t="str">
            <v>PTI00102</v>
          </cell>
          <cell r="D74" t="str">
            <v>Orejitas Dulces 145 grs Spoon</v>
          </cell>
        </row>
        <row r="75">
          <cell r="C75" t="str">
            <v>PTI00104</v>
          </cell>
          <cell r="D75" t="str">
            <v>Tres Leches Chilena Rec Spoon</v>
          </cell>
        </row>
        <row r="76">
          <cell r="C76" t="str">
            <v>PTI00105</v>
          </cell>
          <cell r="D76" t="str">
            <v>Torta Mini Cake De Chocolate Spoon</v>
          </cell>
        </row>
        <row r="77">
          <cell r="C77" t="str">
            <v>PTI00107</v>
          </cell>
          <cell r="D77" t="str">
            <v>Porcion T.Chocofresa Triang. 135 grs Spoon</v>
          </cell>
        </row>
        <row r="78">
          <cell r="C78" t="str">
            <v>PTI00108</v>
          </cell>
          <cell r="D78" t="str">
            <v>Porcion T.Chocolate Triang. 165 grs Spoon</v>
          </cell>
        </row>
        <row r="79">
          <cell r="C79" t="str">
            <v>PTI00109</v>
          </cell>
          <cell r="D79" t="str">
            <v>Porcion T.Melocoton Triang. 170 grs Spoon</v>
          </cell>
        </row>
        <row r="80">
          <cell r="C80" t="str">
            <v>PTI00111</v>
          </cell>
          <cell r="D80" t="str">
            <v xml:space="preserve">Porción Tres Leches  Bucca </v>
          </cell>
        </row>
        <row r="81">
          <cell r="C81" t="str">
            <v>PTI00112</v>
          </cell>
          <cell r="D81" t="str">
            <v>Tres Leches Cuad. 720 Grs Bucca</v>
          </cell>
        </row>
        <row r="82">
          <cell r="C82" t="str">
            <v>PTI00113</v>
          </cell>
          <cell r="D82" t="str">
            <v>Torta Dulce Melo 800 grs  Bucca</v>
          </cell>
        </row>
        <row r="83">
          <cell r="C83" t="str">
            <v>PTI00114</v>
          </cell>
          <cell r="D83" t="str">
            <v>Torta Selva Negra 900 grs Bucca</v>
          </cell>
        </row>
        <row r="84">
          <cell r="C84" t="str">
            <v>PTI00115</v>
          </cell>
          <cell r="D84" t="str">
            <v xml:space="preserve">Porcion Chilena  120 grs Bucca </v>
          </cell>
        </row>
        <row r="85">
          <cell r="C85" t="str">
            <v>PTI00116</v>
          </cell>
          <cell r="D85" t="str">
            <v>Flan Caramelo Rect 1250 grs Bucca</v>
          </cell>
        </row>
        <row r="86">
          <cell r="C86" t="str">
            <v>PTI00117</v>
          </cell>
          <cell r="D86" t="str">
            <v xml:space="preserve">Torta Selva Negra 650 grs Bucca </v>
          </cell>
        </row>
        <row r="87">
          <cell r="C87" t="str">
            <v>PTI00118</v>
          </cell>
          <cell r="D87" t="str">
            <v>Torta Dulce Melo 650 grs Bucca</v>
          </cell>
        </row>
        <row r="88">
          <cell r="C88" t="str">
            <v>PTI00119</v>
          </cell>
          <cell r="D88" t="str">
            <v xml:space="preserve">Porción Cuatro Leches Choco 1/180 grs Bucca </v>
          </cell>
        </row>
        <row r="89">
          <cell r="C89" t="str">
            <v>PTI00120</v>
          </cell>
          <cell r="D89" t="str">
            <v>Torta Dulce Leche Econ Med - Bucca</v>
          </cell>
        </row>
        <row r="90">
          <cell r="C90" t="str">
            <v>PTI00121</v>
          </cell>
          <cell r="D90" t="str">
            <v xml:space="preserve">Torta Chocolate Econ 950 grs Bucca </v>
          </cell>
        </row>
        <row r="91">
          <cell r="C91" t="str">
            <v>PTI00122</v>
          </cell>
          <cell r="D91" t="str">
            <v>Porción Torta Dulce Melo 85 grs Bucca</v>
          </cell>
        </row>
        <row r="92">
          <cell r="C92" t="str">
            <v>PTI00123</v>
          </cell>
          <cell r="D92" t="str">
            <v xml:space="preserve">Porcion Torta Selva Negra 60 grs Bucca </v>
          </cell>
        </row>
        <row r="93">
          <cell r="C93" t="str">
            <v>PTI00124</v>
          </cell>
          <cell r="D93" t="str">
            <v>Torta Chocolate 30 Porc 1400 grs Bucca</v>
          </cell>
        </row>
        <row r="94">
          <cell r="C94" t="str">
            <v>PTI00125</v>
          </cell>
          <cell r="D94" t="str">
            <v xml:space="preserve">Torta Vainilla 60 Porc 2200 grs Bucca </v>
          </cell>
        </row>
        <row r="95">
          <cell r="C95" t="str">
            <v>PTI00126</v>
          </cell>
          <cell r="D95" t="str">
            <v>Torta Chocolate 60 Porc 2200 grs Bucca</v>
          </cell>
        </row>
        <row r="96">
          <cell r="C96" t="str">
            <v>PTI00127</v>
          </cell>
          <cell r="D96" t="str">
            <v>Cuatro Leches Caram 1/6 und Musmanni</v>
          </cell>
        </row>
        <row r="97">
          <cell r="C97" t="str">
            <v>PTI00128</v>
          </cell>
          <cell r="D97" t="str">
            <v>Chesse Cake Fresa 1/6 und Musmanni</v>
          </cell>
        </row>
        <row r="98">
          <cell r="C98" t="str">
            <v>PTI00129</v>
          </cell>
          <cell r="D98" t="str">
            <v xml:space="preserve">Muffin Naranja 1/12 und Fas </v>
          </cell>
        </row>
        <row r="99">
          <cell r="C99" t="str">
            <v>PTI00130</v>
          </cell>
          <cell r="D99" t="str">
            <v xml:space="preserve">Chesse Cake Fresa 1/6 und Bucca </v>
          </cell>
        </row>
        <row r="100">
          <cell r="C100" t="str">
            <v>PTI00131</v>
          </cell>
          <cell r="D100" t="str">
            <v xml:space="preserve">Cuatro Leches Caram 1/6 und Bucca </v>
          </cell>
        </row>
        <row r="101">
          <cell r="C101" t="str">
            <v>PTI00132</v>
          </cell>
          <cell r="D101" t="str">
            <v>Cuatro Leches Fresa 1/6 und Bucca</v>
          </cell>
        </row>
        <row r="102">
          <cell r="C102" t="str">
            <v>PTI00133</v>
          </cell>
          <cell r="D102" t="str">
            <v>Canasta Brownie 1/5 und</v>
          </cell>
        </row>
        <row r="103">
          <cell r="C103" t="str">
            <v>PTI00134</v>
          </cell>
          <cell r="D103" t="str">
            <v>Alfajor Kfc 1/4 und</v>
          </cell>
        </row>
        <row r="104">
          <cell r="C104" t="str">
            <v>PTI00135</v>
          </cell>
          <cell r="D104" t="str">
            <v xml:space="preserve">Torta Tres Leches Fresa 1300 grs Spoon </v>
          </cell>
        </row>
        <row r="105">
          <cell r="C105" t="str">
            <v>PTI00136</v>
          </cell>
          <cell r="D105" t="str">
            <v>Torta Chocotiramizu Spoon Mediana 1500 grs</v>
          </cell>
        </row>
        <row r="106">
          <cell r="C106" t="str">
            <v>PTI00138</v>
          </cell>
          <cell r="D106" t="str">
            <v>Palitos de queso 140 g</v>
          </cell>
        </row>
        <row r="107">
          <cell r="C107" t="str">
            <v>PTI00139</v>
          </cell>
          <cell r="D107" t="str">
            <v>Canasta p/Tartaleta 1/9 und</v>
          </cell>
        </row>
        <row r="108">
          <cell r="C108" t="str">
            <v>PTI00140</v>
          </cell>
          <cell r="D108" t="str">
            <v>Torta Cheese Cake Limon Bucca 1140 g</v>
          </cell>
        </row>
        <row r="109">
          <cell r="C109" t="str">
            <v>PTI00141</v>
          </cell>
          <cell r="D109" t="str">
            <v>Torta Rossana Industria 1450 g</v>
          </cell>
        </row>
        <row r="110">
          <cell r="C110" t="str">
            <v>PTI00142</v>
          </cell>
          <cell r="D110" t="str">
            <v>Torta Chilena Cafeteria Recasa 1440 g</v>
          </cell>
        </row>
        <row r="111">
          <cell r="C111" t="str">
            <v>PTI00143</v>
          </cell>
          <cell r="D111" t="str">
            <v>Galleta Chilena Pops 4/46 und</v>
          </cell>
        </row>
        <row r="112">
          <cell r="C112" t="str">
            <v>PTI00144</v>
          </cell>
          <cell r="D112" t="str">
            <v>Brownie Mamá  4 und</v>
          </cell>
        </row>
        <row r="113">
          <cell r="C113" t="str">
            <v>PTI00145</v>
          </cell>
          <cell r="D113" t="str">
            <v>Sandwich Rise and shine 1/ 5 und</v>
          </cell>
        </row>
        <row r="114">
          <cell r="C114" t="str">
            <v>PTI00146</v>
          </cell>
          <cell r="D114" t="str">
            <v>Sandwich Spicy Bacon 1 /5 und</v>
          </cell>
        </row>
        <row r="115">
          <cell r="C115" t="str">
            <v>PTI00147</v>
          </cell>
          <cell r="D115" t="str">
            <v>Sandwich Jamon y Queso suizo 1/5 und</v>
          </cell>
        </row>
        <row r="116">
          <cell r="C116" t="str">
            <v>PTI00148</v>
          </cell>
          <cell r="D116" t="str">
            <v>Sandwich Spicy Italian 1/5 und</v>
          </cell>
        </row>
        <row r="117">
          <cell r="C117" t="str">
            <v>PTI00149</v>
          </cell>
          <cell r="D117" t="str">
            <v>Sandich Chicken Pesto 1 /5 und</v>
          </cell>
        </row>
        <row r="118">
          <cell r="C118" t="str">
            <v>PTI00150</v>
          </cell>
          <cell r="D118" t="str">
            <v xml:space="preserve">Mousse de Chocolate Oscuro y Crumble de Pecanas Industria </v>
          </cell>
        </row>
        <row r="119">
          <cell r="C119" t="str">
            <v>PTI00151</v>
          </cell>
          <cell r="D119" t="str">
            <v>Torta Rompope Bucca Navidad 2022</v>
          </cell>
        </row>
        <row r="120">
          <cell r="C120" t="str">
            <v>PTI00152</v>
          </cell>
          <cell r="D120" t="str">
            <v>Mousse de Manjar Navidad Bucca 840 g</v>
          </cell>
        </row>
        <row r="121">
          <cell r="C121" t="str">
            <v>PTL00001</v>
          </cell>
          <cell r="D121" t="str">
            <v>Gallo Pinto 1/400 grs</v>
          </cell>
        </row>
        <row r="122">
          <cell r="C122" t="str">
            <v>PTL00002</v>
          </cell>
          <cell r="D122" t="str">
            <v>Arroz C/Palmito 1/ 6 porc</v>
          </cell>
        </row>
        <row r="123">
          <cell r="C123" t="str">
            <v>PTL00003</v>
          </cell>
          <cell r="D123" t="str">
            <v>Arroz Blanco Casadito 1/ 600 grs</v>
          </cell>
        </row>
        <row r="124">
          <cell r="C124" t="str">
            <v>PTL00004</v>
          </cell>
          <cell r="D124" t="str">
            <v>Frijoles Tiernos Chifrijo C/Caldo 1/850 grs</v>
          </cell>
        </row>
        <row r="125">
          <cell r="C125" t="str">
            <v>PTL00005</v>
          </cell>
          <cell r="D125" t="str">
            <v>Salsa Roja 1/400 grs</v>
          </cell>
        </row>
        <row r="126">
          <cell r="C126" t="str">
            <v>PTL00006</v>
          </cell>
          <cell r="D126" t="str">
            <v>Pure Papa True 1/450 grs</v>
          </cell>
        </row>
        <row r="127">
          <cell r="C127" t="str">
            <v>PTL00007</v>
          </cell>
          <cell r="D127" t="str">
            <v>Relleno Limon 1/500 grs</v>
          </cell>
        </row>
        <row r="128">
          <cell r="C128" t="str">
            <v>PTL00008</v>
          </cell>
          <cell r="D128" t="str">
            <v>Salsa Arreglado 1/320 grs</v>
          </cell>
        </row>
        <row r="129">
          <cell r="C129" t="str">
            <v>PTL00009</v>
          </cell>
          <cell r="D129" t="str">
            <v>Relleno Pollo Lapiz 1/300 grs</v>
          </cell>
        </row>
        <row r="130">
          <cell r="C130" t="str">
            <v>PTL00010</v>
          </cell>
          <cell r="D130" t="str">
            <v>Humus De Garbanzos 1/100 grs</v>
          </cell>
        </row>
        <row r="131">
          <cell r="C131" t="str">
            <v>PTL00011</v>
          </cell>
          <cell r="D131" t="str">
            <v>Lasaña Carne  1/6 porc</v>
          </cell>
        </row>
        <row r="132">
          <cell r="C132" t="str">
            <v>PTL00012</v>
          </cell>
          <cell r="D132" t="str">
            <v>Palmito Cocinado 1/125 grs</v>
          </cell>
        </row>
        <row r="133">
          <cell r="C133" t="str">
            <v>PTL00013</v>
          </cell>
          <cell r="D133" t="str">
            <v>Tiqueños Con Queso 1/40 und</v>
          </cell>
        </row>
        <row r="134">
          <cell r="C134" t="str">
            <v>PTL00014</v>
          </cell>
          <cell r="D134" t="str">
            <v>Aceite De Ajo Y Perejil 1/200 grs</v>
          </cell>
        </row>
        <row r="135">
          <cell r="C135" t="str">
            <v>PTL00015</v>
          </cell>
          <cell r="D135" t="str">
            <v>Mayonesa Chipotle 1/700 grs</v>
          </cell>
        </row>
        <row r="136">
          <cell r="C136" t="str">
            <v>PTL00016</v>
          </cell>
          <cell r="D136" t="str">
            <v>Frijoles Molidos 1/400 grs</v>
          </cell>
        </row>
        <row r="137">
          <cell r="C137" t="str">
            <v>PTL00017</v>
          </cell>
          <cell r="D137" t="str">
            <v>Aderezo Vinagreta Albahaca  1/700 grs</v>
          </cell>
        </row>
        <row r="138">
          <cell r="C138" t="str">
            <v>PTL00018</v>
          </cell>
          <cell r="D138" t="str">
            <v>Salsa Tamarindo 1/210 grs</v>
          </cell>
        </row>
        <row r="139">
          <cell r="C139" t="str">
            <v>PTL00019</v>
          </cell>
          <cell r="D139" t="str">
            <v>Aderezo Albahaca Capresse 1/350 grs</v>
          </cell>
        </row>
        <row r="140">
          <cell r="C140" t="str">
            <v>PTL00020</v>
          </cell>
          <cell r="D140" t="str">
            <v>Aderezo Grill 1/500 grs</v>
          </cell>
        </row>
        <row r="141">
          <cell r="C141" t="str">
            <v>PTL00021</v>
          </cell>
          <cell r="D141" t="str">
            <v>Rizos Floreados De Chocolate 1/200 grs</v>
          </cell>
        </row>
        <row r="142">
          <cell r="C142" t="str">
            <v>PTL00022</v>
          </cell>
          <cell r="D142" t="str">
            <v>Aderezo Pesto Albahaca 1/300 grs</v>
          </cell>
        </row>
        <row r="143">
          <cell r="C143" t="str">
            <v>PTL00023</v>
          </cell>
          <cell r="D143" t="str">
            <v>Pastel Palmito Personal 1/3 und</v>
          </cell>
        </row>
        <row r="144">
          <cell r="C144" t="str">
            <v>PTL00024</v>
          </cell>
          <cell r="D144" t="str">
            <v>Pastel Pollo 1/4 porc</v>
          </cell>
        </row>
        <row r="145">
          <cell r="C145" t="str">
            <v>PTL00025</v>
          </cell>
          <cell r="D145" t="str">
            <v>Pastel Palmito 1/4 porc</v>
          </cell>
        </row>
        <row r="146">
          <cell r="C146" t="str">
            <v>PTL00026</v>
          </cell>
          <cell r="D146" t="str">
            <v>Aderezo Culantro 1/240 grs</v>
          </cell>
        </row>
        <row r="147">
          <cell r="C147" t="str">
            <v>PTL00028</v>
          </cell>
          <cell r="D147" t="str">
            <v>Crema De Ayote 1/200 grs</v>
          </cell>
        </row>
        <row r="148">
          <cell r="C148" t="str">
            <v>PTL00029</v>
          </cell>
          <cell r="D148" t="str">
            <v>Aderezo Alcapa y Anchoas 1/240 grs</v>
          </cell>
        </row>
        <row r="149">
          <cell r="C149" t="str">
            <v>PTL00030</v>
          </cell>
          <cell r="D149" t="str">
            <v>Pollo Desmenuzado 1/160 grs</v>
          </cell>
        </row>
        <row r="150">
          <cell r="C150" t="str">
            <v>PTL00031</v>
          </cell>
          <cell r="D150" t="str">
            <v>Queso Parmesano 1/150 grs</v>
          </cell>
        </row>
        <row r="151">
          <cell r="C151" t="str">
            <v>PTL00032</v>
          </cell>
          <cell r="D151" t="str">
            <v>Salsa Limon y Alcapa 1/120 grs</v>
          </cell>
        </row>
        <row r="152">
          <cell r="C152" t="str">
            <v>PTL00033</v>
          </cell>
          <cell r="D152" t="str">
            <v>Chaoming 1/30 grs</v>
          </cell>
        </row>
        <row r="153">
          <cell r="C153" t="str">
            <v>PTL00034</v>
          </cell>
          <cell r="D153" t="str">
            <v>Quinoa Blanca 1/100 grs</v>
          </cell>
        </row>
        <row r="154">
          <cell r="C154" t="str">
            <v>PTL00035</v>
          </cell>
          <cell r="D154" t="str">
            <v>Frijoles Negros Casadito 1/520 grs</v>
          </cell>
        </row>
        <row r="155">
          <cell r="C155" t="str">
            <v>PTL00037</v>
          </cell>
          <cell r="D155" t="str">
            <v>Arroz C/Pollo 1/550 grs</v>
          </cell>
        </row>
        <row r="156">
          <cell r="C156" t="str">
            <v>PTL00038</v>
          </cell>
          <cell r="D156" t="str">
            <v>Tarta De Almendra 1/4 und</v>
          </cell>
        </row>
        <row r="157">
          <cell r="C157" t="str">
            <v>PTL00039</v>
          </cell>
          <cell r="D157" t="str">
            <v>Pechuga Parrilla Cruda Unidad</v>
          </cell>
        </row>
        <row r="158">
          <cell r="C158" t="str">
            <v>PTL00040</v>
          </cell>
          <cell r="D158" t="str">
            <v>Canelones Pollo y Espin 1/6 porc</v>
          </cell>
        </row>
        <row r="159">
          <cell r="C159" t="str">
            <v>PTL00041</v>
          </cell>
          <cell r="D159" t="str">
            <v>Aderezo Rosado  1/1 Kg</v>
          </cell>
        </row>
        <row r="160">
          <cell r="C160" t="str">
            <v>PTL00042</v>
          </cell>
          <cell r="D160" t="str">
            <v>Mayonesa Spoon 1/1 Kg</v>
          </cell>
        </row>
        <row r="161">
          <cell r="C161" t="str">
            <v>PTL00043</v>
          </cell>
          <cell r="D161" t="str">
            <v>Empaque Salsa De Culantro 1/200 grs</v>
          </cell>
        </row>
        <row r="162">
          <cell r="C162" t="str">
            <v>PTL00044</v>
          </cell>
          <cell r="D162" t="str">
            <v>Salsa Pomodoro 1/210 grs</v>
          </cell>
        </row>
        <row r="163">
          <cell r="C163" t="str">
            <v>PTL00045</v>
          </cell>
          <cell r="D163" t="str">
            <v>Aderezo Oriental 1/240 grs</v>
          </cell>
        </row>
        <row r="164">
          <cell r="C164" t="str">
            <v>PTL00046</v>
          </cell>
          <cell r="D164" t="str">
            <v>Relleno Pollo Enchilad Mex. 1/180 grs</v>
          </cell>
        </row>
        <row r="165">
          <cell r="C165" t="str">
            <v>PTL00047</v>
          </cell>
          <cell r="D165" t="str">
            <v>Salsa Roja Mexica 1/240 grs</v>
          </cell>
        </row>
        <row r="166">
          <cell r="C166" t="str">
            <v>PTL00048</v>
          </cell>
          <cell r="D166" t="str">
            <v>Limon En Polvo 1/200 grs</v>
          </cell>
        </row>
        <row r="167">
          <cell r="C167" t="str">
            <v>PTL00049</v>
          </cell>
          <cell r="D167" t="str">
            <v>Salsa P/Pechugas Rellenas 1/130 grs</v>
          </cell>
        </row>
        <row r="168">
          <cell r="C168" t="str">
            <v>PTL00050</v>
          </cell>
          <cell r="D168" t="str">
            <v>Chili Con Carne 1/200 grs</v>
          </cell>
        </row>
        <row r="169">
          <cell r="C169" t="str">
            <v>PTL00051</v>
          </cell>
          <cell r="D169" t="str">
            <v>Picadillo De Chayote 1/320 grs</v>
          </cell>
        </row>
        <row r="170">
          <cell r="C170" t="str">
            <v>PTL00052</v>
          </cell>
          <cell r="D170" t="str">
            <v>Extracto De Te Spoon 1/1 Kg</v>
          </cell>
        </row>
        <row r="171">
          <cell r="C171" t="str">
            <v>PTL00056</v>
          </cell>
          <cell r="D171" t="str">
            <v>Turron De Almendra 1/6 porc</v>
          </cell>
        </row>
        <row r="172">
          <cell r="C172" t="str">
            <v>PTL00060</v>
          </cell>
          <cell r="D172" t="str">
            <v>Torta Mitad Y Mitad Spoon</v>
          </cell>
        </row>
        <row r="173">
          <cell r="C173" t="str">
            <v>PTL00061</v>
          </cell>
          <cell r="D173" t="str">
            <v>Brownie De Chocomenta 1/6 und</v>
          </cell>
        </row>
        <row r="174">
          <cell r="C174" t="str">
            <v>PTL00062</v>
          </cell>
          <cell r="D174" t="str">
            <v>Brownie Blondie 1/6 und</v>
          </cell>
        </row>
        <row r="175">
          <cell r="C175" t="str">
            <v>PTL00064</v>
          </cell>
          <cell r="D175" t="str">
            <v>Torta Kalua Dia Del Padre</v>
          </cell>
        </row>
        <row r="176">
          <cell r="C176" t="str">
            <v>PTL00069</v>
          </cell>
          <cell r="D176" t="str">
            <v>Media Luna Chocolate Dark 1/100 grs</v>
          </cell>
        </row>
        <row r="177">
          <cell r="C177" t="str">
            <v>PTL00070</v>
          </cell>
          <cell r="D177" t="str">
            <v>Media Luna Chocolate Leche 1/100 grs</v>
          </cell>
        </row>
        <row r="178">
          <cell r="C178" t="str">
            <v>PTL00071</v>
          </cell>
          <cell r="D178" t="str">
            <v>Palitos De Queso 1/70 grs</v>
          </cell>
        </row>
        <row r="179">
          <cell r="C179" t="str">
            <v>PTL00072</v>
          </cell>
          <cell r="D179" t="str">
            <v>Orejitas 1/70 grs</v>
          </cell>
        </row>
        <row r="180">
          <cell r="C180" t="str">
            <v>PTL00074</v>
          </cell>
          <cell r="D180" t="str">
            <v>Sombrero De Palmito 1/6 und</v>
          </cell>
        </row>
        <row r="181">
          <cell r="C181" t="str">
            <v>PTL00075</v>
          </cell>
          <cell r="D181" t="str">
            <v>Canasta P/Tartaleta 1/12 und</v>
          </cell>
        </row>
        <row r="182">
          <cell r="C182" t="str">
            <v>PTL00077</v>
          </cell>
          <cell r="D182" t="str">
            <v>Galleta P/ Chilena Peq 14 Cm</v>
          </cell>
        </row>
        <row r="183">
          <cell r="C183" t="str">
            <v>PTL00079</v>
          </cell>
          <cell r="D183" t="str">
            <v>Enchilada Papa y Carne 1/4 und</v>
          </cell>
        </row>
        <row r="184">
          <cell r="C184" t="str">
            <v>PTL00080</v>
          </cell>
          <cell r="D184" t="str">
            <v>Empanada Pollo y Hongos 1/4 und</v>
          </cell>
        </row>
        <row r="185">
          <cell r="C185" t="str">
            <v>PTL00081</v>
          </cell>
          <cell r="D185" t="str">
            <v>Galleta Alfajor Flor 1/42 und</v>
          </cell>
        </row>
        <row r="186">
          <cell r="C186" t="str">
            <v>PTL00082</v>
          </cell>
          <cell r="D186" t="str">
            <v>Muffin De Banano 1/6 und</v>
          </cell>
        </row>
        <row r="187">
          <cell r="C187" t="str">
            <v>PTL00083</v>
          </cell>
          <cell r="D187" t="str">
            <v>Empanada De Palmito 1/6 und</v>
          </cell>
        </row>
        <row r="188">
          <cell r="C188" t="str">
            <v>PTL00084</v>
          </cell>
          <cell r="D188" t="str">
            <v>Fideos Fritos Ensalada 1/10 grs</v>
          </cell>
        </row>
        <row r="189">
          <cell r="C189" t="str">
            <v>PTL00085</v>
          </cell>
          <cell r="D189" t="str">
            <v>Pollo Culantro Para Taco 1/180 grs</v>
          </cell>
        </row>
        <row r="190">
          <cell r="C190" t="str">
            <v>PTL00086</v>
          </cell>
          <cell r="D190" t="str">
            <v>Pasta Para Coditos 1/300 grs</v>
          </cell>
        </row>
        <row r="191">
          <cell r="C191" t="str">
            <v>PTL00087</v>
          </cell>
          <cell r="D191" t="str">
            <v>Salsa De Queso 1/100 grs</v>
          </cell>
        </row>
        <row r="192">
          <cell r="C192" t="str">
            <v>PTL00088</v>
          </cell>
          <cell r="D192" t="str">
            <v>Arrollado Leche Cond Peq 1/10 und</v>
          </cell>
        </row>
        <row r="193">
          <cell r="C193" t="str">
            <v>PTL00089</v>
          </cell>
          <cell r="D193" t="str">
            <v>Brownie De Chocolate  Rect. 1/6 und</v>
          </cell>
        </row>
        <row r="194">
          <cell r="C194" t="str">
            <v>PTL00090</v>
          </cell>
          <cell r="D194" t="str">
            <v>Mezcla Tres Leches 1/1200 ml</v>
          </cell>
        </row>
        <row r="195">
          <cell r="C195" t="str">
            <v>PTL00091</v>
          </cell>
          <cell r="D195" t="str">
            <v>Rosquete Leches 1/6 Porc.</v>
          </cell>
        </row>
        <row r="196">
          <cell r="C196" t="str">
            <v>PTL00092</v>
          </cell>
          <cell r="D196" t="str">
            <v>Flan De Coco Rect. 1500 grs 1/6 porc</v>
          </cell>
        </row>
        <row r="197">
          <cell r="C197" t="str">
            <v>PTL00093</v>
          </cell>
          <cell r="D197" t="str">
            <v>Base Cheese Cake Blanca 1/6 porc</v>
          </cell>
        </row>
        <row r="198">
          <cell r="C198" t="str">
            <v>PTL00094</v>
          </cell>
          <cell r="D198" t="str">
            <v>Relleno De Fresa 1/360 grs</v>
          </cell>
        </row>
        <row r="199">
          <cell r="C199" t="str">
            <v>PTL00095</v>
          </cell>
          <cell r="D199" t="str">
            <v>Postre Brownie&amp; Salty Caramel 1/6 porc</v>
          </cell>
        </row>
        <row r="200">
          <cell r="C200" t="str">
            <v>PTL00098</v>
          </cell>
          <cell r="D200" t="str">
            <v>Sopa Azteca 1/400 grs</v>
          </cell>
        </row>
        <row r="201">
          <cell r="C201" t="str">
            <v>PTL00099</v>
          </cell>
          <cell r="D201" t="str">
            <v>Pie De Limon 1/6 porc</v>
          </cell>
        </row>
        <row r="202">
          <cell r="C202" t="str">
            <v>PTL00100</v>
          </cell>
          <cell r="D202" t="str">
            <v>Flan Tres Leches Mini 1/5 porc</v>
          </cell>
        </row>
        <row r="203">
          <cell r="C203" t="str">
            <v>PTL00102</v>
          </cell>
          <cell r="D203" t="str">
            <v>Torta Chocolate Red. 1/8 porc</v>
          </cell>
        </row>
        <row r="204">
          <cell r="C204" t="str">
            <v>PTL00104</v>
          </cell>
          <cell r="D204" t="str">
            <v>Galletas Torta Chilena Gde 1/7 Galletas</v>
          </cell>
        </row>
        <row r="205">
          <cell r="C205" t="str">
            <v>PTL00106</v>
          </cell>
          <cell r="D205" t="str">
            <v>Torta Caramelo Pequeña Spoon</v>
          </cell>
        </row>
        <row r="206">
          <cell r="C206" t="str">
            <v>PTL00107</v>
          </cell>
          <cell r="D206" t="str">
            <v xml:space="preserve">Torta Caramelo Med Spoon </v>
          </cell>
        </row>
        <row r="207">
          <cell r="C207" t="str">
            <v>PTL00108</v>
          </cell>
          <cell r="D207" t="str">
            <v>Torta Chocofresa Gde 1/8 porc</v>
          </cell>
        </row>
        <row r="208">
          <cell r="C208" t="str">
            <v>PTL00109</v>
          </cell>
          <cell r="D208" t="str">
            <v>Torta Melocoton Gde 1/8 porc</v>
          </cell>
        </row>
        <row r="209">
          <cell r="C209" t="str">
            <v>PTL00111</v>
          </cell>
          <cell r="D209" t="str">
            <v>Torta Chocofresa Pequeña</v>
          </cell>
        </row>
        <row r="210">
          <cell r="C210" t="str">
            <v>PTL00112</v>
          </cell>
          <cell r="D210" t="str">
            <v>Torta Chocolate Pequeña</v>
          </cell>
        </row>
        <row r="211">
          <cell r="C211" t="str">
            <v>PTL00113</v>
          </cell>
          <cell r="D211" t="str">
            <v>Mini Torta Melocoton Redonda</v>
          </cell>
        </row>
        <row r="212">
          <cell r="C212" t="str">
            <v>PTL00114</v>
          </cell>
          <cell r="D212" t="str">
            <v>Cocaditas 1/8 und</v>
          </cell>
        </row>
        <row r="213">
          <cell r="C213" t="str">
            <v>PTL00115</v>
          </cell>
          <cell r="D213" t="str">
            <v>Costillas Sin Relleno 1/6 und</v>
          </cell>
        </row>
        <row r="214">
          <cell r="C214" t="str">
            <v>PTL00116</v>
          </cell>
          <cell r="D214" t="str">
            <v>Laminas P/ Mil Hojas 1/5 und</v>
          </cell>
        </row>
        <row r="215">
          <cell r="C215" t="str">
            <v>PTL00117</v>
          </cell>
          <cell r="D215" t="str">
            <v>Arreglado 1/2 und</v>
          </cell>
        </row>
        <row r="216">
          <cell r="C216" t="str">
            <v>PTL00118</v>
          </cell>
          <cell r="D216" t="str">
            <v>Empanada Pollo Pequeña 1/6 und</v>
          </cell>
        </row>
        <row r="217">
          <cell r="C217" t="str">
            <v>PTL00119</v>
          </cell>
          <cell r="D217" t="str">
            <v>Empanada Pollo Grande 1/10 und</v>
          </cell>
        </row>
        <row r="218">
          <cell r="C218" t="str">
            <v>PTL00120</v>
          </cell>
          <cell r="D218" t="str">
            <v>Canastita S/ Relleno 1/12 und</v>
          </cell>
        </row>
        <row r="219">
          <cell r="C219" t="str">
            <v>PTL00121</v>
          </cell>
          <cell r="D219" t="str">
            <v>Galleta P/Cafe 1/40 und</v>
          </cell>
        </row>
        <row r="220">
          <cell r="C220" t="str">
            <v>PTL00122</v>
          </cell>
          <cell r="D220" t="str">
            <v>Empanadita Tres Quesos 1/6 und</v>
          </cell>
        </row>
        <row r="221">
          <cell r="C221" t="str">
            <v>PTL00123</v>
          </cell>
          <cell r="D221" t="str">
            <v>Lasagna De Pollo 1/6 porc</v>
          </cell>
        </row>
        <row r="222">
          <cell r="C222" t="str">
            <v>PTL00125</v>
          </cell>
          <cell r="D222" t="str">
            <v>Almendras Tajadas 1/500 grs</v>
          </cell>
        </row>
        <row r="223">
          <cell r="C223" t="str">
            <v>PTL00140</v>
          </cell>
          <cell r="D223" t="str">
            <v>Leche Condensada Cocinada 1/48 und</v>
          </cell>
        </row>
        <row r="224">
          <cell r="C224" t="str">
            <v>PTL00141</v>
          </cell>
          <cell r="D224" t="str">
            <v xml:space="preserve">Queque de chocolate escaneado rectangular </v>
          </cell>
        </row>
        <row r="225">
          <cell r="C225" t="str">
            <v>PTL00142</v>
          </cell>
          <cell r="D225" t="str">
            <v>Brillo Mirroir 500 grs</v>
          </cell>
        </row>
        <row r="226">
          <cell r="C226" t="str">
            <v>PTL00143</v>
          </cell>
          <cell r="D226" t="str">
            <v>Chowder de pollo 200 g</v>
          </cell>
        </row>
        <row r="227">
          <cell r="C227" t="str">
            <v>PTL00144</v>
          </cell>
          <cell r="D227" t="str">
            <v>Crema de tomate 200 g</v>
          </cell>
        </row>
        <row r="228">
          <cell r="C228" t="str">
            <v>PTL00145</v>
          </cell>
          <cell r="D228" t="str">
            <v>Pure de Camote 240 g</v>
          </cell>
        </row>
        <row r="229">
          <cell r="C229" t="str">
            <v>PTL00146</v>
          </cell>
          <cell r="D229" t="str">
            <v>Empaque Lomo navideño 205 g</v>
          </cell>
        </row>
        <row r="230">
          <cell r="C230" t="str">
            <v>PTL00147</v>
          </cell>
          <cell r="D230" t="str">
            <v>Empaque pollo navideño 225 g</v>
          </cell>
        </row>
        <row r="231">
          <cell r="C231" t="str">
            <v>PTL00148</v>
          </cell>
          <cell r="D231" t="str">
            <v>Alfajor Figura 1/36 und</v>
          </cell>
        </row>
        <row r="232">
          <cell r="C232" t="str">
            <v>PTL00149</v>
          </cell>
          <cell r="D232" t="str">
            <v>Frosting de Queso</v>
          </cell>
        </row>
        <row r="233">
          <cell r="C233" t="str">
            <v>PTL00150</v>
          </cell>
          <cell r="D233" t="str">
            <v xml:space="preserve">Queque Seco Zanahoria Porcion </v>
          </cell>
        </row>
        <row r="234">
          <cell r="C234" t="str">
            <v>PTL00151</v>
          </cell>
          <cell r="D234" t="str">
            <v xml:space="preserve">Pie Brownie Maracuya </v>
          </cell>
        </row>
        <row r="235">
          <cell r="C235" t="str">
            <v>PTL00152</v>
          </cell>
          <cell r="D235" t="str">
            <v>Queque Navideño Grande 700 g</v>
          </cell>
        </row>
        <row r="236">
          <cell r="C236" t="str">
            <v>PTL00153</v>
          </cell>
          <cell r="D236" t="str">
            <v>Kit Alfajor  Figr Armar  Casa (CJ:12 UND)</v>
          </cell>
        </row>
        <row r="237">
          <cell r="C237" t="str">
            <v>PTL00154</v>
          </cell>
          <cell r="D237" t="str">
            <v xml:space="preserve">Empaque Muffin de Elote </v>
          </cell>
        </row>
        <row r="238">
          <cell r="C238" t="str">
            <v>PTL00155</v>
          </cell>
          <cell r="D238" t="str">
            <v>Mousse de Chocolate Oscuro y Crumble de Pecanas</v>
          </cell>
        </row>
        <row r="239">
          <cell r="C239" t="str">
            <v>PTL00156</v>
          </cell>
          <cell r="D239" t="str">
            <v xml:space="preserve">Tamal de pollo </v>
          </cell>
        </row>
        <row r="240">
          <cell r="C240" t="str">
            <v>PTL00157</v>
          </cell>
          <cell r="D240" t="str">
            <v xml:space="preserve">Torta Rossana Locales </v>
          </cell>
        </row>
        <row r="241">
          <cell r="C241" t="str">
            <v>PTL00158</v>
          </cell>
          <cell r="D241" t="str">
            <v xml:space="preserve">Empaque Tamales de Cerdo </v>
          </cell>
        </row>
        <row r="242">
          <cell r="C242" t="str">
            <v>PTL00159</v>
          </cell>
          <cell r="D242" t="str">
            <v xml:space="preserve">Empaque Brittle Pecanas </v>
          </cell>
        </row>
        <row r="243">
          <cell r="C243" t="str">
            <v>PTL00160</v>
          </cell>
          <cell r="D243" t="str">
            <v xml:space="preserve">Empaque Queque Navideño Grande 700g Para Porcionar </v>
          </cell>
        </row>
        <row r="244">
          <cell r="C244" t="str">
            <v>PTL00161</v>
          </cell>
          <cell r="D244" t="str">
            <v xml:space="preserve">Empaque Icing Blanco QQ Navidad </v>
          </cell>
        </row>
        <row r="245">
          <cell r="C245" t="str">
            <v>PTL00162</v>
          </cell>
          <cell r="D245" t="str">
            <v>Empaque Queque Navideño Mediano 400g Spoon Caja</v>
          </cell>
        </row>
        <row r="246">
          <cell r="C246" t="str">
            <v>PTL00163</v>
          </cell>
          <cell r="D246" t="str">
            <v xml:space="preserve">Empaque Queque Navideño Mediano 400g Spoon Caja Industria </v>
          </cell>
        </row>
        <row r="247">
          <cell r="C247" t="str">
            <v>PTL00164</v>
          </cell>
          <cell r="D247" t="str">
            <v xml:space="preserve">Porcion QQ seco con pasas 1 /7 porciones </v>
          </cell>
        </row>
        <row r="248">
          <cell r="C248" t="str">
            <v>PTI00153</v>
          </cell>
          <cell r="D248" t="str">
            <v>Selva Negra 4 porciones KFC</v>
          </cell>
        </row>
        <row r="249">
          <cell r="C249" t="str">
            <v>PTI00154</v>
          </cell>
          <cell r="D249" t="str">
            <v>Tres Leches Chocolate Bandeja Aluminio Bucca</v>
          </cell>
        </row>
        <row r="250">
          <cell r="C250" t="str">
            <v>PTI00155</v>
          </cell>
          <cell r="D250" t="str">
            <v xml:space="preserve">Postre Triple Chocolate Bucca </v>
          </cell>
        </row>
        <row r="251">
          <cell r="C251" t="str">
            <v>PTI00156</v>
          </cell>
          <cell r="D251" t="str">
            <v>Torta Baileys Mediana</v>
          </cell>
        </row>
        <row r="252">
          <cell r="C252" t="str">
            <v>PTI00157</v>
          </cell>
          <cell r="D252" t="str">
            <v>Torta de Kalua Grande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2DD3-20E7-4FFE-9CC1-CC44AE919F86}">
  <dimension ref="A1:M47"/>
  <sheetViews>
    <sheetView topLeftCell="A5" zoomScaleNormal="100" workbookViewId="0">
      <selection activeCell="B18" sqref="B18"/>
    </sheetView>
  </sheetViews>
  <sheetFormatPr baseColWidth="10" defaultColWidth="11.42578125" defaultRowHeight="12.75" x14ac:dyDescent="0.2"/>
  <cols>
    <col min="1" max="1" width="16.28515625" style="1" customWidth="1"/>
    <col min="2" max="2" width="24.5703125" style="1" customWidth="1"/>
    <col min="3" max="3" width="40.5703125" style="1" customWidth="1"/>
    <col min="4" max="4" width="18.5703125" style="1" customWidth="1"/>
    <col min="5" max="5" width="11.42578125" style="1"/>
    <col min="6" max="6" width="13.28515625" style="1" customWidth="1"/>
    <col min="7" max="7" width="12.5703125" style="1" customWidth="1"/>
    <col min="8" max="8" width="15.5703125" style="1" customWidth="1"/>
    <col min="9" max="9" width="16" style="1" customWidth="1"/>
    <col min="10" max="16384" width="11.42578125" style="1"/>
  </cols>
  <sheetData>
    <row r="1" spans="1:9" ht="15.75" x14ac:dyDescent="0.25">
      <c r="A1" s="240"/>
      <c r="B1" s="92"/>
      <c r="C1" s="251" t="s">
        <v>22</v>
      </c>
      <c r="D1" s="252"/>
      <c r="E1" s="252"/>
      <c r="F1" s="252"/>
      <c r="G1" s="252"/>
      <c r="H1" s="4" t="s">
        <v>21</v>
      </c>
      <c r="I1" s="5"/>
    </row>
    <row r="2" spans="1:9" ht="16.5" thickBot="1" x14ac:dyDescent="0.3">
      <c r="A2" s="241"/>
      <c r="B2" s="93"/>
      <c r="C2" s="253" t="s">
        <v>0</v>
      </c>
      <c r="D2" s="254"/>
      <c r="E2" s="254"/>
      <c r="F2" s="254"/>
      <c r="G2" s="254"/>
      <c r="H2" s="6" t="s">
        <v>20</v>
      </c>
      <c r="I2" s="7"/>
    </row>
    <row r="3" spans="1:9" ht="50.1" customHeight="1" thickBot="1" x14ac:dyDescent="0.3">
      <c r="A3" s="241"/>
      <c r="B3" s="94"/>
      <c r="C3" s="255" t="s">
        <v>115</v>
      </c>
      <c r="D3" s="256"/>
      <c r="E3" s="256"/>
      <c r="F3" s="256"/>
      <c r="G3" s="257"/>
      <c r="H3" s="258" t="s">
        <v>19</v>
      </c>
      <c r="I3" s="246"/>
    </row>
    <row r="4" spans="1:9" ht="13.5" x14ac:dyDescent="0.25">
      <c r="A4" s="241"/>
      <c r="B4" s="93"/>
      <c r="C4" s="8" t="s">
        <v>18</v>
      </c>
      <c r="D4" s="243" t="s">
        <v>26</v>
      </c>
      <c r="E4" s="244"/>
      <c r="F4" s="244"/>
      <c r="G4" s="245"/>
      <c r="H4" s="259"/>
      <c r="I4" s="247"/>
    </row>
    <row r="5" spans="1:9" ht="15" customHeight="1" thickBot="1" x14ac:dyDescent="0.3">
      <c r="A5" s="242"/>
      <c r="B5" s="93"/>
      <c r="C5" s="9" t="s">
        <v>17</v>
      </c>
      <c r="D5" s="248" t="s">
        <v>27</v>
      </c>
      <c r="E5" s="249"/>
      <c r="F5" s="249"/>
      <c r="G5" s="250"/>
      <c r="H5" s="260"/>
      <c r="I5" s="247"/>
    </row>
    <row r="6" spans="1:9" ht="28.9" customHeight="1" x14ac:dyDescent="0.2">
      <c r="A6" s="238" t="s">
        <v>1</v>
      </c>
      <c r="B6" s="198" t="s">
        <v>116</v>
      </c>
      <c r="C6" s="261" t="s">
        <v>2</v>
      </c>
      <c r="D6" s="261" t="s">
        <v>3</v>
      </c>
      <c r="E6" s="261" t="s">
        <v>4</v>
      </c>
      <c r="F6" s="261"/>
      <c r="G6" s="261" t="s">
        <v>16</v>
      </c>
      <c r="H6" s="261"/>
      <c r="I6" s="10" t="s">
        <v>5</v>
      </c>
    </row>
    <row r="7" spans="1:9" ht="27.6" customHeight="1" thickBot="1" x14ac:dyDescent="0.25">
      <c r="A7" s="239"/>
      <c r="B7" s="263"/>
      <c r="C7" s="262"/>
      <c r="D7" s="262"/>
      <c r="E7" s="11" t="s">
        <v>6</v>
      </c>
      <c r="F7" s="12" t="s">
        <v>7</v>
      </c>
      <c r="G7" s="11" t="s">
        <v>6</v>
      </c>
      <c r="H7" s="12" t="s">
        <v>7</v>
      </c>
      <c r="I7" s="13" t="s">
        <v>8</v>
      </c>
    </row>
    <row r="8" spans="1:9" ht="14.25" thickBot="1" x14ac:dyDescent="0.3">
      <c r="A8" s="14"/>
      <c r="B8" s="95"/>
      <c r="C8" s="15" t="s">
        <v>28</v>
      </c>
      <c r="D8" s="16"/>
      <c r="E8" s="17"/>
      <c r="F8" s="17"/>
      <c r="G8" s="18"/>
      <c r="H8" s="17"/>
      <c r="I8" s="19"/>
    </row>
    <row r="9" spans="1:9" ht="13.5" x14ac:dyDescent="0.25">
      <c r="A9" s="20">
        <v>907000310</v>
      </c>
      <c r="B9" s="96" t="s">
        <v>117</v>
      </c>
      <c r="C9" s="21" t="s">
        <v>29</v>
      </c>
      <c r="D9" s="22" t="s">
        <v>30</v>
      </c>
      <c r="E9" s="23">
        <v>418</v>
      </c>
      <c r="F9" s="24" t="s">
        <v>23</v>
      </c>
      <c r="G9" s="186" t="s">
        <v>31</v>
      </c>
      <c r="H9" s="186"/>
      <c r="I9" s="26"/>
    </row>
    <row r="10" spans="1:9" ht="13.5" x14ac:dyDescent="0.25">
      <c r="A10" s="27" t="s">
        <v>32</v>
      </c>
      <c r="B10" s="97" t="s">
        <v>118</v>
      </c>
      <c r="C10" s="28" t="s">
        <v>33</v>
      </c>
      <c r="D10" s="29" t="s">
        <v>30</v>
      </c>
      <c r="E10" s="25">
        <v>240</v>
      </c>
      <c r="F10" s="30" t="s">
        <v>23</v>
      </c>
      <c r="G10" s="186" t="s">
        <v>34</v>
      </c>
      <c r="H10" s="186"/>
      <c r="I10" s="26"/>
    </row>
    <row r="11" spans="1:9" ht="13.5" x14ac:dyDescent="0.25">
      <c r="A11" s="27" t="s">
        <v>83</v>
      </c>
      <c r="B11" s="97" t="s">
        <v>119</v>
      </c>
      <c r="C11" s="28" t="s">
        <v>35</v>
      </c>
      <c r="D11" s="29" t="s">
        <v>30</v>
      </c>
      <c r="E11" s="25">
        <v>400</v>
      </c>
      <c r="F11" s="30" t="s">
        <v>23</v>
      </c>
      <c r="G11" s="186"/>
      <c r="H11" s="186"/>
      <c r="I11" s="26"/>
    </row>
    <row r="12" spans="1:9" ht="13.5" x14ac:dyDescent="0.25">
      <c r="A12" s="27" t="s">
        <v>36</v>
      </c>
      <c r="B12" s="97" t="s">
        <v>118</v>
      </c>
      <c r="C12" s="28" t="s">
        <v>37</v>
      </c>
      <c r="D12" s="29" t="s">
        <v>30</v>
      </c>
      <c r="E12" s="25">
        <v>150</v>
      </c>
      <c r="F12" s="30" t="s">
        <v>23</v>
      </c>
      <c r="G12" s="186" t="s">
        <v>38</v>
      </c>
      <c r="H12" s="186"/>
      <c r="I12" s="26"/>
    </row>
    <row r="13" spans="1:9" ht="14.25" thickBot="1" x14ac:dyDescent="0.3">
      <c r="A13" s="27"/>
      <c r="B13" s="98"/>
      <c r="C13" s="31"/>
      <c r="D13" s="29"/>
      <c r="E13" s="25"/>
      <c r="F13" s="30"/>
      <c r="G13" s="25"/>
      <c r="H13" s="32"/>
      <c r="I13" s="26"/>
    </row>
    <row r="14" spans="1:9" ht="14.25" thickBot="1" x14ac:dyDescent="0.3">
      <c r="A14" s="33"/>
      <c r="B14" s="99"/>
      <c r="C14" s="15" t="s">
        <v>39</v>
      </c>
      <c r="D14" s="34"/>
      <c r="E14" s="25"/>
      <c r="F14" s="30"/>
      <c r="G14" s="25"/>
      <c r="H14" s="32"/>
      <c r="I14" s="26"/>
    </row>
    <row r="15" spans="1:9" ht="13.5" x14ac:dyDescent="0.25">
      <c r="A15" s="27" t="s">
        <v>84</v>
      </c>
      <c r="B15" s="100" t="s">
        <v>120</v>
      </c>
      <c r="C15" s="35" t="s">
        <v>40</v>
      </c>
      <c r="D15" s="32" t="s">
        <v>30</v>
      </c>
      <c r="E15" s="36">
        <v>200</v>
      </c>
      <c r="F15" s="30" t="s">
        <v>23</v>
      </c>
      <c r="G15" s="25"/>
      <c r="H15" s="187" t="s">
        <v>41</v>
      </c>
      <c r="I15" s="188"/>
    </row>
    <row r="16" spans="1:9" ht="13.5" x14ac:dyDescent="0.25">
      <c r="A16" s="27" t="s">
        <v>36</v>
      </c>
      <c r="B16" s="97" t="s">
        <v>118</v>
      </c>
      <c r="C16" s="28" t="s">
        <v>37</v>
      </c>
      <c r="D16" s="29" t="s">
        <v>30</v>
      </c>
      <c r="E16" s="25">
        <v>60</v>
      </c>
      <c r="F16" s="30" t="s">
        <v>23</v>
      </c>
      <c r="G16" s="37"/>
      <c r="H16" s="186" t="s">
        <v>42</v>
      </c>
      <c r="I16" s="208"/>
    </row>
    <row r="17" spans="1:13" ht="13.5" x14ac:dyDescent="0.25">
      <c r="A17" s="27" t="s">
        <v>43</v>
      </c>
      <c r="B17" s="97" t="s">
        <v>121</v>
      </c>
      <c r="C17" s="38" t="s">
        <v>44</v>
      </c>
      <c r="D17" s="29" t="s">
        <v>30</v>
      </c>
      <c r="E17" s="25">
        <v>70</v>
      </c>
      <c r="F17" s="30" t="s">
        <v>23</v>
      </c>
      <c r="G17" s="25"/>
      <c r="H17" s="32"/>
      <c r="I17" s="26"/>
    </row>
    <row r="18" spans="1:13" ht="13.5" x14ac:dyDescent="0.25">
      <c r="A18" s="39" t="s">
        <v>45</v>
      </c>
      <c r="B18" s="39" t="s">
        <v>122</v>
      </c>
      <c r="C18" s="38" t="s">
        <v>46</v>
      </c>
      <c r="D18" s="29" t="s">
        <v>47</v>
      </c>
      <c r="E18" s="25">
        <v>2</v>
      </c>
      <c r="F18" s="30" t="s">
        <v>15</v>
      </c>
      <c r="G18" s="25"/>
      <c r="H18" s="32"/>
      <c r="I18" s="26"/>
    </row>
    <row r="19" spans="1:13" ht="13.5" x14ac:dyDescent="0.25">
      <c r="A19" s="27" t="s">
        <v>85</v>
      </c>
      <c r="B19" s="97" t="s">
        <v>123</v>
      </c>
      <c r="C19" s="28" t="s">
        <v>48</v>
      </c>
      <c r="D19" s="29" t="s">
        <v>49</v>
      </c>
      <c r="E19" s="40">
        <v>0.2</v>
      </c>
      <c r="F19" s="30" t="s">
        <v>23</v>
      </c>
      <c r="G19" s="25"/>
      <c r="H19" s="32"/>
      <c r="I19" s="26"/>
    </row>
    <row r="20" spans="1:13" ht="13.5" customHeight="1" x14ac:dyDescent="0.25">
      <c r="A20" s="27" t="s">
        <v>50</v>
      </c>
      <c r="B20" s="97" t="s">
        <v>118</v>
      </c>
      <c r="C20" s="28" t="s">
        <v>51</v>
      </c>
      <c r="D20" s="29" t="s">
        <v>52</v>
      </c>
      <c r="E20" s="25">
        <v>5</v>
      </c>
      <c r="F20" s="30" t="s">
        <v>23</v>
      </c>
      <c r="G20" s="25"/>
      <c r="H20" s="209" t="s">
        <v>53</v>
      </c>
      <c r="I20" s="210"/>
    </row>
    <row r="21" spans="1:13" ht="14.25" thickBot="1" x14ac:dyDescent="0.3">
      <c r="A21" s="27"/>
      <c r="B21" s="98"/>
      <c r="C21" s="31"/>
      <c r="D21" s="42"/>
      <c r="E21" s="25"/>
      <c r="F21" s="30"/>
      <c r="G21" s="25"/>
      <c r="H21" s="32"/>
      <c r="I21" s="26"/>
    </row>
    <row r="22" spans="1:13" ht="14.25" thickBot="1" x14ac:dyDescent="0.3">
      <c r="A22" s="33"/>
      <c r="B22" s="99"/>
      <c r="C22" s="43" t="s">
        <v>54</v>
      </c>
      <c r="D22" s="44"/>
      <c r="E22" s="25"/>
      <c r="F22" s="32"/>
      <c r="G22" s="25"/>
      <c r="H22" s="32"/>
      <c r="I22" s="26"/>
    </row>
    <row r="23" spans="1:13" ht="13.5" x14ac:dyDescent="0.25">
      <c r="A23" s="45" t="s">
        <v>55</v>
      </c>
      <c r="B23" s="101" t="s">
        <v>124</v>
      </c>
      <c r="C23" s="46" t="s">
        <v>56</v>
      </c>
      <c r="D23" s="32" t="s">
        <v>57</v>
      </c>
      <c r="E23" s="25">
        <v>1</v>
      </c>
      <c r="F23" s="30" t="s">
        <v>24</v>
      </c>
      <c r="G23" s="47"/>
      <c r="H23" s="32"/>
      <c r="I23" s="41"/>
    </row>
    <row r="24" spans="1:13" ht="13.5" x14ac:dyDescent="0.25">
      <c r="A24" s="27" t="s">
        <v>58</v>
      </c>
      <c r="B24" s="97" t="s">
        <v>125</v>
      </c>
      <c r="C24" s="48" t="s">
        <v>59</v>
      </c>
      <c r="D24" s="32" t="s">
        <v>60</v>
      </c>
      <c r="E24" s="25">
        <v>1</v>
      </c>
      <c r="F24" s="30" t="s">
        <v>24</v>
      </c>
      <c r="G24" s="47"/>
      <c r="H24" s="32"/>
      <c r="I24" s="41"/>
    </row>
    <row r="25" spans="1:13" ht="13.5" x14ac:dyDescent="0.25">
      <c r="A25" s="27" t="s">
        <v>61</v>
      </c>
      <c r="B25" s="97" t="s">
        <v>118</v>
      </c>
      <c r="C25" s="48" t="s">
        <v>62</v>
      </c>
      <c r="D25" s="32" t="s">
        <v>52</v>
      </c>
      <c r="E25" s="25">
        <v>60</v>
      </c>
      <c r="F25" s="30" t="s">
        <v>63</v>
      </c>
      <c r="G25" s="25"/>
      <c r="H25" s="32"/>
      <c r="I25" s="26"/>
      <c r="L25" s="2"/>
    </row>
    <row r="26" spans="1:13" ht="13.5" x14ac:dyDescent="0.25">
      <c r="A26" s="45" t="s">
        <v>64</v>
      </c>
      <c r="B26" s="34" t="s">
        <v>118</v>
      </c>
      <c r="C26" s="49" t="s">
        <v>65</v>
      </c>
      <c r="D26" s="29" t="s">
        <v>66</v>
      </c>
      <c r="E26" s="25">
        <v>1</v>
      </c>
      <c r="F26" s="32" t="s">
        <v>24</v>
      </c>
      <c r="G26" s="25"/>
      <c r="H26" s="32"/>
      <c r="I26" s="26"/>
      <c r="L26" s="2"/>
    </row>
    <row r="27" spans="1:13" ht="13.5" x14ac:dyDescent="0.25">
      <c r="A27" s="50">
        <v>701096</v>
      </c>
      <c r="B27" s="102" t="s">
        <v>126</v>
      </c>
      <c r="C27" s="51" t="s">
        <v>67</v>
      </c>
      <c r="D27" s="22" t="s">
        <v>68</v>
      </c>
      <c r="E27" s="23">
        <v>1</v>
      </c>
      <c r="F27" s="24" t="s">
        <v>24</v>
      </c>
      <c r="G27" s="25"/>
      <c r="H27" s="32"/>
      <c r="I27" s="26"/>
      <c r="L27" s="2"/>
    </row>
    <row r="28" spans="1:13" ht="13.5" x14ac:dyDescent="0.25">
      <c r="A28" s="27"/>
      <c r="B28" s="97"/>
      <c r="C28" s="28"/>
      <c r="D28" s="32"/>
      <c r="E28" s="25"/>
      <c r="F28" s="30"/>
      <c r="G28" s="25"/>
      <c r="H28" s="32"/>
      <c r="I28" s="41"/>
      <c r="L28" s="2"/>
    </row>
    <row r="29" spans="1:13" ht="14.25" thickBot="1" x14ac:dyDescent="0.3">
      <c r="A29" s="52"/>
      <c r="B29" s="103"/>
      <c r="C29" s="53"/>
      <c r="D29" s="54"/>
      <c r="E29" s="55"/>
      <c r="F29" s="56"/>
      <c r="G29" s="55"/>
      <c r="H29" s="54"/>
      <c r="I29" s="57"/>
      <c r="L29" s="2"/>
      <c r="M29" s="3"/>
    </row>
    <row r="30" spans="1:13" ht="14.25" thickBot="1" x14ac:dyDescent="0.3">
      <c r="A30" s="58"/>
      <c r="B30" s="104"/>
      <c r="C30" s="59"/>
      <c r="D30" s="59"/>
      <c r="E30" s="60"/>
      <c r="F30" s="61"/>
      <c r="G30" s="59"/>
      <c r="H30" s="59"/>
      <c r="I30" s="62"/>
      <c r="L30" s="2"/>
    </row>
    <row r="31" spans="1:13" ht="14.25" thickBot="1" x14ac:dyDescent="0.3">
      <c r="A31" s="63"/>
      <c r="B31" s="105"/>
      <c r="C31" s="64"/>
      <c r="D31" s="65" t="s">
        <v>6</v>
      </c>
      <c r="E31" s="66" t="s">
        <v>15</v>
      </c>
      <c r="F31" s="67"/>
      <c r="G31" s="64"/>
      <c r="H31" s="64"/>
      <c r="I31" s="68"/>
    </row>
    <row r="32" spans="1:13" ht="13.5" x14ac:dyDescent="0.25">
      <c r="A32" s="211" t="s">
        <v>10</v>
      </c>
      <c r="B32" s="212"/>
      <c r="C32" s="213"/>
      <c r="D32" s="69">
        <f>SUM(E9:E20)-D36</f>
        <v>1450.2</v>
      </c>
      <c r="E32" s="70" t="s">
        <v>23</v>
      </c>
      <c r="F32" s="214" t="s">
        <v>69</v>
      </c>
      <c r="G32" s="214"/>
      <c r="H32" s="215"/>
      <c r="I32" s="216"/>
    </row>
    <row r="33" spans="1:9" ht="13.5" x14ac:dyDescent="0.25">
      <c r="A33" s="223" t="s">
        <v>9</v>
      </c>
      <c r="B33" s="224"/>
      <c r="C33" s="225"/>
      <c r="D33" s="32">
        <v>7</v>
      </c>
      <c r="E33" s="32" t="s">
        <v>25</v>
      </c>
      <c r="F33" s="226" t="s">
        <v>70</v>
      </c>
      <c r="G33" s="226"/>
      <c r="H33" s="230"/>
      <c r="I33" s="231"/>
    </row>
    <row r="34" spans="1:9" ht="13.5" x14ac:dyDescent="0.25">
      <c r="A34" s="223" t="s">
        <v>14</v>
      </c>
      <c r="B34" s="224"/>
      <c r="C34" s="225"/>
      <c r="D34" s="32">
        <v>1</v>
      </c>
      <c r="E34" s="32" t="s">
        <v>24</v>
      </c>
      <c r="F34" s="226" t="s">
        <v>71</v>
      </c>
      <c r="G34" s="226"/>
      <c r="H34" s="230"/>
      <c r="I34" s="231"/>
    </row>
    <row r="35" spans="1:9" ht="13.5" x14ac:dyDescent="0.25">
      <c r="A35" s="223" t="s">
        <v>13</v>
      </c>
      <c r="B35" s="224"/>
      <c r="C35" s="225"/>
      <c r="D35" s="25">
        <f>D32</f>
        <v>1450.2</v>
      </c>
      <c r="E35" s="32" t="s">
        <v>23</v>
      </c>
      <c r="F35" s="232" t="s">
        <v>72</v>
      </c>
      <c r="G35" s="233"/>
      <c r="H35" s="230"/>
      <c r="I35" s="231"/>
    </row>
    <row r="36" spans="1:9" ht="14.25" thickBot="1" x14ac:dyDescent="0.3">
      <c r="A36" s="234" t="s">
        <v>12</v>
      </c>
      <c r="B36" s="235"/>
      <c r="C36" s="236"/>
      <c r="D36" s="55">
        <f>95</f>
        <v>95</v>
      </c>
      <c r="E36" s="54" t="s">
        <v>23</v>
      </c>
      <c r="F36" s="237"/>
      <c r="G36" s="237"/>
      <c r="H36" s="184"/>
      <c r="I36" s="185"/>
    </row>
    <row r="37" spans="1:9" ht="13.5" thickBot="1" x14ac:dyDescent="0.25">
      <c r="A37" s="227" t="s">
        <v>11</v>
      </c>
      <c r="B37" s="228"/>
      <c r="C37" s="228"/>
      <c r="D37" s="228"/>
      <c r="E37" s="228"/>
      <c r="F37" s="228"/>
      <c r="G37" s="228"/>
      <c r="H37" s="228"/>
      <c r="I37" s="229"/>
    </row>
    <row r="38" spans="1:9" ht="16.5" customHeight="1" x14ac:dyDescent="0.25">
      <c r="A38" s="220" t="s">
        <v>73</v>
      </c>
      <c r="B38" s="221"/>
      <c r="C38" s="221"/>
      <c r="D38" s="221"/>
      <c r="E38" s="221"/>
      <c r="F38" s="221"/>
      <c r="G38" s="221"/>
      <c r="H38" s="221"/>
      <c r="I38" s="222"/>
    </row>
    <row r="39" spans="1:9" ht="16.5" customHeight="1" x14ac:dyDescent="0.25">
      <c r="A39" s="220" t="s">
        <v>74</v>
      </c>
      <c r="B39" s="221"/>
      <c r="C39" s="221"/>
      <c r="D39" s="221"/>
      <c r="E39" s="221"/>
      <c r="F39" s="221"/>
      <c r="G39" s="221"/>
      <c r="H39" s="221"/>
      <c r="I39" s="222"/>
    </row>
    <row r="40" spans="1:9" ht="16.5" customHeight="1" x14ac:dyDescent="0.25">
      <c r="A40" s="217" t="s">
        <v>75</v>
      </c>
      <c r="B40" s="218"/>
      <c r="C40" s="218"/>
      <c r="D40" s="218"/>
      <c r="E40" s="218"/>
      <c r="F40" s="218"/>
      <c r="G40" s="218"/>
      <c r="H40" s="218"/>
      <c r="I40" s="219"/>
    </row>
    <row r="41" spans="1:9" ht="14.25" thickBot="1" x14ac:dyDescent="0.3">
      <c r="A41" s="193" t="s">
        <v>82</v>
      </c>
      <c r="B41" s="194"/>
      <c r="C41" s="194"/>
      <c r="D41" s="194"/>
      <c r="E41" s="194"/>
      <c r="F41" s="194"/>
      <c r="G41" s="194"/>
      <c r="H41" s="194"/>
      <c r="I41" s="195"/>
    </row>
    <row r="42" spans="1:9" ht="13.5" thickBot="1" x14ac:dyDescent="0.25">
      <c r="A42" s="196" t="s">
        <v>76</v>
      </c>
      <c r="B42" s="197"/>
      <c r="C42" s="198"/>
      <c r="D42" s="198"/>
      <c r="E42" s="198"/>
      <c r="F42" s="198"/>
      <c r="G42" s="198"/>
      <c r="H42" s="198"/>
      <c r="I42" s="199"/>
    </row>
    <row r="43" spans="1:9" ht="13.5" x14ac:dyDescent="0.2">
      <c r="A43" s="200" t="s">
        <v>77</v>
      </c>
      <c r="B43" s="201"/>
      <c r="C43" s="202"/>
      <c r="D43" s="202"/>
      <c r="E43" s="202"/>
      <c r="F43" s="202"/>
      <c r="G43" s="202"/>
      <c r="H43" s="202"/>
      <c r="I43" s="203"/>
    </row>
    <row r="44" spans="1:9" ht="13.5" x14ac:dyDescent="0.2">
      <c r="A44" s="204" t="s">
        <v>78</v>
      </c>
      <c r="B44" s="205"/>
      <c r="C44" s="206"/>
      <c r="D44" s="206"/>
      <c r="E44" s="206"/>
      <c r="F44" s="206"/>
      <c r="G44" s="206"/>
      <c r="H44" s="206"/>
      <c r="I44" s="207"/>
    </row>
    <row r="45" spans="1:9" ht="13.5" x14ac:dyDescent="0.2">
      <c r="A45" s="204" t="s">
        <v>79</v>
      </c>
      <c r="B45" s="205"/>
      <c r="C45" s="206"/>
      <c r="D45" s="206"/>
      <c r="E45" s="206"/>
      <c r="F45" s="206"/>
      <c r="G45" s="206"/>
      <c r="H45" s="206"/>
      <c r="I45" s="207"/>
    </row>
    <row r="46" spans="1:9" ht="13.5" x14ac:dyDescent="0.2">
      <c r="A46" s="204" t="s">
        <v>80</v>
      </c>
      <c r="B46" s="205"/>
      <c r="C46" s="206"/>
      <c r="D46" s="206"/>
      <c r="E46" s="206"/>
      <c r="F46" s="206"/>
      <c r="G46" s="206"/>
      <c r="H46" s="206"/>
      <c r="I46" s="207"/>
    </row>
    <row r="47" spans="1:9" ht="14.25" thickBot="1" x14ac:dyDescent="0.25">
      <c r="A47" s="189" t="s">
        <v>81</v>
      </c>
      <c r="B47" s="190"/>
      <c r="C47" s="191"/>
      <c r="D47" s="191"/>
      <c r="E47" s="191"/>
      <c r="F47" s="191"/>
      <c r="G47" s="191"/>
      <c r="H47" s="191"/>
      <c r="I47" s="192"/>
    </row>
  </sheetData>
  <mergeCells count="47">
    <mergeCell ref="I3:I5"/>
    <mergeCell ref="D5:G5"/>
    <mergeCell ref="C1:G1"/>
    <mergeCell ref="C2:G2"/>
    <mergeCell ref="C3:G3"/>
    <mergeCell ref="H3:H5"/>
    <mergeCell ref="A36:C36"/>
    <mergeCell ref="F36:G36"/>
    <mergeCell ref="A6:A7"/>
    <mergeCell ref="A1:A5"/>
    <mergeCell ref="D4:G4"/>
    <mergeCell ref="C6:C7"/>
    <mergeCell ref="D6:D7"/>
    <mergeCell ref="E6:F6"/>
    <mergeCell ref="G6:H6"/>
    <mergeCell ref="B6:B7"/>
    <mergeCell ref="H33:I33"/>
    <mergeCell ref="A34:C34"/>
    <mergeCell ref="F34:G34"/>
    <mergeCell ref="H34:I34"/>
    <mergeCell ref="A35:C35"/>
    <mergeCell ref="F35:G35"/>
    <mergeCell ref="H35:I35"/>
    <mergeCell ref="G9:H9"/>
    <mergeCell ref="G10:H10"/>
    <mergeCell ref="H16:I16"/>
    <mergeCell ref="H20:I20"/>
    <mergeCell ref="A32:C32"/>
    <mergeCell ref="F32:G32"/>
    <mergeCell ref="H32:I32"/>
    <mergeCell ref="G11:H11"/>
    <mergeCell ref="H36:I36"/>
    <mergeCell ref="G12:H12"/>
    <mergeCell ref="H15:I15"/>
    <mergeCell ref="A47:I47"/>
    <mergeCell ref="A41:I41"/>
    <mergeCell ref="A42:I42"/>
    <mergeCell ref="A43:I43"/>
    <mergeCell ref="A44:I44"/>
    <mergeCell ref="A45:I45"/>
    <mergeCell ref="A46:I46"/>
    <mergeCell ref="A40:I40"/>
    <mergeCell ref="A38:I38"/>
    <mergeCell ref="A39:I39"/>
    <mergeCell ref="A33:C33"/>
    <mergeCell ref="F33:G33"/>
    <mergeCell ref="A37:I37"/>
  </mergeCells>
  <pageMargins left="0.15748031496063" right="0" top="0.98425196850393704" bottom="0.98425196850393704" header="0" footer="0"/>
  <pageSetup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B82C-79EA-41DD-A2F3-CBDA7590AB87}">
  <dimension ref="A1:I62"/>
  <sheetViews>
    <sheetView tabSelected="1" view="pageBreakPreview" zoomScale="60" zoomScaleNormal="70" workbookViewId="0">
      <selection activeCell="D10" sqref="D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288"/>
      <c r="B1" s="289"/>
      <c r="C1" s="252" t="s">
        <v>22</v>
      </c>
      <c r="D1" s="252"/>
      <c r="E1" s="252"/>
      <c r="F1" s="252"/>
      <c r="G1" s="252"/>
      <c r="H1" s="4" t="s">
        <v>21</v>
      </c>
      <c r="I1" s="5" t="s">
        <v>152</v>
      </c>
    </row>
    <row r="2" spans="1:9" ht="18" customHeight="1" thickBot="1" x14ac:dyDescent="0.3">
      <c r="A2" s="290"/>
      <c r="B2" s="291"/>
      <c r="C2" s="294" t="s">
        <v>0</v>
      </c>
      <c r="D2" s="295"/>
      <c r="E2" s="295"/>
      <c r="F2" s="295"/>
      <c r="G2" s="296"/>
      <c r="H2" s="6" t="s">
        <v>20</v>
      </c>
      <c r="I2" s="7" t="s">
        <v>114</v>
      </c>
    </row>
    <row r="3" spans="1:9" ht="31.5" customHeight="1" thickBot="1" x14ac:dyDescent="0.3">
      <c r="A3" s="290"/>
      <c r="B3" s="291"/>
      <c r="C3" s="297" t="s">
        <v>115</v>
      </c>
      <c r="D3" s="298"/>
      <c r="E3" s="298"/>
      <c r="F3" s="298"/>
      <c r="G3" s="299"/>
      <c r="H3" s="258" t="s">
        <v>19</v>
      </c>
      <c r="I3" s="246">
        <v>45663</v>
      </c>
    </row>
    <row r="4" spans="1:9" ht="18" customHeight="1" x14ac:dyDescent="0.25">
      <c r="A4" s="290"/>
      <c r="B4" s="291"/>
      <c r="C4" s="107" t="s">
        <v>18</v>
      </c>
      <c r="D4" s="243" t="s">
        <v>133</v>
      </c>
      <c r="E4" s="244"/>
      <c r="F4" s="244"/>
      <c r="G4" s="245"/>
      <c r="H4" s="259"/>
      <c r="I4" s="247"/>
    </row>
    <row r="5" spans="1:9" ht="14.25" thickBot="1" x14ac:dyDescent="0.3">
      <c r="A5" s="292"/>
      <c r="B5" s="293"/>
      <c r="C5" s="108" t="s">
        <v>17</v>
      </c>
      <c r="D5" s="248" t="s">
        <v>134</v>
      </c>
      <c r="E5" s="249"/>
      <c r="F5" s="249"/>
      <c r="G5" s="250"/>
      <c r="H5" s="260"/>
      <c r="I5" s="287"/>
    </row>
    <row r="6" spans="1:9" ht="18.75" thickBot="1" x14ac:dyDescent="0.3">
      <c r="A6" s="280" t="s">
        <v>135</v>
      </c>
      <c r="B6" s="280"/>
      <c r="C6" s="280"/>
      <c r="D6" s="281" t="s">
        <v>136</v>
      </c>
      <c r="E6" s="281"/>
      <c r="F6" s="281"/>
      <c r="G6" s="282" t="s">
        <v>137</v>
      </c>
      <c r="H6" s="282"/>
      <c r="I6" s="109" t="s">
        <v>138</v>
      </c>
    </row>
    <row r="7" spans="1:9" ht="25.5" x14ac:dyDescent="0.2">
      <c r="A7" s="238" t="s">
        <v>1</v>
      </c>
      <c r="B7" s="284" t="s">
        <v>139</v>
      </c>
      <c r="C7" s="261" t="s">
        <v>2</v>
      </c>
      <c r="D7" s="261" t="s">
        <v>3</v>
      </c>
      <c r="E7" s="261" t="s">
        <v>4</v>
      </c>
      <c r="F7" s="261"/>
      <c r="G7" s="261" t="s">
        <v>16</v>
      </c>
      <c r="H7" s="261"/>
      <c r="I7" s="10" t="s">
        <v>5</v>
      </c>
    </row>
    <row r="8" spans="1:9" ht="26.25" thickBot="1" x14ac:dyDescent="0.25">
      <c r="A8" s="283"/>
      <c r="B8" s="285"/>
      <c r="C8" s="286"/>
      <c r="D8" s="286"/>
      <c r="E8" s="110" t="s">
        <v>6</v>
      </c>
      <c r="F8" s="111" t="s">
        <v>7</v>
      </c>
      <c r="G8" s="110" t="s">
        <v>6</v>
      </c>
      <c r="H8" s="111" t="s">
        <v>7</v>
      </c>
      <c r="I8" s="112" t="s">
        <v>8</v>
      </c>
    </row>
    <row r="9" spans="1:9" ht="15" x14ac:dyDescent="0.25">
      <c r="A9" s="113"/>
      <c r="B9" s="114"/>
      <c r="C9" s="115" t="s">
        <v>140</v>
      </c>
      <c r="D9" s="116"/>
      <c r="E9" s="117"/>
      <c r="F9" s="118"/>
      <c r="G9" s="117"/>
      <c r="H9" s="118"/>
      <c r="I9" s="119"/>
    </row>
    <row r="10" spans="1:9" ht="18" customHeight="1" x14ac:dyDescent="0.25">
      <c r="A10" s="120">
        <v>907000310</v>
      </c>
      <c r="B10" s="39" t="s">
        <v>117</v>
      </c>
      <c r="C10" s="121" t="s">
        <v>29</v>
      </c>
      <c r="D10" s="106" t="s">
        <v>30</v>
      </c>
      <c r="E10" s="106">
        <v>418</v>
      </c>
      <c r="F10" s="106" t="s">
        <v>23</v>
      </c>
      <c r="G10" s="122"/>
      <c r="H10" s="123" t="s">
        <v>141</v>
      </c>
      <c r="I10" s="119"/>
    </row>
    <row r="11" spans="1:9" ht="15" x14ac:dyDescent="0.25">
      <c r="A11" s="120" t="s">
        <v>32</v>
      </c>
      <c r="B11" s="39" t="s">
        <v>127</v>
      </c>
      <c r="C11" s="121" t="s">
        <v>33</v>
      </c>
      <c r="D11" s="106" t="s">
        <v>30</v>
      </c>
      <c r="E11" s="106">
        <v>240</v>
      </c>
      <c r="F11" s="106" t="s">
        <v>23</v>
      </c>
      <c r="G11" s="122"/>
      <c r="H11" s="123" t="s">
        <v>142</v>
      </c>
      <c r="I11" s="119"/>
    </row>
    <row r="12" spans="1:9" ht="15" x14ac:dyDescent="0.25">
      <c r="A12" s="124" t="s">
        <v>83</v>
      </c>
      <c r="B12" s="125" t="s">
        <v>119</v>
      </c>
      <c r="C12" s="126" t="s">
        <v>35</v>
      </c>
      <c r="D12" s="125" t="s">
        <v>30</v>
      </c>
      <c r="E12" s="127">
        <v>400</v>
      </c>
      <c r="F12" s="128" t="s">
        <v>23</v>
      </c>
      <c r="G12" s="22"/>
      <c r="H12" s="123"/>
      <c r="I12" s="119"/>
    </row>
    <row r="13" spans="1:9" ht="15" x14ac:dyDescent="0.25">
      <c r="A13" s="129">
        <v>911000005</v>
      </c>
      <c r="B13" s="39" t="s">
        <v>128</v>
      </c>
      <c r="C13" s="38" t="s">
        <v>113</v>
      </c>
      <c r="D13" s="106" t="s">
        <v>30</v>
      </c>
      <c r="E13" s="106">
        <v>150</v>
      </c>
      <c r="F13" s="106" t="s">
        <v>23</v>
      </c>
      <c r="G13" s="22"/>
      <c r="H13" s="123" t="s">
        <v>143</v>
      </c>
      <c r="I13" s="119"/>
    </row>
    <row r="14" spans="1:9" ht="15" x14ac:dyDescent="0.25">
      <c r="A14" s="130"/>
      <c r="B14" s="39"/>
      <c r="C14" s="121"/>
      <c r="D14" s="106"/>
      <c r="E14" s="106"/>
      <c r="F14" s="106"/>
      <c r="G14" s="22"/>
      <c r="H14" s="123"/>
      <c r="I14" s="119"/>
    </row>
    <row r="15" spans="1:9" ht="15" x14ac:dyDescent="0.25">
      <c r="A15" s="130"/>
      <c r="B15" s="39"/>
      <c r="C15" s="121"/>
      <c r="D15" s="106"/>
      <c r="E15" s="106"/>
      <c r="F15" s="106"/>
      <c r="G15" s="22"/>
      <c r="H15" s="123"/>
      <c r="I15" s="119"/>
    </row>
    <row r="16" spans="1:9" ht="15" x14ac:dyDescent="0.25">
      <c r="A16" s="130"/>
      <c r="B16" s="106"/>
      <c r="C16" s="131"/>
      <c r="D16" s="106"/>
      <c r="E16" s="106"/>
      <c r="F16" s="106"/>
      <c r="G16" s="22"/>
      <c r="H16" s="123"/>
      <c r="I16" s="119"/>
    </row>
    <row r="17" spans="1:9" ht="15" x14ac:dyDescent="0.25">
      <c r="A17" s="130"/>
      <c r="B17" s="39"/>
      <c r="C17" s="121"/>
      <c r="D17" s="106"/>
      <c r="E17" s="106"/>
      <c r="F17" s="106"/>
      <c r="G17" s="22"/>
      <c r="H17" s="123"/>
      <c r="I17" s="119"/>
    </row>
    <row r="18" spans="1:9" ht="15" x14ac:dyDescent="0.25">
      <c r="A18" s="130"/>
      <c r="B18" s="106"/>
      <c r="C18" s="131"/>
      <c r="D18" s="106"/>
      <c r="E18" s="106"/>
      <c r="F18" s="106"/>
      <c r="G18" s="22"/>
      <c r="H18" s="123"/>
      <c r="I18" s="119"/>
    </row>
    <row r="19" spans="1:9" ht="15" x14ac:dyDescent="0.25">
      <c r="A19" s="130"/>
      <c r="B19" s="106"/>
      <c r="C19" s="121"/>
      <c r="D19" s="106"/>
      <c r="E19" s="106"/>
      <c r="F19" s="106"/>
      <c r="G19" s="22"/>
      <c r="H19" s="123"/>
      <c r="I19" s="119"/>
    </row>
    <row r="20" spans="1:9" ht="15" x14ac:dyDescent="0.25">
      <c r="A20" s="132"/>
      <c r="B20" s="133"/>
      <c r="C20" s="134"/>
      <c r="D20" s="133"/>
      <c r="E20" s="135"/>
      <c r="F20" s="128"/>
      <c r="G20" s="22"/>
      <c r="H20" s="123"/>
      <c r="I20" s="119"/>
    </row>
    <row r="21" spans="1:9" ht="15" x14ac:dyDescent="0.25">
      <c r="A21" s="129"/>
      <c r="B21" s="39"/>
      <c r="C21" s="38"/>
      <c r="D21" s="106"/>
      <c r="E21" s="106"/>
      <c r="F21" s="106"/>
      <c r="G21" s="117"/>
      <c r="H21" s="123"/>
      <c r="I21" s="119"/>
    </row>
    <row r="22" spans="1:9" ht="15.75" x14ac:dyDescent="0.25">
      <c r="A22" s="136"/>
      <c r="B22" s="137"/>
      <c r="C22" s="138" t="s">
        <v>136</v>
      </c>
      <c r="D22" s="139"/>
      <c r="E22" s="140"/>
      <c r="F22" s="141"/>
      <c r="G22" s="117"/>
      <c r="H22" s="118"/>
      <c r="I22" s="119"/>
    </row>
    <row r="23" spans="1:9" ht="15" x14ac:dyDescent="0.25">
      <c r="A23" s="142" t="s">
        <v>84</v>
      </c>
      <c r="B23" s="143" t="s">
        <v>120</v>
      </c>
      <c r="C23" s="144" t="s">
        <v>40</v>
      </c>
      <c r="D23" s="145" t="s">
        <v>30</v>
      </c>
      <c r="E23" s="146">
        <v>200</v>
      </c>
      <c r="F23" s="147" t="s">
        <v>23</v>
      </c>
      <c r="G23" s="117"/>
      <c r="H23" s="118" t="s">
        <v>144</v>
      </c>
      <c r="I23" s="119"/>
    </row>
    <row r="24" spans="1:9" ht="15" x14ac:dyDescent="0.25">
      <c r="A24" s="142">
        <v>911000005</v>
      </c>
      <c r="B24" s="143" t="s">
        <v>128</v>
      </c>
      <c r="C24" s="144" t="s">
        <v>113</v>
      </c>
      <c r="D24" s="145" t="s">
        <v>30</v>
      </c>
      <c r="E24" s="23">
        <v>30</v>
      </c>
      <c r="F24" s="147" t="s">
        <v>23</v>
      </c>
      <c r="G24" s="117"/>
      <c r="H24" s="118" t="s">
        <v>145</v>
      </c>
      <c r="I24" s="119"/>
    </row>
    <row r="25" spans="1:9" ht="15" x14ac:dyDescent="0.25">
      <c r="A25" s="142" t="s">
        <v>112</v>
      </c>
      <c r="B25" s="143" t="s">
        <v>129</v>
      </c>
      <c r="C25" s="144" t="s">
        <v>111</v>
      </c>
      <c r="D25" s="145" t="s">
        <v>30</v>
      </c>
      <c r="E25" s="146">
        <v>60</v>
      </c>
      <c r="F25" s="147" t="s">
        <v>23</v>
      </c>
      <c r="G25" s="117"/>
      <c r="H25" s="118" t="s">
        <v>146</v>
      </c>
      <c r="I25" s="119"/>
    </row>
    <row r="26" spans="1:9" ht="15" x14ac:dyDescent="0.25">
      <c r="A26" s="142">
        <v>1210461</v>
      </c>
      <c r="B26" s="143" t="s">
        <v>122</v>
      </c>
      <c r="C26" s="144" t="s">
        <v>46</v>
      </c>
      <c r="D26" s="145" t="s">
        <v>147</v>
      </c>
      <c r="E26" s="36">
        <v>2</v>
      </c>
      <c r="F26" s="148" t="s">
        <v>15</v>
      </c>
      <c r="G26" s="117"/>
      <c r="H26" s="118"/>
      <c r="I26" s="119"/>
    </row>
    <row r="27" spans="1:9" ht="15" x14ac:dyDescent="0.25">
      <c r="A27" s="142" t="s">
        <v>85</v>
      </c>
      <c r="B27" s="143" t="s">
        <v>123</v>
      </c>
      <c r="C27" s="144" t="s">
        <v>48</v>
      </c>
      <c r="D27" s="145" t="s">
        <v>148</v>
      </c>
      <c r="E27" s="183">
        <v>0.2</v>
      </c>
      <c r="F27" s="148" t="s">
        <v>23</v>
      </c>
      <c r="G27" s="117"/>
      <c r="H27" s="118"/>
      <c r="I27" s="119"/>
    </row>
    <row r="28" spans="1:9" ht="15" x14ac:dyDescent="0.25">
      <c r="A28" s="149" t="s">
        <v>50</v>
      </c>
      <c r="B28" s="149" t="s">
        <v>130</v>
      </c>
      <c r="C28" t="s">
        <v>51</v>
      </c>
      <c r="D28" s="150" t="s">
        <v>57</v>
      </c>
      <c r="E28" s="151">
        <v>5</v>
      </c>
      <c r="F28" s="152" t="s">
        <v>23</v>
      </c>
      <c r="G28" s="117"/>
      <c r="H28" s="118" t="s">
        <v>149</v>
      </c>
      <c r="I28" s="119"/>
    </row>
    <row r="29" spans="1:9" ht="15" x14ac:dyDescent="0.25">
      <c r="A29" s="39"/>
      <c r="B29" s="39"/>
      <c r="C29" s="38"/>
      <c r="D29" s="153"/>
      <c r="E29" s="154"/>
      <c r="F29" s="152"/>
      <c r="G29" s="117"/>
      <c r="H29" s="118"/>
      <c r="I29" s="119"/>
    </row>
    <row r="30" spans="1:9" ht="15" x14ac:dyDescent="0.25">
      <c r="A30" s="39"/>
      <c r="B30" s="39"/>
      <c r="C30" s="38"/>
      <c r="D30" s="153"/>
      <c r="E30" s="23"/>
      <c r="F30" s="24"/>
      <c r="G30" s="117"/>
      <c r="H30" s="118"/>
      <c r="I30" s="119"/>
    </row>
    <row r="31" spans="1:9" ht="15.75" x14ac:dyDescent="0.25">
      <c r="A31" s="155"/>
      <c r="B31" s="156"/>
      <c r="C31" s="157" t="s">
        <v>106</v>
      </c>
      <c r="D31" s="158"/>
      <c r="E31" s="159"/>
      <c r="F31" s="118"/>
      <c r="G31" s="117"/>
      <c r="I31" s="119"/>
    </row>
    <row r="32" spans="1:9" ht="15" x14ac:dyDescent="0.25">
      <c r="A32" s="160">
        <v>121603</v>
      </c>
      <c r="B32" s="160" t="s">
        <v>124</v>
      </c>
      <c r="C32" s="161" t="s">
        <v>56</v>
      </c>
      <c r="D32" s="162" t="s">
        <v>57</v>
      </c>
      <c r="E32" s="163">
        <v>1</v>
      </c>
      <c r="F32" s="164" t="s">
        <v>24</v>
      </c>
      <c r="G32" s="165"/>
      <c r="H32" s="118"/>
      <c r="I32" s="119"/>
    </row>
    <row r="33" spans="1:9" ht="15" x14ac:dyDescent="0.25">
      <c r="A33" s="166" t="s">
        <v>58</v>
      </c>
      <c r="B33" s="166" t="s">
        <v>125</v>
      </c>
      <c r="C33" s="167" t="s">
        <v>59</v>
      </c>
      <c r="D33" s="162" t="s">
        <v>150</v>
      </c>
      <c r="E33" s="163">
        <v>1</v>
      </c>
      <c r="F33" s="164" t="s">
        <v>24</v>
      </c>
      <c r="G33" s="165"/>
      <c r="H33" s="118"/>
      <c r="I33" s="119"/>
    </row>
    <row r="34" spans="1:9" ht="15" x14ac:dyDescent="0.25">
      <c r="A34" s="39" t="s">
        <v>61</v>
      </c>
      <c r="B34" s="39" t="s">
        <v>131</v>
      </c>
      <c r="C34" s="38" t="s">
        <v>62</v>
      </c>
      <c r="D34" s="168" t="s">
        <v>57</v>
      </c>
      <c r="E34" s="23">
        <v>60</v>
      </c>
      <c r="F34" s="22" t="s">
        <v>63</v>
      </c>
      <c r="G34" s="165"/>
      <c r="H34" s="118"/>
      <c r="I34" s="119"/>
    </row>
    <row r="35" spans="1:9" ht="15" x14ac:dyDescent="0.25">
      <c r="A35" s="169">
        <v>702007</v>
      </c>
      <c r="B35" s="169" t="s">
        <v>132</v>
      </c>
      <c r="C35" s="170" t="s">
        <v>65</v>
      </c>
      <c r="D35" s="162" t="s">
        <v>66</v>
      </c>
      <c r="E35" s="163">
        <v>1</v>
      </c>
      <c r="F35" s="164" t="s">
        <v>24</v>
      </c>
      <c r="G35" s="117"/>
      <c r="H35" s="118"/>
      <c r="I35" s="119"/>
    </row>
    <row r="36" spans="1:9" ht="15" x14ac:dyDescent="0.25">
      <c r="A36" s="171">
        <v>701096</v>
      </c>
      <c r="B36" s="171" t="s">
        <v>126</v>
      </c>
      <c r="C36" s="172" t="s">
        <v>67</v>
      </c>
      <c r="D36" s="162" t="s">
        <v>66</v>
      </c>
      <c r="E36" s="163">
        <v>1</v>
      </c>
      <c r="F36" s="164" t="s">
        <v>24</v>
      </c>
      <c r="G36" s="117"/>
      <c r="H36" s="118"/>
      <c r="I36" s="119"/>
    </row>
    <row r="37" spans="1:9" ht="15" x14ac:dyDescent="0.25">
      <c r="A37" s="171"/>
      <c r="B37" s="171"/>
      <c r="C37" s="172"/>
      <c r="D37" s="162"/>
      <c r="E37" s="163"/>
      <c r="F37" s="164"/>
      <c r="G37" s="173"/>
      <c r="H37" s="118"/>
      <c r="I37" s="119"/>
    </row>
    <row r="38" spans="1:9" ht="15.75" x14ac:dyDescent="0.25">
      <c r="A38" s="171"/>
      <c r="B38" s="171"/>
      <c r="C38" s="172"/>
      <c r="D38" s="174"/>
      <c r="E38" s="163"/>
      <c r="F38" s="164"/>
      <c r="G38" s="175"/>
      <c r="H38" s="118"/>
      <c r="I38" s="119"/>
    </row>
    <row r="39" spans="1:9" ht="15" x14ac:dyDescent="0.25">
      <c r="A39" s="176"/>
      <c r="B39" s="176"/>
      <c r="C39" s="177"/>
      <c r="D39" s="162"/>
      <c r="E39" s="24"/>
      <c r="F39" s="24"/>
      <c r="G39" s="175"/>
      <c r="H39" s="118"/>
      <c r="I39" s="119"/>
    </row>
    <row r="40" spans="1:9" ht="15" x14ac:dyDescent="0.25">
      <c r="A40" s="160"/>
      <c r="B40" s="39"/>
      <c r="C40" s="161"/>
      <c r="D40" s="168"/>
      <c r="E40" s="23"/>
      <c r="F40" s="22"/>
      <c r="G40" s="175"/>
      <c r="H40" s="118"/>
      <c r="I40" s="119"/>
    </row>
    <row r="41" spans="1:9" ht="15.75" x14ac:dyDescent="0.25">
      <c r="A41" s="171"/>
      <c r="B41" s="171"/>
      <c r="C41" s="172"/>
      <c r="D41" s="162"/>
      <c r="E41" s="23"/>
      <c r="F41" s="22"/>
      <c r="G41" s="178"/>
      <c r="H41" s="118"/>
      <c r="I41" s="119"/>
    </row>
    <row r="42" spans="1:9" ht="15.75" x14ac:dyDescent="0.25">
      <c r="A42" s="136"/>
      <c r="B42" s="137"/>
      <c r="C42" s="170"/>
      <c r="D42" s="139"/>
      <c r="E42" s="139"/>
      <c r="F42" s="141"/>
      <c r="G42" s="179"/>
      <c r="H42" s="179"/>
      <c r="I42" s="119"/>
    </row>
    <row r="43" spans="1:9" ht="14.25" thickBot="1" x14ac:dyDescent="0.3">
      <c r="A43" s="58"/>
      <c r="B43" s="104"/>
      <c r="C43" s="59"/>
      <c r="D43" s="59"/>
      <c r="E43" s="60"/>
      <c r="F43" s="61"/>
      <c r="G43" s="59"/>
      <c r="H43" s="59"/>
      <c r="I43" s="62"/>
    </row>
    <row r="44" spans="1:9" ht="14.25" thickBot="1" x14ac:dyDescent="0.3">
      <c r="A44" s="63"/>
      <c r="B44" s="105"/>
      <c r="C44" s="64"/>
      <c r="D44" s="65" t="s">
        <v>6</v>
      </c>
      <c r="E44" s="66" t="s">
        <v>15</v>
      </c>
      <c r="F44" s="67"/>
      <c r="G44" s="64"/>
      <c r="H44" s="64"/>
      <c r="I44" s="68"/>
    </row>
    <row r="45" spans="1:9" ht="13.5" x14ac:dyDescent="0.25">
      <c r="A45" s="211" t="s">
        <v>10</v>
      </c>
      <c r="B45" s="212"/>
      <c r="C45" s="213"/>
      <c r="D45" s="154">
        <v>1410.2</v>
      </c>
      <c r="E45" s="180" t="s">
        <v>23</v>
      </c>
      <c r="F45" s="214" t="s">
        <v>69</v>
      </c>
      <c r="G45" s="214"/>
      <c r="H45" s="215"/>
      <c r="I45" s="216"/>
    </row>
    <row r="46" spans="1:9" ht="13.5" x14ac:dyDescent="0.25">
      <c r="A46" s="223" t="s">
        <v>9</v>
      </c>
      <c r="B46" s="224"/>
      <c r="C46" s="225"/>
      <c r="D46" s="22">
        <v>7</v>
      </c>
      <c r="E46" s="22" t="s">
        <v>25</v>
      </c>
      <c r="F46" s="226" t="s">
        <v>70</v>
      </c>
      <c r="G46" s="226"/>
      <c r="H46" s="230"/>
      <c r="I46" s="231"/>
    </row>
    <row r="47" spans="1:9" ht="13.5" x14ac:dyDescent="0.25">
      <c r="A47" s="223" t="s">
        <v>14</v>
      </c>
      <c r="B47" s="224"/>
      <c r="C47" s="225"/>
      <c r="D47" s="22">
        <v>1</v>
      </c>
      <c r="E47" s="22" t="s">
        <v>24</v>
      </c>
      <c r="F47" s="226" t="s">
        <v>71</v>
      </c>
      <c r="G47" s="226"/>
      <c r="H47" s="230"/>
      <c r="I47" s="231"/>
    </row>
    <row r="48" spans="1:9" ht="13.5" x14ac:dyDescent="0.25">
      <c r="A48" s="223" t="s">
        <v>13</v>
      </c>
      <c r="B48" s="224"/>
      <c r="C48" s="225"/>
      <c r="D48" s="23">
        <v>1410.2</v>
      </c>
      <c r="E48" s="22" t="s">
        <v>23</v>
      </c>
      <c r="F48" s="232" t="s">
        <v>72</v>
      </c>
      <c r="G48" s="233"/>
      <c r="H48" s="278"/>
      <c r="I48" s="279"/>
    </row>
    <row r="49" spans="1:9" ht="14.25" thickBot="1" x14ac:dyDescent="0.3">
      <c r="A49" s="234" t="s">
        <v>12</v>
      </c>
      <c r="B49" s="235"/>
      <c r="C49" s="236"/>
      <c r="D49" s="181">
        <v>95</v>
      </c>
      <c r="E49" s="182" t="s">
        <v>23</v>
      </c>
      <c r="F49" s="237"/>
      <c r="G49" s="237"/>
      <c r="H49" s="230"/>
      <c r="I49" s="231"/>
    </row>
    <row r="50" spans="1:9" ht="13.5" thickBot="1" x14ac:dyDescent="0.25">
      <c r="A50" s="227" t="s">
        <v>11</v>
      </c>
      <c r="B50" s="228"/>
      <c r="C50" s="228"/>
      <c r="D50" s="228"/>
      <c r="E50" s="228"/>
      <c r="F50" s="228"/>
      <c r="G50" s="228"/>
      <c r="H50" s="228"/>
      <c r="I50" s="229"/>
    </row>
    <row r="51" spans="1:9" ht="18.600000000000001" customHeight="1" x14ac:dyDescent="0.25">
      <c r="A51" s="220" t="s">
        <v>73</v>
      </c>
      <c r="B51" s="221"/>
      <c r="C51" s="221"/>
      <c r="D51" s="221"/>
      <c r="E51" s="221"/>
      <c r="F51" s="221"/>
      <c r="G51" s="221"/>
      <c r="H51" s="221"/>
      <c r="I51" s="222"/>
    </row>
    <row r="52" spans="1:9" ht="14.45" customHeight="1" x14ac:dyDescent="0.25">
      <c r="A52" s="220" t="s">
        <v>74</v>
      </c>
      <c r="B52" s="221"/>
      <c r="C52" s="221"/>
      <c r="D52" s="221"/>
      <c r="E52" s="221"/>
      <c r="F52" s="221"/>
      <c r="G52" s="221"/>
      <c r="H52" s="221"/>
      <c r="I52" s="222"/>
    </row>
    <row r="53" spans="1:9" ht="14.45" customHeight="1" x14ac:dyDescent="0.25">
      <c r="A53" s="217" t="s">
        <v>75</v>
      </c>
      <c r="B53" s="218"/>
      <c r="C53" s="218"/>
      <c r="D53" s="218"/>
      <c r="E53" s="218"/>
      <c r="F53" s="218"/>
      <c r="G53" s="218"/>
      <c r="H53" s="218"/>
      <c r="I53" s="219"/>
    </row>
    <row r="54" spans="1:9" ht="14.45" customHeight="1" thickBot="1" x14ac:dyDescent="0.3">
      <c r="A54" s="193" t="s">
        <v>82</v>
      </c>
      <c r="B54" s="194"/>
      <c r="C54" s="194"/>
      <c r="D54" s="194"/>
      <c r="E54" s="194"/>
      <c r="F54" s="194"/>
      <c r="G54" s="194"/>
      <c r="H54" s="194"/>
      <c r="I54" s="195"/>
    </row>
    <row r="55" spans="1:9" ht="14.45" customHeight="1" x14ac:dyDescent="0.25">
      <c r="A55" s="271"/>
      <c r="B55" s="272"/>
      <c r="C55" s="273"/>
      <c r="D55" s="273"/>
      <c r="E55" s="273"/>
      <c r="F55" s="273"/>
      <c r="G55" s="273"/>
      <c r="H55" s="273"/>
      <c r="I55" s="274"/>
    </row>
    <row r="56" spans="1:9" ht="14.45" customHeight="1" x14ac:dyDescent="0.2">
      <c r="A56" s="275"/>
      <c r="B56" s="276"/>
      <c r="C56" s="276"/>
      <c r="D56" s="276"/>
      <c r="E56" s="276"/>
      <c r="F56" s="276"/>
      <c r="G56" s="276"/>
      <c r="H56" s="276"/>
      <c r="I56" s="277"/>
    </row>
    <row r="57" spans="1:9" ht="18" customHeight="1" x14ac:dyDescent="0.2">
      <c r="A57" s="275"/>
      <c r="B57" s="276"/>
      <c r="C57" s="276"/>
      <c r="D57" s="276"/>
      <c r="E57" s="276"/>
      <c r="F57" s="276"/>
      <c r="G57" s="276"/>
      <c r="H57" s="276"/>
      <c r="I57" s="277"/>
    </row>
    <row r="58" spans="1:9" x14ac:dyDescent="0.2">
      <c r="A58" s="275"/>
      <c r="B58" s="276"/>
      <c r="C58" s="276"/>
      <c r="D58" s="276"/>
      <c r="E58" s="276"/>
      <c r="F58" s="276"/>
      <c r="G58" s="276"/>
      <c r="H58" s="276"/>
      <c r="I58" s="277"/>
    </row>
    <row r="59" spans="1:9" ht="15" thickBot="1" x14ac:dyDescent="0.25">
      <c r="A59" s="264"/>
      <c r="B59" s="265"/>
      <c r="C59" s="265"/>
      <c r="D59" s="265"/>
      <c r="E59" s="265"/>
      <c r="F59" s="265"/>
      <c r="G59" s="265"/>
      <c r="H59" s="265"/>
      <c r="I59" s="266"/>
    </row>
    <row r="60" spans="1:9" x14ac:dyDescent="0.2">
      <c r="A60" s="267" t="s">
        <v>151</v>
      </c>
      <c r="B60" s="268"/>
      <c r="C60" s="268"/>
      <c r="D60" s="268"/>
      <c r="E60" s="268"/>
      <c r="F60" s="268"/>
      <c r="G60" s="268"/>
      <c r="H60" s="268"/>
      <c r="I60" s="268"/>
    </row>
    <row r="61" spans="1:9" ht="13.5" x14ac:dyDescent="0.25">
      <c r="A61" s="269"/>
      <c r="B61" s="270"/>
      <c r="C61" s="270"/>
      <c r="D61" s="270"/>
      <c r="E61" s="270"/>
      <c r="F61" s="270"/>
      <c r="G61" s="270"/>
      <c r="H61" s="270"/>
      <c r="I61" s="270"/>
    </row>
    <row r="62" spans="1:9" ht="13.5" x14ac:dyDescent="0.25">
      <c r="A62" s="269"/>
      <c r="B62" s="270"/>
      <c r="C62" s="270"/>
      <c r="D62" s="270"/>
      <c r="E62" s="270"/>
      <c r="F62" s="270"/>
      <c r="G62" s="270"/>
      <c r="H62" s="270"/>
      <c r="I62" s="27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59:I59"/>
    <mergeCell ref="A60:I60"/>
    <mergeCell ref="A61:I61"/>
    <mergeCell ref="A62:I62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  <pageSetup paperSize="9" scal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B860-EA5F-4F07-831D-789521CB9BC3}">
  <dimension ref="A1:O22"/>
  <sheetViews>
    <sheetView workbookViewId="0">
      <selection activeCell="F7" sqref="F7"/>
    </sheetView>
  </sheetViews>
  <sheetFormatPr baseColWidth="10" defaultRowHeight="12.75" x14ac:dyDescent="0.2"/>
  <cols>
    <col min="2" max="2" width="30.140625" customWidth="1"/>
    <col min="5" max="5" width="16.85546875" customWidth="1"/>
    <col min="6" max="6" width="23.7109375" customWidth="1"/>
    <col min="12" max="12" width="14.7109375" customWidth="1"/>
  </cols>
  <sheetData>
    <row r="1" spans="1:15" ht="39" x14ac:dyDescent="0.25">
      <c r="A1" s="71" t="s">
        <v>86</v>
      </c>
      <c r="B1" s="72" t="s">
        <v>87</v>
      </c>
      <c r="C1" s="73" t="s">
        <v>88</v>
      </c>
      <c r="D1" s="71" t="s">
        <v>89</v>
      </c>
      <c r="E1" t="s">
        <v>90</v>
      </c>
      <c r="F1" s="72" t="s">
        <v>91</v>
      </c>
      <c r="G1" s="74" t="s">
        <v>92</v>
      </c>
      <c r="H1" s="72" t="s">
        <v>93</v>
      </c>
      <c r="I1" s="75" t="s">
        <v>94</v>
      </c>
      <c r="J1" s="75" t="s">
        <v>95</v>
      </c>
      <c r="K1" s="75" t="s">
        <v>96</v>
      </c>
      <c r="L1" s="75" t="s">
        <v>97</v>
      </c>
      <c r="M1" s="76" t="s">
        <v>98</v>
      </c>
      <c r="N1" s="76" t="s">
        <v>99</v>
      </c>
      <c r="O1" s="75" t="s">
        <v>100</v>
      </c>
    </row>
    <row r="4" spans="1:15" ht="15.75" x14ac:dyDescent="0.25">
      <c r="A4" s="77" t="s">
        <v>101</v>
      </c>
      <c r="B4" s="77" t="str">
        <f>VLOOKUP(A4,'[1]Resumen PT'!$C$2:$D$5013,2,0)</f>
        <v>Torta Pie De Limon 1770 grs</v>
      </c>
      <c r="C4" s="78" t="s">
        <v>102</v>
      </c>
      <c r="D4" s="79" t="str">
        <f>IF(OR(E4="Materia Prima",E4="Empaque",E4="Mano Obra"),VLOOKUP(C4,'[1]Homologo Códigos MP'!$A$2:$C$5025,3,0),VLOOKUP(C4,'[1]Resumen SE'!$A$2:$C$5000,3,0))</f>
        <v>SE00448</v>
      </c>
      <c r="E4" s="77" t="s">
        <v>103</v>
      </c>
      <c r="F4" s="77" t="str">
        <f>IF(OR(E4="Materia Prima",E4="Empaque",E4="Mano Obra"),VLOOKUP(C4,'[1]Homologo Códigos MP'!$A$2:$D$5025,4,0),VLOOKUP(D4,'[1]Resumen SE'!$C$2:$D$5000,2,0))</f>
        <v>Rosquete Nucleo Vainilla Dawn Redondo 320g</v>
      </c>
      <c r="G4" s="80">
        <v>1.5</v>
      </c>
      <c r="H4" s="72" t="str">
        <f>IF(OR(E4="Materia Prima",E4="Empaque",E4="Mano Obra"),VLOOKUP(D4,'[1]Homologo Códigos MP'!$C$2:$E$5025,3,0),VLOOKUP(D4,'[1]Resumen SE'!$C$2:$H$5000,6,0))</f>
        <v>Unidades</v>
      </c>
      <c r="I4" s="74">
        <f t="array" ref="I4">IFERROR(_xlfn.IFS(E4="Semielaborado",VLOOKUP(D4,'[1]Resumen SE'!$C$2:$J$4999,8,0),E4="Materia Prima",VLOOKUP(C4,'[1]Materiales MP Y EMP'!$A$1:$H$4734,7,0)),0)</f>
        <v>581.59607598989749</v>
      </c>
      <c r="J4" s="81">
        <f t="shared" ref="J4:J18" si="0">+I4*G4</f>
        <v>872.39411398484617</v>
      </c>
      <c r="K4" s="74">
        <f t="array" ref="K4">IFERROR(_xlfn.IFS(E4="Semielaborado",VLOOKUP(D4,'[1]Resumen SE'!$C$2:$L$4999,10,0),E4="Empaque",VLOOKUP(C4,'[1]Materiales MP Y EMP'!$A$1:$H$4734,7,0)),0)</f>
        <v>6.4897070604529148</v>
      </c>
      <c r="L4" s="81">
        <f t="shared" ref="L4:L18" si="1">+K4*G4</f>
        <v>9.7345605906793722</v>
      </c>
      <c r="M4" s="74">
        <f t="array" ref="M4">IFERROR(_xlfn.IFS(E4="semielaborado",VLOOKUP(D4,'[1]Resumen SE'!$C$1:$N$4999,12,0),E4="MANO OBRA",VLOOKUP(C4,'[1]Materiales MP Y EMP'!$A$1:$H$4734,7,0)),0)</f>
        <v>22.571908659911998</v>
      </c>
      <c r="N4" s="81">
        <f t="shared" ref="N4:N18" si="2">+M4*G4</f>
        <v>33.857862989867996</v>
      </c>
    </row>
    <row r="5" spans="1:15" ht="15.75" x14ac:dyDescent="0.25">
      <c r="A5" s="77" t="s">
        <v>101</v>
      </c>
      <c r="B5" s="77" t="str">
        <f>VLOOKUP(A5,'[1]Resumen PT'!$C$2:$D$5013,2,0)</f>
        <v>Torta Pie De Limon 1770 grs</v>
      </c>
      <c r="C5" s="78" t="s">
        <v>32</v>
      </c>
      <c r="D5" s="79" t="str">
        <f>IF(OR(E5="Materia Prima",E5="Empaque",E5="Mano Obra"),VLOOKUP(C5,'[1]Homologo Códigos MP'!$A$2:$C$5025,3,0),VLOOKUP(C5,'[1]Resumen SE'!$A$2:$C$5000,3,0))</f>
        <v>SE00254</v>
      </c>
      <c r="E5" s="77" t="s">
        <v>103</v>
      </c>
      <c r="F5" s="77" t="str">
        <f>IF(OR(E5="Materia Prima",E5="Empaque",E5="Mano Obra"),VLOOKUP(C5,'[1]Homologo Códigos MP'!$A$2:$D$5025,4,0),VLOOKUP(D5,'[1]Resumen SE'!$C$2:$D$5000,2,0))</f>
        <v>Leches Pasteurizada Con Agua</v>
      </c>
      <c r="G5" s="80">
        <v>240</v>
      </c>
      <c r="H5" s="72" t="str">
        <f>IF(OR(E5="Materia Prima",E5="Empaque",E5="Mano Obra"),VLOOKUP(D5,'[1]Homologo Códigos MP'!$C$2:$E$5025,3,0),VLOOKUP(D5,'[1]Resumen SE'!$C$2:$H$5000,6,0))</f>
        <v>Gramos</v>
      </c>
      <c r="I5" s="74">
        <f t="array" ref="I5">IFERROR(_xlfn.IFS(E5="Semielaborado",VLOOKUP(D5,'[1]Resumen SE'!$C$2:$J$4999,8,0),E5="Materia Prima",VLOOKUP(C5,'[1]Materiales MP Y EMP'!$A$1:$H$4734,7,0)),0)</f>
        <v>1.9063413422407345</v>
      </c>
      <c r="J5" s="81">
        <f t="shared" si="0"/>
        <v>457.5219221377763</v>
      </c>
      <c r="K5" s="74">
        <f t="array" ref="K5">IFERROR(_xlfn.IFS(E5="Semielaborado",VLOOKUP(D5,'[1]Resumen SE'!$C$2:$L$4999,10,0),E5="Empaque",VLOOKUP(C5,'[1]Materiales MP Y EMP'!$A$1:$H$4734,7,0)),0)</f>
        <v>1.7100100923076924E-3</v>
      </c>
      <c r="L5" s="81">
        <f t="shared" si="1"/>
        <v>0.41040242215384615</v>
      </c>
      <c r="M5" s="74">
        <f t="array" ref="M5">IFERROR(_xlfn.IFS(E5="semielaborado",VLOOKUP(D5,'[1]Resumen SE'!$C$1:$N$4999,12,0),E5="MANO OBRA",VLOOKUP(C5,'[1]Materiales MP Y EMP'!$A$1:$H$4734,7,0)),0)</f>
        <v>6.9090520861538468E-2</v>
      </c>
      <c r="N5" s="81">
        <f t="shared" si="2"/>
        <v>16.581725006769233</v>
      </c>
    </row>
    <row r="6" spans="1:15" ht="15.75" x14ac:dyDescent="0.25">
      <c r="A6" s="77" t="s">
        <v>101</v>
      </c>
      <c r="B6" s="77" t="str">
        <f>VLOOKUP(A6,'[1]Resumen PT'!$C$2:$D$5013,2,0)</f>
        <v>Torta Pie De Limon 1770 grs</v>
      </c>
      <c r="C6" s="82" t="s">
        <v>83</v>
      </c>
      <c r="D6" s="79" t="str">
        <f>IF(OR(E6="Materia Prima",E6="Empaque",E6="Mano Obra"),VLOOKUP(C6,'[1]Homologo Códigos MP'!$A$2:$C$5025,3,0),VLOOKUP(C6,'[1]Resumen SE'!$A$2:$C$5000,3,0))</f>
        <v>SE00255</v>
      </c>
      <c r="E6" s="77" t="s">
        <v>103</v>
      </c>
      <c r="F6" s="77" t="str">
        <f>IF(OR(E6="Materia Prima",E6="Empaque",E6="Mano Obra"),VLOOKUP(C6,'[1]Homologo Códigos MP'!$A$2:$D$5025,4,0),VLOOKUP(D6,'[1]Resumen SE'!$C$2:$D$5000,2,0))</f>
        <v>Relleno De Mantequilla Y Queso Limon</v>
      </c>
      <c r="G6" s="80">
        <v>400</v>
      </c>
      <c r="H6" s="72" t="str">
        <f>IF(OR(E6="Materia Prima",E6="Empaque",E6="Mano Obra"),VLOOKUP(D6,'[1]Homologo Códigos MP'!$C$2:$E$5025,3,0),VLOOKUP(D6,'[1]Resumen SE'!$C$2:$H$5000,6,0))</f>
        <v>Gramos</v>
      </c>
      <c r="I6" s="74">
        <f t="array" ref="I6">IFERROR(_xlfn.IFS(E6="Semielaborado",VLOOKUP(D6,'[1]Resumen SE'!$C$2:$J$4999,8,0),E6="Materia Prima",VLOOKUP(C6,'[1]Materiales MP Y EMP'!$A$1:$H$4734,7,0)),0)</f>
        <v>2.5522070532717431</v>
      </c>
      <c r="J6" s="81">
        <f t="shared" si="0"/>
        <v>1020.8828213086972</v>
      </c>
      <c r="K6" s="74">
        <f t="array" ref="K6">IFERROR(_xlfn.IFS(E6="Semielaborado",VLOOKUP(D6,'[1]Resumen SE'!$C$2:$L$4999,10,0),E6="Empaque",VLOOKUP(C6,'[1]Materiales MP Y EMP'!$A$1:$H$4734,7,0)),0)</f>
        <v>8.7843840000000014E-6</v>
      </c>
      <c r="L6" s="81">
        <f t="shared" si="1"/>
        <v>3.5137536000000007E-3</v>
      </c>
      <c r="M6" s="74">
        <f t="array" ref="M6">IFERROR(_xlfn.IFS(E6="semielaborado",VLOOKUP(D6,'[1]Resumen SE'!$C$1:$N$4999,12,0),E6="MANO OBRA",VLOOKUP(C6,'[1]Materiales MP Y EMP'!$A$1:$H$4734,7,0)),0)</f>
        <v>2.4144240000000001E-2</v>
      </c>
      <c r="N6" s="81">
        <f t="shared" si="2"/>
        <v>9.6576959999999996</v>
      </c>
    </row>
    <row r="7" spans="1:15" ht="15.75" x14ac:dyDescent="0.25">
      <c r="A7" s="83" t="s">
        <v>101</v>
      </c>
      <c r="B7" s="83" t="str">
        <f>VLOOKUP(A7,'[1]Resumen PT'!$C$2:$D$5013,2,0)</f>
        <v>Torta Pie De Limon 1770 grs</v>
      </c>
      <c r="C7" s="84" t="s">
        <v>36</v>
      </c>
      <c r="D7" s="85" t="str">
        <f>IF(OR(E7="Materia Prima",E7="Empaque",E7="Mano Obra"),VLOOKUP(C7,'[1]Homologo Códigos MP'!$A$2:$C$5025,3,0),VLOOKUP(C7,'[1]Resumen SE'!$A$2:$C$5000,3,0))</f>
        <v>SE00256</v>
      </c>
      <c r="E7" s="83" t="s">
        <v>103</v>
      </c>
      <c r="F7" s="83" t="str">
        <f>IF(OR(E7="Materia Prima",E7="Empaque",E7="Mano Obra"),VLOOKUP(C7,'[1]Homologo Códigos MP'!$A$2:$D$5025,4,0),VLOOKUP(D7,'[1]Resumen SE'!$C$2:$D$5000,2,0))</f>
        <v>Galleta Vainilla Con Chocolate Blanco</v>
      </c>
      <c r="G7" s="86">
        <v>210</v>
      </c>
      <c r="H7" s="72" t="str">
        <f>IF(OR(E7="Materia Prima",E7="Empaque",E7="Mano Obra"),VLOOKUP(D7,'[1]Homologo Códigos MP'!$C$2:$E$5025,3,0),VLOOKUP(D7,'[1]Resumen SE'!$C$2:$H$5000,6,0))</f>
        <v>Gramos</v>
      </c>
      <c r="I7" s="74">
        <f t="array" ref="I7">IFERROR(_xlfn.IFS(E7="Semielaborado",VLOOKUP(D7,'[1]Resumen SE'!$C$2:$J$4999,8,0),E7="Materia Prima",VLOOKUP(C7,'[1]Materiales MP Y EMP'!$A$1:$H$4734,7,0)),0)</f>
        <v>3.4247994444444445</v>
      </c>
      <c r="J7" s="81">
        <f t="shared" si="0"/>
        <v>719.20788333333337</v>
      </c>
      <c r="K7" s="74">
        <f t="array" ref="K7">IFERROR(_xlfn.IFS(E7="Semielaborado",VLOOKUP(D7,'[1]Resumen SE'!$C$2:$L$4999,10,0),E7="Empaque",VLOOKUP(C7,'[1]Materiales MP Y EMP'!$A$1:$H$4734,7,0)),0)</f>
        <v>0</v>
      </c>
      <c r="L7" s="81">
        <f t="shared" si="1"/>
        <v>0</v>
      </c>
      <c r="M7" s="74">
        <f t="array" ref="M7">IFERROR(_xlfn.IFS(E7="semielaborado",VLOOKUP(D7,'[1]Resumen SE'!$C$1:$N$4999,12,0),E7="MANO OBRA",VLOOKUP(C7,'[1]Materiales MP Y EMP'!$A$1:$H$4734,7,0)),0)</f>
        <v>0.18124999999999999</v>
      </c>
      <c r="N7" s="81">
        <f t="shared" si="2"/>
        <v>38.0625</v>
      </c>
    </row>
    <row r="8" spans="1:15" ht="15.75" x14ac:dyDescent="0.25">
      <c r="A8" s="77" t="s">
        <v>101</v>
      </c>
      <c r="B8" s="77" t="str">
        <f>VLOOKUP(A8,'[1]Resumen PT'!$C$2:$D$5013,2,0)</f>
        <v>Torta Pie De Limon 1770 grs</v>
      </c>
      <c r="C8" s="82" t="s">
        <v>84</v>
      </c>
      <c r="D8" s="79" t="str">
        <f>IF(OR(E8="Materia Prima",E8="Empaque",E8="Mano Obra"),VLOOKUP(C8,'[1]Homologo Códigos MP'!$A$2:$C$5025,3,0),VLOOKUP(C8,'[1]Resumen SE'!$A$2:$C$5000,3,0))</f>
        <v>SE00069</v>
      </c>
      <c r="E8" s="77" t="s">
        <v>103</v>
      </c>
      <c r="F8" s="77" t="str">
        <f>IF(OR(E8="Materia Prima",E8="Empaque",E8="Mano Obra"),VLOOKUP(C8,'[1]Homologo Códigos MP'!$A$2:$D$5025,4,0),VLOOKUP(D8,'[1]Resumen SE'!$C$2:$D$5000,2,0))</f>
        <v xml:space="preserve">Crema Beidge </v>
      </c>
      <c r="G8" s="80">
        <v>200</v>
      </c>
      <c r="H8" s="72" t="str">
        <f>IF(OR(E8="Materia Prima",E8="Empaque",E8="Mano Obra"),VLOOKUP(D8,'[1]Homologo Códigos MP'!$C$2:$E$5025,3,0),VLOOKUP(D8,'[1]Resumen SE'!$C$2:$H$5000,6,0))</f>
        <v>Gramos</v>
      </c>
      <c r="I8" s="74">
        <f t="array" ref="I8">IFERROR(_xlfn.IFS(E8="Semielaborado",VLOOKUP(D8,'[1]Resumen SE'!$C$2:$J$4999,8,0),E8="Materia Prima",VLOOKUP(C8,'[1]Materiales MP Y EMP'!$A$1:$H$4734,7,0)),0)</f>
        <v>2.3609373930869229</v>
      </c>
      <c r="J8" s="81">
        <f t="shared" si="0"/>
        <v>472.18747861738456</v>
      </c>
      <c r="K8" s="74">
        <f t="array" ref="K8">IFERROR(_xlfn.IFS(E8="Semielaborado",VLOOKUP(D8,'[1]Resumen SE'!$C$2:$L$4999,10,0),E8="Empaque",VLOOKUP(C8,'[1]Materiales MP Y EMP'!$A$1:$H$4734,7,0)),0)</f>
        <v>1.2998400000000001E-4</v>
      </c>
      <c r="L8" s="81">
        <f t="shared" si="1"/>
        <v>2.59968E-2</v>
      </c>
      <c r="M8" s="74">
        <f t="array" ref="M8">IFERROR(_xlfn.IFS(E8="semielaborado",VLOOKUP(D8,'[1]Resumen SE'!$C$1:$N$4999,12,0),E8="MANO OBRA",VLOOKUP(C8,'[1]Materiales MP Y EMP'!$A$1:$H$4734,7,0)),0)</f>
        <v>3.3059999999999999E-2</v>
      </c>
      <c r="N8" s="81">
        <f t="shared" si="2"/>
        <v>6.6120000000000001</v>
      </c>
    </row>
    <row r="9" spans="1:15" ht="15.75" x14ac:dyDescent="0.25">
      <c r="A9" s="77" t="s">
        <v>101</v>
      </c>
      <c r="B9" s="77" t="str">
        <f>VLOOKUP(A9,'[1]Resumen PT'!$C$2:$D$5013,2,0)</f>
        <v>Torta Pie De Limon 1770 grs</v>
      </c>
      <c r="C9" s="82" t="s">
        <v>43</v>
      </c>
      <c r="D9" s="79" t="str">
        <f>IF(OR(E9="Materia Prima",E9="Empaque",E9="Mano Obra"),VLOOKUP(C9,'[1]Homologo Códigos MP'!$A$2:$C$5025,3,0),VLOOKUP(C9,'[1]Resumen SE'!$A$2:$C$5000,3,0))</f>
        <v>SE00051</v>
      </c>
      <c r="E9" s="87" t="s">
        <v>103</v>
      </c>
      <c r="F9" s="77" t="str">
        <f>IF(OR(E9="Materia Prima",E9="Empaque",E9="Mano Obra"),VLOOKUP(C9,'[1]Homologo Códigos MP'!$A$2:$D$5025,4,0),VLOOKUP(D9,'[1]Resumen SE'!$C$2:$D$5000,2,0))</f>
        <v xml:space="preserve">Ganache Chocolate Blanco </v>
      </c>
      <c r="G9" s="80">
        <v>70</v>
      </c>
      <c r="H9" s="72" t="str">
        <f>IF(OR(E9="Materia Prima",E9="Empaque",E9="Mano Obra"),VLOOKUP(D9,'[1]Homologo Códigos MP'!$C$2:$E$5025,3,0),VLOOKUP(D9,'[1]Resumen SE'!$C$2:$H$5000,6,0))</f>
        <v>Gramos</v>
      </c>
      <c r="I9" s="74">
        <f t="array" ref="I9">IFERROR(_xlfn.IFS(E9="Semielaborado",VLOOKUP(D9,'[1]Resumen SE'!$C$2:$J$4999,8,0),E9="Materia Prima",VLOOKUP(C9,'[1]Materiales MP Y EMP'!$A$1:$H$4734,7,0)),0)</f>
        <v>3.1393413611111107</v>
      </c>
      <c r="J9" s="81">
        <f t="shared" si="0"/>
        <v>219.75389527777776</v>
      </c>
      <c r="K9" s="74">
        <f t="array" ref="K9">IFERROR(_xlfn.IFS(E9="Semielaborado",VLOOKUP(D9,'[1]Resumen SE'!$C$2:$L$4999,10,0),E9="Empaque",VLOOKUP(C9,'[1]Materiales MP Y EMP'!$A$1:$H$4734,7,0)),0)</f>
        <v>0</v>
      </c>
      <c r="L9" s="81">
        <f t="shared" si="1"/>
        <v>0</v>
      </c>
      <c r="M9" s="74">
        <f t="array" ref="M9">IFERROR(_xlfn.IFS(E9="semielaborado",VLOOKUP(D9,'[1]Resumen SE'!$C$1:$N$4999,12,0),E9="MANO OBRA",VLOOKUP(C9,'[1]Materiales MP Y EMP'!$A$1:$H$4734,7,0)),0)</f>
        <v>3.8744000000000001E-2</v>
      </c>
      <c r="N9" s="81">
        <f t="shared" si="2"/>
        <v>2.7120800000000003</v>
      </c>
    </row>
    <row r="10" spans="1:15" ht="15.75" x14ac:dyDescent="0.25">
      <c r="A10" s="77" t="s">
        <v>101</v>
      </c>
      <c r="B10" s="77" t="str">
        <f>VLOOKUP(A10,'[1]Resumen PT'!$C$2:$D$5013,2,0)</f>
        <v>Torta Pie De Limon 1770 grs</v>
      </c>
      <c r="C10" s="82" t="s">
        <v>85</v>
      </c>
      <c r="D10" s="79" t="str">
        <f>IF(OR(E10="Materia Prima",E10="Empaque",E10="Mano Obra"),VLOOKUP(C10,'[1]Homologo Códigos MP'!$A$2:$C$5025,3,0),VLOOKUP(C10,'[1]Resumen SE'!$A$2:$C$5000,3,0))</f>
        <v>MP10357</v>
      </c>
      <c r="E10" s="77" t="s">
        <v>104</v>
      </c>
      <c r="F10" s="77" t="str">
        <f>IF(OR(E10="Materia Prima",E10="Empaque",E10="Mano Obra"),VLOOKUP(C10,'[1]Homologo Códigos MP'!$A$2:$D$5025,4,0),VLOOKUP(D10,'[1]Resumen SE'!$C$2:$D$5000,2,0))</f>
        <v xml:space="preserve">Semilla Amapola </v>
      </c>
      <c r="G10" s="80">
        <v>0.2</v>
      </c>
      <c r="H10" s="72" t="str">
        <f>IF(OR(E10="Materia Prima",E10="Empaque",E10="Mano Obra"),VLOOKUP(D10,'[1]Homologo Códigos MP'!$C$2:$E$5025,3,0),VLOOKUP(D10,'[1]Resumen SE'!$C$2:$H$5000,6,0))</f>
        <v>Gramos</v>
      </c>
      <c r="I10" s="74">
        <f t="array" ref="I10">IFERROR(_xlfn.IFS(E10="Semielaborado",VLOOKUP(D10,'[1]Resumen SE'!$C$2:$J$4999,8,0),E10="Materia Prima",VLOOKUP(C10,'[1]Materiales MP Y EMP'!$A$1:$H$4734,7,0)),0)</f>
        <v>9.8851590106007059</v>
      </c>
      <c r="J10" s="81">
        <f t="shared" si="0"/>
        <v>1.9770318021201412</v>
      </c>
      <c r="K10" s="74">
        <f t="array" ref="K10">IFERROR(_xlfn.IFS(E10="Semielaborado",VLOOKUP(D10,'[1]Resumen SE'!$C$2:$L$4999,10,0),E10="Empaque",VLOOKUP(C10,'[1]Materiales MP Y EMP'!$A$1:$H$4734,7,0)),0)</f>
        <v>0</v>
      </c>
      <c r="L10" s="81">
        <f t="shared" si="1"/>
        <v>0</v>
      </c>
      <c r="M10" s="74">
        <f t="array" ref="M10">IFERROR(_xlfn.IFS(E10="semielaborado",VLOOKUP(D10,'[1]Resumen SE'!$C$1:$N$4999,12,0),E10="MANO OBRA",VLOOKUP(C10,'[1]Materiales MP Y EMP'!$A$1:$H$4734,7,0)),0)</f>
        <v>0</v>
      </c>
      <c r="N10" s="81">
        <f t="shared" si="2"/>
        <v>0</v>
      </c>
    </row>
    <row r="11" spans="1:15" ht="15.75" x14ac:dyDescent="0.25">
      <c r="A11" t="s">
        <v>101</v>
      </c>
      <c r="B11" t="str">
        <f>VLOOKUP(A11,'[1]Resumen PT'!$C$2:$D$5013,2,0)</f>
        <v>Torta Pie De Limon 1770 grs</v>
      </c>
      <c r="C11" s="88" t="s">
        <v>45</v>
      </c>
      <c r="D11" s="89" t="str">
        <f>IF(OR(E11="Materia Prima",E11="Empaque",E11="Mano Obra"),VLOOKUP(C11,'[1]Homologo Códigos MP'!$A$2:$C$5025,3,0),VLOOKUP(C11,'[1]Resumen SE'!$A$2:$C$5000,3,0))</f>
        <v>MP10133</v>
      </c>
      <c r="E11" t="s">
        <v>104</v>
      </c>
      <c r="F11" t="str">
        <f>IF(OR(E11="Materia Prima",E11="Empaque",E11="Mano Obra"),VLOOKUP(C11,'[1]Homologo Códigos MP'!$A$2:$D$5025,4,0),VLOOKUP(D11,'[1]Resumen SE'!$C$2:$D$5000,2,0))</f>
        <v>Chocolate Tulipan Marmol</v>
      </c>
      <c r="G11" s="90">
        <v>2</v>
      </c>
      <c r="H11" s="72" t="str">
        <f>IF(OR(E11="Materia Prima",E11="Empaque",E11="Mano Obra"),VLOOKUP(D11,'[1]Homologo Códigos MP'!$C$2:$E$5025,3,0),VLOOKUP(D11,'[1]Resumen SE'!$C$2:$H$5000,6,0))</f>
        <v>Unidades</v>
      </c>
      <c r="I11" s="74">
        <f t="array" ref="I11">IFERROR(_xlfn.IFS(E11="Semielaborado",VLOOKUP(D11,'[1]Resumen SE'!$C$2:$J$4999,8,0),E11="Materia Prima",VLOOKUP(C11,'[1]Materiales MP Y EMP'!$A$1:$H$4734,7,0)),0)</f>
        <v>120</v>
      </c>
      <c r="J11" s="81">
        <f t="shared" si="0"/>
        <v>240</v>
      </c>
      <c r="K11" s="74">
        <f t="array" ref="K11">IFERROR(_xlfn.IFS(E11="Semielaborado",VLOOKUP(D11,'[1]Resumen SE'!$C$2:$L$4999,10,0),E11="Empaque",VLOOKUP(C11,'[1]Materiales MP Y EMP'!$A$1:$H$4734,7,0)),0)</f>
        <v>0</v>
      </c>
      <c r="L11" s="81">
        <f t="shared" si="1"/>
        <v>0</v>
      </c>
      <c r="M11" s="74">
        <f t="array" ref="M11">IFERROR(_xlfn.IFS(E11="semielaborado",VLOOKUP(D11,'[1]Resumen SE'!$C$1:$N$4999,12,0),E11="MANO OBRA",VLOOKUP(C11,'[1]Materiales MP Y EMP'!$A$1:$H$4734,7,0)),0)</f>
        <v>0</v>
      </c>
      <c r="N11" s="81">
        <f t="shared" si="2"/>
        <v>0</v>
      </c>
    </row>
    <row r="12" spans="1:15" ht="15.75" x14ac:dyDescent="0.25">
      <c r="A12" s="77" t="s">
        <v>101</v>
      </c>
      <c r="B12" s="77" t="str">
        <f>VLOOKUP(A12,'[1]Resumen PT'!$C$2:$D$5013,2,0)</f>
        <v>Torta Pie De Limon 1770 grs</v>
      </c>
      <c r="C12" s="78" t="s">
        <v>105</v>
      </c>
      <c r="D12" s="79" t="str">
        <f>IF(OR(E12="Materia Prima",E12="Empaque",E12="Mano Obra"),VLOOKUP(C12,'[1]Homologo Códigos MP'!$A$2:$C$5025,3,0),VLOOKUP(C12,'[1]Resumen SE'!$A$2:$C$5000,3,0))</f>
        <v>MP10109</v>
      </c>
      <c r="E12" s="77" t="s">
        <v>104</v>
      </c>
      <c r="F12" s="77" t="str">
        <f>IF(OR(E12="Materia Prima",E12="Empaque",E12="Mano Obra"),VLOOKUP(C12,'[1]Homologo Códigos MP'!$A$2:$D$5025,4,0),VLOOKUP(D12,'[1]Resumen SE'!$C$2:$D$5000,2,0))</f>
        <v xml:space="preserve">Cereza Roja C/Tallo </v>
      </c>
      <c r="G12" s="80">
        <v>5</v>
      </c>
      <c r="H12" s="72" t="str">
        <f>IF(OR(E12="Materia Prima",E12="Empaque",E12="Mano Obra"),VLOOKUP(D12,'[1]Homologo Códigos MP'!$C$2:$E$5025,3,0),VLOOKUP(D12,'[1]Resumen SE'!$C$2:$H$5000,6,0))</f>
        <v>Mililitros</v>
      </c>
      <c r="I12" s="74">
        <f t="array" ref="I12">IFERROR(_xlfn.IFS(E12="Semielaborado",VLOOKUP(D12,'[1]Resumen SE'!$C$2:$J$4999,8,0),E12="Materia Prima",VLOOKUP(C12,'[1]Materiales MP Y EMP'!$A$1:$H$4734,7,0)),0)</f>
        <v>3.495904887714663</v>
      </c>
      <c r="J12" s="81">
        <f t="shared" si="0"/>
        <v>17.479524438573314</v>
      </c>
      <c r="K12" s="74">
        <f t="array" ref="K12">IFERROR(_xlfn.IFS(E12="Semielaborado",VLOOKUP(D12,'[1]Resumen SE'!$C$2:$L$4999,10,0),E12="Empaque",VLOOKUP(C12,'[1]Materiales MP Y EMP'!$A$1:$H$4734,7,0)),0)</f>
        <v>0</v>
      </c>
      <c r="L12" s="81">
        <f t="shared" si="1"/>
        <v>0</v>
      </c>
      <c r="M12" s="74">
        <f t="array" ref="M12">IFERROR(_xlfn.IFS(E12="semielaborado",VLOOKUP(D12,'[1]Resumen SE'!$C$1:$N$4999,12,0),E12="MANO OBRA",VLOOKUP(C12,'[1]Materiales MP Y EMP'!$A$1:$H$4734,7,0)),0)</f>
        <v>0</v>
      </c>
      <c r="N12" s="81">
        <f t="shared" si="2"/>
        <v>0</v>
      </c>
    </row>
    <row r="13" spans="1:15" ht="15.75" x14ac:dyDescent="0.25">
      <c r="A13" t="s">
        <v>101</v>
      </c>
      <c r="B13" t="str">
        <f>VLOOKUP(A13,'[1]Resumen PT'!$C$2:$D$5013,2,0)</f>
        <v>Torta Pie De Limon 1770 grs</v>
      </c>
      <c r="C13" s="88" t="s">
        <v>55</v>
      </c>
      <c r="D13" s="89" t="str">
        <f>IF(OR(E13="Materia Prima",E13="Empaque",E13="Mano Obra"),VLOOKUP(C13,'[1]Homologo Códigos MP'!$A$2:$C$5025,3,0),VLOOKUP(C13,'[1]Resumen SE'!$A$2:$C$5000,3,0))</f>
        <v>EM10009</v>
      </c>
      <c r="E13" t="s">
        <v>106</v>
      </c>
      <c r="F13" t="str">
        <f>IF(OR(E13="Materia Prima",E13="Empaque",E13="Mano Obra"),VLOOKUP(C13,'[1]Homologo Códigos MP'!$A$2:$D$5025,4,0),VLOOKUP(D13,'[1]Resumen SE'!$C$2:$D$5000,2,0))</f>
        <v xml:space="preserve">Quequera Red  Base/Domo 10 </v>
      </c>
      <c r="G13" s="90">
        <v>1</v>
      </c>
      <c r="H13" s="72" t="str">
        <f>IF(OR(E13="Materia Prima",E13="Empaque",E13="Mano Obra"),VLOOKUP(D13,'[1]Homologo Códigos MP'!$C$2:$E$5025,3,0),VLOOKUP(D13,'[1]Resumen SE'!$C$2:$H$5000,6,0))</f>
        <v>Unidades</v>
      </c>
      <c r="I13" s="74">
        <f t="array" ref="I13">IFERROR(_xlfn.IFS(E13="Semielaborado",VLOOKUP(D13,'[1]Resumen SE'!$C$2:$J$4999,8,0),E13="Materia Prima",VLOOKUP(C13,'[1]Materiales MP Y EMP'!$A$1:$H$4734,7,0)),0)</f>
        <v>0</v>
      </c>
      <c r="J13" s="81">
        <f t="shared" si="0"/>
        <v>0</v>
      </c>
      <c r="K13" s="74">
        <f t="array" ref="K13">IFERROR(_xlfn.IFS(E13="Semielaborado",VLOOKUP(D13,'[1]Resumen SE'!$C$2:$L$4999,10,0),E13="Empaque",VLOOKUP(C13,'[1]Materiales MP Y EMP'!$A$1:$H$4734,7,0)),0)</f>
        <v>601.48</v>
      </c>
      <c r="L13" s="81">
        <f t="shared" si="1"/>
        <v>601.48</v>
      </c>
      <c r="M13" s="74">
        <f t="array" ref="M13">IFERROR(_xlfn.IFS(E13="semielaborado",VLOOKUP(D13,'[1]Resumen SE'!$C$1:$N$4999,12,0),E13="MANO OBRA",VLOOKUP(C13,'[1]Materiales MP Y EMP'!$A$1:$H$4734,7,0)),0)</f>
        <v>0</v>
      </c>
      <c r="N13" s="81">
        <f t="shared" si="2"/>
        <v>0</v>
      </c>
    </row>
    <row r="14" spans="1:15" ht="15.75" x14ac:dyDescent="0.25">
      <c r="A14" t="s">
        <v>101</v>
      </c>
      <c r="B14" t="str">
        <f>VLOOKUP(A14,'[1]Resumen PT'!$C$2:$D$5013,2,0)</f>
        <v>Torta Pie De Limon 1770 grs</v>
      </c>
      <c r="C14" s="88" t="s">
        <v>58</v>
      </c>
      <c r="D14" s="89" t="str">
        <f>IF(OR(E14="Materia Prima",E14="Empaque",E14="Mano Obra"),VLOOKUP(C14,'[1]Homologo Códigos MP'!$A$2:$C$5025,3,0),VLOOKUP(C14,'[1]Resumen SE'!$A$2:$C$5000,3,0))</f>
        <v>EM10008</v>
      </c>
      <c r="E14" t="s">
        <v>106</v>
      </c>
      <c r="F14" t="str">
        <f>IF(OR(E14="Materia Prima",E14="Empaque",E14="Mano Obra"),VLOOKUP(C14,'[1]Homologo Códigos MP'!$A$2:$D$5025,4,0),VLOOKUP(D14,'[1]Resumen SE'!$C$2:$D$5000,2,0))</f>
        <v>Orla Carton 10" Dorada</v>
      </c>
      <c r="G14" s="90">
        <v>1</v>
      </c>
      <c r="H14" s="72" t="str">
        <f>IF(OR(E14="Materia Prima",E14="Empaque",E14="Mano Obra"),VLOOKUP(D14,'[1]Homologo Códigos MP'!$C$2:$E$5025,3,0),VLOOKUP(D14,'[1]Resumen SE'!$C$2:$H$5000,6,0))</f>
        <v>Unidades</v>
      </c>
      <c r="I14" s="74">
        <f t="array" ref="I14">IFERROR(_xlfn.IFS(E14="Semielaborado",VLOOKUP(D14,'[1]Resumen SE'!$C$2:$J$4999,8,0),E14="Materia Prima",VLOOKUP(C14,'[1]Materiales MP Y EMP'!$A$1:$H$4734,7,0)),0)</f>
        <v>0</v>
      </c>
      <c r="J14" s="81">
        <f t="shared" si="0"/>
        <v>0</v>
      </c>
      <c r="K14" s="74">
        <f t="array" ref="K14">IFERROR(_xlfn.IFS(E14="Semielaborado",VLOOKUP(D14,'[1]Resumen SE'!$C$2:$L$4999,10,0),E14="Empaque",VLOOKUP(C14,'[1]Materiales MP Y EMP'!$A$1:$H$4734,7,0)),0)</f>
        <v>137</v>
      </c>
      <c r="L14" s="81">
        <f t="shared" si="1"/>
        <v>137</v>
      </c>
      <c r="M14" s="74">
        <f t="array" ref="M14">IFERROR(_xlfn.IFS(E14="semielaborado",VLOOKUP(D14,'[1]Resumen SE'!$C$1:$N$4999,12,0),E14="MANO OBRA",VLOOKUP(C14,'[1]Materiales MP Y EMP'!$A$1:$H$4734,7,0)),0)</f>
        <v>0</v>
      </c>
      <c r="N14" s="81">
        <f t="shared" si="2"/>
        <v>0</v>
      </c>
    </row>
    <row r="15" spans="1:15" ht="15.75" x14ac:dyDescent="0.25">
      <c r="A15" t="s">
        <v>101</v>
      </c>
      <c r="B15" t="str">
        <f>VLOOKUP(A15,'[1]Resumen PT'!$C$2:$D$5013,2,0)</f>
        <v>Torta Pie De Limon 1770 grs</v>
      </c>
      <c r="C15" s="88" t="s">
        <v>107</v>
      </c>
      <c r="D15" s="89" t="str">
        <f>IF(OR(E15="Materia Prima",E15="Empaque",E15="Mano Obra"),VLOOKUP(C15,'[1]Homologo Códigos MP'!$A$2:$C$5025,3,0),VLOOKUP(C15,'[1]Resumen SE'!$A$2:$C$5000,3,0))</f>
        <v>EM10002</v>
      </c>
      <c r="E15" t="s">
        <v>106</v>
      </c>
      <c r="F15" t="str">
        <f>IF(OR(E15="Materia Prima",E15="Empaque",E15="Mano Obra"),VLOOKUP(C15,'[1]Homologo Códigos MP'!$A$2:$D$5025,4,0),VLOOKUP(D15,'[1]Resumen SE'!$C$2:$D$5000,2,0))</f>
        <v>Etiq.Blanca 1 1/4 * 3/4</v>
      </c>
      <c r="G15" s="90">
        <v>2</v>
      </c>
      <c r="H15" s="72" t="str">
        <f>IF(OR(E15="Materia Prima",E15="Empaque",E15="Mano Obra"),VLOOKUP(D15,'[1]Homologo Códigos MP'!$C$2:$E$5025,3,0),VLOOKUP(D15,'[1]Resumen SE'!$C$2:$H$5000,6,0))</f>
        <v>Unidades</v>
      </c>
      <c r="I15" s="74">
        <f t="array" ref="I15">IFERROR(_xlfn.IFS(E15="Semielaborado",VLOOKUP(D15,'[1]Resumen SE'!$C$2:$J$4999,8,0),E15="Materia Prima",VLOOKUP(C15,'[1]Materiales MP Y EMP'!$A$1:$H$4734,7,0)),0)</f>
        <v>0</v>
      </c>
      <c r="J15" s="81">
        <f t="shared" si="0"/>
        <v>0</v>
      </c>
      <c r="K15" s="74">
        <f t="array" ref="K15">IFERROR(_xlfn.IFS(E15="Semielaborado",VLOOKUP(D15,'[1]Resumen SE'!$C$2:$L$4999,10,0),E15="Empaque",VLOOKUP(C15,'[1]Materiales MP Y EMP'!$A$1:$H$4734,7,0)),0)</f>
        <v>0.57999999999999996</v>
      </c>
      <c r="L15" s="81">
        <f t="shared" si="1"/>
        <v>1.1599999999999999</v>
      </c>
      <c r="M15" s="74">
        <f t="array" ref="M15">IFERROR(_xlfn.IFS(E15="semielaborado",VLOOKUP(D15,'[1]Resumen SE'!$C$1:$N$4999,12,0),E15="MANO OBRA",VLOOKUP(C15,'[1]Materiales MP Y EMP'!$A$1:$H$4734,7,0)),0)</f>
        <v>0</v>
      </c>
      <c r="N15" s="81">
        <f t="shared" si="2"/>
        <v>0</v>
      </c>
    </row>
    <row r="16" spans="1:15" ht="15.75" x14ac:dyDescent="0.25">
      <c r="A16" t="s">
        <v>101</v>
      </c>
      <c r="B16" t="str">
        <f>VLOOKUP(A16,'[1]Resumen PT'!$C$2:$D$5013,2,0)</f>
        <v>Torta Pie De Limon 1770 grs</v>
      </c>
      <c r="C16" s="88" t="s">
        <v>108</v>
      </c>
      <c r="D16" s="89" t="str">
        <f>IF(OR(E16="Materia Prima",E16="Empaque",E16="Mano Obra"),VLOOKUP(C16,'[1]Homologo Códigos MP'!$A$2:$C$5025,3,0),VLOOKUP(C16,'[1]Resumen SE'!$A$2:$C$5000,3,0))</f>
        <v>EM10011</v>
      </c>
      <c r="E16" t="s">
        <v>106</v>
      </c>
      <c r="F16" t="str">
        <f>IF(OR(E16="Materia Prima",E16="Empaque",E16="Mano Obra"),VLOOKUP(C16,'[1]Homologo Códigos MP'!$A$2:$D$5025,4,0),VLOOKUP(D16,'[1]Resumen SE'!$C$2:$D$5000,2,0))</f>
        <v xml:space="preserve">Etiqueta Blanca 2 5/8X1 15/16 </v>
      </c>
      <c r="G16" s="90">
        <v>1</v>
      </c>
      <c r="H16" s="72" t="str">
        <f>IF(OR(E16="Materia Prima",E16="Empaque",E16="Mano Obra"),VLOOKUP(D16,'[1]Homologo Códigos MP'!$C$2:$E$5025,3,0),VLOOKUP(D16,'[1]Resumen SE'!$C$2:$H$5000,6,0))</f>
        <v>Unidades</v>
      </c>
      <c r="I16" s="74">
        <f t="array" ref="I16">IFERROR(_xlfn.IFS(E16="Semielaborado",VLOOKUP(D16,'[1]Resumen SE'!$C$2:$J$4999,8,0),E16="Materia Prima",VLOOKUP(C16,'[1]Materiales MP Y EMP'!$A$1:$H$4734,7,0)),0)</f>
        <v>0</v>
      </c>
      <c r="J16" s="81">
        <f t="shared" si="0"/>
        <v>0</v>
      </c>
      <c r="K16" s="74">
        <f t="array" ref="K16">IFERROR(_xlfn.IFS(E16="Semielaborado",VLOOKUP(D16,'[1]Resumen SE'!$C$2:$L$4999,10,0),E16="Empaque",VLOOKUP(C16,'[1]Materiales MP Y EMP'!$A$1:$H$4734,7,0)),0)</f>
        <v>2.1280000000000001</v>
      </c>
      <c r="L16" s="81">
        <f t="shared" si="1"/>
        <v>2.1280000000000001</v>
      </c>
      <c r="M16" s="74">
        <f t="array" ref="M16">IFERROR(_xlfn.IFS(E16="semielaborado",VLOOKUP(D16,'[1]Resumen SE'!$C$1:$N$4999,12,0),E16="MANO OBRA",VLOOKUP(C16,'[1]Materiales MP Y EMP'!$A$1:$H$4734,7,0)),0)</f>
        <v>0</v>
      </c>
      <c r="N16" s="81">
        <f t="shared" si="2"/>
        <v>0</v>
      </c>
    </row>
    <row r="17" spans="1:14" ht="15.75" x14ac:dyDescent="0.25">
      <c r="A17" t="s">
        <v>101</v>
      </c>
      <c r="B17" t="str">
        <f>VLOOKUP(A17,'[1]Resumen PT'!$C$2:$D$5013,2,0)</f>
        <v>Torta Pie De Limon 1770 grs</v>
      </c>
      <c r="C17" s="88" t="s">
        <v>64</v>
      </c>
      <c r="D17" s="89" t="str">
        <f>IF(OR(E17="Materia Prima",E17="Empaque",E17="Mano Obra"),VLOOKUP(C17,'[1]Homologo Códigos MP'!$A$2:$C$5025,3,0),VLOOKUP(C17,'[1]Resumen SE'!$A$2:$C$5000,3,0))</f>
        <v>EM10004</v>
      </c>
      <c r="E17" t="s">
        <v>106</v>
      </c>
      <c r="F17" t="str">
        <f>IF(OR(E17="Materia Prima",E17="Empaque",E17="Mano Obra"),VLOOKUP(C17,'[1]Homologo Códigos MP'!$A$2:$D$5025,4,0),VLOOKUP(D17,'[1]Resumen SE'!$C$2:$D$5000,2,0))</f>
        <v xml:space="preserve">Etiq.Fecha Vencimiento Blanco </v>
      </c>
      <c r="G17" s="90">
        <v>1</v>
      </c>
      <c r="H17" s="72" t="str">
        <f>IF(OR(E17="Materia Prima",E17="Empaque",E17="Mano Obra"),VLOOKUP(D17,'[1]Homologo Códigos MP'!$C$2:$E$5025,3,0),VLOOKUP(D17,'[1]Resumen SE'!$C$2:$H$5000,6,0))</f>
        <v>Unidades</v>
      </c>
      <c r="I17" s="74">
        <f t="array" ref="I17">IFERROR(_xlfn.IFS(E17="Semielaborado",VLOOKUP(D17,'[1]Resumen SE'!$C$2:$J$4999,8,0),E17="Materia Prima",VLOOKUP(C17,'[1]Materiales MP Y EMP'!$A$1:$H$4734,7,0)),0)</f>
        <v>0</v>
      </c>
      <c r="J17" s="81">
        <f t="shared" si="0"/>
        <v>0</v>
      </c>
      <c r="K17" s="74">
        <f t="array" ref="K17">IFERROR(_xlfn.IFS(E17="Semielaborado",VLOOKUP(D17,'[1]Resumen SE'!$C$2:$L$4999,10,0),E17="Empaque",VLOOKUP(C17,'[1]Materiales MP Y EMP'!$A$1:$H$4734,7,0)),0)</f>
        <v>0.3611111111111111</v>
      </c>
      <c r="L17" s="81">
        <f t="shared" si="1"/>
        <v>0.3611111111111111</v>
      </c>
      <c r="M17" s="74">
        <f t="array" ref="M17">IFERROR(_xlfn.IFS(E17="semielaborado",VLOOKUP(D17,'[1]Resumen SE'!$C$1:$N$4999,12,0),E17="MANO OBRA",VLOOKUP(C17,'[1]Materiales MP Y EMP'!$A$1:$H$4734,7,0)),0)</f>
        <v>0</v>
      </c>
      <c r="N17" s="81">
        <f t="shared" si="2"/>
        <v>0</v>
      </c>
    </row>
    <row r="18" spans="1:14" ht="15.75" x14ac:dyDescent="0.25">
      <c r="A18" t="s">
        <v>101</v>
      </c>
      <c r="B18" t="str">
        <f>VLOOKUP(A18,'[1]Resumen PT'!$C$2:$D$5013,2,0)</f>
        <v>Torta Pie De Limon 1770 grs</v>
      </c>
      <c r="C18" s="88" t="s">
        <v>109</v>
      </c>
      <c r="D18" s="89">
        <f>IF(OR(E18="Materia Prima",E18="Empaque",E18="Mano Obra"),VLOOKUP(C18,'[1]Homologo Códigos MP'!$A$2:$C$5025,3,0),VLOOKUP(C18,'[1]Resumen SE'!$A$2:$C$5000,3,0))</f>
        <v>10416</v>
      </c>
      <c r="E18" t="s">
        <v>110</v>
      </c>
      <c r="F18" t="str">
        <f>IF(OR(E18="Materia Prima",E18="Empaque",E18="Mano Obra"),VLOOKUP(C18,'[1]Homologo Códigos MP'!$A$2:$D$5025,4,0),VLOOKUP(D18,'[1]Resumen SE'!$C$2:$D$5000,2,0))</f>
        <v>Mano De Obra</v>
      </c>
      <c r="G18" s="90">
        <v>7</v>
      </c>
      <c r="H18" s="72" t="str">
        <f>IF(OR(E18="Materia Prima",E18="Empaque",E18="Mano Obra"),VLOOKUP(D18,'[1]Homologo Códigos MP'!$C$2:$E$5025,3,0),VLOOKUP(D18,'[1]Resumen SE'!$C$2:$H$5000,6,0))</f>
        <v>Min</v>
      </c>
      <c r="I18" s="74">
        <f t="array" ref="I18">IFERROR(_xlfn.IFS(E18="Semielaborado",VLOOKUP(D18,'[1]Resumen SE'!$C$2:$J$4999,8,0),E18="Materia Prima",VLOOKUP(C18,'[1]Materiales MP Y EMP'!$A$1:$H$4734,7,0)),0)</f>
        <v>0</v>
      </c>
      <c r="J18" s="81">
        <f t="shared" si="0"/>
        <v>0</v>
      </c>
      <c r="K18" s="74">
        <f t="array" ref="K18">IFERROR(_xlfn.IFS(E18="Semielaborado",VLOOKUP(D18,'[1]Resumen SE'!$C$2:$L$4999,10,0),E18="Empaque",VLOOKUP(C18,'[1]Materiales MP Y EMP'!$A$1:$H$4734,7,0)),0)</f>
        <v>0</v>
      </c>
      <c r="L18" s="81">
        <f t="shared" si="1"/>
        <v>0</v>
      </c>
      <c r="M18" s="74">
        <f t="array" ref="M18">IFERROR(_xlfn.IFS(E18="semielaborado",VLOOKUP(D18,'[1]Resumen SE'!$C$1:$N$4999,12,0),E18="MANO OBRA",VLOOKUP(C18,'[1]Materiales MP Y EMP'!$A$1:$H$4734,7,0)),0)</f>
        <v>58</v>
      </c>
      <c r="N18" s="81">
        <f t="shared" si="2"/>
        <v>406</v>
      </c>
    </row>
    <row r="20" spans="1:14" x14ac:dyDescent="0.2">
      <c r="J20" s="91">
        <f>SUM(J4:J19)</f>
        <v>4021.4046709005083</v>
      </c>
      <c r="L20" s="91">
        <f>SUM(L4:L19)</f>
        <v>752.30358467754434</v>
      </c>
      <c r="N20" s="91">
        <f>SUM(N4:N19)</f>
        <v>513.48386399663718</v>
      </c>
    </row>
    <row r="22" spans="1:14" x14ac:dyDescent="0.2">
      <c r="J22">
        <v>3720.73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8B3A96-B25E-408A-9233-85B227E99F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0AD12F-CD26-47F4-BF60-66BB39C674F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599E3F0F-6D0F-40E3-BB0F-AE6B8C7CAF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Receta</vt:lpstr>
      <vt:lpstr>Hoja1</vt:lpstr>
      <vt:lpstr>Costo</vt:lpstr>
      <vt:lpstr>Receta!Área_de_impresión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2025-03-25T22:47:09Z</cp:lastPrinted>
  <dcterms:created xsi:type="dcterms:W3CDTF">2009-03-11T22:07:15Z</dcterms:created>
  <dcterms:modified xsi:type="dcterms:W3CDTF">2025-03-25T22:47:23Z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100559800</vt:r8>
  </property>
</Properties>
</file>
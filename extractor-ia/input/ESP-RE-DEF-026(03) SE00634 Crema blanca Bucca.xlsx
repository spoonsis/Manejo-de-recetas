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5" documentId="8_{62BC56D2-2740-49A9-B2CF-E662C7193716}" xr6:coauthVersionLast="47" xr6:coauthVersionMax="47" xr10:uidLastSave="{95D8216B-62B4-4BAB-BC83-81DBED1042F6}"/>
  <bookViews>
    <workbookView xWindow="-120" yWindow="-120" windowWidth="20730" windowHeight="11040" xr2:uid="{9D428AE0-C564-42DD-92CB-8494CD453675}"/>
  </bookViews>
  <sheets>
    <sheet name="Hoja1" sheetId="15" r:id="rId1"/>
    <sheet name="COSTO CREMA " sheetId="14" state="hidden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5" l="1"/>
  <c r="D73" i="14"/>
  <c r="D74" i="14"/>
  <c r="D76" i="14"/>
  <c r="D71" i="14"/>
  <c r="D69" i="14"/>
  <c r="F65" i="14"/>
  <c r="C73" i="14"/>
  <c r="D60" i="14"/>
  <c r="D85" i="14"/>
  <c r="D86" i="14"/>
  <c r="C51" i="14"/>
  <c r="E50" i="14"/>
  <c r="F50" i="14" s="1"/>
  <c r="D50" i="14"/>
  <c r="B50" i="14"/>
  <c r="E49" i="14"/>
  <c r="D49" i="14"/>
  <c r="B49" i="14"/>
  <c r="E48" i="14"/>
  <c r="F48" i="14" s="1"/>
  <c r="D48" i="14"/>
  <c r="B48" i="14"/>
  <c r="E47" i="14"/>
  <c r="D47" i="14"/>
  <c r="B47" i="14"/>
  <c r="E46" i="14"/>
  <c r="D46" i="14"/>
  <c r="B46" i="14"/>
  <c r="E45" i="14"/>
  <c r="D45" i="14"/>
  <c r="B45" i="14"/>
  <c r="E44" i="14"/>
  <c r="D44" i="14"/>
  <c r="B44" i="14"/>
  <c r="E41" i="14"/>
  <c r="D41" i="14"/>
  <c r="B41" i="14"/>
  <c r="A41" i="14"/>
  <c r="A50" i="14"/>
  <c r="C50" i="14"/>
  <c r="E40" i="14"/>
  <c r="D40" i="14"/>
  <c r="B40" i="14"/>
  <c r="A40" i="14"/>
  <c r="A49" i="14"/>
  <c r="C49" i="14"/>
  <c r="E39" i="14"/>
  <c r="F39" i="14" s="1"/>
  <c r="D39" i="14"/>
  <c r="C39" i="14"/>
  <c r="B39" i="14"/>
  <c r="A39" i="14"/>
  <c r="A48" i="14"/>
  <c r="C48" i="14"/>
  <c r="E38" i="14"/>
  <c r="D38" i="14"/>
  <c r="B38" i="14"/>
  <c r="A38" i="14"/>
  <c r="C38" i="14"/>
  <c r="E37" i="14"/>
  <c r="D37" i="14"/>
  <c r="B37" i="14"/>
  <c r="A37" i="14"/>
  <c r="A46" i="14"/>
  <c r="C46" i="14"/>
  <c r="E36" i="14"/>
  <c r="D36" i="14"/>
  <c r="C36" i="14"/>
  <c r="B36" i="14"/>
  <c r="A36" i="14"/>
  <c r="A45" i="14"/>
  <c r="C45" i="14"/>
  <c r="E35" i="14"/>
  <c r="F35" i="14" s="1"/>
  <c r="D35" i="14"/>
  <c r="B35" i="14"/>
  <c r="A35" i="14"/>
  <c r="C35" i="14"/>
  <c r="E32" i="14"/>
  <c r="D32" i="14"/>
  <c r="C32" i="14"/>
  <c r="B32" i="14"/>
  <c r="E31" i="14"/>
  <c r="F31" i="14" s="1"/>
  <c r="D31" i="14"/>
  <c r="C31" i="14"/>
  <c r="B31" i="14"/>
  <c r="E30" i="14"/>
  <c r="F30" i="14"/>
  <c r="D30" i="14"/>
  <c r="C30" i="14"/>
  <c r="B30" i="14"/>
  <c r="E29" i="14"/>
  <c r="F29" i="14"/>
  <c r="D29" i="14"/>
  <c r="C29" i="14"/>
  <c r="B29" i="14"/>
  <c r="E28" i="14"/>
  <c r="F28" i="14" s="1"/>
  <c r="D28" i="14"/>
  <c r="C28" i="14"/>
  <c r="B28" i="14"/>
  <c r="E27" i="14"/>
  <c r="F27" i="14" s="1"/>
  <c r="D27" i="14"/>
  <c r="C27" i="14"/>
  <c r="B27" i="14"/>
  <c r="E24" i="14"/>
  <c r="F24" i="14" s="1"/>
  <c r="D24" i="14"/>
  <c r="C24" i="14"/>
  <c r="B24" i="14"/>
  <c r="E23" i="14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/>
  <c r="D19" i="14"/>
  <c r="C19" i="14"/>
  <c r="B19" i="14"/>
  <c r="E18" i="14"/>
  <c r="F18" i="14" s="1"/>
  <c r="D18" i="14"/>
  <c r="C18" i="14"/>
  <c r="B18" i="14"/>
  <c r="E17" i="14"/>
  <c r="F17" i="14" s="1"/>
  <c r="D17" i="14"/>
  <c r="C17" i="14"/>
  <c r="B17" i="14"/>
  <c r="B15" i="14"/>
  <c r="E14" i="14"/>
  <c r="F14" i="14" s="1"/>
  <c r="D14" i="14"/>
  <c r="C14" i="14"/>
  <c r="B14" i="14"/>
  <c r="E13" i="14"/>
  <c r="F13" i="14" s="1"/>
  <c r="D13" i="14"/>
  <c r="C13" i="14"/>
  <c r="B13" i="14"/>
  <c r="E12" i="14"/>
  <c r="F12" i="14"/>
  <c r="D12" i="14"/>
  <c r="C12" i="14"/>
  <c r="B12" i="14"/>
  <c r="E11" i="14"/>
  <c r="F11" i="14"/>
  <c r="D11" i="14"/>
  <c r="C11" i="14"/>
  <c r="B11" i="14"/>
  <c r="E10" i="14"/>
  <c r="F10" i="14" s="1"/>
  <c r="D10" i="14"/>
  <c r="C10" i="14"/>
  <c r="B10" i="14"/>
  <c r="E9" i="14"/>
  <c r="F9" i="14" s="1"/>
  <c r="D9" i="14"/>
  <c r="C9" i="14"/>
  <c r="B9" i="14"/>
  <c r="E8" i="14"/>
  <c r="F8" i="14" s="1"/>
  <c r="D8" i="14"/>
  <c r="C8" i="14"/>
  <c r="B8" i="14"/>
  <c r="H6" i="14"/>
  <c r="E51" i="14"/>
  <c r="F51" i="14"/>
  <c r="F45" i="14"/>
  <c r="F23" i="14"/>
  <c r="F36" i="14"/>
  <c r="A44" i="14"/>
  <c r="C44" i="14"/>
  <c r="F44" i="14"/>
  <c r="F32" i="14"/>
  <c r="C40" i="14"/>
  <c r="F40" i="14"/>
  <c r="C85" i="14"/>
  <c r="E85" i="14"/>
  <c r="E73" i="14"/>
  <c r="F49" i="14"/>
  <c r="F38" i="14"/>
  <c r="F46" i="14"/>
  <c r="C37" i="14"/>
  <c r="F37" i="14"/>
  <c r="C41" i="14"/>
  <c r="F41" i="14"/>
  <c r="D83" i="14"/>
  <c r="D81" i="14"/>
  <c r="A47" i="14"/>
  <c r="C47" i="14"/>
  <c r="F47" i="14"/>
  <c r="F53" i="14" l="1"/>
  <c r="F54" i="14"/>
  <c r="F56" i="14"/>
  <c r="H53" i="14" l="1"/>
  <c r="F2" i="14" s="1"/>
  <c r="F55" i="14"/>
  <c r="F64" i="14"/>
  <c r="C69" i="14"/>
  <c r="H56" i="14"/>
  <c r="C74" i="14"/>
  <c r="C76" i="14"/>
  <c r="E76" i="14" s="1"/>
  <c r="H54" i="14"/>
  <c r="G2" i="14" s="1"/>
  <c r="E69" i="14" l="1"/>
  <c r="E78" i="14" s="1"/>
  <c r="C81" i="14"/>
  <c r="E81" i="14" s="1"/>
  <c r="O54" i="14"/>
  <c r="H55" i="14"/>
  <c r="F63" i="14"/>
  <c r="O55" i="14"/>
  <c r="H58" i="14"/>
  <c r="H59" i="14" s="1"/>
  <c r="O58" i="14" s="1"/>
  <c r="H2" i="14"/>
  <c r="C86" i="14"/>
  <c r="E86" i="14" s="1"/>
  <c r="E74" i="14"/>
  <c r="F66" i="14" l="1"/>
  <c r="C71" i="14"/>
  <c r="G63" i="14"/>
  <c r="E63" i="14"/>
  <c r="O56" i="14"/>
  <c r="O57" i="14" s="1"/>
  <c r="O59" i="14" s="1"/>
  <c r="O60" i="14" l="1"/>
  <c r="O61" i="14"/>
  <c r="O62" i="14" s="1"/>
  <c r="C83" i="14"/>
  <c r="E83" i="14" s="1"/>
  <c r="E71" i="14"/>
  <c r="G37" i="14"/>
  <c r="G29" i="14"/>
  <c r="G45" i="14"/>
  <c r="G40" i="14"/>
  <c r="G12" i="14"/>
  <c r="G66" i="14"/>
  <c r="G44" i="14"/>
  <c r="G51" i="14"/>
  <c r="G65" i="14"/>
  <c r="G46" i="14"/>
  <c r="G11" i="14"/>
  <c r="G49" i="14"/>
  <c r="G50" i="14"/>
  <c r="G47" i="14"/>
  <c r="G30" i="14"/>
  <c r="G14" i="14"/>
  <c r="G23" i="14"/>
  <c r="G17" i="14"/>
  <c r="G10" i="14"/>
  <c r="G13" i="14"/>
  <c r="G35" i="14"/>
  <c r="G20" i="14"/>
  <c r="G41" i="14"/>
  <c r="G31" i="14"/>
  <c r="G28" i="14"/>
  <c r="G18" i="14"/>
  <c r="G48" i="14"/>
  <c r="G39" i="14"/>
  <c r="G21" i="14"/>
  <c r="G32" i="14"/>
  <c r="G8" i="14"/>
  <c r="G19" i="14"/>
  <c r="G24" i="14"/>
  <c r="G38" i="14"/>
  <c r="G36" i="14"/>
  <c r="G9" i="14"/>
  <c r="G22" i="14"/>
  <c r="G27" i="14"/>
  <c r="G54" i="14"/>
  <c r="G53" i="14"/>
  <c r="G56" i="14"/>
  <c r="G64" i="14"/>
  <c r="G55" i="14"/>
  <c r="P62" i="14" l="1"/>
  <c r="E2" i="14"/>
</calcChain>
</file>

<file path=xl/sharedStrings.xml><?xml version="1.0" encoding="utf-8"?>
<sst xmlns="http://schemas.openxmlformats.org/spreadsheetml/2006/main" count="170" uniqueCount="123">
  <si>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</si>
  <si>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</si>
  <si>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</si>
  <si>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</si>
  <si>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</si>
  <si>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</si>
  <si>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</si>
  <si>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</si>
  <si>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</si>
  <si>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</si>
  <si>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</si>
  <si>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</si>
  <si>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</si>
  <si>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</si>
  <si>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</si>
  <si>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</si>
  <si>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</si>
  <si>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</si>
  <si>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</si>
  <si>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</si>
  <si>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</si>
  <si>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</si>
  <si>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</si>
  <si>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</si>
  <si>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</si>
  <si>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</si>
  <si>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</si>
  <si>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</si>
  <si>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</si>
  <si>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2.- Disolver el preservante en el agua. Agregar a la top cream.</t>
  </si>
  <si>
    <t>4.- Etiquetar con nombre y fecha de vencimiento.</t>
  </si>
  <si>
    <t>5.- Mantener en refrigeración.</t>
  </si>
  <si>
    <t>ud</t>
  </si>
  <si>
    <t>BETTERCREME SUPREMO (UND:4 K)</t>
  </si>
  <si>
    <t>CREMA PRESTIGE GRAND (UND:4 K)</t>
  </si>
  <si>
    <t>10415</t>
  </si>
  <si>
    <t>AGUA POTABLE (PLANTA)</t>
  </si>
  <si>
    <t>PRESERVANTE 1047S (PAQ=5 KILO)</t>
  </si>
  <si>
    <t>ETIQUETA BLANCA 2 5/8X1 15/16 (UND)</t>
  </si>
  <si>
    <t>min</t>
  </si>
  <si>
    <t>Esteban Cartin, Gte Manufactura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</si>
  <si>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</si>
  <si>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</si>
  <si>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</si>
  <si>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</si>
  <si>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</si>
  <si>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</si>
  <si>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</si>
  <si>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</si>
  <si>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</si>
  <si>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</si>
  <si>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</si>
  <si>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</si>
  <si>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</si>
  <si>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</si>
  <si>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</si>
  <si>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</si>
  <si>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</si>
  <si>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</si>
  <si>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</si>
  <si>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</si>
  <si>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</si>
  <si>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</si>
  <si>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</si>
  <si>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</si>
  <si>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</si>
  <si>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</si>
  <si>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</si>
  <si>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</si>
  <si>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</si>
  <si>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</si>
  <si>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</si>
  <si>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</si>
  <si>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</si>
  <si>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</si>
  <si>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</si>
  <si>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</si>
  <si>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</si>
  <si>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</si>
  <si>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</si>
  <si>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</si>
  <si>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</si>
  <si>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</si>
  <si>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</si>
  <si>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</si>
  <si>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</si>
  <si>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</si>
  <si>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</si>
  <si>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</si>
  <si>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</si>
  <si>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</si>
  <si>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</si>
  <si>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</si>
  <si>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310148</t>
  </si>
  <si>
    <t>11400031</t>
  </si>
  <si>
    <t>1212410</t>
  </si>
  <si>
    <t>0702123</t>
  </si>
  <si>
    <t>MP10047</t>
  </si>
  <si>
    <t>MP10048</t>
  </si>
  <si>
    <t>MP10008</t>
  </si>
  <si>
    <t>EM10011</t>
  </si>
  <si>
    <t>Javier Tong, Chef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</si>
  <si>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</si>
  <si>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</si>
  <si>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</si>
  <si>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</si>
  <si>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</si>
  <si>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</si>
  <si>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RICHS</t>
  </si>
  <si>
    <t>2 GALON</t>
  </si>
  <si>
    <t>3 GALON</t>
  </si>
  <si>
    <t>AYA</t>
  </si>
  <si>
    <t>ASEAL</t>
  </si>
  <si>
    <t>Empaque</t>
  </si>
  <si>
    <t>ETIPLAST</t>
  </si>
  <si>
    <t>CONTROL DE CAMBIOS</t>
  </si>
  <si>
    <t>ESP-RE-DEF-026</t>
  </si>
  <si>
    <t>1.- Abrir los galones de crema y verter dentro de la top cream (5° en liquido )</t>
  </si>
  <si>
    <t>3.- Batir por 12 a 15 minutos. Colocar en una tina plastica, tapar. (Temperatura de 18°)</t>
  </si>
  <si>
    <t xml:space="preserve">Revisión#2, Se actualizan tiempos de preparación y se agrega temperaturas adecuadas. </t>
  </si>
  <si>
    <t>Revisión#3, Se sube la cantidad de preservante.</t>
  </si>
  <si>
    <t>03</t>
  </si>
  <si>
    <t>SE00634 Crema blanca Bucca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</si>
</sst>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_-* #,##0.0\ _€_-;\-* #,##0.0\ _€_-;_-* &quot;-&quot;??\ _€_-;_-@_-"/>
    <numFmt numFmtId="170" formatCode="[$-409]d\-mmm\-yy;@"/>
    <numFmt numFmtId="171" formatCode="_(* #,##0.000_);_(* \(#,##0.000\);_(* &quot;-&quot;??_);_(@_)"/>
  </numFmts>
  <fonts count="42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3" fillId="0" borderId="0"/>
    <xf numFmtId="9" fontId="4" fillId="0" borderId="0" applyFont="0" applyFill="0" applyBorder="0" applyAlignment="0" applyProtection="0"/>
    <xf numFmtId="0" fontId="3" fillId="0" borderId="0"/>
  </cellStyleXfs>
  <cellXfs count="259">
    <xf numFmtId="0" fontId="0" fillId="0" borderId="0" xfId="0"/>
    <xf numFmtId="0" fontId="2" fillId="9" borderId="0" xfId="0" applyFont="1" applyFill="1" applyAlignment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6" fillId="0" borderId="1" xfId="1" applyFont="1" applyFill="1" applyBorder="1" applyAlignment="1">
      <alignment horizontal="center" vertical="center"/>
    </xf>
    <xf numFmtId="166" fontId="6" fillId="0" borderId="0" xfId="1" applyFont="1" applyFill="1" applyBorder="1" applyAlignment="1">
      <alignment horizontal="center" vertical="center"/>
    </xf>
    <xf numFmtId="166" fontId="8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0" fontId="11" fillId="0" borderId="0" xfId="0" applyNumberFormat="1" applyFont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4" fontId="12" fillId="0" borderId="0" xfId="2" applyNumberFormat="1" applyFont="1" applyFill="1" applyAlignment="1">
      <alignment horizontal="center" vertical="center"/>
    </xf>
    <xf numFmtId="4" fontId="6" fillId="0" borderId="0" xfId="2" applyNumberFormat="1" applyFont="1" applyFill="1" applyAlignment="1">
      <alignment horizontal="center" vertical="center"/>
    </xf>
    <xf numFmtId="10" fontId="6" fillId="0" borderId="0" xfId="5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7" fillId="0" borderId="0" xfId="5" applyNumberFormat="1" applyFont="1" applyFill="1" applyAlignment="1">
      <alignment vertical="center"/>
    </xf>
    <xf numFmtId="0" fontId="2" fillId="0" borderId="0" xfId="0" applyFont="1"/>
    <xf numFmtId="49" fontId="6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66" fontId="2" fillId="0" borderId="0" xfId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1" applyNumberFormat="1" applyFont="1" applyFill="1" applyAlignment="1">
      <alignment vertical="center"/>
    </xf>
    <xf numFmtId="166" fontId="14" fillId="0" borderId="0" xfId="1" applyFont="1" applyFill="1" applyAlignment="1">
      <alignment horizontal="center" vertical="center"/>
    </xf>
    <xf numFmtId="10" fontId="7" fillId="4" borderId="21" xfId="5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21" xfId="0" applyFont="1" applyFill="1" applyBorder="1" applyAlignment="1">
      <alignment vertical="center"/>
    </xf>
    <xf numFmtId="166" fontId="14" fillId="4" borderId="22" xfId="1" applyFont="1" applyFill="1" applyBorder="1" applyAlignment="1">
      <alignment horizontal="center" vertical="center"/>
    </xf>
    <xf numFmtId="166" fontId="16" fillId="0" borderId="0" xfId="1" applyFont="1" applyFill="1" applyBorder="1" applyAlignment="1">
      <alignment horizontal="right"/>
    </xf>
    <xf numFmtId="0" fontId="2" fillId="4" borderId="22" xfId="0" applyFont="1" applyFill="1" applyBorder="1" applyAlignment="1">
      <alignment vertical="center"/>
    </xf>
    <xf numFmtId="10" fontId="7" fillId="4" borderId="22" xfId="5" applyNumberFormat="1" applyFont="1" applyFill="1" applyBorder="1" applyAlignment="1">
      <alignment vertical="center"/>
    </xf>
    <xf numFmtId="0" fontId="15" fillId="0" borderId="0" xfId="0" applyFont="1" applyAlignment="1">
      <alignment horizontal="right"/>
    </xf>
    <xf numFmtId="0" fontId="15" fillId="0" borderId="0" xfId="0" applyFont="1"/>
    <xf numFmtId="9" fontId="15" fillId="0" borderId="0" xfId="0" applyNumberFormat="1" applyFont="1"/>
    <xf numFmtId="9" fontId="33" fillId="0" borderId="0" xfId="5" applyFont="1" applyFill="1" applyAlignment="1">
      <alignment horizont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" fontId="14" fillId="0" borderId="0" xfId="2" applyNumberFormat="1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10" xfId="0" applyFont="1" applyBorder="1" applyAlignment="1">
      <alignment horizontal="right"/>
    </xf>
    <xf numFmtId="166" fontId="19" fillId="5" borderId="23" xfId="1" applyFont="1" applyFill="1" applyBorder="1" applyAlignment="1">
      <alignment horizontal="right"/>
    </xf>
    <xf numFmtId="166" fontId="19" fillId="0" borderId="0" xfId="1" applyFont="1" applyFill="1" applyBorder="1" applyAlignment="1">
      <alignment horizontal="right"/>
    </xf>
    <xf numFmtId="166" fontId="6" fillId="0" borderId="1" xfId="1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4" fontId="14" fillId="0" borderId="0" xfId="2" applyNumberFormat="1" applyFont="1" applyFill="1" applyAlignment="1">
      <alignment horizontal="center" vertical="center"/>
    </xf>
    <xf numFmtId="10" fontId="21" fillId="0" borderId="0" xfId="5" applyNumberFormat="1" applyFont="1" applyFill="1" applyAlignment="1">
      <alignment horizontal="right"/>
    </xf>
    <xf numFmtId="169" fontId="6" fillId="4" borderId="1" xfId="1" applyNumberFormat="1" applyFont="1" applyFill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166" fontId="6" fillId="6" borderId="1" xfId="1" applyFont="1" applyFill="1" applyBorder="1" applyAlignment="1">
      <alignment vertical="center"/>
    </xf>
    <xf numFmtId="166" fontId="22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7" fillId="4" borderId="24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2" fontId="21" fillId="0" borderId="0" xfId="1" applyNumberFormat="1" applyFont="1" applyFill="1" applyBorder="1" applyAlignment="1">
      <alignment horizontal="center"/>
    </xf>
    <xf numFmtId="2" fontId="18" fillId="0" borderId="0" xfId="1" applyNumberFormat="1" applyFont="1" applyFill="1" applyBorder="1" applyAlignment="1">
      <alignment horizontal="center"/>
    </xf>
    <xf numFmtId="0" fontId="2" fillId="4" borderId="24" xfId="0" applyFont="1" applyFill="1" applyBorder="1" applyAlignment="1">
      <alignment vertical="center"/>
    </xf>
    <xf numFmtId="10" fontId="2" fillId="0" borderId="0" xfId="5" applyNumberFormat="1" applyFont="1" applyFill="1" applyAlignment="1">
      <alignment vertical="center"/>
    </xf>
    <xf numFmtId="4" fontId="2" fillId="0" borderId="0" xfId="1" applyNumberFormat="1" applyFont="1" applyFill="1" applyAlignment="1">
      <alignment vertical="center"/>
    </xf>
    <xf numFmtId="166" fontId="19" fillId="4" borderId="12" xfId="1" applyFont="1" applyFill="1" applyBorder="1" applyAlignment="1">
      <alignment horizontal="right"/>
    </xf>
    <xf numFmtId="0" fontId="6" fillId="4" borderId="13" xfId="0" applyFont="1" applyFill="1" applyBorder="1" applyAlignment="1">
      <alignment horizontal="right" vertical="center"/>
    </xf>
    <xf numFmtId="10" fontId="25" fillId="0" borderId="0" xfId="1" applyNumberFormat="1" applyFont="1" applyFill="1" applyAlignment="1">
      <alignment vertical="center"/>
    </xf>
    <xf numFmtId="10" fontId="7" fillId="0" borderId="0" xfId="5" applyNumberFormat="1" applyFont="1" applyFill="1" applyBorder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166" fontId="27" fillId="0" borderId="0" xfId="1" applyFont="1" applyFill="1" applyAlignment="1">
      <alignment vertical="center"/>
    </xf>
    <xf numFmtId="4" fontId="28" fillId="0" borderId="0" xfId="2" applyNumberFormat="1" applyFont="1" applyFill="1" applyAlignment="1">
      <alignment horizontal="center" vertical="center" wrapText="1"/>
    </xf>
    <xf numFmtId="9" fontId="2" fillId="0" borderId="0" xfId="1" applyNumberFormat="1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4" fontId="6" fillId="7" borderId="23" xfId="1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66" fontId="29" fillId="0" borderId="0" xfId="1" applyFont="1" applyFill="1" applyAlignment="1">
      <alignment vertical="center"/>
    </xf>
    <xf numFmtId="9" fontId="29" fillId="0" borderId="0" xfId="1" applyNumberFormat="1" applyFont="1" applyFill="1" applyAlignment="1">
      <alignment vertical="center"/>
    </xf>
    <xf numFmtId="4" fontId="6" fillId="0" borderId="0" xfId="1" applyNumberFormat="1" applyFont="1" applyFill="1" applyAlignment="1">
      <alignment horizontal="center" vertical="center"/>
    </xf>
    <xf numFmtId="10" fontId="22" fillId="0" borderId="0" xfId="5" applyNumberFormat="1" applyFont="1" applyFill="1" applyAlignment="1">
      <alignment vertical="center"/>
    </xf>
    <xf numFmtId="166" fontId="22" fillId="0" borderId="0" xfId="1" applyFont="1" applyFill="1" applyBorder="1" applyAlignment="1">
      <alignment vertical="center"/>
    </xf>
    <xf numFmtId="4" fontId="2" fillId="0" borderId="0" xfId="0" applyNumberFormat="1" applyFont="1" applyAlignment="1">
      <alignment horizontal="center"/>
    </xf>
    <xf numFmtId="166" fontId="2" fillId="0" borderId="0" xfId="1" applyFont="1" applyFill="1" applyBorder="1"/>
    <xf numFmtId="10" fontId="22" fillId="0" borderId="0" xfId="5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166" fontId="2" fillId="0" borderId="0" xfId="1" applyFont="1" applyFill="1" applyBorder="1" applyAlignment="1">
      <alignment horizontal="center"/>
    </xf>
    <xf numFmtId="9" fontId="32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/>
    <xf numFmtId="0" fontId="5" fillId="2" borderId="2" xfId="4" applyFont="1" applyFill="1" applyBorder="1" applyAlignment="1">
      <alignment horizontal="right"/>
    </xf>
    <xf numFmtId="0" fontId="34" fillId="2" borderId="3" xfId="4" applyFont="1" applyFill="1" applyBorder="1" applyAlignment="1">
      <alignment horizontal="center"/>
    </xf>
    <xf numFmtId="0" fontId="5" fillId="2" borderId="1" xfId="4" applyFont="1" applyFill="1" applyBorder="1" applyAlignment="1">
      <alignment horizontal="right"/>
    </xf>
    <xf numFmtId="49" fontId="34" fillId="2" borderId="4" xfId="4" applyNumberFormat="1" applyFont="1" applyFill="1" applyBorder="1" applyAlignment="1">
      <alignment horizontal="center"/>
    </xf>
    <xf numFmtId="0" fontId="34" fillId="2" borderId="5" xfId="4" applyFont="1" applyFill="1" applyBorder="1" applyAlignment="1">
      <alignment horizontal="right"/>
    </xf>
    <xf numFmtId="0" fontId="34" fillId="2" borderId="1" xfId="4" applyFont="1" applyFill="1" applyBorder="1" applyAlignment="1">
      <alignment horizontal="right"/>
    </xf>
    <xf numFmtId="14" fontId="36" fillId="2" borderId="0" xfId="6" applyNumberFormat="1" applyFont="1" applyFill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1" fontId="5" fillId="3" borderId="6" xfId="3" applyNumberFormat="1" applyFont="1" applyFill="1" applyBorder="1" applyAlignment="1">
      <alignment horizontal="center"/>
    </xf>
    <xf numFmtId="1" fontId="5" fillId="3" borderId="6" xfId="3" applyNumberFormat="1" applyFont="1" applyFill="1" applyBorder="1" applyAlignment="1">
      <alignment horizontal="center" wrapText="1"/>
    </xf>
    <xf numFmtId="0" fontId="5" fillId="3" borderId="47" xfId="3" applyFont="1" applyFill="1" applyBorder="1" applyAlignment="1">
      <alignment horizontal="center"/>
    </xf>
    <xf numFmtId="0" fontId="38" fillId="0" borderId="48" xfId="3" applyFont="1" applyBorder="1" applyAlignment="1">
      <alignment horizontal="center" vertical="center"/>
    </xf>
    <xf numFmtId="0" fontId="38" fillId="0" borderId="16" xfId="3" applyFont="1" applyBorder="1" applyAlignment="1">
      <alignment horizontal="center" vertical="center"/>
    </xf>
    <xf numFmtId="0" fontId="39" fillId="0" borderId="1" xfId="3" applyFont="1" applyBorder="1" applyAlignment="1">
      <alignment vertical="center"/>
    </xf>
    <xf numFmtId="0" fontId="38" fillId="0" borderId="1" xfId="3" applyFont="1" applyBorder="1" applyAlignment="1">
      <alignment horizontal="center" vertical="center"/>
    </xf>
    <xf numFmtId="1" fontId="38" fillId="0" borderId="1" xfId="3" applyNumberFormat="1" applyFont="1" applyBorder="1" applyAlignment="1">
      <alignment horizontal="center"/>
    </xf>
    <xf numFmtId="1" fontId="38" fillId="0" borderId="1" xfId="3" applyNumberFormat="1" applyFont="1" applyBorder="1" applyAlignment="1">
      <alignment horizontal="center" wrapText="1"/>
    </xf>
    <xf numFmtId="0" fontId="40" fillId="0" borderId="4" xfId="3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0" fillId="0" borderId="1" xfId="0" applyFont="1" applyBorder="1"/>
    <xf numFmtId="16" fontId="40" fillId="0" borderId="1" xfId="0" applyNumberFormat="1" applyFont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" fontId="40" fillId="0" borderId="1" xfId="0" applyNumberFormat="1" applyFont="1" applyBorder="1" applyAlignment="1">
      <alignment horizontal="center" wrapText="1"/>
    </xf>
    <xf numFmtId="1" fontId="40" fillId="0" borderId="5" xfId="3" applyNumberFormat="1" applyFont="1" applyBorder="1" applyAlignment="1">
      <alignment horizontal="center"/>
    </xf>
    <xf numFmtId="12" fontId="40" fillId="0" borderId="5" xfId="0" applyNumberFormat="1" applyFont="1" applyBorder="1" applyAlignment="1">
      <alignment horizontal="center"/>
    </xf>
    <xf numFmtId="167" fontId="40" fillId="0" borderId="1" xfId="3" applyNumberFormat="1" applyFont="1" applyBorder="1" applyAlignment="1">
      <alignment horizontal="center"/>
    </xf>
    <xf numFmtId="2" fontId="38" fillId="0" borderId="1" xfId="3" applyNumberFormat="1" applyFont="1" applyBorder="1" applyAlignment="1">
      <alignment horizontal="center"/>
    </xf>
    <xf numFmtId="0" fontId="40" fillId="9" borderId="1" xfId="0" applyFont="1" applyFill="1" applyBorder="1" applyAlignment="1">
      <alignment horizontal="center"/>
    </xf>
    <xf numFmtId="16" fontId="40" fillId="0" borderId="16" xfId="0" applyNumberFormat="1" applyFont="1" applyBorder="1" applyAlignment="1">
      <alignment horizontal="center"/>
    </xf>
    <xf numFmtId="49" fontId="40" fillId="0" borderId="48" xfId="3" applyNumberFormat="1" applyFont="1" applyBorder="1" applyAlignment="1">
      <alignment horizontal="center"/>
    </xf>
    <xf numFmtId="49" fontId="40" fillId="0" borderId="16" xfId="3" applyNumberFormat="1" applyFont="1" applyBorder="1" applyAlignment="1">
      <alignment horizontal="center"/>
    </xf>
    <xf numFmtId="0" fontId="38" fillId="9" borderId="1" xfId="3" applyFont="1" applyFill="1" applyBorder="1" applyAlignment="1">
      <alignment horizontal="left"/>
    </xf>
    <xf numFmtId="0" fontId="40" fillId="0" borderId="1" xfId="3" applyFont="1" applyBorder="1" applyAlignment="1">
      <alignment horizontal="center"/>
    </xf>
    <xf numFmtId="1" fontId="40" fillId="0" borderId="1" xfId="3" applyNumberFormat="1" applyFont="1" applyBorder="1" applyAlignment="1">
      <alignment horizontal="center" wrapText="1"/>
    </xf>
    <xf numFmtId="0" fontId="40" fillId="9" borderId="1" xfId="0" applyFont="1" applyFill="1" applyBorder="1"/>
    <xf numFmtId="0" fontId="40" fillId="0" borderId="0" xfId="0" applyFont="1"/>
    <xf numFmtId="1" fontId="40" fillId="0" borderId="5" xfId="0" applyNumberFormat="1" applyFont="1" applyBorder="1" applyAlignment="1">
      <alignment horizontal="center"/>
    </xf>
    <xf numFmtId="49" fontId="38" fillId="0" borderId="37" xfId="3" applyNumberFormat="1" applyFont="1" applyBorder="1" applyAlignment="1">
      <alignment horizontal="center"/>
    </xf>
    <xf numFmtId="49" fontId="38" fillId="0" borderId="31" xfId="3" applyNumberFormat="1" applyFont="1" applyBorder="1" applyAlignment="1">
      <alignment horizontal="center"/>
    </xf>
    <xf numFmtId="0" fontId="39" fillId="9" borderId="1" xfId="3" applyFont="1" applyFill="1" applyBorder="1" applyAlignment="1">
      <alignment vertical="center"/>
    </xf>
    <xf numFmtId="0" fontId="38" fillId="0" borderId="16" xfId="3" applyFont="1" applyBorder="1" applyAlignment="1">
      <alignment horizontal="center"/>
    </xf>
    <xf numFmtId="167" fontId="38" fillId="0" borderId="1" xfId="3" applyNumberFormat="1" applyFont="1" applyBorder="1" applyAlignment="1">
      <alignment horizontal="center"/>
    </xf>
    <xf numFmtId="0" fontId="40" fillId="9" borderId="5" xfId="0" applyFont="1" applyFill="1" applyBorder="1" applyAlignment="1">
      <alignment horizontal="center"/>
    </xf>
    <xf numFmtId="171" fontId="38" fillId="9" borderId="1" xfId="1" applyNumberFormat="1" applyFont="1" applyFill="1" applyBorder="1" applyAlignment="1">
      <alignment horizontal="center"/>
    </xf>
    <xf numFmtId="49" fontId="40" fillId="0" borderId="1" xfId="3" applyNumberFormat="1" applyFont="1" applyBorder="1"/>
    <xf numFmtId="49" fontId="41" fillId="2" borderId="9" xfId="3" applyNumberFormat="1" applyFont="1" applyFill="1" applyBorder="1" applyAlignment="1">
      <alignment horizontal="center" vertical="center"/>
    </xf>
    <xf numFmtId="49" fontId="41" fillId="2" borderId="0" xfId="3" applyNumberFormat="1" applyFont="1" applyFill="1" applyAlignment="1">
      <alignment horizontal="center" vertical="center"/>
    </xf>
    <xf numFmtId="0" fontId="40" fillId="2" borderId="0" xfId="3" applyFont="1" applyFill="1"/>
    <xf numFmtId="1" fontId="40" fillId="2" borderId="0" xfId="3" applyNumberFormat="1" applyFont="1" applyFill="1" applyAlignment="1">
      <alignment horizontal="center"/>
    </xf>
    <xf numFmtId="168" fontId="40" fillId="2" borderId="0" xfId="3" applyNumberFormat="1" applyFont="1" applyFill="1" applyAlignment="1">
      <alignment horizontal="center" wrapText="1"/>
    </xf>
    <xf numFmtId="0" fontId="40" fillId="2" borderId="10" xfId="3" applyFont="1" applyFill="1" applyBorder="1" applyAlignment="1">
      <alignment horizontal="center"/>
    </xf>
    <xf numFmtId="0" fontId="40" fillId="3" borderId="11" xfId="3" applyFont="1" applyFill="1" applyBorder="1" applyAlignment="1">
      <alignment horizontal="center"/>
    </xf>
    <xf numFmtId="0" fontId="40" fillId="3" borderId="12" xfId="3" applyFont="1" applyFill="1" applyBorder="1" applyAlignment="1">
      <alignment horizontal="center"/>
    </xf>
    <xf numFmtId="0" fontId="40" fillId="3" borderId="12" xfId="3" applyFont="1" applyFill="1" applyBorder="1"/>
    <xf numFmtId="0" fontId="38" fillId="3" borderId="12" xfId="3" applyFont="1" applyFill="1" applyBorder="1" applyAlignment="1">
      <alignment horizontal="center"/>
    </xf>
    <xf numFmtId="1" fontId="38" fillId="3" borderId="12" xfId="3" applyNumberFormat="1" applyFont="1" applyFill="1" applyBorder="1" applyAlignment="1">
      <alignment horizontal="center"/>
    </xf>
    <xf numFmtId="168" fontId="40" fillId="3" borderId="12" xfId="3" applyNumberFormat="1" applyFont="1" applyFill="1" applyBorder="1" applyAlignment="1">
      <alignment horizontal="center" wrapText="1"/>
    </xf>
    <xf numFmtId="0" fontId="40" fillId="3" borderId="13" xfId="3" applyFont="1" applyFill="1" applyBorder="1" applyAlignment="1">
      <alignment horizontal="center"/>
    </xf>
    <xf numFmtId="0" fontId="40" fillId="0" borderId="14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1" fontId="40" fillId="0" borderId="6" xfId="0" applyNumberFormat="1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14" fontId="34" fillId="2" borderId="7" xfId="4" applyNumberFormat="1" applyFont="1" applyFill="1" applyBorder="1" applyAlignment="1">
      <alignment horizontal="center" vertical="center" wrapText="1"/>
    </xf>
    <xf numFmtId="14" fontId="34" fillId="2" borderId="15" xfId="4" applyNumberFormat="1" applyFont="1" applyFill="1" applyBorder="1" applyAlignment="1">
      <alignment horizontal="center" vertical="center" wrapText="1"/>
    </xf>
    <xf numFmtId="14" fontId="34" fillId="2" borderId="8" xfId="4" applyNumberFormat="1" applyFont="1" applyFill="1" applyBorder="1" applyAlignment="1">
      <alignment horizontal="center" vertical="center" wrapText="1"/>
    </xf>
    <xf numFmtId="0" fontId="34" fillId="2" borderId="27" xfId="4" applyFont="1" applyFill="1" applyBorder="1" applyAlignment="1">
      <alignment horizontal="left"/>
    </xf>
    <xf numFmtId="0" fontId="34" fillId="2" borderId="28" xfId="4" applyFont="1" applyFill="1" applyBorder="1" applyAlignment="1">
      <alignment horizontal="left"/>
    </xf>
    <xf numFmtId="0" fontId="34" fillId="2" borderId="29" xfId="4" applyFont="1" applyFill="1" applyBorder="1" applyAlignment="1">
      <alignment horizontal="left"/>
    </xf>
    <xf numFmtId="0" fontId="34" fillId="2" borderId="30" xfId="4" applyFont="1" applyFill="1" applyBorder="1" applyAlignment="1">
      <alignment horizontal="left"/>
    </xf>
    <xf numFmtId="0" fontId="34" fillId="2" borderId="31" xfId="4" applyFont="1" applyFill="1" applyBorder="1" applyAlignment="1">
      <alignment horizontal="left"/>
    </xf>
    <xf numFmtId="0" fontId="34" fillId="2" borderId="16" xfId="4" applyFont="1" applyFill="1" applyBorder="1" applyAlignment="1">
      <alignment horizontal="left"/>
    </xf>
    <xf numFmtId="0" fontId="34" fillId="2" borderId="42" xfId="4" applyFont="1" applyFill="1" applyBorder="1" applyAlignment="1">
      <alignment horizontal="center"/>
    </xf>
    <xf numFmtId="0" fontId="34" fillId="2" borderId="43" xfId="4" applyFont="1" applyFill="1" applyBorder="1" applyAlignment="1">
      <alignment horizontal="center"/>
    </xf>
    <xf numFmtId="0" fontId="34" fillId="2" borderId="9" xfId="4" applyFont="1" applyFill="1" applyBorder="1" applyAlignment="1">
      <alignment horizontal="center"/>
    </xf>
    <xf numFmtId="0" fontId="34" fillId="2" borderId="0" xfId="4" applyFont="1" applyFill="1" applyAlignment="1">
      <alignment horizontal="center"/>
    </xf>
    <xf numFmtId="0" fontId="34" fillId="2" borderId="33" xfId="4" applyFont="1" applyFill="1" applyBorder="1" applyAlignment="1">
      <alignment horizontal="center"/>
    </xf>
    <xf numFmtId="0" fontId="34" fillId="2" borderId="34" xfId="4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/>
    </xf>
    <xf numFmtId="0" fontId="5" fillId="2" borderId="40" xfId="4" applyFont="1" applyFill="1" applyBorder="1" applyAlignment="1">
      <alignment horizontal="center"/>
    </xf>
    <xf numFmtId="0" fontId="5" fillId="2" borderId="45" xfId="4" applyFont="1" applyFill="1" applyBorder="1" applyAlignment="1">
      <alignment horizontal="center"/>
    </xf>
    <xf numFmtId="0" fontId="5" fillId="2" borderId="32" xfId="4" applyFont="1" applyFill="1" applyBorder="1" applyAlignment="1">
      <alignment horizontal="center"/>
    </xf>
    <xf numFmtId="0" fontId="5" fillId="2" borderId="17" xfId="4" applyFont="1" applyFill="1" applyBorder="1" applyAlignment="1">
      <alignment horizontal="right" vertical="top" wrapText="1"/>
    </xf>
    <xf numFmtId="0" fontId="5" fillId="2" borderId="25" xfId="4" applyFont="1" applyFill="1" applyBorder="1" applyAlignment="1">
      <alignment horizontal="right" vertical="top" wrapText="1"/>
    </xf>
    <xf numFmtId="0" fontId="5" fillId="2" borderId="26" xfId="4" applyFont="1" applyFill="1" applyBorder="1" applyAlignment="1">
      <alignment horizontal="right" vertical="top" wrapText="1"/>
    </xf>
    <xf numFmtId="0" fontId="35" fillId="2" borderId="0" xfId="6" applyFont="1" applyFill="1" applyAlignment="1">
      <alignment horizontal="right"/>
    </xf>
    <xf numFmtId="0" fontId="36" fillId="2" borderId="41" xfId="6" applyFont="1" applyFill="1" applyBorder="1" applyAlignment="1">
      <alignment horizontal="center"/>
    </xf>
    <xf numFmtId="0" fontId="35" fillId="2" borderId="0" xfId="6" applyFont="1" applyFill="1"/>
    <xf numFmtId="0" fontId="5" fillId="3" borderId="46" xfId="3" applyFont="1" applyFill="1" applyBorder="1" applyAlignment="1">
      <alignment horizontal="center" vertical="center"/>
    </xf>
    <xf numFmtId="0" fontId="5" fillId="3" borderId="39" xfId="3" applyFont="1" applyFill="1" applyBorder="1" applyAlignment="1">
      <alignment horizontal="center" vertical="center"/>
    </xf>
    <xf numFmtId="0" fontId="5" fillId="3" borderId="46" xfId="3" applyFont="1" applyFill="1" applyBorder="1" applyAlignment="1">
      <alignment horizontal="center" vertical="center" wrapText="1"/>
    </xf>
    <xf numFmtId="0" fontId="5" fillId="3" borderId="39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 vertical="center"/>
    </xf>
    <xf numFmtId="0" fontId="38" fillId="0" borderId="33" xfId="3" applyFont="1" applyBorder="1" applyAlignment="1">
      <alignment horizontal="right"/>
    </xf>
    <xf numFmtId="0" fontId="38" fillId="0" borderId="34" xfId="3" applyFont="1" applyBorder="1" applyAlignment="1">
      <alignment horizontal="right"/>
    </xf>
    <xf numFmtId="0" fontId="38" fillId="0" borderId="35" xfId="3" applyFont="1" applyBorder="1" applyAlignment="1">
      <alignment horizontal="right"/>
    </xf>
    <xf numFmtId="168" fontId="40" fillId="0" borderId="5" xfId="3" applyNumberFormat="1" applyFont="1" applyBorder="1" applyAlignment="1">
      <alignment horizontal="right"/>
    </xf>
    <xf numFmtId="0" fontId="40" fillId="2" borderId="14" xfId="3" applyFont="1" applyFill="1" applyBorder="1" applyAlignment="1">
      <alignment horizontal="center"/>
    </xf>
    <xf numFmtId="0" fontId="40" fillId="2" borderId="36" xfId="3" applyFont="1" applyFill="1" applyBorder="1" applyAlignment="1">
      <alignment horizontal="center"/>
    </xf>
    <xf numFmtId="0" fontId="38" fillId="0" borderId="37" xfId="3" applyFont="1" applyBorder="1" applyAlignment="1">
      <alignment horizontal="right"/>
    </xf>
    <xf numFmtId="0" fontId="38" fillId="0" borderId="31" xfId="3" applyFont="1" applyBorder="1" applyAlignment="1">
      <alignment horizontal="right"/>
    </xf>
    <xf numFmtId="0" fontId="38" fillId="0" borderId="16" xfId="3" applyFont="1" applyBorder="1" applyAlignment="1">
      <alignment horizontal="right"/>
    </xf>
    <xf numFmtId="0" fontId="40" fillId="0" borderId="1" xfId="3" applyFont="1" applyBorder="1" applyAlignment="1">
      <alignment horizontal="right"/>
    </xf>
    <xf numFmtId="168" fontId="40" fillId="0" borderId="30" xfId="3" applyNumberFormat="1" applyFont="1" applyBorder="1" applyAlignment="1">
      <alignment horizontal="center"/>
    </xf>
    <xf numFmtId="168" fontId="40" fillId="0" borderId="38" xfId="3" applyNumberFormat="1" applyFont="1" applyBorder="1" applyAlignment="1">
      <alignment horizontal="center"/>
    </xf>
    <xf numFmtId="0" fontId="40" fillId="0" borderId="33" xfId="0" applyFont="1" applyBorder="1" applyAlignment="1">
      <alignment horizontal="left"/>
    </xf>
    <xf numFmtId="0" fontId="40" fillId="0" borderId="34" xfId="0" applyFont="1" applyBorder="1" applyAlignment="1">
      <alignment horizontal="left"/>
    </xf>
    <xf numFmtId="0" fontId="40" fillId="0" borderId="36" xfId="0" applyFont="1" applyBorder="1" applyAlignment="1">
      <alignment horizontal="left"/>
    </xf>
    <xf numFmtId="168" fontId="40" fillId="0" borderId="30" xfId="3" applyNumberFormat="1" applyFont="1" applyBorder="1" applyAlignment="1">
      <alignment horizontal="right" wrapText="1"/>
    </xf>
    <xf numFmtId="168" fontId="40" fillId="0" borderId="16" xfId="3" applyNumberFormat="1" applyFont="1" applyBorder="1" applyAlignment="1">
      <alignment horizontal="right" wrapText="1"/>
    </xf>
    <xf numFmtId="168" fontId="40" fillId="0" borderId="30" xfId="0" applyNumberFormat="1" applyFont="1" applyBorder="1" applyAlignment="1">
      <alignment horizontal="center" wrapText="1"/>
    </xf>
    <xf numFmtId="168" fontId="40" fillId="0" borderId="38" xfId="0" applyNumberFormat="1" applyFont="1" applyBorder="1" applyAlignment="1">
      <alignment horizontal="center" wrapText="1"/>
    </xf>
    <xf numFmtId="0" fontId="38" fillId="0" borderId="39" xfId="3" applyFont="1" applyBorder="1" applyAlignment="1">
      <alignment horizontal="right"/>
    </xf>
    <xf numFmtId="0" fontId="38" fillId="0" borderId="32" xfId="3" applyFont="1" applyBorder="1" applyAlignment="1">
      <alignment horizontal="right"/>
    </xf>
    <xf numFmtId="0" fontId="38" fillId="0" borderId="6" xfId="3" applyFont="1" applyBorder="1" applyAlignment="1">
      <alignment horizontal="right"/>
    </xf>
    <xf numFmtId="0" fontId="40" fillId="0" borderId="6" xfId="3" applyFont="1" applyBorder="1" applyAlignment="1">
      <alignment horizontal="right"/>
    </xf>
    <xf numFmtId="0" fontId="38" fillId="0" borderId="37" xfId="0" applyFont="1" applyBorder="1" applyAlignment="1">
      <alignment horizontal="left"/>
    </xf>
    <xf numFmtId="0" fontId="38" fillId="0" borderId="31" xfId="0" applyFont="1" applyBorder="1" applyAlignment="1">
      <alignment horizontal="left"/>
    </xf>
    <xf numFmtId="0" fontId="38" fillId="0" borderId="38" xfId="0" applyFont="1" applyBorder="1" applyAlignment="1">
      <alignment horizontal="left"/>
    </xf>
    <xf numFmtId="0" fontId="38" fillId="11" borderId="49" xfId="4" applyFont="1" applyFill="1" applyBorder="1" applyAlignment="1">
      <alignment horizontal="center"/>
    </xf>
    <xf numFmtId="0" fontId="38" fillId="11" borderId="43" xfId="4" applyFont="1" applyFill="1" applyBorder="1" applyAlignment="1">
      <alignment horizontal="center"/>
    </xf>
    <xf numFmtId="0" fontId="40" fillId="2" borderId="30" xfId="4" applyFont="1" applyFill="1" applyBorder="1" applyAlignment="1">
      <alignment horizontal="left"/>
    </xf>
    <xf numFmtId="0" fontId="40" fillId="2" borderId="31" xfId="4" applyFont="1" applyFill="1" applyBorder="1" applyAlignment="1">
      <alignment horizontal="left"/>
    </xf>
    <xf numFmtId="0" fontId="40" fillId="2" borderId="16" xfId="4" applyFont="1" applyFill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30" fillId="0" borderId="11" xfId="0" applyFont="1" applyBorder="1" applyAlignment="1">
      <alignment horizontal="right" vertical="center"/>
    </xf>
    <xf numFmtId="0" fontId="30" fillId="0" borderId="12" xfId="0" applyFont="1" applyBorder="1" applyAlignment="1">
      <alignment horizontal="right" vertical="center"/>
    </xf>
    <xf numFmtId="0" fontId="30" fillId="0" borderId="13" xfId="0" applyFont="1" applyBorder="1" applyAlignment="1">
      <alignment horizontal="right" vertical="center"/>
    </xf>
    <xf numFmtId="0" fontId="31" fillId="0" borderId="0" xfId="0" applyFont="1" applyAlignment="1">
      <alignment horizontal="right"/>
    </xf>
    <xf numFmtId="0" fontId="21" fillId="0" borderId="41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9" fillId="4" borderId="11" xfId="0" applyFont="1" applyFill="1" applyBorder="1" applyAlignment="1">
      <alignment horizontal="right"/>
    </xf>
    <xf numFmtId="0" fontId="19" fillId="4" borderId="12" xfId="0" applyFont="1" applyFill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6" fillId="0" borderId="41" xfId="0" applyFont="1" applyBorder="1" applyAlignment="1">
      <alignment horizontal="right" vertical="center"/>
    </xf>
    <xf numFmtId="0" fontId="6" fillId="0" borderId="44" xfId="0" applyFont="1" applyBorder="1" applyAlignment="1">
      <alignment horizontal="right" vertical="center"/>
    </xf>
    <xf numFmtId="0" fontId="6" fillId="8" borderId="11" xfId="0" applyFont="1" applyFill="1" applyBorder="1" applyAlignment="1">
      <alignment horizontal="right" vertical="center"/>
    </xf>
    <xf numFmtId="0" fontId="6" fillId="8" borderId="12" xfId="0" applyFont="1" applyFill="1" applyBorder="1" applyAlignment="1">
      <alignment horizontal="right" vertical="center"/>
    </xf>
    <xf numFmtId="0" fontId="6" fillId="8" borderId="13" xfId="0" applyFont="1" applyFill="1" applyBorder="1" applyAlignment="1">
      <alignment horizontal="right" vertical="center"/>
    </xf>
    <xf numFmtId="0" fontId="15" fillId="0" borderId="0" xfId="0" applyFont="1" applyAlignment="1">
      <alignment horizontal="right"/>
    </xf>
    <xf numFmtId="0" fontId="22" fillId="0" borderId="1" xfId="0" applyFont="1" applyBorder="1" applyAlignment="1">
      <alignment horizontal="right" vertical="center"/>
    </xf>
    <xf numFmtId="0" fontId="23" fillId="0" borderId="9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23" fillId="0" borderId="10" xfId="0" applyFont="1" applyBorder="1" applyAlignment="1">
      <alignment horizontal="right"/>
    </xf>
    <xf numFmtId="0" fontId="6" fillId="0" borderId="0" xfId="0" applyFont="1" applyAlignment="1">
      <alignment horizontal="right" vertical="center"/>
    </xf>
    <xf numFmtId="4" fontId="28" fillId="0" borderId="0" xfId="2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5" fillId="0" borderId="42" xfId="0" applyFont="1" applyBorder="1" applyAlignment="1">
      <alignment horizontal="right"/>
    </xf>
    <xf numFmtId="0" fontId="15" fillId="0" borderId="43" xfId="0" applyFont="1" applyBorder="1" applyAlignment="1">
      <alignment horizontal="right"/>
    </xf>
    <xf numFmtId="0" fontId="9" fillId="0" borderId="4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right" vertical="center" wrapText="1"/>
    </xf>
    <xf numFmtId="0" fontId="37" fillId="5" borderId="18" xfId="4" applyFont="1" applyFill="1" applyBorder="1" applyAlignment="1">
      <alignment horizontal="center" vertical="center"/>
    </xf>
    <xf numFmtId="0" fontId="37" fillId="5" borderId="19" xfId="4" applyFont="1" applyFill="1" applyBorder="1" applyAlignment="1">
      <alignment horizontal="center" vertical="center"/>
    </xf>
    <xf numFmtId="0" fontId="37" fillId="5" borderId="20" xfId="4" applyFont="1" applyFill="1" applyBorder="1" applyAlignment="1">
      <alignment horizontal="center" vertical="center"/>
    </xf>
    <xf numFmtId="0" fontId="38" fillId="3" borderId="11" xfId="3" applyFont="1" applyFill="1" applyBorder="1" applyAlignment="1">
      <alignment horizontal="center"/>
    </xf>
    <xf numFmtId="0" fontId="38" fillId="3" borderId="12" xfId="3" applyFont="1" applyFill="1" applyBorder="1" applyAlignment="1">
      <alignment horizontal="center"/>
    </xf>
    <xf numFmtId="0" fontId="38" fillId="3" borderId="13" xfId="3" applyFont="1" applyFill="1" applyBorder="1" applyAlignment="1">
      <alignment horizontal="center"/>
    </xf>
  </cellXfs>
  <cellStyles count="7">
    <cellStyle name="Millares" xfId="1" builtinId="3"/>
    <cellStyle name="Millares [0]" xfId="2" builtinId="6"/>
    <cellStyle name="Normal" xfId="0" builtinId="0"/>
    <cellStyle name="Normal 2" xfId="3" xr:uid="{6C558881-33EC-412F-BB87-1C7242A31AD6}"/>
    <cellStyle name="Normal_CRITERIOS DE EVALUACION PT DE GB" xfId="4" xr:uid="{EAEE3C6F-1285-4F05-8473-7DF833836BD5}"/>
    <cellStyle name="Normal_CRITERIOS DE EVALUACION PT DE GB 2" xfId="6" xr:uid="{FA20F3B0-B7A6-4C64-97F5-36AC7480BF7F}"/>
    <cellStyle name="Porcentaje 2" xfId="5" xr:uid="{F595CDEF-A54F-4870-9EBC-3C0A8AA3E9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130969</xdr:rowOff>
    </xdr:from>
    <xdr:to>
      <xdr:col>1</xdr:col>
      <xdr:colOff>1083468</xdr:colOff>
      <xdr:row>4</xdr:row>
      <xdr:rowOff>89832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45F6DD5-8378-49C0-836E-274521BC2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130969"/>
          <a:ext cx="2226468" cy="1030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arodriguez/Desktop/recetas%20icg%20proyecto/Prueba%20Alejandro.xls" TargetMode="External"/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OSTOS%202013/LISTA%20COSTOS%20ALE.xls" TargetMode="External"/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8E87-A7F5-4413-96E9-CE74DA5C8159}">
  <sheetPr>
    <pageSetUpPr fitToPage="1"/>
  </sheetPr>
  <dimension ref="A1:I3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28515625" customWidth="1"/>
    <col min="2" max="2" width="17.28515625" customWidth="1"/>
    <col min="3" max="3" width="58.28515625" customWidth="1"/>
    <col min="4" max="4" width="22" customWidth="1"/>
    <col min="5" max="5" width="16.7109375" customWidth="1"/>
    <col min="6" max="6" width="13.28515625" customWidth="1"/>
    <col min="7" max="7" width="19.85546875" customWidth="1"/>
    <col min="8" max="8" width="20.5703125" customWidth="1"/>
    <col min="9" max="9" width="22" bestFit="1" customWidth="1"/>
  </cols>
  <sheetData>
    <row r="1" spans="1:9" ht="17.25" x14ac:dyDescent="0.3">
      <c r="A1" s="169"/>
      <c r="B1" s="170"/>
      <c r="C1" s="175" t="s">
        <v>13</v>
      </c>
      <c r="D1" s="175"/>
      <c r="E1" s="175"/>
      <c r="F1" s="175"/>
      <c r="G1" s="175"/>
      <c r="H1" s="98" t="s">
        <v>14</v>
      </c>
      <c r="I1" s="99" t="s">
        <v>116</v>
      </c>
    </row>
    <row r="2" spans="1:9" ht="18" customHeight="1" thickBot="1" x14ac:dyDescent="0.35">
      <c r="A2" s="171"/>
      <c r="B2" s="172"/>
      <c r="C2" s="176" t="s">
        <v>0</v>
      </c>
      <c r="D2" s="177"/>
      <c r="E2" s="177"/>
      <c r="F2" s="177"/>
      <c r="G2" s="178"/>
      <c r="H2" s="100" t="s">
        <v>15</v>
      </c>
      <c r="I2" s="101" t="s">
        <v>121</v>
      </c>
    </row>
    <row r="3" spans="1:9" ht="31.5" customHeight="1" thickBot="1" x14ac:dyDescent="0.25">
      <c r="A3" s="171"/>
      <c r="B3" s="172"/>
      <c r="C3" s="253" t="s">
        <v>122</v>
      </c>
      <c r="D3" s="254"/>
      <c r="E3" s="254"/>
      <c r="F3" s="254"/>
      <c r="G3" s="255"/>
      <c r="H3" s="179" t="s">
        <v>16</v>
      </c>
      <c r="I3" s="160">
        <v>45612</v>
      </c>
    </row>
    <row r="4" spans="1:9" ht="18" customHeight="1" x14ac:dyDescent="0.3">
      <c r="A4" s="171"/>
      <c r="B4" s="172"/>
      <c r="C4" s="102" t="s">
        <v>17</v>
      </c>
      <c r="D4" s="163" t="s">
        <v>101</v>
      </c>
      <c r="E4" s="164"/>
      <c r="F4" s="164"/>
      <c r="G4" s="165"/>
      <c r="H4" s="180"/>
      <c r="I4" s="161"/>
    </row>
    <row r="5" spans="1:9" ht="18" thickBot="1" x14ac:dyDescent="0.35">
      <c r="A5" s="173"/>
      <c r="B5" s="174"/>
      <c r="C5" s="103" t="s">
        <v>18</v>
      </c>
      <c r="D5" s="166" t="s">
        <v>40</v>
      </c>
      <c r="E5" s="167"/>
      <c r="F5" s="167"/>
      <c r="G5" s="168"/>
      <c r="H5" s="181"/>
      <c r="I5" s="162"/>
    </row>
    <row r="6" spans="1:9" ht="16.5" thickBot="1" x14ac:dyDescent="0.3">
      <c r="A6" s="182" t="s">
        <v>102</v>
      </c>
      <c r="B6" s="182"/>
      <c r="C6" s="182"/>
      <c r="D6" s="183" t="s">
        <v>103</v>
      </c>
      <c r="E6" s="183"/>
      <c r="F6" s="183"/>
      <c r="G6" s="184" t="s">
        <v>104</v>
      </c>
      <c r="H6" s="184"/>
      <c r="I6" s="104" t="s">
        <v>105</v>
      </c>
    </row>
    <row r="7" spans="1:9" ht="15" x14ac:dyDescent="0.2">
      <c r="A7" s="185" t="s">
        <v>1</v>
      </c>
      <c r="B7" s="187" t="s">
        <v>106</v>
      </c>
      <c r="C7" s="189" t="s">
        <v>2</v>
      </c>
      <c r="D7" s="189" t="s">
        <v>3</v>
      </c>
      <c r="E7" s="189" t="s">
        <v>4</v>
      </c>
      <c r="F7" s="189"/>
      <c r="G7" s="189" t="s">
        <v>19</v>
      </c>
      <c r="H7" s="189"/>
      <c r="I7" s="105" t="s">
        <v>5</v>
      </c>
    </row>
    <row r="8" spans="1:9" ht="30.75" thickBot="1" x14ac:dyDescent="0.25">
      <c r="A8" s="186"/>
      <c r="B8" s="188"/>
      <c r="C8" s="190"/>
      <c r="D8" s="190"/>
      <c r="E8" s="106" t="s">
        <v>6</v>
      </c>
      <c r="F8" s="107" t="s">
        <v>7</v>
      </c>
      <c r="G8" s="106" t="s">
        <v>6</v>
      </c>
      <c r="H8" s="107" t="s">
        <v>7</v>
      </c>
      <c r="I8" s="108" t="s">
        <v>8</v>
      </c>
    </row>
    <row r="9" spans="1:9" ht="20.25" x14ac:dyDescent="0.3">
      <c r="A9" s="109"/>
      <c r="B9" s="110"/>
      <c r="C9" s="111" t="s">
        <v>107</v>
      </c>
      <c r="D9" s="112"/>
      <c r="E9" s="113"/>
      <c r="F9" s="114"/>
      <c r="G9" s="113"/>
      <c r="H9" s="114"/>
      <c r="I9" s="115"/>
    </row>
    <row r="10" spans="1:9" ht="20.25" x14ac:dyDescent="0.3">
      <c r="A10" s="116">
        <v>310148</v>
      </c>
      <c r="B10" s="116" t="s">
        <v>97</v>
      </c>
      <c r="C10" s="117" t="s">
        <v>33</v>
      </c>
      <c r="D10" s="118" t="s">
        <v>108</v>
      </c>
      <c r="E10" s="119">
        <v>8000</v>
      </c>
      <c r="F10" s="120" t="s">
        <v>12</v>
      </c>
      <c r="G10" s="121"/>
      <c r="H10" s="122" t="s">
        <v>109</v>
      </c>
      <c r="I10" s="115"/>
    </row>
    <row r="11" spans="1:9" ht="20.25" x14ac:dyDescent="0.3">
      <c r="A11" s="116">
        <v>11400031</v>
      </c>
      <c r="B11" s="116" t="s">
        <v>98</v>
      </c>
      <c r="C11" s="117" t="s">
        <v>34</v>
      </c>
      <c r="D11" s="118" t="s">
        <v>108</v>
      </c>
      <c r="E11" s="119">
        <v>12000</v>
      </c>
      <c r="F11" s="120" t="s">
        <v>12</v>
      </c>
      <c r="G11" s="123"/>
      <c r="H11" s="122" t="s">
        <v>110</v>
      </c>
      <c r="I11" s="115"/>
    </row>
    <row r="12" spans="1:9" ht="20.25" x14ac:dyDescent="0.3">
      <c r="A12" s="116" t="s">
        <v>35</v>
      </c>
      <c r="B12" s="116"/>
      <c r="C12" s="117" t="s">
        <v>36</v>
      </c>
      <c r="D12" s="118" t="s">
        <v>111</v>
      </c>
      <c r="E12" s="119">
        <f>2*20</f>
        <v>40</v>
      </c>
      <c r="F12" s="120" t="s">
        <v>12</v>
      </c>
      <c r="G12" s="119"/>
      <c r="H12" s="122"/>
      <c r="I12" s="115"/>
    </row>
    <row r="13" spans="1:9" ht="20.25" x14ac:dyDescent="0.3">
      <c r="A13" s="116">
        <v>1212410</v>
      </c>
      <c r="B13" s="116" t="s">
        <v>99</v>
      </c>
      <c r="C13" s="117" t="s">
        <v>37</v>
      </c>
      <c r="D13" s="118" t="s">
        <v>112</v>
      </c>
      <c r="E13" s="119">
        <v>15</v>
      </c>
      <c r="F13" s="120" t="s">
        <v>12</v>
      </c>
      <c r="G13" s="124"/>
      <c r="H13" s="122"/>
      <c r="I13" s="115"/>
    </row>
    <row r="14" spans="1:9" ht="20.25" x14ac:dyDescent="0.3">
      <c r="A14" s="116"/>
      <c r="B14" s="116"/>
      <c r="C14" s="117"/>
      <c r="D14" s="126"/>
      <c r="E14" s="119"/>
      <c r="F14" s="120"/>
      <c r="G14" s="113"/>
      <c r="H14" s="122"/>
      <c r="I14" s="115"/>
    </row>
    <row r="15" spans="1:9" ht="20.25" x14ac:dyDescent="0.3">
      <c r="A15" s="127"/>
      <c r="B15" s="128"/>
      <c r="C15" s="129" t="s">
        <v>103</v>
      </c>
      <c r="D15" s="130"/>
      <c r="E15" s="123"/>
      <c r="F15" s="131"/>
      <c r="G15" s="113"/>
      <c r="H15" s="114"/>
      <c r="I15" s="115"/>
    </row>
    <row r="16" spans="1:9" ht="20.25" x14ac:dyDescent="0.3">
      <c r="A16" s="116"/>
      <c r="B16" s="116"/>
      <c r="C16" s="117"/>
      <c r="D16" s="118"/>
      <c r="E16" s="119"/>
      <c r="F16" s="120"/>
      <c r="G16" s="113"/>
      <c r="H16" s="114"/>
      <c r="I16" s="115"/>
    </row>
    <row r="17" spans="1:9" ht="20.25" x14ac:dyDescent="0.3">
      <c r="A17" s="135"/>
      <c r="B17" s="136"/>
      <c r="C17" s="137" t="s">
        <v>113</v>
      </c>
      <c r="D17" s="138"/>
      <c r="E17" s="139"/>
      <c r="F17" s="114"/>
      <c r="G17" s="113"/>
      <c r="H17" s="133"/>
      <c r="I17" s="115"/>
    </row>
    <row r="18" spans="1:9" ht="20.25" x14ac:dyDescent="0.3">
      <c r="A18" s="125">
        <v>702123</v>
      </c>
      <c r="B18" s="125" t="s">
        <v>100</v>
      </c>
      <c r="C18" s="132" t="s">
        <v>38</v>
      </c>
      <c r="D18" s="125" t="s">
        <v>114</v>
      </c>
      <c r="E18" s="140">
        <v>1</v>
      </c>
      <c r="F18" s="140" t="s">
        <v>32</v>
      </c>
      <c r="G18" s="141"/>
      <c r="H18" s="114"/>
      <c r="I18" s="115"/>
    </row>
    <row r="19" spans="1:9" ht="20.25" x14ac:dyDescent="0.3">
      <c r="A19" s="127"/>
      <c r="B19" s="128"/>
      <c r="C19" s="142"/>
      <c r="D19" s="130"/>
      <c r="E19" s="130"/>
      <c r="F19" s="131"/>
      <c r="G19" s="130"/>
      <c r="H19" s="130"/>
      <c r="I19" s="115"/>
    </row>
    <row r="20" spans="1:9" ht="21" thickBot="1" x14ac:dyDescent="0.35">
      <c r="A20" s="143"/>
      <c r="B20" s="144"/>
      <c r="C20" s="145"/>
      <c r="D20" s="145"/>
      <c r="E20" s="146"/>
      <c r="F20" s="147"/>
      <c r="G20" s="145"/>
      <c r="H20" s="145"/>
      <c r="I20" s="148"/>
    </row>
    <row r="21" spans="1:9" ht="21" thickBot="1" x14ac:dyDescent="0.35">
      <c r="A21" s="149"/>
      <c r="B21" s="150"/>
      <c r="C21" s="151"/>
      <c r="D21" s="152" t="s">
        <v>6</v>
      </c>
      <c r="E21" s="153" t="s">
        <v>20</v>
      </c>
      <c r="F21" s="154"/>
      <c r="G21" s="151"/>
      <c r="H21" s="151"/>
      <c r="I21" s="155"/>
    </row>
    <row r="22" spans="1:9" ht="20.25" x14ac:dyDescent="0.3">
      <c r="A22" s="191" t="s">
        <v>10</v>
      </c>
      <c r="B22" s="192"/>
      <c r="C22" s="193"/>
      <c r="D22" s="134">
        <v>20000</v>
      </c>
      <c r="E22" s="156" t="s">
        <v>12</v>
      </c>
      <c r="F22" s="194" t="s">
        <v>21</v>
      </c>
      <c r="G22" s="194"/>
      <c r="H22" s="195"/>
      <c r="I22" s="196"/>
    </row>
    <row r="23" spans="1:9" ht="20.25" x14ac:dyDescent="0.3">
      <c r="A23" s="197" t="s">
        <v>9</v>
      </c>
      <c r="B23" s="198"/>
      <c r="C23" s="199"/>
      <c r="D23" s="157">
        <v>17</v>
      </c>
      <c r="E23" s="116" t="s">
        <v>39</v>
      </c>
      <c r="F23" s="200" t="s">
        <v>22</v>
      </c>
      <c r="G23" s="200"/>
      <c r="H23" s="201"/>
      <c r="I23" s="202"/>
    </row>
    <row r="24" spans="1:9" ht="20.25" x14ac:dyDescent="0.3">
      <c r="A24" s="197" t="s">
        <v>23</v>
      </c>
      <c r="B24" s="198"/>
      <c r="C24" s="199"/>
      <c r="D24" s="116">
        <v>1</v>
      </c>
      <c r="E24" s="116" t="s">
        <v>24</v>
      </c>
      <c r="F24" s="200" t="s">
        <v>25</v>
      </c>
      <c r="G24" s="200"/>
      <c r="H24" s="201"/>
      <c r="I24" s="202"/>
    </row>
    <row r="25" spans="1:9" ht="20.25" x14ac:dyDescent="0.3">
      <c r="A25" s="197" t="s">
        <v>26</v>
      </c>
      <c r="B25" s="198"/>
      <c r="C25" s="199"/>
      <c r="D25" s="119">
        <v>20000</v>
      </c>
      <c r="E25" s="116" t="s">
        <v>12</v>
      </c>
      <c r="F25" s="206" t="s">
        <v>27</v>
      </c>
      <c r="G25" s="207"/>
      <c r="H25" s="208"/>
      <c r="I25" s="209"/>
    </row>
    <row r="26" spans="1:9" ht="21" thickBot="1" x14ac:dyDescent="0.35">
      <c r="A26" s="210" t="s">
        <v>11</v>
      </c>
      <c r="B26" s="211"/>
      <c r="C26" s="212"/>
      <c r="D26" s="158">
        <v>66</v>
      </c>
      <c r="E26" s="159" t="s">
        <v>12</v>
      </c>
      <c r="F26" s="213"/>
      <c r="G26" s="213"/>
      <c r="H26" s="201"/>
      <c r="I26" s="202"/>
    </row>
    <row r="27" spans="1:9" ht="21" thickBot="1" x14ac:dyDescent="0.35">
      <c r="A27" s="256" t="s">
        <v>28</v>
      </c>
      <c r="B27" s="257"/>
      <c r="C27" s="257"/>
      <c r="D27" s="257"/>
      <c r="E27" s="257"/>
      <c r="F27" s="257"/>
      <c r="G27" s="257"/>
      <c r="H27" s="257"/>
      <c r="I27" s="258"/>
    </row>
    <row r="28" spans="1:9" ht="20.25" x14ac:dyDescent="0.3">
      <c r="A28" s="203" t="s">
        <v>117</v>
      </c>
      <c r="B28" s="204"/>
      <c r="C28" s="204"/>
      <c r="D28" s="204"/>
      <c r="E28" s="204"/>
      <c r="F28" s="204"/>
      <c r="G28" s="204"/>
      <c r="H28" s="204"/>
      <c r="I28" s="205"/>
    </row>
    <row r="29" spans="1:9" ht="20.25" x14ac:dyDescent="0.3">
      <c r="A29" s="203" t="s">
        <v>29</v>
      </c>
      <c r="B29" s="204"/>
      <c r="C29" s="204"/>
      <c r="D29" s="204"/>
      <c r="E29" s="204"/>
      <c r="F29" s="204"/>
      <c r="G29" s="204"/>
      <c r="H29" s="204"/>
      <c r="I29" s="205"/>
    </row>
    <row r="30" spans="1:9" ht="20.25" x14ac:dyDescent="0.3">
      <c r="A30" s="203" t="s">
        <v>118</v>
      </c>
      <c r="B30" s="204"/>
      <c r="C30" s="204"/>
      <c r="D30" s="204"/>
      <c r="E30" s="204"/>
      <c r="F30" s="204"/>
      <c r="G30" s="204"/>
      <c r="H30" s="204"/>
      <c r="I30" s="205"/>
    </row>
    <row r="31" spans="1:9" ht="20.25" x14ac:dyDescent="0.3">
      <c r="A31" s="203" t="s">
        <v>30</v>
      </c>
      <c r="B31" s="204"/>
      <c r="C31" s="204"/>
      <c r="D31" s="204"/>
      <c r="E31" s="204"/>
      <c r="F31" s="204"/>
      <c r="G31" s="204"/>
      <c r="H31" s="204"/>
      <c r="I31" s="205"/>
    </row>
    <row r="32" spans="1:9" ht="20.25" x14ac:dyDescent="0.3">
      <c r="A32" s="203" t="s">
        <v>31</v>
      </c>
      <c r="B32" s="204"/>
      <c r="C32" s="204"/>
      <c r="D32" s="204"/>
      <c r="E32" s="204"/>
      <c r="F32" s="204"/>
      <c r="G32" s="204"/>
      <c r="H32" s="204"/>
      <c r="I32" s="205"/>
    </row>
    <row r="33" spans="1:9" ht="21" thickBot="1" x14ac:dyDescent="0.35">
      <c r="A33" s="214"/>
      <c r="B33" s="215"/>
      <c r="C33" s="215"/>
      <c r="D33" s="215"/>
      <c r="E33" s="215"/>
      <c r="F33" s="215"/>
      <c r="G33" s="215"/>
      <c r="H33" s="215"/>
      <c r="I33" s="216"/>
    </row>
    <row r="34" spans="1:9" ht="20.25" x14ac:dyDescent="0.3">
      <c r="A34" s="217" t="s">
        <v>115</v>
      </c>
      <c r="B34" s="218"/>
      <c r="C34" s="218"/>
      <c r="D34" s="218"/>
      <c r="E34" s="218"/>
      <c r="F34" s="218"/>
      <c r="G34" s="218"/>
      <c r="H34" s="218"/>
      <c r="I34" s="218"/>
    </row>
    <row r="35" spans="1:9" ht="20.25" x14ac:dyDescent="0.3">
      <c r="A35" s="219" t="s">
        <v>119</v>
      </c>
      <c r="B35" s="220"/>
      <c r="C35" s="220"/>
      <c r="D35" s="220"/>
      <c r="E35" s="220"/>
      <c r="F35" s="220"/>
      <c r="G35" s="220"/>
      <c r="H35" s="220"/>
      <c r="I35" s="221"/>
    </row>
    <row r="36" spans="1:9" ht="20.25" x14ac:dyDescent="0.3">
      <c r="A36" s="219" t="s">
        <v>120</v>
      </c>
      <c r="B36" s="220"/>
      <c r="C36" s="220"/>
      <c r="D36" s="220"/>
      <c r="E36" s="220"/>
      <c r="F36" s="220"/>
      <c r="G36" s="220"/>
      <c r="H36" s="220"/>
      <c r="I36" s="221"/>
    </row>
  </sheetData>
  <mergeCells count="42">
    <mergeCell ref="A33:I33"/>
    <mergeCell ref="A34:I34"/>
    <mergeCell ref="A35:I35"/>
    <mergeCell ref="A36:I36"/>
    <mergeCell ref="A30:I30"/>
    <mergeCell ref="A31:I31"/>
    <mergeCell ref="A32:I32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C219-4BC4-4754-8953-AF1A48139DA8}">
  <dimension ref="A1:Q91"/>
  <sheetViews>
    <sheetView workbookViewId="0">
      <selection activeCell="B66" sqref="B66:E66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41</v>
      </c>
      <c r="F1" s="3" t="s">
        <v>42</v>
      </c>
      <c r="G1" s="3" t="s">
        <v>43</v>
      </c>
      <c r="H1" s="3" t="s">
        <v>44</v>
      </c>
      <c r="I1" s="4"/>
    </row>
    <row r="2" spans="1:10" ht="30.75" customHeight="1" x14ac:dyDescent="0.2">
      <c r="A2" s="1"/>
      <c r="B2" s="1"/>
      <c r="C2" s="1"/>
      <c r="D2" s="1"/>
      <c r="E2" s="7">
        <f>IFERROR(O62,"")</f>
        <v>47893.672879999998</v>
      </c>
      <c r="F2" s="7">
        <f>IFERROR(H53,"")</f>
        <v>46703.672879999998</v>
      </c>
      <c r="G2" s="7">
        <f>IFERROR(H54,"")</f>
        <v>0</v>
      </c>
      <c r="H2" s="7">
        <f>IFERROR(H56,"")</f>
        <v>610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248"/>
      <c r="B4" s="248"/>
      <c r="C4" s="248"/>
      <c r="D4" s="248"/>
      <c r="E4" s="248"/>
      <c r="F4" s="248"/>
      <c r="G4" s="248"/>
      <c r="H4" s="248"/>
      <c r="I4" s="10"/>
    </row>
    <row r="5" spans="1:10" ht="19.5" customHeight="1" thickBot="1" x14ac:dyDescent="0.25">
      <c r="A5" s="249" t="s">
        <v>45</v>
      </c>
      <c r="B5" s="250"/>
      <c r="C5" s="250"/>
      <c r="D5" s="250"/>
      <c r="E5" s="250"/>
      <c r="F5" s="250"/>
      <c r="G5" s="250"/>
      <c r="H5" s="251"/>
      <c r="I5" s="11"/>
    </row>
    <row r="6" spans="1:10" ht="19.5" thickBot="1" x14ac:dyDescent="0.25">
      <c r="A6" s="11"/>
      <c r="B6" s="11"/>
      <c r="C6" s="11"/>
      <c r="D6" s="11"/>
      <c r="E6" s="11"/>
      <c r="F6" s="252" t="s">
        <v>46</v>
      </c>
      <c r="G6" s="252"/>
      <c r="H6" s="12">
        <f ca="1">TODAY()</f>
        <v>46107</v>
      </c>
      <c r="I6" s="12"/>
    </row>
    <row r="7" spans="1:10" ht="26.25" thickBot="1" x14ac:dyDescent="0.25">
      <c r="A7" s="13" t="s">
        <v>47</v>
      </c>
      <c r="B7" s="14" t="s">
        <v>48</v>
      </c>
      <c r="C7" s="14" t="s">
        <v>47</v>
      </c>
      <c r="D7" s="15" t="s">
        <v>49</v>
      </c>
      <c r="E7" s="15" t="s">
        <v>50</v>
      </c>
      <c r="F7" s="15" t="s">
        <v>51</v>
      </c>
      <c r="G7" s="15" t="s">
        <v>52</v>
      </c>
      <c r="H7" s="16" t="s">
        <v>53</v>
      </c>
      <c r="I7" s="17"/>
    </row>
    <row r="8" spans="1:10" ht="13.5" x14ac:dyDescent="0.25">
      <c r="A8" s="18">
        <v>8000</v>
      </c>
      <c r="B8" s="6" t="str">
        <f>IFERROR(VLOOKUP(H8,'[1]Consolidado MP Planta'!$A$2:$M$823,3,0),"")</f>
        <v>BETTERCREME SUPREMO (UND:4 K)</v>
      </c>
      <c r="C8" s="19">
        <f>+A8</f>
        <v>8000</v>
      </c>
      <c r="D8" s="20" t="str">
        <f>IFERROR(VLOOKUP(H8,'[1]Consolidado MP Planta'!$A$2:$M$823,13,0),"")</f>
        <v>Gramos</v>
      </c>
      <c r="E8" s="20">
        <f>IFERROR(VLOOKUP(H8,'[1]Consolidado MP Planta'!$A$2:$M$823,12,0),"")</f>
        <v>2.4260000000000002</v>
      </c>
      <c r="F8" s="20">
        <f>IFERROR(C8*E8,"")</f>
        <v>19408</v>
      </c>
      <c r="G8" s="21">
        <f t="shared" ref="G8:G14" si="0">IFERROR(F8/$F$66,"")</f>
        <v>0.40225713060663998</v>
      </c>
      <c r="H8" s="22" t="s">
        <v>93</v>
      </c>
      <c r="I8" s="22"/>
      <c r="J8" s="23"/>
    </row>
    <row r="9" spans="1:10" ht="13.5" x14ac:dyDescent="0.25">
      <c r="A9" s="18">
        <v>12000</v>
      </c>
      <c r="B9" s="6" t="str">
        <f>IFERROR(VLOOKUP(H9,'[1]Consolidado MP Planta'!$A$2:$M$823,3,0),"")</f>
        <v>CREMA PRESTIGE GRAND (UND:4 K) *</v>
      </c>
      <c r="C9" s="19">
        <f t="shared" ref="C9:C14" si="1">+A9</f>
        <v>12000</v>
      </c>
      <c r="D9" s="20" t="str">
        <f>IFERROR(VLOOKUP(H9,'[1]Consolidado MP Planta'!$A$2:$M$823,13,0),"")</f>
        <v>Gramos</v>
      </c>
      <c r="E9" s="20">
        <f>IFERROR(VLOOKUP(H9,'[1]Consolidado MP Planta'!$A$2:$M$823,12,0),"")</f>
        <v>2.2537500000000001</v>
      </c>
      <c r="F9" s="20">
        <f t="shared" ref="F9:F14" si="2">IFERROR(C9*E9,"")</f>
        <v>27045</v>
      </c>
      <c r="G9" s="21">
        <f t="shared" si="0"/>
        <v>0.56054431663523174</v>
      </c>
      <c r="H9" s="22" t="s">
        <v>94</v>
      </c>
      <c r="I9" s="22"/>
      <c r="J9" s="23"/>
    </row>
    <row r="10" spans="1:10" ht="13.5" x14ac:dyDescent="0.25">
      <c r="A10" s="18">
        <v>1000</v>
      </c>
      <c r="B10" s="6" t="str">
        <f>IFERROR(VLOOKUP(H10,'[1]Consolidado MP Planta'!$A$2:$M$823,3,0),"")</f>
        <v>AGUA PLANTA</v>
      </c>
      <c r="C10" s="19">
        <f t="shared" si="1"/>
        <v>1000</v>
      </c>
      <c r="D10" s="20" t="str">
        <f>IFERROR(VLOOKUP(H10,'[1]Consolidado MP Planta'!$A$2:$M$823,13,0),"")</f>
        <v>Mililitros</v>
      </c>
      <c r="E10" s="20">
        <f>IFERROR(VLOOKUP(H10,'[1]Consolidado MP Planta'!$A$2:$M$823,12,0),"")</f>
        <v>0.1</v>
      </c>
      <c r="F10" s="20">
        <f t="shared" si="2"/>
        <v>100</v>
      </c>
      <c r="G10" s="21">
        <f t="shared" si="0"/>
        <v>2.0726356688305853E-3</v>
      </c>
      <c r="H10" s="22" t="s">
        <v>35</v>
      </c>
      <c r="I10" s="22"/>
      <c r="J10" s="23"/>
    </row>
    <row r="11" spans="1:10" ht="13.5" x14ac:dyDescent="0.25">
      <c r="A11" s="18">
        <v>15</v>
      </c>
      <c r="B11" s="6" t="str">
        <f>IFERROR(VLOOKUP(H11,'[1]Consolidado MP Planta'!$A$2:$M$823,3,0),"")</f>
        <v>PRESERVANTE 1047S (PAQ=5 KILO)</v>
      </c>
      <c r="C11" s="19">
        <f t="shared" si="1"/>
        <v>15</v>
      </c>
      <c r="D11" s="20" t="str">
        <f>IFERROR(VLOOKUP(H11,'[1]Consolidado MP Planta'!$A$2:$M$823,13,0),"")</f>
        <v>Gramos</v>
      </c>
      <c r="E11" s="20">
        <f>IFERROR(VLOOKUP(H11,'[1]Consolidado MP Planta'!$A$2:$M$823,12,0),"")</f>
        <v>9.9029919999999994</v>
      </c>
      <c r="F11" s="20">
        <f t="shared" si="2"/>
        <v>148.54487999999998</v>
      </c>
      <c r="G11" s="21">
        <f t="shared" si="0"/>
        <v>3.0787941671015897E-3</v>
      </c>
      <c r="H11" s="22" t="s">
        <v>95</v>
      </c>
      <c r="I11" s="22"/>
      <c r="J11" s="23"/>
    </row>
    <row r="12" spans="1:10" ht="13.5" x14ac:dyDescent="0.25">
      <c r="A12" s="18">
        <v>1</v>
      </c>
      <c r="B12" s="6" t="str">
        <f>IFERROR(VLOOKUP(H12,'[1]Consolidado MP Planta'!$A$2:$M$823,3,0),"")</f>
        <v>ETIQUETA BLANCA 2 5/8X1 15/16 (UND)</v>
      </c>
      <c r="C12" s="19">
        <f t="shared" si="1"/>
        <v>1</v>
      </c>
      <c r="D12" s="20" t="str">
        <f>IFERROR(VLOOKUP(H12,'[1]Consolidado MP Planta'!$A$2:$M$823,13,0),"")</f>
        <v>Und</v>
      </c>
      <c r="E12" s="20">
        <f>IFERROR(VLOOKUP(H12,'[1]Consolidado MP Planta'!$A$2:$M$823,12,0),"")</f>
        <v>2.1280000000000001</v>
      </c>
      <c r="F12" s="20">
        <f t="shared" si="2"/>
        <v>2.1280000000000001</v>
      </c>
      <c r="G12" s="21">
        <f t="shared" si="0"/>
        <v>4.4105687032714857E-5</v>
      </c>
      <c r="H12" s="22" t="s">
        <v>96</v>
      </c>
      <c r="I12" s="22"/>
      <c r="J12" s="23"/>
    </row>
    <row r="13" spans="1:10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thickBot="1" x14ac:dyDescent="0.3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hidden="1" thickBot="1" x14ac:dyDescent="0.25">
      <c r="A16" s="13" t="s">
        <v>47</v>
      </c>
      <c r="B16" s="14" t="s">
        <v>54</v>
      </c>
      <c r="C16" s="14" t="s">
        <v>47</v>
      </c>
      <c r="D16" s="15" t="s">
        <v>49</v>
      </c>
      <c r="E16" s="15" t="s">
        <v>50</v>
      </c>
      <c r="F16" s="15" t="s">
        <v>51</v>
      </c>
      <c r="G16" s="15" t="s">
        <v>52</v>
      </c>
      <c r="H16" s="16" t="s">
        <v>53</v>
      </c>
      <c r="I16" s="17"/>
      <c r="J16" s="23"/>
    </row>
    <row r="17" spans="1:12" ht="13.5" hidden="1" x14ac:dyDescent="0.25">
      <c r="A17" s="18"/>
      <c r="B17" s="6" t="str">
        <f>IFERROR(VLOOKUP(H17,[1]SEMIELABORADOS!$A$2:$M$6000,2,0),"")</f>
        <v/>
      </c>
      <c r="C17" s="19">
        <f>+A17</f>
        <v>0</v>
      </c>
      <c r="D17" s="19" t="str">
        <f>IFERROR(VLOOKUP(H17,[1]SEMIELABORADOS!$A$2:$M$6000,6,0),"")</f>
        <v/>
      </c>
      <c r="E17" s="20" t="str">
        <f>IFERROR(VLOOKUP(H17,[1]SEMIELABORADOS!$A$2:$H$65536,8,0),"")</f>
        <v/>
      </c>
      <c r="F17" s="20" t="str">
        <f>IFERROR(E17*C17,"")</f>
        <v/>
      </c>
      <c r="G17" s="21" t="str">
        <f t="shared" ref="G17:G24" si="3">IFERROR(F17/$F$66,"")</f>
        <v/>
      </c>
      <c r="H17" s="22"/>
      <c r="I17" s="22"/>
      <c r="J17" s="23"/>
    </row>
    <row r="18" spans="1:12" ht="13.5" hidden="1" x14ac:dyDescent="0.25">
      <c r="A18" s="18"/>
      <c r="B18" s="6" t="str">
        <f>IFERROR(VLOOKUP(H18,[1]SEMIELABORADOS!$A$2:$M$6000,2,0),"")</f>
        <v/>
      </c>
      <c r="C18" s="19">
        <f t="shared" ref="C18:C24" si="4">+A18</f>
        <v>0</v>
      </c>
      <c r="D18" s="19" t="str">
        <f>IFERROR(VLOOKUP(H18,[1]SEMIELABORADOS!$A$2:$M$6000,6,0),"")</f>
        <v/>
      </c>
      <c r="E18" s="20" t="str">
        <f>IFERROR(VLOOKUP(H18,[1]SEMIELABORADOS!$A$2:$H$65536,8,0),"")</f>
        <v/>
      </c>
      <c r="F18" s="20" t="str">
        <f t="shared" ref="F18:F24" si="5">IFERROR(E18*C18,"")</f>
        <v/>
      </c>
      <c r="G18" s="21" t="str">
        <f t="shared" si="3"/>
        <v/>
      </c>
      <c r="H18" s="22"/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>+A19</f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>IFERROR(E19*C19,"")</f>
        <v/>
      </c>
      <c r="G19" s="21" t="str">
        <f t="shared" si="3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hidden="1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hidden="1" thickBot="1" x14ac:dyDescent="0.25">
      <c r="A26" s="13" t="s">
        <v>47</v>
      </c>
      <c r="B26" s="14" t="s">
        <v>55</v>
      </c>
      <c r="C26" s="14" t="s">
        <v>47</v>
      </c>
      <c r="D26" s="15" t="s">
        <v>49</v>
      </c>
      <c r="E26" s="15" t="s">
        <v>50</v>
      </c>
      <c r="F26" s="15" t="s">
        <v>51</v>
      </c>
      <c r="G26" s="15" t="s">
        <v>52</v>
      </c>
      <c r="H26" s="16" t="s">
        <v>53</v>
      </c>
      <c r="I26" s="17"/>
    </row>
    <row r="27" spans="1:12" ht="13.5" hidden="1" x14ac:dyDescent="0.25">
      <c r="A27" s="18">
        <v>0</v>
      </c>
      <c r="B27" s="24" t="str">
        <f>IFERROR(VLOOKUP(H27,'[1]Consolidado MP Planta'!$A$2:$M$823,3,0),"")</f>
        <v/>
      </c>
      <c r="C27" s="19">
        <f t="shared" ref="C27:C32" si="6">+A27</f>
        <v>0</v>
      </c>
      <c r="D27" s="20" t="str">
        <f>IFERROR(VLOOKUP(H27,'[1]Consolidado MP Planta'!$A$2:$M$823,13,0),"")</f>
        <v/>
      </c>
      <c r="E27" s="20" t="str">
        <f>IFERROR(VLOOKUP(H27,'[1]Consolidado MP Planta'!$A$2:$M$823,12,0),"")</f>
        <v/>
      </c>
      <c r="F27" s="20" t="str">
        <f t="shared" ref="F27:F32" si="7">IFERROR(C27*E27,"")</f>
        <v/>
      </c>
      <c r="G27" s="21" t="str">
        <f t="shared" ref="G27:G32" si="8">IFERROR(F27/$F$66,"")</f>
        <v/>
      </c>
      <c r="H27" s="25"/>
      <c r="I27" s="25"/>
      <c r="J27" s="23"/>
      <c r="K27" s="245"/>
      <c r="L27" s="245"/>
    </row>
    <row r="28" spans="1:12" ht="13.5" hidden="1" x14ac:dyDescent="0.25">
      <c r="A28" s="18"/>
      <c r="B28" s="24" t="str">
        <f>IFERROR(VLOOKUP(H28,'[1]Consolidado MP Planta'!$A$2:$M$823,3,0),"")</f>
        <v/>
      </c>
      <c r="C28" s="19">
        <f t="shared" si="6"/>
        <v>0</v>
      </c>
      <c r="D28" s="20" t="str">
        <f>IFERROR(VLOOKUP(H28,'[1]Consolidado MP Planta'!$A$2:$M$823,13,0),"")</f>
        <v/>
      </c>
      <c r="E28" s="20" t="str">
        <f>IFERROR(VLOOKUP(H28,'[1]Consolidado MP Planta'!$A$2:$M$823,12,0),"")</f>
        <v/>
      </c>
      <c r="F28" s="20" t="str">
        <f t="shared" si="7"/>
        <v/>
      </c>
      <c r="G28" s="21" t="str">
        <f t="shared" si="8"/>
        <v/>
      </c>
      <c r="H28" s="25"/>
      <c r="I28" s="25"/>
      <c r="J28" s="23"/>
      <c r="K28" s="245"/>
      <c r="L28" s="245"/>
    </row>
    <row r="29" spans="1:12" ht="13.5" hidden="1" x14ac:dyDescent="0.25">
      <c r="A29" s="18"/>
      <c r="B29" s="24" t="str">
        <f>IFERROR(VLOOKUP(H29,'[1]Consolidado MP Planta'!$A$2:$M$823,3,0),"")</f>
        <v/>
      </c>
      <c r="C29" s="19">
        <f t="shared" si="6"/>
        <v>0</v>
      </c>
      <c r="D29" s="20" t="str">
        <f>IFERROR(VLOOKUP(H29,'[1]Consolidado MP Planta'!$A$2:$M$823,13,0),"")</f>
        <v/>
      </c>
      <c r="E29" s="20" t="str">
        <f>IFERROR(VLOOKUP(H29,'[1]Consolidado MP Planta'!$A$2:$M$823,12,0),"")</f>
        <v/>
      </c>
      <c r="F29" s="20" t="str">
        <f t="shared" si="7"/>
        <v/>
      </c>
      <c r="G29" s="21" t="str">
        <f t="shared" si="8"/>
        <v/>
      </c>
      <c r="H29" s="25"/>
      <c r="I29" s="25"/>
      <c r="J29" s="23"/>
      <c r="K29" s="245"/>
      <c r="L29" s="245"/>
    </row>
    <row r="30" spans="1:12" ht="13.5" hidden="1" x14ac:dyDescent="0.25">
      <c r="A30" s="18"/>
      <c r="B30" s="24" t="str">
        <f>IFERROR(VLOOKUP(H30,'[1]Consolidado MP Planta'!$A$2:$M$823,3,0),"")</f>
        <v/>
      </c>
      <c r="C30" s="19">
        <f t="shared" si="6"/>
        <v>0</v>
      </c>
      <c r="D30" s="20" t="str">
        <f>IFERROR(VLOOKUP(H30,'[1]Consolidado MP Planta'!$A$2:$M$823,13,0),"")</f>
        <v/>
      </c>
      <c r="E30" s="20" t="str">
        <f>IFERROR(VLOOKUP(H30,'[1]Consolidado MP Planta'!$A$2:$M$823,12,0),"")</f>
        <v/>
      </c>
      <c r="F30" s="20" t="str">
        <f t="shared" si="7"/>
        <v/>
      </c>
      <c r="G30" s="21" t="str">
        <f t="shared" si="8"/>
        <v/>
      </c>
      <c r="H30" s="25"/>
      <c r="I30" s="25"/>
      <c r="J30" s="23"/>
      <c r="K30" s="245"/>
      <c r="L30" s="245"/>
    </row>
    <row r="31" spans="1:12" ht="13.5" hidden="1" x14ac:dyDescent="0.25">
      <c r="A31" s="18"/>
      <c r="B31" s="24" t="str">
        <f>IFERROR(VLOOKUP(H31,'[1]Consolidado MP Planta'!$A$2:$M$823,3,0),"")</f>
        <v/>
      </c>
      <c r="C31" s="19">
        <f t="shared" si="6"/>
        <v>0</v>
      </c>
      <c r="D31" s="20" t="str">
        <f>IFERROR(VLOOKUP(H31,'[1]Consolidado MP Planta'!$A$2:$M$823,13,0),"")</f>
        <v/>
      </c>
      <c r="E31" s="20" t="str">
        <f>IFERROR(VLOOKUP(H31,'[1]Consolidado MP Planta'!$A$2:$M$823,12,0),"")</f>
        <v/>
      </c>
      <c r="F31" s="20" t="str">
        <f t="shared" si="7"/>
        <v/>
      </c>
      <c r="G31" s="21" t="str">
        <f t="shared" si="8"/>
        <v/>
      </c>
      <c r="H31" s="25"/>
      <c r="I31" s="25"/>
      <c r="J31" s="23"/>
      <c r="K31" s="26"/>
      <c r="L31" s="27"/>
    </row>
    <row r="32" spans="1:12" ht="13.5" hidden="1" x14ac:dyDescent="0.2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hidden="1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hidden="1" thickBot="1" x14ac:dyDescent="0.25">
      <c r="A34" s="13" t="s">
        <v>47</v>
      </c>
      <c r="B34" s="14" t="s">
        <v>56</v>
      </c>
      <c r="C34" s="14" t="s">
        <v>47</v>
      </c>
      <c r="D34" s="15" t="s">
        <v>49</v>
      </c>
      <c r="E34" s="15" t="s">
        <v>50</v>
      </c>
      <c r="F34" s="15" t="s">
        <v>51</v>
      </c>
      <c r="G34" s="15" t="s">
        <v>52</v>
      </c>
      <c r="H34" s="16" t="s">
        <v>53</v>
      </c>
      <c r="I34" s="25"/>
      <c r="J34" s="23"/>
    </row>
    <row r="35" spans="1:13" ht="13.5" hidden="1" x14ac:dyDescent="0.25">
      <c r="A35" s="18">
        <f>+A17</f>
        <v>0</v>
      </c>
      <c r="B35" s="24" t="str">
        <f>IFERROR(VLOOKUP(H35,[1]SEMIELABORADOS!$A$2:$M$6000,2,0),"")</f>
        <v/>
      </c>
      <c r="C35" s="19">
        <f>+A35</f>
        <v>0</v>
      </c>
      <c r="D35" s="20" t="str">
        <f>IFERROR(VLOOKUP(H35,[1]SEMIELABORADOS!$A$2:$M$6000,6,0),"")</f>
        <v/>
      </c>
      <c r="E35" s="20" t="str">
        <f>IFERROR(VLOOKUP(H35,[1]SEMIELABORADOS!$A$2:$M$65536,10,0),"")</f>
        <v/>
      </c>
      <c r="F35" s="20" t="str">
        <f>IFERROR(E35*C35,"")</f>
        <v/>
      </c>
      <c r="G35" s="21" t="str">
        <f t="shared" ref="G35:G41" si="9">IFERROR(F35/$F$66,"")</f>
        <v/>
      </c>
      <c r="H35" s="25"/>
      <c r="I35" s="25"/>
      <c r="J35" s="23"/>
    </row>
    <row r="36" spans="1:13" ht="13.5" hidden="1" x14ac:dyDescent="0.25">
      <c r="A36" s="18">
        <f t="shared" ref="A36:A41" si="10">+A18</f>
        <v>0</v>
      </c>
      <c r="B36" s="24" t="str">
        <f>IFERROR(VLOOKUP(H36,[1]SEMIELABORADOS!$A$2:$M$6000,2,0),"")</f>
        <v/>
      </c>
      <c r="C36" s="19">
        <f t="shared" ref="C36:C41" si="11">+A36</f>
        <v>0</v>
      </c>
      <c r="D36" s="20" t="str">
        <f>IFERROR(VLOOKUP(H36,[1]SEMIELABORADOS!$A$2:$M$6000,6,0),"")</f>
        <v/>
      </c>
      <c r="E36" s="20" t="str">
        <f>IFERROR(VLOOKUP(H36,[1]SEMIELABORADOS!$A$2:$M$65536,10,0),"")</f>
        <v/>
      </c>
      <c r="F36" s="20" t="str">
        <f t="shared" ref="F36:F41" si="12">IFERROR(E36*C36,"")</f>
        <v/>
      </c>
      <c r="G36" s="21" t="str">
        <f t="shared" si="9"/>
        <v/>
      </c>
      <c r="H36" s="25"/>
      <c r="I36" s="25"/>
      <c r="J36" s="23"/>
    </row>
    <row r="37" spans="1:13" ht="13.5" hidden="1" x14ac:dyDescent="0.25">
      <c r="A37" s="18">
        <f t="shared" si="10"/>
        <v>0</v>
      </c>
      <c r="B37" s="24" t="str">
        <f>IFERROR(VLOOKUP(H37,[1]SEMIELABORADOS!$A$2:$M$6000,2,0),"")</f>
        <v/>
      </c>
      <c r="C37" s="19">
        <f t="shared" si="11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2"/>
        <v/>
      </c>
      <c r="G37" s="21" t="str">
        <f t="shared" si="9"/>
        <v/>
      </c>
      <c r="H37" s="25"/>
      <c r="I37" s="25"/>
      <c r="J37" s="23"/>
    </row>
    <row r="38" spans="1:13" ht="13.5" hidden="1" x14ac:dyDescent="0.2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2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2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2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25" hidden="1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25">
      <c r="A43" s="13" t="s">
        <v>47</v>
      </c>
      <c r="B43" s="14" t="s">
        <v>57</v>
      </c>
      <c r="C43" s="14" t="s">
        <v>47</v>
      </c>
      <c r="D43" s="15" t="s">
        <v>49</v>
      </c>
      <c r="E43" s="15" t="s">
        <v>50</v>
      </c>
      <c r="F43" s="15" t="s">
        <v>51</v>
      </c>
      <c r="G43" s="15" t="s">
        <v>52</v>
      </c>
      <c r="H43" s="16" t="s">
        <v>53</v>
      </c>
      <c r="I43" s="17"/>
      <c r="J43" s="23"/>
    </row>
    <row r="44" spans="1:13" ht="13.5" hidden="1" x14ac:dyDescent="0.25">
      <c r="A44" s="18">
        <f>+A35</f>
        <v>0</v>
      </c>
      <c r="B44" s="24" t="str">
        <f>IFERROR(VLOOKUP(H44,[1]SEMIELABORADOS!$A$2:$M$6000,2,0),"")</f>
        <v/>
      </c>
      <c r="C44" s="19">
        <f>+A44</f>
        <v>0</v>
      </c>
      <c r="D44" s="20" t="str">
        <f>IFERROR(VLOOKUP(H44,[1]SEMIELABORADOS!$A$2:$M$6000,6,0),"")</f>
        <v/>
      </c>
      <c r="E44" s="20" t="str">
        <f>IFERROR(VLOOKUP(H44,[1]SEMIELABORADOS!$A$2:$M$65536,12,0),"")</f>
        <v/>
      </c>
      <c r="F44" s="20" t="str">
        <f>IFERROR(E44*C44,"")</f>
        <v/>
      </c>
      <c r="G44" s="21" t="str">
        <f>IFERROR(F44/$F$66,"")</f>
        <v/>
      </c>
      <c r="H44" s="25"/>
      <c r="I44" s="17"/>
      <c r="J44" s="23"/>
    </row>
    <row r="45" spans="1:13" ht="13.5" hidden="1" x14ac:dyDescent="0.25">
      <c r="A45" s="18">
        <f t="shared" ref="A45:A50" si="13">+A36</f>
        <v>0</v>
      </c>
      <c r="B45" s="24" t="str">
        <f>IFERROR(VLOOKUP(H45,[1]SEMIELABORADOS!$A$2:$M$6000,2,0),"")</f>
        <v/>
      </c>
      <c r="C45" s="19">
        <f t="shared" ref="C45:C50" si="14">+A45</f>
        <v>0</v>
      </c>
      <c r="D45" s="20" t="str">
        <f>IFERROR(VLOOKUP(H45,[1]SEMIELABORADOS!$A$2:$M$6000,6,0),"")</f>
        <v/>
      </c>
      <c r="E45" s="20" t="str">
        <f>IFERROR(VLOOKUP(H45,[1]SEMIELABORADOS!$A$2:$M$65536,12,0),"")</f>
        <v/>
      </c>
      <c r="F45" s="20" t="str">
        <f t="shared" ref="F45:F50" si="15">IFERROR(E45*C45,"")</f>
        <v/>
      </c>
      <c r="G45" s="21" t="str">
        <f t="shared" ref="G45:G50" si="16">IFERROR(F45/$F$66,"")</f>
        <v/>
      </c>
      <c r="H45" s="25"/>
      <c r="I45" s="17"/>
      <c r="J45" s="23"/>
      <c r="M45" s="28"/>
    </row>
    <row r="46" spans="1:13" ht="13.5" hidden="1" x14ac:dyDescent="0.25">
      <c r="A46" s="18">
        <f t="shared" si="13"/>
        <v>0</v>
      </c>
      <c r="B46" s="24" t="str">
        <f>IFERROR(VLOOKUP(H46,[1]SEMIELABORADOS!$A$2:$M$6000,2,0),"")</f>
        <v/>
      </c>
      <c r="C46" s="19">
        <f t="shared" si="14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5"/>
        <v/>
      </c>
      <c r="G46" s="21" t="str">
        <f t="shared" si="16"/>
        <v/>
      </c>
      <c r="H46" s="25"/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25">
      <c r="A51" s="18">
        <v>1</v>
      </c>
      <c r="B51" s="24" t="s">
        <v>58</v>
      </c>
      <c r="C51" s="19">
        <f>+A51</f>
        <v>1</v>
      </c>
      <c r="D51" s="19" t="s">
        <v>59</v>
      </c>
      <c r="E51" s="20">
        <f>+F65</f>
        <v>610</v>
      </c>
      <c r="F51" s="20">
        <f>IFERROR(C51*E51,"")</f>
        <v>610</v>
      </c>
      <c r="G51" s="21">
        <f>IFERROR(F51/$F$66,"")</f>
        <v>1.2643077579866571E-2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25">
      <c r="A53" s="30"/>
      <c r="B53" s="242" t="s">
        <v>60</v>
      </c>
      <c r="C53" s="242"/>
      <c r="D53" s="242"/>
      <c r="E53" s="242"/>
      <c r="F53" s="32">
        <f>SUM(F8:F14,F17:F24)</f>
        <v>46703.672879999998</v>
      </c>
      <c r="G53" s="21">
        <f>+F53/$F$66</f>
        <v>0.96799698276483659</v>
      </c>
      <c r="H53" s="33">
        <f>+F53/$D$60</f>
        <v>46703.672879999998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">
      <c r="A54" s="30"/>
      <c r="B54" s="242" t="s">
        <v>61</v>
      </c>
      <c r="C54" s="242"/>
      <c r="D54" s="242"/>
      <c r="E54" s="242"/>
      <c r="F54" s="32">
        <f>SUM(F27:F32,F35:F41)</f>
        <v>0</v>
      </c>
      <c r="G54" s="21">
        <f>+F54/$F$66</f>
        <v>0</v>
      </c>
      <c r="H54" s="33">
        <f>+F54/$D$60</f>
        <v>0</v>
      </c>
      <c r="I54" s="33"/>
      <c r="J54" s="37"/>
      <c r="K54" s="246" t="s">
        <v>62</v>
      </c>
      <c r="L54" s="247"/>
      <c r="M54" s="247"/>
      <c r="N54" s="247"/>
      <c r="O54" s="38">
        <f>+F55</f>
        <v>46703.672879999998</v>
      </c>
      <c r="P54" s="38"/>
      <c r="Q54" s="39"/>
    </row>
    <row r="55" spans="1:17" x14ac:dyDescent="0.2">
      <c r="A55" s="30"/>
      <c r="B55" s="242" t="s">
        <v>63</v>
      </c>
      <c r="C55" s="242"/>
      <c r="D55" s="242"/>
      <c r="E55" s="242"/>
      <c r="F55" s="32">
        <f>+F53+F54</f>
        <v>46703.672879999998</v>
      </c>
      <c r="G55" s="21">
        <f>+F55/$F$66</f>
        <v>0.96799698276483659</v>
      </c>
      <c r="H55" s="33">
        <f>+F55/$D$60</f>
        <v>46703.672879999998</v>
      </c>
      <c r="I55" s="33"/>
      <c r="J55" s="40"/>
      <c r="K55" s="41"/>
      <c r="M55" s="42" t="s">
        <v>64</v>
      </c>
      <c r="N55" s="43"/>
      <c r="O55" s="38">
        <f>+H56</f>
        <v>610</v>
      </c>
      <c r="P55" s="38"/>
      <c r="Q55" s="39"/>
    </row>
    <row r="56" spans="1:17" ht="13.5" thickBot="1" x14ac:dyDescent="0.25">
      <c r="A56" s="30"/>
      <c r="B56" s="31"/>
      <c r="C56" s="242" t="s">
        <v>65</v>
      </c>
      <c r="D56" s="242"/>
      <c r="E56" s="242"/>
      <c r="F56" s="32">
        <f>SUM(F44:F51)</f>
        <v>610</v>
      </c>
      <c r="G56" s="21">
        <f>+F56/$F$66</f>
        <v>1.2643077579866571E-2</v>
      </c>
      <c r="H56" s="33">
        <f>+F56/$D$60</f>
        <v>610</v>
      </c>
      <c r="I56" s="33"/>
      <c r="J56" s="40"/>
      <c r="K56" s="41"/>
      <c r="L56" s="41"/>
      <c r="M56" s="41" t="s">
        <v>66</v>
      </c>
      <c r="N56" s="44"/>
      <c r="O56" s="38">
        <f>O54*N56</f>
        <v>0</v>
      </c>
      <c r="P56" s="38"/>
      <c r="Q56" s="39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3"/>
      <c r="J57" s="40"/>
      <c r="K57" s="48"/>
      <c r="M57" s="49" t="s">
        <v>67</v>
      </c>
      <c r="N57" s="50"/>
      <c r="O57" s="51">
        <f>SUM(O54:O56)</f>
        <v>47313.672879999998</v>
      </c>
      <c r="P57" s="52"/>
      <c r="Q57" s="39"/>
    </row>
    <row r="58" spans="1:17" x14ac:dyDescent="0.2">
      <c r="B58" s="244" t="s">
        <v>68</v>
      </c>
      <c r="C58" s="244"/>
      <c r="D58" s="53">
        <v>20000</v>
      </c>
      <c r="E58" s="54"/>
      <c r="G58" s="21"/>
      <c r="H58" s="47">
        <f>+H56/61</f>
        <v>10</v>
      </c>
      <c r="I58" s="55"/>
      <c r="J58" s="40"/>
      <c r="K58" s="48"/>
      <c r="L58" s="41"/>
      <c r="M58" s="41" t="s">
        <v>69</v>
      </c>
      <c r="N58" s="56"/>
      <c r="O58" s="38">
        <f>+H59</f>
        <v>580</v>
      </c>
      <c r="P58" s="38"/>
      <c r="Q58" s="39"/>
    </row>
    <row r="59" spans="1:17" x14ac:dyDescent="0.2">
      <c r="B59" s="244" t="s">
        <v>70</v>
      </c>
      <c r="C59" s="244"/>
      <c r="D59" s="57">
        <v>20000</v>
      </c>
      <c r="E59" s="54"/>
      <c r="G59" s="21"/>
      <c r="H59" s="47">
        <f>+H58*58</f>
        <v>580</v>
      </c>
      <c r="I59" s="55"/>
      <c r="J59" s="40"/>
      <c r="K59" s="48"/>
      <c r="L59" s="41"/>
      <c r="M59" s="237" t="s">
        <v>67</v>
      </c>
      <c r="N59" s="237"/>
      <c r="O59" s="38">
        <f>SUM(O57:O58)</f>
        <v>47893.672879999998</v>
      </c>
      <c r="P59" s="38"/>
      <c r="Q59" s="39"/>
    </row>
    <row r="60" spans="1:17" ht="13.5" thickBot="1" x14ac:dyDescent="0.25">
      <c r="B60" s="238" t="s">
        <v>71</v>
      </c>
      <c r="C60" s="238"/>
      <c r="D60" s="53">
        <f>+D58/D59</f>
        <v>1</v>
      </c>
      <c r="E60" s="54"/>
      <c r="F60" s="58"/>
      <c r="G60" s="21"/>
      <c r="H60" s="47"/>
      <c r="I60" s="55"/>
      <c r="J60" s="40"/>
      <c r="K60" s="48"/>
      <c r="L60" s="237"/>
      <c r="M60" s="237"/>
      <c r="N60" s="56"/>
      <c r="O60" s="38">
        <f>+O59*N60</f>
        <v>0</v>
      </c>
      <c r="P60" s="38"/>
      <c r="Q60" s="39"/>
    </row>
    <row r="61" spans="1:17" ht="13.5" thickBot="1" x14ac:dyDescent="0.25">
      <c r="B61" s="238" t="s">
        <v>72</v>
      </c>
      <c r="C61" s="238"/>
      <c r="D61" s="59"/>
      <c r="E61" s="54"/>
      <c r="F61" s="58"/>
      <c r="G61" s="21"/>
      <c r="H61" s="47"/>
      <c r="I61" s="55"/>
      <c r="J61" s="40"/>
      <c r="K61" s="239" t="s">
        <v>73</v>
      </c>
      <c r="L61" s="240"/>
      <c r="M61" s="240"/>
      <c r="N61" s="241"/>
      <c r="O61" s="51">
        <f>SUM(O59:O60)</f>
        <v>47893.672879999998</v>
      </c>
      <c r="P61" s="60" t="s">
        <v>74</v>
      </c>
      <c r="Q61" s="39"/>
    </row>
    <row r="62" spans="1:17" ht="13.5" thickBot="1" x14ac:dyDescent="0.25">
      <c r="C62" s="30" t="s">
        <v>75</v>
      </c>
      <c r="D62" s="61"/>
      <c r="E62" s="4" t="s">
        <v>76</v>
      </c>
      <c r="F62" s="62" t="s">
        <v>77</v>
      </c>
      <c r="G62" s="21"/>
      <c r="H62" s="47"/>
      <c r="I62" s="55"/>
      <c r="J62" s="63"/>
      <c r="K62" s="64"/>
      <c r="L62" s="227" t="s">
        <v>78</v>
      </c>
      <c r="M62" s="227"/>
      <c r="N62" s="227"/>
      <c r="O62" s="65">
        <f>+O61/D60</f>
        <v>47893.672879999998</v>
      </c>
      <c r="P62" s="66">
        <f>+O62/D59</f>
        <v>2.3946836440000001</v>
      </c>
      <c r="Q62" s="67"/>
    </row>
    <row r="63" spans="1:17" ht="13.5" thickBot="1" x14ac:dyDescent="0.25">
      <c r="B63" s="228" t="s">
        <v>63</v>
      </c>
      <c r="C63" s="228"/>
      <c r="D63" s="228"/>
      <c r="E63" s="68">
        <f>+F63/F63</f>
        <v>1</v>
      </c>
      <c r="F63" s="69">
        <f>SUM(F55)</f>
        <v>46703.672879999998</v>
      </c>
      <c r="G63" s="21">
        <f>+F63/$F$66</f>
        <v>0.96799698276483659</v>
      </c>
      <c r="H63" s="47"/>
      <c r="I63" s="55"/>
      <c r="K63" s="229"/>
      <c r="L63" s="230"/>
      <c r="M63" s="230"/>
      <c r="N63" s="230"/>
      <c r="O63" s="70"/>
      <c r="P63" s="71"/>
    </row>
    <row r="64" spans="1:17" ht="13.5" thickBot="1" x14ac:dyDescent="0.25">
      <c r="B64" s="231" t="s">
        <v>79</v>
      </c>
      <c r="C64" s="231"/>
      <c r="D64" s="231"/>
      <c r="E64" s="72">
        <v>0.02</v>
      </c>
      <c r="F64" s="69">
        <f>+F53*E64</f>
        <v>934.07345759999998</v>
      </c>
      <c r="G64" s="21">
        <f>+F64/$F$66</f>
        <v>1.9359939655296733E-2</v>
      </c>
      <c r="H64" s="33"/>
      <c r="I64" s="55"/>
      <c r="J64" s="73"/>
      <c r="O64" s="74"/>
      <c r="P64" s="31"/>
    </row>
    <row r="65" spans="2:13" ht="13.5" thickBot="1" x14ac:dyDescent="0.25">
      <c r="B65" s="232" t="s">
        <v>80</v>
      </c>
      <c r="C65" s="233"/>
      <c r="D65" s="75">
        <v>10</v>
      </c>
      <c r="E65" s="76">
        <v>61</v>
      </c>
      <c r="F65" s="69">
        <f>+E65*D65</f>
        <v>610</v>
      </c>
      <c r="G65" s="21">
        <f>+F65/$F$66</f>
        <v>1.2643077579866571E-2</v>
      </c>
      <c r="H65" s="33"/>
      <c r="I65" s="33"/>
      <c r="J65" s="23"/>
    </row>
    <row r="66" spans="2:13" ht="13.5" thickBot="1" x14ac:dyDescent="0.25">
      <c r="B66" s="234" t="s">
        <v>81</v>
      </c>
      <c r="C66" s="235"/>
      <c r="D66" s="235"/>
      <c r="E66" s="236"/>
      <c r="F66" s="46">
        <f>SUM(F63:F65)</f>
        <v>48247.746337600001</v>
      </c>
      <c r="G66" s="21">
        <f>+F66/$F$66</f>
        <v>1</v>
      </c>
      <c r="H66" s="243"/>
      <c r="I66" s="33"/>
      <c r="J66" s="23"/>
      <c r="M66" s="6" t="s">
        <v>82</v>
      </c>
    </row>
    <row r="67" spans="2:13" x14ac:dyDescent="0.2">
      <c r="C67" s="28"/>
      <c r="D67" s="28"/>
      <c r="E67" s="78"/>
      <c r="F67" s="69"/>
      <c r="G67" s="21"/>
      <c r="H67" s="243"/>
      <c r="I67" s="77"/>
      <c r="J67" s="6"/>
      <c r="M67" s="6" t="s">
        <v>83</v>
      </c>
    </row>
    <row r="68" spans="2:13" ht="13.5" thickBot="1" x14ac:dyDescent="0.25">
      <c r="B68" s="222" t="s">
        <v>84</v>
      </c>
      <c r="C68" s="222"/>
      <c r="D68" s="222"/>
      <c r="E68" s="222"/>
      <c r="F68" s="222"/>
      <c r="G68" s="21"/>
      <c r="H68" s="80"/>
      <c r="I68" s="77"/>
      <c r="J68" s="6"/>
      <c r="M68" s="6" t="s">
        <v>85</v>
      </c>
    </row>
    <row r="69" spans="2:13" ht="13.5" thickBot="1" x14ac:dyDescent="0.25">
      <c r="B69" s="81" t="s">
        <v>86</v>
      </c>
      <c r="C69" s="82">
        <f>+F53</f>
        <v>46703.672879999998</v>
      </c>
      <c r="D69" s="82">
        <f>+D58</f>
        <v>20000</v>
      </c>
      <c r="E69" s="83">
        <f>+C69/D69</f>
        <v>2.3351836439999998</v>
      </c>
      <c r="F69" s="21"/>
      <c r="G69" s="80"/>
      <c r="H69" s="23"/>
      <c r="I69" s="80"/>
      <c r="J69" s="6"/>
    </row>
    <row r="70" spans="2:13" x14ac:dyDescent="0.2">
      <c r="B70" s="84"/>
      <c r="C70" s="85"/>
      <c r="D70" s="86"/>
      <c r="E70" s="69"/>
      <c r="F70" s="21"/>
      <c r="G70" s="80"/>
      <c r="H70" s="23"/>
      <c r="I70" s="23"/>
      <c r="J70" s="6"/>
    </row>
    <row r="71" spans="2:13" x14ac:dyDescent="0.2">
      <c r="B71" s="81" t="s">
        <v>87</v>
      </c>
      <c r="C71" s="82">
        <f>SUM(F63:F64)</f>
        <v>47637.746337600001</v>
      </c>
      <c r="D71" s="82">
        <f>+D58</f>
        <v>20000</v>
      </c>
      <c r="E71" s="87">
        <f>+C71/D71</f>
        <v>2.3818873168799999</v>
      </c>
      <c r="F71" s="21"/>
      <c r="G71" s="80"/>
      <c r="H71" s="23"/>
      <c r="I71" s="23"/>
      <c r="J71" s="6"/>
    </row>
    <row r="72" spans="2:13" x14ac:dyDescent="0.2">
      <c r="B72" s="81"/>
      <c r="C72" s="82"/>
      <c r="D72" s="82"/>
      <c r="E72" s="87"/>
      <c r="F72" s="21"/>
      <c r="G72" s="80"/>
      <c r="H72" s="23"/>
      <c r="I72" s="23"/>
      <c r="J72" s="6"/>
    </row>
    <row r="73" spans="2:13" ht="13.5" thickBot="1" x14ac:dyDescent="0.25">
      <c r="B73" s="81" t="s">
        <v>88</v>
      </c>
      <c r="C73" s="82">
        <f>+F65</f>
        <v>610</v>
      </c>
      <c r="D73" s="82">
        <f>+D58</f>
        <v>20000</v>
      </c>
      <c r="E73" s="87">
        <f>+C73/D73</f>
        <v>3.0499999999999999E-2</v>
      </c>
      <c r="F73" s="21"/>
      <c r="G73" s="80"/>
      <c r="H73" s="23"/>
      <c r="I73" s="23"/>
      <c r="J73" s="6"/>
    </row>
    <row r="74" spans="2:13" ht="13.5" thickBot="1" x14ac:dyDescent="0.25">
      <c r="B74" s="81" t="s">
        <v>89</v>
      </c>
      <c r="C74" s="82">
        <f>+F56</f>
        <v>610</v>
      </c>
      <c r="D74" s="82">
        <f>+D73</f>
        <v>20000</v>
      </c>
      <c r="E74" s="83">
        <f>+C74/D74</f>
        <v>3.0499999999999999E-2</v>
      </c>
      <c r="F74" s="21"/>
      <c r="G74" s="80"/>
      <c r="H74" s="23"/>
      <c r="I74" s="23"/>
      <c r="J74" s="6"/>
    </row>
    <row r="75" spans="2:13" ht="13.5" thickBot="1" x14ac:dyDescent="0.25">
      <c r="B75" s="45"/>
      <c r="C75" s="46"/>
      <c r="D75" s="46"/>
      <c r="E75" s="87"/>
      <c r="F75" s="21"/>
      <c r="G75" s="80"/>
      <c r="H75" s="23"/>
      <c r="I75" s="23"/>
      <c r="J75" s="6"/>
    </row>
    <row r="76" spans="2:13" ht="13.5" thickBot="1" x14ac:dyDescent="0.25">
      <c r="B76" s="81" t="s">
        <v>90</v>
      </c>
      <c r="C76" s="82">
        <f>+F54</f>
        <v>0</v>
      </c>
      <c r="D76" s="82">
        <f>+D74</f>
        <v>20000</v>
      </c>
      <c r="E76" s="83">
        <f>+C76/D76</f>
        <v>0</v>
      </c>
      <c r="F76" s="21"/>
      <c r="G76" s="80"/>
      <c r="H76" s="23"/>
      <c r="I76" s="23"/>
      <c r="J76" s="23"/>
    </row>
    <row r="77" spans="2:13" ht="13.5" thickBot="1" x14ac:dyDescent="0.25">
      <c r="B77" s="45"/>
      <c r="C77" s="46"/>
      <c r="D77" s="46"/>
      <c r="E77" s="87"/>
      <c r="F77" s="21"/>
      <c r="G77" s="80"/>
      <c r="H77" s="23"/>
      <c r="I77" s="23"/>
    </row>
    <row r="78" spans="2:13" ht="13.5" thickBot="1" x14ac:dyDescent="0.25">
      <c r="B78" s="223" t="s">
        <v>91</v>
      </c>
      <c r="C78" s="224"/>
      <c r="D78" s="225"/>
      <c r="E78" s="83">
        <f>+E69+E74</f>
        <v>2.3656836439999998</v>
      </c>
      <c r="G78" s="21"/>
      <c r="H78" s="80"/>
      <c r="I78" s="23"/>
      <c r="J78" s="87"/>
    </row>
    <row r="79" spans="2:13" x14ac:dyDescent="0.2">
      <c r="I79" s="80"/>
      <c r="J79" s="6"/>
    </row>
    <row r="80" spans="2:13" ht="13.5" thickBot="1" x14ac:dyDescent="0.25">
      <c r="B80" s="222" t="s">
        <v>92</v>
      </c>
      <c r="C80" s="222"/>
      <c r="D80" s="222"/>
      <c r="E80" s="222"/>
      <c r="F80" s="222"/>
      <c r="G80" s="21"/>
      <c r="H80" s="80"/>
      <c r="J80" s="6"/>
    </row>
    <row r="81" spans="1:10" ht="13.5" thickBot="1" x14ac:dyDescent="0.25">
      <c r="B81" s="81" t="s">
        <v>86</v>
      </c>
      <c r="C81" s="82">
        <f>+C69</f>
        <v>46703.672879999998</v>
      </c>
      <c r="D81" s="82">
        <f>+D60</f>
        <v>1</v>
      </c>
      <c r="E81" s="83">
        <f>+C81/D81</f>
        <v>46703.672879999998</v>
      </c>
      <c r="F81" s="21"/>
      <c r="G81" s="80"/>
      <c r="H81" s="23"/>
      <c r="I81" s="80"/>
      <c r="J81" s="6"/>
    </row>
    <row r="82" spans="1:10" x14ac:dyDescent="0.2">
      <c r="B82" s="84"/>
      <c r="C82" s="85"/>
      <c r="D82" s="86"/>
      <c r="E82" s="69"/>
      <c r="F82" s="21"/>
      <c r="G82" s="80"/>
      <c r="H82" s="23"/>
      <c r="I82" s="23"/>
      <c r="J82" s="6"/>
    </row>
    <row r="83" spans="1:10" x14ac:dyDescent="0.2">
      <c r="B83" s="81" t="s">
        <v>87</v>
      </c>
      <c r="C83" s="82">
        <f>+C71</f>
        <v>47637.746337600001</v>
      </c>
      <c r="D83" s="82">
        <f>+D60</f>
        <v>1</v>
      </c>
      <c r="E83" s="87">
        <f>+C83/D83</f>
        <v>47637.746337600001</v>
      </c>
      <c r="F83" s="21"/>
      <c r="G83" s="80"/>
      <c r="H83" s="23"/>
      <c r="I83" s="23"/>
      <c r="J83" s="6"/>
    </row>
    <row r="84" spans="1:10" x14ac:dyDescent="0.2">
      <c r="B84" s="81"/>
      <c r="C84" s="82"/>
      <c r="D84" s="82"/>
      <c r="E84" s="87"/>
      <c r="F84" s="21"/>
      <c r="G84" s="80"/>
      <c r="H84" s="23"/>
      <c r="I84" s="23"/>
      <c r="J84" s="6"/>
    </row>
    <row r="85" spans="1:10" ht="13.5" thickBot="1" x14ac:dyDescent="0.25">
      <c r="B85" s="81" t="s">
        <v>89</v>
      </c>
      <c r="C85" s="82">
        <f>+C73</f>
        <v>610</v>
      </c>
      <c r="D85" s="82">
        <f>+D60</f>
        <v>1</v>
      </c>
      <c r="E85" s="87">
        <f>+C85/D85</f>
        <v>610</v>
      </c>
      <c r="F85" s="89"/>
      <c r="G85" s="79"/>
      <c r="H85" s="5"/>
      <c r="I85" s="23"/>
    </row>
    <row r="86" spans="1:10" ht="13.5" thickBot="1" x14ac:dyDescent="0.25">
      <c r="B86" s="81" t="s">
        <v>89</v>
      </c>
      <c r="C86" s="82">
        <f>+C74</f>
        <v>610</v>
      </c>
      <c r="D86" s="82">
        <f>+D85</f>
        <v>1</v>
      </c>
      <c r="E86" s="83">
        <f>+C86/D86</f>
        <v>610</v>
      </c>
      <c r="F86" s="88"/>
      <c r="G86" s="79"/>
      <c r="H86" s="5"/>
      <c r="I86" s="5"/>
    </row>
    <row r="87" spans="1:10" x14ac:dyDescent="0.2">
      <c r="I87" s="5"/>
    </row>
    <row r="88" spans="1:10" x14ac:dyDescent="0.2">
      <c r="A88" s="226"/>
      <c r="B88" s="226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D29F36-87F8-444E-BE20-7258C8C9DC0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05E0880-C8D8-4483-8FCF-C8F7CE45F74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DA0D9C0-F3CA-4B8E-B263-CD4E16FDD50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56AED13-2A39-4216-B50D-6530A86A1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 CREMA 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yarias</dc:creator>
  <cp:lastModifiedBy>Allan Brenes</cp:lastModifiedBy>
  <cp:lastPrinted>2026-03-26T21:36:26Z</cp:lastPrinted>
  <dcterms:created xsi:type="dcterms:W3CDTF">2004-06-04T22:04:44Z</dcterms:created>
  <dcterms:modified xsi:type="dcterms:W3CDTF">2026-03-26T21:37:52Z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216400.000000000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
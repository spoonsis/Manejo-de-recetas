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FIGURAS/SPOON/"/>
    </mc:Choice>
  </mc:AlternateContent>
  <xr:revisionPtr revIDLastSave="5" documentId="8_{9D5EA069-2A89-432B-A98F-AACC496A6760}" xr6:coauthVersionLast="47" xr6:coauthVersionMax="47" xr10:uidLastSave="{BED4F1C7-6E9D-4DC5-B1D5-7CBE367729A6}"/>
  <bookViews>
    <workbookView xWindow="-120" yWindow="-120" windowWidth="20730" windowHeight="11040" firstSheet="2" activeTab="2" xr2:uid="{AE55818F-1D42-470E-A88E-EA360AA3A717}"/>
  </bookViews>
  <sheets>
    <sheet name="Mini cake Hersheys 1" sheetId="2" state="hidden" r:id="rId1"/>
    <sheet name="Mini cake Hersheys 2" sheetId="4" state="hidden" r:id="rId2"/>
    <sheet name="Troceado de Brownie" sheetId="5" r:id="rId3"/>
    <sheet name="COSTO" sheetId="3" state="hidden" r:id="rId4"/>
  </sheets>
  <externalReferences>
    <externalReference r:id="rId5"/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5" l="1"/>
  <c r="J25" i="4" l="1"/>
  <c r="J23" i="4"/>
  <c r="J21" i="4"/>
  <c r="J15" i="4"/>
  <c r="J13" i="4"/>
  <c r="J12" i="4"/>
  <c r="E32" i="3" l="1"/>
  <c r="D32" i="3"/>
  <c r="C32" i="3"/>
  <c r="B32" i="3"/>
  <c r="E31" i="3"/>
  <c r="D31" i="3"/>
  <c r="C31" i="3"/>
  <c r="B31" i="3"/>
  <c r="N24" i="2"/>
  <c r="M24" i="2"/>
  <c r="M14" i="2"/>
  <c r="D75" i="3"/>
  <c r="D76" i="3" s="1"/>
  <c r="D78" i="3" s="1"/>
  <c r="D73" i="3"/>
  <c r="D71" i="3"/>
  <c r="F67" i="3"/>
  <c r="E53" i="3" s="1"/>
  <c r="D62" i="3"/>
  <c r="D87" i="3" s="1"/>
  <c r="D88" i="3" s="1"/>
  <c r="C53" i="3"/>
  <c r="A43" i="3"/>
  <c r="A52" i="3" s="1"/>
  <c r="C52" i="3" s="1"/>
  <c r="A42" i="3"/>
  <c r="C42" i="3" s="1"/>
  <c r="A41" i="3"/>
  <c r="C41" i="3" s="1"/>
  <c r="F41" i="3" s="1"/>
  <c r="A40" i="3"/>
  <c r="C40" i="3" s="1"/>
  <c r="A39" i="3"/>
  <c r="C39" i="3" s="1"/>
  <c r="A38" i="3"/>
  <c r="A47" i="3" s="1"/>
  <c r="C47" i="3" s="1"/>
  <c r="A37" i="3"/>
  <c r="C37" i="3" s="1"/>
  <c r="E34" i="3"/>
  <c r="F34" i="3" s="1"/>
  <c r="D34" i="3"/>
  <c r="C34" i="3"/>
  <c r="B34" i="3"/>
  <c r="E33" i="3"/>
  <c r="D33" i="3"/>
  <c r="C33" i="3"/>
  <c r="B33" i="3"/>
  <c r="E30" i="3"/>
  <c r="D30" i="3"/>
  <c r="C30" i="3"/>
  <c r="B30" i="3"/>
  <c r="E29" i="3"/>
  <c r="C29" i="3"/>
  <c r="B29" i="3"/>
  <c r="E28" i="3"/>
  <c r="D28" i="3"/>
  <c r="C28" i="3"/>
  <c r="B28" i="3"/>
  <c r="C27" i="3"/>
  <c r="E24" i="3"/>
  <c r="F24" i="3" s="1"/>
  <c r="D24" i="3"/>
  <c r="C24" i="3"/>
  <c r="B24" i="3"/>
  <c r="C23" i="3"/>
  <c r="F22" i="3"/>
  <c r="C22" i="3"/>
  <c r="C21" i="3"/>
  <c r="F21" i="3" s="1"/>
  <c r="C20" i="3"/>
  <c r="C19" i="3"/>
  <c r="C18" i="3"/>
  <c r="C17" i="3"/>
  <c r="F17" i="3" s="1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D10" i="3"/>
  <c r="C10" i="3"/>
  <c r="B10" i="3"/>
  <c r="C9" i="3"/>
  <c r="C8" i="3"/>
  <c r="H6" i="3"/>
  <c r="F14" i="3" l="1"/>
  <c r="F33" i="3"/>
  <c r="F30" i="3"/>
  <c r="F29" i="3"/>
  <c r="F28" i="3"/>
  <c r="F27" i="3"/>
  <c r="F31" i="3"/>
  <c r="F32" i="3"/>
  <c r="F12" i="3"/>
  <c r="F11" i="3"/>
  <c r="A48" i="3"/>
  <c r="C48" i="3" s="1"/>
  <c r="F48" i="3" s="1"/>
  <c r="F53" i="3"/>
  <c r="F13" i="3"/>
  <c r="F23" i="3"/>
  <c r="F10" i="3"/>
  <c r="F42" i="3"/>
  <c r="F9" i="3"/>
  <c r="F20" i="3"/>
  <c r="F19" i="3"/>
  <c r="F39" i="3"/>
  <c r="F47" i="3"/>
  <c r="F18" i="3"/>
  <c r="C38" i="3"/>
  <c r="F38" i="3" s="1"/>
  <c r="F8" i="3"/>
  <c r="F37" i="3"/>
  <c r="F52" i="3"/>
  <c r="F40" i="3"/>
  <c r="C43" i="3"/>
  <c r="F43" i="3" s="1"/>
  <c r="D83" i="3"/>
  <c r="A49" i="3"/>
  <c r="C49" i="3" s="1"/>
  <c r="F49" i="3" s="1"/>
  <c r="C75" i="3"/>
  <c r="A51" i="3"/>
  <c r="C51" i="3" s="1"/>
  <c r="F51" i="3" s="1"/>
  <c r="D85" i="3"/>
  <c r="A46" i="3"/>
  <c r="C46" i="3" s="1"/>
  <c r="F46" i="3" s="1"/>
  <c r="A50" i="3"/>
  <c r="C50" i="3" s="1"/>
  <c r="F50" i="3" s="1"/>
  <c r="F56" i="3" l="1"/>
  <c r="C78" i="3" s="1"/>
  <c r="E78" i="3" s="1"/>
  <c r="F55" i="3"/>
  <c r="C71" i="3" s="1"/>
  <c r="F58" i="3"/>
  <c r="C87" i="3"/>
  <c r="E87" i="3" s="1"/>
  <c r="E75" i="3"/>
  <c r="H55" i="3" l="1"/>
  <c r="F2" i="3" s="1"/>
  <c r="F66" i="3"/>
  <c r="H56" i="3"/>
  <c r="G2" i="3" s="1"/>
  <c r="F57" i="3"/>
  <c r="F65" i="3" s="1"/>
  <c r="H58" i="3"/>
  <c r="C76" i="3"/>
  <c r="E71" i="3"/>
  <c r="C83" i="3"/>
  <c r="E83" i="3" s="1"/>
  <c r="O56" i="3" l="1"/>
  <c r="O58" i="3" s="1"/>
  <c r="H57" i="3"/>
  <c r="C73" i="3"/>
  <c r="E65" i="3"/>
  <c r="F68" i="3"/>
  <c r="C88" i="3"/>
  <c r="E88" i="3" s="1"/>
  <c r="E76" i="3"/>
  <c r="E80" i="3" s="1"/>
  <c r="H2" i="3"/>
  <c r="O57" i="3"/>
  <c r="H60" i="3"/>
  <c r="H61" i="3" s="1"/>
  <c r="O60" i="3" s="1"/>
  <c r="G65" i="3" l="1"/>
  <c r="G31" i="3"/>
  <c r="G32" i="3"/>
  <c r="O59" i="3"/>
  <c r="O61" i="3" s="1"/>
  <c r="C85" i="3"/>
  <c r="E85" i="3" s="1"/>
  <c r="E73" i="3"/>
  <c r="G68" i="3"/>
  <c r="G18" i="3"/>
  <c r="G14" i="3"/>
  <c r="G39" i="3"/>
  <c r="G21" i="3"/>
  <c r="G22" i="3"/>
  <c r="G9" i="3"/>
  <c r="G10" i="3"/>
  <c r="G24" i="3"/>
  <c r="G47" i="3"/>
  <c r="G17" i="3"/>
  <c r="G34" i="3"/>
  <c r="G67" i="3"/>
  <c r="G29" i="3"/>
  <c r="G53" i="3"/>
  <c r="G20" i="3"/>
  <c r="G23" i="3"/>
  <c r="G8" i="3"/>
  <c r="G42" i="3"/>
  <c r="G11" i="3"/>
  <c r="G33" i="3"/>
  <c r="G48" i="3"/>
  <c r="G38" i="3"/>
  <c r="G19" i="3"/>
  <c r="G28" i="3"/>
  <c r="G27" i="3"/>
  <c r="G30" i="3"/>
  <c r="G41" i="3"/>
  <c r="G13" i="3"/>
  <c r="G12" i="3"/>
  <c r="G51" i="3"/>
  <c r="G55" i="3"/>
  <c r="G50" i="3"/>
  <c r="G56" i="3"/>
  <c r="G46" i="3"/>
  <c r="G40" i="3"/>
  <c r="G37" i="3"/>
  <c r="G43" i="3"/>
  <c r="G49" i="3"/>
  <c r="G52" i="3"/>
  <c r="G58" i="3"/>
  <c r="G66" i="3"/>
  <c r="G57" i="3"/>
  <c r="O62" i="3" l="1"/>
  <c r="O63" i="3" s="1"/>
  <c r="O64" i="3" s="1"/>
  <c r="P64" i="3" l="1"/>
  <c r="E2" i="3"/>
  <c r="D45" i="2" l="1"/>
</calcChain>
</file>

<file path=xl/sharedStrings.xml><?xml version="1.0" encoding="utf-8"?>
<sst xmlns="http://schemas.openxmlformats.org/spreadsheetml/2006/main" count="481" uniqueCount="166">
  <si>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</si>
  <si>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</si>
  <si>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</si>
  <si>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</si>
  <si>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</si>
  <si>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</si>
  <si>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</si>
  <si>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</si>
  <si>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</si>
  <si>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</si>
  <si>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</si>
  <si>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</si>
  <si>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</si>
  <si>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</si>
  <si>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</si>
  <si>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ETIQUETA BLANCA R-153 (UND)</t>
  </si>
  <si>
    <t>EM10124</t>
  </si>
  <si>
    <t>BASE PARA ROSQUETE (UND)</t>
  </si>
  <si>
    <t>EM10035</t>
  </si>
  <si>
    <t xml:space="preserve">ETIQUETA SELLO DE SEGURIDAD (ROLLO:1000 U) </t>
  </si>
  <si>
    <t>EM10135</t>
  </si>
  <si>
    <t>ETIQUETA BLANCA 2 5/8X1 15/16 (UND)</t>
  </si>
  <si>
    <t>EM10011</t>
  </si>
  <si>
    <t>ETIQ.FECHA VENCIMIENTO BLANCO (ROLLO)</t>
  </si>
  <si>
    <t>EM10004</t>
  </si>
  <si>
    <t>ETIQ. GENERICA PEQUEÑA V-274 (UND)</t>
  </si>
  <si>
    <t>EM10119</t>
  </si>
  <si>
    <t>QUEQUERA MINI CAKE (CAJA:100 UND)</t>
  </si>
  <si>
    <t>EM10288</t>
  </si>
  <si>
    <t>FAS</t>
  </si>
  <si>
    <t>NESTLÉ</t>
  </si>
  <si>
    <t>MANJAR LECHE CONDENSADA (PAQ: 4.5 K)</t>
  </si>
  <si>
    <t>MP10007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</si>
  <si>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</si>
  <si>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</si>
  <si>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</si>
  <si>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</si>
  <si>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</si>
  <si>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</si>
  <si>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</si>
  <si>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</si>
  <si>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</si>
  <si>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</si>
  <si>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</si>
  <si>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</si>
  <si>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</si>
  <si>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</si>
  <si>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</si>
  <si>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</si>
  <si>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</si>
  <si>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Figuras</t>
  </si>
  <si>
    <t># Código Netsuite</t>
  </si>
  <si>
    <t>Ensamble</t>
  </si>
  <si>
    <t>Decoración</t>
  </si>
  <si>
    <t/>
  </si>
  <si>
    <t>Empaque</t>
  </si>
  <si>
    <t>LITOGRAFIA CR</t>
  </si>
  <si>
    <t>ETIPLAST</t>
  </si>
  <si>
    <t>CONTROL DE CAMBIOS</t>
  </si>
  <si>
    <t>Mariela Barrantes Sánchez</t>
  </si>
  <si>
    <t>Sebastian Díaz, Gte Manufactura</t>
  </si>
  <si>
    <t>SE00621</t>
  </si>
  <si>
    <t>ROSQUETE CHOCOLATE DAWN 85g</t>
  </si>
  <si>
    <t>SE00254</t>
  </si>
  <si>
    <t>Leches Pasteurizada Con Agua</t>
  </si>
  <si>
    <t>15g x capa</t>
  </si>
  <si>
    <t>SE00468</t>
  </si>
  <si>
    <t>MOUSSE DE CHOCOLATE DE LECHE</t>
  </si>
  <si>
    <t>SE00668</t>
  </si>
  <si>
    <t>Rosquete Brownie Redondo  de 400 gramos</t>
  </si>
  <si>
    <t>SE00001</t>
  </si>
  <si>
    <t>Ganache Chocolate Oscuro</t>
  </si>
  <si>
    <t>MP10674</t>
  </si>
  <si>
    <t>Semi Sweet Chocolate Chips</t>
  </si>
  <si>
    <t>Hershey"s</t>
  </si>
  <si>
    <t>SE00069</t>
  </si>
  <si>
    <t>Crema Beidge</t>
  </si>
  <si>
    <t xml:space="preserve">Encremado </t>
  </si>
  <si>
    <t>MP10006</t>
  </si>
  <si>
    <t>Crema Bettercream Doble Chocolate</t>
  </si>
  <si>
    <t>Richt</t>
  </si>
  <si>
    <t xml:space="preserve">Marmolear en Manga </t>
  </si>
  <si>
    <t>1/9 de unidad</t>
  </si>
  <si>
    <t xml:space="preserve">Cortado en Trozos </t>
  </si>
  <si>
    <t>SE00669</t>
  </si>
  <si>
    <t>Pelado Hershey"s Kisses</t>
  </si>
  <si>
    <t>1.- Cortar el mini cake por la mitad (eliminado la punta para nivelar)pegar la primera tapa a la base con ayuda del manjar y humedecer cada capa con leche pausterizada.</t>
  </si>
  <si>
    <t>2,- Rellenar con mousse de chocolate de leche, trozos de brawnie, semi sweet y con ayunda de una bolsa colocar hilos de ganache oscuro y tapar</t>
  </si>
  <si>
    <t xml:space="preserve">3,- En una manga colocar en forma de linea el bettercream doble chocolate y despues colocar la crema beige para realizar un encremado marmoleado. </t>
  </si>
  <si>
    <t xml:space="preserve">4,- Realizar con el ganache un espejo en la parte superior  y colocar trozos de brawnies encima estilo torre y colocar un Hershery´s Kisses en el centro. </t>
  </si>
  <si>
    <t>5,- Tapar y etiquetar.</t>
  </si>
  <si>
    <t xml:space="preserve"> MINI CAKE Hersheys Kisses Industria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</si>
  <si>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</si>
  <si>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</si>
  <si>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</si>
  <si>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</si>
  <si>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</si>
  <si>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</si>
  <si>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</si>
  <si>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</si>
  <si>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</si>
  <si>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</si>
  <si>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</si>
  <si>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</si>
  <si>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</si>
  <si>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</si>
  <si>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</si>
  <si>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</si>
  <si>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</si>
  <si>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</si>
  <si>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</si>
  <si>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</si>
  <si>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</si>
  <si>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</si>
  <si>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</si>
  <si>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</si>
  <si>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</si>
  <si>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</si>
  <si>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</si>
  <si>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</si>
  <si>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</si>
  <si>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</si>
  <si>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</si>
  <si>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</si>
  <si>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</si>
  <si>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</si>
  <si>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</si>
  <si>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</si>
  <si>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</si>
  <si>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</si>
  <si>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</si>
  <si>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</si>
  <si>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</si>
  <si>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77 COLONES X MIN</t>
  </si>
  <si>
    <t xml:space="preserve">Gf 83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</si>
  <si>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</si>
  <si>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</si>
  <si>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</si>
  <si>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</si>
  <si>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</si>
  <si>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</si>
  <si>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</si>
  <si>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</si>
  <si>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</si>
  <si>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11400066</t>
  </si>
  <si>
    <t>Gramos</t>
  </si>
  <si>
    <t xml:space="preserve">UND </t>
  </si>
  <si>
    <t>UND</t>
  </si>
  <si>
    <t>11400027</t>
  </si>
  <si>
    <t>51400047</t>
  </si>
  <si>
    <t>702174</t>
  </si>
  <si>
    <t>1950699</t>
  </si>
  <si>
    <t>701096</t>
  </si>
  <si>
    <t>0702077</t>
  </si>
  <si>
    <t>0702007</t>
  </si>
  <si>
    <t>0702123</t>
  </si>
  <si>
    <t>Und</t>
  </si>
  <si>
    <t>10g x capa</t>
  </si>
  <si>
    <t xml:space="preserve"> PTI00274 MINI CAKE Hersheys Kisses </t>
  </si>
  <si>
    <t>9 gramos</t>
  </si>
  <si>
    <t>01</t>
  </si>
  <si>
    <t>1 unidad</t>
  </si>
  <si>
    <t xml:space="preserve">1, Hacer en trozos pequeños el Brownie, colocarlos en una bandeja para que no se peguen. </t>
  </si>
  <si>
    <t xml:space="preserve">2, Utilizar inmediatamente. </t>
  </si>
  <si>
    <t>SE00774 Troceado de Brownie</t>
  </si>
  <si>
    <t>ESP-RE-FIS-037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</si>
</sst>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0.0000"/>
    <numFmt numFmtId="165" formatCode="0.0"/>
    <numFmt numFmtId="166" formatCode="0.000"/>
    <numFmt numFmtId="167" formatCode="_(* #,##0.00_);_(* \(#,##0.00\);_(* &quot;-&quot;??_);_(@_)"/>
    <numFmt numFmtId="168" formatCode="[$-409]d\-mmm\-yy;@"/>
    <numFmt numFmtId="169" formatCode="&quot;$&quot;#,##0_);[Red]\(&quot;$&quot;#,##0\)"/>
    <numFmt numFmtId="170" formatCode="_-* #,##0.0\ _€_-;\-* #,##0.0\ _€_-;_-* &quot;-&quot;??\ _€_-;_-@_-"/>
  </numFmts>
  <fonts count="6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name val="Century Gothic"/>
      <family val="2"/>
    </font>
    <font>
      <sz val="10"/>
      <name val="Century Gothic"/>
      <family val="2"/>
    </font>
    <font>
      <sz val="11"/>
      <name val="Century Gothic"/>
      <family val="2"/>
    </font>
    <font>
      <sz val="11"/>
      <name val="Times New Roman"/>
      <family val="1"/>
    </font>
    <font>
      <b/>
      <sz val="10"/>
      <color rgb="FFFF0000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2"/>
      <color indexed="8"/>
      <name val="Times New Roman"/>
      <family val="1"/>
    </font>
    <font>
      <sz val="10"/>
      <name val="Times New Roman"/>
      <family val="1"/>
    </font>
    <font>
      <sz val="10"/>
      <color indexed="8"/>
      <name val="Century Gothic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entury Gothic"/>
      <family val="2"/>
    </font>
    <font>
      <sz val="11"/>
      <color theme="1"/>
      <name val="Century Gothic"/>
      <family val="2"/>
    </font>
    <font>
      <sz val="11"/>
      <color indexed="8"/>
      <name val="Century Gothic"/>
      <family val="2"/>
    </font>
    <font>
      <sz val="12"/>
      <name val="Calibri"/>
      <family val="2"/>
      <scheme val="minor"/>
    </font>
    <font>
      <sz val="11"/>
      <name val="Arial"/>
      <family val="2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sz val="10"/>
      <color theme="1"/>
      <name val="Century Gothic"/>
      <family val="2"/>
    </font>
    <font>
      <b/>
      <sz val="20"/>
      <name val="Century Gothic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0" fontId="10" fillId="0" borderId="0"/>
    <xf numFmtId="0" fontId="10" fillId="0" borderId="0"/>
    <xf numFmtId="0" fontId="12" fillId="0" borderId="0"/>
    <xf numFmtId="0" fontId="9" fillId="0" borderId="0"/>
    <xf numFmtId="0" fontId="12" fillId="0" borderId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495">
    <xf numFmtId="0" fontId="0" fillId="0" borderId="0" xfId="0"/>
    <xf numFmtId="0" fontId="3" fillId="0" borderId="2" xfId="0" applyFont="1" applyBorder="1" applyAlignment="1">
      <alignment horizontal="center" wrapText="1"/>
    </xf>
    <xf numFmtId="0" fontId="4" fillId="0" borderId="2" xfId="0" applyFont="1" applyBorder="1"/>
    <xf numFmtId="0" fontId="3" fillId="0" borderId="2" xfId="0" applyFont="1" applyBorder="1"/>
    <xf numFmtId="0" fontId="3" fillId="0" borderId="3" xfId="0" applyFont="1" applyBorder="1" applyAlignment="1">
      <alignment horizontal="right"/>
    </xf>
    <xf numFmtId="0" fontId="3" fillId="0" borderId="32" xfId="0" applyFont="1" applyBorder="1" applyAlignment="1">
      <alignment horizontal="center" wrapText="1"/>
    </xf>
    <xf numFmtId="0" fontId="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49" fontId="5" fillId="0" borderId="8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2" fillId="4" borderId="10" xfId="1" applyFont="1" applyFill="1" applyBorder="1" applyAlignment="1">
      <alignment horizontal="right"/>
    </xf>
    <xf numFmtId="0" fontId="2" fillId="4" borderId="2" xfId="1" applyFont="1" applyFill="1" applyBorder="1" applyAlignment="1">
      <alignment horizontal="right"/>
    </xf>
    <xf numFmtId="49" fontId="3" fillId="4" borderId="1" xfId="1" applyNumberFormat="1" applyFont="1" applyFill="1" applyBorder="1" applyAlignment="1">
      <alignment horizontal="center"/>
    </xf>
    <xf numFmtId="0" fontId="3" fillId="4" borderId="32" xfId="1" applyFont="1" applyFill="1" applyBorder="1" applyAlignment="1">
      <alignment horizontal="right"/>
    </xf>
    <xf numFmtId="0" fontId="3" fillId="4" borderId="2" xfId="1" applyFont="1" applyFill="1" applyBorder="1" applyAlignment="1">
      <alignment horizontal="right"/>
    </xf>
    <xf numFmtId="14" fontId="6" fillId="4" borderId="0" xfId="2" applyNumberFormat="1" applyFont="1" applyFill="1" applyAlignment="1">
      <alignment horizontal="center" vertical="center" wrapText="1"/>
    </xf>
    <xf numFmtId="0" fontId="2" fillId="5" borderId="9" xfId="3" applyFont="1" applyFill="1" applyBorder="1" applyAlignment="1">
      <alignment horizontal="center" vertical="center" wrapText="1"/>
    </xf>
    <xf numFmtId="1" fontId="2" fillId="5" borderId="26" xfId="3" applyNumberFormat="1" applyFont="1" applyFill="1" applyBorder="1" applyAlignment="1">
      <alignment horizontal="center"/>
    </xf>
    <xf numFmtId="1" fontId="2" fillId="5" borderId="26" xfId="3" applyNumberFormat="1" applyFont="1" applyFill="1" applyBorder="1" applyAlignment="1">
      <alignment horizontal="center" wrapText="1"/>
    </xf>
    <xf numFmtId="0" fontId="2" fillId="5" borderId="39" xfId="3" applyFont="1" applyFill="1" applyBorder="1" applyAlignment="1">
      <alignment horizontal="center"/>
    </xf>
    <xf numFmtId="1" fontId="13" fillId="0" borderId="2" xfId="3" applyNumberFormat="1" applyFont="1" applyBorder="1" applyAlignment="1">
      <alignment horizontal="center"/>
    </xf>
    <xf numFmtId="1" fontId="13" fillId="0" borderId="2" xfId="3" applyNumberFormat="1" applyFont="1" applyBorder="1" applyAlignment="1">
      <alignment horizontal="center" wrapText="1"/>
    </xf>
    <xf numFmtId="0" fontId="5" fillId="0" borderId="1" xfId="3" applyFont="1" applyBorder="1" applyAlignment="1">
      <alignment horizontal="center"/>
    </xf>
    <xf numFmtId="1" fontId="5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0" fontId="0" fillId="0" borderId="2" xfId="4" applyFont="1" applyBorder="1" applyAlignment="1">
      <alignment horizontal="center"/>
    </xf>
    <xf numFmtId="164" fontId="12" fillId="0" borderId="32" xfId="0" applyNumberFormat="1" applyFont="1" applyBorder="1" applyAlignment="1">
      <alignment horizontal="center" wrapText="1"/>
    </xf>
    <xf numFmtId="1" fontId="5" fillId="0" borderId="2" xfId="0" applyNumberFormat="1" applyFont="1" applyBorder="1" applyAlignment="1">
      <alignment horizont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" fontId="12" fillId="0" borderId="0" xfId="3" applyNumberFormat="1" applyAlignment="1">
      <alignment horizontal="center"/>
    </xf>
    <xf numFmtId="1" fontId="12" fillId="0" borderId="0" xfId="3" applyNumberFormat="1" applyAlignment="1">
      <alignment horizontal="center" wrapText="1"/>
    </xf>
    <xf numFmtId="2" fontId="3" fillId="0" borderId="32" xfId="3" applyNumberFormat="1" applyFont="1" applyBorder="1" applyAlignment="1">
      <alignment horizontal="center"/>
    </xf>
    <xf numFmtId="0" fontId="0" fillId="6" borderId="2" xfId="0" applyFill="1" applyBorder="1"/>
    <xf numFmtId="1" fontId="5" fillId="0" borderId="2" xfId="3" applyNumberFormat="1" applyFont="1" applyBorder="1" applyAlignment="1">
      <alignment horizontal="center"/>
    </xf>
    <xf numFmtId="1" fontId="5" fillId="0" borderId="2" xfId="3" applyNumberFormat="1" applyFont="1" applyBorder="1" applyAlignment="1">
      <alignment horizontal="center" wrapText="1"/>
    </xf>
    <xf numFmtId="0" fontId="12" fillId="0" borderId="32" xfId="3" applyBorder="1" applyAlignment="1">
      <alignment horizontal="center"/>
    </xf>
    <xf numFmtId="49" fontId="5" fillId="0" borderId="3" xfId="3" applyNumberFormat="1" applyFont="1" applyBorder="1" applyAlignment="1">
      <alignment horizontal="center"/>
    </xf>
    <xf numFmtId="49" fontId="5" fillId="0" borderId="8" xfId="3" applyNumberFormat="1" applyFont="1" applyBorder="1" applyAlignment="1">
      <alignment horizontal="center"/>
    </xf>
    <xf numFmtId="0" fontId="15" fillId="6" borderId="2" xfId="3" applyFont="1" applyFill="1" applyBorder="1" applyAlignment="1">
      <alignment horizontal="left"/>
    </xf>
    <xf numFmtId="0" fontId="5" fillId="0" borderId="2" xfId="3" applyFont="1" applyBorder="1" applyAlignment="1">
      <alignment horizontal="center"/>
    </xf>
    <xf numFmtId="165" fontId="5" fillId="0" borderId="2" xfId="3" applyNumberFormat="1" applyFont="1" applyBorder="1" applyAlignment="1">
      <alignment horizontal="center"/>
    </xf>
    <xf numFmtId="0" fontId="0" fillId="0" borderId="0" xfId="0" applyAlignment="1">
      <alignment horizontal="center"/>
    </xf>
    <xf numFmtId="49" fontId="13" fillId="0" borderId="16" xfId="3" applyNumberFormat="1" applyFont="1" applyBorder="1" applyAlignment="1">
      <alignment horizontal="center"/>
    </xf>
    <xf numFmtId="0" fontId="17" fillId="6" borderId="2" xfId="3" applyFont="1" applyFill="1" applyBorder="1" applyAlignment="1">
      <alignment vertical="center"/>
    </xf>
    <xf numFmtId="0" fontId="13" fillId="0" borderId="8" xfId="3" applyFont="1" applyBorder="1" applyAlignment="1">
      <alignment horizontal="center"/>
    </xf>
    <xf numFmtId="2" fontId="5" fillId="0" borderId="2" xfId="3" applyNumberFormat="1" applyFont="1" applyBorder="1" applyAlignment="1">
      <alignment horizontal="center"/>
    </xf>
    <xf numFmtId="12" fontId="5" fillId="0" borderId="2" xfId="3" applyNumberFormat="1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1" fontId="16" fillId="0" borderId="2" xfId="0" applyNumberFormat="1" applyFont="1" applyBorder="1" applyAlignment="1">
      <alignment horizontal="center"/>
    </xf>
    <xf numFmtId="49" fontId="18" fillId="0" borderId="2" xfId="3" applyNumberFormat="1" applyFont="1" applyBorder="1"/>
    <xf numFmtId="0" fontId="16" fillId="0" borderId="2" xfId="3" applyFont="1" applyBorder="1" applyAlignment="1">
      <alignment horizontal="center"/>
    </xf>
    <xf numFmtId="49" fontId="19" fillId="4" borderId="37" xfId="3" applyNumberFormat="1" applyFont="1" applyFill="1" applyBorder="1" applyAlignment="1">
      <alignment horizontal="center" vertical="center"/>
    </xf>
    <xf numFmtId="49" fontId="19" fillId="4" borderId="0" xfId="3" applyNumberFormat="1" applyFont="1" applyFill="1" applyAlignment="1">
      <alignment horizontal="center" vertical="center"/>
    </xf>
    <xf numFmtId="0" fontId="3" fillId="4" borderId="0" xfId="3" applyFont="1" applyFill="1"/>
    <xf numFmtId="1" fontId="3" fillId="4" borderId="0" xfId="3" applyNumberFormat="1" applyFont="1" applyFill="1" applyAlignment="1">
      <alignment horizontal="center"/>
    </xf>
    <xf numFmtId="166" fontId="3" fillId="4" borderId="0" xfId="3" applyNumberFormat="1" applyFont="1" applyFill="1" applyAlignment="1">
      <alignment horizontal="center" wrapText="1"/>
    </xf>
    <xf numFmtId="0" fontId="3" fillId="4" borderId="43" xfId="3" applyFont="1" applyFill="1" applyBorder="1" applyAlignment="1">
      <alignment horizontal="center"/>
    </xf>
    <xf numFmtId="0" fontId="3" fillId="5" borderId="23" xfId="3" applyFont="1" applyFill="1" applyBorder="1" applyAlignment="1">
      <alignment horizontal="center"/>
    </xf>
    <xf numFmtId="0" fontId="3" fillId="5" borderId="22" xfId="3" applyFont="1" applyFill="1" applyBorder="1" applyAlignment="1">
      <alignment horizontal="center"/>
    </xf>
    <xf numFmtId="0" fontId="3" fillId="5" borderId="22" xfId="3" applyFont="1" applyFill="1" applyBorder="1"/>
    <xf numFmtId="0" fontId="2" fillId="5" borderId="22" xfId="3" applyFont="1" applyFill="1" applyBorder="1" applyAlignment="1">
      <alignment horizontal="center"/>
    </xf>
    <xf numFmtId="1" fontId="2" fillId="5" borderId="22" xfId="3" applyNumberFormat="1" applyFont="1" applyFill="1" applyBorder="1" applyAlignment="1">
      <alignment horizontal="center"/>
    </xf>
    <xf numFmtId="166" fontId="3" fillId="5" borderId="22" xfId="3" applyNumberFormat="1" applyFont="1" applyFill="1" applyBorder="1" applyAlignment="1">
      <alignment horizontal="center" wrapText="1"/>
    </xf>
    <xf numFmtId="0" fontId="3" fillId="5" borderId="21" xfId="3" applyFont="1" applyFill="1" applyBorder="1" applyAlignment="1">
      <alignment horizontal="center"/>
    </xf>
    <xf numFmtId="1" fontId="12" fillId="0" borderId="32" xfId="0" applyNumberFormat="1" applyFont="1" applyBorder="1" applyAlignment="1">
      <alignment horizontal="center"/>
    </xf>
    <xf numFmtId="0" fontId="12" fillId="0" borderId="3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1" fontId="12" fillId="0" borderId="26" xfId="0" applyNumberFormat="1" applyFont="1" applyBorder="1" applyAlignment="1">
      <alignment horizontal="center"/>
    </xf>
    <xf numFmtId="0" fontId="12" fillId="0" borderId="26" xfId="0" applyFont="1" applyBorder="1" applyAlignment="1">
      <alignment horizontal="center"/>
    </xf>
    <xf numFmtId="0" fontId="13" fillId="0" borderId="7" xfId="3" applyFont="1" applyBorder="1" applyAlignment="1">
      <alignment horizontal="center" vertical="center"/>
    </xf>
    <xf numFmtId="0" fontId="13" fillId="0" borderId="6" xfId="3" applyFont="1" applyBorder="1" applyAlignment="1">
      <alignment horizontal="center" vertical="center"/>
    </xf>
    <xf numFmtId="0" fontId="14" fillId="0" borderId="5" xfId="3" applyFont="1" applyBorder="1" applyAlignment="1">
      <alignment vertical="center"/>
    </xf>
    <xf numFmtId="0" fontId="13" fillId="0" borderId="5" xfId="3" applyFont="1" applyBorder="1" applyAlignment="1">
      <alignment horizontal="center" vertical="center"/>
    </xf>
    <xf numFmtId="1" fontId="13" fillId="0" borderId="5" xfId="3" applyNumberFormat="1" applyFont="1" applyBorder="1" applyAlignment="1">
      <alignment horizontal="center"/>
    </xf>
    <xf numFmtId="1" fontId="13" fillId="0" borderId="5" xfId="3" applyNumberFormat="1" applyFont="1" applyBorder="1" applyAlignment="1">
      <alignment horizontal="center" wrapText="1"/>
    </xf>
    <xf numFmtId="49" fontId="4" fillId="0" borderId="2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/>
    </xf>
    <xf numFmtId="0" fontId="5" fillId="0" borderId="15" xfId="3" applyFont="1" applyBorder="1" applyAlignment="1">
      <alignment horizontal="center"/>
    </xf>
    <xf numFmtId="1" fontId="3" fillId="0" borderId="2" xfId="3" applyNumberFormat="1" applyFont="1" applyBorder="1" applyAlignment="1">
      <alignment horizontal="center" vertical="center"/>
    </xf>
    <xf numFmtId="1" fontId="21" fillId="0" borderId="2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horizontal="left" vertical="center"/>
    </xf>
    <xf numFmtId="0" fontId="22" fillId="0" borderId="2" xfId="3" applyFont="1" applyBorder="1" applyAlignment="1">
      <alignment horizontal="center" vertical="center"/>
    </xf>
    <xf numFmtId="1" fontId="22" fillId="0" borderId="2" xfId="0" applyNumberFormat="1" applyFont="1" applyBorder="1" applyAlignment="1">
      <alignment horizontal="center" vertical="center"/>
    </xf>
    <xf numFmtId="1" fontId="23" fillId="6" borderId="2" xfId="0" applyNumberFormat="1" applyFont="1" applyFill="1" applyBorder="1" applyAlignment="1">
      <alignment horizontal="center" vertical="center"/>
    </xf>
    <xf numFmtId="0" fontId="23" fillId="6" borderId="2" xfId="0" applyFont="1" applyFill="1" applyBorder="1" applyAlignment="1">
      <alignment horizontal="center" vertical="center"/>
    </xf>
    <xf numFmtId="0" fontId="23" fillId="6" borderId="2" xfId="0" applyFont="1" applyFill="1" applyBorder="1" applyAlignment="1">
      <alignment horizontal="left" vertical="center"/>
    </xf>
    <xf numFmtId="0" fontId="4" fillId="6" borderId="2" xfId="3" applyFont="1" applyFill="1" applyBorder="1" applyAlignment="1">
      <alignment horizontal="center" vertical="center"/>
    </xf>
    <xf numFmtId="0" fontId="23" fillId="0" borderId="2" xfId="4" applyFont="1" applyBorder="1" applyAlignment="1">
      <alignment horizontal="center"/>
    </xf>
    <xf numFmtId="0" fontId="24" fillId="6" borderId="2" xfId="3" applyFont="1" applyFill="1" applyBorder="1" applyAlignment="1">
      <alignment horizontal="center" vertical="center"/>
    </xf>
    <xf numFmtId="0" fontId="4" fillId="6" borderId="2" xfId="3" applyFont="1" applyFill="1" applyBorder="1" applyAlignment="1">
      <alignment horizontal="left" vertical="center"/>
    </xf>
    <xf numFmtId="164" fontId="3" fillId="0" borderId="2" xfId="0" applyNumberFormat="1" applyFont="1" applyBorder="1" applyAlignment="1">
      <alignment horizontal="center" wrapText="1"/>
    </xf>
    <xf numFmtId="164" fontId="12" fillId="0" borderId="2" xfId="0" applyNumberFormat="1" applyFont="1" applyBorder="1" applyAlignment="1">
      <alignment horizontal="center" wrapText="1"/>
    </xf>
    <xf numFmtId="0" fontId="0" fillId="0" borderId="32" xfId="0" applyBorder="1" applyAlignment="1">
      <alignment horizontal="center"/>
    </xf>
    <xf numFmtId="0" fontId="0" fillId="0" borderId="32" xfId="0" applyBorder="1"/>
    <xf numFmtId="16" fontId="12" fillId="0" borderId="32" xfId="3" applyNumberFormat="1" applyBorder="1" applyAlignment="1">
      <alignment horizontal="center"/>
    </xf>
    <xf numFmtId="1" fontId="21" fillId="6" borderId="2" xfId="0" applyNumberFormat="1" applyFont="1" applyFill="1" applyBorder="1" applyAlignment="1">
      <alignment horizontal="center" vertical="center"/>
    </xf>
    <xf numFmtId="0" fontId="21" fillId="6" borderId="2" xfId="0" applyFont="1" applyFill="1" applyBorder="1" applyAlignment="1">
      <alignment horizontal="center" vertical="center"/>
    </xf>
    <xf numFmtId="0" fontId="21" fillId="6" borderId="2" xfId="0" applyFont="1" applyFill="1" applyBorder="1" applyAlignment="1">
      <alignment horizontal="left" vertical="center"/>
    </xf>
    <xf numFmtId="0" fontId="25" fillId="6" borderId="2" xfId="0" applyFont="1" applyFill="1" applyBorder="1" applyAlignment="1">
      <alignment horizontal="center" vertical="center"/>
    </xf>
    <xf numFmtId="1" fontId="25" fillId="6" borderId="2" xfId="0" applyNumberFormat="1" applyFont="1" applyFill="1" applyBorder="1" applyAlignment="1">
      <alignment horizontal="center" vertical="center"/>
    </xf>
    <xf numFmtId="1" fontId="25" fillId="6" borderId="2" xfId="0" applyNumberFormat="1" applyFont="1" applyFill="1" applyBorder="1" applyAlignment="1">
      <alignment horizontal="center" vertical="center" wrapText="1"/>
    </xf>
    <xf numFmtId="0" fontId="25" fillId="6" borderId="2" xfId="3" applyFont="1" applyFill="1" applyBorder="1" applyAlignment="1">
      <alignment horizontal="center" vertical="center"/>
    </xf>
    <xf numFmtId="1" fontId="25" fillId="6" borderId="2" xfId="3" applyNumberFormat="1" applyFont="1" applyFill="1" applyBorder="1" applyAlignment="1">
      <alignment horizontal="center" vertical="center"/>
    </xf>
    <xf numFmtId="0" fontId="25" fillId="6" borderId="2" xfId="3" applyFont="1" applyFill="1" applyBorder="1" applyAlignment="1">
      <alignment horizontal="center"/>
    </xf>
    <xf numFmtId="0" fontId="21" fillId="6" borderId="8" xfId="0" applyFont="1" applyFill="1" applyBorder="1" applyAlignment="1">
      <alignment horizontal="center"/>
    </xf>
    <xf numFmtId="0" fontId="25" fillId="6" borderId="2" xfId="3" applyFont="1" applyFill="1" applyBorder="1" applyAlignment="1">
      <alignment vertical="center" wrapText="1"/>
    </xf>
    <xf numFmtId="1" fontId="25" fillId="6" borderId="2" xfId="3" applyNumberFormat="1" applyFont="1" applyFill="1" applyBorder="1" applyAlignment="1">
      <alignment horizontal="center"/>
    </xf>
    <xf numFmtId="0" fontId="21" fillId="6" borderId="16" xfId="0" applyFont="1" applyFill="1" applyBorder="1" applyAlignment="1">
      <alignment horizontal="center"/>
    </xf>
    <xf numFmtId="0" fontId="25" fillId="6" borderId="8" xfId="3" applyFont="1" applyFill="1" applyBorder="1" applyAlignment="1">
      <alignment horizontal="center" vertical="center"/>
    </xf>
    <xf numFmtId="0" fontId="26" fillId="6" borderId="2" xfId="3" applyFont="1" applyFill="1" applyBorder="1" applyAlignment="1">
      <alignment horizontal="center"/>
    </xf>
    <xf numFmtId="0" fontId="23" fillId="6" borderId="16" xfId="0" applyFont="1" applyFill="1" applyBorder="1" applyAlignment="1">
      <alignment horizontal="center"/>
    </xf>
    <xf numFmtId="0" fontId="26" fillId="6" borderId="2" xfId="3" applyFont="1" applyFill="1" applyBorder="1" applyAlignment="1">
      <alignment vertical="center" wrapText="1"/>
    </xf>
    <xf numFmtId="0" fontId="26" fillId="6" borderId="8" xfId="3" applyFont="1" applyFill="1" applyBorder="1" applyAlignment="1">
      <alignment horizontal="center" vertical="center"/>
    </xf>
    <xf numFmtId="1" fontId="26" fillId="6" borderId="2" xfId="3" applyNumberFormat="1" applyFont="1" applyFill="1" applyBorder="1" applyAlignment="1">
      <alignment horizontal="center"/>
    </xf>
    <xf numFmtId="49" fontId="13" fillId="0" borderId="2" xfId="3" applyNumberFormat="1" applyFont="1" applyBorder="1" applyAlignment="1">
      <alignment horizontal="center"/>
    </xf>
    <xf numFmtId="0" fontId="12" fillId="0" borderId="2" xfId="3" applyBorder="1" applyAlignment="1">
      <alignment horizontal="center"/>
    </xf>
    <xf numFmtId="0" fontId="21" fillId="6" borderId="2" xfId="0" applyFont="1" applyFill="1" applyBorder="1" applyAlignment="1">
      <alignment horizontal="center"/>
    </xf>
    <xf numFmtId="0" fontId="18" fillId="6" borderId="0" xfId="0" applyFont="1" applyFill="1" applyAlignment="1">
      <alignment vertical="center"/>
    </xf>
    <xf numFmtId="0" fontId="27" fillId="8" borderId="2" xfId="0" applyFont="1" applyFill="1" applyBorder="1" applyAlignment="1">
      <alignment horizontal="center" vertical="center" wrapText="1"/>
    </xf>
    <xf numFmtId="0" fontId="27" fillId="8" borderId="2" xfId="0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43" fontId="27" fillId="0" borderId="2" xfId="6" applyFont="1" applyFill="1" applyBorder="1" applyAlignment="1">
      <alignment horizontal="center" vertical="center"/>
    </xf>
    <xf numFmtId="43" fontId="27" fillId="0" borderId="0" xfId="6" applyFont="1" applyFill="1" applyBorder="1" applyAlignment="1">
      <alignment horizontal="center" vertical="center"/>
    </xf>
    <xf numFmtId="43" fontId="29" fillId="0" borderId="0" xfId="6" applyFont="1" applyFill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168" fontId="32" fillId="0" borderId="0" xfId="0" applyNumberFormat="1" applyFont="1" applyAlignment="1">
      <alignment horizontal="center" vertical="center" wrapText="1"/>
    </xf>
    <xf numFmtId="0" fontId="27" fillId="9" borderId="50" xfId="0" applyFont="1" applyFill="1" applyBorder="1" applyAlignment="1">
      <alignment horizontal="center" vertical="center"/>
    </xf>
    <xf numFmtId="0" fontId="27" fillId="9" borderId="51" xfId="0" applyFont="1" applyFill="1" applyBorder="1" applyAlignment="1">
      <alignment horizontal="center" vertical="center"/>
    </xf>
    <xf numFmtId="0" fontId="27" fillId="9" borderId="51" xfId="0" applyFont="1" applyFill="1" applyBorder="1" applyAlignment="1">
      <alignment horizontal="center" vertical="center" wrapText="1"/>
    </xf>
    <xf numFmtId="0" fontId="27" fillId="9" borderId="52" xfId="0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2" fontId="33" fillId="0" borderId="0" xfId="0" applyNumberFormat="1" applyFont="1" applyAlignment="1">
      <alignment horizontal="center"/>
    </xf>
    <xf numFmtId="4" fontId="33" fillId="0" borderId="0" xfId="7" applyNumberFormat="1" applyFont="1" applyFill="1" applyAlignment="1">
      <alignment horizontal="center" vertical="center"/>
    </xf>
    <xf numFmtId="4" fontId="27" fillId="0" borderId="0" xfId="7" applyNumberFormat="1" applyFont="1" applyFill="1" applyAlignment="1">
      <alignment horizontal="center" vertical="center"/>
    </xf>
    <xf numFmtId="10" fontId="27" fillId="0" borderId="0" xfId="8" applyNumberFormat="1" applyFont="1" applyFill="1" applyAlignment="1">
      <alignment vertical="center"/>
    </xf>
    <xf numFmtId="49" fontId="27" fillId="0" borderId="0" xfId="0" applyNumberFormat="1" applyFont="1" applyAlignment="1">
      <alignment horizontal="center" vertical="center"/>
    </xf>
    <xf numFmtId="10" fontId="28" fillId="0" borderId="0" xfId="8" applyNumberFormat="1" applyFont="1" applyFill="1" applyAlignment="1">
      <alignment vertical="center"/>
    </xf>
    <xf numFmtId="0" fontId="18" fillId="0" borderId="0" xfId="0" applyFont="1"/>
    <xf numFmtId="49" fontId="27" fillId="0" borderId="0" xfId="0" applyNumberFormat="1" applyFont="1" applyAlignment="1">
      <alignment horizontal="center"/>
    </xf>
    <xf numFmtId="169" fontId="18" fillId="0" borderId="0" xfId="0" applyNumberFormat="1" applyFont="1" applyAlignment="1">
      <alignment vertical="center"/>
    </xf>
    <xf numFmtId="0" fontId="18" fillId="0" borderId="0" xfId="0" applyFont="1" applyAlignment="1">
      <alignment horizontal="left" vertical="center"/>
    </xf>
    <xf numFmtId="43" fontId="18" fillId="0" borderId="0" xfId="6" applyFont="1" applyFill="1" applyAlignment="1">
      <alignment vertical="center"/>
    </xf>
    <xf numFmtId="49" fontId="34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7" fillId="0" borderId="0" xfId="0" applyFont="1" applyAlignment="1">
      <alignment horizontal="right" vertical="center"/>
    </xf>
    <xf numFmtId="4" fontId="27" fillId="0" borderId="0" xfId="6" applyNumberFormat="1" applyFont="1" applyFill="1" applyAlignment="1">
      <alignment vertical="center"/>
    </xf>
    <xf numFmtId="43" fontId="35" fillId="0" borderId="0" xfId="6" applyFont="1" applyFill="1" applyAlignment="1">
      <alignment horizontal="center" vertical="center"/>
    </xf>
    <xf numFmtId="10" fontId="28" fillId="9" borderId="53" xfId="8" applyNumberFormat="1" applyFont="1" applyFill="1" applyBorder="1" applyAlignment="1">
      <alignment vertical="center"/>
    </xf>
    <xf numFmtId="0" fontId="18" fillId="9" borderId="22" xfId="0" applyFont="1" applyFill="1" applyBorder="1" applyAlignment="1">
      <alignment vertical="center"/>
    </xf>
    <xf numFmtId="0" fontId="18" fillId="9" borderId="53" xfId="0" applyFont="1" applyFill="1" applyBorder="1" applyAlignment="1">
      <alignment vertical="center"/>
    </xf>
    <xf numFmtId="43" fontId="35" fillId="9" borderId="54" xfId="6" applyFont="1" applyFill="1" applyBorder="1" applyAlignment="1">
      <alignment horizontal="center" vertical="center"/>
    </xf>
    <xf numFmtId="43" fontId="37" fillId="0" borderId="0" xfId="6" applyFont="1" applyFill="1" applyBorder="1" applyAlignment="1">
      <alignment horizontal="right"/>
    </xf>
    <xf numFmtId="0" fontId="18" fillId="9" borderId="54" xfId="0" applyFont="1" applyFill="1" applyBorder="1" applyAlignment="1">
      <alignment vertical="center"/>
    </xf>
    <xf numFmtId="10" fontId="28" fillId="9" borderId="54" xfId="8" applyNumberFormat="1" applyFont="1" applyFill="1" applyBorder="1" applyAlignment="1">
      <alignment vertical="center"/>
    </xf>
    <xf numFmtId="0" fontId="36" fillId="0" borderId="0" xfId="0" applyFont="1" applyAlignment="1">
      <alignment horizontal="right"/>
    </xf>
    <xf numFmtId="0" fontId="36" fillId="0" borderId="0" xfId="0" applyFont="1"/>
    <xf numFmtId="9" fontId="36" fillId="0" borderId="0" xfId="0" applyNumberFormat="1" applyFont="1"/>
    <xf numFmtId="9" fontId="38" fillId="0" borderId="0" xfId="8" applyFont="1" applyFill="1" applyAlignment="1">
      <alignment horizontal="center"/>
    </xf>
    <xf numFmtId="0" fontId="35" fillId="0" borderId="0" xfId="0" applyFont="1" applyAlignment="1">
      <alignment horizontal="right" vertical="center"/>
    </xf>
    <xf numFmtId="4" fontId="35" fillId="0" borderId="0" xfId="6" applyNumberFormat="1" applyFont="1" applyFill="1" applyAlignment="1">
      <alignment vertical="center"/>
    </xf>
    <xf numFmtId="4" fontId="35" fillId="0" borderId="0" xfId="7" applyNumberFormat="1" applyFont="1" applyAlignment="1">
      <alignment horizontal="center" vertical="center"/>
    </xf>
    <xf numFmtId="0" fontId="39" fillId="0" borderId="0" xfId="0" applyFont="1" applyAlignment="1">
      <alignment horizontal="right"/>
    </xf>
    <xf numFmtId="0" fontId="40" fillId="0" borderId="0" xfId="0" applyFont="1" applyAlignment="1">
      <alignment horizontal="right"/>
    </xf>
    <xf numFmtId="0" fontId="40" fillId="0" borderId="43" xfId="0" applyFont="1" applyBorder="1" applyAlignment="1">
      <alignment horizontal="right"/>
    </xf>
    <xf numFmtId="43" fontId="41" fillId="10" borderId="55" xfId="6" applyFont="1" applyFill="1" applyBorder="1" applyAlignment="1">
      <alignment horizontal="right"/>
    </xf>
    <xf numFmtId="43" fontId="41" fillId="0" borderId="0" xfId="6" applyFont="1" applyFill="1" applyBorder="1" applyAlignment="1">
      <alignment horizontal="right"/>
    </xf>
    <xf numFmtId="43" fontId="27" fillId="0" borderId="2" xfId="6" applyFont="1" applyFill="1" applyBorder="1" applyAlignment="1">
      <alignment vertical="center"/>
    </xf>
    <xf numFmtId="0" fontId="42" fillId="0" borderId="0" xfId="0" applyFont="1" applyAlignment="1">
      <alignment horizontal="left" vertical="center"/>
    </xf>
    <xf numFmtId="4" fontId="35" fillId="0" borderId="0" xfId="7" applyNumberFormat="1" applyFont="1" applyFill="1" applyAlignment="1">
      <alignment horizontal="center" vertical="center"/>
    </xf>
    <xf numFmtId="10" fontId="43" fillId="0" borderId="0" xfId="8" applyNumberFormat="1" applyFont="1" applyFill="1" applyAlignment="1">
      <alignment horizontal="right"/>
    </xf>
    <xf numFmtId="170" fontId="27" fillId="9" borderId="2" xfId="6" applyNumberFormat="1" applyFont="1" applyFill="1" applyBorder="1" applyAlignment="1">
      <alignment vertical="center"/>
    </xf>
    <xf numFmtId="4" fontId="18" fillId="0" borderId="0" xfId="0" applyNumberFormat="1" applyFont="1" applyAlignment="1">
      <alignment horizontal="center" vertical="center"/>
    </xf>
    <xf numFmtId="43" fontId="27" fillId="11" borderId="2" xfId="6" applyFont="1" applyFill="1" applyBorder="1" applyAlignment="1">
      <alignment vertical="center"/>
    </xf>
    <xf numFmtId="167" fontId="44" fillId="0" borderId="0" xfId="0" applyNumberFormat="1" applyFont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4" fontId="27" fillId="0" borderId="0" xfId="0" applyNumberFormat="1" applyFont="1" applyAlignment="1">
      <alignment horizontal="center" vertical="center"/>
    </xf>
    <xf numFmtId="0" fontId="28" fillId="9" borderId="56" xfId="0" applyFont="1" applyFill="1" applyBorder="1" applyAlignment="1">
      <alignment vertical="center"/>
    </xf>
    <xf numFmtId="0" fontId="46" fillId="0" borderId="0" xfId="0" applyFont="1" applyAlignment="1">
      <alignment vertical="center"/>
    </xf>
    <xf numFmtId="2" fontId="43" fillId="0" borderId="0" xfId="6" applyNumberFormat="1" applyFont="1" applyFill="1" applyBorder="1" applyAlignment="1">
      <alignment horizontal="center"/>
    </xf>
    <xf numFmtId="2" fontId="40" fillId="0" borderId="0" xfId="6" applyNumberFormat="1" applyFont="1" applyFill="1" applyBorder="1" applyAlignment="1">
      <alignment horizontal="center"/>
    </xf>
    <xf numFmtId="0" fontId="18" fillId="9" borderId="56" xfId="0" applyFont="1" applyFill="1" applyBorder="1" applyAlignment="1">
      <alignment vertical="center"/>
    </xf>
    <xf numFmtId="10" fontId="18" fillId="0" borderId="0" xfId="8" applyNumberFormat="1" applyFont="1" applyFill="1" applyAlignment="1">
      <alignment vertical="center"/>
    </xf>
    <xf numFmtId="4" fontId="18" fillId="0" borderId="0" xfId="6" applyNumberFormat="1" applyFont="1" applyFill="1" applyAlignment="1">
      <alignment vertical="center"/>
    </xf>
    <xf numFmtId="43" fontId="41" fillId="9" borderId="22" xfId="6" applyFont="1" applyFill="1" applyBorder="1" applyAlignment="1">
      <alignment horizontal="right"/>
    </xf>
    <xf numFmtId="0" fontId="27" fillId="9" borderId="21" xfId="0" applyFont="1" applyFill="1" applyBorder="1" applyAlignment="1">
      <alignment horizontal="right" vertical="center"/>
    </xf>
    <xf numFmtId="10" fontId="47" fillId="0" borderId="0" xfId="6" applyNumberFormat="1" applyFont="1" applyFill="1" applyAlignment="1">
      <alignment vertical="center"/>
    </xf>
    <xf numFmtId="10" fontId="28" fillId="0" borderId="0" xfId="8" applyNumberFormat="1" applyFont="1" applyFill="1" applyBorder="1" applyAlignment="1">
      <alignment vertical="center"/>
    </xf>
    <xf numFmtId="167" fontId="48" fillId="0" borderId="0" xfId="0" applyNumberFormat="1" applyFont="1" applyAlignment="1">
      <alignment horizontal="center" vertical="center"/>
    </xf>
    <xf numFmtId="0" fontId="18" fillId="6" borderId="55" xfId="0" applyFont="1" applyFill="1" applyBorder="1" applyAlignment="1">
      <alignment horizontal="center" vertical="center"/>
    </xf>
    <xf numFmtId="43" fontId="49" fillId="0" borderId="0" xfId="6" applyFont="1" applyFill="1" applyAlignment="1">
      <alignment vertical="center"/>
    </xf>
    <xf numFmtId="4" fontId="50" fillId="0" borderId="0" xfId="7" applyNumberFormat="1" applyFont="1" applyFill="1" applyAlignment="1">
      <alignment horizontal="center" vertical="center" wrapText="1"/>
    </xf>
    <xf numFmtId="9" fontId="18" fillId="0" borderId="0" xfId="6" applyNumberFormat="1" applyFont="1" applyFill="1" applyAlignment="1">
      <alignment vertical="center"/>
    </xf>
    <xf numFmtId="0" fontId="35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34" fillId="0" borderId="0" xfId="0" applyFont="1" applyAlignment="1">
      <alignment horizontal="right" vertical="center"/>
    </xf>
    <xf numFmtId="4" fontId="34" fillId="0" borderId="0" xfId="6" applyNumberFormat="1" applyFont="1" applyFill="1" applyAlignment="1">
      <alignment vertical="center"/>
    </xf>
    <xf numFmtId="4" fontId="27" fillId="13" borderId="55" xfId="6" applyNumberFormat="1" applyFont="1" applyFill="1" applyBorder="1" applyAlignment="1">
      <alignment horizontal="center" vertical="center"/>
    </xf>
    <xf numFmtId="0" fontId="51" fillId="0" borderId="0" xfId="0" applyFont="1" applyAlignment="1">
      <alignment vertical="center"/>
    </xf>
    <xf numFmtId="43" fontId="51" fillId="0" borderId="0" xfId="6" applyFont="1" applyFill="1" applyAlignment="1">
      <alignment vertical="center"/>
    </xf>
    <xf numFmtId="9" fontId="51" fillId="0" borderId="0" xfId="6" applyNumberFormat="1" applyFont="1" applyFill="1" applyAlignment="1">
      <alignment vertical="center"/>
    </xf>
    <xf numFmtId="4" fontId="27" fillId="0" borderId="0" xfId="6" applyNumberFormat="1" applyFont="1" applyFill="1" applyAlignment="1">
      <alignment horizontal="center" vertical="center"/>
    </xf>
    <xf numFmtId="10" fontId="44" fillId="0" borderId="0" xfId="8" applyNumberFormat="1" applyFont="1" applyFill="1" applyAlignment="1">
      <alignment vertical="center"/>
    </xf>
    <xf numFmtId="43" fontId="44" fillId="0" borderId="0" xfId="6" applyFont="1" applyFill="1" applyBorder="1" applyAlignment="1">
      <alignment vertical="center"/>
    </xf>
    <xf numFmtId="4" fontId="18" fillId="0" borderId="0" xfId="0" applyNumberFormat="1" applyFont="1" applyAlignment="1">
      <alignment horizontal="center"/>
    </xf>
    <xf numFmtId="43" fontId="18" fillId="0" borderId="0" xfId="6" applyFont="1" applyFill="1" applyBorder="1"/>
    <xf numFmtId="10" fontId="44" fillId="0" borderId="0" xfId="8" applyNumberFormat="1" applyFont="1" applyFill="1" applyBorder="1" applyAlignment="1">
      <alignment vertical="center"/>
    </xf>
    <xf numFmtId="0" fontId="44" fillId="0" borderId="0" xfId="0" applyFont="1" applyAlignment="1">
      <alignment horizontal="right"/>
    </xf>
    <xf numFmtId="43" fontId="18" fillId="0" borderId="0" xfId="6" applyFont="1" applyFill="1" applyBorder="1" applyAlignment="1">
      <alignment horizontal="center"/>
    </xf>
    <xf numFmtId="9" fontId="54" fillId="0" borderId="0" xfId="0" applyNumberFormat="1" applyFont="1" applyAlignment="1">
      <alignment horizontal="left"/>
    </xf>
    <xf numFmtId="4" fontId="27" fillId="0" borderId="0" xfId="0" applyNumberFormat="1" applyFont="1" applyAlignment="1">
      <alignment horizontal="center"/>
    </xf>
    <xf numFmtId="167" fontId="27" fillId="0" borderId="0" xfId="0" applyNumberFormat="1" applyFont="1"/>
    <xf numFmtId="4" fontId="33" fillId="0" borderId="0" xfId="7" applyNumberFormat="1" applyFont="1" applyFill="1" applyAlignment="1">
      <alignment horizontal="center" vertical="center" wrapText="1"/>
    </xf>
    <xf numFmtId="0" fontId="23" fillId="14" borderId="2" xfId="0" applyFont="1" applyFill="1" applyBorder="1" applyAlignment="1">
      <alignment horizontal="center" vertical="center"/>
    </xf>
    <xf numFmtId="0" fontId="23" fillId="14" borderId="2" xfId="0" applyFont="1" applyFill="1" applyBorder="1" applyAlignment="1">
      <alignment horizontal="left" vertical="center"/>
    </xf>
    <xf numFmtId="0" fontId="4" fillId="14" borderId="2" xfId="3" applyFont="1" applyFill="1" applyBorder="1" applyAlignment="1">
      <alignment horizontal="center" vertical="center"/>
    </xf>
    <xf numFmtId="0" fontId="21" fillId="14" borderId="8" xfId="0" applyFont="1" applyFill="1" applyBorder="1" applyAlignment="1">
      <alignment horizontal="center" vertical="center"/>
    </xf>
    <xf numFmtId="0" fontId="21" fillId="14" borderId="2" xfId="0" applyFont="1" applyFill="1" applyBorder="1" applyAlignment="1">
      <alignment horizontal="left" vertical="center"/>
    </xf>
    <xf numFmtId="0" fontId="25" fillId="14" borderId="2" xfId="3" applyFont="1" applyFill="1" applyBorder="1" applyAlignment="1">
      <alignment horizontal="center" vertical="center"/>
    </xf>
    <xf numFmtId="0" fontId="23" fillId="15" borderId="2" xfId="0" applyFont="1" applyFill="1" applyBorder="1" applyAlignment="1">
      <alignment horizontal="center" vertical="center"/>
    </xf>
    <xf numFmtId="0" fontId="23" fillId="15" borderId="2" xfId="0" applyFont="1" applyFill="1" applyBorder="1" applyAlignment="1">
      <alignment horizontal="left" vertical="center"/>
    </xf>
    <xf numFmtId="0" fontId="4" fillId="15" borderId="2" xfId="3" applyFont="1" applyFill="1" applyBorder="1" applyAlignment="1">
      <alignment horizontal="center" vertical="center"/>
    </xf>
    <xf numFmtId="1" fontId="25" fillId="15" borderId="2" xfId="0" applyNumberFormat="1" applyFont="1" applyFill="1" applyBorder="1" applyAlignment="1">
      <alignment horizontal="center" vertical="center"/>
    </xf>
    <xf numFmtId="0" fontId="18" fillId="16" borderId="0" xfId="0" applyFont="1" applyFill="1" applyAlignment="1">
      <alignment vertical="center"/>
    </xf>
    <xf numFmtId="2" fontId="33" fillId="16" borderId="0" xfId="0" applyNumberFormat="1" applyFont="1" applyFill="1" applyAlignment="1">
      <alignment horizontal="center"/>
    </xf>
    <xf numFmtId="0" fontId="0" fillId="0" borderId="32" xfId="4" applyFont="1" applyBorder="1" applyAlignment="1">
      <alignment horizontal="center"/>
    </xf>
    <xf numFmtId="0" fontId="26" fillId="6" borderId="32" xfId="3" applyFont="1" applyFill="1" applyBorder="1" applyAlignment="1">
      <alignment horizontal="center"/>
    </xf>
    <xf numFmtId="0" fontId="21" fillId="6" borderId="0" xfId="0" applyFont="1" applyFill="1" applyAlignment="1">
      <alignment horizontal="center"/>
    </xf>
    <xf numFmtId="0" fontId="25" fillId="6" borderId="32" xfId="3" applyFont="1" applyFill="1" applyBorder="1" applyAlignment="1">
      <alignment horizontal="center"/>
    </xf>
    <xf numFmtId="2" fontId="33" fillId="17" borderId="0" xfId="0" applyNumberFormat="1" applyFont="1" applyFill="1" applyAlignment="1">
      <alignment horizontal="center"/>
    </xf>
    <xf numFmtId="0" fontId="18" fillId="17" borderId="0" xfId="0" applyFont="1" applyFill="1" applyAlignment="1">
      <alignment vertical="center"/>
    </xf>
    <xf numFmtId="1" fontId="23" fillId="0" borderId="2" xfId="0" applyNumberFormat="1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55" fillId="0" borderId="2" xfId="0" applyFont="1" applyBorder="1" applyAlignment="1">
      <alignment horizontal="left" vertical="center"/>
    </xf>
    <xf numFmtId="0" fontId="4" fillId="0" borderId="2" xfId="3" applyFont="1" applyBorder="1" applyAlignment="1">
      <alignment horizontal="center" vertical="center"/>
    </xf>
    <xf numFmtId="0" fontId="23" fillId="0" borderId="2" xfId="0" applyFont="1" applyBorder="1" applyAlignment="1">
      <alignment horizontal="left" vertical="center"/>
    </xf>
    <xf numFmtId="0" fontId="24" fillId="0" borderId="2" xfId="3" applyFont="1" applyBorder="1" applyAlignment="1">
      <alignment horizontal="center" vertical="center"/>
    </xf>
    <xf numFmtId="0" fontId="4" fillId="0" borderId="2" xfId="3" applyFont="1" applyBorder="1" applyAlignment="1">
      <alignment horizontal="left" vertical="center"/>
    </xf>
    <xf numFmtId="0" fontId="15" fillId="0" borderId="2" xfId="3" applyFont="1" applyBorder="1" applyAlignment="1">
      <alignment horizontal="left"/>
    </xf>
    <xf numFmtId="0" fontId="25" fillId="0" borderId="2" xfId="0" applyFont="1" applyBorder="1" applyAlignment="1">
      <alignment horizontal="center" vertical="center"/>
    </xf>
    <xf numFmtId="1" fontId="25" fillId="0" borderId="2" xfId="0" applyNumberFormat="1" applyFont="1" applyBorder="1" applyAlignment="1">
      <alignment horizontal="center" vertical="center"/>
    </xf>
    <xf numFmtId="1" fontId="25" fillId="0" borderId="2" xfId="0" applyNumberFormat="1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/>
    </xf>
    <xf numFmtId="0" fontId="25" fillId="0" borderId="2" xfId="3" applyFont="1" applyBorder="1" applyAlignment="1">
      <alignment horizontal="center" vertical="center"/>
    </xf>
    <xf numFmtId="0" fontId="25" fillId="0" borderId="2" xfId="3" applyFont="1" applyBorder="1" applyAlignment="1">
      <alignment horizontal="center"/>
    </xf>
    <xf numFmtId="0" fontId="21" fillId="0" borderId="8" xfId="0" applyFont="1" applyBorder="1" applyAlignment="1">
      <alignment horizontal="center"/>
    </xf>
    <xf numFmtId="0" fontId="25" fillId="0" borderId="2" xfId="3" applyFont="1" applyBorder="1" applyAlignment="1">
      <alignment vertical="center" wrapText="1"/>
    </xf>
    <xf numFmtId="0" fontId="21" fillId="0" borderId="16" xfId="0" applyFont="1" applyBorder="1" applyAlignment="1">
      <alignment horizontal="center"/>
    </xf>
    <xf numFmtId="0" fontId="25" fillId="0" borderId="8" xfId="3" applyFont="1" applyBorder="1" applyAlignment="1">
      <alignment horizontal="center" vertical="center"/>
    </xf>
    <xf numFmtId="0" fontId="26" fillId="0" borderId="2" xfId="3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0" fontId="26" fillId="0" borderId="2" xfId="3" applyFont="1" applyBorder="1" applyAlignment="1">
      <alignment vertical="center" wrapText="1"/>
    </xf>
    <xf numFmtId="0" fontId="26" fillId="0" borderId="8" xfId="3" applyFont="1" applyBorder="1" applyAlignment="1">
      <alignment horizontal="center" vertical="center"/>
    </xf>
    <xf numFmtId="0" fontId="17" fillId="0" borderId="2" xfId="3" applyFont="1" applyBorder="1" applyAlignment="1">
      <alignment vertical="center"/>
    </xf>
    <xf numFmtId="4" fontId="27" fillId="18" borderId="0" xfId="7" applyNumberFormat="1" applyFont="1" applyFill="1" applyAlignment="1">
      <alignment horizontal="center" vertical="center"/>
    </xf>
    <xf numFmtId="14" fontId="57" fillId="4" borderId="0" xfId="2" applyNumberFormat="1" applyFont="1" applyFill="1" applyAlignment="1">
      <alignment horizontal="center" vertical="center" wrapText="1"/>
    </xf>
    <xf numFmtId="0" fontId="58" fillId="0" borderId="7" xfId="3" applyFont="1" applyBorder="1" applyAlignment="1">
      <alignment horizontal="center" vertical="center"/>
    </xf>
    <xf numFmtId="0" fontId="58" fillId="0" borderId="6" xfId="3" applyFont="1" applyBorder="1" applyAlignment="1">
      <alignment horizontal="center" vertical="center"/>
    </xf>
    <xf numFmtId="0" fontId="59" fillId="0" borderId="5" xfId="3" applyFont="1" applyBorder="1" applyAlignment="1">
      <alignment vertical="center"/>
    </xf>
    <xf numFmtId="0" fontId="58" fillId="0" borderId="5" xfId="3" applyFont="1" applyBorder="1" applyAlignment="1">
      <alignment horizontal="center" vertical="center"/>
    </xf>
    <xf numFmtId="1" fontId="58" fillId="0" borderId="5" xfId="3" applyNumberFormat="1" applyFont="1" applyBorder="1" applyAlignment="1">
      <alignment horizontal="center"/>
    </xf>
    <xf numFmtId="1" fontId="58" fillId="0" borderId="5" xfId="3" applyNumberFormat="1" applyFont="1" applyBorder="1" applyAlignment="1">
      <alignment horizontal="center" wrapText="1"/>
    </xf>
    <xf numFmtId="0" fontId="60" fillId="0" borderId="1" xfId="3" applyFont="1" applyBorder="1" applyAlignment="1">
      <alignment horizontal="center"/>
    </xf>
    <xf numFmtId="0" fontId="60" fillId="0" borderId="2" xfId="0" applyFont="1" applyBorder="1" applyAlignment="1">
      <alignment horizontal="center" vertical="center"/>
    </xf>
    <xf numFmtId="49" fontId="60" fillId="0" borderId="2" xfId="0" applyNumberFormat="1" applyFont="1" applyBorder="1" applyAlignment="1">
      <alignment horizontal="center" vertical="center"/>
    </xf>
    <xf numFmtId="0" fontId="60" fillId="0" borderId="2" xfId="0" applyFont="1" applyBorder="1" applyAlignment="1">
      <alignment vertical="center"/>
    </xf>
    <xf numFmtId="1" fontId="60" fillId="0" borderId="2" xfId="0" applyNumberFormat="1" applyFont="1" applyBorder="1" applyAlignment="1">
      <alignment horizontal="center"/>
    </xf>
    <xf numFmtId="0" fontId="60" fillId="0" borderId="2" xfId="0" applyFont="1" applyBorder="1" applyAlignment="1">
      <alignment horizontal="center"/>
    </xf>
    <xf numFmtId="0" fontId="60" fillId="0" borderId="15" xfId="3" applyFont="1" applyBorder="1" applyAlignment="1">
      <alignment horizontal="center"/>
    </xf>
    <xf numFmtId="1" fontId="60" fillId="0" borderId="2" xfId="3" applyNumberFormat="1" applyFont="1" applyBorder="1" applyAlignment="1">
      <alignment horizontal="center" vertical="center"/>
    </xf>
    <xf numFmtId="1" fontId="61" fillId="0" borderId="2" xfId="0" applyNumberFormat="1" applyFont="1" applyBorder="1" applyAlignment="1">
      <alignment horizontal="center" vertical="center"/>
    </xf>
    <xf numFmtId="0" fontId="61" fillId="0" borderId="2" xfId="0" applyFont="1" applyBorder="1" applyAlignment="1">
      <alignment horizontal="center" vertical="center"/>
    </xf>
    <xf numFmtId="0" fontId="61" fillId="0" borderId="2" xfId="0" applyFont="1" applyBorder="1" applyAlignment="1">
      <alignment horizontal="left" vertical="center"/>
    </xf>
    <xf numFmtId="0" fontId="60" fillId="0" borderId="2" xfId="3" applyFont="1" applyBorder="1" applyAlignment="1">
      <alignment horizontal="center" vertical="center"/>
    </xf>
    <xf numFmtId="1" fontId="60" fillId="0" borderId="2" xfId="0" applyNumberFormat="1" applyFont="1" applyBorder="1" applyAlignment="1">
      <alignment horizontal="center" vertical="center"/>
    </xf>
    <xf numFmtId="0" fontId="61" fillId="0" borderId="2" xfId="4" applyFont="1" applyBorder="1" applyAlignment="1">
      <alignment horizontal="center"/>
    </xf>
    <xf numFmtId="1" fontId="60" fillId="0" borderId="2" xfId="0" applyNumberFormat="1" applyFont="1" applyBorder="1" applyAlignment="1">
      <alignment horizontal="center" wrapText="1"/>
    </xf>
    <xf numFmtId="0" fontId="61" fillId="0" borderId="32" xfId="0" applyFont="1" applyBorder="1" applyAlignment="1">
      <alignment horizontal="center"/>
    </xf>
    <xf numFmtId="0" fontId="61" fillId="0" borderId="2" xfId="0" applyFont="1" applyBorder="1" applyAlignment="1">
      <alignment horizontal="center"/>
    </xf>
    <xf numFmtId="0" fontId="61" fillId="0" borderId="2" xfId="0" applyFont="1" applyBorder="1"/>
    <xf numFmtId="1" fontId="60" fillId="0" borderId="2" xfId="3" applyNumberFormat="1" applyFont="1" applyBorder="1" applyAlignment="1">
      <alignment horizontal="center"/>
    </xf>
    <xf numFmtId="1" fontId="60" fillId="0" borderId="2" xfId="3" applyNumberFormat="1" applyFont="1" applyBorder="1" applyAlignment="1">
      <alignment horizontal="center" wrapText="1"/>
    </xf>
    <xf numFmtId="1" fontId="58" fillId="0" borderId="2" xfId="3" applyNumberFormat="1" applyFont="1" applyBorder="1" applyAlignment="1">
      <alignment horizontal="center"/>
    </xf>
    <xf numFmtId="0" fontId="60" fillId="0" borderId="32" xfId="3" applyFont="1" applyBorder="1" applyAlignment="1">
      <alignment horizontal="center"/>
    </xf>
    <xf numFmtId="0" fontId="60" fillId="0" borderId="2" xfId="3" applyFont="1" applyBorder="1" applyAlignment="1">
      <alignment horizontal="center"/>
    </xf>
    <xf numFmtId="49" fontId="60" fillId="0" borderId="3" xfId="3" applyNumberFormat="1" applyFont="1" applyBorder="1" applyAlignment="1">
      <alignment horizontal="center"/>
    </xf>
    <xf numFmtId="49" fontId="60" fillId="0" borderId="8" xfId="3" applyNumberFormat="1" applyFont="1" applyBorder="1" applyAlignment="1">
      <alignment horizontal="center"/>
    </xf>
    <xf numFmtId="0" fontId="58" fillId="0" borderId="2" xfId="3" applyFont="1" applyBorder="1" applyAlignment="1">
      <alignment horizontal="left"/>
    </xf>
    <xf numFmtId="165" fontId="60" fillId="0" borderId="2" xfId="3" applyNumberFormat="1" applyFont="1" applyBorder="1" applyAlignment="1">
      <alignment horizontal="center"/>
    </xf>
    <xf numFmtId="1" fontId="60" fillId="0" borderId="2" xfId="0" applyNumberFormat="1" applyFont="1" applyBorder="1" applyAlignment="1">
      <alignment horizontal="center" vertical="center" wrapText="1"/>
    </xf>
    <xf numFmtId="1" fontId="60" fillId="6" borderId="2" xfId="0" applyNumberFormat="1" applyFont="1" applyFill="1" applyBorder="1" applyAlignment="1">
      <alignment horizontal="center" vertical="center"/>
    </xf>
    <xf numFmtId="1" fontId="60" fillId="6" borderId="2" xfId="0" applyNumberFormat="1" applyFont="1" applyFill="1" applyBorder="1" applyAlignment="1">
      <alignment horizontal="center" vertical="center" wrapText="1"/>
    </xf>
    <xf numFmtId="0" fontId="61" fillId="6" borderId="2" xfId="0" applyFont="1" applyFill="1" applyBorder="1" applyAlignment="1">
      <alignment horizontal="center" vertical="center"/>
    </xf>
    <xf numFmtId="1" fontId="60" fillId="6" borderId="2" xfId="3" applyNumberFormat="1" applyFont="1" applyFill="1" applyBorder="1" applyAlignment="1">
      <alignment horizontal="center" vertical="center"/>
    </xf>
    <xf numFmtId="0" fontId="61" fillId="6" borderId="0" xfId="0" applyFont="1" applyFill="1" applyAlignment="1">
      <alignment horizontal="center"/>
    </xf>
    <xf numFmtId="0" fontId="61" fillId="0" borderId="8" xfId="0" applyFont="1" applyBorder="1" applyAlignment="1">
      <alignment horizontal="center"/>
    </xf>
    <xf numFmtId="0" fontId="60" fillId="0" borderId="2" xfId="3" applyFont="1" applyBorder="1" applyAlignment="1">
      <alignment vertical="center" wrapText="1"/>
    </xf>
    <xf numFmtId="1" fontId="60" fillId="6" borderId="2" xfId="3" applyNumberFormat="1" applyFont="1" applyFill="1" applyBorder="1" applyAlignment="1">
      <alignment horizontal="center"/>
    </xf>
    <xf numFmtId="0" fontId="60" fillId="6" borderId="2" xfId="3" applyFont="1" applyFill="1" applyBorder="1" applyAlignment="1">
      <alignment horizontal="center"/>
    </xf>
    <xf numFmtId="0" fontId="61" fillId="0" borderId="16" xfId="0" applyFont="1" applyBorder="1" applyAlignment="1">
      <alignment horizontal="center"/>
    </xf>
    <xf numFmtId="0" fontId="60" fillId="0" borderId="8" xfId="3" applyFont="1" applyBorder="1" applyAlignment="1">
      <alignment horizontal="center" vertical="center"/>
    </xf>
    <xf numFmtId="0" fontId="60" fillId="6" borderId="32" xfId="3" applyFont="1" applyFill="1" applyBorder="1" applyAlignment="1">
      <alignment horizontal="center"/>
    </xf>
    <xf numFmtId="49" fontId="58" fillId="0" borderId="2" xfId="3" applyNumberFormat="1" applyFont="1" applyBorder="1" applyAlignment="1">
      <alignment horizontal="center"/>
    </xf>
    <xf numFmtId="49" fontId="58" fillId="0" borderId="16" xfId="3" applyNumberFormat="1" applyFont="1" applyBorder="1" applyAlignment="1">
      <alignment horizontal="center"/>
    </xf>
    <xf numFmtId="0" fontId="59" fillId="0" borderId="2" xfId="3" applyFont="1" applyBorder="1" applyAlignment="1">
      <alignment vertical="center"/>
    </xf>
    <xf numFmtId="0" fontId="58" fillId="0" borderId="8" xfId="3" applyFont="1" applyBorder="1" applyAlignment="1">
      <alignment horizontal="center"/>
    </xf>
    <xf numFmtId="1" fontId="58" fillId="0" borderId="2" xfId="3" applyNumberFormat="1" applyFont="1" applyBorder="1" applyAlignment="1">
      <alignment horizontal="center" wrapText="1"/>
    </xf>
    <xf numFmtId="0" fontId="60" fillId="0" borderId="3" xfId="0" applyFont="1" applyBorder="1" applyAlignment="1">
      <alignment horizontal="center" vertical="center"/>
    </xf>
    <xf numFmtId="49" fontId="60" fillId="0" borderId="8" xfId="0" applyNumberFormat="1" applyFont="1" applyBorder="1" applyAlignment="1">
      <alignment horizontal="center" vertical="center"/>
    </xf>
    <xf numFmtId="164" fontId="60" fillId="0" borderId="32" xfId="0" applyNumberFormat="1" applyFont="1" applyBorder="1" applyAlignment="1">
      <alignment horizontal="center" wrapText="1"/>
    </xf>
    <xf numFmtId="2" fontId="60" fillId="0" borderId="2" xfId="3" applyNumberFormat="1" applyFont="1" applyBorder="1" applyAlignment="1">
      <alignment horizontal="center"/>
    </xf>
    <xf numFmtId="0" fontId="60" fillId="0" borderId="3" xfId="0" applyFont="1" applyBorder="1" applyAlignment="1">
      <alignment horizontal="right"/>
    </xf>
    <xf numFmtId="0" fontId="60" fillId="0" borderId="2" xfId="0" applyFont="1" applyBorder="1"/>
    <xf numFmtId="0" fontId="61" fillId="0" borderId="0" xfId="0" applyFont="1" applyAlignment="1">
      <alignment horizontal="center"/>
    </xf>
    <xf numFmtId="49" fontId="60" fillId="0" borderId="2" xfId="3" applyNumberFormat="1" applyFont="1" applyBorder="1"/>
    <xf numFmtId="49" fontId="62" fillId="4" borderId="37" xfId="3" applyNumberFormat="1" applyFont="1" applyFill="1" applyBorder="1" applyAlignment="1">
      <alignment horizontal="center" vertical="center"/>
    </xf>
    <xf numFmtId="49" fontId="62" fillId="4" borderId="0" xfId="3" applyNumberFormat="1" applyFont="1" applyFill="1" applyAlignment="1">
      <alignment horizontal="center" vertical="center"/>
    </xf>
    <xf numFmtId="0" fontId="60" fillId="4" borderId="0" xfId="3" applyFont="1" applyFill="1"/>
    <xf numFmtId="1" fontId="60" fillId="4" borderId="0" xfId="3" applyNumberFormat="1" applyFont="1" applyFill="1" applyAlignment="1">
      <alignment horizontal="center"/>
    </xf>
    <xf numFmtId="166" fontId="60" fillId="4" borderId="0" xfId="3" applyNumberFormat="1" applyFont="1" applyFill="1" applyAlignment="1">
      <alignment horizontal="center" wrapText="1"/>
    </xf>
    <xf numFmtId="0" fontId="60" fillId="4" borderId="43" xfId="3" applyFont="1" applyFill="1" applyBorder="1" applyAlignment="1">
      <alignment horizontal="center"/>
    </xf>
    <xf numFmtId="0" fontId="60" fillId="5" borderId="23" xfId="3" applyFont="1" applyFill="1" applyBorder="1" applyAlignment="1">
      <alignment horizontal="center"/>
    </xf>
    <xf numFmtId="0" fontId="60" fillId="5" borderId="22" xfId="3" applyFont="1" applyFill="1" applyBorder="1" applyAlignment="1">
      <alignment horizontal="center"/>
    </xf>
    <xf numFmtId="0" fontId="60" fillId="5" borderId="22" xfId="3" applyFont="1" applyFill="1" applyBorder="1"/>
    <xf numFmtId="0" fontId="58" fillId="5" borderId="22" xfId="3" applyFont="1" applyFill="1" applyBorder="1" applyAlignment="1">
      <alignment horizontal="center"/>
    </xf>
    <xf numFmtId="1" fontId="58" fillId="5" borderId="22" xfId="3" applyNumberFormat="1" applyFont="1" applyFill="1" applyBorder="1" applyAlignment="1">
      <alignment horizontal="center"/>
    </xf>
    <xf numFmtId="166" fontId="60" fillId="5" borderId="22" xfId="3" applyNumberFormat="1" applyFont="1" applyFill="1" applyBorder="1" applyAlignment="1">
      <alignment horizontal="center" wrapText="1"/>
    </xf>
    <xf numFmtId="0" fontId="60" fillId="5" borderId="21" xfId="3" applyFont="1" applyFill="1" applyBorder="1" applyAlignment="1">
      <alignment horizontal="center"/>
    </xf>
    <xf numFmtId="1" fontId="60" fillId="0" borderId="32" xfId="0" applyNumberFormat="1" applyFont="1" applyBorder="1" applyAlignment="1">
      <alignment horizontal="center"/>
    </xf>
    <xf numFmtId="0" fontId="60" fillId="0" borderId="31" xfId="0" applyFont="1" applyBorder="1" applyAlignment="1">
      <alignment horizontal="center"/>
    </xf>
    <xf numFmtId="0" fontId="58" fillId="0" borderId="2" xfId="0" applyFont="1" applyBorder="1" applyAlignment="1">
      <alignment horizontal="center"/>
    </xf>
    <xf numFmtId="1" fontId="60" fillId="0" borderId="26" xfId="0" applyNumberFormat="1" applyFont="1" applyBorder="1" applyAlignment="1">
      <alignment horizontal="center"/>
    </xf>
    <xf numFmtId="0" fontId="60" fillId="0" borderId="26" xfId="0" applyFont="1" applyBorder="1" applyAlignment="1">
      <alignment horizontal="center"/>
    </xf>
    <xf numFmtId="16" fontId="60" fillId="0" borderId="2" xfId="3" applyNumberFormat="1" applyFont="1" applyBorder="1" applyAlignment="1">
      <alignment horizontal="center"/>
    </xf>
    <xf numFmtId="0" fontId="61" fillId="0" borderId="8" xfId="0" applyFont="1" applyBorder="1" applyAlignment="1">
      <alignment horizontal="center" vertical="center"/>
    </xf>
    <xf numFmtId="0" fontId="60" fillId="0" borderId="2" xfId="0" applyFont="1" applyBorder="1" applyAlignment="1">
      <alignment horizontal="center" wrapText="1"/>
    </xf>
    <xf numFmtId="14" fontId="3" fillId="4" borderId="4" xfId="1" applyNumberFormat="1" applyFont="1" applyFill="1" applyBorder="1" applyAlignment="1">
      <alignment horizontal="center" vertical="center" wrapText="1"/>
    </xf>
    <xf numFmtId="14" fontId="3" fillId="4" borderId="40" xfId="1" applyNumberFormat="1" applyFont="1" applyFill="1" applyBorder="1" applyAlignment="1">
      <alignment horizontal="center" vertical="center" wrapText="1"/>
    </xf>
    <xf numFmtId="14" fontId="3" fillId="4" borderId="34" xfId="1" applyNumberFormat="1" applyFont="1" applyFill="1" applyBorder="1" applyAlignment="1">
      <alignment horizontal="center" vertical="center" wrapText="1"/>
    </xf>
    <xf numFmtId="0" fontId="3" fillId="4" borderId="30" xfId="1" applyFont="1" applyFill="1" applyBorder="1" applyAlignment="1">
      <alignment horizontal="left"/>
    </xf>
    <xf numFmtId="0" fontId="3" fillId="4" borderId="19" xfId="1" applyFont="1" applyFill="1" applyBorder="1" applyAlignment="1">
      <alignment horizontal="left"/>
    </xf>
    <xf numFmtId="0" fontId="3" fillId="4" borderId="11" xfId="1" applyFont="1" applyFill="1" applyBorder="1" applyAlignment="1">
      <alignment horizontal="left"/>
    </xf>
    <xf numFmtId="0" fontId="3" fillId="4" borderId="29" xfId="1" applyFont="1" applyFill="1" applyBorder="1" applyAlignment="1">
      <alignment horizontal="left"/>
    </xf>
    <xf numFmtId="0" fontId="3" fillId="4" borderId="16" xfId="1" applyFont="1" applyFill="1" applyBorder="1" applyAlignment="1">
      <alignment horizontal="left"/>
    </xf>
    <xf numFmtId="0" fontId="3" fillId="4" borderId="8" xfId="1" applyFont="1" applyFill="1" applyBorder="1" applyAlignment="1">
      <alignment horizontal="left"/>
    </xf>
    <xf numFmtId="0" fontId="3" fillId="4" borderId="14" xfId="1" applyFont="1" applyFill="1" applyBorder="1" applyAlignment="1">
      <alignment horizontal="center"/>
    </xf>
    <xf numFmtId="0" fontId="3" fillId="4" borderId="13" xfId="1" applyFont="1" applyFill="1" applyBorder="1" applyAlignment="1">
      <alignment horizontal="center"/>
    </xf>
    <xf numFmtId="0" fontId="3" fillId="4" borderId="37" xfId="1" applyFont="1" applyFill="1" applyBorder="1" applyAlignment="1">
      <alignment horizontal="center"/>
    </xf>
    <xf numFmtId="0" fontId="3" fillId="4" borderId="0" xfId="1" applyFont="1" applyFill="1" applyAlignment="1">
      <alignment horizontal="center"/>
    </xf>
    <xf numFmtId="0" fontId="3" fillId="4" borderId="38" xfId="1" applyFont="1" applyFill="1" applyBorder="1" applyAlignment="1">
      <alignment horizontal="center"/>
    </xf>
    <xf numFmtId="0" fontId="3" fillId="4" borderId="36" xfId="1" applyFont="1" applyFill="1" applyBorder="1" applyAlignment="1">
      <alignment horizontal="center"/>
    </xf>
    <xf numFmtId="0" fontId="8" fillId="4" borderId="10" xfId="1" applyFont="1" applyFill="1" applyBorder="1" applyAlignment="1">
      <alignment horizontal="center"/>
    </xf>
    <xf numFmtId="0" fontId="8" fillId="4" borderId="5" xfId="1" applyFont="1" applyFill="1" applyBorder="1" applyAlignment="1">
      <alignment horizontal="center"/>
    </xf>
    <xf numFmtId="0" fontId="7" fillId="3" borderId="23" xfId="0" applyFont="1" applyFill="1" applyBorder="1" applyAlignment="1">
      <alignment horizontal="center"/>
    </xf>
    <xf numFmtId="0" fontId="7" fillId="3" borderId="22" xfId="0" applyFont="1" applyFill="1" applyBorder="1" applyAlignment="1">
      <alignment horizontal="center"/>
    </xf>
    <xf numFmtId="0" fontId="7" fillId="3" borderId="21" xfId="0" applyFont="1" applyFill="1" applyBorder="1" applyAlignment="1">
      <alignment horizontal="center"/>
    </xf>
    <xf numFmtId="0" fontId="2" fillId="4" borderId="6" xfId="1" applyFont="1" applyFill="1" applyBorder="1" applyAlignment="1">
      <alignment horizontal="right" vertical="top" wrapText="1"/>
    </xf>
    <xf numFmtId="0" fontId="2" fillId="4" borderId="41" xfId="1" applyFont="1" applyFill="1" applyBorder="1" applyAlignment="1">
      <alignment horizontal="right" vertical="top" wrapText="1"/>
    </xf>
    <xf numFmtId="0" fontId="2" fillId="4" borderId="45" xfId="1" applyFont="1" applyFill="1" applyBorder="1" applyAlignment="1">
      <alignment horizontal="right" vertical="top" wrapText="1"/>
    </xf>
    <xf numFmtId="0" fontId="11" fillId="4" borderId="0" xfId="2" applyFont="1" applyFill="1" applyAlignment="1">
      <alignment horizontal="right"/>
    </xf>
    <xf numFmtId="0" fontId="6" fillId="4" borderId="33" xfId="2" applyFont="1" applyFill="1" applyBorder="1" applyAlignment="1">
      <alignment horizontal="center"/>
    </xf>
    <xf numFmtId="0" fontId="11" fillId="4" borderId="0" xfId="2" applyFont="1" applyFill="1"/>
    <xf numFmtId="0" fontId="2" fillId="5" borderId="12" xfId="3" applyFont="1" applyFill="1" applyBorder="1" applyAlignment="1">
      <alignment horizontal="center" vertical="center"/>
    </xf>
    <xf numFmtId="0" fontId="2" fillId="5" borderId="46" xfId="3" applyFont="1" applyFill="1" applyBorder="1" applyAlignment="1">
      <alignment horizontal="center" vertical="center"/>
    </xf>
    <xf numFmtId="0" fontId="2" fillId="5" borderId="12" xfId="3" applyFont="1" applyFill="1" applyBorder="1" applyAlignment="1">
      <alignment horizontal="center" vertical="center" wrapText="1"/>
    </xf>
    <xf numFmtId="0" fontId="2" fillId="5" borderId="46" xfId="3" applyFont="1" applyFill="1" applyBorder="1" applyAlignment="1">
      <alignment horizontal="center" vertical="center" wrapText="1"/>
    </xf>
    <xf numFmtId="0" fontId="2" fillId="5" borderId="10" xfId="3" applyFont="1" applyFill="1" applyBorder="1" applyAlignment="1">
      <alignment horizontal="center" vertical="center"/>
    </xf>
    <xf numFmtId="0" fontId="2" fillId="5" borderId="26" xfId="3" applyFont="1" applyFill="1" applyBorder="1" applyAlignment="1">
      <alignment horizontal="center" vertical="center"/>
    </xf>
    <xf numFmtId="0" fontId="2" fillId="0" borderId="38" xfId="3" applyFont="1" applyBorder="1" applyAlignment="1">
      <alignment horizontal="right"/>
    </xf>
    <xf numFmtId="0" fontId="2" fillId="0" borderId="36" xfId="3" applyFont="1" applyBorder="1" applyAlignment="1">
      <alignment horizontal="right"/>
    </xf>
    <xf numFmtId="0" fontId="2" fillId="0" borderId="35" xfId="3" applyFont="1" applyBorder="1" applyAlignment="1">
      <alignment horizontal="right"/>
    </xf>
    <xf numFmtId="166" fontId="3" fillId="0" borderId="32" xfId="3" applyNumberFormat="1" applyFont="1" applyBorder="1" applyAlignment="1">
      <alignment horizontal="right"/>
    </xf>
    <xf numFmtId="0" fontId="3" fillId="4" borderId="31" xfId="3" applyFont="1" applyFill="1" applyBorder="1" applyAlignment="1">
      <alignment horizontal="center"/>
    </xf>
    <xf numFmtId="0" fontId="3" fillId="4" borderId="47" xfId="3" applyFont="1" applyFill="1" applyBorder="1" applyAlignment="1">
      <alignment horizontal="center"/>
    </xf>
    <xf numFmtId="0" fontId="2" fillId="0" borderId="17" xfId="3" applyFont="1" applyBorder="1" applyAlignment="1">
      <alignment horizontal="right"/>
    </xf>
    <xf numFmtId="0" fontId="2" fillId="0" borderId="16" xfId="3" applyFont="1" applyBorder="1" applyAlignment="1">
      <alignment horizontal="right"/>
    </xf>
    <xf numFmtId="0" fontId="2" fillId="0" borderId="8" xfId="3" applyFont="1" applyBorder="1" applyAlignment="1">
      <alignment horizontal="right"/>
    </xf>
    <xf numFmtId="0" fontId="3" fillId="0" borderId="2" xfId="3" applyFont="1" applyBorder="1" applyAlignment="1">
      <alignment horizontal="right"/>
    </xf>
    <xf numFmtId="166" fontId="3" fillId="0" borderId="29" xfId="3" applyNumberFormat="1" applyFont="1" applyBorder="1" applyAlignment="1">
      <alignment horizontal="center"/>
    </xf>
    <xf numFmtId="166" fontId="3" fillId="0" borderId="15" xfId="3" applyNumberFormat="1" applyFont="1" applyBorder="1" applyAlignment="1">
      <alignment horizontal="center"/>
    </xf>
    <xf numFmtId="0" fontId="3" fillId="0" borderId="17" xfId="0" applyFont="1" applyBorder="1" applyAlignment="1">
      <alignment horizontal="left"/>
    </xf>
    <xf numFmtId="0" fontId="3" fillId="0" borderId="16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166" fontId="3" fillId="0" borderId="29" xfId="3" applyNumberFormat="1" applyFont="1" applyBorder="1" applyAlignment="1">
      <alignment horizontal="right" wrapText="1"/>
    </xf>
    <xf numFmtId="166" fontId="3" fillId="0" borderId="8" xfId="3" applyNumberFormat="1" applyFont="1" applyBorder="1" applyAlignment="1">
      <alignment horizontal="right" wrapText="1"/>
    </xf>
    <xf numFmtId="0" fontId="2" fillId="0" borderId="46" xfId="3" applyFont="1" applyBorder="1" applyAlignment="1">
      <alignment horizontal="right"/>
    </xf>
    <xf numFmtId="0" fontId="2" fillId="0" borderId="24" xfId="3" applyFont="1" applyBorder="1" applyAlignment="1">
      <alignment horizontal="right"/>
    </xf>
    <xf numFmtId="0" fontId="2" fillId="0" borderId="26" xfId="3" applyFont="1" applyBorder="1" applyAlignment="1">
      <alignment horizontal="right"/>
    </xf>
    <xf numFmtId="0" fontId="3" fillId="0" borderId="26" xfId="3" applyFont="1" applyBorder="1" applyAlignment="1">
      <alignment horizontal="right"/>
    </xf>
    <xf numFmtId="166" fontId="3" fillId="0" borderId="25" xfId="3" applyNumberFormat="1" applyFont="1" applyBorder="1" applyAlignment="1">
      <alignment horizontal="center"/>
    </xf>
    <xf numFmtId="166" fontId="3" fillId="0" borderId="44" xfId="3" applyNumberFormat="1" applyFont="1" applyBorder="1" applyAlignment="1">
      <alignment horizontal="center"/>
    </xf>
    <xf numFmtId="0" fontId="2" fillId="5" borderId="23" xfId="3" applyFont="1" applyFill="1" applyBorder="1" applyAlignment="1">
      <alignment horizontal="left"/>
    </xf>
    <xf numFmtId="0" fontId="2" fillId="5" borderId="22" xfId="3" applyFont="1" applyFill="1" applyBorder="1" applyAlignment="1">
      <alignment horizontal="left"/>
    </xf>
    <xf numFmtId="0" fontId="2" fillId="5" borderId="21" xfId="3" applyFont="1" applyFill="1" applyBorder="1" applyAlignment="1">
      <alignment horizontal="left"/>
    </xf>
    <xf numFmtId="0" fontId="3" fillId="0" borderId="20" xfId="0" applyFont="1" applyBorder="1" applyAlignment="1">
      <alignment horizontal="left" wrapText="1"/>
    </xf>
    <xf numFmtId="0" fontId="3" fillId="0" borderId="19" xfId="0" applyFont="1" applyBorder="1" applyAlignment="1">
      <alignment horizontal="left" wrapText="1"/>
    </xf>
    <xf numFmtId="0" fontId="3" fillId="0" borderId="18" xfId="0" applyFont="1" applyBorder="1" applyAlignment="1">
      <alignment horizontal="left" wrapText="1"/>
    </xf>
    <xf numFmtId="0" fontId="3" fillId="4" borderId="49" xfId="1" applyFont="1" applyFill="1" applyBorder="1" applyAlignment="1">
      <alignment horizontal="left"/>
    </xf>
    <xf numFmtId="0" fontId="3" fillId="4" borderId="0" xfId="1" applyFont="1" applyFill="1" applyAlignment="1">
      <alignment horizontal="left"/>
    </xf>
    <xf numFmtId="0" fontId="3" fillId="0" borderId="17" xfId="0" applyFont="1" applyBorder="1" applyAlignment="1">
      <alignment horizontal="left" wrapText="1"/>
    </xf>
    <xf numFmtId="0" fontId="3" fillId="0" borderId="16" xfId="0" applyFont="1" applyBorder="1" applyAlignment="1">
      <alignment horizontal="left" wrapText="1"/>
    </xf>
    <xf numFmtId="0" fontId="3" fillId="0" borderId="15" xfId="0" applyFont="1" applyBorder="1" applyAlignment="1">
      <alignment horizontal="left" wrapText="1"/>
    </xf>
    <xf numFmtId="0" fontId="3" fillId="0" borderId="42" xfId="0" applyFont="1" applyBorder="1" applyAlignment="1">
      <alignment horizontal="left"/>
    </xf>
    <xf numFmtId="0" fontId="3" fillId="0" borderId="35" xfId="0" applyFont="1" applyBorder="1" applyAlignment="1">
      <alignment horizontal="left"/>
    </xf>
    <xf numFmtId="0" fontId="3" fillId="0" borderId="32" xfId="0" applyFont="1" applyBorder="1" applyAlignment="1">
      <alignment horizontal="left"/>
    </xf>
    <xf numFmtId="0" fontId="3" fillId="0" borderId="34" xfId="0" applyFont="1" applyBorder="1" applyAlignment="1">
      <alignment horizontal="left"/>
    </xf>
    <xf numFmtId="0" fontId="3" fillId="0" borderId="28" xfId="3" applyFont="1" applyBorder="1" applyAlignment="1">
      <alignment horizontal="left"/>
    </xf>
    <xf numFmtId="0" fontId="3" fillId="0" borderId="27" xfId="3" applyFont="1" applyBorder="1" applyAlignment="1">
      <alignment horizontal="left"/>
    </xf>
    <xf numFmtId="0" fontId="3" fillId="0" borderId="44" xfId="3" applyFont="1" applyBorder="1" applyAlignment="1">
      <alignment horizontal="left"/>
    </xf>
    <xf numFmtId="0" fontId="2" fillId="7" borderId="48" xfId="1" applyFont="1" applyFill="1" applyBorder="1" applyAlignment="1">
      <alignment horizontal="center"/>
    </xf>
    <xf numFmtId="0" fontId="2" fillId="7" borderId="13" xfId="1" applyFont="1" applyFill="1" applyBorder="1" applyAlignment="1">
      <alignment horizontal="center"/>
    </xf>
    <xf numFmtId="0" fontId="60" fillId="0" borderId="17" xfId="0" applyFont="1" applyBorder="1" applyAlignment="1">
      <alignment horizontal="left"/>
    </xf>
    <xf numFmtId="0" fontId="60" fillId="0" borderId="16" xfId="0" applyFont="1" applyBorder="1" applyAlignment="1">
      <alignment horizontal="left"/>
    </xf>
    <xf numFmtId="0" fontId="60" fillId="0" borderId="15" xfId="0" applyFont="1" applyBorder="1" applyAlignment="1">
      <alignment horizontal="left"/>
    </xf>
    <xf numFmtId="0" fontId="60" fillId="0" borderId="28" xfId="3" applyFont="1" applyBorder="1" applyAlignment="1">
      <alignment horizontal="left"/>
    </xf>
    <xf numFmtId="0" fontId="60" fillId="0" borderId="27" xfId="3" applyFont="1" applyBorder="1" applyAlignment="1">
      <alignment horizontal="left"/>
    </xf>
    <xf numFmtId="0" fontId="60" fillId="0" borderId="44" xfId="3" applyFont="1" applyBorder="1" applyAlignment="1">
      <alignment horizontal="left"/>
    </xf>
    <xf numFmtId="0" fontId="58" fillId="7" borderId="48" xfId="1" applyFont="1" applyFill="1" applyBorder="1" applyAlignment="1">
      <alignment horizontal="center"/>
    </xf>
    <xf numFmtId="0" fontId="58" fillId="7" borderId="13" xfId="1" applyFont="1" applyFill="1" applyBorder="1" applyAlignment="1">
      <alignment horizontal="center"/>
    </xf>
    <xf numFmtId="0" fontId="60" fillId="4" borderId="2" xfId="1" applyFont="1" applyFill="1" applyBorder="1" applyAlignment="1">
      <alignment horizontal="left"/>
    </xf>
    <xf numFmtId="0" fontId="60" fillId="0" borderId="17" xfId="0" applyFont="1" applyBorder="1" applyAlignment="1">
      <alignment horizontal="left" wrapText="1"/>
    </xf>
    <xf numFmtId="0" fontId="60" fillId="0" borderId="16" xfId="0" applyFont="1" applyBorder="1" applyAlignment="1">
      <alignment horizontal="left" wrapText="1"/>
    </xf>
    <xf numFmtId="0" fontId="60" fillId="0" borderId="15" xfId="0" applyFont="1" applyBorder="1" applyAlignment="1">
      <alignment horizontal="left" wrapText="1"/>
    </xf>
    <xf numFmtId="0" fontId="58" fillId="0" borderId="46" xfId="3" applyFont="1" applyBorder="1" applyAlignment="1">
      <alignment horizontal="right"/>
    </xf>
    <xf numFmtId="0" fontId="58" fillId="0" borderId="24" xfId="3" applyFont="1" applyBorder="1" applyAlignment="1">
      <alignment horizontal="right"/>
    </xf>
    <xf numFmtId="0" fontId="58" fillId="0" borderId="26" xfId="3" applyFont="1" applyBorder="1" applyAlignment="1">
      <alignment horizontal="right"/>
    </xf>
    <xf numFmtId="0" fontId="60" fillId="0" borderId="26" xfId="3" applyFont="1" applyBorder="1" applyAlignment="1">
      <alignment horizontal="right"/>
    </xf>
    <xf numFmtId="166" fontId="60" fillId="0" borderId="25" xfId="3" applyNumberFormat="1" applyFont="1" applyBorder="1" applyAlignment="1">
      <alignment horizontal="center"/>
    </xf>
    <xf numFmtId="166" fontId="60" fillId="0" borderId="44" xfId="3" applyNumberFormat="1" applyFont="1" applyBorder="1" applyAlignment="1">
      <alignment horizontal="center"/>
    </xf>
    <xf numFmtId="0" fontId="58" fillId="5" borderId="23" xfId="3" applyFont="1" applyFill="1" applyBorder="1" applyAlignment="1">
      <alignment horizontal="center"/>
    </xf>
    <xf numFmtId="0" fontId="58" fillId="5" borderId="22" xfId="3" applyFont="1" applyFill="1" applyBorder="1" applyAlignment="1">
      <alignment horizontal="center"/>
    </xf>
    <xf numFmtId="0" fontId="58" fillId="5" borderId="21" xfId="3" applyFont="1" applyFill="1" applyBorder="1" applyAlignment="1">
      <alignment horizontal="center"/>
    </xf>
    <xf numFmtId="0" fontId="60" fillId="0" borderId="20" xfId="0" applyFont="1" applyBorder="1" applyAlignment="1">
      <alignment horizontal="left" wrapText="1"/>
    </xf>
    <xf numFmtId="0" fontId="60" fillId="0" borderId="19" xfId="0" applyFont="1" applyBorder="1" applyAlignment="1">
      <alignment horizontal="left" wrapText="1"/>
    </xf>
    <xf numFmtId="0" fontId="60" fillId="0" borderId="18" xfId="0" applyFont="1" applyBorder="1" applyAlignment="1">
      <alignment horizontal="left" wrapText="1"/>
    </xf>
    <xf numFmtId="0" fontId="58" fillId="0" borderId="17" xfId="3" applyFont="1" applyBorder="1" applyAlignment="1">
      <alignment horizontal="right"/>
    </xf>
    <xf numFmtId="0" fontId="58" fillId="0" borderId="16" xfId="3" applyFont="1" applyBorder="1" applyAlignment="1">
      <alignment horizontal="right"/>
    </xf>
    <xf numFmtId="0" fontId="58" fillId="0" borderId="8" xfId="3" applyFont="1" applyBorder="1" applyAlignment="1">
      <alignment horizontal="right"/>
    </xf>
    <xf numFmtId="0" fontId="60" fillId="0" borderId="2" xfId="3" applyFont="1" applyBorder="1" applyAlignment="1">
      <alignment horizontal="right"/>
    </xf>
    <xf numFmtId="166" fontId="60" fillId="0" borderId="29" xfId="3" applyNumberFormat="1" applyFont="1" applyBorder="1" applyAlignment="1">
      <alignment horizontal="center"/>
    </xf>
    <xf numFmtId="166" fontId="60" fillId="0" borderId="15" xfId="3" applyNumberFormat="1" applyFont="1" applyBorder="1" applyAlignment="1">
      <alignment horizontal="center"/>
    </xf>
    <xf numFmtId="166" fontId="60" fillId="0" borderId="29" xfId="3" applyNumberFormat="1" applyFont="1" applyBorder="1" applyAlignment="1">
      <alignment horizontal="right" wrapText="1"/>
    </xf>
    <xf numFmtId="166" fontId="60" fillId="0" borderId="8" xfId="3" applyNumberFormat="1" applyFont="1" applyBorder="1" applyAlignment="1">
      <alignment horizontal="right" wrapText="1"/>
    </xf>
    <xf numFmtId="0" fontId="58" fillId="0" borderId="38" xfId="3" applyFont="1" applyBorder="1" applyAlignment="1">
      <alignment horizontal="right"/>
    </xf>
    <xf numFmtId="0" fontId="58" fillId="0" borderId="36" xfId="3" applyFont="1" applyBorder="1" applyAlignment="1">
      <alignment horizontal="right"/>
    </xf>
    <xf numFmtId="0" fontId="58" fillId="0" borderId="35" xfId="3" applyFont="1" applyBorder="1" applyAlignment="1">
      <alignment horizontal="right"/>
    </xf>
    <xf numFmtId="166" fontId="60" fillId="0" borderId="32" xfId="3" applyNumberFormat="1" applyFont="1" applyBorder="1" applyAlignment="1">
      <alignment horizontal="right"/>
    </xf>
    <xf numFmtId="0" fontId="60" fillId="4" borderId="31" xfId="3" applyFont="1" applyFill="1" applyBorder="1" applyAlignment="1">
      <alignment horizontal="center"/>
    </xf>
    <xf numFmtId="0" fontId="60" fillId="4" borderId="47" xfId="3" applyFont="1" applyFill="1" applyBorder="1" applyAlignment="1">
      <alignment horizontal="center"/>
    </xf>
    <xf numFmtId="0" fontId="57" fillId="4" borderId="33" xfId="2" applyFont="1" applyFill="1" applyBorder="1" applyAlignment="1">
      <alignment horizontal="center"/>
    </xf>
    <xf numFmtId="0" fontId="56" fillId="3" borderId="23" xfId="0" applyFont="1" applyFill="1" applyBorder="1" applyAlignment="1">
      <alignment horizontal="center"/>
    </xf>
    <xf numFmtId="0" fontId="56" fillId="3" borderId="22" xfId="0" applyFont="1" applyFill="1" applyBorder="1" applyAlignment="1">
      <alignment horizontal="center"/>
    </xf>
    <xf numFmtId="0" fontId="56" fillId="3" borderId="21" xfId="0" applyFont="1" applyFill="1" applyBorder="1" applyAlignment="1">
      <alignment horizontal="center"/>
    </xf>
    <xf numFmtId="0" fontId="35" fillId="0" borderId="0" xfId="0" applyFont="1" applyAlignment="1">
      <alignment horizontal="center" vertical="center"/>
    </xf>
    <xf numFmtId="0" fontId="52" fillId="0" borderId="23" xfId="0" applyFont="1" applyBorder="1" applyAlignment="1">
      <alignment horizontal="right" vertical="center"/>
    </xf>
    <xf numFmtId="0" fontId="52" fillId="0" borderId="22" xfId="0" applyFont="1" applyBorder="1" applyAlignment="1">
      <alignment horizontal="right" vertical="center"/>
    </xf>
    <xf numFmtId="0" fontId="52" fillId="0" borderId="21" xfId="0" applyFont="1" applyBorder="1" applyAlignment="1">
      <alignment horizontal="right" vertical="center"/>
    </xf>
    <xf numFmtId="0" fontId="53" fillId="0" borderId="0" xfId="0" applyFont="1" applyAlignment="1">
      <alignment horizontal="right"/>
    </xf>
    <xf numFmtId="0" fontId="43" fillId="0" borderId="33" xfId="0" applyFont="1" applyBorder="1" applyAlignment="1">
      <alignment horizontal="right"/>
    </xf>
    <xf numFmtId="0" fontId="35" fillId="0" borderId="0" xfId="0" applyFont="1" applyAlignment="1">
      <alignment horizontal="right" vertical="center"/>
    </xf>
    <xf numFmtId="0" fontId="41" fillId="9" borderId="23" xfId="0" applyFont="1" applyFill="1" applyBorder="1" applyAlignment="1">
      <alignment horizontal="right"/>
    </xf>
    <xf numFmtId="0" fontId="41" fillId="9" borderId="22" xfId="0" applyFont="1" applyFill="1" applyBorder="1" applyAlignment="1">
      <alignment horizontal="right"/>
    </xf>
    <xf numFmtId="0" fontId="18" fillId="0" borderId="0" xfId="0" applyFont="1" applyAlignment="1">
      <alignment horizontal="right" vertical="center"/>
    </xf>
    <xf numFmtId="0" fontId="27" fillId="0" borderId="33" xfId="0" applyFont="1" applyBorder="1" applyAlignment="1">
      <alignment horizontal="right" vertical="center"/>
    </xf>
    <xf numFmtId="0" fontId="27" fillId="0" borderId="57" xfId="0" applyFont="1" applyBorder="1" applyAlignment="1">
      <alignment horizontal="right" vertical="center"/>
    </xf>
    <xf numFmtId="0" fontId="27" fillId="12" borderId="23" xfId="0" applyFont="1" applyFill="1" applyBorder="1" applyAlignment="1">
      <alignment horizontal="right" vertical="center"/>
    </xf>
    <xf numFmtId="0" fontId="27" fillId="12" borderId="22" xfId="0" applyFont="1" applyFill="1" applyBorder="1" applyAlignment="1">
      <alignment horizontal="right" vertical="center"/>
    </xf>
    <xf numFmtId="0" fontId="27" fillId="12" borderId="21" xfId="0" applyFont="1" applyFill="1" applyBorder="1" applyAlignment="1">
      <alignment horizontal="right" vertical="center"/>
    </xf>
    <xf numFmtId="4" fontId="50" fillId="0" borderId="0" xfId="7" applyNumberFormat="1" applyFont="1" applyFill="1" applyAlignment="1">
      <alignment horizontal="center" vertical="center" wrapText="1"/>
    </xf>
    <xf numFmtId="0" fontId="44" fillId="0" borderId="2" xfId="0" applyFont="1" applyBorder="1" applyAlignment="1">
      <alignment horizontal="right" vertical="center"/>
    </xf>
    <xf numFmtId="0" fontId="45" fillId="0" borderId="37" xfId="0" applyFont="1" applyBorder="1" applyAlignment="1">
      <alignment horizontal="right"/>
    </xf>
    <xf numFmtId="0" fontId="45" fillId="0" borderId="0" xfId="0" applyFont="1" applyAlignment="1">
      <alignment horizontal="right"/>
    </xf>
    <xf numFmtId="0" fontId="45" fillId="0" borderId="43" xfId="0" applyFont="1" applyBorder="1" applyAlignment="1">
      <alignment horizontal="right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right" vertical="center"/>
    </xf>
    <xf numFmtId="0" fontId="36" fillId="0" borderId="14" xfId="0" applyFont="1" applyBorder="1" applyAlignment="1">
      <alignment horizontal="right"/>
    </xf>
    <xf numFmtId="0" fontId="36" fillId="0" borderId="13" xfId="0" applyFont="1" applyBorder="1" applyAlignment="1">
      <alignment horizontal="right"/>
    </xf>
    <xf numFmtId="0" fontId="18" fillId="0" borderId="2" xfId="0" applyFont="1" applyBorder="1" applyAlignment="1">
      <alignment horizontal="right" vertical="center"/>
    </xf>
    <xf numFmtId="0" fontId="36" fillId="0" borderId="0" xfId="0" applyFont="1" applyAlignment="1">
      <alignment horizontal="right"/>
    </xf>
    <xf numFmtId="0" fontId="30" fillId="0" borderId="33" xfId="0" applyFont="1" applyBorder="1" applyAlignment="1">
      <alignment horizontal="center" vertical="center"/>
    </xf>
    <xf numFmtId="0" fontId="31" fillId="0" borderId="23" xfId="0" applyFont="1" applyBorder="1" applyAlignment="1">
      <alignment horizontal="center" vertical="center" wrapText="1"/>
    </xf>
    <xf numFmtId="0" fontId="31" fillId="0" borderId="22" xfId="0" applyFont="1" applyBorder="1" applyAlignment="1">
      <alignment horizontal="center" vertical="center" wrapText="1"/>
    </xf>
    <xf numFmtId="0" fontId="31" fillId="0" borderId="21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right" vertical="center" wrapText="1"/>
    </xf>
  </cellXfs>
  <cellStyles count="9">
    <cellStyle name="Millares" xfId="6" builtinId="3"/>
    <cellStyle name="Millares [0]" xfId="7" builtinId="6"/>
    <cellStyle name="Normal" xfId="0" builtinId="0"/>
    <cellStyle name="Normal 2" xfId="3" xr:uid="{961F391F-7741-44AC-A161-33112BA653E9}"/>
    <cellStyle name="Normal 3 2" xfId="5" xr:uid="{6CF66B61-3EF4-42DB-A87E-778A6A2C6241}"/>
    <cellStyle name="Normal 5" xfId="4" xr:uid="{F351D062-5C68-496E-92E5-9849058CA5CF}"/>
    <cellStyle name="Normal_CRITERIOS DE EVALUACION PT DE GB" xfId="1" xr:uid="{D620D523-81C8-4588-A011-1A269F92A8EE}"/>
    <cellStyle name="Normal_CRITERIOS DE EVALUACION PT DE GB 2" xfId="2" xr:uid="{809E9DC5-CDF7-43B6-A658-80496C36EE10}"/>
    <cellStyle name="Porcentaje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145676</xdr:colOff>
      <xdr:row>0</xdr:row>
      <xdr:rowOff>156882</xdr:rowOff>
    </xdr:from>
    <xdr:to>
      <xdr:col>1</xdr:col>
      <xdr:colOff>668430</xdr:colOff>
      <xdr:row>4</xdr:row>
      <xdr:rowOff>102533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F62959ED-4BC2-4629-B2BE-AB48AC93B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676" y="156882"/>
          <a:ext cx="1423035" cy="7581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47624</xdr:colOff>
      <xdr:row>0</xdr:row>
      <xdr:rowOff>119063</xdr:rowOff>
    </xdr:from>
    <xdr:to>
      <xdr:col>1</xdr:col>
      <xdr:colOff>1009543</xdr:colOff>
      <xdr:row>4</xdr:row>
      <xdr:rowOff>83343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436C1CB9-C8F9-4650-9F3A-439B9C435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4" y="119063"/>
          <a:ext cx="2081107" cy="904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2">
          <cell r="A2"/>
          <cell r="B2"/>
          <cell r="C2" t="str">
            <v>ESPECIFICACION DE RECETA</v>
          </cell>
          <cell r="D2"/>
          <cell r="E2"/>
          <cell r="F2"/>
          <cell r="G2"/>
        </row>
        <row r="3">
          <cell r="A3"/>
          <cell r="B3"/>
          <cell r="C3" t="str">
            <v>907000285(SE00434) Batido Easy queque vainilla SP</v>
          </cell>
          <cell r="D3"/>
          <cell r="E3"/>
          <cell r="F3"/>
          <cell r="G3"/>
        </row>
        <row r="4">
          <cell r="A4"/>
          <cell r="B4"/>
          <cell r="C4" t="str">
            <v>Elaborado</v>
          </cell>
          <cell r="D4" t="str">
            <v>Javier Tong, Chef</v>
          </cell>
          <cell r="E4"/>
          <cell r="F4"/>
          <cell r="G4"/>
        </row>
        <row r="5">
          <cell r="A5"/>
          <cell r="B5"/>
          <cell r="C5" t="str">
            <v>Aprobado</v>
          </cell>
          <cell r="D5" t="str">
            <v>Esteban Cartin, Gte Manufactura</v>
          </cell>
          <cell r="E5"/>
          <cell r="F5"/>
          <cell r="G5"/>
        </row>
        <row r="6">
          <cell r="A6" t="str">
            <v>AREA QUE PRODUCE:</v>
          </cell>
          <cell r="B6"/>
          <cell r="C6"/>
          <cell r="D6" t="str">
            <v>Batidos</v>
          </cell>
          <cell r="E6"/>
          <cell r="F6"/>
          <cell r="G6" t="str">
            <v xml:space="preserve">AREA QUE EMPACA: </v>
          </cell>
        </row>
        <row r="7">
          <cell r="A7" t="str">
            <v xml:space="preserve"># Código </v>
          </cell>
          <cell r="B7" t="str">
            <v># Código Netsuite</v>
          </cell>
          <cell r="C7" t="str">
            <v>Descripción del ingrediente</v>
          </cell>
          <cell r="D7" t="str">
            <v xml:space="preserve">Marca </v>
          </cell>
          <cell r="E7" t="str">
            <v>Unidad Internacional</v>
          </cell>
          <cell r="F7"/>
          <cell r="G7" t="str">
            <v>Medida alternativa</v>
          </cell>
        </row>
        <row r="8">
          <cell r="A8"/>
          <cell r="B8"/>
          <cell r="C8"/>
          <cell r="D8"/>
          <cell r="E8" t="str">
            <v>Cantidad</v>
          </cell>
          <cell r="F8" t="str">
            <v xml:space="preserve">Unidad medida </v>
          </cell>
          <cell r="G8" t="str">
            <v>Cantidad</v>
          </cell>
        </row>
        <row r="9">
          <cell r="A9"/>
          <cell r="B9"/>
          <cell r="C9" t="str">
            <v>Ensamble</v>
          </cell>
          <cell r="D9"/>
          <cell r="E9"/>
          <cell r="F9"/>
          <cell r="G9"/>
        </row>
        <row r="10">
          <cell r="A10">
            <v>906000135</v>
          </cell>
          <cell r="B10" t="str">
            <v>SE00435</v>
          </cell>
          <cell r="C10" t="str">
            <v>PREMEZCLA EASY QUEQUE VAINILLA SP</v>
          </cell>
          <cell r="D10" t="str">
            <v>FAS</v>
          </cell>
          <cell r="E10">
            <v>25050</v>
          </cell>
          <cell r="F10" t="str">
            <v>g</v>
          </cell>
          <cell r="G10"/>
        </row>
        <row r="11">
          <cell r="A11" t="str">
            <v>1210482</v>
          </cell>
          <cell r="B11" t="str">
            <v>MP10005</v>
          </cell>
          <cell r="C11" t="str">
            <v>HUEVO LIQUIDO ESPECIAL INNOV (CAJA:10 K)</v>
          </cell>
          <cell r="D11" t="str">
            <v>INNOVO</v>
          </cell>
          <cell r="E11">
            <v>8900</v>
          </cell>
          <cell r="F11" t="str">
            <v>g</v>
          </cell>
          <cell r="G11"/>
        </row>
        <row r="12">
          <cell r="A12" t="str">
            <v>10415</v>
          </cell>
          <cell r="B12"/>
          <cell r="C12" t="str">
            <v>AGUA POTABLE (PLANTA)</v>
          </cell>
          <cell r="D12" t="str">
            <v>FAS</v>
          </cell>
          <cell r="E12">
            <v>5900</v>
          </cell>
          <cell r="F12" t="str">
            <v>g</v>
          </cell>
          <cell r="G12"/>
        </row>
        <row r="13">
          <cell r="A13">
            <v>10100050</v>
          </cell>
          <cell r="B13" t="str">
            <v>MP10002</v>
          </cell>
          <cell r="C13" t="str">
            <v>ACEITE CAPULLO RBD (UND:17 L)</v>
          </cell>
          <cell r="D13" t="str">
            <v>CAPULLO</v>
          </cell>
          <cell r="E13">
            <v>8200</v>
          </cell>
          <cell r="F13" t="str">
            <v>g</v>
          </cell>
          <cell r="G13"/>
        </row>
        <row r="14">
          <cell r="A14"/>
          <cell r="B14"/>
          <cell r="C14"/>
          <cell r="D14"/>
          <cell r="E14"/>
          <cell r="F14"/>
          <cell r="G14"/>
        </row>
        <row r="15">
          <cell r="A15"/>
          <cell r="B15"/>
          <cell r="C15"/>
          <cell r="D15"/>
          <cell r="E15"/>
          <cell r="F15"/>
          <cell r="G15"/>
        </row>
        <row r="16">
          <cell r="A16"/>
          <cell r="B16"/>
          <cell r="C16"/>
          <cell r="D16"/>
          <cell r="E16"/>
          <cell r="F16"/>
          <cell r="G16"/>
        </row>
        <row r="17">
          <cell r="A17"/>
          <cell r="B17"/>
          <cell r="C17"/>
          <cell r="D17"/>
          <cell r="E17"/>
          <cell r="F17"/>
          <cell r="G17"/>
        </row>
        <row r="18">
          <cell r="A18"/>
          <cell r="B18"/>
          <cell r="C18"/>
          <cell r="D18"/>
          <cell r="E18"/>
          <cell r="F18"/>
          <cell r="G18"/>
        </row>
        <row r="19">
          <cell r="A19"/>
          <cell r="B19"/>
          <cell r="C19"/>
          <cell r="D19"/>
          <cell r="E19"/>
          <cell r="F19"/>
          <cell r="G19"/>
        </row>
        <row r="20">
          <cell r="A20"/>
          <cell r="B20"/>
          <cell r="C20"/>
          <cell r="D20"/>
          <cell r="E20"/>
          <cell r="F20"/>
          <cell r="G20"/>
        </row>
        <row r="21">
          <cell r="A21"/>
          <cell r="B21"/>
          <cell r="C21" t="str">
            <v>Decoración</v>
          </cell>
          <cell r="D21"/>
          <cell r="E21"/>
          <cell r="F21"/>
          <cell r="G21"/>
        </row>
        <row r="22">
          <cell r="A22"/>
          <cell r="B22"/>
          <cell r="C22"/>
          <cell r="D22"/>
          <cell r="E22"/>
          <cell r="F22"/>
          <cell r="G22"/>
        </row>
        <row r="23">
          <cell r="A23"/>
          <cell r="B23"/>
          <cell r="C23"/>
          <cell r="D23"/>
          <cell r="E23"/>
          <cell r="F23"/>
          <cell r="G23"/>
        </row>
        <row r="24">
          <cell r="A24"/>
          <cell r="B24"/>
          <cell r="C24"/>
          <cell r="D24"/>
          <cell r="E24"/>
          <cell r="F24"/>
          <cell r="G24"/>
        </row>
        <row r="25">
          <cell r="A25"/>
          <cell r="B25"/>
          <cell r="C25"/>
          <cell r="D25"/>
          <cell r="E25"/>
          <cell r="F25"/>
          <cell r="G25"/>
        </row>
        <row r="26">
          <cell r="A26"/>
          <cell r="B26"/>
          <cell r="C26"/>
          <cell r="D26"/>
          <cell r="E26"/>
          <cell r="F26"/>
          <cell r="G26"/>
        </row>
        <row r="27">
          <cell r="A27"/>
          <cell r="B27"/>
          <cell r="C27"/>
          <cell r="D27"/>
          <cell r="E27"/>
          <cell r="F27"/>
          <cell r="G27"/>
        </row>
        <row r="28">
          <cell r="A28"/>
          <cell r="B28"/>
          <cell r="C28" t="str">
            <v>Empaque</v>
          </cell>
          <cell r="D28"/>
          <cell r="E28"/>
          <cell r="F28"/>
          <cell r="G28"/>
        </row>
        <row r="29">
          <cell r="A29"/>
          <cell r="B29"/>
          <cell r="C29"/>
          <cell r="D29"/>
          <cell r="E29"/>
          <cell r="F29"/>
          <cell r="G29"/>
        </row>
        <row r="30">
          <cell r="A30"/>
          <cell r="B30"/>
          <cell r="C30"/>
          <cell r="D30"/>
          <cell r="E30"/>
          <cell r="F30"/>
          <cell r="G30"/>
        </row>
        <row r="31">
          <cell r="A31"/>
          <cell r="B31"/>
          <cell r="C31"/>
          <cell r="D31"/>
          <cell r="E31"/>
          <cell r="F31"/>
          <cell r="G31"/>
        </row>
        <row r="32">
          <cell r="A32"/>
          <cell r="B32"/>
          <cell r="C32"/>
          <cell r="D32"/>
          <cell r="E32"/>
          <cell r="F32"/>
          <cell r="G32"/>
        </row>
        <row r="33">
          <cell r="A33"/>
          <cell r="B33"/>
          <cell r="C33"/>
          <cell r="D33"/>
          <cell r="E33"/>
          <cell r="F33"/>
          <cell r="G33"/>
        </row>
        <row r="34">
          <cell r="A34"/>
          <cell r="B34"/>
          <cell r="C34"/>
          <cell r="D34"/>
          <cell r="E34"/>
          <cell r="F34"/>
          <cell r="G34"/>
        </row>
        <row r="35">
          <cell r="A35"/>
          <cell r="B35"/>
          <cell r="C35"/>
          <cell r="D35"/>
          <cell r="E35"/>
          <cell r="F35"/>
          <cell r="G35"/>
        </row>
        <row r="36">
          <cell r="A36"/>
          <cell r="B36"/>
          <cell r="C36"/>
          <cell r="D36"/>
          <cell r="E36"/>
          <cell r="F36"/>
          <cell r="G36"/>
        </row>
        <row r="37">
          <cell r="A37"/>
          <cell r="B37"/>
          <cell r="C37" t="str">
            <v/>
          </cell>
          <cell r="D37"/>
          <cell r="E37"/>
          <cell r="F37"/>
          <cell r="G37"/>
        </row>
        <row r="38">
          <cell r="A38"/>
          <cell r="B38"/>
          <cell r="C38" t="str">
            <v/>
          </cell>
          <cell r="D38" t="str">
            <v>Cantidad</v>
          </cell>
          <cell r="E38" t="str">
            <v>Unidad</v>
          </cell>
          <cell r="F38"/>
          <cell r="G38"/>
        </row>
        <row r="39">
          <cell r="A39" t="str">
            <v>PESO TOTAL OBTENIDO</v>
          </cell>
          <cell r="B39"/>
          <cell r="C39"/>
          <cell r="D39">
            <v>47400</v>
          </cell>
          <cell r="E39" t="str">
            <v>g</v>
          </cell>
          <cell r="F39" t="str">
            <v>Tiempo de Horneo:</v>
          </cell>
          <cell r="G39"/>
        </row>
        <row r="40">
          <cell r="A40" t="str">
            <v>TIEMPO TOTAL DE PREPARACION</v>
          </cell>
          <cell r="B40"/>
          <cell r="C40"/>
          <cell r="D40">
            <v>10</v>
          </cell>
          <cell r="E40" t="str">
            <v>min</v>
          </cell>
          <cell r="F40" t="str">
            <v>Horno:</v>
          </cell>
          <cell r="G40"/>
        </row>
        <row r="41">
          <cell r="A41" t="str">
            <v>CANTIDAD DE PORCIONES OBTENIDAS</v>
          </cell>
          <cell r="B41"/>
          <cell r="C41"/>
          <cell r="D41">
            <v>1</v>
          </cell>
          <cell r="E41" t="str">
            <v>ud</v>
          </cell>
          <cell r="F41" t="str">
            <v>Temperatura de Horneo:</v>
          </cell>
          <cell r="G41"/>
        </row>
        <row r="42">
          <cell r="A42" t="str">
            <v>PESO DE CADA PORCIÓN</v>
          </cell>
          <cell r="B42"/>
          <cell r="C42"/>
          <cell r="D42">
            <v>47400</v>
          </cell>
          <cell r="E42" t="str">
            <v>g</v>
          </cell>
          <cell r="F42" t="str">
            <v>Otros</v>
          </cell>
          <cell r="G42"/>
        </row>
        <row r="43">
          <cell r="A43" t="str">
            <v>MERMA</v>
          </cell>
          <cell r="B43"/>
          <cell r="C43"/>
          <cell r="D43">
            <v>650</v>
          </cell>
          <cell r="E43" t="str">
            <v>g</v>
          </cell>
          <cell r="F43"/>
          <cell r="G43"/>
        </row>
        <row r="44">
          <cell r="A44" t="str">
            <v>PROCEDIMIENTO DE PREPARACION DE LA  RECETA</v>
          </cell>
          <cell r="B44"/>
          <cell r="C44"/>
          <cell r="D44"/>
          <cell r="E44"/>
          <cell r="F44"/>
          <cell r="G44"/>
        </row>
        <row r="45">
          <cell r="A45" t="str">
            <v>1.- Colocar todos los ingredientes en la batidora y batir con paleta.</v>
          </cell>
          <cell r="B45"/>
          <cell r="C45"/>
          <cell r="D45"/>
          <cell r="E45"/>
          <cell r="F45"/>
          <cell r="G45"/>
        </row>
        <row r="46">
          <cell r="A46" t="str">
            <v>2.- Batir por 1 minutos en velocidad 1.</v>
          </cell>
          <cell r="B46"/>
          <cell r="C46"/>
          <cell r="D46"/>
          <cell r="E46"/>
          <cell r="F46"/>
          <cell r="G46"/>
        </row>
        <row r="47">
          <cell r="A47" t="str">
            <v>3.- Luego batir por 5 minutos a velocidad 2.</v>
          </cell>
          <cell r="B47"/>
          <cell r="C47"/>
          <cell r="D47"/>
          <cell r="E47"/>
          <cell r="F47"/>
          <cell r="G47"/>
        </row>
        <row r="48">
          <cell r="A48" t="str">
            <v>4.- Pasar a dosificar.</v>
          </cell>
          <cell r="B48"/>
          <cell r="C48"/>
          <cell r="D48"/>
          <cell r="E48"/>
          <cell r="F48"/>
          <cell r="G48"/>
        </row>
        <row r="49">
          <cell r="A49"/>
          <cell r="B49"/>
          <cell r="C49"/>
          <cell r="D49"/>
          <cell r="E49"/>
          <cell r="F49"/>
          <cell r="G49"/>
        </row>
        <row r="50">
          <cell r="A50"/>
          <cell r="B50"/>
          <cell r="C50"/>
          <cell r="D50"/>
          <cell r="E50"/>
          <cell r="F50"/>
          <cell r="G50"/>
        </row>
        <row r="51">
          <cell r="A51"/>
          <cell r="B51"/>
          <cell r="C51"/>
          <cell r="D51"/>
          <cell r="E51"/>
          <cell r="F51"/>
          <cell r="G51"/>
        </row>
        <row r="52">
          <cell r="A52"/>
          <cell r="B52"/>
          <cell r="C52"/>
          <cell r="D52"/>
          <cell r="E52"/>
          <cell r="F52"/>
          <cell r="G52"/>
        </row>
        <row r="53">
          <cell r="A53"/>
          <cell r="B53"/>
          <cell r="C53"/>
          <cell r="D53"/>
          <cell r="E53"/>
          <cell r="F53"/>
          <cell r="G53"/>
        </row>
        <row r="54">
          <cell r="A54"/>
          <cell r="B54"/>
          <cell r="C54"/>
          <cell r="D54"/>
          <cell r="E54"/>
          <cell r="F54"/>
          <cell r="G54"/>
        </row>
        <row r="55">
          <cell r="A55" t="str">
            <v>CONTROL DE CAMBIOS</v>
          </cell>
          <cell r="B55"/>
          <cell r="C55"/>
          <cell r="D55"/>
          <cell r="E55"/>
          <cell r="F55"/>
          <cell r="G55"/>
        </row>
        <row r="56">
          <cell r="A56" t="str">
            <v>2, Actualizacion de procedimeinto</v>
          </cell>
          <cell r="B56"/>
          <cell r="C56"/>
          <cell r="D56"/>
          <cell r="E56"/>
          <cell r="F56"/>
          <cell r="G56"/>
        </row>
        <row r="57">
          <cell r="A57"/>
          <cell r="B57"/>
          <cell r="C57"/>
          <cell r="D57"/>
          <cell r="E57"/>
          <cell r="F57"/>
          <cell r="G57"/>
        </row>
      </sheetData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965A2-52A4-45F0-ADCC-FE7B9AA8A7FD}">
  <dimension ref="A1:N60"/>
  <sheetViews>
    <sheetView zoomScale="85" zoomScaleNormal="85" workbookViewId="0">
      <selection activeCell="D4" sqref="D4:G4"/>
    </sheetView>
  </sheetViews>
  <sheetFormatPr baseColWidth="10" defaultRowHeight="15" x14ac:dyDescent="0.25"/>
  <cols>
    <col min="1" max="1" width="13" bestFit="1" customWidth="1"/>
    <col min="3" max="3" width="49" customWidth="1"/>
    <col min="4" max="4" width="34.28515625" bestFit="1" customWidth="1"/>
    <col min="5" max="5" width="11.7109375" bestFit="1" customWidth="1"/>
    <col min="7" max="7" width="18.42578125" customWidth="1"/>
    <col min="8" max="8" width="27" customWidth="1"/>
    <col min="9" max="9" width="23.42578125" bestFit="1" customWidth="1"/>
  </cols>
  <sheetData>
    <row r="1" spans="1:13" ht="15.75" x14ac:dyDescent="0.25">
      <c r="A1" s="356"/>
      <c r="B1" s="357"/>
      <c r="C1" s="362" t="s">
        <v>49</v>
      </c>
      <c r="D1" s="362"/>
      <c r="E1" s="362"/>
      <c r="F1" s="362"/>
      <c r="G1" s="362"/>
      <c r="H1" s="15" t="s">
        <v>48</v>
      </c>
      <c r="I1" s="14"/>
    </row>
    <row r="2" spans="1:13" ht="16.5" thickBot="1" x14ac:dyDescent="0.3">
      <c r="A2" s="358"/>
      <c r="B2" s="359"/>
      <c r="C2" s="363" t="s">
        <v>47</v>
      </c>
      <c r="D2" s="363"/>
      <c r="E2" s="363"/>
      <c r="F2" s="363"/>
      <c r="G2" s="363"/>
      <c r="H2" s="16" t="s">
        <v>46</v>
      </c>
      <c r="I2" s="17"/>
    </row>
    <row r="3" spans="1:13" ht="16.149999999999999" customHeight="1" thickBot="1" x14ac:dyDescent="0.3">
      <c r="A3" s="358"/>
      <c r="B3" s="359"/>
      <c r="C3" s="364" t="s">
        <v>91</v>
      </c>
      <c r="D3" s="365"/>
      <c r="E3" s="365"/>
      <c r="F3" s="365"/>
      <c r="G3" s="366"/>
      <c r="H3" s="367" t="s">
        <v>45</v>
      </c>
      <c r="I3" s="347"/>
    </row>
    <row r="4" spans="1:13" x14ac:dyDescent="0.25">
      <c r="A4" s="358"/>
      <c r="B4" s="359"/>
      <c r="C4" s="18" t="s">
        <v>44</v>
      </c>
      <c r="D4" s="350" t="s">
        <v>59</v>
      </c>
      <c r="E4" s="351"/>
      <c r="F4" s="351"/>
      <c r="G4" s="352"/>
      <c r="H4" s="368"/>
      <c r="I4" s="348"/>
    </row>
    <row r="5" spans="1:13" ht="15.75" thickBot="1" x14ac:dyDescent="0.3">
      <c r="A5" s="360"/>
      <c r="B5" s="361"/>
      <c r="C5" s="19" t="s">
        <v>43</v>
      </c>
      <c r="D5" s="353" t="s">
        <v>60</v>
      </c>
      <c r="E5" s="354"/>
      <c r="F5" s="354"/>
      <c r="G5" s="355"/>
      <c r="H5" s="369"/>
      <c r="I5" s="349"/>
    </row>
    <row r="6" spans="1:13" ht="18.75" thickBot="1" x14ac:dyDescent="0.3">
      <c r="A6" s="370" t="s">
        <v>42</v>
      </c>
      <c r="B6" s="370"/>
      <c r="C6" s="370"/>
      <c r="D6" s="371" t="s">
        <v>50</v>
      </c>
      <c r="E6" s="371"/>
      <c r="F6" s="371"/>
      <c r="G6" s="372" t="s">
        <v>41</v>
      </c>
      <c r="H6" s="372"/>
      <c r="I6" s="20" t="s">
        <v>50</v>
      </c>
    </row>
    <row r="7" spans="1:13" x14ac:dyDescent="0.25">
      <c r="A7" s="373" t="s">
        <v>40</v>
      </c>
      <c r="B7" s="375" t="s">
        <v>51</v>
      </c>
      <c r="C7" s="377" t="s">
        <v>39</v>
      </c>
      <c r="D7" s="377" t="s">
        <v>38</v>
      </c>
      <c r="E7" s="377" t="s">
        <v>37</v>
      </c>
      <c r="F7" s="377"/>
      <c r="G7" s="377" t="s">
        <v>36</v>
      </c>
      <c r="H7" s="377"/>
      <c r="I7" s="21" t="s">
        <v>35</v>
      </c>
    </row>
    <row r="8" spans="1:13" ht="27" thickBot="1" x14ac:dyDescent="0.3">
      <c r="A8" s="374"/>
      <c r="B8" s="376"/>
      <c r="C8" s="378"/>
      <c r="D8" s="378"/>
      <c r="E8" s="22" t="s">
        <v>14</v>
      </c>
      <c r="F8" s="23" t="s">
        <v>34</v>
      </c>
      <c r="G8" s="22" t="s">
        <v>14</v>
      </c>
      <c r="H8" s="23" t="s">
        <v>34</v>
      </c>
      <c r="I8" s="24" t="s">
        <v>33</v>
      </c>
    </row>
    <row r="9" spans="1:13" x14ac:dyDescent="0.25">
      <c r="A9" s="77"/>
      <c r="B9" s="78"/>
      <c r="C9" s="79" t="s">
        <v>52</v>
      </c>
      <c r="D9" s="80"/>
      <c r="E9" s="81"/>
      <c r="F9" s="82"/>
      <c r="G9" s="81"/>
      <c r="H9" s="82"/>
      <c r="I9" s="27"/>
    </row>
    <row r="10" spans="1:13" ht="16.149999999999999" customHeight="1" x14ac:dyDescent="0.3">
      <c r="A10" s="6">
        <v>11400066</v>
      </c>
      <c r="B10" s="83" t="s">
        <v>32</v>
      </c>
      <c r="C10" s="7" t="s">
        <v>31</v>
      </c>
      <c r="D10" s="6" t="s">
        <v>30</v>
      </c>
      <c r="E10" s="6">
        <v>10</v>
      </c>
      <c r="F10" s="6" t="s">
        <v>1</v>
      </c>
      <c r="G10" s="84"/>
      <c r="H10" s="11"/>
      <c r="I10" s="85"/>
    </row>
    <row r="11" spans="1:13" ht="16.5" x14ac:dyDescent="0.3">
      <c r="A11" s="6"/>
      <c r="B11" s="83" t="s">
        <v>61</v>
      </c>
      <c r="C11" s="7" t="s">
        <v>62</v>
      </c>
      <c r="D11" s="6" t="s">
        <v>29</v>
      </c>
      <c r="E11" s="6">
        <v>90</v>
      </c>
      <c r="F11" s="6" t="s">
        <v>1</v>
      </c>
      <c r="G11" s="84"/>
      <c r="H11" s="86"/>
      <c r="I11" s="46"/>
    </row>
    <row r="12" spans="1:13" ht="17.25" x14ac:dyDescent="0.25">
      <c r="A12" s="87">
        <v>910000003</v>
      </c>
      <c r="B12" s="88" t="s">
        <v>63</v>
      </c>
      <c r="C12" s="89" t="s">
        <v>64</v>
      </c>
      <c r="D12" s="90" t="s">
        <v>29</v>
      </c>
      <c r="E12" s="90">
        <v>30</v>
      </c>
      <c r="F12" s="90" t="s">
        <v>1</v>
      </c>
      <c r="G12" s="91"/>
      <c r="H12" s="86" t="s">
        <v>65</v>
      </c>
      <c r="I12" s="46"/>
    </row>
    <row r="13" spans="1:13" ht="16.5" x14ac:dyDescent="0.3">
      <c r="A13" s="92">
        <v>902000168</v>
      </c>
      <c r="B13" s="93" t="s">
        <v>66</v>
      </c>
      <c r="C13" s="94" t="s">
        <v>67</v>
      </c>
      <c r="D13" s="95" t="s">
        <v>29</v>
      </c>
      <c r="E13" s="95">
        <v>10</v>
      </c>
      <c r="F13" s="95" t="s">
        <v>1</v>
      </c>
      <c r="G13" s="30"/>
      <c r="H13" s="96"/>
      <c r="I13" s="46"/>
    </row>
    <row r="14" spans="1:13" ht="16.5" x14ac:dyDescent="0.3">
      <c r="A14" s="92"/>
      <c r="B14" s="224" t="s">
        <v>68</v>
      </c>
      <c r="C14" s="225" t="s">
        <v>69</v>
      </c>
      <c r="D14" s="226" t="s">
        <v>29</v>
      </c>
      <c r="E14" s="226">
        <v>12</v>
      </c>
      <c r="F14" s="226" t="s">
        <v>1</v>
      </c>
      <c r="G14" s="30"/>
      <c r="H14" s="96"/>
      <c r="I14" s="46"/>
      <c r="K14">
        <v>1</v>
      </c>
      <c r="M14">
        <f>12/400</f>
        <v>0.03</v>
      </c>
    </row>
    <row r="15" spans="1:13" ht="16.5" x14ac:dyDescent="0.3">
      <c r="A15" s="92">
        <v>908000032</v>
      </c>
      <c r="B15" s="230" t="s">
        <v>70</v>
      </c>
      <c r="C15" s="231" t="s">
        <v>71</v>
      </c>
      <c r="D15" s="232" t="s">
        <v>29</v>
      </c>
      <c r="E15" s="232">
        <v>5</v>
      </c>
      <c r="F15" s="95" t="s">
        <v>1</v>
      </c>
      <c r="G15" s="30"/>
      <c r="H15" s="96"/>
      <c r="I15" s="46"/>
      <c r="K15">
        <v>400</v>
      </c>
      <c r="L15">
        <v>12</v>
      </c>
    </row>
    <row r="16" spans="1:13" ht="16.5" x14ac:dyDescent="0.3">
      <c r="A16" s="97"/>
      <c r="B16" s="93" t="s">
        <v>72</v>
      </c>
      <c r="C16" s="98" t="s">
        <v>73</v>
      </c>
      <c r="D16" s="95" t="s">
        <v>74</v>
      </c>
      <c r="E16" s="95">
        <v>5</v>
      </c>
      <c r="F16" s="95" t="s">
        <v>1</v>
      </c>
      <c r="G16" s="99"/>
      <c r="H16" s="96"/>
      <c r="I16" s="46"/>
    </row>
    <row r="17" spans="1:14" x14ac:dyDescent="0.25">
      <c r="A17" s="34"/>
      <c r="B17" s="34"/>
      <c r="C17" s="35"/>
      <c r="D17" s="29"/>
      <c r="E17" s="28"/>
      <c r="F17" s="33"/>
      <c r="G17" s="100"/>
      <c r="H17" s="31"/>
      <c r="I17" s="46"/>
    </row>
    <row r="18" spans="1:14" x14ac:dyDescent="0.25">
      <c r="A18" s="101"/>
      <c r="B18" s="101"/>
      <c r="C18" s="102"/>
      <c r="D18" s="103"/>
      <c r="E18" s="36"/>
      <c r="F18" s="37"/>
      <c r="G18" s="38"/>
      <c r="H18" s="31"/>
      <c r="I18" s="46"/>
    </row>
    <row r="19" spans="1:14" x14ac:dyDescent="0.25">
      <c r="A19" s="13"/>
      <c r="B19" s="13"/>
      <c r="C19" s="39"/>
      <c r="D19" s="40"/>
      <c r="E19" s="40"/>
      <c r="F19" s="41"/>
      <c r="G19" s="25"/>
      <c r="H19" s="124"/>
      <c r="I19" s="46"/>
    </row>
    <row r="20" spans="1:14" ht="15.75" x14ac:dyDescent="0.25">
      <c r="A20" s="43"/>
      <c r="B20" s="44"/>
      <c r="C20" s="45" t="s">
        <v>53</v>
      </c>
      <c r="D20" s="46" t="s">
        <v>54</v>
      </c>
      <c r="E20" s="47"/>
      <c r="F20" s="41"/>
      <c r="G20" s="25"/>
      <c r="H20" s="124"/>
      <c r="I20" s="46"/>
    </row>
    <row r="21" spans="1:14" ht="15.75" x14ac:dyDescent="0.25">
      <c r="A21" s="104">
        <v>910000018</v>
      </c>
      <c r="B21" s="105" t="s">
        <v>75</v>
      </c>
      <c r="C21" s="106" t="s">
        <v>76</v>
      </c>
      <c r="D21" s="107" t="s">
        <v>29</v>
      </c>
      <c r="E21" s="108">
        <v>35</v>
      </c>
      <c r="F21" s="109" t="s">
        <v>1</v>
      </c>
      <c r="G21" s="108"/>
      <c r="H21" s="109"/>
      <c r="I21" s="105" t="s">
        <v>77</v>
      </c>
    </row>
    <row r="22" spans="1:14" ht="15.75" x14ac:dyDescent="0.25">
      <c r="A22" s="104">
        <v>11400027</v>
      </c>
      <c r="B22" s="105" t="s">
        <v>78</v>
      </c>
      <c r="C22" s="106" t="s">
        <v>79</v>
      </c>
      <c r="D22" s="107" t="s">
        <v>80</v>
      </c>
      <c r="E22" s="108">
        <v>3</v>
      </c>
      <c r="F22" s="109" t="s">
        <v>1</v>
      </c>
      <c r="G22" s="108"/>
      <c r="H22" s="109"/>
      <c r="I22" s="105" t="s">
        <v>81</v>
      </c>
    </row>
    <row r="23" spans="1:14" ht="16.5" x14ac:dyDescent="0.25">
      <c r="A23" s="92">
        <v>908000032</v>
      </c>
      <c r="B23" s="230" t="s">
        <v>70</v>
      </c>
      <c r="C23" s="231" t="s">
        <v>71</v>
      </c>
      <c r="D23" s="232" t="s">
        <v>29</v>
      </c>
      <c r="E23" s="233">
        <v>20</v>
      </c>
      <c r="F23" s="109" t="s">
        <v>1</v>
      </c>
      <c r="G23" s="108"/>
      <c r="H23" s="109"/>
      <c r="I23" s="105"/>
    </row>
    <row r="24" spans="1:14" ht="15.75" x14ac:dyDescent="0.25">
      <c r="A24" s="104"/>
      <c r="B24" s="227" t="s">
        <v>68</v>
      </c>
      <c r="C24" s="228" t="s">
        <v>69</v>
      </c>
      <c r="D24" s="229" t="s">
        <v>29</v>
      </c>
      <c r="E24" s="229">
        <v>35</v>
      </c>
      <c r="F24" s="229" t="s">
        <v>1</v>
      </c>
      <c r="G24" s="111" t="s">
        <v>82</v>
      </c>
      <c r="H24" s="125"/>
      <c r="I24" s="111" t="s">
        <v>83</v>
      </c>
      <c r="M24">
        <f>1/9</f>
        <v>0.1111111111111111</v>
      </c>
      <c r="N24">
        <f>+M24+M14</f>
        <v>0.1411111111111111</v>
      </c>
    </row>
    <row r="25" spans="1:14" ht="15.75" x14ac:dyDescent="0.25">
      <c r="A25" s="112"/>
      <c r="B25" s="113" t="s">
        <v>84</v>
      </c>
      <c r="C25" s="114" t="s">
        <v>85</v>
      </c>
      <c r="D25" s="110" t="s">
        <v>74</v>
      </c>
      <c r="E25" s="112">
        <v>1</v>
      </c>
      <c r="F25" s="112" t="s">
        <v>6</v>
      </c>
      <c r="G25" s="115"/>
      <c r="H25" s="112"/>
      <c r="I25" s="112"/>
    </row>
    <row r="26" spans="1:14" ht="15.75" x14ac:dyDescent="0.25">
      <c r="A26" s="112"/>
      <c r="B26" s="116"/>
      <c r="C26" s="114"/>
      <c r="D26" s="117"/>
      <c r="E26" s="112"/>
      <c r="F26" s="112"/>
      <c r="G26" s="115"/>
      <c r="H26" s="112"/>
      <c r="I26" s="112"/>
    </row>
    <row r="27" spans="1:14" ht="16.5" x14ac:dyDescent="0.3">
      <c r="A27" s="118"/>
      <c r="B27" s="119"/>
      <c r="C27" s="120"/>
      <c r="D27" s="121"/>
      <c r="E27" s="118"/>
      <c r="F27" s="118"/>
      <c r="G27" s="122"/>
      <c r="H27" s="118"/>
      <c r="I27" s="118"/>
    </row>
    <row r="28" spans="1:14" ht="15.75" x14ac:dyDescent="0.25">
      <c r="A28" s="123"/>
      <c r="B28" s="49"/>
      <c r="C28" s="50" t="s">
        <v>55</v>
      </c>
      <c r="D28" s="51" t="s">
        <v>54</v>
      </c>
      <c r="E28" s="25"/>
      <c r="F28" s="26"/>
      <c r="G28" s="25"/>
      <c r="H28" s="124"/>
      <c r="I28" s="46"/>
    </row>
    <row r="29" spans="1:14" ht="16.5" x14ac:dyDescent="0.3">
      <c r="A29" s="9">
        <v>51400047</v>
      </c>
      <c r="B29" s="8" t="s">
        <v>28</v>
      </c>
      <c r="C29" s="7" t="s">
        <v>27</v>
      </c>
      <c r="D29" s="6"/>
      <c r="E29" s="6">
        <v>1</v>
      </c>
      <c r="F29" s="11" t="s">
        <v>6</v>
      </c>
      <c r="G29" s="32"/>
      <c r="H29" s="124"/>
      <c r="I29" s="46"/>
    </row>
    <row r="30" spans="1:14" ht="16.5" x14ac:dyDescent="0.3">
      <c r="A30" s="9">
        <v>702077</v>
      </c>
      <c r="B30" s="8" t="s">
        <v>26</v>
      </c>
      <c r="C30" s="7" t="s">
        <v>25</v>
      </c>
      <c r="D30" s="6" t="s">
        <v>56</v>
      </c>
      <c r="E30" s="6">
        <v>1</v>
      </c>
      <c r="F30" s="11" t="s">
        <v>6</v>
      </c>
      <c r="G30" s="52"/>
      <c r="H30" s="124"/>
      <c r="I30" s="46"/>
    </row>
    <row r="31" spans="1:14" ht="16.5" x14ac:dyDescent="0.3">
      <c r="A31" s="9">
        <v>702007</v>
      </c>
      <c r="B31" s="8" t="s">
        <v>24</v>
      </c>
      <c r="C31" s="7" t="s">
        <v>23</v>
      </c>
      <c r="D31" s="6" t="s">
        <v>57</v>
      </c>
      <c r="E31" s="6">
        <v>1</v>
      </c>
      <c r="F31" s="11" t="s">
        <v>6</v>
      </c>
      <c r="G31" s="25"/>
      <c r="H31" s="42"/>
      <c r="I31" s="27"/>
    </row>
    <row r="32" spans="1:14" ht="16.5" x14ac:dyDescent="0.3">
      <c r="A32" s="9">
        <v>702123</v>
      </c>
      <c r="B32" s="8" t="s">
        <v>22</v>
      </c>
      <c r="C32" s="7" t="s">
        <v>21</v>
      </c>
      <c r="D32" s="6"/>
      <c r="E32" s="6">
        <v>1</v>
      </c>
      <c r="F32" s="11" t="s">
        <v>6</v>
      </c>
      <c r="G32" s="25"/>
      <c r="H32" s="42"/>
      <c r="I32" s="27"/>
    </row>
    <row r="33" spans="1:9" ht="16.5" x14ac:dyDescent="0.3">
      <c r="A33" s="9">
        <v>702174</v>
      </c>
      <c r="B33" s="8" t="s">
        <v>20</v>
      </c>
      <c r="C33" s="7" t="s">
        <v>19</v>
      </c>
      <c r="D33" s="6"/>
      <c r="E33" s="6">
        <v>2</v>
      </c>
      <c r="F33" s="11" t="s">
        <v>6</v>
      </c>
      <c r="G33" s="25"/>
      <c r="H33" s="42"/>
      <c r="I33" s="27"/>
    </row>
    <row r="34" spans="1:9" ht="16.5" x14ac:dyDescent="0.3">
      <c r="A34" s="9">
        <v>1950699</v>
      </c>
      <c r="B34" s="8" t="s">
        <v>18</v>
      </c>
      <c r="C34" s="7" t="s">
        <v>17</v>
      </c>
      <c r="D34" s="6"/>
      <c r="E34" s="6">
        <v>1</v>
      </c>
      <c r="F34" s="10" t="s">
        <v>6</v>
      </c>
      <c r="G34" s="53"/>
      <c r="H34" s="42"/>
      <c r="I34" s="27"/>
    </row>
    <row r="35" spans="1:9" ht="16.5" x14ac:dyDescent="0.25">
      <c r="A35" s="9">
        <v>701096</v>
      </c>
      <c r="B35" s="8" t="s">
        <v>16</v>
      </c>
      <c r="C35" s="7" t="s">
        <v>15</v>
      </c>
      <c r="D35" s="6"/>
      <c r="E35" s="6">
        <v>1</v>
      </c>
      <c r="F35" s="5" t="s">
        <v>6</v>
      </c>
      <c r="G35" s="40"/>
      <c r="H35" s="42"/>
      <c r="I35" s="27"/>
    </row>
    <row r="36" spans="1:9" ht="16.5" x14ac:dyDescent="0.3">
      <c r="A36" s="4"/>
      <c r="B36" s="13"/>
      <c r="C36" s="3"/>
      <c r="D36" s="2"/>
      <c r="E36" s="1"/>
      <c r="F36" s="1"/>
      <c r="G36" s="40"/>
      <c r="H36" s="42"/>
      <c r="I36" s="27"/>
    </row>
    <row r="37" spans="1:9" ht="15.75" x14ac:dyDescent="0.25">
      <c r="A37" s="13"/>
      <c r="B37" s="48"/>
      <c r="C37" s="12"/>
      <c r="D37" s="54"/>
      <c r="E37" s="55"/>
      <c r="F37" s="33"/>
      <c r="G37" s="40"/>
      <c r="H37" s="46"/>
      <c r="I37" s="27"/>
    </row>
    <row r="38" spans="1:9" ht="15.75" x14ac:dyDescent="0.25">
      <c r="A38" s="43"/>
      <c r="B38" s="44"/>
      <c r="C38" s="56"/>
      <c r="D38" s="46"/>
      <c r="E38" s="46"/>
      <c r="F38" s="41"/>
      <c r="G38" s="57"/>
      <c r="H38" s="57"/>
      <c r="I38" s="27"/>
    </row>
    <row r="39" spans="1:9" ht="15.75" thickBot="1" x14ac:dyDescent="0.3">
      <c r="A39" s="58"/>
      <c r="B39" s="59"/>
      <c r="C39" s="60"/>
      <c r="D39" s="60"/>
      <c r="E39" s="61"/>
      <c r="F39" s="62"/>
      <c r="G39" s="60"/>
      <c r="H39" s="60"/>
      <c r="I39" s="63"/>
    </row>
    <row r="40" spans="1:9" ht="15.75" thickBot="1" x14ac:dyDescent="0.3">
      <c r="A40" s="64"/>
      <c r="B40" s="65"/>
      <c r="C40" s="66"/>
      <c r="D40" s="67" t="s">
        <v>14</v>
      </c>
      <c r="E40" s="68" t="s">
        <v>13</v>
      </c>
      <c r="F40" s="69"/>
      <c r="G40" s="66"/>
      <c r="H40" s="66"/>
      <c r="I40" s="70"/>
    </row>
    <row r="41" spans="1:9" x14ac:dyDescent="0.25">
      <c r="A41" s="379" t="s">
        <v>12</v>
      </c>
      <c r="B41" s="380"/>
      <c r="C41" s="381"/>
      <c r="D41" s="71">
        <v>220</v>
      </c>
      <c r="E41" s="72" t="s">
        <v>1</v>
      </c>
      <c r="F41" s="382" t="s">
        <v>11</v>
      </c>
      <c r="G41" s="382"/>
      <c r="H41" s="383"/>
      <c r="I41" s="384"/>
    </row>
    <row r="42" spans="1:9" x14ac:dyDescent="0.25">
      <c r="A42" s="385" t="s">
        <v>10</v>
      </c>
      <c r="B42" s="386"/>
      <c r="C42" s="387"/>
      <c r="D42" s="73">
        <v>3</v>
      </c>
      <c r="E42" s="74" t="s">
        <v>9</v>
      </c>
      <c r="F42" s="388" t="s">
        <v>8</v>
      </c>
      <c r="G42" s="388"/>
      <c r="H42" s="389"/>
      <c r="I42" s="390"/>
    </row>
    <row r="43" spans="1:9" x14ac:dyDescent="0.25">
      <c r="A43" s="385" t="s">
        <v>7</v>
      </c>
      <c r="B43" s="386"/>
      <c r="C43" s="387"/>
      <c r="D43" s="74">
        <v>1</v>
      </c>
      <c r="E43" s="74" t="s">
        <v>6</v>
      </c>
      <c r="F43" s="388" t="s">
        <v>5</v>
      </c>
      <c r="G43" s="388"/>
      <c r="H43" s="389"/>
      <c r="I43" s="390"/>
    </row>
    <row r="44" spans="1:9" x14ac:dyDescent="0.25">
      <c r="A44" s="385" t="s">
        <v>4</v>
      </c>
      <c r="B44" s="386"/>
      <c r="C44" s="387"/>
      <c r="D44" s="74">
        <v>220</v>
      </c>
      <c r="E44" s="74" t="s">
        <v>1</v>
      </c>
      <c r="F44" s="394" t="s">
        <v>3</v>
      </c>
      <c r="G44" s="395"/>
      <c r="H44" s="389"/>
      <c r="I44" s="390"/>
    </row>
    <row r="45" spans="1:9" ht="15.75" thickBot="1" x14ac:dyDescent="0.3">
      <c r="A45" s="396" t="s">
        <v>2</v>
      </c>
      <c r="B45" s="397"/>
      <c r="C45" s="398"/>
      <c r="D45" s="75">
        <f>SUM(E10:E25)-D41</f>
        <v>36</v>
      </c>
      <c r="E45" s="76" t="s">
        <v>1</v>
      </c>
      <c r="F45" s="399"/>
      <c r="G45" s="399"/>
      <c r="H45" s="400"/>
      <c r="I45" s="401"/>
    </row>
    <row r="46" spans="1:9" ht="15.75" thickBot="1" x14ac:dyDescent="0.3">
      <c r="A46" s="402" t="s">
        <v>0</v>
      </c>
      <c r="B46" s="403"/>
      <c r="C46" s="403"/>
      <c r="D46" s="403"/>
      <c r="E46" s="403"/>
      <c r="F46" s="403"/>
      <c r="G46" s="403"/>
      <c r="H46" s="403"/>
      <c r="I46" s="404"/>
    </row>
    <row r="47" spans="1:9" ht="14.65" customHeight="1" x14ac:dyDescent="0.25">
      <c r="A47" s="405" t="s">
        <v>86</v>
      </c>
      <c r="B47" s="406"/>
      <c r="C47" s="406"/>
      <c r="D47" s="406"/>
      <c r="E47" s="406"/>
      <c r="F47" s="406"/>
      <c r="G47" s="406"/>
      <c r="H47" s="406"/>
      <c r="I47" s="407"/>
    </row>
    <row r="48" spans="1:9" ht="14.65" customHeight="1" x14ac:dyDescent="0.25">
      <c r="A48" s="391" t="s">
        <v>87</v>
      </c>
      <c r="B48" s="392"/>
      <c r="C48" s="392"/>
      <c r="D48" s="392"/>
      <c r="E48" s="392"/>
      <c r="F48" s="392"/>
      <c r="G48" s="392"/>
      <c r="H48" s="392"/>
      <c r="I48" s="393"/>
    </row>
    <row r="49" spans="1:9" ht="14.65" customHeight="1" x14ac:dyDescent="0.25">
      <c r="A49" s="410" t="s">
        <v>88</v>
      </c>
      <c r="B49" s="411"/>
      <c r="C49" s="411"/>
      <c r="D49" s="411"/>
      <c r="E49" s="411"/>
      <c r="F49" s="411"/>
      <c r="G49" s="411"/>
      <c r="H49" s="411"/>
      <c r="I49" s="412"/>
    </row>
    <row r="50" spans="1:9" ht="14.65" customHeight="1" x14ac:dyDescent="0.25">
      <c r="A50" s="410" t="s">
        <v>89</v>
      </c>
      <c r="B50" s="411"/>
      <c r="C50" s="411"/>
      <c r="D50" s="411"/>
      <c r="E50" s="411"/>
      <c r="F50" s="411"/>
      <c r="G50" s="411"/>
      <c r="H50" s="411"/>
      <c r="I50" s="412"/>
    </row>
    <row r="51" spans="1:9" ht="14.65" customHeight="1" x14ac:dyDescent="0.25">
      <c r="A51" s="413" t="s">
        <v>90</v>
      </c>
      <c r="B51" s="414"/>
      <c r="C51" s="415"/>
      <c r="D51" s="415"/>
      <c r="E51" s="415"/>
      <c r="F51" s="415"/>
      <c r="G51" s="415"/>
      <c r="H51" s="415"/>
      <c r="I51" s="416"/>
    </row>
    <row r="52" spans="1:9" x14ac:dyDescent="0.25">
      <c r="A52" s="410"/>
      <c r="B52" s="411"/>
      <c r="C52" s="411"/>
      <c r="D52" s="411"/>
      <c r="E52" s="411"/>
      <c r="F52" s="411"/>
      <c r="G52" s="411"/>
      <c r="H52" s="411"/>
      <c r="I52" s="412"/>
    </row>
    <row r="53" spans="1:9" x14ac:dyDescent="0.25">
      <c r="A53" s="391"/>
      <c r="B53" s="392"/>
      <c r="C53" s="392"/>
      <c r="D53" s="392"/>
      <c r="E53" s="392"/>
      <c r="F53" s="392"/>
      <c r="G53" s="392"/>
      <c r="H53" s="392"/>
      <c r="I53" s="393"/>
    </row>
    <row r="54" spans="1:9" x14ac:dyDescent="0.25">
      <c r="A54" s="391"/>
      <c r="B54" s="392"/>
      <c r="C54" s="392"/>
      <c r="D54" s="392"/>
      <c r="E54" s="392"/>
      <c r="F54" s="392"/>
      <c r="G54" s="392"/>
      <c r="H54" s="392"/>
      <c r="I54" s="393"/>
    </row>
    <row r="55" spans="1:9" ht="18" customHeight="1" x14ac:dyDescent="0.25">
      <c r="A55" s="391"/>
      <c r="B55" s="392"/>
      <c r="C55" s="392"/>
      <c r="D55" s="392"/>
      <c r="E55" s="392"/>
      <c r="F55" s="392"/>
      <c r="G55" s="392"/>
      <c r="H55" s="392"/>
      <c r="I55" s="393"/>
    </row>
    <row r="56" spans="1:9" x14ac:dyDescent="0.25">
      <c r="A56" s="391"/>
      <c r="B56" s="392"/>
      <c r="C56" s="392"/>
      <c r="D56" s="392"/>
      <c r="E56" s="392"/>
      <c r="F56" s="392"/>
      <c r="G56" s="392"/>
      <c r="H56" s="392"/>
      <c r="I56" s="393"/>
    </row>
    <row r="57" spans="1:9" ht="15.75" thickBot="1" x14ac:dyDescent="0.3">
      <c r="A57" s="417"/>
      <c r="B57" s="418"/>
      <c r="C57" s="418"/>
      <c r="D57" s="418"/>
      <c r="E57" s="418"/>
      <c r="F57" s="418"/>
      <c r="G57" s="418"/>
      <c r="H57" s="418"/>
      <c r="I57" s="419"/>
    </row>
    <row r="58" spans="1:9" x14ac:dyDescent="0.25">
      <c r="A58" s="420" t="s">
        <v>58</v>
      </c>
      <c r="B58" s="421"/>
      <c r="C58" s="421"/>
      <c r="D58" s="421"/>
      <c r="E58" s="421"/>
      <c r="F58" s="421"/>
      <c r="G58" s="421"/>
      <c r="H58" s="421"/>
      <c r="I58" s="421"/>
    </row>
    <row r="59" spans="1:9" x14ac:dyDescent="0.25">
      <c r="A59" s="408"/>
      <c r="B59" s="409"/>
      <c r="C59" s="409"/>
      <c r="D59" s="409"/>
      <c r="E59" s="409"/>
      <c r="F59" s="409"/>
      <c r="G59" s="409"/>
      <c r="H59" s="409"/>
      <c r="I59" s="409"/>
    </row>
    <row r="60" spans="1:9" x14ac:dyDescent="0.25">
      <c r="A60" s="408"/>
      <c r="B60" s="409"/>
      <c r="C60" s="409"/>
      <c r="D60" s="409"/>
      <c r="E60" s="409"/>
      <c r="F60" s="409"/>
      <c r="G60" s="409"/>
      <c r="H60" s="409"/>
      <c r="I60" s="409"/>
    </row>
  </sheetData>
  <mergeCells count="47">
    <mergeCell ref="A60:I60"/>
    <mergeCell ref="A49:I49"/>
    <mergeCell ref="A50:I50"/>
    <mergeCell ref="A51:I51"/>
    <mergeCell ref="A52:I52"/>
    <mergeCell ref="A53:I53"/>
    <mergeCell ref="A54:I54"/>
    <mergeCell ref="A55:I55"/>
    <mergeCell ref="A56:I56"/>
    <mergeCell ref="A57:I57"/>
    <mergeCell ref="A58:I58"/>
    <mergeCell ref="A59:I59"/>
    <mergeCell ref="A48:I48"/>
    <mergeCell ref="A43:C43"/>
    <mergeCell ref="F43:G43"/>
    <mergeCell ref="H43:I43"/>
    <mergeCell ref="A44:C44"/>
    <mergeCell ref="F44:G44"/>
    <mergeCell ref="H44:I44"/>
    <mergeCell ref="A45:C45"/>
    <mergeCell ref="F45:G45"/>
    <mergeCell ref="H45:I45"/>
    <mergeCell ref="A46:I46"/>
    <mergeCell ref="A47:I47"/>
    <mergeCell ref="A41:C41"/>
    <mergeCell ref="F41:G41"/>
    <mergeCell ref="H41:I41"/>
    <mergeCell ref="A42:C42"/>
    <mergeCell ref="F42:G42"/>
    <mergeCell ref="H42:I42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honeticPr fontId="20" type="noConversion"/>
  <pageMargins left="0.7" right="0.7" top="0.75" bottom="0.75" header="0.3" footer="0.3"/>
  <pageSetup paperSize="9" scale="4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73C37-ED2C-4DA9-B2C8-7221DA19715C}">
  <dimension ref="A1:J60"/>
  <sheetViews>
    <sheetView topLeftCell="A14" workbookViewId="0">
      <selection activeCell="F19" sqref="F19"/>
    </sheetView>
  </sheetViews>
  <sheetFormatPr baseColWidth="10" defaultRowHeight="15" x14ac:dyDescent="0.25"/>
  <cols>
    <col min="3" max="3" width="39.28515625" customWidth="1"/>
    <col min="7" max="7" width="13.140625" customWidth="1"/>
    <col min="9" max="9" width="18.7109375" customWidth="1"/>
  </cols>
  <sheetData>
    <row r="1" spans="1:10" ht="15.75" x14ac:dyDescent="0.25">
      <c r="A1" s="356"/>
      <c r="B1" s="357"/>
      <c r="C1" s="362" t="s">
        <v>49</v>
      </c>
      <c r="D1" s="362"/>
      <c r="E1" s="362"/>
      <c r="F1" s="362"/>
      <c r="G1" s="362"/>
      <c r="H1" s="15" t="s">
        <v>48</v>
      </c>
      <c r="I1" s="14"/>
    </row>
    <row r="2" spans="1:10" ht="16.5" thickBot="1" x14ac:dyDescent="0.3">
      <c r="A2" s="358"/>
      <c r="B2" s="359"/>
      <c r="C2" s="363" t="s">
        <v>47</v>
      </c>
      <c r="D2" s="363"/>
      <c r="E2" s="363"/>
      <c r="F2" s="363"/>
      <c r="G2" s="363"/>
      <c r="H2" s="16" t="s">
        <v>46</v>
      </c>
      <c r="I2" s="17"/>
    </row>
    <row r="3" spans="1:10" ht="18.75" thickBot="1" x14ac:dyDescent="0.3">
      <c r="A3" s="358"/>
      <c r="B3" s="359"/>
      <c r="C3" s="364" t="s">
        <v>158</v>
      </c>
      <c r="D3" s="365"/>
      <c r="E3" s="365"/>
      <c r="F3" s="365"/>
      <c r="G3" s="366"/>
      <c r="H3" s="367" t="s">
        <v>45</v>
      </c>
      <c r="I3" s="347"/>
    </row>
    <row r="4" spans="1:10" x14ac:dyDescent="0.25">
      <c r="A4" s="358"/>
      <c r="B4" s="359"/>
      <c r="C4" s="18" t="s">
        <v>44</v>
      </c>
      <c r="D4" s="350" t="s">
        <v>59</v>
      </c>
      <c r="E4" s="351"/>
      <c r="F4" s="351"/>
      <c r="G4" s="352"/>
      <c r="H4" s="368"/>
      <c r="I4" s="348"/>
    </row>
    <row r="5" spans="1:10" ht="15.75" thickBot="1" x14ac:dyDescent="0.3">
      <c r="A5" s="360"/>
      <c r="B5" s="361"/>
      <c r="C5" s="19" t="s">
        <v>43</v>
      </c>
      <c r="D5" s="353" t="s">
        <v>60</v>
      </c>
      <c r="E5" s="354"/>
      <c r="F5" s="354"/>
      <c r="G5" s="355"/>
      <c r="H5" s="369"/>
      <c r="I5" s="349"/>
    </row>
    <row r="6" spans="1:10" ht="18.75" thickBot="1" x14ac:dyDescent="0.3">
      <c r="A6" s="370" t="s">
        <v>42</v>
      </c>
      <c r="B6" s="370"/>
      <c r="C6" s="370"/>
      <c r="D6" s="371" t="s">
        <v>50</v>
      </c>
      <c r="E6" s="371"/>
      <c r="F6" s="371"/>
      <c r="G6" s="372" t="s">
        <v>41</v>
      </c>
      <c r="H6" s="372"/>
      <c r="I6" s="20" t="s">
        <v>50</v>
      </c>
    </row>
    <row r="7" spans="1:10" x14ac:dyDescent="0.25">
      <c r="A7" s="373" t="s">
        <v>40</v>
      </c>
      <c r="B7" s="375" t="s">
        <v>51</v>
      </c>
      <c r="C7" s="377" t="s">
        <v>39</v>
      </c>
      <c r="D7" s="377" t="s">
        <v>38</v>
      </c>
      <c r="E7" s="377" t="s">
        <v>37</v>
      </c>
      <c r="F7" s="377"/>
      <c r="G7" s="377" t="s">
        <v>36</v>
      </c>
      <c r="H7" s="377"/>
      <c r="I7" s="21" t="s">
        <v>35</v>
      </c>
    </row>
    <row r="8" spans="1:10" ht="27" thickBot="1" x14ac:dyDescent="0.3">
      <c r="A8" s="374"/>
      <c r="B8" s="376"/>
      <c r="C8" s="378"/>
      <c r="D8" s="378"/>
      <c r="E8" s="22" t="s">
        <v>14</v>
      </c>
      <c r="F8" s="23" t="s">
        <v>34</v>
      </c>
      <c r="G8" s="22" t="s">
        <v>14</v>
      </c>
      <c r="H8" s="23" t="s">
        <v>34</v>
      </c>
      <c r="I8" s="24" t="s">
        <v>33</v>
      </c>
    </row>
    <row r="9" spans="1:10" x14ac:dyDescent="0.25">
      <c r="A9" s="77"/>
      <c r="B9" s="78"/>
      <c r="C9" s="79" t="s">
        <v>52</v>
      </c>
      <c r="D9" s="80"/>
      <c r="E9" s="81"/>
      <c r="F9" s="82"/>
      <c r="G9" s="81"/>
      <c r="H9" s="82"/>
      <c r="I9" s="27"/>
    </row>
    <row r="10" spans="1:10" ht="16.5" x14ac:dyDescent="0.3">
      <c r="A10" s="6">
        <v>11400066</v>
      </c>
      <c r="B10" s="83" t="s">
        <v>32</v>
      </c>
      <c r="C10" s="7" t="s">
        <v>31</v>
      </c>
      <c r="D10" s="6" t="s">
        <v>30</v>
      </c>
      <c r="E10" s="6">
        <v>10</v>
      </c>
      <c r="F10" s="6" t="s">
        <v>1</v>
      </c>
      <c r="G10" s="84"/>
      <c r="H10" s="11"/>
      <c r="I10" s="85"/>
    </row>
    <row r="11" spans="1:10" ht="16.5" x14ac:dyDescent="0.3">
      <c r="A11" s="6"/>
      <c r="B11" s="83" t="s">
        <v>61</v>
      </c>
      <c r="C11" s="7" t="s">
        <v>62</v>
      </c>
      <c r="D11" s="6" t="s">
        <v>29</v>
      </c>
      <c r="E11" s="6">
        <v>90</v>
      </c>
      <c r="F11" s="6" t="s">
        <v>1</v>
      </c>
      <c r="G11" s="84"/>
      <c r="H11" s="86"/>
      <c r="I11" s="85"/>
    </row>
    <row r="12" spans="1:10" ht="17.25" x14ac:dyDescent="0.25">
      <c r="A12" s="87">
        <v>910000003</v>
      </c>
      <c r="B12" s="88" t="s">
        <v>63</v>
      </c>
      <c r="C12" s="89" t="s">
        <v>64</v>
      </c>
      <c r="D12" s="90" t="s">
        <v>29</v>
      </c>
      <c r="E12" s="90">
        <v>20</v>
      </c>
      <c r="F12" s="90" t="s">
        <v>1</v>
      </c>
      <c r="G12" s="91"/>
      <c r="H12" s="86" t="s">
        <v>157</v>
      </c>
      <c r="I12" s="85"/>
      <c r="J12">
        <f>20/1000</f>
        <v>0.02</v>
      </c>
    </row>
    <row r="13" spans="1:10" ht="16.5" x14ac:dyDescent="0.3">
      <c r="A13" s="242">
        <v>902000168</v>
      </c>
      <c r="B13" s="243" t="s">
        <v>66</v>
      </c>
      <c r="C13" s="244" t="s">
        <v>67</v>
      </c>
      <c r="D13" s="245" t="s">
        <v>29</v>
      </c>
      <c r="E13" s="245">
        <v>10</v>
      </c>
      <c r="F13" s="245" t="s">
        <v>1</v>
      </c>
      <c r="G13" s="30"/>
      <c r="H13" s="96"/>
      <c r="I13" s="85"/>
      <c r="J13">
        <f>10/1000</f>
        <v>0.01</v>
      </c>
    </row>
    <row r="14" spans="1:10" ht="16.5" x14ac:dyDescent="0.3">
      <c r="A14" s="242"/>
      <c r="B14" s="243" t="s">
        <v>68</v>
      </c>
      <c r="C14" s="246" t="s">
        <v>69</v>
      </c>
      <c r="D14" s="245" t="s">
        <v>29</v>
      </c>
      <c r="E14" s="245">
        <v>12</v>
      </c>
      <c r="F14" s="245" t="s">
        <v>1</v>
      </c>
      <c r="G14" s="30"/>
      <c r="H14" s="96"/>
      <c r="I14" s="85"/>
    </row>
    <row r="15" spans="1:10" ht="16.5" x14ac:dyDescent="0.3">
      <c r="A15" s="242">
        <v>908000032</v>
      </c>
      <c r="B15" s="243" t="s">
        <v>70</v>
      </c>
      <c r="C15" s="246" t="s">
        <v>71</v>
      </c>
      <c r="D15" s="245" t="s">
        <v>29</v>
      </c>
      <c r="E15" s="245">
        <v>5</v>
      </c>
      <c r="F15" s="245" t="s">
        <v>1</v>
      </c>
      <c r="G15" s="30"/>
      <c r="H15" s="96"/>
      <c r="I15" s="85"/>
      <c r="J15">
        <f>5/1000</f>
        <v>5.0000000000000001E-3</v>
      </c>
    </row>
    <row r="16" spans="1:10" ht="16.5" x14ac:dyDescent="0.3">
      <c r="A16" s="247"/>
      <c r="B16" s="243" t="s">
        <v>72</v>
      </c>
      <c r="C16" s="248" t="s">
        <v>73</v>
      </c>
      <c r="D16" s="245" t="s">
        <v>74</v>
      </c>
      <c r="E16" s="245">
        <v>5</v>
      </c>
      <c r="F16" s="245" t="s">
        <v>1</v>
      </c>
      <c r="G16" s="99"/>
      <c r="H16" s="96"/>
      <c r="I16" s="85"/>
    </row>
    <row r="17" spans="1:10" x14ac:dyDescent="0.25">
      <c r="A17" s="34"/>
      <c r="B17" s="34"/>
      <c r="C17" s="35"/>
      <c r="D17" s="29"/>
      <c r="E17" s="28"/>
      <c r="F17" s="33"/>
      <c r="G17" s="100"/>
      <c r="H17" s="31"/>
      <c r="I17" s="85"/>
    </row>
    <row r="18" spans="1:10" x14ac:dyDescent="0.25">
      <c r="A18" s="101"/>
      <c r="B18" s="101"/>
      <c r="C18" s="102"/>
      <c r="D18" s="103"/>
      <c r="E18" s="36"/>
      <c r="F18" s="37"/>
      <c r="G18" s="38"/>
      <c r="H18" s="236"/>
      <c r="I18" s="27"/>
    </row>
    <row r="19" spans="1:10" x14ac:dyDescent="0.25">
      <c r="A19" s="13"/>
      <c r="B19" s="13"/>
      <c r="C19" s="12"/>
      <c r="D19" s="40"/>
      <c r="E19" s="40"/>
      <c r="F19" s="41"/>
      <c r="G19" s="25"/>
      <c r="H19" s="42"/>
      <c r="I19" s="46"/>
    </row>
    <row r="20" spans="1:10" ht="15.75" x14ac:dyDescent="0.25">
      <c r="A20" s="43"/>
      <c r="B20" s="44"/>
      <c r="C20" s="249" t="s">
        <v>53</v>
      </c>
      <c r="D20" s="46" t="s">
        <v>54</v>
      </c>
      <c r="E20" s="47"/>
      <c r="F20" s="41"/>
      <c r="G20" s="25"/>
      <c r="H20" s="42"/>
      <c r="I20" s="46"/>
    </row>
    <row r="21" spans="1:10" ht="15.75" x14ac:dyDescent="0.25">
      <c r="A21" s="87">
        <v>910000018</v>
      </c>
      <c r="B21" s="88" t="s">
        <v>75</v>
      </c>
      <c r="C21" s="89" t="s">
        <v>76</v>
      </c>
      <c r="D21" s="250" t="s">
        <v>29</v>
      </c>
      <c r="E21" s="251">
        <v>35</v>
      </c>
      <c r="F21" s="252" t="s">
        <v>1</v>
      </c>
      <c r="G21" s="108"/>
      <c r="H21" s="109"/>
      <c r="I21" s="105" t="s">
        <v>77</v>
      </c>
      <c r="J21">
        <f>35/1000</f>
        <v>3.5000000000000003E-2</v>
      </c>
    </row>
    <row r="22" spans="1:10" ht="15.75" x14ac:dyDescent="0.25">
      <c r="A22" s="87">
        <v>11400027</v>
      </c>
      <c r="B22" s="88" t="s">
        <v>78</v>
      </c>
      <c r="C22" s="89" t="s">
        <v>79</v>
      </c>
      <c r="D22" s="250" t="s">
        <v>80</v>
      </c>
      <c r="E22" s="251">
        <v>3</v>
      </c>
      <c r="F22" s="252" t="s">
        <v>1</v>
      </c>
      <c r="G22" s="108"/>
      <c r="H22" s="109"/>
      <c r="I22" s="105" t="s">
        <v>81</v>
      </c>
    </row>
    <row r="23" spans="1:10" ht="16.5" x14ac:dyDescent="0.25">
      <c r="A23" s="242">
        <v>908000032</v>
      </c>
      <c r="B23" s="243" t="s">
        <v>70</v>
      </c>
      <c r="C23" s="246" t="s">
        <v>71</v>
      </c>
      <c r="D23" s="245" t="s">
        <v>29</v>
      </c>
      <c r="E23" s="251">
        <v>15</v>
      </c>
      <c r="F23" s="252" t="s">
        <v>1</v>
      </c>
      <c r="G23" s="108"/>
      <c r="H23" s="109"/>
      <c r="I23" s="105"/>
      <c r="J23">
        <f>15/1000</f>
        <v>1.4999999999999999E-2</v>
      </c>
    </row>
    <row r="24" spans="1:10" ht="15.75" x14ac:dyDescent="0.25">
      <c r="A24" s="87"/>
      <c r="B24" s="253" t="s">
        <v>68</v>
      </c>
      <c r="C24" s="89" t="s">
        <v>69</v>
      </c>
      <c r="D24" s="254" t="s">
        <v>29</v>
      </c>
      <c r="E24" s="254">
        <v>35</v>
      </c>
      <c r="F24" s="254" t="s">
        <v>1</v>
      </c>
      <c r="G24" s="111" t="s">
        <v>82</v>
      </c>
      <c r="H24" s="238"/>
      <c r="I24" s="111" t="s">
        <v>83</v>
      </c>
    </row>
    <row r="25" spans="1:10" ht="21.6" customHeight="1" x14ac:dyDescent="0.25">
      <c r="A25" s="255"/>
      <c r="B25" s="256" t="s">
        <v>84</v>
      </c>
      <c r="C25" s="257" t="s">
        <v>85</v>
      </c>
      <c r="D25" s="254" t="s">
        <v>74</v>
      </c>
      <c r="E25" s="255">
        <v>3</v>
      </c>
      <c r="F25" s="255" t="s">
        <v>6</v>
      </c>
      <c r="G25" s="115"/>
      <c r="H25" s="112" t="s">
        <v>159</v>
      </c>
      <c r="I25" s="112"/>
      <c r="J25">
        <f>9/1000</f>
        <v>8.9999999999999993E-3</v>
      </c>
    </row>
    <row r="26" spans="1:10" ht="15.75" x14ac:dyDescent="0.25">
      <c r="A26" s="255"/>
      <c r="B26" s="258"/>
      <c r="C26" s="257"/>
      <c r="D26" s="259"/>
      <c r="E26" s="255"/>
      <c r="F26" s="255"/>
      <c r="G26" s="115"/>
      <c r="H26" s="239"/>
      <c r="I26" s="112"/>
    </row>
    <row r="27" spans="1:10" ht="16.5" x14ac:dyDescent="0.3">
      <c r="A27" s="260"/>
      <c r="B27" s="261"/>
      <c r="C27" s="262"/>
      <c r="D27" s="263"/>
      <c r="E27" s="260"/>
      <c r="F27" s="260"/>
      <c r="G27" s="122"/>
      <c r="H27" s="237"/>
      <c r="I27" s="118"/>
    </row>
    <row r="28" spans="1:10" ht="15.75" x14ac:dyDescent="0.25">
      <c r="A28" s="123"/>
      <c r="B28" s="49"/>
      <c r="C28" s="264" t="s">
        <v>55</v>
      </c>
      <c r="D28" s="51" t="s">
        <v>54</v>
      </c>
      <c r="E28" s="25"/>
      <c r="F28" s="26"/>
      <c r="G28" s="25"/>
      <c r="H28" s="42"/>
      <c r="I28" s="46"/>
    </row>
    <row r="29" spans="1:10" ht="16.5" x14ac:dyDescent="0.3">
      <c r="A29" s="9">
        <v>51400047</v>
      </c>
      <c r="B29" s="8" t="s">
        <v>28</v>
      </c>
      <c r="C29" s="7" t="s">
        <v>27</v>
      </c>
      <c r="D29" s="6"/>
      <c r="E29" s="6">
        <v>1</v>
      </c>
      <c r="F29" s="11" t="s">
        <v>6</v>
      </c>
      <c r="G29" s="32"/>
      <c r="H29" s="42"/>
      <c r="I29" s="46"/>
    </row>
    <row r="30" spans="1:10" ht="16.5" x14ac:dyDescent="0.3">
      <c r="A30" s="9">
        <v>702077</v>
      </c>
      <c r="B30" s="8" t="s">
        <v>26</v>
      </c>
      <c r="C30" s="7" t="s">
        <v>25</v>
      </c>
      <c r="D30" s="6" t="s">
        <v>56</v>
      </c>
      <c r="E30" s="6">
        <v>1</v>
      </c>
      <c r="F30" s="11" t="s">
        <v>6</v>
      </c>
      <c r="G30" s="52"/>
      <c r="H30" s="42"/>
      <c r="I30" s="46"/>
    </row>
    <row r="31" spans="1:10" ht="16.5" x14ac:dyDescent="0.3">
      <c r="A31" s="9">
        <v>702007</v>
      </c>
      <c r="B31" s="8" t="s">
        <v>24</v>
      </c>
      <c r="C31" s="7" t="s">
        <v>23</v>
      </c>
      <c r="D31" s="6" t="s">
        <v>57</v>
      </c>
      <c r="E31" s="6">
        <v>1</v>
      </c>
      <c r="F31" s="11" t="s">
        <v>6</v>
      </c>
      <c r="G31" s="25"/>
      <c r="H31" s="42"/>
      <c r="I31" s="27"/>
    </row>
    <row r="32" spans="1:10" ht="16.5" x14ac:dyDescent="0.3">
      <c r="A32" s="9">
        <v>702123</v>
      </c>
      <c r="B32" s="8" t="s">
        <v>22</v>
      </c>
      <c r="C32" s="7" t="s">
        <v>21</v>
      </c>
      <c r="D32" s="6"/>
      <c r="E32" s="6">
        <v>1</v>
      </c>
      <c r="F32" s="11" t="s">
        <v>6</v>
      </c>
      <c r="G32" s="25"/>
      <c r="H32" s="42"/>
      <c r="I32" s="27"/>
    </row>
    <row r="33" spans="1:9" ht="16.5" x14ac:dyDescent="0.3">
      <c r="A33" s="9">
        <v>702174</v>
      </c>
      <c r="B33" s="8" t="s">
        <v>20</v>
      </c>
      <c r="C33" s="7" t="s">
        <v>19</v>
      </c>
      <c r="D33" s="6"/>
      <c r="E33" s="6">
        <v>2</v>
      </c>
      <c r="F33" s="11" t="s">
        <v>6</v>
      </c>
      <c r="G33" s="25"/>
      <c r="H33" s="42"/>
      <c r="I33" s="27"/>
    </row>
    <row r="34" spans="1:9" ht="16.5" x14ac:dyDescent="0.3">
      <c r="A34" s="9">
        <v>1950699</v>
      </c>
      <c r="B34" s="8" t="s">
        <v>18</v>
      </c>
      <c r="C34" s="7" t="s">
        <v>17</v>
      </c>
      <c r="D34" s="6"/>
      <c r="E34" s="6">
        <v>1</v>
      </c>
      <c r="F34" s="10" t="s">
        <v>6</v>
      </c>
      <c r="G34" s="53"/>
      <c r="H34" s="42"/>
      <c r="I34" s="27"/>
    </row>
    <row r="35" spans="1:9" ht="16.5" x14ac:dyDescent="0.25">
      <c r="A35" s="9">
        <v>701096</v>
      </c>
      <c r="B35" s="8" t="s">
        <v>16</v>
      </c>
      <c r="C35" s="7" t="s">
        <v>15</v>
      </c>
      <c r="D35" s="6"/>
      <c r="E35" s="6">
        <v>1</v>
      </c>
      <c r="F35" s="5" t="s">
        <v>6</v>
      </c>
      <c r="G35" s="40"/>
      <c r="H35" s="42"/>
      <c r="I35" s="27"/>
    </row>
    <row r="36" spans="1:9" ht="16.5" x14ac:dyDescent="0.3">
      <c r="A36" s="4"/>
      <c r="B36" s="13"/>
      <c r="C36" s="3"/>
      <c r="D36" s="2"/>
      <c r="E36" s="1"/>
      <c r="F36" s="1"/>
      <c r="G36" s="40"/>
      <c r="H36" s="42"/>
      <c r="I36" s="27"/>
    </row>
    <row r="37" spans="1:9" ht="15.75" x14ac:dyDescent="0.25">
      <c r="A37" s="13"/>
      <c r="B37" s="48"/>
      <c r="C37" s="12"/>
      <c r="D37" s="54"/>
      <c r="E37" s="55"/>
      <c r="F37" s="33"/>
      <c r="G37" s="40"/>
      <c r="H37" s="46"/>
      <c r="I37" s="27"/>
    </row>
    <row r="38" spans="1:9" ht="15.75" x14ac:dyDescent="0.25">
      <c r="A38" s="43"/>
      <c r="B38" s="44"/>
      <c r="C38" s="56"/>
      <c r="D38" s="46"/>
      <c r="E38" s="46"/>
      <c r="F38" s="41"/>
      <c r="G38" s="57"/>
      <c r="H38" s="57"/>
      <c r="I38" s="27"/>
    </row>
    <row r="39" spans="1:9" ht="15.75" thickBot="1" x14ac:dyDescent="0.3">
      <c r="A39" s="58"/>
      <c r="B39" s="59"/>
      <c r="C39" s="60"/>
      <c r="D39" s="60"/>
      <c r="E39" s="61"/>
      <c r="F39" s="62"/>
      <c r="G39" s="60"/>
      <c r="H39" s="60"/>
      <c r="I39" s="63"/>
    </row>
    <row r="40" spans="1:9" ht="15.75" thickBot="1" x14ac:dyDescent="0.3">
      <c r="A40" s="64"/>
      <c r="B40" s="65"/>
      <c r="C40" s="66"/>
      <c r="D40" s="67" t="s">
        <v>14</v>
      </c>
      <c r="E40" s="68" t="s">
        <v>13</v>
      </c>
      <c r="F40" s="69"/>
      <c r="G40" s="66"/>
      <c r="H40" s="66"/>
      <c r="I40" s="70"/>
    </row>
    <row r="41" spans="1:9" x14ac:dyDescent="0.25">
      <c r="A41" s="379" t="s">
        <v>12</v>
      </c>
      <c r="B41" s="380"/>
      <c r="C41" s="381"/>
      <c r="D41" s="71">
        <v>220</v>
      </c>
      <c r="E41" s="72" t="s">
        <v>1</v>
      </c>
      <c r="F41" s="382" t="s">
        <v>11</v>
      </c>
      <c r="G41" s="382"/>
      <c r="H41" s="383"/>
      <c r="I41" s="384"/>
    </row>
    <row r="42" spans="1:9" x14ac:dyDescent="0.25">
      <c r="A42" s="385" t="s">
        <v>10</v>
      </c>
      <c r="B42" s="386"/>
      <c r="C42" s="387"/>
      <c r="D42" s="73">
        <v>3</v>
      </c>
      <c r="E42" s="74" t="s">
        <v>9</v>
      </c>
      <c r="F42" s="388" t="s">
        <v>8</v>
      </c>
      <c r="G42" s="388"/>
      <c r="H42" s="389"/>
      <c r="I42" s="390"/>
    </row>
    <row r="43" spans="1:9" x14ac:dyDescent="0.25">
      <c r="A43" s="385" t="s">
        <v>7</v>
      </c>
      <c r="B43" s="386"/>
      <c r="C43" s="387"/>
      <c r="D43" s="74">
        <v>1</v>
      </c>
      <c r="E43" s="74" t="s">
        <v>6</v>
      </c>
      <c r="F43" s="388" t="s">
        <v>5</v>
      </c>
      <c r="G43" s="388"/>
      <c r="H43" s="389"/>
      <c r="I43" s="390"/>
    </row>
    <row r="44" spans="1:9" x14ac:dyDescent="0.25">
      <c r="A44" s="385" t="s">
        <v>4</v>
      </c>
      <c r="B44" s="386"/>
      <c r="C44" s="387"/>
      <c r="D44" s="74">
        <v>220</v>
      </c>
      <c r="E44" s="74" t="s">
        <v>1</v>
      </c>
      <c r="F44" s="394" t="s">
        <v>3</v>
      </c>
      <c r="G44" s="395"/>
      <c r="H44" s="389"/>
      <c r="I44" s="390"/>
    </row>
    <row r="45" spans="1:9" ht="15.75" thickBot="1" x14ac:dyDescent="0.3">
      <c r="A45" s="396" t="s">
        <v>2</v>
      </c>
      <c r="B45" s="397"/>
      <c r="C45" s="398"/>
      <c r="D45" s="75">
        <v>23</v>
      </c>
      <c r="E45" s="76" t="s">
        <v>1</v>
      </c>
      <c r="F45" s="399"/>
      <c r="G45" s="399"/>
      <c r="H45" s="400"/>
      <c r="I45" s="401"/>
    </row>
    <row r="46" spans="1:9" ht="15.75" thickBot="1" x14ac:dyDescent="0.3">
      <c r="A46" s="402" t="s">
        <v>0</v>
      </c>
      <c r="B46" s="403"/>
      <c r="C46" s="403"/>
      <c r="D46" s="403"/>
      <c r="E46" s="403"/>
      <c r="F46" s="403"/>
      <c r="G46" s="403"/>
      <c r="H46" s="403"/>
      <c r="I46" s="404"/>
    </row>
    <row r="47" spans="1:9" x14ac:dyDescent="0.25">
      <c r="A47" s="405" t="s">
        <v>86</v>
      </c>
      <c r="B47" s="406"/>
      <c r="C47" s="406"/>
      <c r="D47" s="406"/>
      <c r="E47" s="406"/>
      <c r="F47" s="406"/>
      <c r="G47" s="406"/>
      <c r="H47" s="406"/>
      <c r="I47" s="407"/>
    </row>
    <row r="48" spans="1:9" x14ac:dyDescent="0.25">
      <c r="A48" s="391" t="s">
        <v>87</v>
      </c>
      <c r="B48" s="392"/>
      <c r="C48" s="392"/>
      <c r="D48" s="392"/>
      <c r="E48" s="392"/>
      <c r="F48" s="392"/>
      <c r="G48" s="392"/>
      <c r="H48" s="392"/>
      <c r="I48" s="393"/>
    </row>
    <row r="49" spans="1:9" x14ac:dyDescent="0.25">
      <c r="A49" s="410" t="s">
        <v>88</v>
      </c>
      <c r="B49" s="411"/>
      <c r="C49" s="411"/>
      <c r="D49" s="411"/>
      <c r="E49" s="411"/>
      <c r="F49" s="411"/>
      <c r="G49" s="411"/>
      <c r="H49" s="411"/>
      <c r="I49" s="412"/>
    </row>
    <row r="50" spans="1:9" x14ac:dyDescent="0.25">
      <c r="A50" s="410" t="s">
        <v>89</v>
      </c>
      <c r="B50" s="411"/>
      <c r="C50" s="411"/>
      <c r="D50" s="411"/>
      <c r="E50" s="411"/>
      <c r="F50" s="411"/>
      <c r="G50" s="411"/>
      <c r="H50" s="411"/>
      <c r="I50" s="412"/>
    </row>
    <row r="51" spans="1:9" x14ac:dyDescent="0.25">
      <c r="A51" s="413" t="s">
        <v>90</v>
      </c>
      <c r="B51" s="414"/>
      <c r="C51" s="415"/>
      <c r="D51" s="415"/>
      <c r="E51" s="415"/>
      <c r="F51" s="415"/>
      <c r="G51" s="415"/>
      <c r="H51" s="415"/>
      <c r="I51" s="416"/>
    </row>
    <row r="52" spans="1:9" x14ac:dyDescent="0.25">
      <c r="A52" s="410"/>
      <c r="B52" s="411"/>
      <c r="C52" s="411"/>
      <c r="D52" s="411"/>
      <c r="E52" s="411"/>
      <c r="F52" s="411"/>
      <c r="G52" s="411"/>
      <c r="H52" s="411"/>
      <c r="I52" s="412"/>
    </row>
    <row r="53" spans="1:9" x14ac:dyDescent="0.25">
      <c r="A53" s="391"/>
      <c r="B53" s="392"/>
      <c r="C53" s="392"/>
      <c r="D53" s="392"/>
      <c r="E53" s="392"/>
      <c r="F53" s="392"/>
      <c r="G53" s="392"/>
      <c r="H53" s="392"/>
      <c r="I53" s="393"/>
    </row>
    <row r="54" spans="1:9" x14ac:dyDescent="0.25">
      <c r="A54" s="391"/>
      <c r="B54" s="392"/>
      <c r="C54" s="392"/>
      <c r="D54" s="392"/>
      <c r="E54" s="392"/>
      <c r="F54" s="392"/>
      <c r="G54" s="392"/>
      <c r="H54" s="392"/>
      <c r="I54" s="393"/>
    </row>
    <row r="55" spans="1:9" x14ac:dyDescent="0.25">
      <c r="A55" s="391"/>
      <c r="B55" s="392"/>
      <c r="C55" s="392"/>
      <c r="D55" s="392"/>
      <c r="E55" s="392"/>
      <c r="F55" s="392"/>
      <c r="G55" s="392"/>
      <c r="H55" s="392"/>
      <c r="I55" s="393"/>
    </row>
    <row r="56" spans="1:9" x14ac:dyDescent="0.25">
      <c r="A56" s="391"/>
      <c r="B56" s="392"/>
      <c r="C56" s="392"/>
      <c r="D56" s="392"/>
      <c r="E56" s="392"/>
      <c r="F56" s="392"/>
      <c r="G56" s="392"/>
      <c r="H56" s="392"/>
      <c r="I56" s="393"/>
    </row>
    <row r="57" spans="1:9" ht="15.75" thickBot="1" x14ac:dyDescent="0.3">
      <c r="A57" s="417"/>
      <c r="B57" s="418"/>
      <c r="C57" s="418"/>
      <c r="D57" s="418"/>
      <c r="E57" s="418"/>
      <c r="F57" s="418"/>
      <c r="G57" s="418"/>
      <c r="H57" s="418"/>
      <c r="I57" s="419"/>
    </row>
    <row r="58" spans="1:9" x14ac:dyDescent="0.25">
      <c r="A58" s="420" t="s">
        <v>58</v>
      </c>
      <c r="B58" s="421"/>
      <c r="C58" s="421"/>
      <c r="D58" s="421"/>
      <c r="E58" s="421"/>
      <c r="F58" s="421"/>
      <c r="G58" s="421"/>
      <c r="H58" s="421"/>
      <c r="I58" s="421"/>
    </row>
    <row r="59" spans="1:9" x14ac:dyDescent="0.25">
      <c r="A59" s="408"/>
      <c r="B59" s="409"/>
      <c r="C59" s="409"/>
      <c r="D59" s="409"/>
      <c r="E59" s="409"/>
      <c r="F59" s="409"/>
      <c r="G59" s="409"/>
      <c r="H59" s="409"/>
      <c r="I59" s="409"/>
    </row>
    <row r="60" spans="1:9" x14ac:dyDescent="0.25">
      <c r="A60" s="408"/>
      <c r="B60" s="409"/>
      <c r="C60" s="409"/>
      <c r="D60" s="409"/>
      <c r="E60" s="409"/>
      <c r="F60" s="409"/>
      <c r="G60" s="409"/>
      <c r="H60" s="409"/>
      <c r="I60" s="409"/>
    </row>
  </sheetData>
  <mergeCells count="47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1:C41"/>
    <mergeCell ref="F41:G41"/>
    <mergeCell ref="H41:I41"/>
    <mergeCell ref="A42:C42"/>
    <mergeCell ref="F42:G42"/>
    <mergeCell ref="H42:I42"/>
    <mergeCell ref="A48:I48"/>
    <mergeCell ref="A43:C43"/>
    <mergeCell ref="F43:G43"/>
    <mergeCell ref="H43:I43"/>
    <mergeCell ref="A44:C44"/>
    <mergeCell ref="F44:G44"/>
    <mergeCell ref="H44:I44"/>
    <mergeCell ref="A45:C45"/>
    <mergeCell ref="F45:G45"/>
    <mergeCell ref="H45:I45"/>
    <mergeCell ref="A46:I46"/>
    <mergeCell ref="A47:I47"/>
    <mergeCell ref="A60:I60"/>
    <mergeCell ref="A49:I49"/>
    <mergeCell ref="A50:I50"/>
    <mergeCell ref="A51:I51"/>
    <mergeCell ref="A52:I52"/>
    <mergeCell ref="A53:I53"/>
    <mergeCell ref="A54:I54"/>
    <mergeCell ref="A55:I55"/>
    <mergeCell ref="A56:I56"/>
    <mergeCell ref="A57:I57"/>
    <mergeCell ref="A58:I58"/>
    <mergeCell ref="A59:I5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DDD94-1FA4-469C-9452-89A6A2BD4F29}">
  <sheetPr>
    <pageSetUpPr fitToPage="1"/>
  </sheetPr>
  <dimension ref="A1:I43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6.85546875" bestFit="1" customWidth="1"/>
    <col min="2" max="2" width="15.85546875" customWidth="1"/>
    <col min="3" max="3" width="60.5703125" customWidth="1"/>
    <col min="4" max="4" width="22" customWidth="1"/>
    <col min="5" max="6" width="14" customWidth="1"/>
    <col min="7" max="7" width="19.5703125" customWidth="1"/>
    <col min="8" max="8" width="16.42578125" customWidth="1"/>
    <col min="9" max="9" width="18" customWidth="1"/>
  </cols>
  <sheetData>
    <row r="1" spans="1:9" ht="15.75" x14ac:dyDescent="0.25">
      <c r="A1" s="356"/>
      <c r="B1" s="357"/>
      <c r="C1" s="362" t="s">
        <v>49</v>
      </c>
      <c r="D1" s="362"/>
      <c r="E1" s="362"/>
      <c r="F1" s="362"/>
      <c r="G1" s="362"/>
      <c r="H1" s="15" t="s">
        <v>48</v>
      </c>
      <c r="I1" s="14" t="s">
        <v>165</v>
      </c>
    </row>
    <row r="2" spans="1:9" ht="16.5" thickBot="1" x14ac:dyDescent="0.3">
      <c r="A2" s="358"/>
      <c r="B2" s="359"/>
      <c r="C2" s="363" t="s">
        <v>47</v>
      </c>
      <c r="D2" s="363"/>
      <c r="E2" s="363"/>
      <c r="F2" s="363"/>
      <c r="G2" s="363"/>
      <c r="H2" s="16" t="s">
        <v>46</v>
      </c>
      <c r="I2" s="17" t="s">
        <v>160</v>
      </c>
    </row>
    <row r="3" spans="1:9" ht="26.25" thickBot="1" x14ac:dyDescent="0.4">
      <c r="A3" s="358"/>
      <c r="B3" s="359"/>
      <c r="C3" s="461" t="s">
        <v>164</v>
      </c>
      <c r="D3" s="462"/>
      <c r="E3" s="462"/>
      <c r="F3" s="462"/>
      <c r="G3" s="463"/>
      <c r="H3" s="367" t="s">
        <v>45</v>
      </c>
      <c r="I3" s="347">
        <v>45982</v>
      </c>
    </row>
    <row r="4" spans="1:9" x14ac:dyDescent="0.25">
      <c r="A4" s="358"/>
      <c r="B4" s="359"/>
      <c r="C4" s="18" t="s">
        <v>44</v>
      </c>
      <c r="D4" s="350" t="s">
        <v>59</v>
      </c>
      <c r="E4" s="351"/>
      <c r="F4" s="351"/>
      <c r="G4" s="352"/>
      <c r="H4" s="368"/>
      <c r="I4" s="348"/>
    </row>
    <row r="5" spans="1:9" ht="15.75" thickBot="1" x14ac:dyDescent="0.3">
      <c r="A5" s="360"/>
      <c r="B5" s="361"/>
      <c r="C5" s="19" t="s">
        <v>43</v>
      </c>
      <c r="D5" s="353" t="s">
        <v>60</v>
      </c>
      <c r="E5" s="354"/>
      <c r="F5" s="354"/>
      <c r="G5" s="355"/>
      <c r="H5" s="369"/>
      <c r="I5" s="349"/>
    </row>
    <row r="6" spans="1:9" ht="18.75" thickBot="1" x14ac:dyDescent="0.3">
      <c r="A6" s="370" t="s">
        <v>42</v>
      </c>
      <c r="B6" s="370"/>
      <c r="C6" s="370"/>
      <c r="D6" s="460" t="s">
        <v>50</v>
      </c>
      <c r="E6" s="460"/>
      <c r="F6" s="460"/>
      <c r="G6" s="372" t="s">
        <v>41</v>
      </c>
      <c r="H6" s="372"/>
      <c r="I6" s="266" t="s">
        <v>50</v>
      </c>
    </row>
    <row r="7" spans="1:9" ht="27" customHeight="1" x14ac:dyDescent="0.25">
      <c r="A7" s="373" t="s">
        <v>40</v>
      </c>
      <c r="B7" s="375" t="s">
        <v>51</v>
      </c>
      <c r="C7" s="377" t="s">
        <v>39</v>
      </c>
      <c r="D7" s="377" t="s">
        <v>38</v>
      </c>
      <c r="E7" s="377" t="s">
        <v>37</v>
      </c>
      <c r="F7" s="377"/>
      <c r="G7" s="377" t="s">
        <v>36</v>
      </c>
      <c r="H7" s="377"/>
      <c r="I7" s="21" t="s">
        <v>35</v>
      </c>
    </row>
    <row r="8" spans="1:9" ht="27" thickBot="1" x14ac:dyDescent="0.3">
      <c r="A8" s="374"/>
      <c r="B8" s="376"/>
      <c r="C8" s="378"/>
      <c r="D8" s="378"/>
      <c r="E8" s="22" t="s">
        <v>14</v>
      </c>
      <c r="F8" s="23" t="s">
        <v>34</v>
      </c>
      <c r="G8" s="22" t="s">
        <v>14</v>
      </c>
      <c r="H8" s="23" t="s">
        <v>34</v>
      </c>
      <c r="I8" s="24" t="s">
        <v>33</v>
      </c>
    </row>
    <row r="9" spans="1:9" ht="20.25" x14ac:dyDescent="0.3">
      <c r="A9" s="267"/>
      <c r="B9" s="268"/>
      <c r="C9" s="269" t="s">
        <v>52</v>
      </c>
      <c r="D9" s="270"/>
      <c r="E9" s="271"/>
      <c r="F9" s="272"/>
      <c r="G9" s="271"/>
      <c r="H9" s="272"/>
      <c r="I9" s="273"/>
    </row>
    <row r="10" spans="1:9" ht="20.25" x14ac:dyDescent="0.3">
      <c r="A10" s="274"/>
      <c r="B10" s="282" t="s">
        <v>68</v>
      </c>
      <c r="C10" s="283" t="s">
        <v>69</v>
      </c>
      <c r="D10" s="284" t="s">
        <v>29</v>
      </c>
      <c r="E10" s="274">
        <v>320</v>
      </c>
      <c r="F10" s="274"/>
      <c r="G10" s="277" t="s">
        <v>161</v>
      </c>
      <c r="H10" s="278"/>
      <c r="I10" s="279"/>
    </row>
    <row r="11" spans="1:9" ht="20.25" x14ac:dyDescent="0.3">
      <c r="A11" s="274"/>
      <c r="B11" s="275"/>
      <c r="C11" s="276"/>
      <c r="D11" s="274"/>
      <c r="E11" s="274"/>
      <c r="F11" s="274"/>
      <c r="G11" s="277"/>
      <c r="H11" s="280"/>
      <c r="I11" s="279"/>
    </row>
    <row r="12" spans="1:9" ht="20.25" x14ac:dyDescent="0.3">
      <c r="A12" s="281"/>
      <c r="B12" s="282"/>
      <c r="C12" s="283"/>
      <c r="D12" s="284"/>
      <c r="E12" s="284"/>
      <c r="F12" s="284"/>
      <c r="G12" s="285"/>
      <c r="H12" s="280"/>
      <c r="I12" s="279"/>
    </row>
    <row r="13" spans="1:9" ht="20.25" x14ac:dyDescent="0.3">
      <c r="A13" s="288"/>
      <c r="B13" s="289"/>
      <c r="C13" s="290"/>
      <c r="D13" s="344"/>
      <c r="E13" s="291"/>
      <c r="F13" s="292"/>
      <c r="G13" s="321"/>
      <c r="H13" s="286"/>
      <c r="I13" s="273"/>
    </row>
    <row r="14" spans="1:9" ht="20.25" x14ac:dyDescent="0.3">
      <c r="A14" s="289"/>
      <c r="B14" s="289"/>
      <c r="C14" s="290"/>
      <c r="D14" s="291"/>
      <c r="E14" s="291"/>
      <c r="F14" s="292"/>
      <c r="G14" s="293"/>
      <c r="H14" s="294"/>
      <c r="I14" s="295"/>
    </row>
    <row r="15" spans="1:9" ht="20.25" x14ac:dyDescent="0.3">
      <c r="A15" s="296"/>
      <c r="B15" s="297"/>
      <c r="C15" s="298" t="s">
        <v>53</v>
      </c>
      <c r="D15" s="295" t="s">
        <v>54</v>
      </c>
      <c r="E15" s="299"/>
      <c r="F15" s="292"/>
      <c r="G15" s="293"/>
      <c r="H15" s="294"/>
      <c r="I15" s="295"/>
    </row>
    <row r="16" spans="1:9" ht="20.25" x14ac:dyDescent="0.25">
      <c r="A16" s="281"/>
      <c r="B16" s="282"/>
      <c r="C16" s="283"/>
      <c r="D16" s="274"/>
      <c r="E16" s="285"/>
      <c r="F16" s="300"/>
      <c r="G16" s="301"/>
      <c r="H16" s="302"/>
      <c r="I16" s="303"/>
    </row>
    <row r="17" spans="1:9" ht="20.25" x14ac:dyDescent="0.25">
      <c r="A17" s="281"/>
      <c r="B17" s="282"/>
      <c r="C17" s="283"/>
      <c r="D17" s="274"/>
      <c r="E17" s="285"/>
      <c r="F17" s="300"/>
      <c r="G17" s="301"/>
      <c r="H17" s="302"/>
      <c r="I17" s="303"/>
    </row>
    <row r="18" spans="1:9" ht="20.25" x14ac:dyDescent="0.25">
      <c r="A18" s="281"/>
      <c r="B18" s="282"/>
      <c r="C18" s="283"/>
      <c r="D18" s="284"/>
      <c r="E18" s="285"/>
      <c r="F18" s="300"/>
      <c r="G18" s="301"/>
      <c r="H18" s="302"/>
      <c r="I18" s="303"/>
    </row>
    <row r="19" spans="1:9" ht="20.25" x14ac:dyDescent="0.3">
      <c r="A19" s="281"/>
      <c r="B19" s="345"/>
      <c r="C19" s="283"/>
      <c r="D19" s="284"/>
      <c r="E19" s="284"/>
      <c r="F19" s="284"/>
      <c r="G19" s="304"/>
      <c r="H19" s="305"/>
      <c r="I19" s="304"/>
    </row>
    <row r="20" spans="1:9" ht="21.6" customHeight="1" x14ac:dyDescent="0.3">
      <c r="A20" s="295"/>
      <c r="B20" s="306"/>
      <c r="C20" s="307"/>
      <c r="D20" s="284"/>
      <c r="E20" s="295"/>
      <c r="F20" s="295"/>
      <c r="G20" s="308"/>
      <c r="H20" s="309"/>
      <c r="I20" s="309"/>
    </row>
    <row r="21" spans="1:9" ht="20.25" x14ac:dyDescent="0.3">
      <c r="A21" s="295"/>
      <c r="B21" s="310"/>
      <c r="C21" s="307"/>
      <c r="D21" s="311"/>
      <c r="E21" s="295"/>
      <c r="F21" s="295"/>
      <c r="G21" s="308"/>
      <c r="H21" s="312"/>
      <c r="I21" s="309"/>
    </row>
    <row r="22" spans="1:9" ht="20.25" x14ac:dyDescent="0.3">
      <c r="A22" s="295"/>
      <c r="B22" s="310"/>
      <c r="C22" s="307"/>
      <c r="D22" s="311"/>
      <c r="E22" s="295"/>
      <c r="F22" s="295"/>
      <c r="G22" s="308"/>
      <c r="H22" s="312"/>
      <c r="I22" s="309"/>
    </row>
    <row r="23" spans="1:9" ht="20.25" x14ac:dyDescent="0.3">
      <c r="A23" s="313"/>
      <c r="B23" s="314"/>
      <c r="C23" s="315" t="s">
        <v>55</v>
      </c>
      <c r="D23" s="316" t="s">
        <v>54</v>
      </c>
      <c r="E23" s="293"/>
      <c r="F23" s="317"/>
      <c r="G23" s="293"/>
      <c r="H23" s="294"/>
      <c r="I23" s="295"/>
    </row>
    <row r="24" spans="1:9" ht="20.25" x14ac:dyDescent="0.3">
      <c r="A24" s="318"/>
      <c r="B24" s="319"/>
      <c r="C24" s="276"/>
      <c r="D24" s="274"/>
      <c r="E24" s="274"/>
      <c r="F24" s="278"/>
      <c r="G24" s="320"/>
      <c r="H24" s="294"/>
      <c r="I24" s="295"/>
    </row>
    <row r="25" spans="1:9" ht="20.25" x14ac:dyDescent="0.3">
      <c r="A25" s="318"/>
      <c r="B25" s="319"/>
      <c r="C25" s="276"/>
      <c r="D25" s="274"/>
      <c r="E25" s="274"/>
      <c r="F25" s="278"/>
      <c r="G25" s="321"/>
      <c r="H25" s="294"/>
      <c r="I25" s="295"/>
    </row>
    <row r="26" spans="1:9" ht="20.25" x14ac:dyDescent="0.3">
      <c r="A26" s="322"/>
      <c r="B26" s="289"/>
      <c r="C26" s="323"/>
      <c r="D26" s="323"/>
      <c r="E26" s="346"/>
      <c r="F26" s="346"/>
      <c r="G26" s="291"/>
      <c r="H26" s="294"/>
      <c r="I26" s="273"/>
    </row>
    <row r="27" spans="1:9" ht="20.25" x14ac:dyDescent="0.3">
      <c r="A27" s="289"/>
      <c r="B27" s="324"/>
      <c r="C27" s="290"/>
      <c r="D27" s="278"/>
      <c r="E27" s="277"/>
      <c r="F27" s="287"/>
      <c r="G27" s="291"/>
      <c r="H27" s="295"/>
      <c r="I27" s="273"/>
    </row>
    <row r="28" spans="1:9" ht="20.25" x14ac:dyDescent="0.3">
      <c r="A28" s="296"/>
      <c r="B28" s="297"/>
      <c r="C28" s="325"/>
      <c r="D28" s="295"/>
      <c r="E28" s="295"/>
      <c r="F28" s="292"/>
      <c r="G28" s="295"/>
      <c r="H28" s="295"/>
      <c r="I28" s="273"/>
    </row>
    <row r="29" spans="1:9" ht="21" thickBot="1" x14ac:dyDescent="0.35">
      <c r="A29" s="326"/>
      <c r="B29" s="327"/>
      <c r="C29" s="328"/>
      <c r="D29" s="328"/>
      <c r="E29" s="329"/>
      <c r="F29" s="330"/>
      <c r="G29" s="328"/>
      <c r="H29" s="328"/>
      <c r="I29" s="331"/>
    </row>
    <row r="30" spans="1:9" ht="21" thickBot="1" x14ac:dyDescent="0.35">
      <c r="A30" s="332"/>
      <c r="B30" s="333"/>
      <c r="C30" s="334"/>
      <c r="D30" s="335" t="s">
        <v>14</v>
      </c>
      <c r="E30" s="336" t="s">
        <v>13</v>
      </c>
      <c r="F30" s="337"/>
      <c r="G30" s="334"/>
      <c r="H30" s="334"/>
      <c r="I30" s="338"/>
    </row>
    <row r="31" spans="1:9" ht="20.25" x14ac:dyDescent="0.3">
      <c r="A31" s="454" t="s">
        <v>12</v>
      </c>
      <c r="B31" s="455"/>
      <c r="C31" s="456"/>
      <c r="D31" s="339">
        <v>310</v>
      </c>
      <c r="E31" s="340" t="s">
        <v>1</v>
      </c>
      <c r="F31" s="457" t="s">
        <v>11</v>
      </c>
      <c r="G31" s="457"/>
      <c r="H31" s="458"/>
      <c r="I31" s="459"/>
    </row>
    <row r="32" spans="1:9" ht="20.25" x14ac:dyDescent="0.3">
      <c r="A32" s="446" t="s">
        <v>10</v>
      </c>
      <c r="B32" s="447"/>
      <c r="C32" s="448"/>
      <c r="D32" s="341">
        <v>1</v>
      </c>
      <c r="E32" s="278" t="s">
        <v>9</v>
      </c>
      <c r="F32" s="449" t="s">
        <v>8</v>
      </c>
      <c r="G32" s="449"/>
      <c r="H32" s="450"/>
      <c r="I32" s="451"/>
    </row>
    <row r="33" spans="1:9" ht="20.25" x14ac:dyDescent="0.3">
      <c r="A33" s="446" t="s">
        <v>7</v>
      </c>
      <c r="B33" s="447"/>
      <c r="C33" s="448"/>
      <c r="D33" s="278">
        <v>1</v>
      </c>
      <c r="E33" s="278" t="s">
        <v>6</v>
      </c>
      <c r="F33" s="449" t="s">
        <v>5</v>
      </c>
      <c r="G33" s="449"/>
      <c r="H33" s="450"/>
      <c r="I33" s="451"/>
    </row>
    <row r="34" spans="1:9" ht="20.25" x14ac:dyDescent="0.3">
      <c r="A34" s="446" t="s">
        <v>4</v>
      </c>
      <c r="B34" s="447"/>
      <c r="C34" s="448"/>
      <c r="D34" s="278">
        <v>310</v>
      </c>
      <c r="E34" s="278" t="s">
        <v>1</v>
      </c>
      <c r="F34" s="452" t="s">
        <v>3</v>
      </c>
      <c r="G34" s="453"/>
      <c r="H34" s="450"/>
      <c r="I34" s="451"/>
    </row>
    <row r="35" spans="1:9" ht="21" thickBot="1" x14ac:dyDescent="0.35">
      <c r="A35" s="434" t="s">
        <v>2</v>
      </c>
      <c r="B35" s="435"/>
      <c r="C35" s="436"/>
      <c r="D35" s="342">
        <f>SUM(E10)-D31</f>
        <v>10</v>
      </c>
      <c r="E35" s="343" t="s">
        <v>1</v>
      </c>
      <c r="F35" s="437"/>
      <c r="G35" s="437"/>
      <c r="H35" s="438"/>
      <c r="I35" s="439"/>
    </row>
    <row r="36" spans="1:9" ht="21" thickBot="1" x14ac:dyDescent="0.35">
      <c r="A36" s="440" t="s">
        <v>0</v>
      </c>
      <c r="B36" s="441"/>
      <c r="C36" s="441"/>
      <c r="D36" s="441"/>
      <c r="E36" s="441"/>
      <c r="F36" s="441"/>
      <c r="G36" s="441"/>
      <c r="H36" s="441"/>
      <c r="I36" s="442"/>
    </row>
    <row r="37" spans="1:9" ht="20.25" x14ac:dyDescent="0.3">
      <c r="A37" s="443" t="s">
        <v>162</v>
      </c>
      <c r="B37" s="444"/>
      <c r="C37" s="444"/>
      <c r="D37" s="444"/>
      <c r="E37" s="444"/>
      <c r="F37" s="444"/>
      <c r="G37" s="444"/>
      <c r="H37" s="444"/>
      <c r="I37" s="445"/>
    </row>
    <row r="38" spans="1:9" ht="20.25" x14ac:dyDescent="0.3">
      <c r="A38" s="422" t="s">
        <v>163</v>
      </c>
      <c r="B38" s="423"/>
      <c r="C38" s="423"/>
      <c r="D38" s="423"/>
      <c r="E38" s="423"/>
      <c r="F38" s="423"/>
      <c r="G38" s="423"/>
      <c r="H38" s="423"/>
      <c r="I38" s="424"/>
    </row>
    <row r="39" spans="1:9" ht="20.25" x14ac:dyDescent="0.3">
      <c r="A39" s="431"/>
      <c r="B39" s="432"/>
      <c r="C39" s="432"/>
      <c r="D39" s="432"/>
      <c r="E39" s="432"/>
      <c r="F39" s="432"/>
      <c r="G39" s="432"/>
      <c r="H39" s="432"/>
      <c r="I39" s="433"/>
    </row>
    <row r="40" spans="1:9" ht="21" thickBot="1" x14ac:dyDescent="0.35">
      <c r="A40" s="425"/>
      <c r="B40" s="426"/>
      <c r="C40" s="426"/>
      <c r="D40" s="426"/>
      <c r="E40" s="426"/>
      <c r="F40" s="426"/>
      <c r="G40" s="426"/>
      <c r="H40" s="426"/>
      <c r="I40" s="427"/>
    </row>
    <row r="41" spans="1:9" ht="20.25" x14ac:dyDescent="0.3">
      <c r="A41" s="428" t="s">
        <v>58</v>
      </c>
      <c r="B41" s="429"/>
      <c r="C41" s="429"/>
      <c r="D41" s="429"/>
      <c r="E41" s="429"/>
      <c r="F41" s="429"/>
      <c r="G41" s="429"/>
      <c r="H41" s="429"/>
      <c r="I41" s="429"/>
    </row>
    <row r="42" spans="1:9" ht="20.25" x14ac:dyDescent="0.3">
      <c r="A42" s="430"/>
      <c r="B42" s="430"/>
      <c r="C42" s="430"/>
      <c r="D42" s="430"/>
      <c r="E42" s="430"/>
      <c r="F42" s="430"/>
      <c r="G42" s="430"/>
      <c r="H42" s="430"/>
      <c r="I42" s="430"/>
    </row>
    <row r="43" spans="1:9" ht="20.25" x14ac:dyDescent="0.3">
      <c r="A43" s="430"/>
      <c r="B43" s="430"/>
      <c r="C43" s="430"/>
      <c r="D43" s="430"/>
      <c r="E43" s="430"/>
      <c r="F43" s="430"/>
      <c r="G43" s="430"/>
      <c r="H43" s="430"/>
      <c r="I43" s="430"/>
    </row>
  </sheetData>
  <mergeCells count="40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1:C31"/>
    <mergeCell ref="F31:G31"/>
    <mergeCell ref="H31:I31"/>
    <mergeCell ref="A32:C32"/>
    <mergeCell ref="F32:G32"/>
    <mergeCell ref="H32:I32"/>
    <mergeCell ref="A38:I38"/>
    <mergeCell ref="A33:C33"/>
    <mergeCell ref="F33:G33"/>
    <mergeCell ref="H33:I33"/>
    <mergeCell ref="A34:C34"/>
    <mergeCell ref="F34:G34"/>
    <mergeCell ref="H34:I34"/>
    <mergeCell ref="A35:C35"/>
    <mergeCell ref="F35:G35"/>
    <mergeCell ref="H35:I35"/>
    <mergeCell ref="A36:I36"/>
    <mergeCell ref="A37:I37"/>
    <mergeCell ref="A43:I43"/>
    <mergeCell ref="A39:I39"/>
    <mergeCell ref="A40:I40"/>
    <mergeCell ref="A41:I41"/>
    <mergeCell ref="A42:I42"/>
  </mergeCells>
  <pageMargins left="0.7" right="0.7" top="0.75" bottom="0.75" header="0.3" footer="0.3"/>
  <pageSetup scale="4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352CD-B3D4-44D4-8433-3FAE3A37559D}">
  <dimension ref="A1:Q93"/>
  <sheetViews>
    <sheetView topLeftCell="A4" workbookViewId="0">
      <selection activeCell="F21" sqref="F21"/>
    </sheetView>
  </sheetViews>
  <sheetFormatPr baseColWidth="10" defaultColWidth="8.42578125" defaultRowHeight="12.75" x14ac:dyDescent="0.25"/>
  <cols>
    <col min="1" max="1" width="10" style="131" bestFit="1" customWidth="1"/>
    <col min="2" max="2" width="44.28515625" style="131" bestFit="1" customWidth="1"/>
    <col min="3" max="3" width="10.42578125" style="131" bestFit="1" customWidth="1"/>
    <col min="4" max="4" width="10.42578125" style="131" customWidth="1"/>
    <col min="5" max="5" width="11" style="131" customWidth="1"/>
    <col min="6" max="6" width="9.5703125" style="131" bestFit="1" customWidth="1"/>
    <col min="7" max="7" width="10.85546875" style="213" customWidth="1"/>
    <col min="8" max="8" width="10.42578125" style="204" bestFit="1" customWidth="1"/>
    <col min="9" max="9" width="4.5703125" style="204" customWidth="1"/>
    <col min="10" max="10" width="1.85546875" style="130" customWidth="1"/>
    <col min="11" max="11" width="7" style="131" bestFit="1" customWidth="1"/>
    <col min="12" max="12" width="6.28515625" style="131" customWidth="1"/>
    <col min="13" max="13" width="20.42578125" style="131" customWidth="1"/>
    <col min="14" max="14" width="6.42578125" style="131" bestFit="1" customWidth="1"/>
    <col min="15" max="15" width="9.28515625" style="131" bestFit="1" customWidth="1"/>
    <col min="16" max="16" width="8.42578125" style="131"/>
    <col min="17" max="17" width="3.28515625" style="131" customWidth="1"/>
    <col min="18" max="16384" width="8.42578125" style="131"/>
  </cols>
  <sheetData>
    <row r="1" spans="1:10" ht="27.75" customHeight="1" x14ac:dyDescent="0.25">
      <c r="A1" s="126"/>
      <c r="B1" s="126"/>
      <c r="C1" s="126"/>
      <c r="D1" s="126"/>
      <c r="E1" s="127" t="s">
        <v>92</v>
      </c>
      <c r="F1" s="128" t="s">
        <v>93</v>
      </c>
      <c r="G1" s="128" t="s">
        <v>94</v>
      </c>
      <c r="H1" s="128" t="s">
        <v>95</v>
      </c>
      <c r="I1" s="129"/>
    </row>
    <row r="2" spans="1:10" ht="30.75" customHeight="1" x14ac:dyDescent="0.25">
      <c r="A2" s="126"/>
      <c r="B2" s="126"/>
      <c r="C2" s="126"/>
      <c r="D2" s="126"/>
      <c r="E2" s="132">
        <f>IFERROR(O64,"")</f>
        <v>1416.6948242424241</v>
      </c>
      <c r="F2" s="132">
        <f>IFERROR(H55,"")</f>
        <v>561.80000000000007</v>
      </c>
      <c r="G2" s="132">
        <f>IFERROR(H56,"")</f>
        <v>297.45773333333329</v>
      </c>
      <c r="H2" s="132">
        <f>IFERROR(H58,"")</f>
        <v>268.26659999999998</v>
      </c>
      <c r="I2" s="133"/>
    </row>
    <row r="3" spans="1:10" ht="15" customHeight="1" x14ac:dyDescent="0.25">
      <c r="A3" s="126"/>
      <c r="B3" s="126"/>
      <c r="C3" s="126"/>
      <c r="D3" s="126"/>
      <c r="E3" s="126"/>
      <c r="F3" s="134"/>
      <c r="G3" s="134"/>
      <c r="H3" s="134"/>
      <c r="I3" s="134"/>
    </row>
    <row r="4" spans="1:10" ht="24.75" customHeight="1" thickBot="1" x14ac:dyDescent="0.3">
      <c r="A4" s="490"/>
      <c r="B4" s="490"/>
      <c r="C4" s="490"/>
      <c r="D4" s="490"/>
      <c r="E4" s="490"/>
      <c r="F4" s="490"/>
      <c r="G4" s="490"/>
      <c r="H4" s="490"/>
      <c r="I4" s="135"/>
    </row>
    <row r="5" spans="1:10" ht="19.5" customHeight="1" thickBot="1" x14ac:dyDescent="0.3">
      <c r="A5" s="491" t="s">
        <v>96</v>
      </c>
      <c r="B5" s="492"/>
      <c r="C5" s="492"/>
      <c r="D5" s="492"/>
      <c r="E5" s="492"/>
      <c r="F5" s="492"/>
      <c r="G5" s="492"/>
      <c r="H5" s="493"/>
      <c r="I5" s="136"/>
    </row>
    <row r="6" spans="1:10" ht="19.5" thickBot="1" x14ac:dyDescent="0.3">
      <c r="A6" s="136"/>
      <c r="B6" s="136"/>
      <c r="C6" s="136"/>
      <c r="D6" s="136"/>
      <c r="E6" s="136"/>
      <c r="F6" s="494" t="s">
        <v>97</v>
      </c>
      <c r="G6" s="494"/>
      <c r="H6" s="137">
        <f ca="1">TODAY()</f>
        <v>45982</v>
      </c>
      <c r="I6" s="137"/>
    </row>
    <row r="7" spans="1:10" ht="26.25" thickBot="1" x14ac:dyDescent="0.3">
      <c r="A7" s="138" t="s">
        <v>98</v>
      </c>
      <c r="B7" s="139" t="s">
        <v>99</v>
      </c>
      <c r="C7" s="139" t="s">
        <v>98</v>
      </c>
      <c r="D7" s="140" t="s">
        <v>100</v>
      </c>
      <c r="E7" s="140" t="s">
        <v>101</v>
      </c>
      <c r="F7" s="140" t="s">
        <v>102</v>
      </c>
      <c r="G7" s="140" t="s">
        <v>103</v>
      </c>
      <c r="H7" s="141" t="s">
        <v>104</v>
      </c>
      <c r="I7" s="142"/>
    </row>
    <row r="8" spans="1:10" ht="13.5" x14ac:dyDescent="0.25">
      <c r="A8" s="235">
        <v>10</v>
      </c>
      <c r="B8" s="234" t="s">
        <v>31</v>
      </c>
      <c r="C8" s="144">
        <f>+A8</f>
        <v>10</v>
      </c>
      <c r="D8" s="145" t="s">
        <v>145</v>
      </c>
      <c r="E8" s="145">
        <v>2.56</v>
      </c>
      <c r="F8" s="265">
        <f>IFERROR(C8*E8,"")</f>
        <v>25.6</v>
      </c>
      <c r="G8" s="146">
        <f t="shared" ref="G8:G14" si="0">IFERROR(F8/$F$68,"")</f>
        <v>2.3241167176257505E-2</v>
      </c>
      <c r="H8" s="147" t="s">
        <v>144</v>
      </c>
      <c r="I8" s="147"/>
      <c r="J8" s="148"/>
    </row>
    <row r="9" spans="1:10" ht="13.5" x14ac:dyDescent="0.25">
      <c r="A9" s="235">
        <v>5</v>
      </c>
      <c r="B9" s="234" t="s">
        <v>73</v>
      </c>
      <c r="C9" s="144">
        <f t="shared" ref="C9:C14" si="1">+A9</f>
        <v>5</v>
      </c>
      <c r="D9" s="145" t="s">
        <v>145</v>
      </c>
      <c r="E9" s="145">
        <v>8.06</v>
      </c>
      <c r="F9" s="145">
        <f t="shared" ref="F9:F14" si="2">IFERROR(C9*E9,"")</f>
        <v>40.300000000000004</v>
      </c>
      <c r="G9" s="146">
        <f t="shared" si="0"/>
        <v>3.6586681140749124E-2</v>
      </c>
      <c r="H9" s="147" t="s">
        <v>72</v>
      </c>
      <c r="I9" s="147"/>
      <c r="J9" s="148"/>
    </row>
    <row r="10" spans="1:10" ht="13.5" x14ac:dyDescent="0.25">
      <c r="A10" s="235">
        <v>3</v>
      </c>
      <c r="B10" s="234" t="str">
        <f>IFERROR(VLOOKUP(H10,'[1]Consolidado MP Planta'!$A$2:$M$823,3,0),"")</f>
        <v>CREMA BETTERCREAM DOBLE CHOCO (UND:4 K)</v>
      </c>
      <c r="C10" s="144">
        <f t="shared" si="1"/>
        <v>3</v>
      </c>
      <c r="D10" s="145" t="str">
        <f>IFERROR(VLOOKUP(H10,'[1]Consolidado MP Planta'!$A$2:$M$823,13,0),"")</f>
        <v>Gramos</v>
      </c>
      <c r="E10" s="145">
        <v>2.57</v>
      </c>
      <c r="F10" s="265">
        <f t="shared" si="2"/>
        <v>7.7099999999999991</v>
      </c>
      <c r="G10" s="146">
        <f t="shared" si="0"/>
        <v>6.9995858956619266E-3</v>
      </c>
      <c r="H10" s="147" t="s">
        <v>148</v>
      </c>
      <c r="I10" s="147"/>
      <c r="J10" s="148"/>
    </row>
    <row r="11" spans="1:10" ht="13.5" hidden="1" x14ac:dyDescent="0.25">
      <c r="A11" s="143"/>
      <c r="B11" s="131" t="str">
        <f>IFERROR(VLOOKUP(H11,'[1]Consolidado MP Planta'!$A$2:$M$823,3,0),"")</f>
        <v/>
      </c>
      <c r="C11" s="144">
        <f t="shared" si="1"/>
        <v>0</v>
      </c>
      <c r="D11" s="145" t="str">
        <f>IFERROR(VLOOKUP(H11,'[1]Consolidado MP Planta'!$A$2:$M$823,13,0),"")</f>
        <v/>
      </c>
      <c r="E11" s="145" t="str">
        <f>IFERROR(VLOOKUP(H11,'[1]Consolidado MP Planta'!$A$2:$M$823,12,0),"")</f>
        <v/>
      </c>
      <c r="F11" s="145" t="str">
        <f t="shared" si="2"/>
        <v/>
      </c>
      <c r="G11" s="146" t="str">
        <f t="shared" si="0"/>
        <v/>
      </c>
      <c r="H11" s="147"/>
      <c r="I11" s="147"/>
      <c r="J11" s="148"/>
    </row>
    <row r="12" spans="1:10" ht="13.5" hidden="1" x14ac:dyDescent="0.25">
      <c r="A12" s="143"/>
      <c r="B12" s="131" t="str">
        <f>IFERROR(VLOOKUP(H12,'[1]Consolidado MP Planta'!$A$2:$M$823,3,0),"")</f>
        <v/>
      </c>
      <c r="C12" s="144">
        <f t="shared" si="1"/>
        <v>0</v>
      </c>
      <c r="D12" s="145" t="str">
        <f>IFERROR(VLOOKUP(H12,'[1]Consolidado MP Planta'!$A$2:$M$823,13,0),"")</f>
        <v/>
      </c>
      <c r="E12" s="145" t="str">
        <f>IFERROR(VLOOKUP(H12,'[1]Consolidado MP Planta'!$A$2:$M$823,12,0),"")</f>
        <v/>
      </c>
      <c r="F12" s="145" t="str">
        <f t="shared" si="2"/>
        <v/>
      </c>
      <c r="G12" s="146" t="str">
        <f t="shared" si="0"/>
        <v/>
      </c>
      <c r="H12" s="147"/>
      <c r="I12" s="147"/>
      <c r="J12" s="148"/>
    </row>
    <row r="13" spans="1:10" ht="13.5" hidden="1" x14ac:dyDescent="0.25">
      <c r="A13" s="143"/>
      <c r="B13" s="131" t="str">
        <f>IFERROR(VLOOKUP(H13,'[1]Consolidado MP Planta'!$A$2:$M$823,3,0),"")</f>
        <v/>
      </c>
      <c r="C13" s="144">
        <f t="shared" si="1"/>
        <v>0</v>
      </c>
      <c r="D13" s="145" t="str">
        <f>IFERROR(VLOOKUP(H13,'[1]Consolidado MP Planta'!$A$2:$M$823,13,0),"")</f>
        <v/>
      </c>
      <c r="E13" s="145" t="str">
        <f>IFERROR(VLOOKUP(H13,'[1]Consolidado MP Planta'!$A$2:$M$823,12,0),"")</f>
        <v/>
      </c>
      <c r="F13" s="145" t="str">
        <f t="shared" si="2"/>
        <v/>
      </c>
      <c r="G13" s="146" t="str">
        <f t="shared" si="0"/>
        <v/>
      </c>
      <c r="H13" s="147"/>
      <c r="I13" s="147"/>
      <c r="J13" s="148"/>
    </row>
    <row r="14" spans="1:10" ht="13.5" hidden="1" x14ac:dyDescent="0.25">
      <c r="A14" s="143"/>
      <c r="B14" s="131" t="str">
        <f>IFERROR(VLOOKUP(H14,'[1]Consolidado MP Planta'!$A$2:$M$823,3,0),"")</f>
        <v/>
      </c>
      <c r="C14" s="144">
        <f t="shared" si="1"/>
        <v>0</v>
      </c>
      <c r="D14" s="145" t="str">
        <f>IFERROR(VLOOKUP(H14,'[1]Consolidado MP Planta'!$A$2:$M$823,13,0),"")</f>
        <v/>
      </c>
      <c r="E14" s="145" t="str">
        <f>IFERROR(VLOOKUP(H14,'[1]Consolidado MP Planta'!$A$2:$M$823,12,0),"")</f>
        <v/>
      </c>
      <c r="F14" s="145" t="str">
        <f t="shared" si="2"/>
        <v/>
      </c>
      <c r="G14" s="146" t="str">
        <f t="shared" si="0"/>
        <v/>
      </c>
      <c r="H14" s="147"/>
      <c r="I14" s="147"/>
      <c r="J14" s="148"/>
    </row>
    <row r="15" spans="1:10" ht="14.25" thickBot="1" x14ac:dyDescent="0.3">
      <c r="A15" s="143"/>
      <c r="B15" s="131" t="str">
        <f>IFERROR(VLOOKUP(H15,[2]Hoja2!$A$2:$G$589,2,0),"")</f>
        <v/>
      </c>
      <c r="C15" s="144"/>
      <c r="D15" s="145"/>
      <c r="E15" s="145"/>
      <c r="F15" s="145"/>
      <c r="G15" s="146"/>
      <c r="H15" s="147"/>
      <c r="I15" s="147"/>
      <c r="J15" s="148"/>
    </row>
    <row r="16" spans="1:10" ht="26.25" thickBot="1" x14ac:dyDescent="0.3">
      <c r="A16" s="138" t="s">
        <v>98</v>
      </c>
      <c r="B16" s="139" t="s">
        <v>105</v>
      </c>
      <c r="C16" s="139" t="s">
        <v>98</v>
      </c>
      <c r="D16" s="140" t="s">
        <v>100</v>
      </c>
      <c r="E16" s="140" t="s">
        <v>101</v>
      </c>
      <c r="F16" s="140" t="s">
        <v>102</v>
      </c>
      <c r="G16" s="140" t="s">
        <v>103</v>
      </c>
      <c r="H16" s="141" t="s">
        <v>104</v>
      </c>
      <c r="I16" s="142"/>
      <c r="J16" s="148"/>
    </row>
    <row r="17" spans="1:12" ht="13.5" x14ac:dyDescent="0.25">
      <c r="A17" s="235">
        <v>1</v>
      </c>
      <c r="B17" s="234" t="s">
        <v>62</v>
      </c>
      <c r="C17" s="144">
        <f>+A17</f>
        <v>1</v>
      </c>
      <c r="D17" s="223" t="s">
        <v>146</v>
      </c>
      <c r="E17" s="145">
        <v>105.54</v>
      </c>
      <c r="F17" s="145">
        <f>IFERROR(E17*C17,"")</f>
        <v>105.54</v>
      </c>
      <c r="G17" s="146">
        <f t="shared" ref="G17:G24" si="3">IFERROR(F17/$F$68,"")</f>
        <v>9.5815343116492854E-2</v>
      </c>
      <c r="H17" s="147" t="s">
        <v>61</v>
      </c>
      <c r="I17" s="147"/>
      <c r="J17" s="148"/>
    </row>
    <row r="18" spans="1:12" ht="13.5" x14ac:dyDescent="0.25">
      <c r="A18" s="235">
        <v>20</v>
      </c>
      <c r="B18" s="234" t="s">
        <v>64</v>
      </c>
      <c r="C18" s="144">
        <f t="shared" ref="C18:C24" si="4">+A18</f>
        <v>20</v>
      </c>
      <c r="D18" s="144" t="s">
        <v>145</v>
      </c>
      <c r="E18" s="145">
        <v>1.1000000000000001</v>
      </c>
      <c r="F18" s="145">
        <f t="shared" ref="F18:F24" si="5">IFERROR(E18*C18,"")</f>
        <v>22</v>
      </c>
      <c r="G18" s="146">
        <f t="shared" si="3"/>
        <v>1.9972878042096291E-2</v>
      </c>
      <c r="H18" s="147" t="s">
        <v>63</v>
      </c>
      <c r="I18" s="147"/>
      <c r="J18" s="148"/>
    </row>
    <row r="19" spans="1:12" ht="13.5" x14ac:dyDescent="0.25">
      <c r="A19" s="235">
        <v>10</v>
      </c>
      <c r="B19" s="234" t="s">
        <v>67</v>
      </c>
      <c r="C19" s="144">
        <f>+A19</f>
        <v>10</v>
      </c>
      <c r="D19" s="144" t="s">
        <v>145</v>
      </c>
      <c r="E19" s="145">
        <v>3.54</v>
      </c>
      <c r="F19" s="145">
        <f>IFERROR(E19*C19,"")</f>
        <v>35.4</v>
      </c>
      <c r="G19" s="146">
        <f t="shared" si="3"/>
        <v>3.2138176485918581E-2</v>
      </c>
      <c r="H19" s="147" t="s">
        <v>66</v>
      </c>
      <c r="I19" s="147"/>
      <c r="J19" s="148"/>
    </row>
    <row r="20" spans="1:12" ht="13.5" x14ac:dyDescent="0.25">
      <c r="A20" s="235">
        <v>0.14000000000000001</v>
      </c>
      <c r="B20" s="234" t="s">
        <v>69</v>
      </c>
      <c r="C20" s="144">
        <f>+A20</f>
        <v>0.14000000000000001</v>
      </c>
      <c r="D20" s="144" t="s">
        <v>147</v>
      </c>
      <c r="E20" s="145">
        <v>610</v>
      </c>
      <c r="F20" s="145">
        <f>IFERROR(E20*C20,"")</f>
        <v>85.4</v>
      </c>
      <c r="G20" s="146">
        <f t="shared" si="3"/>
        <v>7.7531081127046514E-2</v>
      </c>
      <c r="H20" s="147" t="s">
        <v>68</v>
      </c>
      <c r="I20" s="147"/>
      <c r="J20" s="148"/>
    </row>
    <row r="21" spans="1:12" ht="13.5" x14ac:dyDescent="0.25">
      <c r="A21" s="240">
        <v>20</v>
      </c>
      <c r="B21" s="241" t="s">
        <v>71</v>
      </c>
      <c r="C21" s="144">
        <f>+A21</f>
        <v>20</v>
      </c>
      <c r="D21" s="144" t="s">
        <v>145</v>
      </c>
      <c r="E21" s="145">
        <v>4.4800000000000004</v>
      </c>
      <c r="F21" s="145">
        <f>IFERROR(E21*C21,"")</f>
        <v>89.600000000000009</v>
      </c>
      <c r="G21" s="146">
        <f t="shared" si="3"/>
        <v>8.1344085116901263E-2</v>
      </c>
      <c r="H21" s="147" t="s">
        <v>70</v>
      </c>
      <c r="I21" s="147"/>
      <c r="J21" s="148"/>
    </row>
    <row r="22" spans="1:12" ht="13.5" x14ac:dyDescent="0.25">
      <c r="A22" s="235">
        <v>35</v>
      </c>
      <c r="B22" s="234" t="s">
        <v>76</v>
      </c>
      <c r="C22" s="144">
        <f t="shared" si="4"/>
        <v>35</v>
      </c>
      <c r="D22" s="144" t="s">
        <v>145</v>
      </c>
      <c r="E22" s="145">
        <v>2.2999999999999998</v>
      </c>
      <c r="F22" s="145">
        <f t="shared" si="5"/>
        <v>80.5</v>
      </c>
      <c r="G22" s="146">
        <f t="shared" si="3"/>
        <v>7.3082576472215971E-2</v>
      </c>
      <c r="H22" s="147" t="s">
        <v>75</v>
      </c>
      <c r="I22" s="147"/>
      <c r="J22" s="148"/>
    </row>
    <row r="23" spans="1:12" ht="13.5" x14ac:dyDescent="0.25">
      <c r="A23" s="143">
        <v>9</v>
      </c>
      <c r="B23" s="131" t="s">
        <v>85</v>
      </c>
      <c r="C23" s="144">
        <f t="shared" si="4"/>
        <v>9</v>
      </c>
      <c r="D23" s="144" t="s">
        <v>145</v>
      </c>
      <c r="E23" s="145">
        <v>7.75</v>
      </c>
      <c r="F23" s="145">
        <f t="shared" si="5"/>
        <v>69.75</v>
      </c>
      <c r="G23" s="146">
        <f t="shared" si="3"/>
        <v>6.3323101974373477E-2</v>
      </c>
      <c r="H23" s="147" t="s">
        <v>84</v>
      </c>
      <c r="I23" s="147"/>
      <c r="J23" s="148"/>
    </row>
    <row r="24" spans="1:12" ht="13.5" x14ac:dyDescent="0.25">
      <c r="A24" s="143"/>
      <c r="B24" s="131" t="str">
        <f>IFERROR(VLOOKUP(H24,[1]SEMIELABORADOS!$A$2:$M$6000,2,0),"")</f>
        <v/>
      </c>
      <c r="C24" s="144">
        <f t="shared" si="4"/>
        <v>0</v>
      </c>
      <c r="D24" s="144" t="str">
        <f>IFERROR(VLOOKUP(H24,[1]SEMIELABORADOS!$A$2:$M$6000,6,0),"")</f>
        <v/>
      </c>
      <c r="E24" s="145" t="str">
        <f>IFERROR(VLOOKUP(H24,[1]SEMIELABORADOS!$A$2:$H$65536,8,0),"")</f>
        <v/>
      </c>
      <c r="F24" s="145" t="str">
        <f t="shared" si="5"/>
        <v/>
      </c>
      <c r="G24" s="146" t="str">
        <f t="shared" si="3"/>
        <v/>
      </c>
      <c r="H24" s="147"/>
      <c r="I24" s="147"/>
      <c r="J24" s="148"/>
    </row>
    <row r="25" spans="1:12" ht="14.25" thickBot="1" x14ac:dyDescent="0.3">
      <c r="A25" s="143"/>
      <c r="C25" s="144"/>
      <c r="D25" s="144"/>
      <c r="E25" s="145"/>
      <c r="F25" s="145"/>
      <c r="G25" s="146"/>
      <c r="H25" s="147"/>
      <c r="I25" s="147"/>
      <c r="J25" s="148"/>
    </row>
    <row r="26" spans="1:12" ht="26.25" thickBot="1" x14ac:dyDescent="0.3">
      <c r="A26" s="138" t="s">
        <v>98</v>
      </c>
      <c r="B26" s="139" t="s">
        <v>106</v>
      </c>
      <c r="C26" s="139" t="s">
        <v>98</v>
      </c>
      <c r="D26" s="140" t="s">
        <v>100</v>
      </c>
      <c r="E26" s="140" t="s">
        <v>101</v>
      </c>
      <c r="F26" s="140" t="s">
        <v>102</v>
      </c>
      <c r="G26" s="140" t="s">
        <v>103</v>
      </c>
      <c r="H26" s="141" t="s">
        <v>104</v>
      </c>
      <c r="I26" s="142"/>
    </row>
    <row r="27" spans="1:12" ht="13.5" x14ac:dyDescent="0.25">
      <c r="A27" s="143">
        <v>1</v>
      </c>
      <c r="B27" s="7" t="s">
        <v>27</v>
      </c>
      <c r="C27" s="144">
        <f t="shared" ref="C27:C34" si="6">+A27</f>
        <v>1</v>
      </c>
      <c r="D27" s="145" t="s">
        <v>156</v>
      </c>
      <c r="E27" s="145">
        <v>132</v>
      </c>
      <c r="F27" s="265">
        <f t="shared" ref="F27:F34" si="7">IFERROR(C27*E27,"")</f>
        <v>132</v>
      </c>
      <c r="G27" s="146">
        <f>IFERROR(F27/$F$68,"")</f>
        <v>0.11983726825257775</v>
      </c>
      <c r="H27" s="150" t="s">
        <v>149</v>
      </c>
      <c r="I27" s="150"/>
      <c r="J27" s="148"/>
      <c r="K27" s="484"/>
      <c r="L27" s="484"/>
    </row>
    <row r="28" spans="1:12" ht="13.5" x14ac:dyDescent="0.25">
      <c r="A28" s="143">
        <v>1</v>
      </c>
      <c r="B28" s="149" t="str">
        <f>IFERROR(VLOOKUP(H28,'[1]Consolidado MP Planta'!$A$2:$M$823,3,0),"")</f>
        <v>ETIQ. GENERICA PEQUEÑA V-274 (UND)</v>
      </c>
      <c r="C28" s="144">
        <f t="shared" si="6"/>
        <v>1</v>
      </c>
      <c r="D28" s="145" t="str">
        <f>IFERROR(VLOOKUP(H28,'[1]Consolidado MP Planta'!$A$2:$M$823,13,0),"")</f>
        <v>Und</v>
      </c>
      <c r="E28" s="265">
        <f>IFERROR(VLOOKUP(H28,'[1]Consolidado MP Planta'!$A$2:$M$823,12,0),"")</f>
        <v>13.45</v>
      </c>
      <c r="F28" s="145">
        <f t="shared" si="7"/>
        <v>13.45</v>
      </c>
      <c r="G28" s="146">
        <f>IFERROR(F28/$F$68,"")</f>
        <v>1.2210691348463414E-2</v>
      </c>
      <c r="H28" s="150" t="s">
        <v>153</v>
      </c>
      <c r="I28" s="150"/>
      <c r="J28" s="148"/>
      <c r="K28" s="484"/>
      <c r="L28" s="484"/>
    </row>
    <row r="29" spans="1:12" ht="13.5" x14ac:dyDescent="0.25">
      <c r="A29" s="143">
        <v>1</v>
      </c>
      <c r="B29" s="149" t="str">
        <f>IFERROR(VLOOKUP(H29,'[1]Consolidado MP Planta'!$A$2:$M$823,3,0),"")</f>
        <v>ETIQ.FECHA VENCIMIENTO BLANCO (ROLLO)</v>
      </c>
      <c r="C29" s="144">
        <f t="shared" si="6"/>
        <v>1</v>
      </c>
      <c r="D29" s="145" t="s">
        <v>156</v>
      </c>
      <c r="E29" s="265">
        <f>IFERROR(VLOOKUP(H29,'[1]Consolidado MP Planta'!$A$2:$M$823,12,0),"")</f>
        <v>0.33333333333333331</v>
      </c>
      <c r="F29" s="145">
        <f t="shared" si="7"/>
        <v>0.33333333333333331</v>
      </c>
      <c r="G29" s="146">
        <f>IFERROR(F29/$F$68,"")</f>
        <v>3.0261936427418624E-4</v>
      </c>
      <c r="H29" s="150" t="s">
        <v>154</v>
      </c>
      <c r="I29" s="150"/>
      <c r="J29" s="148"/>
      <c r="K29" s="484"/>
      <c r="L29" s="484"/>
    </row>
    <row r="30" spans="1:12" ht="13.5" x14ac:dyDescent="0.25">
      <c r="A30" s="143">
        <v>1</v>
      </c>
      <c r="B30" s="149" t="str">
        <f>IFERROR(VLOOKUP(H30,'[1]Consolidado MP Planta'!$A$2:$M$823,3,0),"")</f>
        <v>ETIQUETA BLANCA 2 5/8X1 15/16 (UND)</v>
      </c>
      <c r="C30" s="144">
        <f t="shared" si="6"/>
        <v>1</v>
      </c>
      <c r="D30" s="145" t="str">
        <f>IFERROR(VLOOKUP(H30,'[1]Consolidado MP Planta'!$A$2:$M$823,13,0),"")</f>
        <v>Und</v>
      </c>
      <c r="E30" s="265">
        <f>IFERROR(VLOOKUP(H30,'[1]Consolidado MP Planta'!$A$2:$M$823,12,0),"")</f>
        <v>2.1280000000000001</v>
      </c>
      <c r="F30" s="145">
        <f t="shared" si="7"/>
        <v>2.1280000000000001</v>
      </c>
      <c r="G30" s="146">
        <f>IFERROR(F30/$F$68,"")</f>
        <v>1.931922021526405E-3</v>
      </c>
      <c r="H30" s="150" t="s">
        <v>155</v>
      </c>
      <c r="I30" s="150"/>
      <c r="J30" s="148"/>
      <c r="K30" s="484"/>
      <c r="L30" s="484"/>
    </row>
    <row r="31" spans="1:12" ht="13.5" x14ac:dyDescent="0.25">
      <c r="A31" s="143">
        <v>2</v>
      </c>
      <c r="B31" s="149" t="str">
        <f>IFERROR(VLOOKUP(H31,'[1]Consolidado MP Planta'!$A$2:$M$823,3,0),"")</f>
        <v>ETIQUETA SELLO SEGURIDAD (ROLLO:1000)</v>
      </c>
      <c r="C31" s="144">
        <f t="shared" ref="C31:C32" si="8">+A31</f>
        <v>2</v>
      </c>
      <c r="D31" s="145" t="str">
        <f>IFERROR(VLOOKUP(H31,'[1]Consolidado MP Planta'!$A$2:$M$823,13,0),"")</f>
        <v>Und</v>
      </c>
      <c r="E31" s="265">
        <f>IFERROR(VLOOKUP(H31,'[1]Consolidado MP Planta'!$A$2:$M$823,12,0),"")</f>
        <v>6</v>
      </c>
      <c r="F31" s="265">
        <f t="shared" ref="F31:F32" si="9">IFERROR(C31*E31,"")</f>
        <v>12</v>
      </c>
      <c r="G31" s="146">
        <f t="shared" ref="G31:G32" si="10">IFERROR(F31/$F$68,"")</f>
        <v>1.0894297113870705E-2</v>
      </c>
      <c r="H31" s="150" t="s">
        <v>150</v>
      </c>
      <c r="I31" s="150"/>
      <c r="J31" s="148"/>
      <c r="K31" s="129"/>
      <c r="L31" s="129"/>
    </row>
    <row r="32" spans="1:12" ht="13.5" x14ac:dyDescent="0.25">
      <c r="A32" s="143">
        <v>1</v>
      </c>
      <c r="B32" s="149" t="str">
        <f>IFERROR(VLOOKUP(H32,'[1]Consolidado MP Planta'!$A$2:$M$823,3,0),"")</f>
        <v>BASE PARA ROSQUETE (UND)</v>
      </c>
      <c r="C32" s="144">
        <f t="shared" si="8"/>
        <v>1</v>
      </c>
      <c r="D32" s="145" t="str">
        <f>IFERROR(VLOOKUP(H32,'[1]Consolidado MP Planta'!$A$2:$M$823,13,0),"")</f>
        <v>Und</v>
      </c>
      <c r="E32" s="265">
        <f>IFERROR(VLOOKUP(H32,'[1]Consolidado MP Planta'!$A$2:$M$823,12,0),"")</f>
        <v>128</v>
      </c>
      <c r="F32" s="145">
        <f t="shared" si="9"/>
        <v>128</v>
      </c>
      <c r="G32" s="146">
        <f t="shared" si="10"/>
        <v>0.11620583588128752</v>
      </c>
      <c r="H32" s="150" t="s">
        <v>151</v>
      </c>
      <c r="I32" s="150"/>
      <c r="J32" s="148"/>
      <c r="K32" s="129"/>
      <c r="L32" s="129"/>
    </row>
    <row r="33" spans="1:13" ht="13.5" x14ac:dyDescent="0.25">
      <c r="A33" s="143">
        <v>1</v>
      </c>
      <c r="B33" s="149" t="str">
        <f>IFERROR(VLOOKUP(H33,'[1]Consolidado MP Planta'!$A$2:$M$823,3,0),"")</f>
        <v>ETIQUETA BLANCA R-153 (UND)</v>
      </c>
      <c r="C33" s="144">
        <f t="shared" si="6"/>
        <v>1</v>
      </c>
      <c r="D33" s="145" t="str">
        <f>IFERROR(VLOOKUP(H33,'[1]Consolidado MP Planta'!$A$2:$M$823,13,0),"")</f>
        <v>Und</v>
      </c>
      <c r="E33" s="265">
        <f>IFERROR(VLOOKUP(H33,'[1]Consolidado MP Planta'!$A$2:$M$823,12,0),"")</f>
        <v>0.39</v>
      </c>
      <c r="F33" s="145">
        <f t="shared" si="7"/>
        <v>0.39</v>
      </c>
      <c r="G33" s="146">
        <f>IFERROR(F33/$F$68,"")</f>
        <v>3.5406465620079793E-4</v>
      </c>
      <c r="H33" s="150" t="s">
        <v>152</v>
      </c>
      <c r="I33" s="150"/>
      <c r="J33" s="148"/>
      <c r="K33" s="151"/>
      <c r="L33" s="152"/>
    </row>
    <row r="34" spans="1:13" ht="13.5" x14ac:dyDescent="0.25">
      <c r="A34" s="143"/>
      <c r="B34" s="149" t="str">
        <f>IFERROR(VLOOKUP(H34,'[1]Consolidado MP Planta'!$A$2:$M$823,3,0),"")</f>
        <v/>
      </c>
      <c r="C34" s="144">
        <f t="shared" si="6"/>
        <v>0</v>
      </c>
      <c r="D34" s="145" t="str">
        <f>IFERROR(VLOOKUP(H34,'[1]Consolidado MP Planta'!$A$2:$M$823,13,0),"")</f>
        <v/>
      </c>
      <c r="E34" s="145" t="str">
        <f>IFERROR(VLOOKUP(H34,'[1]Consolidado MP Planta'!$A$2:$M$823,12,0),"")</f>
        <v/>
      </c>
      <c r="F34" s="145" t="str">
        <f t="shared" si="7"/>
        <v/>
      </c>
      <c r="G34" s="146" t="str">
        <f>IFERROR(F34/$F$68,"")</f>
        <v/>
      </c>
      <c r="H34" s="150"/>
      <c r="I34" s="150"/>
      <c r="J34" s="148"/>
    </row>
    <row r="35" spans="1:13" ht="14.25" thickBot="1" x14ac:dyDescent="0.3">
      <c r="A35" s="143"/>
      <c r="B35" s="149"/>
      <c r="C35" s="144"/>
      <c r="D35" s="145"/>
      <c r="E35" s="145"/>
      <c r="F35" s="145"/>
      <c r="G35" s="146"/>
      <c r="H35" s="150"/>
      <c r="I35" s="150"/>
      <c r="J35" s="148"/>
    </row>
    <row r="36" spans="1:13" ht="26.25" thickBot="1" x14ac:dyDescent="0.25">
      <c r="A36" s="138" t="s">
        <v>98</v>
      </c>
      <c r="B36" s="139" t="s">
        <v>107</v>
      </c>
      <c r="C36" s="139" t="s">
        <v>98</v>
      </c>
      <c r="D36" s="140" t="s">
        <v>100</v>
      </c>
      <c r="E36" s="140" t="s">
        <v>101</v>
      </c>
      <c r="F36" s="140" t="s">
        <v>102</v>
      </c>
      <c r="G36" s="140" t="s">
        <v>103</v>
      </c>
      <c r="H36" s="141" t="s">
        <v>104</v>
      </c>
      <c r="I36" s="150"/>
      <c r="J36" s="148"/>
    </row>
    <row r="37" spans="1:13" ht="13.5" x14ac:dyDescent="0.25">
      <c r="A37" s="143">
        <f t="shared" ref="A37:A43" si="11">+A17</f>
        <v>1</v>
      </c>
      <c r="B37" s="149" t="s">
        <v>62</v>
      </c>
      <c r="C37" s="144">
        <f>+A37</f>
        <v>1</v>
      </c>
      <c r="D37" s="145" t="s">
        <v>146</v>
      </c>
      <c r="E37" s="145">
        <v>5.35</v>
      </c>
      <c r="F37" s="145">
        <f>IFERROR(E37*C37,"")</f>
        <v>5.35</v>
      </c>
      <c r="G37" s="146">
        <f t="shared" ref="G37:G43" si="12">IFERROR(F37/$F$68,"")</f>
        <v>4.857040796600689E-3</v>
      </c>
      <c r="H37" s="150" t="s">
        <v>61</v>
      </c>
      <c r="I37" s="150"/>
      <c r="J37" s="148"/>
    </row>
    <row r="38" spans="1:13" ht="13.5" x14ac:dyDescent="0.25">
      <c r="A38" s="143">
        <f t="shared" si="11"/>
        <v>20</v>
      </c>
      <c r="B38" s="149" t="s">
        <v>64</v>
      </c>
      <c r="C38" s="144">
        <f t="shared" ref="C38:C43" si="13">+A38</f>
        <v>20</v>
      </c>
      <c r="D38" s="145" t="s">
        <v>145</v>
      </c>
      <c r="E38" s="145">
        <v>0.01</v>
      </c>
      <c r="F38" s="145">
        <f t="shared" ref="F38:F43" si="14">IFERROR(E38*C38,"")</f>
        <v>0.2</v>
      </c>
      <c r="G38" s="146">
        <f t="shared" si="12"/>
        <v>1.8157161856451176E-4</v>
      </c>
      <c r="H38" s="150" t="s">
        <v>63</v>
      </c>
      <c r="I38" s="150"/>
      <c r="J38" s="148"/>
    </row>
    <row r="39" spans="1:13" ht="13.5" x14ac:dyDescent="0.25">
      <c r="A39" s="143">
        <f t="shared" si="11"/>
        <v>10</v>
      </c>
      <c r="B39" s="149" t="s">
        <v>67</v>
      </c>
      <c r="C39" s="144">
        <f t="shared" si="13"/>
        <v>10</v>
      </c>
      <c r="D39" s="145" t="s">
        <v>145</v>
      </c>
      <c r="E39" s="145">
        <v>0.09</v>
      </c>
      <c r="F39" s="145">
        <f t="shared" si="14"/>
        <v>0.89999999999999991</v>
      </c>
      <c r="G39" s="146">
        <f t="shared" si="12"/>
        <v>8.1707228354030274E-4</v>
      </c>
      <c r="H39" s="150" t="s">
        <v>66</v>
      </c>
      <c r="I39" s="150"/>
      <c r="J39" s="148"/>
    </row>
    <row r="40" spans="1:13" ht="13.5" x14ac:dyDescent="0.25">
      <c r="A40" s="143">
        <f t="shared" si="11"/>
        <v>0.14000000000000001</v>
      </c>
      <c r="B40" s="149" t="s">
        <v>69</v>
      </c>
      <c r="C40" s="144">
        <f>+A40</f>
        <v>0.14000000000000001</v>
      </c>
      <c r="D40" s="145" t="s">
        <v>146</v>
      </c>
      <c r="E40" s="145">
        <v>17.260000000000002</v>
      </c>
      <c r="F40" s="145">
        <f>IFERROR(E40*C40,"")</f>
        <v>2.4164000000000003</v>
      </c>
      <c r="G40" s="146">
        <f t="shared" si="12"/>
        <v>2.1937482954964313E-3</v>
      </c>
      <c r="H40" s="150" t="s">
        <v>68</v>
      </c>
      <c r="I40" s="150"/>
      <c r="J40" s="148"/>
    </row>
    <row r="41" spans="1:13" ht="13.5" x14ac:dyDescent="0.25">
      <c r="A41" s="143">
        <f t="shared" si="11"/>
        <v>20</v>
      </c>
      <c r="B41" s="149" t="s">
        <v>71</v>
      </c>
      <c r="C41" s="144">
        <f>+A41</f>
        <v>20</v>
      </c>
      <c r="D41" s="145" t="s">
        <v>145</v>
      </c>
      <c r="E41" s="145">
        <v>0.01</v>
      </c>
      <c r="F41" s="145">
        <f>IFERROR(E41*C41,"")</f>
        <v>0.2</v>
      </c>
      <c r="G41" s="146">
        <f t="shared" si="12"/>
        <v>1.8157161856451176E-4</v>
      </c>
      <c r="H41" s="150" t="s">
        <v>70</v>
      </c>
      <c r="I41" s="150"/>
      <c r="J41" s="148"/>
    </row>
    <row r="42" spans="1:13" ht="13.5" x14ac:dyDescent="0.25">
      <c r="A42" s="143">
        <f t="shared" si="11"/>
        <v>35</v>
      </c>
      <c r="B42" s="149" t="s">
        <v>76</v>
      </c>
      <c r="C42" s="144">
        <f t="shared" si="13"/>
        <v>35</v>
      </c>
      <c r="D42" s="145" t="s">
        <v>145</v>
      </c>
      <c r="E42" s="145">
        <v>0</v>
      </c>
      <c r="F42" s="145">
        <f t="shared" si="14"/>
        <v>0</v>
      </c>
      <c r="G42" s="146">
        <f t="shared" si="12"/>
        <v>0</v>
      </c>
      <c r="H42" s="150"/>
      <c r="I42" s="150"/>
      <c r="J42" s="148"/>
    </row>
    <row r="43" spans="1:13" ht="13.5" x14ac:dyDescent="0.25">
      <c r="A43" s="143">
        <f t="shared" si="11"/>
        <v>9</v>
      </c>
      <c r="B43" s="149" t="s">
        <v>85</v>
      </c>
      <c r="C43" s="144">
        <f t="shared" si="13"/>
        <v>9</v>
      </c>
      <c r="D43" s="145" t="s">
        <v>145</v>
      </c>
      <c r="E43" s="145">
        <v>0.01</v>
      </c>
      <c r="F43" s="145">
        <f t="shared" si="14"/>
        <v>0.09</v>
      </c>
      <c r="G43" s="146">
        <f t="shared" si="12"/>
        <v>8.1707228354030288E-5</v>
      </c>
      <c r="H43" s="150"/>
      <c r="I43" s="150"/>
      <c r="J43" s="148"/>
    </row>
    <row r="44" spans="1:13" ht="14.25" thickBot="1" x14ac:dyDescent="0.3">
      <c r="A44" s="143"/>
      <c r="B44" s="149"/>
      <c r="C44" s="144"/>
      <c r="D44" s="145"/>
      <c r="E44" s="145"/>
      <c r="F44" s="145"/>
      <c r="G44" s="146"/>
      <c r="H44" s="150"/>
      <c r="I44" s="150"/>
      <c r="J44" s="148"/>
    </row>
    <row r="45" spans="1:13" ht="26.25" thickBot="1" x14ac:dyDescent="0.3">
      <c r="A45" s="138" t="s">
        <v>98</v>
      </c>
      <c r="B45" s="139" t="s">
        <v>108</v>
      </c>
      <c r="C45" s="139" t="s">
        <v>98</v>
      </c>
      <c r="D45" s="140" t="s">
        <v>100</v>
      </c>
      <c r="E45" s="140" t="s">
        <v>101</v>
      </c>
      <c r="F45" s="140" t="s">
        <v>102</v>
      </c>
      <c r="G45" s="140" t="s">
        <v>103</v>
      </c>
      <c r="H45" s="141" t="s">
        <v>104</v>
      </c>
      <c r="I45" s="142"/>
      <c r="J45" s="148"/>
    </row>
    <row r="46" spans="1:13" ht="13.5" x14ac:dyDescent="0.25">
      <c r="A46" s="143">
        <f>+A37</f>
        <v>1</v>
      </c>
      <c r="B46" s="149" t="s">
        <v>62</v>
      </c>
      <c r="C46" s="144">
        <f>+A46</f>
        <v>1</v>
      </c>
      <c r="D46" s="145" t="s">
        <v>146</v>
      </c>
      <c r="E46" s="145">
        <v>21.32</v>
      </c>
      <c r="F46" s="145">
        <f>IFERROR(E46*C46,"")</f>
        <v>21.32</v>
      </c>
      <c r="G46" s="146">
        <f>IFERROR(F46/$F$68,"")</f>
        <v>1.9355534538976954E-2</v>
      </c>
      <c r="H46" s="150" t="s">
        <v>61</v>
      </c>
      <c r="I46" s="142"/>
      <c r="J46" s="148"/>
    </row>
    <row r="47" spans="1:13" ht="13.5" x14ac:dyDescent="0.25">
      <c r="A47" s="143">
        <f t="shared" ref="A47:A52" si="15">+A38</f>
        <v>20</v>
      </c>
      <c r="B47" s="149" t="s">
        <v>64</v>
      </c>
      <c r="C47" s="144">
        <f t="shared" ref="C47:C52" si="16">+A47</f>
        <v>20</v>
      </c>
      <c r="D47" s="145" t="s">
        <v>145</v>
      </c>
      <c r="E47" s="145">
        <v>0.15</v>
      </c>
      <c r="F47" s="145">
        <f t="shared" ref="F47:F52" si="17">IFERROR(E47*C47,"")</f>
        <v>3</v>
      </c>
      <c r="G47" s="146">
        <f t="shared" ref="G47:G52" si="18">IFERROR(F47/$F$68,"")</f>
        <v>2.7235742784676763E-3</v>
      </c>
      <c r="H47" s="150" t="s">
        <v>63</v>
      </c>
      <c r="I47" s="142"/>
      <c r="J47" s="148"/>
      <c r="M47" s="153"/>
    </row>
    <row r="48" spans="1:13" ht="13.5" x14ac:dyDescent="0.25">
      <c r="A48" s="143">
        <f t="shared" si="15"/>
        <v>10</v>
      </c>
      <c r="B48" s="149" t="s">
        <v>67</v>
      </c>
      <c r="C48" s="144">
        <f t="shared" si="16"/>
        <v>10</v>
      </c>
      <c r="D48" s="145" t="s">
        <v>145</v>
      </c>
      <c r="E48" s="145">
        <v>0.1</v>
      </c>
      <c r="F48" s="145">
        <f t="shared" si="17"/>
        <v>1</v>
      </c>
      <c r="G48" s="146">
        <f t="shared" si="18"/>
        <v>9.0785809282255877E-4</v>
      </c>
      <c r="H48" s="150" t="s">
        <v>66</v>
      </c>
      <c r="I48" s="142"/>
      <c r="J48" s="148"/>
    </row>
    <row r="49" spans="1:17" ht="13.5" x14ac:dyDescent="0.25">
      <c r="A49" s="143">
        <f t="shared" si="15"/>
        <v>0.14000000000000001</v>
      </c>
      <c r="B49" s="149" t="s">
        <v>69</v>
      </c>
      <c r="C49" s="144">
        <f t="shared" si="16"/>
        <v>0.14000000000000001</v>
      </c>
      <c r="D49" s="145" t="s">
        <v>146</v>
      </c>
      <c r="E49" s="145">
        <v>70.19</v>
      </c>
      <c r="F49" s="145">
        <f t="shared" si="17"/>
        <v>9.8266000000000009</v>
      </c>
      <c r="G49" s="146">
        <f t="shared" si="18"/>
        <v>8.9211583349301567E-3</v>
      </c>
      <c r="H49" s="150" t="s">
        <v>68</v>
      </c>
      <c r="I49" s="142"/>
      <c r="J49" s="148"/>
    </row>
    <row r="50" spans="1:17" ht="13.5" x14ac:dyDescent="0.25">
      <c r="A50" s="143">
        <f t="shared" si="15"/>
        <v>20</v>
      </c>
      <c r="B50" s="149" t="s">
        <v>71</v>
      </c>
      <c r="C50" s="144">
        <f t="shared" si="16"/>
        <v>20</v>
      </c>
      <c r="D50" s="145" t="s">
        <v>145</v>
      </c>
      <c r="E50" s="145">
        <v>0.04</v>
      </c>
      <c r="F50" s="145">
        <f t="shared" si="17"/>
        <v>0.8</v>
      </c>
      <c r="G50" s="146">
        <f t="shared" si="18"/>
        <v>7.2628647425804704E-4</v>
      </c>
      <c r="H50" s="150" t="s">
        <v>70</v>
      </c>
      <c r="I50" s="142"/>
      <c r="J50" s="148"/>
    </row>
    <row r="51" spans="1:17" ht="13.5" x14ac:dyDescent="0.25">
      <c r="A51" s="143">
        <f t="shared" si="15"/>
        <v>35</v>
      </c>
      <c r="B51" s="149" t="s">
        <v>76</v>
      </c>
      <c r="C51" s="144">
        <f t="shared" si="16"/>
        <v>35</v>
      </c>
      <c r="D51" s="145" t="s">
        <v>145</v>
      </c>
      <c r="E51" s="145">
        <v>0.03</v>
      </c>
      <c r="F51" s="145">
        <f t="shared" si="17"/>
        <v>1.05</v>
      </c>
      <c r="G51" s="146">
        <f t="shared" si="18"/>
        <v>9.5325099746368673E-4</v>
      </c>
      <c r="H51" s="150"/>
      <c r="I51" s="142"/>
      <c r="J51" s="148"/>
    </row>
    <row r="52" spans="1:17" ht="13.5" x14ac:dyDescent="0.25">
      <c r="A52" s="143">
        <f t="shared" si="15"/>
        <v>9</v>
      </c>
      <c r="B52" s="149" t="s">
        <v>85</v>
      </c>
      <c r="C52" s="144">
        <f t="shared" si="16"/>
        <v>9</v>
      </c>
      <c r="D52" s="145" t="s">
        <v>145</v>
      </c>
      <c r="E52" s="145">
        <v>0.03</v>
      </c>
      <c r="F52" s="145">
        <f t="shared" si="17"/>
        <v>0.27</v>
      </c>
      <c r="G52" s="146">
        <f t="shared" si="18"/>
        <v>2.4512168506209088E-4</v>
      </c>
      <c r="H52" s="149"/>
      <c r="I52" s="142"/>
      <c r="J52" s="148"/>
    </row>
    <row r="53" spans="1:17" ht="13.5" x14ac:dyDescent="0.25">
      <c r="A53" s="143">
        <v>1</v>
      </c>
      <c r="B53" s="149" t="s">
        <v>109</v>
      </c>
      <c r="C53" s="144">
        <f>+A53</f>
        <v>1</v>
      </c>
      <c r="D53" s="144" t="s">
        <v>110</v>
      </c>
      <c r="E53" s="145">
        <f>+F67</f>
        <v>231</v>
      </c>
      <c r="F53" s="145">
        <f>IFERROR(C53*E53,"")</f>
        <v>231</v>
      </c>
      <c r="G53" s="146">
        <f>IFERROR(F53/$F$68,"")</f>
        <v>0.20971521944201107</v>
      </c>
      <c r="H53" s="154"/>
      <c r="I53" s="154"/>
      <c r="J53" s="148"/>
    </row>
    <row r="54" spans="1:17" ht="14.25" thickBot="1" x14ac:dyDescent="0.3">
      <c r="A54" s="143"/>
      <c r="B54" s="149"/>
      <c r="C54" s="144"/>
      <c r="D54" s="144"/>
      <c r="E54" s="145"/>
      <c r="F54" s="145"/>
      <c r="G54" s="146"/>
      <c r="H54" s="154"/>
      <c r="I54" s="154"/>
      <c r="J54" s="148"/>
    </row>
    <row r="55" spans="1:17" ht="13.5" thickBot="1" x14ac:dyDescent="0.3">
      <c r="A55" s="155"/>
      <c r="B55" s="485" t="s">
        <v>111</v>
      </c>
      <c r="C55" s="485"/>
      <c r="D55" s="485"/>
      <c r="E55" s="485"/>
      <c r="F55" s="157">
        <f>SUM(F8:F14,F17:F24)</f>
        <v>561.80000000000007</v>
      </c>
      <c r="G55" s="146">
        <f>+F55/$F$68</f>
        <v>0.51003467654771351</v>
      </c>
      <c r="H55" s="158">
        <f>+F55/$D$62</f>
        <v>561.80000000000007</v>
      </c>
      <c r="I55" s="158"/>
      <c r="J55" s="159"/>
      <c r="K55" s="160"/>
      <c r="L55" s="160"/>
      <c r="M55" s="160"/>
      <c r="N55" s="160"/>
      <c r="O55" s="160"/>
      <c r="P55" s="160"/>
      <c r="Q55" s="161"/>
    </row>
    <row r="56" spans="1:17" x14ac:dyDescent="0.2">
      <c r="A56" s="155"/>
      <c r="B56" s="485" t="s">
        <v>112</v>
      </c>
      <c r="C56" s="485"/>
      <c r="D56" s="485"/>
      <c r="E56" s="485"/>
      <c r="F56" s="157">
        <f>SUM(F27:F34,F37:F43)</f>
        <v>297.45773333333329</v>
      </c>
      <c r="G56" s="146">
        <f>+F56/$F$68</f>
        <v>0.27004941047932124</v>
      </c>
      <c r="H56" s="158">
        <f>+F56/$D$62</f>
        <v>297.45773333333329</v>
      </c>
      <c r="I56" s="158"/>
      <c r="J56" s="162"/>
      <c r="K56" s="486" t="s">
        <v>113</v>
      </c>
      <c r="L56" s="487"/>
      <c r="M56" s="487"/>
      <c r="N56" s="487"/>
      <c r="O56" s="163">
        <f>+F57</f>
        <v>859.25773333333336</v>
      </c>
      <c r="P56" s="163"/>
      <c r="Q56" s="164"/>
    </row>
    <row r="57" spans="1:17" x14ac:dyDescent="0.2">
      <c r="A57" s="155"/>
      <c r="B57" s="485" t="s">
        <v>114</v>
      </c>
      <c r="C57" s="485"/>
      <c r="D57" s="485"/>
      <c r="E57" s="485"/>
      <c r="F57" s="157">
        <f>+F55+F56</f>
        <v>859.25773333333336</v>
      </c>
      <c r="G57" s="146">
        <f>+F57/$F$68</f>
        <v>0.7800840870270348</v>
      </c>
      <c r="H57" s="158">
        <f>+F57/$D$62</f>
        <v>859.25773333333336</v>
      </c>
      <c r="I57" s="158"/>
      <c r="J57" s="165"/>
      <c r="K57" s="166"/>
      <c r="M57" s="167" t="s">
        <v>115</v>
      </c>
      <c r="N57" s="168"/>
      <c r="O57" s="163">
        <f>+H58</f>
        <v>268.26659999999998</v>
      </c>
      <c r="P57" s="163"/>
      <c r="Q57" s="164"/>
    </row>
    <row r="58" spans="1:17" ht="13.5" thickBot="1" x14ac:dyDescent="0.25">
      <c r="A58" s="155"/>
      <c r="B58" s="156"/>
      <c r="C58" s="485" t="s">
        <v>116</v>
      </c>
      <c r="D58" s="485"/>
      <c r="E58" s="485"/>
      <c r="F58" s="157">
        <f>SUM(F46:F53)</f>
        <v>268.26659999999998</v>
      </c>
      <c r="G58" s="146">
        <f>+F58/$F$68</f>
        <v>0.24354800384399222</v>
      </c>
      <c r="H58" s="158">
        <f>+F58/$D$62</f>
        <v>268.26659999999998</v>
      </c>
      <c r="I58" s="158"/>
      <c r="J58" s="165"/>
      <c r="K58" s="166"/>
      <c r="L58" s="166"/>
      <c r="M58" s="166" t="s">
        <v>117</v>
      </c>
      <c r="N58" s="169"/>
      <c r="O58" s="163">
        <f>O56*N58</f>
        <v>0</v>
      </c>
      <c r="P58" s="163"/>
      <c r="Q58" s="164"/>
    </row>
    <row r="59" spans="1:17" ht="13.5" thickBot="1" x14ac:dyDescent="0.25">
      <c r="A59" s="155"/>
      <c r="B59" s="170"/>
      <c r="C59" s="170"/>
      <c r="D59" s="170"/>
      <c r="E59" s="170"/>
      <c r="F59" s="171"/>
      <c r="G59" s="146"/>
      <c r="H59" s="172"/>
      <c r="I59" s="158"/>
      <c r="J59" s="165"/>
      <c r="K59" s="173"/>
      <c r="M59" s="174" t="s">
        <v>118</v>
      </c>
      <c r="N59" s="175"/>
      <c r="O59" s="176">
        <f>SUM(O56:O58)</f>
        <v>1127.5243333333333</v>
      </c>
      <c r="P59" s="177"/>
      <c r="Q59" s="164"/>
    </row>
    <row r="60" spans="1:17" x14ac:dyDescent="0.2">
      <c r="B60" s="488" t="s">
        <v>119</v>
      </c>
      <c r="C60" s="488"/>
      <c r="D60" s="178">
        <v>220</v>
      </c>
      <c r="E60" s="179"/>
      <c r="G60" s="146"/>
      <c r="H60" s="172">
        <f>+H58/77</f>
        <v>3.4839818181818178</v>
      </c>
      <c r="I60" s="180"/>
      <c r="J60" s="165"/>
      <c r="K60" s="173"/>
      <c r="L60" s="166"/>
      <c r="M60" s="166" t="s">
        <v>120</v>
      </c>
      <c r="N60" s="181"/>
      <c r="O60" s="163">
        <f>+H61</f>
        <v>289.17049090909086</v>
      </c>
      <c r="P60" s="163"/>
      <c r="Q60" s="164"/>
    </row>
    <row r="61" spans="1:17" x14ac:dyDescent="0.2">
      <c r="B61" s="488" t="s">
        <v>121</v>
      </c>
      <c r="C61" s="488"/>
      <c r="D61" s="182">
        <v>220</v>
      </c>
      <c r="E61" s="179"/>
      <c r="G61" s="146"/>
      <c r="H61" s="172">
        <f>+H60*83</f>
        <v>289.17049090909086</v>
      </c>
      <c r="I61" s="180"/>
      <c r="J61" s="165"/>
      <c r="K61" s="173"/>
      <c r="L61" s="166"/>
      <c r="M61" s="489" t="s">
        <v>118</v>
      </c>
      <c r="N61" s="489"/>
      <c r="O61" s="163">
        <f>SUM(O59:O60)</f>
        <v>1416.6948242424241</v>
      </c>
      <c r="P61" s="163"/>
      <c r="Q61" s="164"/>
    </row>
    <row r="62" spans="1:17" ht="13.5" thickBot="1" x14ac:dyDescent="0.25">
      <c r="B62" s="480" t="s">
        <v>122</v>
      </c>
      <c r="C62" s="480"/>
      <c r="D62" s="178">
        <f>+D60/D61</f>
        <v>1</v>
      </c>
      <c r="E62" s="179"/>
      <c r="F62" s="183"/>
      <c r="G62" s="146"/>
      <c r="H62" s="172"/>
      <c r="I62" s="180"/>
      <c r="J62" s="165"/>
      <c r="K62" s="173"/>
      <c r="L62" s="489"/>
      <c r="M62" s="489"/>
      <c r="N62" s="181"/>
      <c r="O62" s="163">
        <f>+O61*N62</f>
        <v>0</v>
      </c>
      <c r="P62" s="163"/>
      <c r="Q62" s="164"/>
    </row>
    <row r="63" spans="1:17" ht="13.5" thickBot="1" x14ac:dyDescent="0.25">
      <c r="B63" s="480" t="s">
        <v>123</v>
      </c>
      <c r="C63" s="480"/>
      <c r="D63" s="184"/>
      <c r="E63" s="179"/>
      <c r="F63" s="183"/>
      <c r="G63" s="146"/>
      <c r="H63" s="172"/>
      <c r="I63" s="180"/>
      <c r="J63" s="165"/>
      <c r="K63" s="481" t="s">
        <v>124</v>
      </c>
      <c r="L63" s="482"/>
      <c r="M63" s="482"/>
      <c r="N63" s="483"/>
      <c r="O63" s="176">
        <f>SUM(O61:O62)</f>
        <v>1416.6948242424241</v>
      </c>
      <c r="P63" s="185" t="s">
        <v>125</v>
      </c>
      <c r="Q63" s="164"/>
    </row>
    <row r="64" spans="1:17" ht="13.5" thickBot="1" x14ac:dyDescent="0.25">
      <c r="C64" s="155" t="s">
        <v>126</v>
      </c>
      <c r="D64" s="186"/>
      <c r="E64" s="129" t="s">
        <v>127</v>
      </c>
      <c r="F64" s="187" t="s">
        <v>128</v>
      </c>
      <c r="G64" s="146"/>
      <c r="H64" s="172"/>
      <c r="I64" s="180"/>
      <c r="J64" s="188"/>
      <c r="K64" s="189"/>
      <c r="L64" s="469" t="s">
        <v>129</v>
      </c>
      <c r="M64" s="469"/>
      <c r="N64" s="469"/>
      <c r="O64" s="190">
        <f>+O63/D62</f>
        <v>1416.6948242424241</v>
      </c>
      <c r="P64" s="191">
        <f>+O64/D61</f>
        <v>6.4395219283746554</v>
      </c>
      <c r="Q64" s="192"/>
    </row>
    <row r="65" spans="2:16" ht="13.5" thickBot="1" x14ac:dyDescent="0.25">
      <c r="B65" s="470" t="s">
        <v>114</v>
      </c>
      <c r="C65" s="470"/>
      <c r="D65" s="470"/>
      <c r="E65" s="193">
        <f>+F65/F65</f>
        <v>1</v>
      </c>
      <c r="F65" s="194">
        <f>SUM(F57)</f>
        <v>859.25773333333336</v>
      </c>
      <c r="G65" s="146">
        <f>+F65/$F$68</f>
        <v>0.7800840870270348</v>
      </c>
      <c r="H65" s="172"/>
      <c r="I65" s="180"/>
      <c r="K65" s="471"/>
      <c r="L65" s="472"/>
      <c r="M65" s="472"/>
      <c r="N65" s="472"/>
      <c r="O65" s="195"/>
      <c r="P65" s="196"/>
    </row>
    <row r="66" spans="2:16" ht="13.5" thickBot="1" x14ac:dyDescent="0.3">
      <c r="B66" s="473" t="s">
        <v>130</v>
      </c>
      <c r="C66" s="473"/>
      <c r="D66" s="473"/>
      <c r="E66" s="197">
        <v>0.02</v>
      </c>
      <c r="F66" s="194">
        <f>+F55*E66</f>
        <v>11.236000000000002</v>
      </c>
      <c r="G66" s="146">
        <f>+F66/$F$68</f>
        <v>1.0200693530954272E-2</v>
      </c>
      <c r="H66" s="158"/>
      <c r="I66" s="180"/>
      <c r="J66" s="198"/>
      <c r="O66" s="199">
        <v>1422.49</v>
      </c>
      <c r="P66" s="156"/>
    </row>
    <row r="67" spans="2:16" ht="13.5" thickBot="1" x14ac:dyDescent="0.3">
      <c r="B67" s="474" t="s">
        <v>131</v>
      </c>
      <c r="C67" s="475"/>
      <c r="D67" s="200">
        <v>3</v>
      </c>
      <c r="E67" s="201">
        <v>77</v>
      </c>
      <c r="F67" s="194">
        <f>+E67*D67</f>
        <v>231</v>
      </c>
      <c r="G67" s="146">
        <f>+F67/$F$68</f>
        <v>0.20971521944201107</v>
      </c>
      <c r="H67" s="158"/>
      <c r="I67" s="158"/>
      <c r="J67" s="148"/>
    </row>
    <row r="68" spans="2:16" ht="13.5" thickBot="1" x14ac:dyDescent="0.3">
      <c r="B68" s="476" t="s">
        <v>132</v>
      </c>
      <c r="C68" s="477"/>
      <c r="D68" s="477"/>
      <c r="E68" s="478"/>
      <c r="F68" s="171">
        <f>SUM(F65:F67)</f>
        <v>1101.4937333333332</v>
      </c>
      <c r="G68" s="146">
        <f>+F68/$F$68</f>
        <v>1</v>
      </c>
      <c r="H68" s="479"/>
      <c r="I68" s="158"/>
      <c r="J68" s="148"/>
      <c r="M68" s="131" t="s">
        <v>133</v>
      </c>
    </row>
    <row r="69" spans="2:16" x14ac:dyDescent="0.25">
      <c r="C69" s="153"/>
      <c r="D69" s="153"/>
      <c r="E69" s="203"/>
      <c r="F69" s="194"/>
      <c r="G69" s="146"/>
      <c r="H69" s="479"/>
      <c r="I69" s="202"/>
      <c r="J69" s="131"/>
      <c r="M69" s="131" t="s">
        <v>134</v>
      </c>
    </row>
    <row r="70" spans="2:16" ht="13.5" thickBot="1" x14ac:dyDescent="0.3">
      <c r="B70" s="464" t="s">
        <v>135</v>
      </c>
      <c r="C70" s="464"/>
      <c r="D70" s="464"/>
      <c r="E70" s="464"/>
      <c r="F70" s="464"/>
      <c r="G70" s="146"/>
      <c r="H70" s="205"/>
      <c r="I70" s="202"/>
      <c r="J70" s="131"/>
      <c r="M70" s="131" t="s">
        <v>136</v>
      </c>
    </row>
    <row r="71" spans="2:16" ht="13.5" thickBot="1" x14ac:dyDescent="0.3">
      <c r="B71" s="206" t="s">
        <v>137</v>
      </c>
      <c r="C71" s="207">
        <f>+F55</f>
        <v>561.80000000000007</v>
      </c>
      <c r="D71" s="207">
        <f>+D60</f>
        <v>220</v>
      </c>
      <c r="E71" s="208">
        <f>+C71/D71</f>
        <v>2.5536363636363641</v>
      </c>
      <c r="F71" s="146"/>
      <c r="G71" s="205"/>
      <c r="H71" s="148"/>
      <c r="I71" s="205"/>
      <c r="J71" s="131"/>
    </row>
    <row r="72" spans="2:16" x14ac:dyDescent="0.25">
      <c r="B72" s="209"/>
      <c r="C72" s="210"/>
      <c r="D72" s="211"/>
      <c r="E72" s="194"/>
      <c r="F72" s="146"/>
      <c r="G72" s="205"/>
      <c r="H72" s="148"/>
      <c r="I72" s="148"/>
      <c r="J72" s="131"/>
    </row>
    <row r="73" spans="2:16" x14ac:dyDescent="0.25">
      <c r="B73" s="206" t="s">
        <v>138</v>
      </c>
      <c r="C73" s="207">
        <f>SUM(F65:F66)</f>
        <v>870.49373333333335</v>
      </c>
      <c r="D73" s="207">
        <f>+D60</f>
        <v>220</v>
      </c>
      <c r="E73" s="212">
        <f>+C73/D73</f>
        <v>3.9567896969696972</v>
      </c>
      <c r="F73" s="146"/>
      <c r="G73" s="205"/>
      <c r="H73" s="148"/>
      <c r="I73" s="148"/>
      <c r="J73" s="131"/>
    </row>
    <row r="74" spans="2:16" x14ac:dyDescent="0.25">
      <c r="B74" s="206"/>
      <c r="C74" s="207"/>
      <c r="D74" s="207"/>
      <c r="E74" s="212"/>
      <c r="F74" s="146"/>
      <c r="G74" s="205"/>
      <c r="H74" s="148"/>
      <c r="I74" s="148"/>
      <c r="J74" s="131"/>
    </row>
    <row r="75" spans="2:16" ht="13.5" thickBot="1" x14ac:dyDescent="0.3">
      <c r="B75" s="206" t="s">
        <v>139</v>
      </c>
      <c r="C75" s="207">
        <f>+F67</f>
        <v>231</v>
      </c>
      <c r="D75" s="207">
        <f>+D60</f>
        <v>220</v>
      </c>
      <c r="E75" s="212">
        <f>+C75/D75</f>
        <v>1.05</v>
      </c>
      <c r="F75" s="146"/>
      <c r="G75" s="205"/>
      <c r="H75" s="148"/>
      <c r="I75" s="148"/>
      <c r="J75" s="131"/>
    </row>
    <row r="76" spans="2:16" ht="13.5" thickBot="1" x14ac:dyDescent="0.3">
      <c r="B76" s="206" t="s">
        <v>140</v>
      </c>
      <c r="C76" s="207">
        <f>+F58</f>
        <v>268.26659999999998</v>
      </c>
      <c r="D76" s="207">
        <f>+D75</f>
        <v>220</v>
      </c>
      <c r="E76" s="208">
        <f>+C76/D76</f>
        <v>1.2193936363636362</v>
      </c>
      <c r="F76" s="146"/>
      <c r="G76" s="205"/>
      <c r="H76" s="148"/>
      <c r="I76" s="148"/>
      <c r="J76" s="131"/>
    </row>
    <row r="77" spans="2:16" ht="13.5" thickBot="1" x14ac:dyDescent="0.3">
      <c r="B77" s="170"/>
      <c r="C77" s="171"/>
      <c r="D77" s="171"/>
      <c r="E77" s="212"/>
      <c r="F77" s="146"/>
      <c r="G77" s="205"/>
      <c r="H77" s="148"/>
      <c r="I77" s="148"/>
      <c r="J77" s="131"/>
    </row>
    <row r="78" spans="2:16" ht="13.5" thickBot="1" x14ac:dyDescent="0.3">
      <c r="B78" s="206" t="s">
        <v>141</v>
      </c>
      <c r="C78" s="207">
        <f>+F56</f>
        <v>297.45773333333329</v>
      </c>
      <c r="D78" s="207">
        <f>+D76</f>
        <v>220</v>
      </c>
      <c r="E78" s="208">
        <f>+C78/D78</f>
        <v>1.3520806060606059</v>
      </c>
      <c r="F78" s="146"/>
      <c r="G78" s="205"/>
      <c r="H78" s="148"/>
      <c r="I78" s="148"/>
      <c r="J78" s="148"/>
    </row>
    <row r="79" spans="2:16" ht="13.5" thickBot="1" x14ac:dyDescent="0.3">
      <c r="B79" s="170"/>
      <c r="C79" s="171"/>
      <c r="D79" s="171"/>
      <c r="E79" s="212"/>
      <c r="F79" s="146"/>
      <c r="G79" s="205"/>
      <c r="H79" s="148"/>
      <c r="I79" s="148"/>
    </row>
    <row r="80" spans="2:16" ht="13.5" thickBot="1" x14ac:dyDescent="0.3">
      <c r="B80" s="465" t="s">
        <v>142</v>
      </c>
      <c r="C80" s="466"/>
      <c r="D80" s="467"/>
      <c r="E80" s="208">
        <f>+E71+E76</f>
        <v>3.7730300000000003</v>
      </c>
      <c r="G80" s="146"/>
      <c r="H80" s="205"/>
      <c r="I80" s="148"/>
      <c r="J80" s="212"/>
    </row>
    <row r="81" spans="1:10" x14ac:dyDescent="0.25">
      <c r="I81" s="205"/>
      <c r="J81" s="131"/>
    </row>
    <row r="82" spans="1:10" ht="13.5" thickBot="1" x14ac:dyDescent="0.3">
      <c r="B82" s="464" t="s">
        <v>143</v>
      </c>
      <c r="C82" s="464"/>
      <c r="D82" s="464"/>
      <c r="E82" s="464"/>
      <c r="F82" s="464"/>
      <c r="G82" s="146"/>
      <c r="H82" s="205"/>
      <c r="J82" s="131"/>
    </row>
    <row r="83" spans="1:10" ht="13.5" thickBot="1" x14ac:dyDescent="0.3">
      <c r="B83" s="206" t="s">
        <v>137</v>
      </c>
      <c r="C83" s="207">
        <f>+C71</f>
        <v>561.80000000000007</v>
      </c>
      <c r="D83" s="207">
        <f>+D62</f>
        <v>1</v>
      </c>
      <c r="E83" s="208">
        <f>+C83/D83</f>
        <v>561.80000000000007</v>
      </c>
      <c r="F83" s="146"/>
      <c r="G83" s="205"/>
      <c r="H83" s="148"/>
      <c r="I83" s="205"/>
      <c r="J83" s="131"/>
    </row>
    <row r="84" spans="1:10" x14ac:dyDescent="0.25">
      <c r="B84" s="209"/>
      <c r="C84" s="210"/>
      <c r="D84" s="211"/>
      <c r="E84" s="194"/>
      <c r="F84" s="146"/>
      <c r="G84" s="205"/>
      <c r="H84" s="148"/>
      <c r="I84" s="148"/>
      <c r="J84" s="131"/>
    </row>
    <row r="85" spans="1:10" x14ac:dyDescent="0.25">
      <c r="B85" s="206" t="s">
        <v>138</v>
      </c>
      <c r="C85" s="207">
        <f>+C73</f>
        <v>870.49373333333335</v>
      </c>
      <c r="D85" s="207">
        <f>+D62</f>
        <v>1</v>
      </c>
      <c r="E85" s="212">
        <f>+C85/D85</f>
        <v>870.49373333333335</v>
      </c>
      <c r="F85" s="146"/>
      <c r="G85" s="205"/>
      <c r="H85" s="148"/>
      <c r="I85" s="148"/>
      <c r="J85" s="131"/>
    </row>
    <row r="86" spans="1:10" x14ac:dyDescent="0.25">
      <c r="B86" s="206"/>
      <c r="C86" s="207"/>
      <c r="D86" s="207"/>
      <c r="E86" s="212"/>
      <c r="F86" s="146"/>
      <c r="G86" s="205"/>
      <c r="H86" s="148"/>
      <c r="I86" s="148"/>
      <c r="J86" s="131"/>
    </row>
    <row r="87" spans="1:10" ht="13.5" thickBot="1" x14ac:dyDescent="0.3">
      <c r="B87" s="206" t="s">
        <v>140</v>
      </c>
      <c r="C87" s="207">
        <f>+C75</f>
        <v>231</v>
      </c>
      <c r="D87" s="207">
        <f>+D62</f>
        <v>1</v>
      </c>
      <c r="E87" s="212">
        <f>+C87/D87</f>
        <v>231</v>
      </c>
      <c r="F87" s="214"/>
      <c r="G87" s="204"/>
      <c r="H87" s="130"/>
      <c r="I87" s="148"/>
    </row>
    <row r="88" spans="1:10" ht="13.5" thickBot="1" x14ac:dyDescent="0.3">
      <c r="B88" s="206" t="s">
        <v>140</v>
      </c>
      <c r="C88" s="207">
        <f>+C76</f>
        <v>268.26659999999998</v>
      </c>
      <c r="D88" s="207">
        <f>+D87</f>
        <v>1</v>
      </c>
      <c r="E88" s="208">
        <f>+C88/D88</f>
        <v>268.26659999999998</v>
      </c>
      <c r="F88" s="213"/>
      <c r="G88" s="204"/>
      <c r="H88" s="130"/>
      <c r="I88" s="130"/>
    </row>
    <row r="89" spans="1:10" x14ac:dyDescent="0.25">
      <c r="I89" s="130"/>
    </row>
    <row r="90" spans="1:10" x14ac:dyDescent="0.2">
      <c r="A90" s="468"/>
      <c r="B90" s="468"/>
      <c r="C90" s="215"/>
      <c r="D90" s="215"/>
      <c r="E90" s="216"/>
      <c r="G90" s="217"/>
    </row>
    <row r="91" spans="1:10" x14ac:dyDescent="0.2">
      <c r="A91" s="149"/>
      <c r="B91" s="218"/>
      <c r="C91" s="219"/>
      <c r="D91" s="219"/>
      <c r="E91" s="220"/>
      <c r="G91" s="217"/>
    </row>
    <row r="92" spans="1:10" x14ac:dyDescent="0.2">
      <c r="A92" s="149"/>
      <c r="B92" s="218"/>
      <c r="C92" s="221"/>
      <c r="D92" s="221"/>
      <c r="E92" s="149"/>
      <c r="G92" s="217"/>
    </row>
    <row r="93" spans="1:10" x14ac:dyDescent="0.2">
      <c r="A93" s="149"/>
      <c r="B93" s="218"/>
      <c r="C93" s="222"/>
      <c r="D93" s="222"/>
      <c r="E93" s="149"/>
      <c r="G93" s="217"/>
    </row>
  </sheetData>
  <mergeCells count="30">
    <mergeCell ref="K29:L29"/>
    <mergeCell ref="A4:H4"/>
    <mergeCell ref="A5:H5"/>
    <mergeCell ref="F6:G6"/>
    <mergeCell ref="K27:L27"/>
    <mergeCell ref="K28:L28"/>
    <mergeCell ref="B63:C63"/>
    <mergeCell ref="K63:N63"/>
    <mergeCell ref="K30:L30"/>
    <mergeCell ref="B55:E55"/>
    <mergeCell ref="B56:E56"/>
    <mergeCell ref="K56:N56"/>
    <mergeCell ref="B57:E57"/>
    <mergeCell ref="C58:E58"/>
    <mergeCell ref="B60:C60"/>
    <mergeCell ref="B61:C61"/>
    <mergeCell ref="M61:N61"/>
    <mergeCell ref="B62:C62"/>
    <mergeCell ref="L62:M62"/>
    <mergeCell ref="B70:F70"/>
    <mergeCell ref="B80:D80"/>
    <mergeCell ref="B82:F82"/>
    <mergeCell ref="A90:B90"/>
    <mergeCell ref="L64:N64"/>
    <mergeCell ref="B65:D65"/>
    <mergeCell ref="K65:N65"/>
    <mergeCell ref="B66:D66"/>
    <mergeCell ref="B67:C67"/>
    <mergeCell ref="B68:E68"/>
    <mergeCell ref="H68:H6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458b6a9d5d6b9a17d8ab2559e7240bab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41056e0dad6d77feaf64f6a7e964ff49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9350B85F-59C0-4F83-AAC3-A3A4674DC25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7F836C-E93D-4411-957B-28D3F0110381}"/>
</file>

<file path=customXml/itemProps3.xml><?xml version="1.0" encoding="utf-8"?>
<ds:datastoreItem xmlns:ds="http://schemas.openxmlformats.org/officeDocument/2006/customXml" ds:itemID="{63EE5897-0F64-42B7-982E-96D112768A58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Mini cake Hersheys 1</vt:lpstr>
      <vt:lpstr>Mini cake Hersheys 2</vt:lpstr>
      <vt:lpstr>Troceado de Brownie</vt:lpstr>
      <vt:lpstr>COSTO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Allan Brenes</cp:lastModifiedBy>
  <cp:lastPrinted>2025-11-21T18:41:11Z</cp:lastPrinted>
  <dcterms:created xsi:type="dcterms:W3CDTF">2023-11-03T14:53:47Z</dcterms:created>
  <dcterms:modified xsi:type="dcterms:W3CDTF">2025-11-21T18:43:26Z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
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3399CD2B-EC34-42D9-A0BA-572205D1B7F8}" xr6:coauthVersionLast="47" xr6:coauthVersionMax="47" xr10:uidLastSave="{26BBB9BA-11E2-423E-9635-84530BEDBA9B}"/>
  <bookViews>
    <workbookView xWindow="-120" yWindow="-120" windowWidth="20730" windowHeight="11040" xr2:uid="{0E74A515-377F-48BD-8D83-79DCC85D6C65}"/>
  </bookViews>
  <sheets>
    <sheet name="Hoja1" sheetId="1" r:id="rId1"/>
    <sheet name="Hoja2" sheetId="2" state="hidden" r:id="rId2"/>
  </sheets>
  <externalReferences>
    <externalReference r:id="rId3"/>
    <externalReference r:id="rId4"/>
  </externalReferences>
  <definedNames>
    <definedName name="_xlnm.Print_Area" localSheetId="0">Hoja1!$A$1:$I$53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C10" i="2"/>
  <c r="D10" i="2"/>
  <c r="E10" i="2"/>
  <c r="F10" i="2" s="1"/>
  <c r="B11" i="2"/>
  <c r="C11" i="2"/>
  <c r="D11" i="2"/>
  <c r="E11" i="2"/>
  <c r="B12" i="2"/>
  <c r="C12" i="2"/>
  <c r="D12" i="2"/>
  <c r="E12" i="2"/>
  <c r="F12" i="2" s="1"/>
  <c r="B13" i="2"/>
  <c r="C13" i="2"/>
  <c r="D13" i="2"/>
  <c r="E13" i="2"/>
  <c r="B14" i="2"/>
  <c r="C14" i="2"/>
  <c r="D14" i="2"/>
  <c r="E14" i="2"/>
  <c r="F14" i="2" s="1"/>
  <c r="B15" i="2"/>
  <c r="C15" i="2"/>
  <c r="D15" i="2"/>
  <c r="E15" i="2"/>
  <c r="D78" i="2"/>
  <c r="D79" i="2" s="1"/>
  <c r="D81" i="2" s="1"/>
  <c r="D76" i="2"/>
  <c r="D74" i="2"/>
  <c r="F70" i="2"/>
  <c r="C78" i="2" s="1"/>
  <c r="D65" i="2"/>
  <c r="D90" i="2" s="1"/>
  <c r="D91" i="2" s="1"/>
  <c r="C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6" i="2"/>
  <c r="D46" i="2"/>
  <c r="B46" i="2"/>
  <c r="A46" i="2"/>
  <c r="C46" i="2" s="1"/>
  <c r="E45" i="2"/>
  <c r="D45" i="2"/>
  <c r="B45" i="2"/>
  <c r="A45" i="2"/>
  <c r="C45" i="2" s="1"/>
  <c r="E44" i="2"/>
  <c r="D44" i="2"/>
  <c r="B44" i="2"/>
  <c r="A44" i="2"/>
  <c r="A53" i="2" s="1"/>
  <c r="C53" i="2" s="1"/>
  <c r="E43" i="2"/>
  <c r="D43" i="2"/>
  <c r="B43" i="2"/>
  <c r="A43" i="2"/>
  <c r="C43" i="2" s="1"/>
  <c r="E42" i="2"/>
  <c r="D42" i="2"/>
  <c r="B42" i="2"/>
  <c r="A42" i="2"/>
  <c r="C42" i="2" s="1"/>
  <c r="E41" i="2"/>
  <c r="D41" i="2"/>
  <c r="B41" i="2"/>
  <c r="A41" i="2"/>
  <c r="A50" i="2" s="1"/>
  <c r="C50" i="2" s="1"/>
  <c r="E40" i="2"/>
  <c r="D40" i="2"/>
  <c r="B40" i="2"/>
  <c r="A40" i="2"/>
  <c r="A49" i="2" s="1"/>
  <c r="C49" i="2" s="1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29" i="2"/>
  <c r="F29" i="2" s="1"/>
  <c r="D29" i="2"/>
  <c r="C29" i="2"/>
  <c r="B29" i="2"/>
  <c r="E28" i="2"/>
  <c r="F28" i="2" s="1"/>
  <c r="D28" i="2"/>
  <c r="C28" i="2"/>
  <c r="B28" i="2"/>
  <c r="E27" i="2"/>
  <c r="F27" i="2" s="1"/>
  <c r="D27" i="2"/>
  <c r="C27" i="2"/>
  <c r="B27" i="2"/>
  <c r="E26" i="2"/>
  <c r="F26" i="2" s="1"/>
  <c r="D26" i="2"/>
  <c r="C26" i="2"/>
  <c r="B26" i="2"/>
  <c r="E25" i="2"/>
  <c r="F25" i="2" s="1"/>
  <c r="D25" i="2"/>
  <c r="C25" i="2"/>
  <c r="B25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9" i="2"/>
  <c r="D9" i="2"/>
  <c r="C9" i="2"/>
  <c r="B9" i="2"/>
  <c r="D8" i="2"/>
  <c r="C8" i="2"/>
  <c r="B8" i="2"/>
  <c r="H6" i="2"/>
  <c r="D40" i="1"/>
  <c r="F15" i="2" l="1"/>
  <c r="F13" i="2"/>
  <c r="F11" i="2"/>
  <c r="F17" i="2"/>
  <c r="F19" i="2"/>
  <c r="F8" i="2"/>
  <c r="F9" i="2"/>
  <c r="C41" i="2"/>
  <c r="F41" i="2" s="1"/>
  <c r="F16" i="2"/>
  <c r="F18" i="2"/>
  <c r="F32" i="2"/>
  <c r="F33" i="2"/>
  <c r="F34" i="2"/>
  <c r="F35" i="2"/>
  <c r="F36" i="2"/>
  <c r="F37" i="2"/>
  <c r="F49" i="2"/>
  <c r="F53" i="2"/>
  <c r="D88" i="2"/>
  <c r="F50" i="2"/>
  <c r="F42" i="2"/>
  <c r="F43" i="2"/>
  <c r="F45" i="2"/>
  <c r="F46" i="2"/>
  <c r="C90" i="2"/>
  <c r="E90" i="2" s="1"/>
  <c r="E78" i="2"/>
  <c r="C40" i="2"/>
  <c r="F40" i="2" s="1"/>
  <c r="C44" i="2"/>
  <c r="F44" i="2" s="1"/>
  <c r="A52" i="2"/>
  <c r="C52" i="2" s="1"/>
  <c r="F52" i="2" s="1"/>
  <c r="A51" i="2"/>
  <c r="C51" i="2" s="1"/>
  <c r="F51" i="2" s="1"/>
  <c r="A55" i="2"/>
  <c r="C55" i="2" s="1"/>
  <c r="F55" i="2" s="1"/>
  <c r="E56" i="2"/>
  <c r="F56" i="2" s="1"/>
  <c r="D86" i="2"/>
  <c r="A54" i="2"/>
  <c r="C54" i="2" s="1"/>
  <c r="F54" i="2" s="1"/>
  <c r="F58" i="2" l="1"/>
  <c r="F69" i="2" s="1"/>
  <c r="F59" i="2"/>
  <c r="H59" i="2" s="1"/>
  <c r="G2" i="2" s="1"/>
  <c r="F61" i="2"/>
  <c r="C74" i="2" l="1"/>
  <c r="C86" i="2" s="1"/>
  <c r="E86" i="2" s="1"/>
  <c r="H58" i="2"/>
  <c r="F2" i="2" s="1"/>
  <c r="F60" i="2"/>
  <c r="H60" i="2" s="1"/>
  <c r="C81" i="2"/>
  <c r="E81" i="2" s="1"/>
  <c r="E74" i="2"/>
  <c r="C79" i="2"/>
  <c r="H61" i="2"/>
  <c r="H2" i="2" s="1"/>
  <c r="O59" i="2" l="1"/>
  <c r="O61" i="2" s="1"/>
  <c r="F68" i="2"/>
  <c r="E68" i="2" s="1"/>
  <c r="E79" i="2"/>
  <c r="C91" i="2"/>
  <c r="E91" i="2" s="1"/>
  <c r="O63" i="2" l="1"/>
  <c r="E83" i="2"/>
  <c r="O60" i="2"/>
  <c r="O62" i="2" s="1"/>
  <c r="F71" i="2"/>
  <c r="G68" i="2" s="1"/>
  <c r="C76" i="2"/>
  <c r="E76" i="2" s="1"/>
  <c r="G54" i="2" l="1"/>
  <c r="G59" i="2"/>
  <c r="G42" i="2"/>
  <c r="G28" i="2"/>
  <c r="G43" i="2"/>
  <c r="O64" i="2"/>
  <c r="O65" i="2" s="1"/>
  <c r="O66" i="2" s="1"/>
  <c r="O67" i="2" s="1"/>
  <c r="E2" i="2" s="1"/>
  <c r="G61" i="2"/>
  <c r="G33" i="2"/>
  <c r="G51" i="2"/>
  <c r="G52" i="2"/>
  <c r="C88" i="2"/>
  <c r="E88" i="2" s="1"/>
  <c r="G53" i="2"/>
  <c r="G60" i="2"/>
  <c r="G45" i="2"/>
  <c r="G44" i="2"/>
  <c r="G50" i="2"/>
  <c r="G55" i="2"/>
  <c r="G70" i="2"/>
  <c r="G32" i="2"/>
  <c r="G8" i="2"/>
  <c r="G26" i="2"/>
  <c r="G46" i="2"/>
  <c r="G29" i="2"/>
  <c r="G69" i="2"/>
  <c r="G40" i="2"/>
  <c r="G56" i="2"/>
  <c r="G58" i="2"/>
  <c r="G19" i="2"/>
  <c r="G35" i="2"/>
  <c r="G36" i="2"/>
  <c r="G41" i="2"/>
  <c r="G27" i="2"/>
  <c r="G16" i="2"/>
  <c r="G23" i="2"/>
  <c r="G49" i="2"/>
  <c r="G22" i="2"/>
  <c r="G34" i="2"/>
  <c r="G13" i="2"/>
  <c r="G18" i="2"/>
  <c r="G17" i="2"/>
  <c r="G10" i="2"/>
  <c r="G25" i="2"/>
  <c r="G9" i="2"/>
  <c r="G15" i="2"/>
  <c r="G11" i="2"/>
  <c r="G24" i="2"/>
  <c r="G37" i="2"/>
  <c r="G71" i="2"/>
  <c r="G12" i="2"/>
  <c r="G14" i="2"/>
  <c r="P67" i="2" l="1"/>
</calcChain>
</file>

<file path=xl/sharedStrings.xml><?xml version="1.0" encoding="utf-8"?>
<sst xmlns="http://schemas.openxmlformats.org/spreadsheetml/2006/main" count="214" uniqueCount="143">
  <si>
    <t>SERVICIOS DE PASTELERIA S.A.</t>
  </si>
  <si>
    <t>CÓDIGO:</t>
  </si>
  <si>
    <t>ESPECIFICACION DE RECETA</t>
  </si>
  <si>
    <t>REVISIÓN:</t>
  </si>
  <si>
    <t>Carne De Cerdo Para Tamales 9280g 908000031 (SE00558)</t>
  </si>
  <si>
    <t>FECHA DE APROBACIÓN:</t>
  </si>
  <si>
    <t>Elaborado</t>
  </si>
  <si>
    <t>Enmanuel Madrigal, Chef</t>
  </si>
  <si>
    <t>Aprobado</t>
  </si>
  <si>
    <t>Esteban Cartin, Gte Manufactura</t>
  </si>
  <si>
    <t>AREA QUE PRODUCE:</t>
  </si>
  <si>
    <t xml:space="preserve">Cocina </t>
  </si>
  <si>
    <t xml:space="preserve">AREA QUE EMPACA: </t>
  </si>
  <si>
    <t>Empaque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</si>
  <si>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</si>
  <si>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</si>
  <si>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</si>
  <si>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</si>
  <si>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</si>
  <si>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</si>
  <si>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</si>
  <si>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</si>
  <si>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</si>
  <si>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</si>
  <si>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MP10305</t>
  </si>
  <si>
    <t>g</t>
  </si>
  <si>
    <t>MP10117</t>
  </si>
  <si>
    <t>CHILE DULCE ENTERO KILO</t>
  </si>
  <si>
    <t>4 unidades</t>
  </si>
  <si>
    <t>MP10020</t>
  </si>
  <si>
    <t>CEBOLLA PICADA (PAQ:KILO)</t>
  </si>
  <si>
    <t>MP10173</t>
  </si>
  <si>
    <t>CULANTRO DESINFECTADO (PAQ:250g)</t>
  </si>
  <si>
    <t>MP10021</t>
  </si>
  <si>
    <t>AJO PELADO (PAQ:1 KILO)</t>
  </si>
  <si>
    <t>MP10017</t>
  </si>
  <si>
    <t>CONSOME POLLO ALSERRO (PAQ: 1 K)</t>
  </si>
  <si>
    <t>ALSERRO</t>
  </si>
  <si>
    <t>MP10034</t>
  </si>
  <si>
    <t>PAPRIKA (UND:454g)</t>
  </si>
  <si>
    <t>SE00104</t>
  </si>
  <si>
    <t>SAL (BOLSA=5000g)</t>
  </si>
  <si>
    <t>FAS</t>
  </si>
  <si>
    <t>MP10025</t>
  </si>
  <si>
    <t>PRESERVANTE 1017S (PAQ=5 KILO)</t>
  </si>
  <si>
    <t>ASAEL</t>
  </si>
  <si>
    <t>AGUA POTABLE (PLANTA)</t>
  </si>
  <si>
    <t>DESPUES DE SACAR EL CERDO COCIDO</t>
  </si>
  <si>
    <t>EMPAQUE</t>
  </si>
  <si>
    <t>EM10011</t>
  </si>
  <si>
    <t>ETIQUETA BLANCA 2 5/8X1 15/16 PRE BLANCA</t>
  </si>
  <si>
    <t>ETIPLAST</t>
  </si>
  <si>
    <t>ud</t>
  </si>
  <si>
    <t>EM10259</t>
  </si>
  <si>
    <t>PLASTICO AUTOADHERIBLE 18X2000</t>
  </si>
  <si>
    <t>MAYCA</t>
  </si>
  <si>
    <t>cm</t>
  </si>
  <si>
    <t>AS00020</t>
  </si>
  <si>
    <t xml:space="preserve">GUANTE LATEX CORRIENTE (CAJA:100 UND)
</t>
  </si>
  <si>
    <t>ESOSA</t>
  </si>
  <si>
    <t>Unidad</t>
  </si>
  <si>
    <t>PESO TOTAL OBTENIDO</t>
  </si>
  <si>
    <t>TIEMPO TOTAL DE PREPARACION</t>
  </si>
  <si>
    <t>min</t>
  </si>
  <si>
    <t>CANTIDAD DE PORCIONES OBTENIDAS</t>
  </si>
  <si>
    <t>TANDA</t>
  </si>
  <si>
    <t>PESO DE CADA PORCIÓN</t>
  </si>
  <si>
    <t>MERMA</t>
  </si>
  <si>
    <t>PROCEDIMIENTO DE PREPARACION DE LA  RECETA</t>
  </si>
  <si>
    <t>1- Colocar todos los ingredientes en una olla grande</t>
  </si>
  <si>
    <t>2- Cocinar por aprox 2 horas, desde que el agua hierve, la carne debe quedar suave pero no desmenuzada</t>
  </si>
  <si>
    <t>3- Colocar la carne en bandejas y pasar a enfriar para poder cortar</t>
  </si>
  <si>
    <t>4- Agregar al caldo restante mas la otra parte del agua, cosnsome, paprika y sal. Hervir</t>
  </si>
  <si>
    <t>5- Picar en cubos de 1,5 cm aprox UTILIZAR GUANTES, pasar a empaque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</si>
  <si>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</si>
  <si>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</si>
  <si>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</si>
  <si>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</si>
  <si>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</si>
  <si>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</si>
  <si>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</si>
  <si>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</si>
  <si>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</si>
  <si>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</si>
  <si>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</si>
  <si>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</si>
  <si>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</si>
  <si>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</si>
  <si>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0210096</t>
  </si>
  <si>
    <t>101055</t>
  </si>
  <si>
    <t>101035</t>
  </si>
  <si>
    <t>101073</t>
  </si>
  <si>
    <t>101005</t>
  </si>
  <si>
    <t>610220</t>
  </si>
  <si>
    <t>10500</t>
  </si>
  <si>
    <t>1212412</t>
  </si>
  <si>
    <t>MATERIA PRIMA SEMIELABORADOS</t>
  </si>
  <si>
    <t>90100142</t>
  </si>
  <si>
    <t>0702123</t>
  </si>
  <si>
    <t>512000002</t>
  </si>
  <si>
    <t>403000007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</si>
  <si>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</si>
  <si>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</si>
  <si>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</si>
  <si>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</si>
  <si>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</si>
  <si>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</si>
  <si>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</si>
  <si>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</si>
  <si>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</si>
  <si>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</si>
  <si>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</si>
  <si>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</si>
  <si>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</si>
  <si>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</si>
  <si>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</si>
  <si>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</si>
  <si>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</si>
  <si>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</si>
  <si>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</si>
  <si>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</si>
  <si>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</si>
  <si>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</si>
  <si>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</si>
  <si>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</si>
  <si>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</si>
  <si>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</si>
  <si>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</si>
  <si>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</si>
  <si>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</si>
  <si>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</si>
  <si>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</si>
  <si>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</si>
  <si>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</si>
  <si>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</si>
  <si>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POSTA DE CERDO</t>
  </si>
  <si>
    <t>BELCA</t>
  </si>
  <si>
    <t>FRESQUITA</t>
  </si>
  <si>
    <t>SYSCO</t>
  </si>
  <si>
    <t>CONSOME POLLO</t>
  </si>
  <si>
    <t>EMPAQUE SAL PLANTA</t>
  </si>
  <si>
    <t>01</t>
  </si>
  <si>
    <t>ESP-RE-COCS-109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</si>
</sst>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_([$€-2]* #,##0.00_);_([$€-2]* \(#,##0.00\);_([$€-2]* &quot;-&quot;??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i/>
      <sz val="20"/>
      <name val="Arial"/>
      <family val="2"/>
    </font>
    <font>
      <b/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5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7" fillId="4" borderId="0" xfId="0" applyFont="1" applyFill="1" applyAlignment="1">
      <alignment vertical="center"/>
    </xf>
    <xf numFmtId="0" fontId="8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17" xfId="19" applyFont="1" applyFill="1" applyBorder="1" applyAlignment="1">
      <alignment horizontal="center" vertical="center"/>
    </xf>
    <xf numFmtId="43" fontId="8" fillId="0" borderId="0" xfId="19" applyFont="1" applyFill="1" applyBorder="1" applyAlignment="1">
      <alignment horizontal="center" vertical="center"/>
    </xf>
    <xf numFmtId="43" fontId="10" fillId="0" borderId="0" xfId="19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20" applyNumberFormat="1" applyFont="1" applyFill="1" applyAlignment="1">
      <alignment horizontal="center" vertical="center"/>
    </xf>
    <xf numFmtId="4" fontId="8" fillId="0" borderId="0" xfId="20" applyNumberFormat="1" applyFont="1" applyFill="1" applyAlignment="1">
      <alignment horizontal="center" vertical="center"/>
    </xf>
    <xf numFmtId="10" fontId="8" fillId="0" borderId="0" xfId="21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21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19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8" fillId="0" borderId="0" xfId="19" applyNumberFormat="1" applyFont="1" applyFill="1" applyAlignment="1">
      <alignment vertical="center"/>
    </xf>
    <xf numFmtId="43" fontId="16" fillId="0" borderId="0" xfId="19" applyFont="1" applyFill="1" applyAlignment="1">
      <alignment horizontal="center" vertical="center"/>
    </xf>
    <xf numFmtId="10" fontId="9" fillId="7" borderId="36" xfId="21" applyNumberFormat="1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7" fillId="7" borderId="36" xfId="0" applyFont="1" applyFill="1" applyBorder="1" applyAlignment="1">
      <alignment vertical="center"/>
    </xf>
    <xf numFmtId="43" fontId="16" fillId="7" borderId="37" xfId="19" applyFont="1" applyFill="1" applyBorder="1" applyAlignment="1">
      <alignment horizontal="center" vertical="center"/>
    </xf>
    <xf numFmtId="43" fontId="18" fillId="0" borderId="0" xfId="19" applyFont="1" applyFill="1" applyBorder="1" applyAlignment="1">
      <alignment horizontal="right"/>
    </xf>
    <xf numFmtId="0" fontId="7" fillId="7" borderId="37" xfId="0" applyFont="1" applyFill="1" applyBorder="1" applyAlignment="1">
      <alignment vertical="center"/>
    </xf>
    <xf numFmtId="10" fontId="9" fillId="7" borderId="37" xfId="21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0" fontId="8" fillId="0" borderId="0" xfId="0" applyFont="1" applyAlignment="1">
      <alignment horizontal="right" vertical="center"/>
    </xf>
    <xf numFmtId="9" fontId="19" fillId="0" borderId="0" xfId="21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19" applyNumberFormat="1" applyFont="1" applyFill="1" applyAlignment="1">
      <alignment vertical="center"/>
    </xf>
    <xf numFmtId="4" fontId="16" fillId="0" borderId="0" xfId="20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2" xfId="0" applyFont="1" applyBorder="1" applyAlignment="1">
      <alignment horizontal="right"/>
    </xf>
    <xf numFmtId="43" fontId="22" fillId="5" borderId="38" xfId="19" applyFont="1" applyFill="1" applyBorder="1" applyAlignment="1">
      <alignment horizontal="right"/>
    </xf>
    <xf numFmtId="43" fontId="22" fillId="0" borderId="0" xfId="19" applyFont="1" applyFill="1" applyBorder="1" applyAlignment="1">
      <alignment horizontal="right"/>
    </xf>
    <xf numFmtId="43" fontId="8" fillId="0" borderId="17" xfId="19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20" applyNumberFormat="1" applyFont="1" applyFill="1" applyAlignment="1">
      <alignment horizontal="center" vertical="center"/>
    </xf>
    <xf numFmtId="10" fontId="24" fillId="0" borderId="0" xfId="21" applyNumberFormat="1" applyFont="1" applyFill="1" applyAlignment="1">
      <alignment horizontal="right"/>
    </xf>
    <xf numFmtId="170" fontId="8" fillId="7" borderId="17" xfId="19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8" borderId="17" xfId="19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39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19" applyNumberFormat="1" applyFont="1" applyFill="1" applyBorder="1" applyAlignment="1">
      <alignment horizontal="center"/>
    </xf>
    <xf numFmtId="2" fontId="21" fillId="0" borderId="0" xfId="19" applyNumberFormat="1" applyFont="1" applyFill="1" applyBorder="1" applyAlignment="1">
      <alignment horizontal="center"/>
    </xf>
    <xf numFmtId="0" fontId="7" fillId="7" borderId="39" xfId="0" applyFont="1" applyFill="1" applyBorder="1" applyAlignment="1">
      <alignment vertical="center"/>
    </xf>
    <xf numFmtId="10" fontId="7" fillId="0" borderId="0" xfId="21" applyNumberFormat="1" applyFont="1" applyFill="1" applyAlignment="1">
      <alignment vertical="center"/>
    </xf>
    <xf numFmtId="4" fontId="7" fillId="0" borderId="0" xfId="19" applyNumberFormat="1" applyFont="1" applyFill="1" applyAlignment="1">
      <alignment vertical="center"/>
    </xf>
    <xf numFmtId="43" fontId="22" fillId="7" borderId="8" xfId="19" applyFont="1" applyFill="1" applyBorder="1" applyAlignment="1">
      <alignment horizontal="right"/>
    </xf>
    <xf numFmtId="0" fontId="8" fillId="7" borderId="7" xfId="0" applyFont="1" applyFill="1" applyBorder="1" applyAlignment="1">
      <alignment horizontal="right" vertical="center"/>
    </xf>
    <xf numFmtId="10" fontId="28" fillId="0" borderId="0" xfId="19" applyNumberFormat="1" applyFont="1" applyFill="1" applyAlignment="1">
      <alignment vertical="center"/>
    </xf>
    <xf numFmtId="10" fontId="9" fillId="0" borderId="0" xfId="21" applyNumberFormat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43" fontId="30" fillId="0" borderId="0" xfId="19" applyFont="1" applyFill="1" applyAlignment="1">
      <alignment vertical="center"/>
    </xf>
    <xf numFmtId="9" fontId="7" fillId="0" borderId="0" xfId="19" applyNumberFormat="1" applyFont="1" applyFill="1" applyAlignment="1">
      <alignment vertical="center"/>
    </xf>
    <xf numFmtId="4" fontId="31" fillId="0" borderId="0" xfId="2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9" applyNumberFormat="1" applyFont="1" applyFill="1" applyAlignment="1">
      <alignment vertical="center"/>
    </xf>
    <xf numFmtId="4" fontId="8" fillId="10" borderId="38" xfId="19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19" applyFont="1" applyFill="1" applyAlignment="1">
      <alignment vertical="center"/>
    </xf>
    <xf numFmtId="9" fontId="32" fillId="0" borderId="0" xfId="19" applyNumberFormat="1" applyFont="1" applyFill="1" applyAlignment="1">
      <alignment vertical="center"/>
    </xf>
    <xf numFmtId="4" fontId="8" fillId="0" borderId="0" xfId="19" applyNumberFormat="1" applyFont="1" applyFill="1" applyAlignment="1">
      <alignment horizontal="center" vertical="center"/>
    </xf>
    <xf numFmtId="10" fontId="25" fillId="0" borderId="0" xfId="21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43" fontId="25" fillId="0" borderId="0" xfId="19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19" applyFont="1" applyFill="1" applyBorder="1"/>
    <xf numFmtId="10" fontId="25" fillId="0" borderId="0" xfId="21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7" fillId="0" borderId="0" xfId="19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7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9" xfId="0" applyFont="1" applyFill="1" applyBorder="1" applyAlignment="1">
      <alignment horizontal="right"/>
    </xf>
    <xf numFmtId="0" fontId="22" fillId="7" borderId="8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7" xfId="0" applyFont="1" applyFill="1" applyBorder="1" applyAlignment="1">
      <alignment horizontal="right" vertical="center"/>
    </xf>
    <xf numFmtId="4" fontId="31" fillId="0" borderId="0" xfId="20" applyNumberFormat="1" applyFont="1" applyFill="1" applyAlignment="1">
      <alignment horizontal="center" vertical="center" wrapText="1"/>
    </xf>
    <xf numFmtId="0" fontId="25" fillId="0" borderId="17" xfId="0" applyFont="1" applyBorder="1" applyAlignment="1">
      <alignment horizontal="right" vertical="center"/>
    </xf>
    <xf numFmtId="0" fontId="26" fillId="0" borderId="23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2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30" xfId="0" applyFont="1" applyBorder="1" applyAlignment="1">
      <alignment horizontal="right"/>
    </xf>
    <xf numFmtId="0" fontId="17" fillId="0" borderId="31" xfId="0" applyFont="1" applyBorder="1" applyAlignment="1">
      <alignment horizontal="right"/>
    </xf>
    <xf numFmtId="0" fontId="7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1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right" vertical="center" wrapText="1"/>
    </xf>
    <xf numFmtId="0" fontId="36" fillId="0" borderId="17" xfId="0" applyFont="1" applyBorder="1" applyAlignment="1">
      <alignment horizontal="center" vertical="top"/>
    </xf>
    <xf numFmtId="0" fontId="36" fillId="0" borderId="17" xfId="0" applyFont="1" applyBorder="1" applyAlignment="1">
      <alignment vertical="top"/>
    </xf>
    <xf numFmtId="0" fontId="37" fillId="4" borderId="17" xfId="0" applyFont="1" applyFill="1" applyBorder="1" applyAlignment="1">
      <alignment horizontal="center" vertical="center"/>
    </xf>
    <xf numFmtId="1" fontId="37" fillId="4" borderId="17" xfId="0" applyNumberFormat="1" applyFont="1" applyFill="1" applyBorder="1" applyAlignment="1">
      <alignment horizontal="center"/>
    </xf>
    <xf numFmtId="1" fontId="37" fillId="4" borderId="17" xfId="0" applyNumberFormat="1" applyFont="1" applyFill="1" applyBorder="1" applyAlignment="1">
      <alignment horizontal="center" wrapText="1"/>
    </xf>
    <xf numFmtId="1" fontId="37" fillId="0" borderId="17" xfId="0" applyNumberFormat="1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4" borderId="24" xfId="0" applyFont="1" applyFill="1" applyBorder="1" applyAlignment="1">
      <alignment horizontal="center"/>
    </xf>
    <xf numFmtId="1" fontId="37" fillId="0" borderId="15" xfId="0" applyNumberFormat="1" applyFont="1" applyBorder="1" applyAlignment="1">
      <alignment horizontal="center"/>
    </xf>
    <xf numFmtId="0" fontId="37" fillId="0" borderId="25" xfId="1" applyFont="1" applyBorder="1" applyAlignment="1">
      <alignment horizontal="center"/>
    </xf>
    <xf numFmtId="49" fontId="37" fillId="0" borderId="17" xfId="1" applyNumberFormat="1" applyFont="1" applyBorder="1"/>
    <xf numFmtId="16" fontId="37" fillId="0" borderId="17" xfId="1" applyNumberFormat="1" applyFont="1" applyBorder="1" applyAlignment="1">
      <alignment horizontal="center"/>
    </xf>
    <xf numFmtId="1" fontId="37" fillId="0" borderId="17" xfId="1" applyNumberFormat="1" applyFont="1" applyBorder="1" applyAlignment="1">
      <alignment horizontal="center" wrapText="1"/>
    </xf>
    <xf numFmtId="49" fontId="37" fillId="0" borderId="25" xfId="1" applyNumberFormat="1" applyFont="1" applyBorder="1" applyAlignment="1">
      <alignment horizontal="center"/>
    </xf>
    <xf numFmtId="49" fontId="37" fillId="0" borderId="16" xfId="1" applyNumberFormat="1" applyFont="1" applyBorder="1" applyAlignment="1">
      <alignment horizontal="center"/>
    </xf>
    <xf numFmtId="49" fontId="38" fillId="0" borderId="17" xfId="1" applyNumberFormat="1" applyFont="1" applyBorder="1"/>
    <xf numFmtId="1" fontId="37" fillId="0" borderId="17" xfId="1" applyNumberFormat="1" applyFont="1" applyBorder="1" applyAlignment="1">
      <alignment horizontal="center"/>
    </xf>
    <xf numFmtId="0" fontId="36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vertical="center"/>
    </xf>
    <xf numFmtId="16" fontId="37" fillId="0" borderId="17" xfId="1" applyNumberFormat="1" applyFont="1" applyBorder="1" applyAlignment="1">
      <alignment horizontal="center" vertical="center"/>
    </xf>
    <xf numFmtId="1" fontId="37" fillId="0" borderId="17" xfId="1" applyNumberFormat="1" applyFont="1" applyBorder="1" applyAlignment="1">
      <alignment horizontal="center" vertical="center"/>
    </xf>
    <xf numFmtId="1" fontId="37" fillId="0" borderId="17" xfId="1" applyNumberFormat="1" applyFont="1" applyBorder="1" applyAlignment="1">
      <alignment horizontal="center" vertical="center" wrapText="1"/>
    </xf>
    <xf numFmtId="0" fontId="37" fillId="0" borderId="25" xfId="1" applyFont="1" applyBorder="1" applyAlignment="1">
      <alignment horizontal="center" vertical="center"/>
    </xf>
    <xf numFmtId="49" fontId="37" fillId="0" borderId="17" xfId="1" applyNumberFormat="1" applyFont="1" applyBorder="1" applyAlignment="1">
      <alignment vertical="center"/>
    </xf>
    <xf numFmtId="49" fontId="37" fillId="4" borderId="25" xfId="0" applyNumberFormat="1" applyFont="1" applyFill="1" applyBorder="1" applyAlignment="1">
      <alignment horizontal="right"/>
    </xf>
    <xf numFmtId="49" fontId="37" fillId="4" borderId="16" xfId="0" applyNumberFormat="1" applyFont="1" applyFill="1" applyBorder="1" applyAlignment="1">
      <alignment horizontal="right"/>
    </xf>
    <xf numFmtId="49" fontId="37" fillId="4" borderId="17" xfId="0" applyNumberFormat="1" applyFont="1" applyFill="1" applyBorder="1"/>
    <xf numFmtId="0" fontId="37" fillId="0" borderId="17" xfId="0" applyFont="1" applyBorder="1"/>
    <xf numFmtId="0" fontId="37" fillId="0" borderId="24" xfId="0" applyFont="1" applyBorder="1" applyAlignment="1">
      <alignment horizontal="center"/>
    </xf>
    <xf numFmtId="0" fontId="37" fillId="0" borderId="25" xfId="0" quotePrefix="1" applyFont="1" applyBorder="1" applyAlignment="1">
      <alignment horizontal="right"/>
    </xf>
    <xf numFmtId="0" fontId="37" fillId="0" borderId="16" xfId="0" quotePrefix="1" applyFont="1" applyBorder="1" applyAlignment="1">
      <alignment horizontal="right"/>
    </xf>
    <xf numFmtId="0" fontId="37" fillId="0" borderId="17" xfId="0" quotePrefix="1" applyFont="1" applyBorder="1"/>
    <xf numFmtId="1" fontId="37" fillId="0" borderId="17" xfId="0" applyNumberFormat="1" applyFont="1" applyBorder="1" applyAlignment="1">
      <alignment horizontal="center" wrapText="1"/>
    </xf>
    <xf numFmtId="49" fontId="36" fillId="2" borderId="23" xfId="0" applyNumberFormat="1" applyFont="1" applyFill="1" applyBorder="1" applyAlignment="1">
      <alignment horizontal="center" vertical="center"/>
    </xf>
    <xf numFmtId="49" fontId="36" fillId="2" borderId="0" xfId="0" applyNumberFormat="1" applyFont="1" applyFill="1" applyAlignment="1">
      <alignment horizontal="center" vertical="center"/>
    </xf>
    <xf numFmtId="0" fontId="37" fillId="2" borderId="0" xfId="0" applyFont="1" applyFill="1"/>
    <xf numFmtId="1" fontId="37" fillId="2" borderId="0" xfId="0" applyNumberFormat="1" applyFont="1" applyFill="1" applyAlignment="1">
      <alignment horizontal="center"/>
    </xf>
    <xf numFmtId="166" fontId="37" fillId="2" borderId="0" xfId="0" applyNumberFormat="1" applyFont="1" applyFill="1" applyAlignment="1">
      <alignment horizontal="center" wrapText="1"/>
    </xf>
    <xf numFmtId="0" fontId="37" fillId="2" borderId="22" xfId="0" applyFont="1" applyFill="1" applyBorder="1" applyAlignment="1">
      <alignment horizontal="center"/>
    </xf>
    <xf numFmtId="0" fontId="37" fillId="3" borderId="9" xfId="0" applyFont="1" applyFill="1" applyBorder="1" applyAlignment="1">
      <alignment horizontal="center"/>
    </xf>
    <xf numFmtId="0" fontId="37" fillId="3" borderId="8" xfId="0" applyFont="1" applyFill="1" applyBorder="1" applyAlignment="1">
      <alignment horizontal="center"/>
    </xf>
    <xf numFmtId="0" fontId="37" fillId="3" borderId="8" xfId="0" applyFont="1" applyFill="1" applyBorder="1"/>
    <xf numFmtId="0" fontId="38" fillId="3" borderId="8" xfId="0" applyFont="1" applyFill="1" applyBorder="1" applyAlignment="1">
      <alignment horizontal="center"/>
    </xf>
    <xf numFmtId="1" fontId="38" fillId="3" borderId="8" xfId="0" applyNumberFormat="1" applyFont="1" applyFill="1" applyBorder="1" applyAlignment="1">
      <alignment horizontal="center"/>
    </xf>
    <xf numFmtId="166" fontId="37" fillId="3" borderId="8" xfId="0" applyNumberFormat="1" applyFont="1" applyFill="1" applyBorder="1" applyAlignment="1">
      <alignment horizontal="center" wrapText="1"/>
    </xf>
    <xf numFmtId="0" fontId="37" fillId="3" borderId="7" xfId="0" applyFont="1" applyFill="1" applyBorder="1" applyAlignment="1">
      <alignment horizontal="center"/>
    </xf>
    <xf numFmtId="0" fontId="38" fillId="0" borderId="6" xfId="0" applyFont="1" applyBorder="1" applyAlignment="1">
      <alignment horizontal="right"/>
    </xf>
    <xf numFmtId="0" fontId="38" fillId="0" borderId="5" xfId="0" applyFont="1" applyBorder="1" applyAlignment="1">
      <alignment horizontal="right"/>
    </xf>
    <xf numFmtId="0" fontId="38" fillId="0" borderId="21" xfId="0" applyFont="1" applyBorder="1" applyAlignment="1">
      <alignment horizontal="right"/>
    </xf>
    <xf numFmtId="1" fontId="37" fillId="4" borderId="20" xfId="0" applyNumberFormat="1" applyFont="1" applyFill="1" applyBorder="1" applyAlignment="1">
      <alignment horizontal="center"/>
    </xf>
    <xf numFmtId="0" fontId="37" fillId="0" borderId="19" xfId="0" applyFont="1" applyBorder="1" applyAlignment="1">
      <alignment horizontal="center"/>
    </xf>
    <xf numFmtId="166" fontId="37" fillId="0" borderId="20" xfId="0" applyNumberFormat="1" applyFont="1" applyBorder="1" applyAlignment="1">
      <alignment horizontal="right"/>
    </xf>
    <xf numFmtId="0" fontId="37" fillId="2" borderId="19" xfId="0" applyFont="1" applyFill="1" applyBorder="1" applyAlignment="1">
      <alignment horizontal="center"/>
    </xf>
    <xf numFmtId="0" fontId="37" fillId="2" borderId="4" xfId="0" applyFont="1" applyFill="1" applyBorder="1" applyAlignment="1">
      <alignment horizontal="center"/>
    </xf>
    <xf numFmtId="0" fontId="38" fillId="0" borderId="18" xfId="0" applyFont="1" applyBorder="1" applyAlignment="1">
      <alignment horizontal="right"/>
    </xf>
    <xf numFmtId="0" fontId="38" fillId="0" borderId="41" xfId="0" applyFont="1" applyBorder="1" applyAlignment="1">
      <alignment horizontal="right"/>
    </xf>
    <xf numFmtId="0" fontId="38" fillId="0" borderId="16" xfId="0" applyFont="1" applyBorder="1" applyAlignment="1">
      <alignment horizontal="right"/>
    </xf>
    <xf numFmtId="0" fontId="38" fillId="4" borderId="17" xfId="0" applyFont="1" applyFill="1" applyBorder="1" applyAlignment="1">
      <alignment horizontal="center"/>
    </xf>
    <xf numFmtId="0" fontId="37" fillId="0" borderId="17" xfId="0" applyFont="1" applyBorder="1" applyAlignment="1">
      <alignment horizontal="right"/>
    </xf>
    <xf numFmtId="166" fontId="37" fillId="0" borderId="15" xfId="0" applyNumberFormat="1" applyFont="1" applyBorder="1" applyAlignment="1">
      <alignment horizontal="center"/>
    </xf>
    <xf numFmtId="166" fontId="37" fillId="0" borderId="14" xfId="0" applyNumberFormat="1" applyFont="1" applyBorder="1" applyAlignment="1">
      <alignment horizontal="center"/>
    </xf>
    <xf numFmtId="0" fontId="37" fillId="4" borderId="17" xfId="0" applyFont="1" applyFill="1" applyBorder="1" applyAlignment="1">
      <alignment horizontal="center"/>
    </xf>
    <xf numFmtId="166" fontId="37" fillId="0" borderId="15" xfId="0" applyNumberFormat="1" applyFont="1" applyBorder="1" applyAlignment="1">
      <alignment horizontal="right" wrapText="1"/>
    </xf>
    <xf numFmtId="166" fontId="37" fillId="0" borderId="16" xfId="0" applyNumberFormat="1" applyFont="1" applyBorder="1" applyAlignment="1">
      <alignment horizontal="right" wrapText="1"/>
    </xf>
    <xf numFmtId="0" fontId="38" fillId="0" borderId="13" xfId="0" applyFont="1" applyBorder="1" applyAlignment="1">
      <alignment horizontal="right"/>
    </xf>
    <xf numFmtId="0" fontId="38" fillId="0" borderId="40" xfId="0" applyFont="1" applyBorder="1" applyAlignment="1">
      <alignment horizontal="right"/>
    </xf>
    <xf numFmtId="0" fontId="38" fillId="0" borderId="12" xfId="0" applyFont="1" applyBorder="1" applyAlignment="1">
      <alignment horizontal="right"/>
    </xf>
    <xf numFmtId="1" fontId="37" fillId="4" borderId="12" xfId="0" applyNumberFormat="1" applyFont="1" applyFill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7" fillId="0" borderId="12" xfId="0" applyFont="1" applyBorder="1" applyAlignment="1">
      <alignment horizontal="right"/>
    </xf>
    <xf numFmtId="166" fontId="37" fillId="0" borderId="11" xfId="0" applyNumberFormat="1" applyFont="1" applyBorder="1" applyAlignment="1">
      <alignment horizontal="center"/>
    </xf>
    <xf numFmtId="166" fontId="37" fillId="0" borderId="10" xfId="0" applyNumberFormat="1" applyFont="1" applyBorder="1" applyAlignment="1">
      <alignment horizontal="center"/>
    </xf>
    <xf numFmtId="0" fontId="37" fillId="0" borderId="6" xfId="1" applyFont="1" applyBorder="1" applyAlignment="1">
      <alignment horizontal="left"/>
    </xf>
    <xf numFmtId="0" fontId="37" fillId="0" borderId="5" xfId="1" applyFont="1" applyBorder="1" applyAlignment="1">
      <alignment horizontal="left"/>
    </xf>
    <xf numFmtId="0" fontId="37" fillId="0" borderId="4" xfId="1" applyFont="1" applyBorder="1" applyAlignment="1">
      <alignment horizontal="left"/>
    </xf>
    <xf numFmtId="0" fontId="37" fillId="0" borderId="3" xfId="1" applyFont="1" applyBorder="1" applyAlignment="1">
      <alignment horizontal="left"/>
    </xf>
    <xf numFmtId="0" fontId="37" fillId="0" borderId="2" xfId="1" applyFont="1" applyBorder="1" applyAlignment="1">
      <alignment horizontal="left"/>
    </xf>
    <xf numFmtId="0" fontId="37" fillId="0" borderId="1" xfId="1" applyFont="1" applyBorder="1" applyAlignment="1">
      <alignment horizontal="left"/>
    </xf>
    <xf numFmtId="0" fontId="38" fillId="3" borderId="30" xfId="1" applyFont="1" applyFill="1" applyBorder="1" applyAlignment="1">
      <alignment horizontal="center" vertical="center"/>
    </xf>
    <xf numFmtId="0" fontId="38" fillId="3" borderId="31" xfId="1" applyFont="1" applyFill="1" applyBorder="1" applyAlignment="1">
      <alignment horizontal="center" vertical="center"/>
    </xf>
    <xf numFmtId="0" fontId="38" fillId="3" borderId="32" xfId="1" applyFont="1" applyFill="1" applyBorder="1" applyAlignment="1">
      <alignment horizontal="center" vertical="center"/>
    </xf>
    <xf numFmtId="0" fontId="38" fillId="3" borderId="9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38" fillId="3" borderId="7" xfId="0" applyFont="1" applyFill="1" applyBorder="1" applyAlignment="1">
      <alignment horizontal="center"/>
    </xf>
    <xf numFmtId="0" fontId="36" fillId="2" borderId="0" xfId="1" applyFont="1" applyFill="1" applyAlignment="1">
      <alignment horizontal="left" vertical="center"/>
    </xf>
    <xf numFmtId="0" fontId="36" fillId="2" borderId="17" xfId="1" applyFont="1" applyFill="1" applyBorder="1" applyAlignment="1">
      <alignment horizontal="left" vertical="center"/>
    </xf>
    <xf numFmtId="0" fontId="39" fillId="5" borderId="17" xfId="3" applyFont="1" applyFill="1" applyBorder="1" applyAlignment="1">
      <alignment horizontal="center" vertical="center" wrapText="1"/>
    </xf>
    <xf numFmtId="0" fontId="40" fillId="2" borderId="2" xfId="3" applyFont="1" applyFill="1" applyBorder="1" applyAlignment="1">
      <alignment horizontal="center" vertical="center"/>
    </xf>
    <xf numFmtId="14" fontId="40" fillId="2" borderId="0" xfId="3" applyNumberFormat="1" applyFont="1" applyFill="1" applyAlignment="1">
      <alignment horizontal="center" vertical="center" wrapText="1"/>
    </xf>
  </cellXfs>
  <cellStyles count="22">
    <cellStyle name="Euro" xfId="6" xr:uid="{89DB03C0-8E7D-4CA1-A8DB-88CD75D469C8}"/>
    <cellStyle name="Millares" xfId="19" builtinId="3"/>
    <cellStyle name="Millares [0]" xfId="20" builtinId="6"/>
    <cellStyle name="Millares [0] 2" xfId="5" xr:uid="{55D46361-3F2D-4390-A261-A8C58F73FC04}"/>
    <cellStyle name="Millares [0] 2 2" xfId="13" xr:uid="{9B013DF0-7827-4017-92A1-719499A1B8D7}"/>
    <cellStyle name="Millares [0] 3" xfId="12" xr:uid="{8C3F956F-40E7-4733-8B58-C17E829DF715}"/>
    <cellStyle name="Millares 2" xfId="8" xr:uid="{0020BCB1-217F-4417-9859-3C29D31BEDE3}"/>
    <cellStyle name="Millares 2 2" xfId="14" xr:uid="{E137A776-3E36-4458-8F75-FC55D1A37D68}"/>
    <cellStyle name="Millares 3" xfId="11" xr:uid="{94A51727-DF2C-4B09-916A-533E070000DB}"/>
    <cellStyle name="Millares 4" xfId="15" xr:uid="{F1278BAB-ABBD-41EA-88DF-2A6CB57DB123}"/>
    <cellStyle name="Millares 5" xfId="18" xr:uid="{179CEB66-0F98-4348-AE6E-888905A6B071}"/>
    <cellStyle name="Normal" xfId="0" builtinId="0"/>
    <cellStyle name="Normal 2" xfId="1" xr:uid="{A414BF83-82D8-4775-BF0A-E0EF2CF92E6C}"/>
    <cellStyle name="Normal 3" xfId="4" xr:uid="{1C77703A-628D-4060-A735-A1DFE94ADE55}"/>
    <cellStyle name="Normal 3 2" xfId="9" xr:uid="{2D34A4CA-7FE8-4882-A972-354B8579F6EF}"/>
    <cellStyle name="Normal 3 3" xfId="16" xr:uid="{9A579AAC-AF36-438A-A397-196F5D1258FB}"/>
    <cellStyle name="Normal 3 4" xfId="7" xr:uid="{4FBE0450-327B-4247-82D3-81BB0CCE0CB8}"/>
    <cellStyle name="Normal 4" xfId="10" xr:uid="{02DD9A55-0118-444B-B3CC-63FBBE692136}"/>
    <cellStyle name="Normal_CRITERIOS DE EVALUACION PT DE GB 2" xfId="3" xr:uid="{78D7CF0F-3A69-4F4C-9135-A844C38B431B}"/>
    <cellStyle name="Porcentaje" xfId="21" builtinId="5"/>
    <cellStyle name="Porcentaje 2" xfId="2" xr:uid="{4D9B779D-8EC6-4BE0-B580-22B510559A4D}"/>
    <cellStyle name="Porcentaje 3" xfId="17" xr:uid="{93439FC4-2198-483A-9C4F-386FFC22F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131726</xdr:colOff>
      <xdr:row>0</xdr:row>
      <xdr:rowOff>95249</xdr:rowOff>
    </xdr:from>
    <xdr:to>
      <xdr:col>1</xdr:col>
      <xdr:colOff>999640</xdr:colOff>
      <xdr:row>3</xdr:row>
      <xdr:rowOff>130969</xdr:rowOff>
    </xdr:to>
    <xdr:pic>
      <xdr:nvPicPr>
        <xdr:cNvPr id="4" name="Imagen 3" descr="Icono&#10;&#10;Descripción generada automáticamente con confianza media">
          <a:extLst>
            <a:ext uri="{FF2B5EF4-FFF2-40B4-BE49-F238E27FC236}">
              <a16:creationId xmlns:a16="http://schemas.microsoft.com/office/drawing/2014/main" id="{25556293-2C78-434C-8CB9-ABD8197D1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26" y="95249"/>
          <a:ext cx="1987102" cy="857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54"/>
  <sheetViews>
    <sheetView tabSelected="1" zoomScale="80" zoomScaleNormal="80" zoomScaleSheetLayoutView="8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8.7109375" style="1" bestFit="1" customWidth="1"/>
    <col min="3" max="3" width="66.5703125" style="1" customWidth="1"/>
    <col min="4" max="4" width="19.5703125" style="1" customWidth="1"/>
    <col min="5" max="5" width="15.85546875" style="1" customWidth="1"/>
    <col min="6" max="6" width="14.85546875" style="1" customWidth="1"/>
    <col min="7" max="7" width="11.28515625" style="1" customWidth="1"/>
    <col min="8" max="8" width="15.5703125" style="1" customWidth="1"/>
    <col min="9" max="9" width="20" style="1" customWidth="1"/>
    <col min="10" max="16384" width="11.42578125" style="1"/>
  </cols>
  <sheetData>
    <row r="1" spans="1:9" ht="18" x14ac:dyDescent="0.25">
      <c r="A1" s="124"/>
      <c r="B1" s="125"/>
      <c r="C1" s="120" t="s">
        <v>0</v>
      </c>
      <c r="D1" s="120"/>
      <c r="E1" s="120"/>
      <c r="F1" s="120"/>
      <c r="G1" s="120"/>
      <c r="H1" s="18" t="s">
        <v>1</v>
      </c>
      <c r="I1" s="17" t="s">
        <v>142</v>
      </c>
    </row>
    <row r="2" spans="1:9" ht="18" x14ac:dyDescent="0.25">
      <c r="A2" s="126"/>
      <c r="B2" s="127"/>
      <c r="C2" s="121" t="s">
        <v>2</v>
      </c>
      <c r="D2" s="121"/>
      <c r="E2" s="121"/>
      <c r="F2" s="121"/>
      <c r="G2" s="121"/>
      <c r="H2" s="16" t="s">
        <v>3</v>
      </c>
      <c r="I2" s="15" t="s">
        <v>141</v>
      </c>
    </row>
    <row r="3" spans="1:9" ht="29.25" customHeight="1" x14ac:dyDescent="0.2">
      <c r="A3" s="126"/>
      <c r="B3" s="127"/>
      <c r="C3" s="255" t="s">
        <v>4</v>
      </c>
      <c r="D3" s="255"/>
      <c r="E3" s="255"/>
      <c r="F3" s="255"/>
      <c r="G3" s="255"/>
      <c r="H3" s="122" t="s">
        <v>5</v>
      </c>
      <c r="I3" s="116">
        <v>45945</v>
      </c>
    </row>
    <row r="4" spans="1:9" ht="14.45" customHeight="1" x14ac:dyDescent="0.2">
      <c r="A4" s="126"/>
      <c r="B4" s="127"/>
      <c r="C4" s="14" t="s">
        <v>6</v>
      </c>
      <c r="D4" s="118" t="s">
        <v>7</v>
      </c>
      <c r="E4" s="118"/>
      <c r="F4" s="118"/>
      <c r="G4" s="118"/>
      <c r="H4" s="122"/>
      <c r="I4" s="116"/>
    </row>
    <row r="5" spans="1:9" ht="12" customHeight="1" thickBot="1" x14ac:dyDescent="0.25">
      <c r="A5" s="128"/>
      <c r="B5" s="129"/>
      <c r="C5" s="13" t="s">
        <v>8</v>
      </c>
      <c r="D5" s="119" t="s">
        <v>9</v>
      </c>
      <c r="E5" s="119"/>
      <c r="F5" s="119"/>
      <c r="G5" s="119"/>
      <c r="H5" s="123"/>
      <c r="I5" s="117"/>
    </row>
    <row r="6" spans="1:9" ht="0.75" hidden="1" customHeight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130" t="s">
        <v>10</v>
      </c>
      <c r="B7" s="130"/>
      <c r="C7" s="130"/>
      <c r="D7" s="256" t="s">
        <v>11</v>
      </c>
      <c r="E7" s="256"/>
      <c r="F7" s="256"/>
      <c r="G7" s="131" t="s">
        <v>12</v>
      </c>
      <c r="H7" s="131"/>
      <c r="I7" s="257" t="s">
        <v>13</v>
      </c>
    </row>
    <row r="8" spans="1:9" x14ac:dyDescent="0.2">
      <c r="A8" s="132" t="s">
        <v>14</v>
      </c>
      <c r="B8" s="136" t="s">
        <v>15</v>
      </c>
      <c r="C8" s="134" t="s">
        <v>16</v>
      </c>
      <c r="D8" s="134" t="s">
        <v>17</v>
      </c>
      <c r="E8" s="134" t="s">
        <v>18</v>
      </c>
      <c r="F8" s="134"/>
      <c r="G8" s="134" t="s">
        <v>19</v>
      </c>
      <c r="H8" s="134"/>
      <c r="I8" s="7" t="s">
        <v>20</v>
      </c>
    </row>
    <row r="9" spans="1:9" ht="26.25" thickBot="1" x14ac:dyDescent="0.25">
      <c r="A9" s="133"/>
      <c r="B9" s="137"/>
      <c r="C9" s="135"/>
      <c r="D9" s="135"/>
      <c r="E9" s="6" t="s">
        <v>21</v>
      </c>
      <c r="F9" s="5" t="s">
        <v>22</v>
      </c>
      <c r="G9" s="6" t="s">
        <v>21</v>
      </c>
      <c r="H9" s="5" t="s">
        <v>22</v>
      </c>
      <c r="I9" s="4" t="s">
        <v>23</v>
      </c>
    </row>
    <row r="10" spans="1:9" ht="20.25" x14ac:dyDescent="0.3">
      <c r="A10" s="169">
        <v>210096</v>
      </c>
      <c r="B10" s="169" t="s">
        <v>24</v>
      </c>
      <c r="C10" s="170" t="s">
        <v>135</v>
      </c>
      <c r="D10" s="171" t="s">
        <v>136</v>
      </c>
      <c r="E10" s="172">
        <v>15600</v>
      </c>
      <c r="F10" s="173" t="s">
        <v>25</v>
      </c>
      <c r="G10" s="174"/>
      <c r="H10" s="175"/>
      <c r="I10" s="176"/>
    </row>
    <row r="11" spans="1:9" ht="20.25" x14ac:dyDescent="0.3">
      <c r="A11" s="169">
        <v>101055</v>
      </c>
      <c r="B11" s="169" t="s">
        <v>26</v>
      </c>
      <c r="C11" s="170" t="s">
        <v>27</v>
      </c>
      <c r="D11" s="171" t="s">
        <v>137</v>
      </c>
      <c r="E11" s="172">
        <v>600</v>
      </c>
      <c r="F11" s="173" t="s">
        <v>25</v>
      </c>
      <c r="G11" s="174"/>
      <c r="H11" s="177" t="s">
        <v>28</v>
      </c>
      <c r="I11" s="176"/>
    </row>
    <row r="12" spans="1:9" ht="20.25" x14ac:dyDescent="0.3">
      <c r="A12" s="169">
        <v>101035</v>
      </c>
      <c r="B12" s="169" t="s">
        <v>29</v>
      </c>
      <c r="C12" s="170" t="s">
        <v>30</v>
      </c>
      <c r="D12" s="171" t="s">
        <v>137</v>
      </c>
      <c r="E12" s="172">
        <v>500</v>
      </c>
      <c r="F12" s="173" t="s">
        <v>25</v>
      </c>
      <c r="G12" s="174"/>
      <c r="H12" s="175"/>
      <c r="I12" s="176"/>
    </row>
    <row r="13" spans="1:9" ht="20.25" x14ac:dyDescent="0.3">
      <c r="A13" s="169">
        <v>101073</v>
      </c>
      <c r="B13" s="169" t="s">
        <v>31</v>
      </c>
      <c r="C13" s="170" t="s">
        <v>32</v>
      </c>
      <c r="D13" s="171" t="s">
        <v>137</v>
      </c>
      <c r="E13" s="172">
        <v>200</v>
      </c>
      <c r="F13" s="173" t="s">
        <v>25</v>
      </c>
      <c r="G13" s="174"/>
      <c r="H13" s="175"/>
      <c r="I13" s="176"/>
    </row>
    <row r="14" spans="1:9" ht="20.25" x14ac:dyDescent="0.3">
      <c r="A14" s="169">
        <v>101005</v>
      </c>
      <c r="B14" s="169" t="s">
        <v>33</v>
      </c>
      <c r="C14" s="170" t="s">
        <v>34</v>
      </c>
      <c r="D14" s="171" t="s">
        <v>137</v>
      </c>
      <c r="E14" s="172">
        <v>104</v>
      </c>
      <c r="F14" s="173" t="s">
        <v>25</v>
      </c>
      <c r="G14" s="174"/>
      <c r="H14" s="175"/>
      <c r="I14" s="176"/>
    </row>
    <row r="15" spans="1:9" ht="20.25" x14ac:dyDescent="0.3">
      <c r="A15" s="169">
        <v>610220</v>
      </c>
      <c r="B15" s="169" t="s">
        <v>35</v>
      </c>
      <c r="C15" s="170" t="s">
        <v>36</v>
      </c>
      <c r="D15" s="171" t="s">
        <v>37</v>
      </c>
      <c r="E15" s="172">
        <v>65</v>
      </c>
      <c r="F15" s="173" t="s">
        <v>25</v>
      </c>
      <c r="G15" s="174"/>
      <c r="H15" s="175"/>
      <c r="I15" s="176"/>
    </row>
    <row r="16" spans="1:9" ht="20.25" x14ac:dyDescent="0.3">
      <c r="A16" s="169">
        <v>10500</v>
      </c>
      <c r="B16" s="169" t="s">
        <v>38</v>
      </c>
      <c r="C16" s="170" t="s">
        <v>39</v>
      </c>
      <c r="D16" s="171" t="s">
        <v>138</v>
      </c>
      <c r="E16" s="172">
        <v>80</v>
      </c>
      <c r="F16" s="173" t="s">
        <v>25</v>
      </c>
      <c r="G16" s="174"/>
      <c r="H16" s="175"/>
      <c r="I16" s="176"/>
    </row>
    <row r="17" spans="1:9" ht="20.25" x14ac:dyDescent="0.3">
      <c r="A17" s="169">
        <v>90100142</v>
      </c>
      <c r="B17" s="169" t="s">
        <v>40</v>
      </c>
      <c r="C17" s="170" t="s">
        <v>41</v>
      </c>
      <c r="D17" s="171" t="s">
        <v>42</v>
      </c>
      <c r="E17" s="172">
        <v>160</v>
      </c>
      <c r="F17" s="173" t="s">
        <v>25</v>
      </c>
      <c r="G17" s="174"/>
      <c r="H17" s="175"/>
      <c r="I17" s="176"/>
    </row>
    <row r="18" spans="1:9" ht="20.25" x14ac:dyDescent="0.3">
      <c r="A18" s="169">
        <v>1212412</v>
      </c>
      <c r="B18" s="169" t="s">
        <v>43</v>
      </c>
      <c r="C18" s="170" t="s">
        <v>44</v>
      </c>
      <c r="D18" s="171" t="s">
        <v>45</v>
      </c>
      <c r="E18" s="172">
        <v>16</v>
      </c>
      <c r="F18" s="173" t="s">
        <v>25</v>
      </c>
      <c r="G18" s="174"/>
      <c r="H18" s="175"/>
      <c r="I18" s="176"/>
    </row>
    <row r="19" spans="1:9" ht="20.25" x14ac:dyDescent="0.3">
      <c r="A19" s="178">
        <v>10415</v>
      </c>
      <c r="B19" s="169"/>
      <c r="C19" s="179" t="s">
        <v>46</v>
      </c>
      <c r="D19" s="180" t="s">
        <v>42</v>
      </c>
      <c r="E19" s="172">
        <v>20000</v>
      </c>
      <c r="F19" s="181" t="s">
        <v>25</v>
      </c>
      <c r="G19" s="174"/>
      <c r="H19" s="175"/>
      <c r="I19" s="176"/>
    </row>
    <row r="20" spans="1:9" ht="20.25" x14ac:dyDescent="0.3">
      <c r="A20" s="182"/>
      <c r="B20" s="183"/>
      <c r="C20" s="179"/>
      <c r="D20" s="180"/>
      <c r="E20" s="172"/>
      <c r="F20" s="181"/>
      <c r="G20" s="174"/>
      <c r="H20" s="175"/>
      <c r="I20" s="176"/>
    </row>
    <row r="21" spans="1:9" ht="20.25" x14ac:dyDescent="0.3">
      <c r="A21" s="182"/>
      <c r="B21" s="183"/>
      <c r="C21" s="184" t="s">
        <v>47</v>
      </c>
      <c r="D21" s="180"/>
      <c r="E21" s="172"/>
      <c r="F21" s="181"/>
      <c r="G21" s="174"/>
      <c r="H21" s="175"/>
      <c r="I21" s="176"/>
    </row>
    <row r="22" spans="1:9" ht="20.25" x14ac:dyDescent="0.3">
      <c r="A22" s="169">
        <v>610220</v>
      </c>
      <c r="B22" s="169" t="s">
        <v>35</v>
      </c>
      <c r="C22" s="170" t="s">
        <v>139</v>
      </c>
      <c r="D22" s="171" t="s">
        <v>37</v>
      </c>
      <c r="E22" s="172">
        <v>32</v>
      </c>
      <c r="F22" s="173" t="s">
        <v>25</v>
      </c>
      <c r="G22" s="174"/>
      <c r="H22" s="175"/>
      <c r="I22" s="176"/>
    </row>
    <row r="23" spans="1:9" ht="20.25" x14ac:dyDescent="0.3">
      <c r="A23" s="169">
        <v>10500</v>
      </c>
      <c r="B23" s="169" t="s">
        <v>38</v>
      </c>
      <c r="C23" s="170" t="s">
        <v>39</v>
      </c>
      <c r="D23" s="171" t="s">
        <v>138</v>
      </c>
      <c r="E23" s="172">
        <v>40</v>
      </c>
      <c r="F23" s="173" t="s">
        <v>25</v>
      </c>
      <c r="G23" s="174"/>
      <c r="H23" s="175"/>
      <c r="I23" s="176"/>
    </row>
    <row r="24" spans="1:9" ht="20.25" x14ac:dyDescent="0.3">
      <c r="A24" s="169">
        <v>90100142</v>
      </c>
      <c r="B24" s="169" t="s">
        <v>40</v>
      </c>
      <c r="C24" s="170" t="s">
        <v>140</v>
      </c>
      <c r="D24" s="171" t="s">
        <v>42</v>
      </c>
      <c r="E24" s="172">
        <v>80</v>
      </c>
      <c r="F24" s="173" t="s">
        <v>25</v>
      </c>
      <c r="G24" s="174"/>
      <c r="H24" s="175"/>
      <c r="I24" s="176"/>
    </row>
    <row r="25" spans="1:9" ht="20.25" x14ac:dyDescent="0.3">
      <c r="A25" s="178">
        <v>10415</v>
      </c>
      <c r="B25" s="169"/>
      <c r="C25" s="179" t="s">
        <v>46</v>
      </c>
      <c r="D25" s="180" t="s">
        <v>42</v>
      </c>
      <c r="E25" s="172">
        <v>20000</v>
      </c>
      <c r="F25" s="181" t="s">
        <v>25</v>
      </c>
      <c r="G25" s="174"/>
      <c r="H25" s="175"/>
      <c r="I25" s="176"/>
    </row>
    <row r="26" spans="1:9" ht="20.25" x14ac:dyDescent="0.3">
      <c r="A26" s="182"/>
      <c r="B26" s="183"/>
      <c r="C26" s="179"/>
      <c r="D26" s="180"/>
      <c r="E26" s="172"/>
      <c r="F26" s="181"/>
      <c r="G26" s="174"/>
      <c r="H26" s="175"/>
      <c r="I26" s="176"/>
    </row>
    <row r="27" spans="1:9" ht="20.25" x14ac:dyDescent="0.3">
      <c r="A27" s="182"/>
      <c r="B27" s="183"/>
      <c r="C27" s="184" t="s">
        <v>48</v>
      </c>
      <c r="D27" s="180"/>
      <c r="E27" s="185"/>
      <c r="F27" s="181"/>
      <c r="G27" s="174"/>
      <c r="H27" s="175"/>
      <c r="I27" s="176"/>
    </row>
    <row r="28" spans="1:9" ht="20.25" x14ac:dyDescent="0.3">
      <c r="A28" s="186">
        <v>702123</v>
      </c>
      <c r="B28" s="169" t="s">
        <v>49</v>
      </c>
      <c r="C28" s="187" t="s">
        <v>50</v>
      </c>
      <c r="D28" s="188" t="s">
        <v>51</v>
      </c>
      <c r="E28" s="189">
        <v>1</v>
      </c>
      <c r="F28" s="190" t="s">
        <v>52</v>
      </c>
      <c r="G28" s="174"/>
      <c r="H28" s="175"/>
      <c r="I28" s="176"/>
    </row>
    <row r="29" spans="1:9" ht="20.25" x14ac:dyDescent="0.3">
      <c r="A29" s="191">
        <v>512000002</v>
      </c>
      <c r="B29" s="169" t="s">
        <v>53</v>
      </c>
      <c r="C29" s="192" t="s">
        <v>54</v>
      </c>
      <c r="D29" s="188" t="s">
        <v>55</v>
      </c>
      <c r="E29" s="189">
        <v>360</v>
      </c>
      <c r="F29" s="190" t="s">
        <v>56</v>
      </c>
      <c r="G29" s="174"/>
      <c r="H29" s="175"/>
      <c r="I29" s="176"/>
    </row>
    <row r="30" spans="1:9" ht="20.25" x14ac:dyDescent="0.3">
      <c r="A30" s="178">
        <v>403000007</v>
      </c>
      <c r="B30" s="169" t="s">
        <v>57</v>
      </c>
      <c r="C30" s="179" t="s">
        <v>58</v>
      </c>
      <c r="D30" s="180" t="s">
        <v>59</v>
      </c>
      <c r="E30" s="185">
        <v>1</v>
      </c>
      <c r="F30" s="181" t="s">
        <v>52</v>
      </c>
      <c r="G30" s="174"/>
      <c r="H30" s="175"/>
      <c r="I30" s="176"/>
    </row>
    <row r="31" spans="1:9" ht="20.25" x14ac:dyDescent="0.3">
      <c r="A31" s="182"/>
      <c r="B31" s="183"/>
      <c r="C31" s="179"/>
      <c r="D31" s="180"/>
      <c r="E31" s="185"/>
      <c r="F31" s="181"/>
      <c r="G31" s="174"/>
      <c r="H31" s="175"/>
      <c r="I31" s="176"/>
    </row>
    <row r="32" spans="1:9" ht="20.25" x14ac:dyDescent="0.3">
      <c r="A32" s="193"/>
      <c r="B32" s="194"/>
      <c r="C32" s="195"/>
      <c r="D32" s="196"/>
      <c r="E32" s="175"/>
      <c r="F32" s="175"/>
      <c r="G32" s="174"/>
      <c r="H32" s="175"/>
      <c r="I32" s="197"/>
    </row>
    <row r="33" spans="1:13" ht="20.25" x14ac:dyDescent="0.3">
      <c r="A33" s="198"/>
      <c r="B33" s="199"/>
      <c r="C33" s="200"/>
      <c r="D33" s="196"/>
      <c r="E33" s="201"/>
      <c r="F33" s="201"/>
      <c r="G33" s="201"/>
      <c r="H33" s="201"/>
      <c r="I33" s="197"/>
    </row>
    <row r="34" spans="1:13" ht="21" thickBot="1" x14ac:dyDescent="0.35">
      <c r="A34" s="202"/>
      <c r="B34" s="203"/>
      <c r="C34" s="204"/>
      <c r="D34" s="204"/>
      <c r="E34" s="205"/>
      <c r="F34" s="206"/>
      <c r="G34" s="204"/>
      <c r="H34" s="204"/>
      <c r="I34" s="207"/>
      <c r="L34" s="2"/>
    </row>
    <row r="35" spans="1:13" ht="21" thickBot="1" x14ac:dyDescent="0.35">
      <c r="A35" s="208"/>
      <c r="B35" s="209"/>
      <c r="C35" s="210"/>
      <c r="D35" s="211" t="s">
        <v>21</v>
      </c>
      <c r="E35" s="212" t="s">
        <v>60</v>
      </c>
      <c r="F35" s="213"/>
      <c r="G35" s="210"/>
      <c r="H35" s="210"/>
      <c r="I35" s="214"/>
      <c r="L35" s="2"/>
    </row>
    <row r="36" spans="1:13" ht="20.25" x14ac:dyDescent="0.3">
      <c r="A36" s="215" t="s">
        <v>61</v>
      </c>
      <c r="B36" s="216"/>
      <c r="C36" s="217"/>
      <c r="D36" s="218">
        <v>9280</v>
      </c>
      <c r="E36" s="219" t="s">
        <v>25</v>
      </c>
      <c r="F36" s="220"/>
      <c r="G36" s="220"/>
      <c r="H36" s="221"/>
      <c r="I36" s="222"/>
      <c r="L36" s="2"/>
    </row>
    <row r="37" spans="1:13" ht="20.25" x14ac:dyDescent="0.3">
      <c r="A37" s="223" t="s">
        <v>62</v>
      </c>
      <c r="B37" s="224"/>
      <c r="C37" s="225"/>
      <c r="D37" s="226">
        <v>40</v>
      </c>
      <c r="E37" s="175" t="s">
        <v>63</v>
      </c>
      <c r="F37" s="227"/>
      <c r="G37" s="227"/>
      <c r="H37" s="228"/>
      <c r="I37" s="229"/>
      <c r="L37" s="2"/>
    </row>
    <row r="38" spans="1:13" ht="20.25" x14ac:dyDescent="0.3">
      <c r="A38" s="223" t="s">
        <v>64</v>
      </c>
      <c r="B38" s="224"/>
      <c r="C38" s="225"/>
      <c r="D38" s="230">
        <v>1</v>
      </c>
      <c r="E38" s="175" t="s">
        <v>65</v>
      </c>
      <c r="F38" s="227"/>
      <c r="G38" s="227"/>
      <c r="H38" s="228"/>
      <c r="I38" s="229"/>
      <c r="L38" s="2"/>
    </row>
    <row r="39" spans="1:13" ht="20.25" x14ac:dyDescent="0.3">
      <c r="A39" s="223" t="s">
        <v>66</v>
      </c>
      <c r="B39" s="224"/>
      <c r="C39" s="225"/>
      <c r="D39" s="172">
        <v>9280</v>
      </c>
      <c r="E39" s="175" t="s">
        <v>25</v>
      </c>
      <c r="F39" s="231"/>
      <c r="G39" s="232"/>
      <c r="H39" s="228"/>
      <c r="I39" s="229"/>
      <c r="L39" s="2"/>
      <c r="M39" s="3"/>
    </row>
    <row r="40" spans="1:13" ht="21" thickBot="1" x14ac:dyDescent="0.35">
      <c r="A40" s="233" t="s">
        <v>67</v>
      </c>
      <c r="B40" s="234"/>
      <c r="C40" s="235"/>
      <c r="D40" s="236">
        <f>SUM(E10:E19)-D39</f>
        <v>28045</v>
      </c>
      <c r="E40" s="237" t="s">
        <v>25</v>
      </c>
      <c r="F40" s="238"/>
      <c r="G40" s="238"/>
      <c r="H40" s="239"/>
      <c r="I40" s="240"/>
      <c r="L40" s="2"/>
    </row>
    <row r="41" spans="1:13" ht="21" thickBot="1" x14ac:dyDescent="0.35">
      <c r="A41" s="250" t="s">
        <v>68</v>
      </c>
      <c r="B41" s="251"/>
      <c r="C41" s="251"/>
      <c r="D41" s="251"/>
      <c r="E41" s="251"/>
      <c r="F41" s="251"/>
      <c r="G41" s="251"/>
      <c r="H41" s="251"/>
      <c r="I41" s="252"/>
    </row>
    <row r="42" spans="1:13" ht="20.25" x14ac:dyDescent="0.3">
      <c r="A42" s="241" t="s">
        <v>69</v>
      </c>
      <c r="B42" s="242"/>
      <c r="C42" s="242"/>
      <c r="D42" s="242"/>
      <c r="E42" s="242"/>
      <c r="F42" s="242"/>
      <c r="G42" s="242"/>
      <c r="H42" s="242"/>
      <c r="I42" s="243"/>
    </row>
    <row r="43" spans="1:13" ht="20.25" x14ac:dyDescent="0.3">
      <c r="A43" s="241" t="s">
        <v>70</v>
      </c>
      <c r="B43" s="242"/>
      <c r="C43" s="242"/>
      <c r="D43" s="242"/>
      <c r="E43" s="242"/>
      <c r="F43" s="242"/>
      <c r="G43" s="242"/>
      <c r="H43" s="242"/>
      <c r="I43" s="243"/>
    </row>
    <row r="44" spans="1:13" ht="20.25" x14ac:dyDescent="0.3">
      <c r="A44" s="241" t="s">
        <v>71</v>
      </c>
      <c r="B44" s="242"/>
      <c r="C44" s="242"/>
      <c r="D44" s="242"/>
      <c r="E44" s="242"/>
      <c r="F44" s="242"/>
      <c r="G44" s="242"/>
      <c r="H44" s="242"/>
      <c r="I44" s="243"/>
    </row>
    <row r="45" spans="1:13" ht="20.25" x14ac:dyDescent="0.3">
      <c r="A45" s="241" t="s">
        <v>72</v>
      </c>
      <c r="B45" s="242"/>
      <c r="C45" s="242"/>
      <c r="D45" s="242"/>
      <c r="E45" s="242"/>
      <c r="F45" s="242"/>
      <c r="G45" s="242"/>
      <c r="H45" s="242"/>
      <c r="I45" s="243"/>
    </row>
    <row r="46" spans="1:13" ht="20.25" x14ac:dyDescent="0.3">
      <c r="A46" s="241" t="s">
        <v>73</v>
      </c>
      <c r="B46" s="242"/>
      <c r="C46" s="242"/>
      <c r="D46" s="242"/>
      <c r="E46" s="242"/>
      <c r="F46" s="242"/>
      <c r="G46" s="242"/>
      <c r="H46" s="242"/>
      <c r="I46" s="243"/>
    </row>
    <row r="47" spans="1:13" ht="20.25" x14ac:dyDescent="0.3">
      <c r="A47" s="241"/>
      <c r="B47" s="242"/>
      <c r="C47" s="242"/>
      <c r="D47" s="242"/>
      <c r="E47" s="242"/>
      <c r="F47" s="242"/>
      <c r="G47" s="242"/>
      <c r="H47" s="242"/>
      <c r="I47" s="243"/>
    </row>
    <row r="48" spans="1:13" ht="20.25" x14ac:dyDescent="0.3">
      <c r="A48" s="241"/>
      <c r="B48" s="242"/>
      <c r="C48" s="242"/>
      <c r="D48" s="242"/>
      <c r="E48" s="242"/>
      <c r="F48" s="242"/>
      <c r="G48" s="242"/>
      <c r="H48" s="242"/>
      <c r="I48" s="243"/>
    </row>
    <row r="49" spans="1:9" ht="21" thickBot="1" x14ac:dyDescent="0.35">
      <c r="A49" s="244"/>
      <c r="B49" s="245"/>
      <c r="C49" s="245"/>
      <c r="D49" s="245"/>
      <c r="E49" s="245"/>
      <c r="F49" s="245"/>
      <c r="G49" s="245"/>
      <c r="H49" s="245"/>
      <c r="I49" s="246"/>
    </row>
    <row r="50" spans="1:9" ht="20.25" x14ac:dyDescent="0.2">
      <c r="A50" s="247" t="s">
        <v>74</v>
      </c>
      <c r="B50" s="248"/>
      <c r="C50" s="248"/>
      <c r="D50" s="248"/>
      <c r="E50" s="248"/>
      <c r="F50" s="248"/>
      <c r="G50" s="248"/>
      <c r="H50" s="248"/>
      <c r="I50" s="249"/>
    </row>
    <row r="51" spans="1:9" ht="20.25" x14ac:dyDescent="0.2">
      <c r="A51" s="254"/>
      <c r="B51" s="254"/>
      <c r="C51" s="254"/>
      <c r="D51" s="254"/>
      <c r="E51" s="254"/>
      <c r="F51" s="254"/>
      <c r="G51" s="254"/>
      <c r="H51" s="254"/>
      <c r="I51" s="254"/>
    </row>
    <row r="52" spans="1:9" ht="20.25" x14ac:dyDescent="0.2">
      <c r="A52" s="254"/>
      <c r="B52" s="254"/>
      <c r="C52" s="254"/>
      <c r="D52" s="254"/>
      <c r="E52" s="254"/>
      <c r="F52" s="254"/>
      <c r="G52" s="254"/>
      <c r="H52" s="254"/>
      <c r="I52" s="254"/>
    </row>
    <row r="53" spans="1:9" ht="20.25" x14ac:dyDescent="0.2">
      <c r="A53" s="254"/>
      <c r="B53" s="254"/>
      <c r="C53" s="254"/>
      <c r="D53" s="254"/>
      <c r="E53" s="254"/>
      <c r="F53" s="254"/>
      <c r="G53" s="254"/>
      <c r="H53" s="254"/>
      <c r="I53" s="254"/>
    </row>
    <row r="54" spans="1:9" ht="20.25" x14ac:dyDescent="0.2">
      <c r="A54" s="253"/>
      <c r="B54" s="253"/>
      <c r="C54" s="253"/>
      <c r="D54" s="253"/>
      <c r="E54" s="253"/>
      <c r="F54" s="253"/>
      <c r="G54" s="253"/>
      <c r="H54" s="253"/>
      <c r="I54" s="253"/>
    </row>
  </sheetData>
  <mergeCells count="46">
    <mergeCell ref="A51:I51"/>
    <mergeCell ref="A52:I52"/>
    <mergeCell ref="A53:I53"/>
    <mergeCell ref="A54:I54"/>
    <mergeCell ref="A50:I50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9:I49"/>
    <mergeCell ref="A40:C40"/>
    <mergeCell ref="A45:I45"/>
    <mergeCell ref="A46:I46"/>
    <mergeCell ref="A47:I47"/>
    <mergeCell ref="A48:I48"/>
    <mergeCell ref="H40:I40"/>
    <mergeCell ref="A41:I41"/>
    <mergeCell ref="A42:I42"/>
    <mergeCell ref="A43:I43"/>
    <mergeCell ref="F40:G40"/>
    <mergeCell ref="A44:I44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I3:I5"/>
    <mergeCell ref="D4:G4"/>
    <mergeCell ref="D5:G5"/>
    <mergeCell ref="C1:G1"/>
    <mergeCell ref="C2:G2"/>
    <mergeCell ref="C3:G3"/>
    <mergeCell ref="H3:H5"/>
  </mergeCells>
  <printOptions horizontalCentered="1"/>
  <pageMargins left="0.7" right="0.7" top="0.75" bottom="0.75" header="0.3" footer="0.3"/>
  <pageSetup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1E0F-B0FD-4D62-BA8A-FD0D109C1F22}">
  <dimension ref="A1:Q96"/>
  <sheetViews>
    <sheetView topLeftCell="A30" workbookViewId="0">
      <selection activeCell="E8" sqref="E8"/>
    </sheetView>
  </sheetViews>
  <sheetFormatPr baseColWidth="10" defaultColWidth="8.42578125" defaultRowHeight="12.75" x14ac:dyDescent="0.25"/>
  <cols>
    <col min="1" max="1" width="10" style="24" bestFit="1" customWidth="1"/>
    <col min="2" max="2" width="44.28515625" style="24" bestFit="1" customWidth="1"/>
    <col min="3" max="3" width="10.42578125" style="24" bestFit="1" customWidth="1"/>
    <col min="4" max="4" width="10.42578125" style="24" customWidth="1"/>
    <col min="5" max="5" width="9.7109375" style="24" bestFit="1" customWidth="1"/>
    <col min="6" max="6" width="9.5703125" style="24" bestFit="1" customWidth="1"/>
    <col min="7" max="7" width="9.5703125" style="105" bestFit="1" customWidth="1"/>
    <col min="8" max="8" width="10.42578125" style="106" bestFit="1" customWidth="1"/>
    <col min="9" max="9" width="4.5703125" style="106" customWidth="1"/>
    <col min="10" max="10" width="1.85546875" style="23" customWidth="1"/>
    <col min="11" max="11" width="7" style="24" bestFit="1" customWidth="1"/>
    <col min="12" max="12" width="6.28515625" style="24" customWidth="1"/>
    <col min="13" max="13" width="20.42578125" style="24" customWidth="1"/>
    <col min="14" max="14" width="6.42578125" style="24" bestFit="1" customWidth="1"/>
    <col min="15" max="15" width="9.28515625" style="24" customWidth="1"/>
    <col min="16" max="16" width="8.42578125" style="24"/>
    <col min="17" max="17" width="3.28515625" style="24" customWidth="1"/>
    <col min="18" max="256" width="8.42578125" style="24"/>
    <col min="257" max="257" width="10" style="24" bestFit="1" customWidth="1"/>
    <col min="258" max="258" width="44.28515625" style="24" bestFit="1" customWidth="1"/>
    <col min="259" max="259" width="10.42578125" style="24" bestFit="1" customWidth="1"/>
    <col min="260" max="260" width="10.42578125" style="24" customWidth="1"/>
    <col min="261" max="261" width="9.7109375" style="24" bestFit="1" customWidth="1"/>
    <col min="262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285156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28515625" style="24" customWidth="1"/>
    <col min="274" max="512" width="8.42578125" style="24"/>
    <col min="513" max="513" width="10" style="24" bestFit="1" customWidth="1"/>
    <col min="514" max="514" width="44.28515625" style="24" bestFit="1" customWidth="1"/>
    <col min="515" max="515" width="10.42578125" style="24" bestFit="1" customWidth="1"/>
    <col min="516" max="516" width="10.42578125" style="24" customWidth="1"/>
    <col min="517" max="517" width="9.7109375" style="24" bestFit="1" customWidth="1"/>
    <col min="518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285156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28515625" style="24" customWidth="1"/>
    <col min="530" max="768" width="8.42578125" style="24"/>
    <col min="769" max="769" width="10" style="24" bestFit="1" customWidth="1"/>
    <col min="770" max="770" width="44.28515625" style="24" bestFit="1" customWidth="1"/>
    <col min="771" max="771" width="10.42578125" style="24" bestFit="1" customWidth="1"/>
    <col min="772" max="772" width="10.42578125" style="24" customWidth="1"/>
    <col min="773" max="773" width="9.7109375" style="24" bestFit="1" customWidth="1"/>
    <col min="774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285156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28515625" style="24" customWidth="1"/>
    <col min="786" max="1024" width="8.42578125" style="24"/>
    <col min="1025" max="1025" width="10" style="24" bestFit="1" customWidth="1"/>
    <col min="1026" max="1026" width="44.28515625" style="24" bestFit="1" customWidth="1"/>
    <col min="1027" max="1027" width="10.42578125" style="24" bestFit="1" customWidth="1"/>
    <col min="1028" max="1028" width="10.42578125" style="24" customWidth="1"/>
    <col min="1029" max="1029" width="9.7109375" style="24" bestFit="1" customWidth="1"/>
    <col min="1030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285156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28515625" style="24" customWidth="1"/>
    <col min="1042" max="1280" width="8.42578125" style="24"/>
    <col min="1281" max="1281" width="10" style="24" bestFit="1" customWidth="1"/>
    <col min="1282" max="1282" width="44.28515625" style="24" bestFit="1" customWidth="1"/>
    <col min="1283" max="1283" width="10.42578125" style="24" bestFit="1" customWidth="1"/>
    <col min="1284" max="1284" width="10.42578125" style="24" customWidth="1"/>
    <col min="1285" max="1285" width="9.7109375" style="24" bestFit="1" customWidth="1"/>
    <col min="1286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285156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28515625" style="24" customWidth="1"/>
    <col min="1298" max="1536" width="8.42578125" style="24"/>
    <col min="1537" max="1537" width="10" style="24" bestFit="1" customWidth="1"/>
    <col min="1538" max="1538" width="44.28515625" style="24" bestFit="1" customWidth="1"/>
    <col min="1539" max="1539" width="10.42578125" style="24" bestFit="1" customWidth="1"/>
    <col min="1540" max="1540" width="10.42578125" style="24" customWidth="1"/>
    <col min="1541" max="1541" width="9.7109375" style="24" bestFit="1" customWidth="1"/>
    <col min="1542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285156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28515625" style="24" customWidth="1"/>
    <col min="1554" max="1792" width="8.42578125" style="24"/>
    <col min="1793" max="1793" width="10" style="24" bestFit="1" customWidth="1"/>
    <col min="1794" max="1794" width="44.28515625" style="24" bestFit="1" customWidth="1"/>
    <col min="1795" max="1795" width="10.42578125" style="24" bestFit="1" customWidth="1"/>
    <col min="1796" max="1796" width="10.42578125" style="24" customWidth="1"/>
    <col min="1797" max="1797" width="9.7109375" style="24" bestFit="1" customWidth="1"/>
    <col min="1798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285156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28515625" style="24" customWidth="1"/>
    <col min="1810" max="2048" width="8.42578125" style="24"/>
    <col min="2049" max="2049" width="10" style="24" bestFit="1" customWidth="1"/>
    <col min="2050" max="2050" width="44.28515625" style="24" bestFit="1" customWidth="1"/>
    <col min="2051" max="2051" width="10.42578125" style="24" bestFit="1" customWidth="1"/>
    <col min="2052" max="2052" width="10.42578125" style="24" customWidth="1"/>
    <col min="2053" max="2053" width="9.7109375" style="24" bestFit="1" customWidth="1"/>
    <col min="2054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285156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28515625" style="24" customWidth="1"/>
    <col min="2066" max="2304" width="8.42578125" style="24"/>
    <col min="2305" max="2305" width="10" style="24" bestFit="1" customWidth="1"/>
    <col min="2306" max="2306" width="44.28515625" style="24" bestFit="1" customWidth="1"/>
    <col min="2307" max="2307" width="10.42578125" style="24" bestFit="1" customWidth="1"/>
    <col min="2308" max="2308" width="10.42578125" style="24" customWidth="1"/>
    <col min="2309" max="2309" width="9.7109375" style="24" bestFit="1" customWidth="1"/>
    <col min="2310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285156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28515625" style="24" customWidth="1"/>
    <col min="2322" max="2560" width="8.42578125" style="24"/>
    <col min="2561" max="2561" width="10" style="24" bestFit="1" customWidth="1"/>
    <col min="2562" max="2562" width="44.28515625" style="24" bestFit="1" customWidth="1"/>
    <col min="2563" max="2563" width="10.42578125" style="24" bestFit="1" customWidth="1"/>
    <col min="2564" max="2564" width="10.42578125" style="24" customWidth="1"/>
    <col min="2565" max="2565" width="9.7109375" style="24" bestFit="1" customWidth="1"/>
    <col min="2566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285156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28515625" style="24" customWidth="1"/>
    <col min="2578" max="2816" width="8.42578125" style="24"/>
    <col min="2817" max="2817" width="10" style="24" bestFit="1" customWidth="1"/>
    <col min="2818" max="2818" width="44.28515625" style="24" bestFit="1" customWidth="1"/>
    <col min="2819" max="2819" width="10.42578125" style="24" bestFit="1" customWidth="1"/>
    <col min="2820" max="2820" width="10.42578125" style="24" customWidth="1"/>
    <col min="2821" max="2821" width="9.7109375" style="24" bestFit="1" customWidth="1"/>
    <col min="2822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285156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28515625" style="24" customWidth="1"/>
    <col min="2834" max="3072" width="8.42578125" style="24"/>
    <col min="3073" max="3073" width="10" style="24" bestFit="1" customWidth="1"/>
    <col min="3074" max="3074" width="44.28515625" style="24" bestFit="1" customWidth="1"/>
    <col min="3075" max="3075" width="10.42578125" style="24" bestFit="1" customWidth="1"/>
    <col min="3076" max="3076" width="10.42578125" style="24" customWidth="1"/>
    <col min="3077" max="3077" width="9.7109375" style="24" bestFit="1" customWidth="1"/>
    <col min="3078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285156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28515625" style="24" customWidth="1"/>
    <col min="3090" max="3328" width="8.42578125" style="24"/>
    <col min="3329" max="3329" width="10" style="24" bestFit="1" customWidth="1"/>
    <col min="3330" max="3330" width="44.28515625" style="24" bestFit="1" customWidth="1"/>
    <col min="3331" max="3331" width="10.42578125" style="24" bestFit="1" customWidth="1"/>
    <col min="3332" max="3332" width="10.42578125" style="24" customWidth="1"/>
    <col min="3333" max="3333" width="9.7109375" style="24" bestFit="1" customWidth="1"/>
    <col min="3334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285156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28515625" style="24" customWidth="1"/>
    <col min="3346" max="3584" width="8.42578125" style="24"/>
    <col min="3585" max="3585" width="10" style="24" bestFit="1" customWidth="1"/>
    <col min="3586" max="3586" width="44.28515625" style="24" bestFit="1" customWidth="1"/>
    <col min="3587" max="3587" width="10.42578125" style="24" bestFit="1" customWidth="1"/>
    <col min="3588" max="3588" width="10.42578125" style="24" customWidth="1"/>
    <col min="3589" max="3589" width="9.7109375" style="24" bestFit="1" customWidth="1"/>
    <col min="3590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285156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28515625" style="24" customWidth="1"/>
    <col min="3602" max="3840" width="8.42578125" style="24"/>
    <col min="3841" max="3841" width="10" style="24" bestFit="1" customWidth="1"/>
    <col min="3842" max="3842" width="44.28515625" style="24" bestFit="1" customWidth="1"/>
    <col min="3843" max="3843" width="10.42578125" style="24" bestFit="1" customWidth="1"/>
    <col min="3844" max="3844" width="10.42578125" style="24" customWidth="1"/>
    <col min="3845" max="3845" width="9.7109375" style="24" bestFit="1" customWidth="1"/>
    <col min="3846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285156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28515625" style="24" customWidth="1"/>
    <col min="3858" max="4096" width="8.42578125" style="24"/>
    <col min="4097" max="4097" width="10" style="24" bestFit="1" customWidth="1"/>
    <col min="4098" max="4098" width="44.28515625" style="24" bestFit="1" customWidth="1"/>
    <col min="4099" max="4099" width="10.42578125" style="24" bestFit="1" customWidth="1"/>
    <col min="4100" max="4100" width="10.42578125" style="24" customWidth="1"/>
    <col min="4101" max="4101" width="9.7109375" style="24" bestFit="1" customWidth="1"/>
    <col min="4102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285156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28515625" style="24" customWidth="1"/>
    <col min="4114" max="4352" width="8.42578125" style="24"/>
    <col min="4353" max="4353" width="10" style="24" bestFit="1" customWidth="1"/>
    <col min="4354" max="4354" width="44.28515625" style="24" bestFit="1" customWidth="1"/>
    <col min="4355" max="4355" width="10.42578125" style="24" bestFit="1" customWidth="1"/>
    <col min="4356" max="4356" width="10.42578125" style="24" customWidth="1"/>
    <col min="4357" max="4357" width="9.7109375" style="24" bestFit="1" customWidth="1"/>
    <col min="4358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285156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28515625" style="24" customWidth="1"/>
    <col min="4370" max="4608" width="8.42578125" style="24"/>
    <col min="4609" max="4609" width="10" style="24" bestFit="1" customWidth="1"/>
    <col min="4610" max="4610" width="44.28515625" style="24" bestFit="1" customWidth="1"/>
    <col min="4611" max="4611" width="10.42578125" style="24" bestFit="1" customWidth="1"/>
    <col min="4612" max="4612" width="10.42578125" style="24" customWidth="1"/>
    <col min="4613" max="4613" width="9.7109375" style="24" bestFit="1" customWidth="1"/>
    <col min="4614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285156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28515625" style="24" customWidth="1"/>
    <col min="4626" max="4864" width="8.42578125" style="24"/>
    <col min="4865" max="4865" width="10" style="24" bestFit="1" customWidth="1"/>
    <col min="4866" max="4866" width="44.28515625" style="24" bestFit="1" customWidth="1"/>
    <col min="4867" max="4867" width="10.42578125" style="24" bestFit="1" customWidth="1"/>
    <col min="4868" max="4868" width="10.42578125" style="24" customWidth="1"/>
    <col min="4869" max="4869" width="9.7109375" style="24" bestFit="1" customWidth="1"/>
    <col min="4870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285156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28515625" style="24" customWidth="1"/>
    <col min="4882" max="5120" width="8.42578125" style="24"/>
    <col min="5121" max="5121" width="10" style="24" bestFit="1" customWidth="1"/>
    <col min="5122" max="5122" width="44.28515625" style="24" bestFit="1" customWidth="1"/>
    <col min="5123" max="5123" width="10.42578125" style="24" bestFit="1" customWidth="1"/>
    <col min="5124" max="5124" width="10.42578125" style="24" customWidth="1"/>
    <col min="5125" max="5125" width="9.7109375" style="24" bestFit="1" customWidth="1"/>
    <col min="5126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285156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28515625" style="24" customWidth="1"/>
    <col min="5138" max="5376" width="8.42578125" style="24"/>
    <col min="5377" max="5377" width="10" style="24" bestFit="1" customWidth="1"/>
    <col min="5378" max="5378" width="44.28515625" style="24" bestFit="1" customWidth="1"/>
    <col min="5379" max="5379" width="10.42578125" style="24" bestFit="1" customWidth="1"/>
    <col min="5380" max="5380" width="10.42578125" style="24" customWidth="1"/>
    <col min="5381" max="5381" width="9.7109375" style="24" bestFit="1" customWidth="1"/>
    <col min="5382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285156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28515625" style="24" customWidth="1"/>
    <col min="5394" max="5632" width="8.42578125" style="24"/>
    <col min="5633" max="5633" width="10" style="24" bestFit="1" customWidth="1"/>
    <col min="5634" max="5634" width="44.28515625" style="24" bestFit="1" customWidth="1"/>
    <col min="5635" max="5635" width="10.42578125" style="24" bestFit="1" customWidth="1"/>
    <col min="5636" max="5636" width="10.42578125" style="24" customWidth="1"/>
    <col min="5637" max="5637" width="9.7109375" style="24" bestFit="1" customWidth="1"/>
    <col min="5638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285156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28515625" style="24" customWidth="1"/>
    <col min="5650" max="5888" width="8.42578125" style="24"/>
    <col min="5889" max="5889" width="10" style="24" bestFit="1" customWidth="1"/>
    <col min="5890" max="5890" width="44.28515625" style="24" bestFit="1" customWidth="1"/>
    <col min="5891" max="5891" width="10.42578125" style="24" bestFit="1" customWidth="1"/>
    <col min="5892" max="5892" width="10.42578125" style="24" customWidth="1"/>
    <col min="5893" max="5893" width="9.7109375" style="24" bestFit="1" customWidth="1"/>
    <col min="5894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285156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28515625" style="24" customWidth="1"/>
    <col min="5906" max="6144" width="8.42578125" style="24"/>
    <col min="6145" max="6145" width="10" style="24" bestFit="1" customWidth="1"/>
    <col min="6146" max="6146" width="44.28515625" style="24" bestFit="1" customWidth="1"/>
    <col min="6147" max="6147" width="10.42578125" style="24" bestFit="1" customWidth="1"/>
    <col min="6148" max="6148" width="10.42578125" style="24" customWidth="1"/>
    <col min="6149" max="6149" width="9.7109375" style="24" bestFit="1" customWidth="1"/>
    <col min="6150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285156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28515625" style="24" customWidth="1"/>
    <col min="6162" max="6400" width="8.42578125" style="24"/>
    <col min="6401" max="6401" width="10" style="24" bestFit="1" customWidth="1"/>
    <col min="6402" max="6402" width="44.28515625" style="24" bestFit="1" customWidth="1"/>
    <col min="6403" max="6403" width="10.42578125" style="24" bestFit="1" customWidth="1"/>
    <col min="6404" max="6404" width="10.42578125" style="24" customWidth="1"/>
    <col min="6405" max="6405" width="9.7109375" style="24" bestFit="1" customWidth="1"/>
    <col min="6406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285156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28515625" style="24" customWidth="1"/>
    <col min="6418" max="6656" width="8.42578125" style="24"/>
    <col min="6657" max="6657" width="10" style="24" bestFit="1" customWidth="1"/>
    <col min="6658" max="6658" width="44.28515625" style="24" bestFit="1" customWidth="1"/>
    <col min="6659" max="6659" width="10.42578125" style="24" bestFit="1" customWidth="1"/>
    <col min="6660" max="6660" width="10.42578125" style="24" customWidth="1"/>
    <col min="6661" max="6661" width="9.7109375" style="24" bestFit="1" customWidth="1"/>
    <col min="6662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285156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28515625" style="24" customWidth="1"/>
    <col min="6674" max="6912" width="8.42578125" style="24"/>
    <col min="6913" max="6913" width="10" style="24" bestFit="1" customWidth="1"/>
    <col min="6914" max="6914" width="44.28515625" style="24" bestFit="1" customWidth="1"/>
    <col min="6915" max="6915" width="10.42578125" style="24" bestFit="1" customWidth="1"/>
    <col min="6916" max="6916" width="10.42578125" style="24" customWidth="1"/>
    <col min="6917" max="6917" width="9.7109375" style="24" bestFit="1" customWidth="1"/>
    <col min="6918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285156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28515625" style="24" customWidth="1"/>
    <col min="6930" max="7168" width="8.42578125" style="24"/>
    <col min="7169" max="7169" width="10" style="24" bestFit="1" customWidth="1"/>
    <col min="7170" max="7170" width="44.28515625" style="24" bestFit="1" customWidth="1"/>
    <col min="7171" max="7171" width="10.42578125" style="24" bestFit="1" customWidth="1"/>
    <col min="7172" max="7172" width="10.42578125" style="24" customWidth="1"/>
    <col min="7173" max="7173" width="9.7109375" style="24" bestFit="1" customWidth="1"/>
    <col min="7174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285156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28515625" style="24" customWidth="1"/>
    <col min="7186" max="7424" width="8.42578125" style="24"/>
    <col min="7425" max="7425" width="10" style="24" bestFit="1" customWidth="1"/>
    <col min="7426" max="7426" width="44.28515625" style="24" bestFit="1" customWidth="1"/>
    <col min="7427" max="7427" width="10.42578125" style="24" bestFit="1" customWidth="1"/>
    <col min="7428" max="7428" width="10.42578125" style="24" customWidth="1"/>
    <col min="7429" max="7429" width="9.7109375" style="24" bestFit="1" customWidth="1"/>
    <col min="7430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285156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28515625" style="24" customWidth="1"/>
    <col min="7442" max="7680" width="8.42578125" style="24"/>
    <col min="7681" max="7681" width="10" style="24" bestFit="1" customWidth="1"/>
    <col min="7682" max="7682" width="44.28515625" style="24" bestFit="1" customWidth="1"/>
    <col min="7683" max="7683" width="10.42578125" style="24" bestFit="1" customWidth="1"/>
    <col min="7684" max="7684" width="10.42578125" style="24" customWidth="1"/>
    <col min="7685" max="7685" width="9.7109375" style="24" bestFit="1" customWidth="1"/>
    <col min="7686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285156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28515625" style="24" customWidth="1"/>
    <col min="7698" max="7936" width="8.42578125" style="24"/>
    <col min="7937" max="7937" width="10" style="24" bestFit="1" customWidth="1"/>
    <col min="7938" max="7938" width="44.28515625" style="24" bestFit="1" customWidth="1"/>
    <col min="7939" max="7939" width="10.42578125" style="24" bestFit="1" customWidth="1"/>
    <col min="7940" max="7940" width="10.42578125" style="24" customWidth="1"/>
    <col min="7941" max="7941" width="9.7109375" style="24" bestFit="1" customWidth="1"/>
    <col min="7942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285156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28515625" style="24" customWidth="1"/>
    <col min="7954" max="8192" width="8.42578125" style="24"/>
    <col min="8193" max="8193" width="10" style="24" bestFit="1" customWidth="1"/>
    <col min="8194" max="8194" width="44.28515625" style="24" bestFit="1" customWidth="1"/>
    <col min="8195" max="8195" width="10.42578125" style="24" bestFit="1" customWidth="1"/>
    <col min="8196" max="8196" width="10.42578125" style="24" customWidth="1"/>
    <col min="8197" max="8197" width="9.7109375" style="24" bestFit="1" customWidth="1"/>
    <col min="8198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285156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28515625" style="24" customWidth="1"/>
    <col min="8210" max="8448" width="8.42578125" style="24"/>
    <col min="8449" max="8449" width="10" style="24" bestFit="1" customWidth="1"/>
    <col min="8450" max="8450" width="44.28515625" style="24" bestFit="1" customWidth="1"/>
    <col min="8451" max="8451" width="10.42578125" style="24" bestFit="1" customWidth="1"/>
    <col min="8452" max="8452" width="10.42578125" style="24" customWidth="1"/>
    <col min="8453" max="8453" width="9.7109375" style="24" bestFit="1" customWidth="1"/>
    <col min="8454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285156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28515625" style="24" customWidth="1"/>
    <col min="8466" max="8704" width="8.42578125" style="24"/>
    <col min="8705" max="8705" width="10" style="24" bestFit="1" customWidth="1"/>
    <col min="8706" max="8706" width="44.28515625" style="24" bestFit="1" customWidth="1"/>
    <col min="8707" max="8707" width="10.42578125" style="24" bestFit="1" customWidth="1"/>
    <col min="8708" max="8708" width="10.42578125" style="24" customWidth="1"/>
    <col min="8709" max="8709" width="9.7109375" style="24" bestFit="1" customWidth="1"/>
    <col min="8710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285156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28515625" style="24" customWidth="1"/>
    <col min="8722" max="8960" width="8.42578125" style="24"/>
    <col min="8961" max="8961" width="10" style="24" bestFit="1" customWidth="1"/>
    <col min="8962" max="8962" width="44.28515625" style="24" bestFit="1" customWidth="1"/>
    <col min="8963" max="8963" width="10.42578125" style="24" bestFit="1" customWidth="1"/>
    <col min="8964" max="8964" width="10.42578125" style="24" customWidth="1"/>
    <col min="8965" max="8965" width="9.7109375" style="24" bestFit="1" customWidth="1"/>
    <col min="8966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285156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28515625" style="24" customWidth="1"/>
    <col min="8978" max="9216" width="8.42578125" style="24"/>
    <col min="9217" max="9217" width="10" style="24" bestFit="1" customWidth="1"/>
    <col min="9218" max="9218" width="44.28515625" style="24" bestFit="1" customWidth="1"/>
    <col min="9219" max="9219" width="10.42578125" style="24" bestFit="1" customWidth="1"/>
    <col min="9220" max="9220" width="10.42578125" style="24" customWidth="1"/>
    <col min="9221" max="9221" width="9.7109375" style="24" bestFit="1" customWidth="1"/>
    <col min="9222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285156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28515625" style="24" customWidth="1"/>
    <col min="9234" max="9472" width="8.42578125" style="24"/>
    <col min="9473" max="9473" width="10" style="24" bestFit="1" customWidth="1"/>
    <col min="9474" max="9474" width="44.28515625" style="24" bestFit="1" customWidth="1"/>
    <col min="9475" max="9475" width="10.42578125" style="24" bestFit="1" customWidth="1"/>
    <col min="9476" max="9476" width="10.42578125" style="24" customWidth="1"/>
    <col min="9477" max="9477" width="9.7109375" style="24" bestFit="1" customWidth="1"/>
    <col min="9478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285156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28515625" style="24" customWidth="1"/>
    <col min="9490" max="9728" width="8.42578125" style="24"/>
    <col min="9729" max="9729" width="10" style="24" bestFit="1" customWidth="1"/>
    <col min="9730" max="9730" width="44.28515625" style="24" bestFit="1" customWidth="1"/>
    <col min="9731" max="9731" width="10.42578125" style="24" bestFit="1" customWidth="1"/>
    <col min="9732" max="9732" width="10.42578125" style="24" customWidth="1"/>
    <col min="9733" max="9733" width="9.7109375" style="24" bestFit="1" customWidth="1"/>
    <col min="9734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285156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28515625" style="24" customWidth="1"/>
    <col min="9746" max="9984" width="8.42578125" style="24"/>
    <col min="9985" max="9985" width="10" style="24" bestFit="1" customWidth="1"/>
    <col min="9986" max="9986" width="44.28515625" style="24" bestFit="1" customWidth="1"/>
    <col min="9987" max="9987" width="10.42578125" style="24" bestFit="1" customWidth="1"/>
    <col min="9988" max="9988" width="10.42578125" style="24" customWidth="1"/>
    <col min="9989" max="9989" width="9.7109375" style="24" bestFit="1" customWidth="1"/>
    <col min="9990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285156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28515625" style="24" customWidth="1"/>
    <col min="10002" max="10240" width="8.42578125" style="24"/>
    <col min="10241" max="10241" width="10" style="24" bestFit="1" customWidth="1"/>
    <col min="10242" max="10242" width="44.28515625" style="24" bestFit="1" customWidth="1"/>
    <col min="10243" max="10243" width="10.42578125" style="24" bestFit="1" customWidth="1"/>
    <col min="10244" max="10244" width="10.42578125" style="24" customWidth="1"/>
    <col min="10245" max="10245" width="9.7109375" style="24" bestFit="1" customWidth="1"/>
    <col min="10246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285156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28515625" style="24" customWidth="1"/>
    <col min="10258" max="10496" width="8.42578125" style="24"/>
    <col min="10497" max="10497" width="10" style="24" bestFit="1" customWidth="1"/>
    <col min="10498" max="10498" width="44.28515625" style="24" bestFit="1" customWidth="1"/>
    <col min="10499" max="10499" width="10.42578125" style="24" bestFit="1" customWidth="1"/>
    <col min="10500" max="10500" width="10.42578125" style="24" customWidth="1"/>
    <col min="10501" max="10501" width="9.7109375" style="24" bestFit="1" customWidth="1"/>
    <col min="10502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285156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28515625" style="24" customWidth="1"/>
    <col min="10514" max="10752" width="8.42578125" style="24"/>
    <col min="10753" max="10753" width="10" style="24" bestFit="1" customWidth="1"/>
    <col min="10754" max="10754" width="44.28515625" style="24" bestFit="1" customWidth="1"/>
    <col min="10755" max="10755" width="10.42578125" style="24" bestFit="1" customWidth="1"/>
    <col min="10756" max="10756" width="10.42578125" style="24" customWidth="1"/>
    <col min="10757" max="10757" width="9.7109375" style="24" bestFit="1" customWidth="1"/>
    <col min="10758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285156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28515625" style="24" customWidth="1"/>
    <col min="10770" max="11008" width="8.42578125" style="24"/>
    <col min="11009" max="11009" width="10" style="24" bestFit="1" customWidth="1"/>
    <col min="11010" max="11010" width="44.28515625" style="24" bestFit="1" customWidth="1"/>
    <col min="11011" max="11011" width="10.42578125" style="24" bestFit="1" customWidth="1"/>
    <col min="11012" max="11012" width="10.42578125" style="24" customWidth="1"/>
    <col min="11013" max="11013" width="9.7109375" style="24" bestFit="1" customWidth="1"/>
    <col min="11014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285156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28515625" style="24" customWidth="1"/>
    <col min="11026" max="11264" width="8.42578125" style="24"/>
    <col min="11265" max="11265" width="10" style="24" bestFit="1" customWidth="1"/>
    <col min="11266" max="11266" width="44.28515625" style="24" bestFit="1" customWidth="1"/>
    <col min="11267" max="11267" width="10.42578125" style="24" bestFit="1" customWidth="1"/>
    <col min="11268" max="11268" width="10.42578125" style="24" customWidth="1"/>
    <col min="11269" max="11269" width="9.7109375" style="24" bestFit="1" customWidth="1"/>
    <col min="11270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285156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28515625" style="24" customWidth="1"/>
    <col min="11282" max="11520" width="8.42578125" style="24"/>
    <col min="11521" max="11521" width="10" style="24" bestFit="1" customWidth="1"/>
    <col min="11522" max="11522" width="44.28515625" style="24" bestFit="1" customWidth="1"/>
    <col min="11523" max="11523" width="10.42578125" style="24" bestFit="1" customWidth="1"/>
    <col min="11524" max="11524" width="10.42578125" style="24" customWidth="1"/>
    <col min="11525" max="11525" width="9.7109375" style="24" bestFit="1" customWidth="1"/>
    <col min="11526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285156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28515625" style="24" customWidth="1"/>
    <col min="11538" max="11776" width="8.42578125" style="24"/>
    <col min="11777" max="11777" width="10" style="24" bestFit="1" customWidth="1"/>
    <col min="11778" max="11778" width="44.28515625" style="24" bestFit="1" customWidth="1"/>
    <col min="11779" max="11779" width="10.42578125" style="24" bestFit="1" customWidth="1"/>
    <col min="11780" max="11780" width="10.42578125" style="24" customWidth="1"/>
    <col min="11781" max="11781" width="9.7109375" style="24" bestFit="1" customWidth="1"/>
    <col min="11782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285156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28515625" style="24" customWidth="1"/>
    <col min="11794" max="12032" width="8.42578125" style="24"/>
    <col min="12033" max="12033" width="10" style="24" bestFit="1" customWidth="1"/>
    <col min="12034" max="12034" width="44.28515625" style="24" bestFit="1" customWidth="1"/>
    <col min="12035" max="12035" width="10.42578125" style="24" bestFit="1" customWidth="1"/>
    <col min="12036" max="12036" width="10.42578125" style="24" customWidth="1"/>
    <col min="12037" max="12037" width="9.7109375" style="24" bestFit="1" customWidth="1"/>
    <col min="12038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285156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28515625" style="24" customWidth="1"/>
    <col min="12050" max="12288" width="8.42578125" style="24"/>
    <col min="12289" max="12289" width="10" style="24" bestFit="1" customWidth="1"/>
    <col min="12290" max="12290" width="44.28515625" style="24" bestFit="1" customWidth="1"/>
    <col min="12291" max="12291" width="10.42578125" style="24" bestFit="1" customWidth="1"/>
    <col min="12292" max="12292" width="10.42578125" style="24" customWidth="1"/>
    <col min="12293" max="12293" width="9.7109375" style="24" bestFit="1" customWidth="1"/>
    <col min="12294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285156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28515625" style="24" customWidth="1"/>
    <col min="12306" max="12544" width="8.42578125" style="24"/>
    <col min="12545" max="12545" width="10" style="24" bestFit="1" customWidth="1"/>
    <col min="12546" max="12546" width="44.28515625" style="24" bestFit="1" customWidth="1"/>
    <col min="12547" max="12547" width="10.42578125" style="24" bestFit="1" customWidth="1"/>
    <col min="12548" max="12548" width="10.42578125" style="24" customWidth="1"/>
    <col min="12549" max="12549" width="9.7109375" style="24" bestFit="1" customWidth="1"/>
    <col min="12550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285156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28515625" style="24" customWidth="1"/>
    <col min="12562" max="12800" width="8.42578125" style="24"/>
    <col min="12801" max="12801" width="10" style="24" bestFit="1" customWidth="1"/>
    <col min="12802" max="12802" width="44.28515625" style="24" bestFit="1" customWidth="1"/>
    <col min="12803" max="12803" width="10.42578125" style="24" bestFit="1" customWidth="1"/>
    <col min="12804" max="12804" width="10.42578125" style="24" customWidth="1"/>
    <col min="12805" max="12805" width="9.7109375" style="24" bestFit="1" customWidth="1"/>
    <col min="12806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285156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28515625" style="24" customWidth="1"/>
    <col min="12818" max="13056" width="8.42578125" style="24"/>
    <col min="13057" max="13057" width="10" style="24" bestFit="1" customWidth="1"/>
    <col min="13058" max="13058" width="44.28515625" style="24" bestFit="1" customWidth="1"/>
    <col min="13059" max="13059" width="10.42578125" style="24" bestFit="1" customWidth="1"/>
    <col min="13060" max="13060" width="10.42578125" style="24" customWidth="1"/>
    <col min="13061" max="13061" width="9.7109375" style="24" bestFit="1" customWidth="1"/>
    <col min="13062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285156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28515625" style="24" customWidth="1"/>
    <col min="13074" max="13312" width="8.42578125" style="24"/>
    <col min="13313" max="13313" width="10" style="24" bestFit="1" customWidth="1"/>
    <col min="13314" max="13314" width="44.28515625" style="24" bestFit="1" customWidth="1"/>
    <col min="13315" max="13315" width="10.42578125" style="24" bestFit="1" customWidth="1"/>
    <col min="13316" max="13316" width="10.42578125" style="24" customWidth="1"/>
    <col min="13317" max="13317" width="9.7109375" style="24" bestFit="1" customWidth="1"/>
    <col min="13318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285156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28515625" style="24" customWidth="1"/>
    <col min="13330" max="13568" width="8.42578125" style="24"/>
    <col min="13569" max="13569" width="10" style="24" bestFit="1" customWidth="1"/>
    <col min="13570" max="13570" width="44.28515625" style="24" bestFit="1" customWidth="1"/>
    <col min="13571" max="13571" width="10.42578125" style="24" bestFit="1" customWidth="1"/>
    <col min="13572" max="13572" width="10.42578125" style="24" customWidth="1"/>
    <col min="13573" max="13573" width="9.7109375" style="24" bestFit="1" customWidth="1"/>
    <col min="13574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285156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28515625" style="24" customWidth="1"/>
    <col min="13586" max="13824" width="8.42578125" style="24"/>
    <col min="13825" max="13825" width="10" style="24" bestFit="1" customWidth="1"/>
    <col min="13826" max="13826" width="44.28515625" style="24" bestFit="1" customWidth="1"/>
    <col min="13827" max="13827" width="10.42578125" style="24" bestFit="1" customWidth="1"/>
    <col min="13828" max="13828" width="10.42578125" style="24" customWidth="1"/>
    <col min="13829" max="13829" width="9.7109375" style="24" bestFit="1" customWidth="1"/>
    <col min="13830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285156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28515625" style="24" customWidth="1"/>
    <col min="13842" max="14080" width="8.42578125" style="24"/>
    <col min="14081" max="14081" width="10" style="24" bestFit="1" customWidth="1"/>
    <col min="14082" max="14082" width="44.28515625" style="24" bestFit="1" customWidth="1"/>
    <col min="14083" max="14083" width="10.42578125" style="24" bestFit="1" customWidth="1"/>
    <col min="14084" max="14084" width="10.42578125" style="24" customWidth="1"/>
    <col min="14085" max="14085" width="9.7109375" style="24" bestFit="1" customWidth="1"/>
    <col min="14086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285156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28515625" style="24" customWidth="1"/>
    <col min="14098" max="14336" width="8.42578125" style="24"/>
    <col min="14337" max="14337" width="10" style="24" bestFit="1" customWidth="1"/>
    <col min="14338" max="14338" width="44.28515625" style="24" bestFit="1" customWidth="1"/>
    <col min="14339" max="14339" width="10.42578125" style="24" bestFit="1" customWidth="1"/>
    <col min="14340" max="14340" width="10.42578125" style="24" customWidth="1"/>
    <col min="14341" max="14341" width="9.7109375" style="24" bestFit="1" customWidth="1"/>
    <col min="14342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285156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28515625" style="24" customWidth="1"/>
    <col min="14354" max="14592" width="8.42578125" style="24"/>
    <col min="14593" max="14593" width="10" style="24" bestFit="1" customWidth="1"/>
    <col min="14594" max="14594" width="44.28515625" style="24" bestFit="1" customWidth="1"/>
    <col min="14595" max="14595" width="10.42578125" style="24" bestFit="1" customWidth="1"/>
    <col min="14596" max="14596" width="10.42578125" style="24" customWidth="1"/>
    <col min="14597" max="14597" width="9.7109375" style="24" bestFit="1" customWidth="1"/>
    <col min="14598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285156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28515625" style="24" customWidth="1"/>
    <col min="14610" max="14848" width="8.42578125" style="24"/>
    <col min="14849" max="14849" width="10" style="24" bestFit="1" customWidth="1"/>
    <col min="14850" max="14850" width="44.28515625" style="24" bestFit="1" customWidth="1"/>
    <col min="14851" max="14851" width="10.42578125" style="24" bestFit="1" customWidth="1"/>
    <col min="14852" max="14852" width="10.42578125" style="24" customWidth="1"/>
    <col min="14853" max="14853" width="9.7109375" style="24" bestFit="1" customWidth="1"/>
    <col min="14854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285156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28515625" style="24" customWidth="1"/>
    <col min="14866" max="15104" width="8.42578125" style="24"/>
    <col min="15105" max="15105" width="10" style="24" bestFit="1" customWidth="1"/>
    <col min="15106" max="15106" width="44.28515625" style="24" bestFit="1" customWidth="1"/>
    <col min="15107" max="15107" width="10.42578125" style="24" bestFit="1" customWidth="1"/>
    <col min="15108" max="15108" width="10.42578125" style="24" customWidth="1"/>
    <col min="15109" max="15109" width="9.7109375" style="24" bestFit="1" customWidth="1"/>
    <col min="15110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285156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28515625" style="24" customWidth="1"/>
    <col min="15122" max="15360" width="8.42578125" style="24"/>
    <col min="15361" max="15361" width="10" style="24" bestFit="1" customWidth="1"/>
    <col min="15362" max="15362" width="44.28515625" style="24" bestFit="1" customWidth="1"/>
    <col min="15363" max="15363" width="10.42578125" style="24" bestFit="1" customWidth="1"/>
    <col min="15364" max="15364" width="10.42578125" style="24" customWidth="1"/>
    <col min="15365" max="15365" width="9.7109375" style="24" bestFit="1" customWidth="1"/>
    <col min="15366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285156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28515625" style="24" customWidth="1"/>
    <col min="15378" max="15616" width="8.42578125" style="24"/>
    <col min="15617" max="15617" width="10" style="24" bestFit="1" customWidth="1"/>
    <col min="15618" max="15618" width="44.28515625" style="24" bestFit="1" customWidth="1"/>
    <col min="15619" max="15619" width="10.42578125" style="24" bestFit="1" customWidth="1"/>
    <col min="15620" max="15620" width="10.42578125" style="24" customWidth="1"/>
    <col min="15621" max="15621" width="9.7109375" style="24" bestFit="1" customWidth="1"/>
    <col min="15622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285156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28515625" style="24" customWidth="1"/>
    <col min="15634" max="15872" width="8.42578125" style="24"/>
    <col min="15873" max="15873" width="10" style="24" bestFit="1" customWidth="1"/>
    <col min="15874" max="15874" width="44.28515625" style="24" bestFit="1" customWidth="1"/>
    <col min="15875" max="15875" width="10.42578125" style="24" bestFit="1" customWidth="1"/>
    <col min="15876" max="15876" width="10.42578125" style="24" customWidth="1"/>
    <col min="15877" max="15877" width="9.7109375" style="24" bestFit="1" customWidth="1"/>
    <col min="15878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285156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28515625" style="24" customWidth="1"/>
    <col min="15890" max="16128" width="8.42578125" style="24"/>
    <col min="16129" max="16129" width="10" style="24" bestFit="1" customWidth="1"/>
    <col min="16130" max="16130" width="44.28515625" style="24" bestFit="1" customWidth="1"/>
    <col min="16131" max="16131" width="10.42578125" style="24" bestFit="1" customWidth="1"/>
    <col min="16132" max="16132" width="10.42578125" style="24" customWidth="1"/>
    <col min="16133" max="16133" width="9.7109375" style="24" bestFit="1" customWidth="1"/>
    <col min="16134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285156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28515625" style="24" customWidth="1"/>
    <col min="16146" max="16384" width="8.42578125" style="24"/>
  </cols>
  <sheetData>
    <row r="1" spans="1:10" ht="27.75" customHeight="1" x14ac:dyDescent="0.25">
      <c r="A1" s="19"/>
      <c r="B1" s="19"/>
      <c r="C1" s="19"/>
      <c r="D1" s="19"/>
      <c r="E1" s="20" t="s">
        <v>75</v>
      </c>
      <c r="F1" s="21" t="s">
        <v>76</v>
      </c>
      <c r="G1" s="21" t="s">
        <v>77</v>
      </c>
      <c r="H1" s="21" t="s">
        <v>78</v>
      </c>
      <c r="I1" s="22"/>
    </row>
    <row r="2" spans="1:10" ht="30.75" customHeight="1" x14ac:dyDescent="0.25">
      <c r="A2" s="19"/>
      <c r="B2" s="19"/>
      <c r="C2" s="19"/>
      <c r="D2" s="19"/>
      <c r="E2" s="25">
        <f>IFERROR(O67,"")</f>
        <v>73715.171801577817</v>
      </c>
      <c r="F2" s="25">
        <f>IFERROR(H58,"")</f>
        <v>55181.91510819384</v>
      </c>
      <c r="G2" s="25">
        <f>IFERROR(H59,"")</f>
        <v>243.02609599999997</v>
      </c>
      <c r="H2" s="25">
        <f>IFERROR(H61,"")</f>
        <v>2205.4957772799999</v>
      </c>
      <c r="I2" s="26"/>
    </row>
    <row r="3" spans="1:10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0" ht="24.75" customHeight="1" thickBot="1" x14ac:dyDescent="0.3">
      <c r="A4" s="164"/>
      <c r="B4" s="164"/>
      <c r="C4" s="164"/>
      <c r="D4" s="164"/>
      <c r="E4" s="164"/>
      <c r="F4" s="164"/>
      <c r="G4" s="164"/>
      <c r="H4" s="164"/>
      <c r="I4" s="28"/>
    </row>
    <row r="5" spans="1:10" ht="19.5" customHeight="1" thickBot="1" x14ac:dyDescent="0.3">
      <c r="A5" s="165" t="s">
        <v>79</v>
      </c>
      <c r="B5" s="166"/>
      <c r="C5" s="166"/>
      <c r="D5" s="166"/>
      <c r="E5" s="166"/>
      <c r="F5" s="166"/>
      <c r="G5" s="166"/>
      <c r="H5" s="167"/>
      <c r="I5" s="29"/>
    </row>
    <row r="6" spans="1:10" ht="19.5" thickBot="1" x14ac:dyDescent="0.3">
      <c r="A6" s="29"/>
      <c r="B6" s="29"/>
      <c r="C6" s="29"/>
      <c r="D6" s="29"/>
      <c r="E6" s="29"/>
      <c r="F6" s="168" t="s">
        <v>80</v>
      </c>
      <c r="G6" s="168"/>
      <c r="H6" s="30">
        <f ca="1">TODAY()</f>
        <v>45945</v>
      </c>
      <c r="I6" s="30"/>
    </row>
    <row r="7" spans="1:10" ht="26.25" thickBot="1" x14ac:dyDescent="0.3">
      <c r="A7" s="31" t="s">
        <v>81</v>
      </c>
      <c r="B7" s="32" t="s">
        <v>82</v>
      </c>
      <c r="C7" s="32" t="s">
        <v>81</v>
      </c>
      <c r="D7" s="33" t="s">
        <v>83</v>
      </c>
      <c r="E7" s="33" t="s">
        <v>84</v>
      </c>
      <c r="F7" s="33" t="s">
        <v>85</v>
      </c>
      <c r="G7" s="33" t="s">
        <v>86</v>
      </c>
      <c r="H7" s="34" t="s">
        <v>87</v>
      </c>
      <c r="I7" s="35"/>
    </row>
    <row r="8" spans="1:10" ht="13.5" x14ac:dyDescent="0.25">
      <c r="A8" s="36">
        <v>15600</v>
      </c>
      <c r="B8" s="24" t="str">
        <f>IFERROR(VLOOKUP(H8,'[1]Consolidado MP Planta'!$A$2:$M$823,3,0),"")</f>
        <v>POSTA DE CERDO KILO</v>
      </c>
      <c r="C8" s="37">
        <f>+A8</f>
        <v>15600</v>
      </c>
      <c r="D8" s="38" t="str">
        <f>IFERROR(VLOOKUP(H8,'[1]Consolidado MP Planta'!$A$2:$M$823,13,0),"")</f>
        <v>Gramos</v>
      </c>
      <c r="E8" s="38">
        <v>3.33</v>
      </c>
      <c r="F8" s="38">
        <f>IFERROR(C8*E8,"")</f>
        <v>51948</v>
      </c>
      <c r="G8" s="39">
        <f>IFERROR(F8/$F$71,"")</f>
        <v>0.88454378492802332</v>
      </c>
      <c r="H8" s="40" t="s">
        <v>88</v>
      </c>
      <c r="I8" s="40"/>
      <c r="J8" s="41"/>
    </row>
    <row r="9" spans="1:10" ht="13.5" x14ac:dyDescent="0.25">
      <c r="A9" s="36">
        <v>600</v>
      </c>
      <c r="B9" s="24" t="str">
        <f>IFERROR(VLOOKUP(H9,'[1]Consolidado MP Planta'!$A$2:$M$823,3,0),"")</f>
        <v>CHILE DULCE ENTERO KILO</v>
      </c>
      <c r="C9" s="37">
        <f t="shared" ref="C9:C19" si="0">+A9</f>
        <v>600</v>
      </c>
      <c r="D9" s="38" t="str">
        <f>IFERROR(VLOOKUP(H9,'[1]Consolidado MP Planta'!$A$2:$M$823,13,0),"")</f>
        <v>Gramos</v>
      </c>
      <c r="E9" s="38">
        <f>IFERROR(VLOOKUP(H9,'[1]Consolidado MP Planta'!$A$2:$M$823,12,0),"")</f>
        <v>1.095</v>
      </c>
      <c r="F9" s="38">
        <f t="shared" ref="F9:F19" si="1">IFERROR(C9*E9,"")</f>
        <v>657</v>
      </c>
      <c r="G9" s="39">
        <f>IFERROR(F9/$F$71,"")</f>
        <v>1.1187057570988514E-2</v>
      </c>
      <c r="H9" s="40" t="s">
        <v>89</v>
      </c>
      <c r="I9" s="40"/>
      <c r="J9" s="41"/>
    </row>
    <row r="10" spans="1:10" ht="13.5" x14ac:dyDescent="0.25">
      <c r="A10" s="36">
        <v>500</v>
      </c>
      <c r="B10" s="24" t="str">
        <f>IFERROR(VLOOKUP(H10,'[1]Consolidado MP Planta'!$A$2:$M$823,3,0),"")</f>
        <v>CEBOLLA PICADA (PAQ:KILO)</v>
      </c>
      <c r="C10" s="37">
        <f t="shared" ref="C10:C15" si="2">+A10</f>
        <v>500</v>
      </c>
      <c r="D10" s="38" t="str">
        <f>IFERROR(VLOOKUP(H10,'[1]Consolidado MP Planta'!$A$2:$M$823,13,0),"")</f>
        <v>Gramos</v>
      </c>
      <c r="E10" s="38">
        <f>IFERROR(VLOOKUP(H10,'[1]Consolidado MP Planta'!$A$2:$M$823,12,0),"")</f>
        <v>1.8720000000000001</v>
      </c>
      <c r="F10" s="38">
        <f t="shared" ref="F10:F15" si="3">IFERROR(C10*E10,"")</f>
        <v>936</v>
      </c>
      <c r="G10" s="39">
        <f t="shared" ref="G10:G15" si="4">IFERROR(F10/$F$71,"")</f>
        <v>1.5937725854558979E-2</v>
      </c>
      <c r="H10" s="40" t="s">
        <v>90</v>
      </c>
      <c r="I10" s="40"/>
      <c r="J10" s="41"/>
    </row>
    <row r="11" spans="1:10" ht="13.5" x14ac:dyDescent="0.25">
      <c r="A11" s="36">
        <v>200</v>
      </c>
      <c r="B11" s="24" t="str">
        <f>IFERROR(VLOOKUP(H11,'[1]Consolidado MP Planta'!$A$2:$M$823,3,0),"")</f>
        <v>CULANTRO DESINFECTADO (PAQ:250g)</v>
      </c>
      <c r="C11" s="37">
        <f t="shared" si="2"/>
        <v>200</v>
      </c>
      <c r="D11" s="38" t="str">
        <f>IFERROR(VLOOKUP(H11,'[1]Consolidado MP Planta'!$A$2:$M$823,13,0),"")</f>
        <v>Gramos</v>
      </c>
      <c r="E11" s="38">
        <f>IFERROR(VLOOKUP(H11,'[1]Consolidado MP Planta'!$A$2:$M$823,12,0),"")</f>
        <v>2.7480000000000002</v>
      </c>
      <c r="F11" s="38">
        <f t="shared" si="3"/>
        <v>549.6</v>
      </c>
      <c r="G11" s="39">
        <f t="shared" si="4"/>
        <v>9.3583056940871965E-3</v>
      </c>
      <c r="H11" s="40" t="s">
        <v>91</v>
      </c>
      <c r="I11" s="40"/>
      <c r="J11" s="41"/>
    </row>
    <row r="12" spans="1:10" ht="13.5" x14ac:dyDescent="0.25">
      <c r="A12" s="36">
        <v>104</v>
      </c>
      <c r="B12" s="24" t="str">
        <f>IFERROR(VLOOKUP(H12,'[1]Consolidado MP Planta'!$A$2:$M$823,3,0),"")</f>
        <v>AJO PELADO (PAQ:1 KILO)</v>
      </c>
      <c r="C12" s="37">
        <f t="shared" si="2"/>
        <v>104</v>
      </c>
      <c r="D12" s="38" t="str">
        <f>IFERROR(VLOOKUP(H12,'[1]Consolidado MP Planta'!$A$2:$M$823,13,0),"")</f>
        <v>Gramos</v>
      </c>
      <c r="E12" s="38">
        <f>IFERROR(VLOOKUP(H12,'[1]Consolidado MP Planta'!$A$2:$M$823,12,0),"")</f>
        <v>3.8069999999999999</v>
      </c>
      <c r="F12" s="38">
        <f t="shared" si="3"/>
        <v>395.928</v>
      </c>
      <c r="G12" s="39">
        <f t="shared" si="4"/>
        <v>6.7416580364784481E-3</v>
      </c>
      <c r="H12" s="40" t="s">
        <v>92</v>
      </c>
      <c r="I12" s="40"/>
      <c r="J12" s="41"/>
    </row>
    <row r="13" spans="1:10" ht="13.5" x14ac:dyDescent="0.25">
      <c r="A13" s="36">
        <v>65</v>
      </c>
      <c r="B13" s="24" t="str">
        <f>IFERROR(VLOOKUP(H13,'[1]Consolidado MP Planta'!$A$2:$M$823,3,0),"")</f>
        <v>CONSOME POLLO ALSERRO (PAQ: 1 K)</v>
      </c>
      <c r="C13" s="37">
        <f t="shared" si="2"/>
        <v>65</v>
      </c>
      <c r="D13" s="38" t="str">
        <f>IFERROR(VLOOKUP(H13,'[1]Consolidado MP Planta'!$A$2:$M$823,13,0),"")</f>
        <v>Gramos</v>
      </c>
      <c r="E13" s="38">
        <f>IFERROR(VLOOKUP(H13,'[1]Consolidado MP Planta'!$A$2:$M$823,12,0),"")</f>
        <v>1.845</v>
      </c>
      <c r="F13" s="38">
        <f t="shared" si="3"/>
        <v>119.925</v>
      </c>
      <c r="G13" s="39">
        <f t="shared" si="4"/>
        <v>2.0420211251153692E-3</v>
      </c>
      <c r="H13" s="40" t="s">
        <v>93</v>
      </c>
      <c r="I13" s="40"/>
      <c r="J13" s="41"/>
    </row>
    <row r="14" spans="1:10" ht="13.5" x14ac:dyDescent="0.25">
      <c r="A14" s="36">
        <v>80</v>
      </c>
      <c r="B14" s="24" t="str">
        <f>IFERROR(VLOOKUP(H14,'[1]Consolidado MP Planta'!$A$2:$M$823,3,0),"")</f>
        <v>PAPRIKA (UND:454g)</v>
      </c>
      <c r="C14" s="37">
        <f t="shared" si="2"/>
        <v>80</v>
      </c>
      <c r="D14" s="38" t="str">
        <f>IFERROR(VLOOKUP(H14,'[1]Consolidado MP Planta'!$A$2:$M$823,13,0),"")</f>
        <v>Gramos</v>
      </c>
      <c r="E14" s="38">
        <f>IFERROR(VLOOKUP(H14,'[1]Consolidado MP Planta'!$A$2:$M$823,12,0),"")</f>
        <v>5.4669603524229071</v>
      </c>
      <c r="F14" s="38">
        <f t="shared" si="3"/>
        <v>437.3568281938326</v>
      </c>
      <c r="G14" s="39">
        <f t="shared" si="4"/>
        <v>7.4470867824495248E-3</v>
      </c>
      <c r="H14" s="40" t="s">
        <v>94</v>
      </c>
      <c r="I14" s="40"/>
      <c r="J14" s="41"/>
    </row>
    <row r="15" spans="1:10" ht="13.5" x14ac:dyDescent="0.25">
      <c r="A15" s="36">
        <v>16</v>
      </c>
      <c r="B15" s="24" t="str">
        <f>IFERROR(VLOOKUP(H15,'[1]Consolidado MP Planta'!$A$2:$M$823,3,0),"")</f>
        <v>PRESERVANTE 1017S (PAQ=5 KILO)</v>
      </c>
      <c r="C15" s="37">
        <f t="shared" si="2"/>
        <v>16</v>
      </c>
      <c r="D15" s="38" t="str">
        <f>IFERROR(VLOOKUP(H15,'[1]Consolidado MP Planta'!$A$2:$M$823,13,0),"")</f>
        <v>Gramos</v>
      </c>
      <c r="E15" s="38">
        <f>IFERROR(VLOOKUP(H15,'[1]Consolidado MP Planta'!$A$2:$M$823,12,0),"")</f>
        <v>6.7515800000000006</v>
      </c>
      <c r="F15" s="38">
        <f t="shared" si="3"/>
        <v>108.02528000000001</v>
      </c>
      <c r="G15" s="39">
        <f t="shared" si="4"/>
        <v>1.8393988226516806E-3</v>
      </c>
      <c r="H15" s="40" t="s">
        <v>95</v>
      </c>
      <c r="I15" s="40"/>
      <c r="J15" s="41"/>
    </row>
    <row r="16" spans="1:10" ht="13.5" hidden="1" x14ac:dyDescent="0.25">
      <c r="A16" s="36"/>
      <c r="B16" s="24" t="str">
        <f>IFERROR(VLOOKUP(H16,'[1]Consolidado MP Planta'!$A$2:$M$823,3,0),"")</f>
        <v/>
      </c>
      <c r="C16" s="37">
        <f t="shared" si="0"/>
        <v>0</v>
      </c>
      <c r="D16" s="38" t="str">
        <f>IFERROR(VLOOKUP(H16,'[1]Consolidado MP Planta'!$A$2:$M$823,13,0),"")</f>
        <v/>
      </c>
      <c r="E16" s="38" t="str">
        <f>IFERROR(VLOOKUP(H16,'[1]Consolidado MP Planta'!$A$2:$M$823,12,0),"")</f>
        <v/>
      </c>
      <c r="F16" s="38" t="str">
        <f t="shared" si="1"/>
        <v/>
      </c>
      <c r="G16" s="39" t="str">
        <f>IFERROR(F16/$F$71,"")</f>
        <v/>
      </c>
      <c r="H16" s="40"/>
      <c r="I16" s="40"/>
      <c r="J16" s="41"/>
    </row>
    <row r="17" spans="1:12" ht="13.5" hidden="1" x14ac:dyDescent="0.25">
      <c r="A17" s="36"/>
      <c r="B17" s="24" t="str">
        <f>IFERROR(VLOOKUP(H17,'[1]Consolidado MP Planta'!$A$2:$M$823,3,0),"")</f>
        <v/>
      </c>
      <c r="C17" s="37">
        <f t="shared" si="0"/>
        <v>0</v>
      </c>
      <c r="D17" s="38" t="str">
        <f>IFERROR(VLOOKUP(H17,'[1]Consolidado MP Planta'!$A$2:$M$823,13,0),"")</f>
        <v/>
      </c>
      <c r="E17" s="38" t="str">
        <f>IFERROR(VLOOKUP(H17,'[1]Consolidado MP Planta'!$A$2:$M$823,12,0),"")</f>
        <v/>
      </c>
      <c r="F17" s="38" t="str">
        <f t="shared" si="1"/>
        <v/>
      </c>
      <c r="G17" s="39" t="str">
        <f>IFERROR(F17/$F$71,"")</f>
        <v/>
      </c>
      <c r="H17" s="40"/>
      <c r="I17" s="40"/>
      <c r="J17" s="41"/>
    </row>
    <row r="18" spans="1:12" ht="13.5" hidden="1" x14ac:dyDescent="0.25">
      <c r="A18" s="36"/>
      <c r="B18" s="24" t="str">
        <f>IFERROR(VLOOKUP(H18,'[1]Consolidado MP Planta'!$A$2:$M$823,3,0),"")</f>
        <v/>
      </c>
      <c r="C18" s="37">
        <f t="shared" si="0"/>
        <v>0</v>
      </c>
      <c r="D18" s="38" t="str">
        <f>IFERROR(VLOOKUP(H18,'[1]Consolidado MP Planta'!$A$2:$M$823,13,0),"")</f>
        <v/>
      </c>
      <c r="E18" s="38" t="str">
        <f>IFERROR(VLOOKUP(H18,'[1]Consolidado MP Planta'!$A$2:$M$823,12,0),"")</f>
        <v/>
      </c>
      <c r="F18" s="38" t="str">
        <f t="shared" si="1"/>
        <v/>
      </c>
      <c r="G18" s="39" t="str">
        <f>IFERROR(F18/$F$71,"")</f>
        <v/>
      </c>
      <c r="H18" s="40"/>
      <c r="I18" s="40"/>
      <c r="J18" s="41"/>
    </row>
    <row r="19" spans="1:12" ht="13.5" hidden="1" x14ac:dyDescent="0.25">
      <c r="A19" s="36"/>
      <c r="B19" s="24" t="str">
        <f>IFERROR(VLOOKUP(H19,'[1]Consolidado MP Planta'!$A$2:$M$823,3,0),"")</f>
        <v/>
      </c>
      <c r="C19" s="37">
        <f t="shared" si="0"/>
        <v>0</v>
      </c>
      <c r="D19" s="38" t="str">
        <f>IFERROR(VLOOKUP(H19,'[1]Consolidado MP Planta'!$A$2:$M$823,13,0),"")</f>
        <v/>
      </c>
      <c r="E19" s="38" t="str">
        <f>IFERROR(VLOOKUP(H19,'[1]Consolidado MP Planta'!$A$2:$M$823,12,0),"")</f>
        <v/>
      </c>
      <c r="F19" s="38" t="str">
        <f t="shared" si="1"/>
        <v/>
      </c>
      <c r="G19" s="39" t="str">
        <f>IFERROR(F19/$F$71,"")</f>
        <v/>
      </c>
      <c r="H19" s="40"/>
      <c r="I19" s="40"/>
      <c r="J19" s="41"/>
    </row>
    <row r="20" spans="1:12" ht="14.25" thickBot="1" x14ac:dyDescent="0.3">
      <c r="A20" s="36"/>
      <c r="B20" s="24" t="str">
        <f>IFERROR(VLOOKUP(H20,'[2]Consolidado MP Planta'!$A$2:$G$589,2,0),"")</f>
        <v/>
      </c>
      <c r="C20" s="37"/>
      <c r="D20" s="38"/>
      <c r="E20" s="38"/>
      <c r="F20" s="38"/>
      <c r="G20" s="39"/>
      <c r="H20" s="40"/>
      <c r="I20" s="40"/>
      <c r="J20" s="41"/>
    </row>
    <row r="21" spans="1:12" ht="26.25" thickBot="1" x14ac:dyDescent="0.3">
      <c r="A21" s="31" t="s">
        <v>81</v>
      </c>
      <c r="B21" s="32" t="s">
        <v>96</v>
      </c>
      <c r="C21" s="32" t="s">
        <v>81</v>
      </c>
      <c r="D21" s="33" t="s">
        <v>83</v>
      </c>
      <c r="E21" s="33" t="s">
        <v>84</v>
      </c>
      <c r="F21" s="33" t="s">
        <v>85</v>
      </c>
      <c r="G21" s="33" t="s">
        <v>86</v>
      </c>
      <c r="H21" s="34" t="s">
        <v>87</v>
      </c>
      <c r="I21" s="35"/>
      <c r="J21" s="41"/>
    </row>
    <row r="22" spans="1:12" ht="13.5" x14ac:dyDescent="0.25">
      <c r="A22" s="36">
        <v>160</v>
      </c>
      <c r="B22" s="24" t="str">
        <f>IFERROR(VLOOKUP(H22,[1]SEMIELABORADOS!$A$2:$M$6000,2,0),"")</f>
        <v>EMPAQUE SAL KILO</v>
      </c>
      <c r="C22" s="37">
        <f>+A22</f>
        <v>160</v>
      </c>
      <c r="D22" s="37" t="str">
        <f>IFERROR(VLOOKUP(H22,[1]SEMIELABORADOS!$A$2:$M$6000,6,0),"")</f>
        <v>Gramo</v>
      </c>
      <c r="E22" s="38">
        <f>IFERROR(VLOOKUP(H22,[1]SEMIELABORADOS!$A$2:$H$65536,8,0),"")</f>
        <v>0.188</v>
      </c>
      <c r="F22" s="38">
        <f>IFERROR(E22*C22,"")</f>
        <v>30.08</v>
      </c>
      <c r="G22" s="39">
        <f t="shared" ref="G22:G29" si="5">IFERROR(F22/$F$71,"")</f>
        <v>5.1218674541146799E-4</v>
      </c>
      <c r="H22" s="40" t="s">
        <v>97</v>
      </c>
      <c r="I22" s="40"/>
      <c r="J22" s="41"/>
    </row>
    <row r="23" spans="1:12" ht="13.5" hidden="1" x14ac:dyDescent="0.25">
      <c r="A23" s="36"/>
      <c r="B23" s="24" t="str">
        <f>IFERROR(VLOOKUP(H23,[1]SEMIELABORADOS!$A$2:$M$6000,2,0),"")</f>
        <v/>
      </c>
      <c r="C23" s="37">
        <f t="shared" ref="C23:C29" si="6">+A23</f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ref="F23:F29" si="7">IFERROR(E23*C23,"")</f>
        <v/>
      </c>
      <c r="G23" s="39" t="str">
        <f t="shared" si="5"/>
        <v/>
      </c>
      <c r="H23" s="40"/>
      <c r="I23" s="40"/>
      <c r="J23" s="41"/>
    </row>
    <row r="24" spans="1:12" ht="13.5" hidden="1" x14ac:dyDescent="0.25">
      <c r="A24" s="36"/>
      <c r="B24" s="24" t="str">
        <f>IFERROR(VLOOKUP(H24,[1]SEMIELABORADOS!$A$2:$M$6000,2,0),"")</f>
        <v/>
      </c>
      <c r="C24" s="37">
        <f>+A24</f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>IFERROR(E24*C24,"")</f>
        <v/>
      </c>
      <c r="G24" s="39" t="str">
        <f t="shared" si="5"/>
        <v/>
      </c>
      <c r="H24" s="40"/>
      <c r="I24" s="40"/>
      <c r="J24" s="41"/>
    </row>
    <row r="25" spans="1:12" ht="13.5" hidden="1" x14ac:dyDescent="0.25">
      <c r="A25" s="36"/>
      <c r="B25" s="24" t="str">
        <f>IFERROR(VLOOKUP(H25,[1]SEMIELABORADOS!$A$2:$M$6000,2,0),"")</f>
        <v/>
      </c>
      <c r="C25" s="37">
        <f>+A25</f>
        <v>0</v>
      </c>
      <c r="D25" s="37" t="str">
        <f>IFERROR(VLOOKUP(H25,[1]SEMIELABORADOS!$A$2:$M$6000,6,0),"")</f>
        <v/>
      </c>
      <c r="E25" s="38" t="str">
        <f>IFERROR(VLOOKUP(H25,[1]SEMIELABORADOS!$A$2:$H$65536,8,0),"")</f>
        <v/>
      </c>
      <c r="F25" s="38" t="str">
        <f>IFERROR(E25*C25,"")</f>
        <v/>
      </c>
      <c r="G25" s="39" t="str">
        <f t="shared" si="5"/>
        <v/>
      </c>
      <c r="H25" s="40"/>
      <c r="I25" s="40"/>
      <c r="J25" s="41"/>
    </row>
    <row r="26" spans="1:12" ht="13.5" hidden="1" x14ac:dyDescent="0.25">
      <c r="A26" s="36"/>
      <c r="B26" s="24" t="str">
        <f>IFERROR(VLOOKUP(H26,[1]SEMIELABORADOS!$A$2:$M$6000,2,0),"")</f>
        <v/>
      </c>
      <c r="C26" s="37">
        <f>+A26</f>
        <v>0</v>
      </c>
      <c r="D26" s="37" t="str">
        <f>IFERROR(VLOOKUP(H26,[1]SEMIELABORADOS!$A$2:$M$6000,6,0),"")</f>
        <v/>
      </c>
      <c r="E26" s="38" t="str">
        <f>IFERROR(VLOOKUP(H26,[1]SEMIELABORADOS!$A$2:$H$65536,8,0),"")</f>
        <v/>
      </c>
      <c r="F26" s="38" t="str">
        <f>IFERROR(E26*C26,"")</f>
        <v/>
      </c>
      <c r="G26" s="39" t="str">
        <f t="shared" si="5"/>
        <v/>
      </c>
      <c r="H26" s="40"/>
      <c r="I26" s="40"/>
      <c r="J26" s="41"/>
    </row>
    <row r="27" spans="1:12" ht="13.5" hidden="1" x14ac:dyDescent="0.25">
      <c r="A27" s="36"/>
      <c r="B27" s="24" t="str">
        <f>IFERROR(VLOOKUP(H27,[1]SEMIELABORADOS!$A$2:$M$6000,2,0),"")</f>
        <v/>
      </c>
      <c r="C27" s="37">
        <f t="shared" si="6"/>
        <v>0</v>
      </c>
      <c r="D27" s="37" t="str">
        <f>IFERROR(VLOOKUP(H27,[1]SEMIELABORADOS!$A$2:$M$6000,6,0),"")</f>
        <v/>
      </c>
      <c r="E27" s="38" t="str">
        <f>IFERROR(VLOOKUP(H27,[1]SEMIELABORADOS!$A$2:$H$65536,8,0),"")</f>
        <v/>
      </c>
      <c r="F27" s="38" t="str">
        <f t="shared" si="7"/>
        <v/>
      </c>
      <c r="G27" s="39" t="str">
        <f t="shared" si="5"/>
        <v/>
      </c>
      <c r="H27" s="40"/>
      <c r="I27" s="40"/>
      <c r="J27" s="41"/>
    </row>
    <row r="28" spans="1:12" ht="13.5" hidden="1" x14ac:dyDescent="0.25">
      <c r="A28" s="36"/>
      <c r="B28" s="24" t="str">
        <f>IFERROR(VLOOKUP(H28,[1]SEMIELABORADOS!$A$2:$M$6000,2,0),"")</f>
        <v/>
      </c>
      <c r="C28" s="37">
        <f t="shared" si="6"/>
        <v>0</v>
      </c>
      <c r="D28" s="37" t="str">
        <f>IFERROR(VLOOKUP(H28,[1]SEMIELABORADOS!$A$2:$M$6000,6,0),"")</f>
        <v/>
      </c>
      <c r="E28" s="38" t="str">
        <f>IFERROR(VLOOKUP(H28,[1]SEMIELABORADOS!$A$2:$H$65536,8,0),"")</f>
        <v/>
      </c>
      <c r="F28" s="38" t="str">
        <f t="shared" si="7"/>
        <v/>
      </c>
      <c r="G28" s="39" t="str">
        <f t="shared" si="5"/>
        <v/>
      </c>
      <c r="H28" s="40"/>
      <c r="I28" s="40"/>
      <c r="J28" s="41"/>
    </row>
    <row r="29" spans="1:12" ht="13.5" hidden="1" x14ac:dyDescent="0.25">
      <c r="A29" s="36"/>
      <c r="B29" s="24" t="str">
        <f>IFERROR(VLOOKUP(H29,[1]SEMIELABORADOS!$A$2:$M$6000,2,0),"")</f>
        <v/>
      </c>
      <c r="C29" s="37">
        <f t="shared" si="6"/>
        <v>0</v>
      </c>
      <c r="D29" s="37" t="str">
        <f>IFERROR(VLOOKUP(H29,[1]SEMIELABORADOS!$A$2:$M$6000,6,0),"")</f>
        <v/>
      </c>
      <c r="E29" s="38" t="str">
        <f>IFERROR(VLOOKUP(H29,[1]SEMIELABORADOS!$A$2:$H$65536,8,0),"")</f>
        <v/>
      </c>
      <c r="F29" s="38" t="str">
        <f t="shared" si="7"/>
        <v/>
      </c>
      <c r="G29" s="39" t="str">
        <f t="shared" si="5"/>
        <v/>
      </c>
      <c r="H29" s="40"/>
      <c r="I29" s="40"/>
      <c r="J29" s="41"/>
    </row>
    <row r="30" spans="1:12" ht="14.25" thickBot="1" x14ac:dyDescent="0.3">
      <c r="A30" s="36"/>
      <c r="C30" s="37"/>
      <c r="D30" s="37"/>
      <c r="E30" s="38"/>
      <c r="F30" s="38"/>
      <c r="G30" s="39"/>
      <c r="H30" s="40"/>
      <c r="I30" s="40"/>
      <c r="J30" s="41"/>
    </row>
    <row r="31" spans="1:12" ht="26.25" thickBot="1" x14ac:dyDescent="0.3">
      <c r="A31" s="31" t="s">
        <v>81</v>
      </c>
      <c r="B31" s="32" t="s">
        <v>48</v>
      </c>
      <c r="C31" s="32" t="s">
        <v>81</v>
      </c>
      <c r="D31" s="33" t="s">
        <v>83</v>
      </c>
      <c r="E31" s="33" t="s">
        <v>84</v>
      </c>
      <c r="F31" s="33" t="s">
        <v>85</v>
      </c>
      <c r="G31" s="33" t="s">
        <v>86</v>
      </c>
      <c r="H31" s="34" t="s">
        <v>87</v>
      </c>
      <c r="I31" s="35"/>
    </row>
    <row r="32" spans="1:12" ht="13.5" x14ac:dyDescent="0.25">
      <c r="A32" s="36">
        <v>1</v>
      </c>
      <c r="B32" s="42" t="str">
        <f>IFERROR(VLOOKUP(H32,'[1]Consolidado MP Planta'!$A$2:$M$823,3,0),"")</f>
        <v>ETIQUETA BLANCA 2 5/8X1 15/16 (UND)</v>
      </c>
      <c r="C32" s="37">
        <f t="shared" ref="C32:C37" si="8">+A32</f>
        <v>1</v>
      </c>
      <c r="D32" s="38" t="str">
        <f>IFERROR(VLOOKUP(H32,'[1]Consolidado MP Planta'!$A$2:$M$823,13,0),"")</f>
        <v>Und</v>
      </c>
      <c r="E32" s="38">
        <f>IFERROR(VLOOKUP(H32,'[1]Consolidado MP Planta'!$A$2:$M$823,12,0),"")</f>
        <v>2.1280000000000001</v>
      </c>
      <c r="F32" s="38">
        <f t="shared" ref="F32:F37" si="9">IFERROR(C32*E32,"")</f>
        <v>2.1280000000000001</v>
      </c>
      <c r="G32" s="39">
        <f t="shared" ref="G32:G37" si="10">IFERROR(F32/$F$71,"")</f>
        <v>3.6234487840279389E-5</v>
      </c>
      <c r="H32" s="43" t="s">
        <v>98</v>
      </c>
      <c r="I32" s="43"/>
      <c r="J32" s="41"/>
      <c r="K32" s="158"/>
      <c r="L32" s="158"/>
    </row>
    <row r="33" spans="1:12" ht="13.5" x14ac:dyDescent="0.25">
      <c r="A33" s="36">
        <v>360</v>
      </c>
      <c r="B33" s="42" t="str">
        <f>IFERROR(VLOOKUP(H33,'[1]Consolidado MP Planta'!$A$2:$M$823,3,0),"")</f>
        <v>PLASTICO  AUTOAD (UND: 18 * 2000 M)</v>
      </c>
      <c r="C33" s="37">
        <f t="shared" si="8"/>
        <v>360</v>
      </c>
      <c r="D33" s="38" t="str">
        <f>IFERROR(VLOOKUP(H33,'[1]Consolidado MP Planta'!$A$2:$M$823,13,0),"")</f>
        <v>Centimetros</v>
      </c>
      <c r="E33" s="38">
        <f>IFERROR(VLOOKUP(H33,'[1]Consolidado MP Planta'!$A$2:$M$823,12,0),"")</f>
        <v>0.54859999999999998</v>
      </c>
      <c r="F33" s="38">
        <f t="shared" si="9"/>
        <v>197.49599999999998</v>
      </c>
      <c r="G33" s="39">
        <f t="shared" si="10"/>
        <v>3.3628601553119444E-3</v>
      </c>
      <c r="H33" s="43" t="s">
        <v>99</v>
      </c>
      <c r="I33" s="43"/>
      <c r="J33" s="41"/>
      <c r="K33" s="158"/>
      <c r="L33" s="158"/>
    </row>
    <row r="34" spans="1:12" ht="13.5" x14ac:dyDescent="0.25">
      <c r="A34" s="36">
        <v>1</v>
      </c>
      <c r="B34" s="42" t="str">
        <f>IFERROR(VLOOKUP(H34,'[1]Consolidado MP Planta'!$A$2:$M$823,3,0),"")</f>
        <v>GUANTE LATEX CORRIENTE (CAJA:100 UND)</v>
      </c>
      <c r="C34" s="37">
        <f t="shared" si="8"/>
        <v>1</v>
      </c>
      <c r="D34" s="38" t="str">
        <f>IFERROR(VLOOKUP(H34,'[1]Consolidado MP Planta'!$A$2:$M$823,13,0),"")</f>
        <v>Und</v>
      </c>
      <c r="E34" s="38">
        <f>IFERROR(VLOOKUP(H34,'[1]Consolidado MP Planta'!$A$2:$M$823,12,0),"")</f>
        <v>42.95</v>
      </c>
      <c r="F34" s="38">
        <f t="shared" si="9"/>
        <v>42.95</v>
      </c>
      <c r="G34" s="39">
        <f t="shared" si="10"/>
        <v>7.3133047591165403E-4</v>
      </c>
      <c r="H34" s="43" t="s">
        <v>100</v>
      </c>
      <c r="I34" s="43"/>
      <c r="J34" s="41"/>
      <c r="K34" s="158"/>
      <c r="L34" s="158"/>
    </row>
    <row r="35" spans="1:12" ht="13.5" hidden="1" x14ac:dyDescent="0.25">
      <c r="A35" s="36"/>
      <c r="B35" s="42" t="str">
        <f>IFERROR(VLOOKUP(H35,'[1]Consolidado MP Planta'!$A$2:$M$823,3,0),"")</f>
        <v/>
      </c>
      <c r="C35" s="37">
        <f t="shared" si="8"/>
        <v>0</v>
      </c>
      <c r="D35" s="38" t="str">
        <f>IFERROR(VLOOKUP(H35,'[1]Consolidado MP Planta'!$A$2:$M$823,13,0),"")</f>
        <v/>
      </c>
      <c r="E35" s="38" t="str">
        <f>IFERROR(VLOOKUP(H35,'[1]Consolidado MP Planta'!$A$2:$M$823,12,0),"")</f>
        <v/>
      </c>
      <c r="F35" s="38" t="str">
        <f t="shared" si="9"/>
        <v/>
      </c>
      <c r="G35" s="39" t="str">
        <f t="shared" si="10"/>
        <v/>
      </c>
      <c r="H35" s="43"/>
      <c r="I35" s="43"/>
      <c r="J35" s="41"/>
      <c r="K35" s="158"/>
      <c r="L35" s="158"/>
    </row>
    <row r="36" spans="1:12" ht="13.5" hidden="1" x14ac:dyDescent="0.25">
      <c r="A36" s="36"/>
      <c r="B36" s="42" t="str">
        <f>IFERROR(VLOOKUP(H36,'[1]Consolidado MP Planta'!$A$2:$M$823,3,0),"")</f>
        <v/>
      </c>
      <c r="C36" s="37">
        <f t="shared" si="8"/>
        <v>0</v>
      </c>
      <c r="D36" s="38" t="str">
        <f>IFERROR(VLOOKUP(H36,'[1]Consolidado MP Planta'!$A$2:$M$823,13,0),"")</f>
        <v/>
      </c>
      <c r="E36" s="38" t="str">
        <f>IFERROR(VLOOKUP(H36,'[1]Consolidado MP Planta'!$A$2:$M$823,12,0),"")</f>
        <v/>
      </c>
      <c r="F36" s="38" t="str">
        <f t="shared" si="9"/>
        <v/>
      </c>
      <c r="G36" s="39" t="str">
        <f t="shared" si="10"/>
        <v/>
      </c>
      <c r="H36" s="43"/>
      <c r="I36" s="43"/>
      <c r="J36" s="41"/>
      <c r="K36" s="44"/>
      <c r="L36" s="45"/>
    </row>
    <row r="37" spans="1:12" ht="13.5" hidden="1" x14ac:dyDescent="0.25">
      <c r="A37" s="36"/>
      <c r="B37" s="42" t="str">
        <f>IFERROR(VLOOKUP(H37,'[1]Consolidado MP Planta'!$A$2:$M$823,3,0),"")</f>
        <v/>
      </c>
      <c r="C37" s="37">
        <f t="shared" si="8"/>
        <v>0</v>
      </c>
      <c r="D37" s="38" t="str">
        <f>IFERROR(VLOOKUP(H37,'[1]Consolidado MP Planta'!$A$2:$M$823,13,0),"")</f>
        <v/>
      </c>
      <c r="E37" s="38" t="str">
        <f>IFERROR(VLOOKUP(H37,'[1]Consolidado MP Planta'!$A$2:$M$823,12,0),"")</f>
        <v/>
      </c>
      <c r="F37" s="38" t="str">
        <f t="shared" si="9"/>
        <v/>
      </c>
      <c r="G37" s="39" t="str">
        <f t="shared" si="10"/>
        <v/>
      </c>
      <c r="H37" s="43"/>
      <c r="I37" s="43"/>
      <c r="J37" s="41"/>
    </row>
    <row r="38" spans="1:12" ht="14.25" thickBot="1" x14ac:dyDescent="0.3">
      <c r="A38" s="36"/>
      <c r="B38" s="42"/>
      <c r="C38" s="37"/>
      <c r="D38" s="38"/>
      <c r="E38" s="38"/>
      <c r="F38" s="38"/>
      <c r="G38" s="39"/>
      <c r="H38" s="43"/>
      <c r="I38" s="43"/>
      <c r="J38" s="41"/>
    </row>
    <row r="39" spans="1:12" ht="26.25" thickBot="1" x14ac:dyDescent="0.25">
      <c r="A39" s="31" t="s">
        <v>81</v>
      </c>
      <c r="B39" s="32" t="s">
        <v>101</v>
      </c>
      <c r="C39" s="32" t="s">
        <v>81</v>
      </c>
      <c r="D39" s="33" t="s">
        <v>83</v>
      </c>
      <c r="E39" s="33" t="s">
        <v>84</v>
      </c>
      <c r="F39" s="33" t="s">
        <v>85</v>
      </c>
      <c r="G39" s="33" t="s">
        <v>86</v>
      </c>
      <c r="H39" s="34" t="s">
        <v>87</v>
      </c>
      <c r="I39" s="43"/>
      <c r="J39" s="41"/>
    </row>
    <row r="40" spans="1:12" ht="13.5" x14ac:dyDescent="0.25">
      <c r="A40" s="36">
        <f>+A22</f>
        <v>160</v>
      </c>
      <c r="B40" s="42" t="str">
        <f>IFERROR(VLOOKUP(H40,[1]SEMIELABORADOS!$A$2:$M$6000,2,0),"")</f>
        <v>EMPAQUE SAL KILO</v>
      </c>
      <c r="C40" s="37">
        <f>+A40</f>
        <v>160</v>
      </c>
      <c r="D40" s="38" t="str">
        <f>IFERROR(VLOOKUP(H40,[1]SEMIELABORADOS!$A$2:$M$6000,6,0),"")</f>
        <v>Gramo</v>
      </c>
      <c r="E40" s="38">
        <f>IFERROR(VLOOKUP(H40,[1]SEMIELABORADOS!$A$2:$M$65536,10,0),"")</f>
        <v>2.8256000000000006E-3</v>
      </c>
      <c r="F40" s="38">
        <f>IFERROR(E40*C40,"")</f>
        <v>0.45209600000000011</v>
      </c>
      <c r="G40" s="39">
        <f t="shared" ref="G40:G46" si="11">IFERROR(F40/$F$71,"")</f>
        <v>7.6980578076310878E-6</v>
      </c>
      <c r="H40" s="43" t="s">
        <v>97</v>
      </c>
      <c r="I40" s="43"/>
      <c r="J40" s="41"/>
    </row>
    <row r="41" spans="1:12" ht="13.5" hidden="1" x14ac:dyDescent="0.25">
      <c r="A41" s="36">
        <f t="shared" ref="A41:A46" si="12">+A23</f>
        <v>0</v>
      </c>
      <c r="B41" s="42" t="str">
        <f>IFERROR(VLOOKUP(H41,[1]SEMIELABORADOS!$A$2:$M$6000,2,0),"")</f>
        <v/>
      </c>
      <c r="C41" s="37">
        <f t="shared" ref="C41:C46" si="13">+A41</f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ref="F41:F46" si="14">IFERROR(E41*C41,"")</f>
        <v/>
      </c>
      <c r="G41" s="39" t="str">
        <f t="shared" si="11"/>
        <v/>
      </c>
      <c r="H41" s="43"/>
      <c r="I41" s="43"/>
      <c r="J41" s="41"/>
    </row>
    <row r="42" spans="1:12" ht="13.5" hidden="1" x14ac:dyDescent="0.25">
      <c r="A42" s="36">
        <f t="shared" si="12"/>
        <v>0</v>
      </c>
      <c r="B42" s="42" t="str">
        <f>IFERROR(VLOOKUP(H42,[1]SEMIELABORADOS!$A$2:$M$6000,2,0),"")</f>
        <v/>
      </c>
      <c r="C42" s="37">
        <f t="shared" si="13"/>
        <v>0</v>
      </c>
      <c r="D42" s="38" t="str">
        <f>IFERROR(VLOOKUP(H42,[1]SEMIELABORADOS!$A$2:$M$6000,6,0),"")</f>
        <v/>
      </c>
      <c r="E42" s="38" t="str">
        <f>IFERROR(VLOOKUP(H42,[1]SEMIELABORADOS!$A$2:$M$65536,10,0),"")</f>
        <v/>
      </c>
      <c r="F42" s="38" t="str">
        <f t="shared" si="14"/>
        <v/>
      </c>
      <c r="G42" s="39" t="str">
        <f t="shared" si="11"/>
        <v/>
      </c>
      <c r="H42" s="43"/>
      <c r="I42" s="43"/>
      <c r="J42" s="41"/>
    </row>
    <row r="43" spans="1:12" ht="13.5" hidden="1" x14ac:dyDescent="0.25">
      <c r="A43" s="36">
        <f t="shared" si="12"/>
        <v>0</v>
      </c>
      <c r="B43" s="42" t="str">
        <f>IFERROR(VLOOKUP(H43,[1]SEMIELABORADOS!$A$2:$M$6000,2,0),"")</f>
        <v/>
      </c>
      <c r="C43" s="37">
        <f>+A43</f>
        <v>0</v>
      </c>
      <c r="D43" s="38" t="str">
        <f>IFERROR(VLOOKUP(H43,[1]SEMIELABORADOS!$A$2:$M$6000,6,0),"")</f>
        <v/>
      </c>
      <c r="E43" s="38" t="str">
        <f>IFERROR(VLOOKUP(H43,[1]SEMIELABORADOS!$A$2:$M$65536,10,0),"")</f>
        <v/>
      </c>
      <c r="F43" s="38" t="str">
        <f>IFERROR(E43*C43,"")</f>
        <v/>
      </c>
      <c r="G43" s="39" t="str">
        <f t="shared" si="11"/>
        <v/>
      </c>
      <c r="H43" s="43"/>
      <c r="I43" s="43"/>
      <c r="J43" s="41"/>
    </row>
    <row r="44" spans="1:12" ht="13.5" hidden="1" x14ac:dyDescent="0.25">
      <c r="A44" s="36">
        <f t="shared" si="12"/>
        <v>0</v>
      </c>
      <c r="B44" s="42" t="str">
        <f>IFERROR(VLOOKUP(H44,[1]SEMIELABORADOS!$A$2:$M$6000,2,0),"")</f>
        <v/>
      </c>
      <c r="C44" s="37">
        <f>+A44</f>
        <v>0</v>
      </c>
      <c r="D44" s="38" t="str">
        <f>IFERROR(VLOOKUP(H44,[1]SEMIELABORADOS!$A$2:$M$6000,6,0),"")</f>
        <v/>
      </c>
      <c r="E44" s="38" t="str">
        <f>IFERROR(VLOOKUP(H44,[1]SEMIELABORADOS!$A$2:$M$65536,10,0),"")</f>
        <v/>
      </c>
      <c r="F44" s="38" t="str">
        <f>IFERROR(E44*C44,"")</f>
        <v/>
      </c>
      <c r="G44" s="39" t="str">
        <f t="shared" si="11"/>
        <v/>
      </c>
      <c r="H44" s="43"/>
      <c r="I44" s="43"/>
      <c r="J44" s="41"/>
    </row>
    <row r="45" spans="1:12" ht="13.5" hidden="1" x14ac:dyDescent="0.25">
      <c r="A45" s="36">
        <f t="shared" si="12"/>
        <v>0</v>
      </c>
      <c r="B45" s="42" t="str">
        <f>IFERROR(VLOOKUP(H45,[1]SEMIELABORADOS!$A$2:$M$6000,2,0),"")</f>
        <v/>
      </c>
      <c r="C45" s="37">
        <f t="shared" si="13"/>
        <v>0</v>
      </c>
      <c r="D45" s="38" t="str">
        <f>IFERROR(VLOOKUP(H45,[1]SEMIELABORADOS!$A$2:$M$6000,6,0),"")</f>
        <v/>
      </c>
      <c r="E45" s="38" t="str">
        <f>IFERROR(VLOOKUP(H45,[1]SEMIELABORADOS!$A$2:$M$65536,10,0),"")</f>
        <v/>
      </c>
      <c r="F45" s="38" t="str">
        <f t="shared" si="14"/>
        <v/>
      </c>
      <c r="G45" s="39" t="str">
        <f t="shared" si="11"/>
        <v/>
      </c>
      <c r="H45" s="43"/>
      <c r="I45" s="43"/>
      <c r="J45" s="41"/>
    </row>
    <row r="46" spans="1:12" ht="13.5" hidden="1" x14ac:dyDescent="0.25">
      <c r="A46" s="36">
        <f t="shared" si="12"/>
        <v>0</v>
      </c>
      <c r="B46" s="42" t="str">
        <f>IFERROR(VLOOKUP(H46,[1]SEMIELABORADOS!$A$2:$M$6000,2,0),"")</f>
        <v/>
      </c>
      <c r="C46" s="37">
        <f t="shared" si="13"/>
        <v>0</v>
      </c>
      <c r="D46" s="38" t="str">
        <f>IFERROR(VLOOKUP(H46,[1]SEMIELABORADOS!$A$2:$M$6000,6,0),"")</f>
        <v/>
      </c>
      <c r="E46" s="38" t="str">
        <f>IFERROR(VLOOKUP(H46,[1]SEMIELABORADOS!$A$2:$M$65536,10,0),"")</f>
        <v/>
      </c>
      <c r="F46" s="38" t="str">
        <f t="shared" si="14"/>
        <v/>
      </c>
      <c r="G46" s="39" t="str">
        <f t="shared" si="11"/>
        <v/>
      </c>
      <c r="H46" s="43"/>
      <c r="I46" s="43"/>
      <c r="J46" s="41"/>
    </row>
    <row r="47" spans="1:12" ht="14.25" thickBot="1" x14ac:dyDescent="0.3">
      <c r="A47" s="36"/>
      <c r="B47" s="42"/>
      <c r="C47" s="37"/>
      <c r="D47" s="38"/>
      <c r="E47" s="38"/>
      <c r="F47" s="38"/>
      <c r="G47" s="39"/>
      <c r="H47" s="43"/>
      <c r="I47" s="43"/>
      <c r="J47" s="41"/>
    </row>
    <row r="48" spans="1:12" ht="26.25" thickBot="1" x14ac:dyDescent="0.3">
      <c r="A48" s="31" t="s">
        <v>81</v>
      </c>
      <c r="B48" s="32" t="s">
        <v>102</v>
      </c>
      <c r="C48" s="32" t="s">
        <v>81</v>
      </c>
      <c r="D48" s="33" t="s">
        <v>83</v>
      </c>
      <c r="E48" s="33" t="s">
        <v>84</v>
      </c>
      <c r="F48" s="33" t="s">
        <v>85</v>
      </c>
      <c r="G48" s="33" t="s">
        <v>86</v>
      </c>
      <c r="H48" s="34" t="s">
        <v>87</v>
      </c>
      <c r="I48" s="35"/>
      <c r="J48" s="41"/>
    </row>
    <row r="49" spans="1:17" ht="13.5" x14ac:dyDescent="0.25">
      <c r="A49" s="36">
        <f>+A40</f>
        <v>160</v>
      </c>
      <c r="B49" s="42" t="str">
        <f>IFERROR(VLOOKUP(H49,[1]SEMIELABORADOS!$A$2:$M$6000,2,0),"")</f>
        <v>EMPAQUE SAL KILO</v>
      </c>
      <c r="C49" s="37">
        <f>+A49</f>
        <v>160</v>
      </c>
      <c r="D49" s="38" t="str">
        <f>IFERROR(VLOOKUP(H49,[1]SEMIELABORADOS!$A$2:$M$6000,6,0),"")</f>
        <v>Gramo</v>
      </c>
      <c r="E49" s="38">
        <f>IFERROR(VLOOKUP(H49,[1]SEMIELABORADOS!$A$2:$M$65536,12,0),"")</f>
        <v>3.4348607999999996E-2</v>
      </c>
      <c r="F49" s="38">
        <f>IFERROR(E49*C49,"")</f>
        <v>5.4957772799999995</v>
      </c>
      <c r="G49" s="39">
        <f>IFERROR(F49/$F$71,"")</f>
        <v>9.3579264579437833E-5</v>
      </c>
      <c r="H49" s="43" t="s">
        <v>97</v>
      </c>
      <c r="I49" s="35"/>
      <c r="J49" s="41"/>
    </row>
    <row r="50" spans="1:17" ht="13.5" hidden="1" x14ac:dyDescent="0.25">
      <c r="A50" s="36">
        <f t="shared" ref="A50:A55" si="15">+A41</f>
        <v>0</v>
      </c>
      <c r="B50" s="42" t="str">
        <f>IFERROR(VLOOKUP(H50,[1]SEMIELABORADOS!$A$2:$M$6000,2,0),"")</f>
        <v/>
      </c>
      <c r="C50" s="37">
        <f t="shared" ref="C50:C55" si="16">+A50</f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ref="F50:F55" si="17">IFERROR(E50*C50,"")</f>
        <v/>
      </c>
      <c r="G50" s="39" t="str">
        <f t="shared" ref="G50:G55" si="18">IFERROR(F50/$F$71,"")</f>
        <v/>
      </c>
      <c r="H50" s="43"/>
      <c r="I50" s="35"/>
      <c r="J50" s="41"/>
      <c r="M50" s="46"/>
    </row>
    <row r="51" spans="1:17" ht="13.5" hidden="1" x14ac:dyDescent="0.25">
      <c r="A51" s="36">
        <f t="shared" si="15"/>
        <v>0</v>
      </c>
      <c r="B51" s="42" t="str">
        <f>IFERROR(VLOOKUP(H51,[1]SEMIELABORADOS!$A$2:$M$6000,2,0),"")</f>
        <v/>
      </c>
      <c r="C51" s="37">
        <f t="shared" si="16"/>
        <v>0</v>
      </c>
      <c r="D51" s="38" t="str">
        <f>IFERROR(VLOOKUP(H51,[1]SEMIELABORADOS!$A$2:$M$6000,6,0),"")</f>
        <v/>
      </c>
      <c r="E51" s="38" t="str">
        <f>IFERROR(VLOOKUP(H51,[1]SEMIELABORADOS!$A$2:$M$65536,12,0),"")</f>
        <v/>
      </c>
      <c r="F51" s="38" t="str">
        <f t="shared" si="17"/>
        <v/>
      </c>
      <c r="G51" s="39" t="str">
        <f t="shared" si="18"/>
        <v/>
      </c>
      <c r="H51" s="43"/>
      <c r="I51" s="35"/>
      <c r="J51" s="41"/>
    </row>
    <row r="52" spans="1:17" ht="13.5" hidden="1" x14ac:dyDescent="0.25">
      <c r="A52" s="36">
        <f t="shared" si="15"/>
        <v>0</v>
      </c>
      <c r="B52" s="42" t="str">
        <f>IFERROR(VLOOKUP(H52,[1]SEMIELABORADOS!$A$2:$M$6000,2,0),"")</f>
        <v/>
      </c>
      <c r="C52" s="37">
        <f t="shared" si="16"/>
        <v>0</v>
      </c>
      <c r="D52" s="38" t="str">
        <f>IFERROR(VLOOKUP(H52,[1]SEMIELABORADOS!$A$2:$M$6000,6,0),"")</f>
        <v/>
      </c>
      <c r="E52" s="38" t="str">
        <f>IFERROR(VLOOKUP(H52,[1]SEMIELABORADOS!$A$2:$M$65536,12,0),"")</f>
        <v/>
      </c>
      <c r="F52" s="38" t="str">
        <f t="shared" si="17"/>
        <v/>
      </c>
      <c r="G52" s="39" t="str">
        <f t="shared" si="18"/>
        <v/>
      </c>
      <c r="H52" s="43"/>
      <c r="I52" s="35"/>
      <c r="J52" s="41"/>
    </row>
    <row r="53" spans="1:17" ht="13.5" hidden="1" x14ac:dyDescent="0.25">
      <c r="A53" s="36">
        <f t="shared" si="15"/>
        <v>0</v>
      </c>
      <c r="B53" s="42" t="str">
        <f>IFERROR(VLOOKUP(H53,[1]SEMIELABORADOS!$A$2:$M$6000,2,0),"")</f>
        <v/>
      </c>
      <c r="C53" s="37">
        <f t="shared" si="16"/>
        <v>0</v>
      </c>
      <c r="D53" s="38" t="str">
        <f>IFERROR(VLOOKUP(H53,[1]SEMIELABORADOS!$A$2:$M$6000,6,0),"")</f>
        <v/>
      </c>
      <c r="E53" s="38" t="str">
        <f>IFERROR(VLOOKUP(H53,[1]SEMIELABORADOS!$A$2:$M$65536,12,0),"")</f>
        <v/>
      </c>
      <c r="F53" s="38" t="str">
        <f t="shared" si="17"/>
        <v/>
      </c>
      <c r="G53" s="39" t="str">
        <f t="shared" si="18"/>
        <v/>
      </c>
      <c r="H53" s="43"/>
      <c r="I53" s="35"/>
      <c r="J53" s="41"/>
    </row>
    <row r="54" spans="1:17" ht="13.5" hidden="1" x14ac:dyDescent="0.25">
      <c r="A54" s="36">
        <f t="shared" si="15"/>
        <v>0</v>
      </c>
      <c r="B54" s="42" t="str">
        <f>IFERROR(VLOOKUP(H54,[1]SEMIELABORADOS!$A$2:$M$6000,2,0),"")</f>
        <v/>
      </c>
      <c r="C54" s="37">
        <f t="shared" si="16"/>
        <v>0</v>
      </c>
      <c r="D54" s="38" t="str">
        <f>IFERROR(VLOOKUP(H54,[1]SEMIELABORADOS!$A$2:$M$6000,6,0),"")</f>
        <v/>
      </c>
      <c r="E54" s="38" t="str">
        <f>IFERROR(VLOOKUP(H54,[1]SEMIELABORADOS!$A$2:$M$65536,12,0),"")</f>
        <v/>
      </c>
      <c r="F54" s="38" t="str">
        <f t="shared" si="17"/>
        <v/>
      </c>
      <c r="G54" s="39" t="str">
        <f t="shared" si="18"/>
        <v/>
      </c>
      <c r="H54" s="43"/>
      <c r="I54" s="35"/>
      <c r="J54" s="41"/>
    </row>
    <row r="55" spans="1:17" ht="13.5" hidden="1" x14ac:dyDescent="0.25">
      <c r="A55" s="36">
        <f t="shared" si="15"/>
        <v>0</v>
      </c>
      <c r="B55" s="42" t="str">
        <f>IFERROR(VLOOKUP(H55,[1]SEMIELABORADOS!$A$2:$M$6000,2,0),"")</f>
        <v/>
      </c>
      <c r="C55" s="37">
        <f t="shared" si="16"/>
        <v>0</v>
      </c>
      <c r="D55" s="38" t="str">
        <f>IFERROR(VLOOKUP(H55,[1]SEMIELABORADOS!$A$2:$M$6000,6,0),"")</f>
        <v/>
      </c>
      <c r="E55" s="38" t="str">
        <f>IFERROR(VLOOKUP(H55,[1]SEMIELABORADOS!$A$2:$M$65536,12,0),"")</f>
        <v/>
      </c>
      <c r="F55" s="38" t="str">
        <f t="shared" si="17"/>
        <v/>
      </c>
      <c r="G55" s="39" t="str">
        <f t="shared" si="18"/>
        <v/>
      </c>
      <c r="H55" s="42"/>
      <c r="I55" s="35"/>
      <c r="J55" s="41"/>
    </row>
    <row r="56" spans="1:17" ht="13.5" x14ac:dyDescent="0.25">
      <c r="A56" s="36">
        <v>1</v>
      </c>
      <c r="B56" s="42" t="s">
        <v>103</v>
      </c>
      <c r="C56" s="37">
        <f>+A56</f>
        <v>1</v>
      </c>
      <c r="D56" s="37" t="s">
        <v>104</v>
      </c>
      <c r="E56" s="38">
        <f>+F70</f>
        <v>2200</v>
      </c>
      <c r="F56" s="38">
        <f>IFERROR(C56*E56,"")</f>
        <v>2200</v>
      </c>
      <c r="G56" s="39">
        <f>IFERROR(F56/$F$71,"")</f>
        <v>3.7460466752168541E-2</v>
      </c>
      <c r="H56" s="47"/>
      <c r="I56" s="47"/>
      <c r="J56" s="41"/>
    </row>
    <row r="57" spans="1:17" ht="14.25" thickBot="1" x14ac:dyDescent="0.3">
      <c r="A57" s="36"/>
      <c r="B57" s="42"/>
      <c r="C57" s="37"/>
      <c r="D57" s="37"/>
      <c r="E57" s="38"/>
      <c r="F57" s="38"/>
      <c r="G57" s="39"/>
      <c r="H57" s="47"/>
      <c r="I57" s="47"/>
      <c r="J57" s="41"/>
    </row>
    <row r="58" spans="1:17" ht="13.5" thickBot="1" x14ac:dyDescent="0.3">
      <c r="A58" s="48"/>
      <c r="B58" s="159" t="s">
        <v>105</v>
      </c>
      <c r="C58" s="159"/>
      <c r="D58" s="159"/>
      <c r="E58" s="159"/>
      <c r="F58" s="49">
        <f>SUM(F8:F19,F22:F29)</f>
        <v>55181.91510819384</v>
      </c>
      <c r="G58" s="39">
        <f>+F58/$F$71</f>
        <v>0.93960922555976467</v>
      </c>
      <c r="H58" s="50">
        <f>+F58/$D$65</f>
        <v>55181.91510819384</v>
      </c>
      <c r="I58" s="50"/>
      <c r="J58" s="51"/>
      <c r="K58" s="52"/>
      <c r="L58" s="52"/>
      <c r="M58" s="52"/>
      <c r="N58" s="52"/>
      <c r="O58" s="52"/>
      <c r="P58" s="52"/>
      <c r="Q58" s="53"/>
    </row>
    <row r="59" spans="1:17" x14ac:dyDescent="0.2">
      <c r="A59" s="48"/>
      <c r="B59" s="159" t="s">
        <v>106</v>
      </c>
      <c r="C59" s="159"/>
      <c r="D59" s="159"/>
      <c r="E59" s="159"/>
      <c r="F59" s="49">
        <f>SUM(F32:F37,F40:F46)</f>
        <v>243.02609599999997</v>
      </c>
      <c r="G59" s="39">
        <f>+F59/$F$71</f>
        <v>4.1381231768715084E-3</v>
      </c>
      <c r="H59" s="50">
        <f>+F59/$D$65</f>
        <v>243.02609599999997</v>
      </c>
      <c r="I59" s="50"/>
      <c r="J59" s="54"/>
      <c r="K59" s="160" t="s">
        <v>107</v>
      </c>
      <c r="L59" s="161"/>
      <c r="M59" s="161"/>
      <c r="N59" s="161"/>
      <c r="O59" s="55">
        <f>+F60</f>
        <v>55424.941204193841</v>
      </c>
      <c r="P59" s="55"/>
      <c r="Q59" s="56"/>
    </row>
    <row r="60" spans="1:17" x14ac:dyDescent="0.2">
      <c r="A60" s="48"/>
      <c r="B60" s="159" t="s">
        <v>108</v>
      </c>
      <c r="C60" s="159"/>
      <c r="D60" s="159"/>
      <c r="E60" s="159"/>
      <c r="F60" s="49">
        <f>+F58+F59</f>
        <v>55424.941204193841</v>
      </c>
      <c r="G60" s="39">
        <f>+F60/$F$71</f>
        <v>0.94374734873663624</v>
      </c>
      <c r="H60" s="50">
        <f>+F60/$D$65</f>
        <v>55424.941204193841</v>
      </c>
      <c r="I60" s="50"/>
      <c r="J60" s="57"/>
      <c r="K60" s="58"/>
      <c r="L60" s="59" t="s">
        <v>109</v>
      </c>
      <c r="M60" s="59"/>
      <c r="N60" s="60">
        <v>0.18</v>
      </c>
      <c r="O60" s="55">
        <f>+O59*N60</f>
        <v>9976.4894167548919</v>
      </c>
      <c r="P60" s="55"/>
      <c r="Q60" s="56"/>
    </row>
    <row r="61" spans="1:17" ht="13.5" thickBot="1" x14ac:dyDescent="0.25">
      <c r="A61" s="48"/>
      <c r="B61" s="61"/>
      <c r="C61" s="159" t="s">
        <v>110</v>
      </c>
      <c r="D61" s="159"/>
      <c r="E61" s="159"/>
      <c r="F61" s="49">
        <f>SUM(F49:F56)</f>
        <v>2205.4957772799999</v>
      </c>
      <c r="G61" s="39">
        <f>+F61/$F$71</f>
        <v>3.7554046016747979E-2</v>
      </c>
      <c r="H61" s="50">
        <f>+F61/$D$65</f>
        <v>2205.4957772799999</v>
      </c>
      <c r="I61" s="50"/>
      <c r="J61" s="57"/>
      <c r="K61" s="58"/>
      <c r="L61" s="58"/>
      <c r="M61" s="58" t="s">
        <v>111</v>
      </c>
      <c r="N61" s="62"/>
      <c r="O61" s="55">
        <f>O59*N61</f>
        <v>0</v>
      </c>
      <c r="P61" s="55"/>
      <c r="Q61" s="56"/>
    </row>
    <row r="62" spans="1:17" ht="13.5" thickBot="1" x14ac:dyDescent="0.25">
      <c r="A62" s="48"/>
      <c r="B62" s="63"/>
      <c r="C62" s="63"/>
      <c r="D62" s="63"/>
      <c r="E62" s="63"/>
      <c r="F62" s="64"/>
      <c r="G62" s="39"/>
      <c r="H62" s="65"/>
      <c r="I62" s="50"/>
      <c r="J62" s="57"/>
      <c r="K62" s="66"/>
      <c r="M62" s="67" t="s">
        <v>112</v>
      </c>
      <c r="N62" s="68"/>
      <c r="O62" s="69">
        <f>SUM(O59:O61)</f>
        <v>65401.430620948733</v>
      </c>
      <c r="P62" s="70"/>
      <c r="Q62" s="56"/>
    </row>
    <row r="63" spans="1:17" x14ac:dyDescent="0.2">
      <c r="B63" s="162" t="s">
        <v>113</v>
      </c>
      <c r="C63" s="162"/>
      <c r="D63" s="71">
        <v>9280</v>
      </c>
      <c r="E63" s="72"/>
      <c r="G63" s="39"/>
      <c r="H63" s="65"/>
      <c r="I63" s="73"/>
      <c r="J63" s="57"/>
      <c r="K63" s="66"/>
      <c r="L63" s="58"/>
      <c r="M63" s="58" t="s">
        <v>114</v>
      </c>
      <c r="N63" s="74">
        <v>0.15</v>
      </c>
      <c r="O63" s="55">
        <f>+O59*N63</f>
        <v>8313.7411806290766</v>
      </c>
      <c r="P63" s="55"/>
      <c r="Q63" s="56"/>
    </row>
    <row r="64" spans="1:17" x14ac:dyDescent="0.2">
      <c r="B64" s="162" t="s">
        <v>115</v>
      </c>
      <c r="C64" s="162"/>
      <c r="D64" s="75">
        <v>9280</v>
      </c>
      <c r="E64" s="72"/>
      <c r="G64" s="39"/>
      <c r="H64" s="65"/>
      <c r="I64" s="73"/>
      <c r="J64" s="57"/>
      <c r="K64" s="66"/>
      <c r="L64" s="58"/>
      <c r="M64" s="163" t="s">
        <v>112</v>
      </c>
      <c r="N64" s="163"/>
      <c r="O64" s="55">
        <f>SUM(O62:O63)</f>
        <v>73715.171801577817</v>
      </c>
      <c r="P64" s="55"/>
      <c r="Q64" s="56"/>
    </row>
    <row r="65" spans="2:17" ht="13.5" thickBot="1" x14ac:dyDescent="0.25">
      <c r="B65" s="154" t="s">
        <v>116</v>
      </c>
      <c r="C65" s="154"/>
      <c r="D65" s="71">
        <f>+D63/D64</f>
        <v>1</v>
      </c>
      <c r="E65" s="72"/>
      <c r="F65" s="76"/>
      <c r="G65" s="39"/>
      <c r="H65" s="65"/>
      <c r="I65" s="73"/>
      <c r="J65" s="57"/>
      <c r="K65" s="66"/>
      <c r="L65" s="163"/>
      <c r="M65" s="163"/>
      <c r="N65" s="74"/>
      <c r="O65" s="55">
        <f>+O64*N65</f>
        <v>0</v>
      </c>
      <c r="P65" s="55"/>
      <c r="Q65" s="56"/>
    </row>
    <row r="66" spans="2:17" ht="13.5" thickBot="1" x14ac:dyDescent="0.25">
      <c r="B66" s="154" t="s">
        <v>117</v>
      </c>
      <c r="C66" s="154"/>
      <c r="D66" s="77"/>
      <c r="E66" s="72"/>
      <c r="F66" s="76"/>
      <c r="G66" s="39"/>
      <c r="H66" s="65"/>
      <c r="I66" s="73"/>
      <c r="J66" s="57"/>
      <c r="K66" s="155" t="s">
        <v>118</v>
      </c>
      <c r="L66" s="156"/>
      <c r="M66" s="156"/>
      <c r="N66" s="157"/>
      <c r="O66" s="69">
        <f>SUM(O64:O65)</f>
        <v>73715.171801577817</v>
      </c>
      <c r="P66" s="78" t="s">
        <v>119</v>
      </c>
      <c r="Q66" s="56"/>
    </row>
    <row r="67" spans="2:17" ht="13.5" thickBot="1" x14ac:dyDescent="0.25">
      <c r="C67" s="48" t="s">
        <v>120</v>
      </c>
      <c r="D67" s="79"/>
      <c r="E67" s="22" t="s">
        <v>121</v>
      </c>
      <c r="F67" s="80" t="s">
        <v>122</v>
      </c>
      <c r="G67" s="39"/>
      <c r="H67" s="65"/>
      <c r="I67" s="73"/>
      <c r="J67" s="81"/>
      <c r="K67" s="82"/>
      <c r="L67" s="143" t="s">
        <v>123</v>
      </c>
      <c r="M67" s="143"/>
      <c r="N67" s="143"/>
      <c r="O67" s="83">
        <f>+O66/D65</f>
        <v>73715.171801577817</v>
      </c>
      <c r="P67" s="84">
        <f>+O67/D64</f>
        <v>7.943445237238989</v>
      </c>
      <c r="Q67" s="85"/>
    </row>
    <row r="68" spans="2:17" ht="13.5" thickBot="1" x14ac:dyDescent="0.25">
      <c r="B68" s="144" t="s">
        <v>108</v>
      </c>
      <c r="C68" s="144"/>
      <c r="D68" s="144"/>
      <c r="E68" s="86">
        <f>+F68/F68</f>
        <v>1</v>
      </c>
      <c r="F68" s="87">
        <f>SUM(F60)</f>
        <v>55424.941204193841</v>
      </c>
      <c r="G68" s="39">
        <f>+F68/$F$71</f>
        <v>0.94374734873663624</v>
      </c>
      <c r="H68" s="65"/>
      <c r="I68" s="73"/>
      <c r="K68" s="145"/>
      <c r="L68" s="146"/>
      <c r="M68" s="146"/>
      <c r="N68" s="146"/>
      <c r="O68" s="88"/>
      <c r="P68" s="89"/>
    </row>
    <row r="69" spans="2:17" ht="13.5" thickBot="1" x14ac:dyDescent="0.3">
      <c r="B69" s="147" t="s">
        <v>124</v>
      </c>
      <c r="C69" s="147"/>
      <c r="D69" s="147"/>
      <c r="E69" s="90">
        <v>0.02</v>
      </c>
      <c r="F69" s="87">
        <f>+F58*E69</f>
        <v>1103.6383021638769</v>
      </c>
      <c r="G69" s="39">
        <f>+F69/$F$71</f>
        <v>1.8792184511195294E-2</v>
      </c>
      <c r="H69" s="50"/>
      <c r="I69" s="73"/>
      <c r="J69" s="91"/>
      <c r="O69" s="92"/>
      <c r="P69" s="61"/>
    </row>
    <row r="70" spans="2:17" ht="13.5" thickBot="1" x14ac:dyDescent="0.3">
      <c r="B70" s="148" t="s">
        <v>125</v>
      </c>
      <c r="C70" s="149"/>
      <c r="D70" s="93">
        <v>40</v>
      </c>
      <c r="E70" s="94">
        <v>55</v>
      </c>
      <c r="F70" s="87">
        <f>+E70*D70</f>
        <v>2200</v>
      </c>
      <c r="G70" s="39">
        <f>+F70/$F$71</f>
        <v>3.7460466752168541E-2</v>
      </c>
      <c r="H70" s="50"/>
      <c r="I70" s="50"/>
      <c r="J70" s="41"/>
    </row>
    <row r="71" spans="2:17" ht="13.5" thickBot="1" x14ac:dyDescent="0.3">
      <c r="B71" s="150" t="s">
        <v>126</v>
      </c>
      <c r="C71" s="151"/>
      <c r="D71" s="151"/>
      <c r="E71" s="152"/>
      <c r="F71" s="64">
        <f>SUM(F68:F70)</f>
        <v>58728.579506357717</v>
      </c>
      <c r="G71" s="39">
        <f>+F71/$F$71</f>
        <v>1</v>
      </c>
      <c r="H71" s="153"/>
      <c r="I71" s="50"/>
      <c r="J71" s="41"/>
    </row>
    <row r="72" spans="2:17" x14ac:dyDescent="0.25">
      <c r="C72" s="46"/>
      <c r="D72" s="46"/>
      <c r="E72" s="95"/>
      <c r="F72" s="87"/>
      <c r="G72" s="39"/>
      <c r="H72" s="153"/>
      <c r="I72" s="96"/>
      <c r="J72" s="24"/>
    </row>
    <row r="73" spans="2:17" ht="13.5" thickBot="1" x14ac:dyDescent="0.3">
      <c r="B73" s="138" t="s">
        <v>127</v>
      </c>
      <c r="C73" s="138"/>
      <c r="D73" s="138"/>
      <c r="E73" s="138"/>
      <c r="F73" s="138"/>
      <c r="G73" s="39"/>
      <c r="H73" s="97"/>
      <c r="I73" s="96"/>
      <c r="J73" s="24"/>
    </row>
    <row r="74" spans="2:17" ht="13.5" thickBot="1" x14ac:dyDescent="0.3">
      <c r="B74" s="98" t="s">
        <v>128</v>
      </c>
      <c r="C74" s="99">
        <f>+F58</f>
        <v>55181.91510819384</v>
      </c>
      <c r="D74" s="99">
        <f>+D63</f>
        <v>9280</v>
      </c>
      <c r="E74" s="100">
        <f>+C74/D74</f>
        <v>5.9463270590726118</v>
      </c>
      <c r="F74" s="39"/>
      <c r="G74" s="97"/>
      <c r="H74" s="41"/>
      <c r="I74" s="97"/>
      <c r="J74" s="24"/>
    </row>
    <row r="75" spans="2:17" x14ac:dyDescent="0.25">
      <c r="B75" s="101"/>
      <c r="C75" s="102"/>
      <c r="D75" s="103"/>
      <c r="E75" s="87"/>
      <c r="F75" s="39"/>
      <c r="G75" s="97"/>
      <c r="H75" s="41"/>
      <c r="I75" s="41"/>
      <c r="J75" s="24"/>
    </row>
    <row r="76" spans="2:17" x14ac:dyDescent="0.25">
      <c r="B76" s="98" t="s">
        <v>129</v>
      </c>
      <c r="C76" s="99">
        <f>SUM(F68:F69)</f>
        <v>56528.579506357717</v>
      </c>
      <c r="D76" s="99">
        <f>+D63</f>
        <v>9280</v>
      </c>
      <c r="E76" s="104">
        <f>+C76/D76</f>
        <v>6.0914417571506156</v>
      </c>
      <c r="F76" s="39"/>
      <c r="G76" s="97"/>
      <c r="H76" s="41"/>
      <c r="I76" s="41"/>
      <c r="J76" s="24"/>
    </row>
    <row r="77" spans="2:17" x14ac:dyDescent="0.25">
      <c r="B77" s="98"/>
      <c r="C77" s="99"/>
      <c r="D77" s="99"/>
      <c r="E77" s="104"/>
      <c r="F77" s="39"/>
      <c r="G77" s="97"/>
      <c r="H77" s="41"/>
      <c r="I77" s="41"/>
      <c r="J77" s="24"/>
    </row>
    <row r="78" spans="2:17" ht="13.5" thickBot="1" x14ac:dyDescent="0.3">
      <c r="B78" s="98" t="s">
        <v>130</v>
      </c>
      <c r="C78" s="99">
        <f>+F70</f>
        <v>2200</v>
      </c>
      <c r="D78" s="99">
        <f>+D63</f>
        <v>9280</v>
      </c>
      <c r="E78" s="104">
        <f>+C78/D78</f>
        <v>0.23706896551724138</v>
      </c>
      <c r="F78" s="39"/>
      <c r="G78" s="97"/>
      <c r="H78" s="41"/>
      <c r="I78" s="41"/>
      <c r="J78" s="24"/>
    </row>
    <row r="79" spans="2:17" ht="13.5" thickBot="1" x14ac:dyDescent="0.3">
      <c r="B79" s="98" t="s">
        <v>131</v>
      </c>
      <c r="C79" s="99">
        <f>+F61</f>
        <v>2205.4957772799999</v>
      </c>
      <c r="D79" s="99">
        <f>+D78</f>
        <v>9280</v>
      </c>
      <c r="E79" s="100">
        <f>+C79/D79</f>
        <v>0.23766118289655172</v>
      </c>
      <c r="F79" s="39"/>
      <c r="G79" s="97"/>
      <c r="H79" s="41"/>
      <c r="I79" s="41"/>
      <c r="J79" s="24"/>
    </row>
    <row r="80" spans="2:17" ht="13.5" thickBot="1" x14ac:dyDescent="0.3">
      <c r="B80" s="63"/>
      <c r="C80" s="64"/>
      <c r="D80" s="64"/>
      <c r="E80" s="104"/>
      <c r="F80" s="39"/>
      <c r="G80" s="97"/>
      <c r="H80" s="41"/>
      <c r="I80" s="41"/>
      <c r="J80" s="24"/>
    </row>
    <row r="81" spans="1:10" ht="13.5" thickBot="1" x14ac:dyDescent="0.3">
      <c r="B81" s="98" t="s">
        <v>132</v>
      </c>
      <c r="C81" s="99">
        <f>+F59</f>
        <v>243.02609599999997</v>
      </c>
      <c r="D81" s="99">
        <f>+D79</f>
        <v>9280</v>
      </c>
      <c r="E81" s="100">
        <f>+C81/D81</f>
        <v>2.6188156896551719E-2</v>
      </c>
      <c r="F81" s="39"/>
      <c r="G81" s="97"/>
      <c r="H81" s="41"/>
      <c r="I81" s="41"/>
      <c r="J81" s="41"/>
    </row>
    <row r="82" spans="1:10" ht="13.5" thickBot="1" x14ac:dyDescent="0.3">
      <c r="B82" s="63"/>
      <c r="C82" s="64"/>
      <c r="D82" s="64"/>
      <c r="E82" s="104"/>
      <c r="F82" s="39"/>
      <c r="G82" s="97"/>
      <c r="H82" s="41"/>
      <c r="I82" s="41"/>
    </row>
    <row r="83" spans="1:10" ht="13.5" thickBot="1" x14ac:dyDescent="0.3">
      <c r="B83" s="139" t="s">
        <v>133</v>
      </c>
      <c r="C83" s="140"/>
      <c r="D83" s="141"/>
      <c r="E83" s="100">
        <f>+E74+E79</f>
        <v>6.1839882419691632</v>
      </c>
      <c r="G83" s="39"/>
      <c r="H83" s="97"/>
      <c r="I83" s="41"/>
      <c r="J83" s="104"/>
    </row>
    <row r="84" spans="1:10" x14ac:dyDescent="0.25">
      <c r="I84" s="97"/>
      <c r="J84" s="24"/>
    </row>
    <row r="85" spans="1:10" ht="13.5" thickBot="1" x14ac:dyDescent="0.3">
      <c r="B85" s="138" t="s">
        <v>134</v>
      </c>
      <c r="C85" s="138"/>
      <c r="D85" s="138"/>
      <c r="E85" s="138"/>
      <c r="F85" s="138"/>
      <c r="G85" s="39"/>
      <c r="H85" s="97"/>
      <c r="J85" s="24"/>
    </row>
    <row r="86" spans="1:10" ht="13.5" thickBot="1" x14ac:dyDescent="0.3">
      <c r="B86" s="98" t="s">
        <v>128</v>
      </c>
      <c r="C86" s="99">
        <f>+C74</f>
        <v>55181.91510819384</v>
      </c>
      <c r="D86" s="99">
        <f>+D65</f>
        <v>1</v>
      </c>
      <c r="E86" s="100">
        <f>+C86/D86</f>
        <v>55181.91510819384</v>
      </c>
      <c r="F86" s="39"/>
      <c r="G86" s="97"/>
      <c r="H86" s="41"/>
      <c r="I86" s="97"/>
      <c r="J86" s="24"/>
    </row>
    <row r="87" spans="1:10" x14ac:dyDescent="0.25">
      <c r="B87" s="101"/>
      <c r="C87" s="102"/>
      <c r="D87" s="103"/>
      <c r="E87" s="87"/>
      <c r="F87" s="39"/>
      <c r="G87" s="97"/>
      <c r="H87" s="41"/>
      <c r="I87" s="41"/>
      <c r="J87" s="24"/>
    </row>
    <row r="88" spans="1:10" x14ac:dyDescent="0.25">
      <c r="B88" s="98" t="s">
        <v>129</v>
      </c>
      <c r="C88" s="99">
        <f>+C76</f>
        <v>56528.579506357717</v>
      </c>
      <c r="D88" s="99">
        <f>+D65</f>
        <v>1</v>
      </c>
      <c r="E88" s="104">
        <f>+C88/D88</f>
        <v>56528.579506357717</v>
      </c>
      <c r="F88" s="39"/>
      <c r="G88" s="97"/>
      <c r="H88" s="41"/>
      <c r="I88" s="41"/>
      <c r="J88" s="24"/>
    </row>
    <row r="89" spans="1:10" x14ac:dyDescent="0.25">
      <c r="B89" s="98"/>
      <c r="C89" s="99"/>
      <c r="D89" s="99"/>
      <c r="E89" s="104"/>
      <c r="F89" s="39"/>
      <c r="G89" s="97"/>
      <c r="H89" s="41"/>
      <c r="I89" s="41"/>
      <c r="J89" s="24"/>
    </row>
    <row r="90" spans="1:10" ht="13.5" thickBot="1" x14ac:dyDescent="0.3">
      <c r="B90" s="98" t="s">
        <v>131</v>
      </c>
      <c r="C90" s="99">
        <f>+C78</f>
        <v>2200</v>
      </c>
      <c r="D90" s="99">
        <f>+D65</f>
        <v>1</v>
      </c>
      <c r="E90" s="104">
        <f>+C90/D90</f>
        <v>2200</v>
      </c>
      <c r="F90" s="107"/>
      <c r="G90" s="106"/>
      <c r="H90" s="23"/>
      <c r="I90" s="41"/>
    </row>
    <row r="91" spans="1:10" ht="13.5" thickBot="1" x14ac:dyDescent="0.3">
      <c r="B91" s="98" t="s">
        <v>131</v>
      </c>
      <c r="C91" s="99">
        <f>+C79</f>
        <v>2205.4957772799999</v>
      </c>
      <c r="D91" s="99">
        <f>+D90</f>
        <v>1</v>
      </c>
      <c r="E91" s="100">
        <f>+C91/D91</f>
        <v>2205.4957772799999</v>
      </c>
      <c r="F91" s="105"/>
      <c r="G91" s="106"/>
      <c r="H91" s="23"/>
      <c r="I91" s="23"/>
    </row>
    <row r="92" spans="1:10" x14ac:dyDescent="0.25">
      <c r="I92" s="23"/>
    </row>
    <row r="93" spans="1:10" x14ac:dyDescent="0.2">
      <c r="A93" s="142"/>
      <c r="B93" s="142"/>
      <c r="C93" s="108"/>
      <c r="D93" s="108"/>
      <c r="E93" s="109"/>
      <c r="G93" s="110"/>
    </row>
    <row r="94" spans="1:10" x14ac:dyDescent="0.2">
      <c r="A94" s="42"/>
      <c r="B94" s="111"/>
      <c r="C94" s="112"/>
      <c r="D94" s="112"/>
      <c r="E94" s="113"/>
      <c r="G94" s="110"/>
    </row>
    <row r="95" spans="1:10" x14ac:dyDescent="0.2">
      <c r="A95" s="42"/>
      <c r="B95" s="111"/>
      <c r="C95" s="114"/>
      <c r="D95" s="114"/>
      <c r="E95" s="42"/>
      <c r="G95" s="110"/>
    </row>
    <row r="96" spans="1:10" x14ac:dyDescent="0.2">
      <c r="A96" s="42"/>
      <c r="B96" s="111"/>
      <c r="C96" s="115"/>
      <c r="D96" s="115"/>
      <c r="E96" s="42"/>
      <c r="G96" s="110"/>
    </row>
  </sheetData>
  <mergeCells count="30">
    <mergeCell ref="K34:L34"/>
    <mergeCell ref="A4:H4"/>
    <mergeCell ref="A5:H5"/>
    <mergeCell ref="F6:G6"/>
    <mergeCell ref="K32:L32"/>
    <mergeCell ref="K33:L33"/>
    <mergeCell ref="B66:C66"/>
    <mergeCell ref="K66:N66"/>
    <mergeCell ref="K35:L35"/>
    <mergeCell ref="B58:E58"/>
    <mergeCell ref="B59:E59"/>
    <mergeCell ref="K59:N59"/>
    <mergeCell ref="B60:E60"/>
    <mergeCell ref="C61:E61"/>
    <mergeCell ref="B63:C63"/>
    <mergeCell ref="B64:C64"/>
    <mergeCell ref="M64:N64"/>
    <mergeCell ref="B65:C65"/>
    <mergeCell ref="L65:M65"/>
    <mergeCell ref="B73:F73"/>
    <mergeCell ref="B83:D83"/>
    <mergeCell ref="B85:F85"/>
    <mergeCell ref="A93:B93"/>
    <mergeCell ref="L67:N67"/>
    <mergeCell ref="B68:D68"/>
    <mergeCell ref="K68:N68"/>
    <mergeCell ref="B69:D69"/>
    <mergeCell ref="B70:C70"/>
    <mergeCell ref="B71:E71"/>
    <mergeCell ref="H71:H7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992674-30DF-4E8A-A81E-893F51CA9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Liseth Lopez</dc:creator>
  <cp:keywords/>
  <dc:description/>
  <cp:lastModifiedBy>Allan Brenes</cp:lastModifiedBy>
  <cp:revision/>
  <cp:lastPrinted>2025-10-15T15:37:09Z</cp:lastPrinted>
  <dcterms:created xsi:type="dcterms:W3CDTF">2019-04-03T17:28:37Z</dcterms:created>
  <dcterms:modified xsi:type="dcterms:W3CDTF">2025-10-15T15:38:04Z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104800</vt:r8>
  </property>
  <property fmtid="{D5CDD505-2E9C-101B-9397-08002B2CF9AE}" pid="4" name="MediaServiceImageTags">
    <vt:lpwstr/>
  </property>
</Properties>
</file>
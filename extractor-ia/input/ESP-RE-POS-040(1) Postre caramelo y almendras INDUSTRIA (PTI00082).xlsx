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0" documentId="8_{EA8661BC-37A1-47D9-94CE-DF18A94DA525}" xr6:coauthVersionLast="47" xr6:coauthVersionMax="47" xr10:uidLastSave="{E6AAE799-347C-43D6-8664-7F24A5F58EAA}"/>
  <bookViews>
    <workbookView xWindow="-108" yWindow="-108" windowWidth="23256" windowHeight="12456" xr2:uid="{C65495A1-A065-410C-BF9C-8DF07523DC1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</calcChain>
</file>

<file path=xl/sharedStrings.xml><?xml version="1.0" encoding="utf-8"?>
<sst xmlns="http://schemas.openxmlformats.org/spreadsheetml/2006/main" count="113" uniqueCount="88">
  <si>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</si>
  <si>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</si>
  <si>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</si>
  <si>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</si>
  <si>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</si>
  <si>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</si>
  <si>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</si>
  <si>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</si>
  <si>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</si>
  <si>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</si>
  <si>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</si>
  <si>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CEMUSA</t>
  </si>
  <si>
    <t>ETIQUETA BLANCA R-153 (UND)</t>
  </si>
  <si>
    <t>ETIQUETA BLANCA 2 5/8X1 15/16 (UND)</t>
  </si>
  <si>
    <t>QUEQUERA RED C/BASE ALTA 9" (CAJA:100 U)</t>
  </si>
  <si>
    <t>RAPIBOX</t>
  </si>
  <si>
    <t>ORLA CARTON 9" DORADA (UND )</t>
  </si>
  <si>
    <t>cm</t>
  </si>
  <si>
    <t>ETIPLAST</t>
  </si>
  <si>
    <t>CINTA ADHESIVA TRANSPARENT 2*100 M (UND)</t>
  </si>
  <si>
    <t>NESTLE</t>
  </si>
  <si>
    <t>FAS</t>
  </si>
  <si>
    <t>BRITTLE DE ALMENDRAS</t>
  </si>
  <si>
    <t>GANACHE DE DULCE LECHE (4800g)</t>
  </si>
  <si>
    <t>901000111</t>
  </si>
  <si>
    <t>CONEXU</t>
  </si>
  <si>
    <t>BASE GALLETA P/CHEESE CAKE (KILO)</t>
  </si>
  <si>
    <t>907000002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</si>
  <si>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</si>
  <si>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</si>
  <si>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</si>
  <si>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</si>
  <si>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</si>
  <si>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</si>
  <si>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</si>
  <si>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</si>
  <si>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</si>
  <si>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</si>
  <si>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</si>
  <si>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</si>
  <si>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</si>
  <si>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</si>
  <si>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</si>
  <si>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</si>
  <si>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</si>
  <si>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</si>
  <si>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</si>
  <si>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RELLENO DE CHEESE CAKE ACIDO 9000 g</t>
  </si>
  <si>
    <t>ETIQUETA IMPRES SPOON GRANDE V-272 (UND)</t>
  </si>
  <si>
    <t>MANJAR LECHE CONDENSADA (PAQ: 6 K)</t>
  </si>
  <si>
    <t>SE00041</t>
  </si>
  <si>
    <t>SE00297</t>
  </si>
  <si>
    <t>SE00298</t>
  </si>
  <si>
    <t>SE00299</t>
  </si>
  <si>
    <t>MP10007</t>
  </si>
  <si>
    <t>EM10006</t>
  </si>
  <si>
    <t>EM10248</t>
  </si>
  <si>
    <t>EM10020</t>
  </si>
  <si>
    <t>EM10021</t>
  </si>
  <si>
    <t>EM10011</t>
  </si>
  <si>
    <t>EM10124</t>
  </si>
  <si>
    <t>EM10002</t>
  </si>
  <si>
    <t>SE00340</t>
  </si>
  <si>
    <t>Empaque Relleno De Caramelo Marmita</t>
  </si>
  <si>
    <t>20100162</t>
  </si>
  <si>
    <t>MP10002</t>
  </si>
  <si>
    <t>01</t>
  </si>
  <si>
    <t>Postres</t>
  </si>
  <si>
    <t># Código Netsuite</t>
  </si>
  <si>
    <t>Ensamble</t>
  </si>
  <si>
    <t>ACEITE CAPULLO RBD</t>
  </si>
  <si>
    <t>CAPULLO</t>
  </si>
  <si>
    <t>Decoración</t>
  </si>
  <si>
    <t>Empaque</t>
  </si>
  <si>
    <t>EXP PMT</t>
  </si>
  <si>
    <t>ETIQ.BLANCA 1 1/4 * 3/4</t>
  </si>
  <si>
    <t>Tiempo de Horneo:</t>
  </si>
  <si>
    <t>Horno:</t>
  </si>
  <si>
    <t>Temperatura de Horneo:</t>
  </si>
  <si>
    <t>Otros</t>
  </si>
  <si>
    <t>CONTROL DE CAMBIOS</t>
  </si>
  <si>
    <t>ESP-RE-POS-040</t>
  </si>
  <si>
    <r>
      <t xml:space="preserve">1.- </t>
    </r>
    <r>
      <rPr>
        <sz val="16"/>
        <rFont val="Arial"/>
        <family val="2"/>
      </rPr>
      <t>Colocar dentro del molde desarmable redondo 21 cm ,previamente ensagrasado la base de galleta presionar y hornear a 175°C por 7 min en el Argental, a 175°C por 8 min en el Dicte 1 y Dicte 2, a 170°C en el Dicte 3 y a 175°C por 7 min en el Marshal</t>
    </r>
  </si>
  <si>
    <r>
      <t xml:space="preserve">2.- </t>
    </r>
    <r>
      <rPr>
        <sz val="16"/>
        <rFont val="Arial"/>
        <family val="2"/>
      </rPr>
      <t>Una vez fria la galleta, agregar 120g de caramelo (debe quedar en el centro sin llegar a los bordes para evitar que se salga una vez desmoldado)dosificar 600g de mezcla de cheesecake. Dejar enfriar al menos 6 horas en Refrigeracion</t>
    </r>
  </si>
  <si>
    <r>
      <t xml:space="preserve">3.- </t>
    </r>
    <r>
      <rPr>
        <sz val="16"/>
        <rFont val="Arial"/>
        <family val="2"/>
      </rPr>
      <t>Desmoldar, y luego alisar con espatula los bordes</t>
    </r>
  </si>
  <si>
    <r>
      <t xml:space="preserve">4.- </t>
    </r>
    <r>
      <rPr>
        <sz val="16"/>
        <rFont val="Arial"/>
        <family val="2"/>
      </rPr>
      <t>Pegar a la orla con manjar, decorar con ganache en el hacinedo espejo y dejar chorrear un poco. sobre este ganache colocar el brittle de almednras.</t>
    </r>
  </si>
  <si>
    <r>
      <t>5.- T</t>
    </r>
    <r>
      <rPr>
        <sz val="16"/>
        <rFont val="Arial"/>
        <family val="2"/>
      </rPr>
      <t>apar y etiquetar</t>
    </r>
  </si>
  <si>
    <t xml:space="preserve">(PTI00082) Postre caramelo y almendras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</si>
</sst>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14" fontId="4" fillId="2" borderId="0" xfId="3" applyNumberFormat="1" applyFont="1" applyFill="1" applyAlignment="1">
      <alignment horizontal="center" vertical="center" wrapText="1"/>
    </xf>
    <xf numFmtId="0" fontId="8" fillId="2" borderId="27" xfId="3" applyFont="1" applyFill="1" applyBorder="1" applyAlignment="1">
      <alignment horizontal="right"/>
    </xf>
    <xf numFmtId="0" fontId="6" fillId="2" borderId="26" xfId="3" applyFont="1" applyFill="1" applyBorder="1" applyAlignment="1">
      <alignment horizontal="center"/>
    </xf>
    <xf numFmtId="0" fontId="8" fillId="2" borderId="17" xfId="3" applyFont="1" applyFill="1" applyBorder="1" applyAlignment="1">
      <alignment horizontal="right"/>
    </xf>
    <xf numFmtId="49" fontId="6" fillId="2" borderId="23" xfId="3" applyNumberFormat="1" applyFont="1" applyFill="1" applyBorder="1" applyAlignment="1">
      <alignment horizontal="center"/>
    </xf>
    <xf numFmtId="0" fontId="6" fillId="2" borderId="20" xfId="3" applyFont="1" applyFill="1" applyBorder="1" applyAlignment="1">
      <alignment horizontal="right"/>
    </xf>
    <xf numFmtId="0" fontId="6" fillId="2" borderId="17" xfId="3" applyFont="1" applyFill="1" applyBorder="1" applyAlignment="1">
      <alignment horizontal="right"/>
    </xf>
    <xf numFmtId="0" fontId="8" fillId="3" borderId="26" xfId="1" applyFont="1" applyFill="1" applyBorder="1" applyAlignment="1">
      <alignment horizontal="center" vertical="center" wrapText="1"/>
    </xf>
    <xf numFmtId="1" fontId="8" fillId="3" borderId="12" xfId="1" applyNumberFormat="1" applyFont="1" applyFill="1" applyBorder="1" applyAlignment="1">
      <alignment horizontal="center"/>
    </xf>
    <xf numFmtId="1" fontId="8" fillId="3" borderId="12" xfId="1" applyNumberFormat="1" applyFont="1" applyFill="1" applyBorder="1" applyAlignment="1">
      <alignment horizontal="center" wrapText="1"/>
    </xf>
    <xf numFmtId="0" fontId="8" fillId="3" borderId="22" xfId="1" applyFont="1" applyFill="1" applyBorder="1" applyAlignment="1">
      <alignment horizontal="center"/>
    </xf>
    <xf numFmtId="0" fontId="9" fillId="0" borderId="24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1" fontId="9" fillId="0" borderId="17" xfId="1" applyNumberFormat="1" applyFont="1" applyBorder="1" applyAlignment="1">
      <alignment horizontal="center"/>
    </xf>
    <xf numFmtId="1" fontId="9" fillId="0" borderId="17" xfId="1" applyNumberFormat="1" applyFont="1" applyBorder="1" applyAlignment="1">
      <alignment horizontal="center" wrapText="1"/>
    </xf>
    <xf numFmtId="0" fontId="11" fillId="0" borderId="23" xfId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17" xfId="0" applyFont="1" applyBorder="1" applyAlignment="1">
      <alignment horizontal="center"/>
    </xf>
    <xf numFmtId="0" fontId="11" fillId="0" borderId="20" xfId="0" applyFont="1" applyBorder="1" applyAlignment="1">
      <alignment horizontal="center" wrapText="1"/>
    </xf>
    <xf numFmtId="12" fontId="11" fillId="0" borderId="20" xfId="0" applyNumberFormat="1" applyFont="1" applyBorder="1" applyAlignment="1">
      <alignment horizontal="center"/>
    </xf>
    <xf numFmtId="0" fontId="11" fillId="0" borderId="17" xfId="0" applyFont="1" applyBorder="1"/>
    <xf numFmtId="0" fontId="12" fillId="0" borderId="17" xfId="0" applyFont="1" applyBorder="1" applyAlignment="1">
      <alignment horizontal="center" vertical="center"/>
    </xf>
    <xf numFmtId="0" fontId="9" fillId="0" borderId="17" xfId="0" applyFont="1" applyBorder="1"/>
    <xf numFmtId="0" fontId="11" fillId="4" borderId="17" xfId="0" applyFont="1" applyFill="1" applyBorder="1"/>
    <xf numFmtId="1" fontId="11" fillId="0" borderId="17" xfId="1" applyNumberFormat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" fontId="11" fillId="0" borderId="17" xfId="1" applyNumberFormat="1" applyFont="1" applyBorder="1" applyAlignment="1">
      <alignment horizontal="center" wrapText="1"/>
    </xf>
    <xf numFmtId="1" fontId="11" fillId="0" borderId="17" xfId="0" applyNumberFormat="1" applyFont="1" applyBorder="1"/>
    <xf numFmtId="0" fontId="11" fillId="4" borderId="17" xfId="1" applyFont="1" applyFill="1" applyBorder="1" applyAlignment="1">
      <alignment horizontal="center"/>
    </xf>
    <xf numFmtId="49" fontId="11" fillId="0" borderId="24" xfId="1" applyNumberFormat="1" applyFont="1" applyBorder="1" applyAlignment="1">
      <alignment horizontal="center"/>
    </xf>
    <xf numFmtId="49" fontId="11" fillId="0" borderId="16" xfId="1" applyNumberFormat="1" applyFont="1" applyBorder="1" applyAlignment="1">
      <alignment horizontal="center"/>
    </xf>
    <xf numFmtId="0" fontId="9" fillId="4" borderId="17" xfId="1" applyFont="1" applyFill="1" applyBorder="1" applyAlignment="1">
      <alignment horizontal="left"/>
    </xf>
    <xf numFmtId="165" fontId="11" fillId="0" borderId="17" xfId="1" applyNumberFormat="1" applyFont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0" xfId="0" applyFont="1" applyFill="1" applyBorder="1"/>
    <xf numFmtId="0" fontId="11" fillId="4" borderId="16" xfId="0" applyFont="1" applyFill="1" applyBorder="1" applyAlignment="1">
      <alignment horizontal="center"/>
    </xf>
    <xf numFmtId="1" fontId="11" fillId="4" borderId="20" xfId="0" applyNumberFormat="1" applyFont="1" applyFill="1" applyBorder="1" applyAlignment="1">
      <alignment horizontal="center"/>
    </xf>
    <xf numFmtId="1" fontId="11" fillId="4" borderId="20" xfId="0" applyNumberFormat="1" applyFont="1" applyFill="1" applyBorder="1" applyAlignment="1">
      <alignment horizontal="center" wrapText="1"/>
    </xf>
    <xf numFmtId="49" fontId="11" fillId="4" borderId="20" xfId="0" applyNumberFormat="1" applyFont="1" applyFill="1" applyBorder="1" applyAlignment="1">
      <alignment horizontal="center"/>
    </xf>
    <xf numFmtId="1" fontId="11" fillId="4" borderId="17" xfId="1" applyNumberFormat="1" applyFont="1" applyFill="1" applyBorder="1" applyAlignment="1">
      <alignment horizontal="center"/>
    </xf>
    <xf numFmtId="1" fontId="11" fillId="4" borderId="17" xfId="1" applyNumberFormat="1" applyFont="1" applyFill="1" applyBorder="1" applyAlignment="1">
      <alignment horizontal="center" wrapText="1"/>
    </xf>
    <xf numFmtId="1" fontId="11" fillId="4" borderId="17" xfId="0" applyNumberFormat="1" applyFont="1" applyFill="1" applyBorder="1" applyAlignment="1">
      <alignment horizontal="center"/>
    </xf>
    <xf numFmtId="16" fontId="11" fillId="4" borderId="17" xfId="0" applyNumberFormat="1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1" fontId="11" fillId="0" borderId="20" xfId="0" applyNumberFormat="1" applyFont="1" applyBorder="1" applyAlignment="1">
      <alignment horizontal="center" wrapText="1"/>
    </xf>
    <xf numFmtId="16" fontId="11" fillId="0" borderId="17" xfId="0" applyNumberFormat="1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 wrapText="1"/>
    </xf>
    <xf numFmtId="49" fontId="9" fillId="0" borderId="18" xfId="1" applyNumberFormat="1" applyFont="1" applyBorder="1" applyAlignment="1">
      <alignment horizontal="center"/>
    </xf>
    <xf numFmtId="49" fontId="9" fillId="0" borderId="30" xfId="1" applyNumberFormat="1" applyFont="1" applyBorder="1" applyAlignment="1">
      <alignment horizontal="center"/>
    </xf>
    <xf numFmtId="0" fontId="10" fillId="4" borderId="17" xfId="1" applyFont="1" applyFill="1" applyBorder="1" applyAlignment="1">
      <alignment vertical="center"/>
    </xf>
    <xf numFmtId="0" fontId="9" fillId="0" borderId="16" xfId="1" applyFont="1" applyBorder="1" applyAlignment="1">
      <alignment horizontal="center"/>
    </xf>
    <xf numFmtId="165" fontId="9" fillId="0" borderId="17" xfId="1" applyNumberFormat="1" applyFont="1" applyBorder="1" applyAlignment="1">
      <alignment horizontal="center"/>
    </xf>
    <xf numFmtId="49" fontId="11" fillId="0" borderId="17" xfId="0" applyNumberFormat="1" applyFont="1" applyBorder="1" applyAlignment="1">
      <alignment horizontal="center"/>
    </xf>
    <xf numFmtId="49" fontId="11" fillId="0" borderId="17" xfId="0" applyNumberFormat="1" applyFont="1" applyBorder="1"/>
    <xf numFmtId="166" fontId="9" fillId="4" borderId="17" xfId="4" applyNumberFormat="1" applyFont="1" applyFill="1" applyBorder="1" applyAlignment="1">
      <alignment horizontal="center"/>
    </xf>
    <xf numFmtId="0" fontId="13" fillId="0" borderId="17" xfId="5" applyFont="1" applyBorder="1" applyAlignment="1">
      <alignment horizontal="center"/>
    </xf>
    <xf numFmtId="0" fontId="13" fillId="0" borderId="17" xfId="5" applyFont="1" applyBorder="1" applyAlignment="1">
      <alignment horizontal="left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12" fontId="11" fillId="0" borderId="17" xfId="1" applyNumberFormat="1" applyFont="1" applyBorder="1" applyAlignment="1">
      <alignment horizontal="center"/>
    </xf>
    <xf numFmtId="0" fontId="11" fillId="0" borderId="17" xfId="0" quotePrefix="1" applyFont="1" applyBorder="1" applyAlignment="1">
      <alignment horizontal="center"/>
    </xf>
    <xf numFmtId="0" fontId="11" fillId="0" borderId="17" xfId="0" quotePrefix="1" applyFont="1" applyBorder="1"/>
    <xf numFmtId="49" fontId="11" fillId="0" borderId="17" xfId="1" applyNumberFormat="1" applyFont="1" applyBorder="1"/>
    <xf numFmtId="49" fontId="12" fillId="2" borderId="34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42" xfId="1" applyFont="1" applyFill="1" applyBorder="1" applyAlignment="1">
      <alignment horizontal="center"/>
    </xf>
    <xf numFmtId="0" fontId="11" fillId="3" borderId="10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11" fillId="3" borderId="9" xfId="1" applyFont="1" applyFill="1" applyBorder="1"/>
    <xf numFmtId="0" fontId="9" fillId="3" borderId="9" xfId="1" applyFont="1" applyFill="1" applyBorder="1" applyAlignment="1">
      <alignment horizontal="center"/>
    </xf>
    <xf numFmtId="1" fontId="9" fillId="3" borderId="9" xfId="1" applyNumberFormat="1" applyFont="1" applyFill="1" applyBorder="1" applyAlignment="1">
      <alignment horizontal="center"/>
    </xf>
    <xf numFmtId="164" fontId="11" fillId="3" borderId="9" xfId="1" applyNumberFormat="1" applyFont="1" applyFill="1" applyBorder="1" applyAlignment="1">
      <alignment horizontal="center" wrapText="1"/>
    </xf>
    <xf numFmtId="0" fontId="11" fillId="3" borderId="8" xfId="1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6" fillId="2" borderId="29" xfId="3" applyNumberFormat="1" applyFont="1" applyFill="1" applyBorder="1" applyAlignment="1">
      <alignment horizontal="center" vertical="center" wrapText="1"/>
    </xf>
    <xf numFmtId="14" fontId="6" fillId="2" borderId="41" xfId="3" applyNumberFormat="1" applyFont="1" applyFill="1" applyBorder="1" applyAlignment="1">
      <alignment horizontal="center" vertical="center" wrapText="1"/>
    </xf>
    <xf numFmtId="14" fontId="6" fillId="2" borderId="25" xfId="3" applyNumberFormat="1" applyFont="1" applyFill="1" applyBorder="1" applyAlignment="1">
      <alignment horizontal="center" vertical="center" wrapText="1"/>
    </xf>
    <xf numFmtId="0" fontId="6" fillId="2" borderId="40" xfId="3" applyFont="1" applyFill="1" applyBorder="1" applyAlignment="1">
      <alignment horizontal="left"/>
    </xf>
    <xf numFmtId="0" fontId="6" fillId="2" borderId="6" xfId="3" applyFont="1" applyFill="1" applyBorder="1" applyAlignment="1">
      <alignment horizontal="left"/>
    </xf>
    <xf numFmtId="0" fontId="6" fillId="2" borderId="31" xfId="3" applyFont="1" applyFill="1" applyBorder="1" applyAlignment="1">
      <alignment horizontal="left"/>
    </xf>
    <xf numFmtId="0" fontId="6" fillId="2" borderId="15" xfId="3" applyFont="1" applyFill="1" applyBorder="1" applyAlignment="1">
      <alignment horizontal="left"/>
    </xf>
    <xf numFmtId="0" fontId="6" fillId="2" borderId="30" xfId="3" applyFont="1" applyFill="1" applyBorder="1" applyAlignment="1">
      <alignment horizontal="left"/>
    </xf>
    <xf numFmtId="0" fontId="6" fillId="2" borderId="16" xfId="3" applyFont="1" applyFill="1" applyBorder="1" applyAlignment="1">
      <alignment horizontal="left"/>
    </xf>
    <xf numFmtId="0" fontId="6" fillId="2" borderId="33" xfId="3" applyFont="1" applyFill="1" applyBorder="1" applyAlignment="1">
      <alignment horizontal="center"/>
    </xf>
    <xf numFmtId="0" fontId="6" fillId="2" borderId="37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0" fontId="7" fillId="2" borderId="27" xfId="3" applyFont="1" applyFill="1" applyBorder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7" fillId="2" borderId="32" xfId="3" applyFont="1" applyFill="1" applyBorder="1" applyAlignment="1">
      <alignment horizontal="center"/>
    </xf>
    <xf numFmtId="0" fontId="14" fillId="5" borderId="15" xfId="3" applyFont="1" applyFill="1" applyBorder="1" applyAlignment="1">
      <alignment horizontal="center" vertical="center" wrapText="1"/>
    </xf>
    <xf numFmtId="0" fontId="14" fillId="5" borderId="30" xfId="3" applyFont="1" applyFill="1" applyBorder="1" applyAlignment="1">
      <alignment horizontal="center" vertical="center" wrapText="1"/>
    </xf>
    <xf numFmtId="0" fontId="14" fillId="5" borderId="16" xfId="3" applyFont="1" applyFill="1" applyBorder="1" applyAlignment="1">
      <alignment horizontal="center" vertical="center" wrapText="1"/>
    </xf>
    <xf numFmtId="0" fontId="8" fillId="2" borderId="39" xfId="3" applyFont="1" applyFill="1" applyBorder="1" applyAlignment="1">
      <alignment horizontal="right" vertical="top" wrapText="1"/>
    </xf>
    <xf numFmtId="0" fontId="8" fillId="2" borderId="35" xfId="3" applyFont="1" applyFill="1" applyBorder="1" applyAlignment="1">
      <alignment horizontal="right" vertical="top" wrapText="1"/>
    </xf>
    <xf numFmtId="0" fontId="8" fillId="2" borderId="36" xfId="3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4" fillId="2" borderId="1" xfId="3" applyFont="1" applyFill="1" applyBorder="1" applyAlignment="1">
      <alignment horizontal="center"/>
    </xf>
    <xf numFmtId="0" fontId="5" fillId="2" borderId="0" xfId="3" applyFont="1" applyFill="1"/>
    <xf numFmtId="0" fontId="8" fillId="3" borderId="28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8" fillId="3" borderId="27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21" xfId="1" applyFont="1" applyBorder="1" applyAlignment="1">
      <alignment horizontal="right"/>
    </xf>
    <xf numFmtId="164" fontId="11" fillId="0" borderId="20" xfId="1" applyNumberFormat="1" applyFont="1" applyBorder="1" applyAlignment="1">
      <alignment horizontal="right"/>
    </xf>
    <xf numFmtId="0" fontId="11" fillId="2" borderId="19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9" fillId="0" borderId="18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11" fillId="0" borderId="17" xfId="1" applyFont="1" applyBorder="1" applyAlignment="1">
      <alignment horizontal="right"/>
    </xf>
    <xf numFmtId="164" fontId="11" fillId="0" borderId="15" xfId="1" applyNumberFormat="1" applyFont="1" applyBorder="1" applyAlignment="1">
      <alignment horizontal="center"/>
    </xf>
    <xf numFmtId="164" fontId="11" fillId="0" borderId="14" xfId="1" applyNumberFormat="1" applyFont="1" applyBorder="1" applyAlignment="1">
      <alignment horizontal="center"/>
    </xf>
    <xf numFmtId="0" fontId="9" fillId="0" borderId="4" xfId="1" applyFont="1" applyBorder="1" applyAlignment="1">
      <alignment horizontal="left" wrapText="1"/>
    </xf>
    <xf numFmtId="0" fontId="9" fillId="0" borderId="3" xfId="1" applyFont="1" applyBorder="1" applyAlignment="1">
      <alignment horizontal="left" wrapText="1"/>
    </xf>
    <xf numFmtId="0" fontId="9" fillId="0" borderId="2" xfId="1" applyFont="1" applyBorder="1" applyAlignment="1">
      <alignment horizontal="left" wrapText="1"/>
    </xf>
    <xf numFmtId="164" fontId="11" fillId="0" borderId="15" xfId="1" applyNumberFormat="1" applyFont="1" applyBorder="1" applyAlignment="1">
      <alignment horizontal="right" wrapText="1"/>
    </xf>
    <xf numFmtId="164" fontId="11" fillId="0" borderId="16" xfId="1" applyNumberFormat="1" applyFont="1" applyBorder="1" applyAlignment="1">
      <alignment horizontal="right" wrapText="1"/>
    </xf>
    <xf numFmtId="164" fontId="11" fillId="0" borderId="15" xfId="0" applyNumberFormat="1" applyFont="1" applyBorder="1" applyAlignment="1">
      <alignment horizontal="center" wrapText="1"/>
    </xf>
    <xf numFmtId="164" fontId="11" fillId="0" borderId="14" xfId="0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right"/>
    </xf>
    <xf numFmtId="0" fontId="9" fillId="0" borderId="32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0" fontId="9" fillId="3" borderId="10" xfId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9" fillId="0" borderId="7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9" fillId="6" borderId="17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left"/>
    </xf>
    <xf numFmtId="0" fontId="11" fillId="0" borderId="18" xfId="1" applyFont="1" applyBorder="1" applyAlignment="1">
      <alignment horizontal="left" wrapText="1"/>
    </xf>
    <xf numFmtId="0" fontId="11" fillId="0" borderId="30" xfId="1" applyFont="1" applyBorder="1" applyAlignment="1">
      <alignment horizontal="left" wrapText="1"/>
    </xf>
    <xf numFmtId="0" fontId="11" fillId="0" borderId="14" xfId="1" applyFont="1" applyBorder="1" applyAlignment="1">
      <alignment horizontal="left" wrapText="1"/>
    </xf>
    <xf numFmtId="0" fontId="11" fillId="0" borderId="3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42" xfId="1" applyFont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D6E319CE-2907-484F-AEC8-DC25051A7561}"/>
    <cellStyle name="Normal 3" xfId="5" xr:uid="{0EFA7586-EBA1-42DF-9F86-FA843F978356}"/>
    <cellStyle name="Normal_CRITERIOS DE EVALUACION PT DE GB 2" xfId="3" xr:uid="{E3FB8858-CA57-4AFB-B615-029641679566}"/>
    <cellStyle name="Porcentaje 2" xfId="2" xr:uid="{495A53DC-E5BD-47B9-AE09-1A606A7A5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107156</xdr:rowOff>
    </xdr:from>
    <xdr:to>
      <xdr:col>1</xdr:col>
      <xdr:colOff>1095375</xdr:colOff>
      <xdr:row>4</xdr:row>
      <xdr:rowOff>47848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A42CA98-1EE3-4AC0-92A3-106D3D06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107156"/>
          <a:ext cx="2214562" cy="1000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0E2A-DDFF-42E5-833E-088DD9DDFE4D}">
  <sheetPr>
    <pageSetUpPr fitToPage="1"/>
  </sheetPr>
  <dimension ref="A1:I60"/>
  <sheetViews>
    <sheetView tabSelected="1" topLeftCell="A22" zoomScale="80" zoomScaleNormal="80" workbookViewId="0">
      <selection activeCell="B31" sqref="B31"/>
    </sheetView>
  </sheetViews>
  <sheetFormatPr baseColWidth="10" defaultRowHeight="13.2" x14ac:dyDescent="0.25"/>
  <cols>
    <col min="1" max="1" width="18" customWidth="1"/>
    <col min="2" max="2" width="18.5546875" bestFit="1" customWidth="1"/>
    <col min="3" max="3" width="69.88671875" customWidth="1"/>
    <col min="4" max="4" width="20.44140625" customWidth="1"/>
    <col min="5" max="5" width="13.5546875" customWidth="1"/>
    <col min="6" max="6" width="14" customWidth="1"/>
    <col min="7" max="7" width="18.88671875" customWidth="1"/>
    <col min="8" max="8" width="22" customWidth="1"/>
    <col min="9" max="9" width="17.44140625" bestFit="1" customWidth="1"/>
  </cols>
  <sheetData>
    <row r="1" spans="1:9" ht="15" x14ac:dyDescent="0.25">
      <c r="A1" s="96"/>
      <c r="B1" s="97"/>
      <c r="C1" s="102" t="s">
        <v>46</v>
      </c>
      <c r="D1" s="102"/>
      <c r="E1" s="102"/>
      <c r="F1" s="102"/>
      <c r="G1" s="102"/>
      <c r="H1" s="2" t="s">
        <v>45</v>
      </c>
      <c r="I1" s="3" t="s">
        <v>81</v>
      </c>
    </row>
    <row r="2" spans="1:9" ht="18" customHeight="1" thickBot="1" x14ac:dyDescent="0.3">
      <c r="A2" s="98"/>
      <c r="B2" s="99"/>
      <c r="C2" s="103" t="s">
        <v>44</v>
      </c>
      <c r="D2" s="104"/>
      <c r="E2" s="104"/>
      <c r="F2" s="104"/>
      <c r="G2" s="105"/>
      <c r="H2" s="4" t="s">
        <v>43</v>
      </c>
      <c r="I2" s="5" t="s">
        <v>66</v>
      </c>
    </row>
    <row r="3" spans="1:9" ht="31.5" customHeight="1" thickBot="1" x14ac:dyDescent="0.3">
      <c r="A3" s="98"/>
      <c r="B3" s="99"/>
      <c r="C3" s="106" t="s">
        <v>87</v>
      </c>
      <c r="D3" s="107"/>
      <c r="E3" s="107"/>
      <c r="F3" s="107"/>
      <c r="G3" s="108"/>
      <c r="H3" s="109" t="s">
        <v>42</v>
      </c>
      <c r="I3" s="87">
        <v>45615</v>
      </c>
    </row>
    <row r="4" spans="1:9" ht="18" customHeight="1" x14ac:dyDescent="0.25">
      <c r="A4" s="98"/>
      <c r="B4" s="99"/>
      <c r="C4" s="6" t="s">
        <v>41</v>
      </c>
      <c r="D4" s="90" t="s">
        <v>40</v>
      </c>
      <c r="E4" s="91"/>
      <c r="F4" s="91"/>
      <c r="G4" s="92"/>
      <c r="H4" s="110"/>
      <c r="I4" s="88"/>
    </row>
    <row r="5" spans="1:9" ht="13.8" thickBot="1" x14ac:dyDescent="0.3">
      <c r="A5" s="100"/>
      <c r="B5" s="101"/>
      <c r="C5" s="7" t="s">
        <v>39</v>
      </c>
      <c r="D5" s="93" t="s">
        <v>38</v>
      </c>
      <c r="E5" s="94"/>
      <c r="F5" s="94"/>
      <c r="G5" s="95"/>
      <c r="H5" s="111"/>
      <c r="I5" s="89"/>
    </row>
    <row r="6" spans="1:9" ht="18" thickBot="1" x14ac:dyDescent="0.35">
      <c r="A6" s="112" t="s">
        <v>37</v>
      </c>
      <c r="B6" s="112"/>
      <c r="C6" s="112"/>
      <c r="D6" s="113" t="s">
        <v>67</v>
      </c>
      <c r="E6" s="113"/>
      <c r="F6" s="113"/>
      <c r="G6" s="114" t="s">
        <v>36</v>
      </c>
      <c r="H6" s="114"/>
      <c r="I6" s="1" t="s">
        <v>67</v>
      </c>
    </row>
    <row r="7" spans="1:9" ht="25.2" x14ac:dyDescent="0.25">
      <c r="A7" s="115" t="s">
        <v>35</v>
      </c>
      <c r="B7" s="117" t="s">
        <v>68</v>
      </c>
      <c r="C7" s="119" t="s">
        <v>34</v>
      </c>
      <c r="D7" s="119" t="s">
        <v>33</v>
      </c>
      <c r="E7" s="119" t="s">
        <v>32</v>
      </c>
      <c r="F7" s="119"/>
      <c r="G7" s="119" t="s">
        <v>31</v>
      </c>
      <c r="H7" s="119"/>
      <c r="I7" s="8" t="s">
        <v>30</v>
      </c>
    </row>
    <row r="8" spans="1:9" ht="26.4" thickBot="1" x14ac:dyDescent="0.3">
      <c r="A8" s="116"/>
      <c r="B8" s="118"/>
      <c r="C8" s="120"/>
      <c r="D8" s="120"/>
      <c r="E8" s="9" t="s">
        <v>10</v>
      </c>
      <c r="F8" s="10" t="s">
        <v>29</v>
      </c>
      <c r="G8" s="9" t="s">
        <v>10</v>
      </c>
      <c r="H8" s="10" t="s">
        <v>29</v>
      </c>
      <c r="I8" s="11" t="s">
        <v>28</v>
      </c>
    </row>
    <row r="9" spans="1:9" ht="18.45" customHeight="1" x14ac:dyDescent="0.4">
      <c r="A9" s="12"/>
      <c r="B9" s="13"/>
      <c r="C9" s="14" t="s">
        <v>69</v>
      </c>
      <c r="D9" s="15"/>
      <c r="E9" s="16"/>
      <c r="F9" s="17"/>
      <c r="G9" s="16"/>
      <c r="H9" s="17"/>
      <c r="I9" s="18"/>
    </row>
    <row r="10" spans="1:9" ht="20.399999999999999" x14ac:dyDescent="0.35">
      <c r="A10" s="19">
        <v>10100050</v>
      </c>
      <c r="B10" s="22" t="s">
        <v>65</v>
      </c>
      <c r="C10" s="21" t="s">
        <v>70</v>
      </c>
      <c r="D10" s="22" t="s">
        <v>71</v>
      </c>
      <c r="E10" s="22">
        <v>5</v>
      </c>
      <c r="F10" s="22" t="s">
        <v>1</v>
      </c>
      <c r="G10" s="23"/>
      <c r="H10" s="24"/>
      <c r="I10" s="18"/>
    </row>
    <row r="11" spans="1:9" ht="20.399999999999999" x14ac:dyDescent="0.35">
      <c r="A11" s="22" t="s">
        <v>27</v>
      </c>
      <c r="B11" s="22" t="s">
        <v>50</v>
      </c>
      <c r="C11" s="25" t="s">
        <v>26</v>
      </c>
      <c r="D11" s="22" t="s">
        <v>21</v>
      </c>
      <c r="E11" s="22">
        <v>200</v>
      </c>
      <c r="F11" s="22" t="s">
        <v>1</v>
      </c>
      <c r="G11" s="23"/>
      <c r="H11" s="24"/>
      <c r="I11" s="18"/>
    </row>
    <row r="12" spans="1:9" ht="21" x14ac:dyDescent="0.4">
      <c r="A12" s="26" t="s">
        <v>64</v>
      </c>
      <c r="B12" s="26" t="s">
        <v>62</v>
      </c>
      <c r="C12" s="27" t="s">
        <v>63</v>
      </c>
      <c r="D12" s="22" t="s">
        <v>25</v>
      </c>
      <c r="E12" s="22">
        <v>120</v>
      </c>
      <c r="F12" s="22" t="s">
        <v>1</v>
      </c>
      <c r="G12" s="22"/>
      <c r="H12" s="24"/>
      <c r="I12" s="18"/>
    </row>
    <row r="13" spans="1:9" ht="20.399999999999999" x14ac:dyDescent="0.35">
      <c r="A13" s="22">
        <v>902000120</v>
      </c>
      <c r="B13" s="22" t="s">
        <v>51</v>
      </c>
      <c r="C13" s="25" t="s">
        <v>47</v>
      </c>
      <c r="D13" s="22" t="s">
        <v>21</v>
      </c>
      <c r="E13" s="22">
        <v>600</v>
      </c>
      <c r="F13" s="22" t="s">
        <v>1</v>
      </c>
      <c r="G13" s="22"/>
      <c r="H13" s="24"/>
      <c r="I13" s="18"/>
    </row>
    <row r="14" spans="1:9" ht="21" x14ac:dyDescent="0.4">
      <c r="A14" s="26"/>
      <c r="B14" s="26"/>
      <c r="C14" s="27"/>
      <c r="D14" s="22"/>
      <c r="E14" s="22"/>
      <c r="F14" s="22"/>
      <c r="G14" s="22"/>
      <c r="H14" s="24"/>
      <c r="I14" s="18"/>
    </row>
    <row r="15" spans="1:9" ht="20.399999999999999" x14ac:dyDescent="0.35">
      <c r="A15" s="22"/>
      <c r="B15" s="22"/>
      <c r="C15" s="25"/>
      <c r="D15" s="22"/>
      <c r="E15" s="22"/>
      <c r="F15" s="22"/>
      <c r="G15" s="22"/>
      <c r="H15" s="24"/>
      <c r="I15" s="18"/>
    </row>
    <row r="16" spans="1:9" ht="20.399999999999999" x14ac:dyDescent="0.35">
      <c r="A16" s="22"/>
      <c r="B16" s="22"/>
      <c r="C16" s="28"/>
      <c r="D16" s="29"/>
      <c r="E16" s="30"/>
      <c r="F16" s="31"/>
      <c r="G16" s="22"/>
      <c r="H16" s="24"/>
      <c r="I16" s="18"/>
    </row>
    <row r="17" spans="1:9" ht="20.399999999999999" x14ac:dyDescent="0.35">
      <c r="A17" s="22"/>
      <c r="B17" s="22"/>
      <c r="C17" s="28"/>
      <c r="D17" s="29"/>
      <c r="E17" s="30"/>
      <c r="F17" s="31"/>
      <c r="G17" s="22"/>
      <c r="H17" s="24"/>
      <c r="I17" s="18"/>
    </row>
    <row r="18" spans="1:9" ht="20.399999999999999" x14ac:dyDescent="0.35">
      <c r="A18" s="22"/>
      <c r="B18" s="22"/>
      <c r="C18" s="28"/>
      <c r="D18" s="29"/>
      <c r="E18" s="30"/>
      <c r="F18" s="31"/>
      <c r="G18" s="22"/>
      <c r="H18" s="24"/>
      <c r="I18" s="18"/>
    </row>
    <row r="19" spans="1:9" ht="20.399999999999999" x14ac:dyDescent="0.35">
      <c r="A19" s="22"/>
      <c r="B19" s="22"/>
      <c r="C19" s="28"/>
      <c r="D19" s="29"/>
      <c r="E19" s="30"/>
      <c r="F19" s="31"/>
      <c r="G19" s="22"/>
      <c r="H19" s="24"/>
      <c r="I19" s="18"/>
    </row>
    <row r="20" spans="1:9" ht="21" x14ac:dyDescent="0.4">
      <c r="A20" s="32"/>
      <c r="B20" s="22"/>
      <c r="C20" s="25"/>
      <c r="D20" s="33"/>
      <c r="E20" s="33"/>
      <c r="F20" s="33"/>
      <c r="G20" s="16"/>
      <c r="H20" s="24"/>
      <c r="I20" s="18"/>
    </row>
    <row r="21" spans="1:9" ht="21" x14ac:dyDescent="0.4">
      <c r="A21" s="34"/>
      <c r="B21" s="35"/>
      <c r="C21" s="36" t="s">
        <v>72</v>
      </c>
      <c r="D21" s="30"/>
      <c r="E21" s="37"/>
      <c r="F21" s="31"/>
      <c r="G21" s="16"/>
      <c r="H21" s="17"/>
      <c r="I21" s="18"/>
    </row>
    <row r="22" spans="1:9" ht="21" x14ac:dyDescent="0.4">
      <c r="A22" s="38" t="s">
        <v>24</v>
      </c>
      <c r="B22" s="39" t="s">
        <v>52</v>
      </c>
      <c r="C22" s="40" t="s">
        <v>23</v>
      </c>
      <c r="D22" s="41" t="s">
        <v>21</v>
      </c>
      <c r="E22" s="42">
        <v>90</v>
      </c>
      <c r="F22" s="43" t="s">
        <v>1</v>
      </c>
      <c r="G22" s="16"/>
      <c r="H22" s="17"/>
      <c r="I22" s="18"/>
    </row>
    <row r="23" spans="1:9" ht="21" x14ac:dyDescent="0.4">
      <c r="A23" s="38">
        <v>902000116</v>
      </c>
      <c r="B23" s="39" t="s">
        <v>53</v>
      </c>
      <c r="C23" s="40" t="s">
        <v>22</v>
      </c>
      <c r="D23" s="41" t="s">
        <v>21</v>
      </c>
      <c r="E23" s="44">
        <v>160</v>
      </c>
      <c r="F23" s="43" t="s">
        <v>1</v>
      </c>
      <c r="G23" s="16"/>
      <c r="H23" s="17"/>
      <c r="I23" s="18"/>
    </row>
    <row r="24" spans="1:9" ht="21" x14ac:dyDescent="0.4">
      <c r="A24" s="38">
        <v>11400066</v>
      </c>
      <c r="B24" s="39" t="s">
        <v>54</v>
      </c>
      <c r="C24" s="40" t="s">
        <v>49</v>
      </c>
      <c r="D24" s="41" t="s">
        <v>20</v>
      </c>
      <c r="E24" s="42">
        <v>20</v>
      </c>
      <c r="F24" s="43" t="s">
        <v>1</v>
      </c>
      <c r="G24" s="16"/>
      <c r="H24" s="17"/>
      <c r="I24" s="18"/>
    </row>
    <row r="25" spans="1:9" ht="21" x14ac:dyDescent="0.4">
      <c r="A25" s="38"/>
      <c r="B25" s="39"/>
      <c r="C25" s="40"/>
      <c r="D25" s="41"/>
      <c r="E25" s="45"/>
      <c r="F25" s="46"/>
      <c r="G25" s="16"/>
      <c r="H25" s="17"/>
      <c r="I25" s="18"/>
    </row>
    <row r="26" spans="1:9" ht="21" x14ac:dyDescent="0.4">
      <c r="A26" s="38"/>
      <c r="B26" s="39"/>
      <c r="C26" s="40"/>
      <c r="D26" s="41"/>
      <c r="E26" s="47"/>
      <c r="F26" s="46"/>
      <c r="G26" s="16"/>
      <c r="H26" s="17"/>
      <c r="I26" s="18"/>
    </row>
    <row r="27" spans="1:9" ht="21" x14ac:dyDescent="0.4">
      <c r="A27" s="20"/>
      <c r="B27" s="20"/>
      <c r="C27" s="21"/>
      <c r="D27" s="48"/>
      <c r="E27" s="49"/>
      <c r="F27" s="50"/>
      <c r="G27" s="16"/>
      <c r="H27" s="17"/>
      <c r="I27" s="18"/>
    </row>
    <row r="28" spans="1:9" ht="21" x14ac:dyDescent="0.4">
      <c r="A28" s="22"/>
      <c r="B28" s="22"/>
      <c r="C28" s="25"/>
      <c r="D28" s="51"/>
      <c r="E28" s="52"/>
      <c r="F28" s="50"/>
      <c r="G28" s="16"/>
      <c r="H28" s="17"/>
      <c r="I28" s="18"/>
    </row>
    <row r="29" spans="1:9" ht="21" x14ac:dyDescent="0.4">
      <c r="A29" s="22"/>
      <c r="B29" s="22"/>
      <c r="C29" s="25"/>
      <c r="D29" s="51"/>
      <c r="E29" s="53"/>
      <c r="F29" s="54"/>
      <c r="G29" s="16"/>
      <c r="H29" s="17"/>
      <c r="I29" s="18"/>
    </row>
    <row r="30" spans="1:9" ht="21" x14ac:dyDescent="0.4">
      <c r="A30" s="55"/>
      <c r="B30" s="56"/>
      <c r="C30" s="57" t="s">
        <v>73</v>
      </c>
      <c r="D30" s="58"/>
      <c r="E30" s="59"/>
      <c r="F30" s="17"/>
      <c r="G30" s="16"/>
      <c r="H30" s="21"/>
      <c r="I30" s="18"/>
    </row>
    <row r="31" spans="1:9" ht="21" x14ac:dyDescent="0.4">
      <c r="A31" s="60">
        <v>702175</v>
      </c>
      <c r="B31" s="60" t="s">
        <v>55</v>
      </c>
      <c r="C31" s="61" t="s">
        <v>48</v>
      </c>
      <c r="D31" s="22" t="s">
        <v>18</v>
      </c>
      <c r="E31" s="53">
        <v>1</v>
      </c>
      <c r="F31" s="54" t="s">
        <v>4</v>
      </c>
      <c r="G31" s="62"/>
      <c r="H31" s="17"/>
      <c r="I31" s="18"/>
    </row>
    <row r="32" spans="1:9" ht="21" x14ac:dyDescent="0.4">
      <c r="A32" s="63">
        <v>703020</v>
      </c>
      <c r="B32" s="63" t="s">
        <v>56</v>
      </c>
      <c r="C32" s="64" t="s">
        <v>19</v>
      </c>
      <c r="D32" s="22" t="s">
        <v>18</v>
      </c>
      <c r="E32" s="53">
        <v>60</v>
      </c>
      <c r="F32" s="54" t="s">
        <v>17</v>
      </c>
      <c r="G32" s="62"/>
      <c r="H32" s="17"/>
      <c r="I32" s="18"/>
    </row>
    <row r="33" spans="1:9" ht="21" x14ac:dyDescent="0.4">
      <c r="A33" s="22">
        <v>1950693</v>
      </c>
      <c r="B33" s="22" t="s">
        <v>57</v>
      </c>
      <c r="C33" s="25" t="s">
        <v>16</v>
      </c>
      <c r="D33" s="51" t="s">
        <v>15</v>
      </c>
      <c r="E33" s="53">
        <v>1</v>
      </c>
      <c r="F33" s="22" t="s">
        <v>4</v>
      </c>
      <c r="G33" s="62"/>
      <c r="H33" s="17"/>
      <c r="I33" s="18"/>
    </row>
    <row r="34" spans="1:9" ht="21" x14ac:dyDescent="0.4">
      <c r="A34" s="65">
        <v>51400021</v>
      </c>
      <c r="B34" s="65" t="s">
        <v>58</v>
      </c>
      <c r="C34" s="66" t="s">
        <v>14</v>
      </c>
      <c r="D34" s="22" t="s">
        <v>74</v>
      </c>
      <c r="E34" s="53">
        <v>1</v>
      </c>
      <c r="F34" s="54" t="s">
        <v>4</v>
      </c>
      <c r="G34" s="16"/>
      <c r="H34" s="17" t="str">
        <f>UPPER(D34)</f>
        <v>EXP PMT</v>
      </c>
      <c r="I34" s="18"/>
    </row>
    <row r="35" spans="1:9" ht="21" x14ac:dyDescent="0.4">
      <c r="A35" s="65">
        <v>702123</v>
      </c>
      <c r="B35" s="65" t="s">
        <v>59</v>
      </c>
      <c r="C35" s="66" t="s">
        <v>13</v>
      </c>
      <c r="D35" s="22" t="s">
        <v>11</v>
      </c>
      <c r="E35" s="53">
        <v>1</v>
      </c>
      <c r="F35" s="54" t="s">
        <v>4</v>
      </c>
      <c r="G35" s="16"/>
      <c r="H35" s="17" t="str">
        <f t="shared" ref="H35:H36" si="0">UPPER(D35)</f>
        <v>CEMUSA</v>
      </c>
      <c r="I35" s="18"/>
    </row>
    <row r="36" spans="1:9" ht="21" x14ac:dyDescent="0.4">
      <c r="A36" s="65">
        <v>701096</v>
      </c>
      <c r="B36" s="65" t="s">
        <v>60</v>
      </c>
      <c r="C36" s="66" t="s">
        <v>12</v>
      </c>
      <c r="D36" s="22" t="s">
        <v>11</v>
      </c>
      <c r="E36" s="53">
        <v>1</v>
      </c>
      <c r="F36" s="54" t="s">
        <v>4</v>
      </c>
      <c r="G36" s="67"/>
      <c r="H36" s="17" t="str">
        <f t="shared" si="0"/>
        <v>CEMUSA</v>
      </c>
      <c r="I36" s="18"/>
    </row>
    <row r="37" spans="1:9" ht="42" x14ac:dyDescent="0.4">
      <c r="A37" s="65">
        <v>702069</v>
      </c>
      <c r="B37" s="65" t="s">
        <v>61</v>
      </c>
      <c r="C37" s="66" t="s">
        <v>75</v>
      </c>
      <c r="D37" s="22" t="s">
        <v>11</v>
      </c>
      <c r="E37" s="53">
        <v>1</v>
      </c>
      <c r="F37" s="54" t="s">
        <v>4</v>
      </c>
      <c r="G37" s="29"/>
      <c r="H37" s="17" t="str">
        <f>UPPER(C37)</f>
        <v>ETIQ.BLANCA 1 1/4 * 3/4</v>
      </c>
      <c r="I37" s="18"/>
    </row>
    <row r="38" spans="1:9" ht="21" x14ac:dyDescent="0.4">
      <c r="A38" s="68"/>
      <c r="B38" s="68"/>
      <c r="C38" s="69"/>
      <c r="D38" s="22"/>
      <c r="E38" s="54"/>
      <c r="F38" s="54"/>
      <c r="G38" s="29"/>
      <c r="H38" s="17"/>
      <c r="I38" s="18"/>
    </row>
    <row r="39" spans="1:9" ht="21" x14ac:dyDescent="0.4">
      <c r="A39" s="60"/>
      <c r="B39" s="22"/>
      <c r="C39" s="61"/>
      <c r="D39" s="51"/>
      <c r="E39" s="53"/>
      <c r="F39" s="22"/>
      <c r="G39" s="29"/>
      <c r="H39" s="17"/>
      <c r="I39" s="18"/>
    </row>
    <row r="40" spans="1:9" ht="21" x14ac:dyDescent="0.4">
      <c r="A40" s="65"/>
      <c r="B40" s="65"/>
      <c r="C40" s="66"/>
      <c r="D40" s="22"/>
      <c r="E40" s="53"/>
      <c r="F40" s="22"/>
      <c r="G40" s="29"/>
      <c r="H40" s="17"/>
      <c r="I40" s="18"/>
    </row>
    <row r="41" spans="1:9" ht="20.399999999999999" x14ac:dyDescent="0.35">
      <c r="A41" s="34"/>
      <c r="B41" s="35"/>
      <c r="C41" s="70"/>
      <c r="D41" s="30"/>
      <c r="E41" s="30"/>
      <c r="F41" s="31"/>
      <c r="G41" s="30"/>
      <c r="H41" s="30"/>
      <c r="I41" s="18"/>
    </row>
    <row r="42" spans="1:9" ht="21" thickBot="1" x14ac:dyDescent="0.4">
      <c r="A42" s="71"/>
      <c r="B42" s="72"/>
      <c r="C42" s="73"/>
      <c r="D42" s="73"/>
      <c r="E42" s="74"/>
      <c r="F42" s="75"/>
      <c r="G42" s="73"/>
      <c r="H42" s="73"/>
      <c r="I42" s="76"/>
    </row>
    <row r="43" spans="1:9" ht="21.6" thickBot="1" x14ac:dyDescent="0.45">
      <c r="A43" s="77"/>
      <c r="B43" s="78"/>
      <c r="C43" s="79"/>
      <c r="D43" s="80" t="s">
        <v>10</v>
      </c>
      <c r="E43" s="81" t="s">
        <v>9</v>
      </c>
      <c r="F43" s="82"/>
      <c r="G43" s="79"/>
      <c r="H43" s="79"/>
      <c r="I43" s="83"/>
    </row>
    <row r="44" spans="1:9" ht="21" x14ac:dyDescent="0.4">
      <c r="A44" s="121" t="s">
        <v>8</v>
      </c>
      <c r="B44" s="122"/>
      <c r="C44" s="123"/>
      <c r="D44" s="52">
        <v>1000</v>
      </c>
      <c r="E44" s="84" t="s">
        <v>1</v>
      </c>
      <c r="F44" s="124" t="s">
        <v>76</v>
      </c>
      <c r="G44" s="124"/>
      <c r="H44" s="125"/>
      <c r="I44" s="126"/>
    </row>
    <row r="45" spans="1:9" ht="21" x14ac:dyDescent="0.4">
      <c r="A45" s="127" t="s">
        <v>7</v>
      </c>
      <c r="B45" s="128"/>
      <c r="C45" s="129"/>
      <c r="D45" s="53">
        <v>5</v>
      </c>
      <c r="E45" s="22" t="s">
        <v>6</v>
      </c>
      <c r="F45" s="130" t="s">
        <v>77</v>
      </c>
      <c r="G45" s="130"/>
      <c r="H45" s="131"/>
      <c r="I45" s="132"/>
    </row>
    <row r="46" spans="1:9" ht="21" x14ac:dyDescent="0.4">
      <c r="A46" s="127" t="s">
        <v>5</v>
      </c>
      <c r="B46" s="128"/>
      <c r="C46" s="129"/>
      <c r="D46" s="53">
        <v>1</v>
      </c>
      <c r="E46" s="22" t="s">
        <v>4</v>
      </c>
      <c r="F46" s="130" t="s">
        <v>78</v>
      </c>
      <c r="G46" s="130"/>
      <c r="H46" s="131"/>
      <c r="I46" s="132"/>
    </row>
    <row r="47" spans="1:9" ht="21" x14ac:dyDescent="0.4">
      <c r="A47" s="127" t="s">
        <v>3</v>
      </c>
      <c r="B47" s="128"/>
      <c r="C47" s="129"/>
      <c r="D47" s="53">
        <v>1000</v>
      </c>
      <c r="E47" s="22" t="s">
        <v>1</v>
      </c>
      <c r="F47" s="136" t="s">
        <v>79</v>
      </c>
      <c r="G47" s="137"/>
      <c r="H47" s="138"/>
      <c r="I47" s="139"/>
    </row>
    <row r="48" spans="1:9" ht="21.6" thickBot="1" x14ac:dyDescent="0.45">
      <c r="A48" s="140" t="s">
        <v>2</v>
      </c>
      <c r="B48" s="141"/>
      <c r="C48" s="142"/>
      <c r="D48" s="85">
        <v>190</v>
      </c>
      <c r="E48" s="86" t="s">
        <v>1</v>
      </c>
      <c r="F48" s="143"/>
      <c r="G48" s="143"/>
      <c r="H48" s="131"/>
      <c r="I48" s="132"/>
    </row>
    <row r="49" spans="1:9" ht="21.6" thickBot="1" x14ac:dyDescent="0.45">
      <c r="A49" s="144" t="s">
        <v>0</v>
      </c>
      <c r="B49" s="145"/>
      <c r="C49" s="145"/>
      <c r="D49" s="145"/>
      <c r="E49" s="145"/>
      <c r="F49" s="145"/>
      <c r="G49" s="145"/>
      <c r="H49" s="145"/>
      <c r="I49" s="146"/>
    </row>
    <row r="50" spans="1:9" ht="48" customHeight="1" x14ac:dyDescent="0.25">
      <c r="A50" s="147" t="s">
        <v>82</v>
      </c>
      <c r="B50" s="148"/>
      <c r="C50" s="148"/>
      <c r="D50" s="148"/>
      <c r="E50" s="148"/>
      <c r="F50" s="148"/>
      <c r="G50" s="148"/>
      <c r="H50" s="148"/>
      <c r="I50" s="149"/>
    </row>
    <row r="51" spans="1:9" ht="49.5" customHeight="1" x14ac:dyDescent="0.4">
      <c r="A51" s="133" t="s">
        <v>83</v>
      </c>
      <c r="B51" s="134"/>
      <c r="C51" s="134"/>
      <c r="D51" s="134"/>
      <c r="E51" s="134"/>
      <c r="F51" s="134"/>
      <c r="G51" s="134"/>
      <c r="H51" s="134"/>
      <c r="I51" s="135"/>
    </row>
    <row r="52" spans="1:9" ht="21" x14ac:dyDescent="0.4">
      <c r="A52" s="133" t="s">
        <v>84</v>
      </c>
      <c r="B52" s="134"/>
      <c r="C52" s="134"/>
      <c r="D52" s="134"/>
      <c r="E52" s="134"/>
      <c r="F52" s="134"/>
      <c r="G52" s="134"/>
      <c r="H52" s="134"/>
      <c r="I52" s="135"/>
    </row>
    <row r="53" spans="1:9" ht="21" x14ac:dyDescent="0.4">
      <c r="A53" s="133" t="s">
        <v>85</v>
      </c>
      <c r="B53" s="134"/>
      <c r="C53" s="134"/>
      <c r="D53" s="134"/>
      <c r="E53" s="134"/>
      <c r="F53" s="134"/>
      <c r="G53" s="134"/>
      <c r="H53" s="134"/>
      <c r="I53" s="135"/>
    </row>
    <row r="54" spans="1:9" ht="21" x14ac:dyDescent="0.4">
      <c r="A54" s="133" t="s">
        <v>86</v>
      </c>
      <c r="B54" s="134"/>
      <c r="C54" s="134"/>
      <c r="D54" s="134"/>
      <c r="E54" s="134"/>
      <c r="F54" s="134"/>
      <c r="G54" s="134"/>
      <c r="H54" s="134"/>
      <c r="I54" s="135"/>
    </row>
    <row r="55" spans="1:9" ht="18" customHeight="1" x14ac:dyDescent="0.35">
      <c r="A55" s="152"/>
      <c r="B55" s="153"/>
      <c r="C55" s="153"/>
      <c r="D55" s="153"/>
      <c r="E55" s="153"/>
      <c r="F55" s="153"/>
      <c r="G55" s="153"/>
      <c r="H55" s="153"/>
      <c r="I55" s="154"/>
    </row>
    <row r="56" spans="1:9" ht="20.399999999999999" x14ac:dyDescent="0.35">
      <c r="A56" s="152"/>
      <c r="B56" s="153"/>
      <c r="C56" s="153"/>
      <c r="D56" s="153"/>
      <c r="E56" s="153"/>
      <c r="F56" s="153"/>
      <c r="G56" s="153"/>
      <c r="H56" s="153"/>
      <c r="I56" s="154"/>
    </row>
    <row r="57" spans="1:9" ht="20.399999999999999" x14ac:dyDescent="0.35">
      <c r="A57" s="155"/>
      <c r="B57" s="156"/>
      <c r="C57" s="156"/>
      <c r="D57" s="156"/>
      <c r="E57" s="156"/>
      <c r="F57" s="156"/>
      <c r="G57" s="156"/>
      <c r="H57" s="156"/>
      <c r="I57" s="157"/>
    </row>
    <row r="58" spans="1:9" ht="21" x14ac:dyDescent="0.4">
      <c r="A58" s="150" t="s">
        <v>80</v>
      </c>
      <c r="B58" s="150"/>
      <c r="C58" s="150"/>
      <c r="D58" s="150"/>
      <c r="E58" s="150"/>
      <c r="F58" s="150"/>
      <c r="G58" s="150"/>
      <c r="H58" s="150"/>
      <c r="I58" s="150"/>
    </row>
    <row r="59" spans="1:9" ht="20.399999999999999" x14ac:dyDescent="0.35">
      <c r="A59" s="151"/>
      <c r="B59" s="151"/>
      <c r="C59" s="151"/>
      <c r="D59" s="151"/>
      <c r="E59" s="151"/>
      <c r="F59" s="151"/>
      <c r="G59" s="151"/>
      <c r="H59" s="151"/>
      <c r="I59" s="151"/>
    </row>
    <row r="60" spans="1:9" ht="20.399999999999999" x14ac:dyDescent="0.35">
      <c r="A60" s="151"/>
      <c r="B60" s="151"/>
      <c r="C60" s="151"/>
      <c r="D60" s="151"/>
      <c r="E60" s="151"/>
      <c r="F60" s="151"/>
      <c r="G60" s="151"/>
      <c r="H60" s="151"/>
      <c r="I60" s="151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48941-1FD5-4104-9239-4B50EF8AE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EE103A-F7FE-45FC-82DE-06732A403E4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2ADCD47-ED16-48A7-A72A-05B3B88A5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2025-08-25T16:25:45Z</cp:lastPrinted>
  <dcterms:created xsi:type="dcterms:W3CDTF">2021-04-28T17:47:57Z</dcterms:created>
  <dcterms:modified xsi:type="dcterms:W3CDTF">2026-05-13T17:35:14Z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417600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
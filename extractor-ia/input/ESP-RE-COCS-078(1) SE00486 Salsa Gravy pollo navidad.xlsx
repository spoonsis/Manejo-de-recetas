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4" documentId="8_{1B80160C-E459-4679-BE25-814097AEDA56}" xr6:coauthVersionLast="47" xr6:coauthVersionMax="47" xr10:uidLastSave="{E14683AF-0B85-40AB-B0A4-08743FF1FC52}"/>
  <bookViews>
    <workbookView xWindow="-120" yWindow="-120" windowWidth="20730" windowHeight="11040" xr2:uid="{00000000-000D-0000-FFFF-FFFF00000000}"/>
  </bookViews>
  <sheets>
    <sheet name="Hoja1" sheetId="3" r:id="rId1"/>
    <sheet name="Costo Salsa " sheetId="2" state="hidden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2" l="1"/>
  <c r="D76" i="2" s="1"/>
  <c r="D73" i="2"/>
  <c r="D71" i="2"/>
  <c r="D69" i="2"/>
  <c r="F65" i="2"/>
  <c r="C73" i="2" s="1"/>
  <c r="C85" i="2" s="1"/>
  <c r="D60" i="2"/>
  <c r="D85" i="2" s="1"/>
  <c r="D86" i="2" s="1"/>
  <c r="C51" i="2"/>
  <c r="E50" i="2"/>
  <c r="D50" i="2"/>
  <c r="B50" i="2"/>
  <c r="E49" i="2"/>
  <c r="F49" i="2" s="1"/>
  <c r="D49" i="2"/>
  <c r="B49" i="2"/>
  <c r="A49" i="2"/>
  <c r="C49" i="2" s="1"/>
  <c r="E48" i="2"/>
  <c r="F48" i="2" s="1"/>
  <c r="D48" i="2"/>
  <c r="B48" i="2"/>
  <c r="E47" i="2"/>
  <c r="F47" i="2" s="1"/>
  <c r="D47" i="2"/>
  <c r="B47" i="2"/>
  <c r="E46" i="2"/>
  <c r="D46" i="2"/>
  <c r="B46" i="2"/>
  <c r="E44" i="2"/>
  <c r="D44" i="2"/>
  <c r="B44" i="2"/>
  <c r="E41" i="2"/>
  <c r="D41" i="2"/>
  <c r="B41" i="2"/>
  <c r="A41" i="2"/>
  <c r="A50" i="2" s="1"/>
  <c r="C50" i="2" s="1"/>
  <c r="E40" i="2"/>
  <c r="D40" i="2"/>
  <c r="C40" i="2"/>
  <c r="B40" i="2"/>
  <c r="A40" i="2"/>
  <c r="E39" i="2"/>
  <c r="D39" i="2"/>
  <c r="B39" i="2"/>
  <c r="A39" i="2"/>
  <c r="A48" i="2" s="1"/>
  <c r="C48" i="2" s="1"/>
  <c r="E38" i="2"/>
  <c r="D38" i="2"/>
  <c r="B38" i="2"/>
  <c r="A38" i="2"/>
  <c r="A47" i="2" s="1"/>
  <c r="C47" i="2" s="1"/>
  <c r="E37" i="2"/>
  <c r="F37" i="2" s="1"/>
  <c r="D37" i="2"/>
  <c r="C37" i="2"/>
  <c r="B37" i="2"/>
  <c r="A37" i="2"/>
  <c r="A46" i="2" s="1"/>
  <c r="C46" i="2" s="1"/>
  <c r="E36" i="2"/>
  <c r="A36" i="2"/>
  <c r="C36" i="2" s="1"/>
  <c r="D35" i="2"/>
  <c r="B35" i="2"/>
  <c r="A35" i="2"/>
  <c r="C35" i="2" s="1"/>
  <c r="F35" i="2" s="1"/>
  <c r="E32" i="2"/>
  <c r="F32" i="2" s="1"/>
  <c r="D32" i="2"/>
  <c r="C32" i="2"/>
  <c r="B32" i="2"/>
  <c r="E31" i="2"/>
  <c r="D31" i="2"/>
  <c r="C31" i="2"/>
  <c r="B31" i="2"/>
  <c r="E30" i="2"/>
  <c r="F30" i="2" s="1"/>
  <c r="D30" i="2"/>
  <c r="C30" i="2"/>
  <c r="B30" i="2"/>
  <c r="E29" i="2"/>
  <c r="D29" i="2"/>
  <c r="C29" i="2"/>
  <c r="B29" i="2"/>
  <c r="E28" i="2"/>
  <c r="F28" i="2" s="1"/>
  <c r="D28" i="2"/>
  <c r="C28" i="2"/>
  <c r="B28" i="2"/>
  <c r="E27" i="2"/>
  <c r="D27" i="2"/>
  <c r="C27" i="2"/>
  <c r="B27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D18" i="2"/>
  <c r="C18" i="2"/>
  <c r="F18" i="2" s="1"/>
  <c r="B18" i="2"/>
  <c r="F17" i="2"/>
  <c r="D17" i="2"/>
  <c r="C17" i="2"/>
  <c r="B17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D10" i="2"/>
  <c r="C10" i="2"/>
  <c r="F10" i="2" s="1"/>
  <c r="B10" i="2"/>
  <c r="C9" i="2"/>
  <c r="F9" i="2" s="1"/>
  <c r="D8" i="2"/>
  <c r="C8" i="2"/>
  <c r="F8" i="2" s="1"/>
  <c r="B8" i="2"/>
  <c r="H6" i="2"/>
  <c r="F46" i="2" l="1"/>
  <c r="F50" i="2"/>
  <c r="F27" i="2"/>
  <c r="F11" i="2"/>
  <c r="F12" i="2"/>
  <c r="F13" i="2"/>
  <c r="F14" i="2"/>
  <c r="F29" i="2"/>
  <c r="F36" i="2"/>
  <c r="F31" i="2"/>
  <c r="F40" i="2"/>
  <c r="E85" i="2"/>
  <c r="A44" i="2"/>
  <c r="C44" i="2" s="1"/>
  <c r="F44" i="2"/>
  <c r="C38" i="2"/>
  <c r="F38" i="2" s="1"/>
  <c r="E73" i="2"/>
  <c r="D83" i="2"/>
  <c r="C41" i="2"/>
  <c r="F41" i="2" s="1"/>
  <c r="A45" i="2"/>
  <c r="C45" i="2" s="1"/>
  <c r="F45" i="2" s="1"/>
  <c r="E51" i="2"/>
  <c r="F51" i="2" s="1"/>
  <c r="D81" i="2"/>
  <c r="C39" i="2"/>
  <c r="F39" i="2" s="1"/>
  <c r="F53" i="2" l="1"/>
  <c r="F64" i="2" s="1"/>
  <c r="F54" i="2"/>
  <c r="F55" i="2" s="1"/>
  <c r="F56" i="2"/>
  <c r="C69" i="2" l="1"/>
  <c r="C81" i="2" s="1"/>
  <c r="E81" i="2" s="1"/>
  <c r="H53" i="2"/>
  <c r="F2" i="2" s="1"/>
  <c r="O54" i="2"/>
  <c r="H55" i="2"/>
  <c r="F63" i="2"/>
  <c r="H54" i="2"/>
  <c r="G2" i="2" s="1"/>
  <c r="C76" i="2"/>
  <c r="E76" i="2" s="1"/>
  <c r="C74" i="2"/>
  <c r="H56" i="2"/>
  <c r="E69" i="2" l="1"/>
  <c r="O55" i="2"/>
  <c r="H2" i="2"/>
  <c r="C71" i="2"/>
  <c r="E63" i="2"/>
  <c r="F66" i="2"/>
  <c r="G63" i="2" s="1"/>
  <c r="E74" i="2"/>
  <c r="C86" i="2"/>
  <c r="E86" i="2" s="1"/>
  <c r="O56" i="2"/>
  <c r="O58" i="2"/>
  <c r="E78" i="2" l="1"/>
  <c r="O57" i="2"/>
  <c r="O59" i="2" s="1"/>
  <c r="O60" i="2" s="1"/>
  <c r="C83" i="2"/>
  <c r="E83" i="2" s="1"/>
  <c r="E71" i="2"/>
  <c r="G66" i="2"/>
  <c r="G17" i="2"/>
  <c r="G31" i="2"/>
  <c r="G28" i="2"/>
  <c r="G11" i="2"/>
  <c r="G20" i="2"/>
  <c r="G30" i="2"/>
  <c r="G49" i="2"/>
  <c r="G10" i="2"/>
  <c r="G32" i="2"/>
  <c r="G24" i="2"/>
  <c r="G8" i="2"/>
  <c r="G36" i="2"/>
  <c r="G47" i="2"/>
  <c r="G12" i="2"/>
  <c r="G21" i="2"/>
  <c r="G35" i="2"/>
  <c r="G65" i="2"/>
  <c r="G9" i="2"/>
  <c r="G22" i="2"/>
  <c r="G48" i="2"/>
  <c r="G13" i="2"/>
  <c r="G46" i="2"/>
  <c r="G18" i="2"/>
  <c r="G23" i="2"/>
  <c r="G19" i="2"/>
  <c r="G14" i="2"/>
  <c r="G27" i="2"/>
  <c r="G37" i="2"/>
  <c r="G50" i="2"/>
  <c r="G40" i="2"/>
  <c r="G29" i="2"/>
  <c r="G41" i="2"/>
  <c r="G39" i="2"/>
  <c r="G51" i="2"/>
  <c r="G38" i="2"/>
  <c r="G44" i="2"/>
  <c r="G53" i="2"/>
  <c r="G45" i="2"/>
  <c r="G54" i="2"/>
  <c r="G64" i="2"/>
  <c r="G56" i="2"/>
  <c r="G55" i="2"/>
  <c r="O61" i="2" l="1"/>
  <c r="O62" i="2" s="1"/>
  <c r="E2" i="2" s="1"/>
  <c r="P62" i="2" l="1"/>
</calcChain>
</file>

<file path=xl/sharedStrings.xml><?xml version="1.0" encoding="utf-8"?>
<sst xmlns="http://schemas.openxmlformats.org/spreadsheetml/2006/main" count="185" uniqueCount="124">
  <si>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</si>
  <si>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</si>
  <si>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</si>
  <si>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</si>
  <si>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</si>
  <si>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</si>
  <si>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</si>
  <si>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</si>
  <si>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</si>
  <si>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</si>
  <si>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</si>
  <si>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</si>
  <si>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EMPAQUE ALMIDON MODIFICADO KILO</t>
  </si>
  <si>
    <t>90100129</t>
  </si>
  <si>
    <t>PRESERVANTE 1047S (PAQ=5 KILO)</t>
  </si>
  <si>
    <t>1212410</t>
  </si>
  <si>
    <t>AZUCAR BLANCO INDUSTRIAL KILO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</si>
  <si>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</si>
  <si>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</si>
  <si>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</si>
  <si>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</si>
  <si>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</si>
  <si>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</si>
  <si>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</si>
  <si>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</si>
  <si>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</si>
  <si>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</si>
  <si>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</si>
  <si>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</si>
  <si>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</si>
  <si>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</si>
  <si>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</si>
  <si>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</si>
  <si>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</si>
  <si>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</si>
  <si>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</si>
  <si>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90100131</t>
  </si>
  <si>
    <t>0310107</t>
  </si>
  <si>
    <t>LACTOCREMA GRANEL (CAJA:25 KG)</t>
  </si>
  <si>
    <t>1012431</t>
  </si>
  <si>
    <t>VINO BLANCO PETER CABERNET SAU (UND:5L)</t>
  </si>
  <si>
    <t>CALDO RESULTADO DE LA COCCION</t>
  </si>
  <si>
    <t>10415</t>
  </si>
  <si>
    <t>AGUA POTABLE (PLANTA)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</si>
  <si>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</si>
  <si>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</si>
  <si>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</si>
  <si>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</si>
  <si>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</si>
  <si>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</si>
  <si>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</si>
  <si>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</si>
  <si>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</si>
  <si>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</si>
  <si>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</si>
  <si>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</si>
  <si>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</si>
  <si>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 xml:space="preserve">Vino Blanco </t>
  </si>
  <si>
    <t>Mililitros</t>
  </si>
  <si>
    <t>102000062</t>
  </si>
  <si>
    <t>MATERIA PRIMA SEMIELABORADOS</t>
  </si>
  <si>
    <t>EMPAQUE</t>
  </si>
  <si>
    <t>EMPAQUE SEMIELABORADOS</t>
  </si>
  <si>
    <t>Gramo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</si>
  <si>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</si>
  <si>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</si>
  <si>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</si>
  <si>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</si>
  <si>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</si>
  <si>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</si>
  <si>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</si>
  <si>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</si>
  <si>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</si>
  <si>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</si>
  <si>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</si>
  <si>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</si>
  <si>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</si>
  <si>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</si>
  <si>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</si>
  <si>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</si>
  <si>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</si>
  <si>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</si>
  <si>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</si>
  <si>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</si>
  <si>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</si>
  <si>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</si>
  <si>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</si>
  <si>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</si>
  <si>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</si>
  <si>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58 COLONES X MIN</t>
  </si>
  <si>
    <t xml:space="preserve">Gf 57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</si>
  <si>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</si>
  <si>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</si>
  <si>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</si>
  <si>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</si>
  <si>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</si>
  <si>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</si>
  <si>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</si>
  <si>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</si>
  <si>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# Código Netsuite</t>
  </si>
  <si>
    <t>MP10022</t>
  </si>
  <si>
    <t>SE00016</t>
  </si>
  <si>
    <t>MP10392</t>
  </si>
  <si>
    <t>MP10008</t>
  </si>
  <si>
    <t>SE00014</t>
  </si>
  <si>
    <t>1.- Colocar en la olla la lactocrema y el azucar y dejar que el azucar se derrita y cambie un poco su color a mas oscuro</t>
  </si>
  <si>
    <t>2.- Luego deglasear lo anterior con el vino blanco y dejar que se incorporen.</t>
  </si>
  <si>
    <t>4.- Disolver el almidon y preservante en el agua, para llevar a la olla cuando este en hervor.</t>
  </si>
  <si>
    <t>5.- Pasar a enfriamiento en bandejas metalicas.</t>
  </si>
  <si>
    <t>3.- Colar el liquido resultante de la coccion del pollo y agregar a la olla.</t>
  </si>
  <si>
    <t>SE00486 Salsa Gravy pollo navidad</t>
  </si>
  <si>
    <t>CONTROL DE CAMBIOS</t>
  </si>
  <si>
    <t>01</t>
  </si>
  <si>
    <t>Javier Tong, Chef</t>
  </si>
  <si>
    <t>Esteban Cartin, Gte Manufactura</t>
  </si>
  <si>
    <t>Ensamble</t>
  </si>
  <si>
    <t>DOS PINOS</t>
  </si>
  <si>
    <t>MAYCA</t>
  </si>
  <si>
    <t>Decoración</t>
  </si>
  <si>
    <t>Tiempo de Horneo:</t>
  </si>
  <si>
    <t>Horno:</t>
  </si>
  <si>
    <t>Temperatura de Horneo:</t>
  </si>
  <si>
    <t>Otros</t>
  </si>
  <si>
    <t>ESP-RE-COCS-078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</si>
</sst>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_-* #,##0.00\ _€_-;\-* #,##0.00\ _€_-;_-* &quot;-&quot;??\ _€_-;_-@_-"/>
    <numFmt numFmtId="165" formatCode="0.00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  <numFmt numFmtId="170" formatCode="0.0"/>
    <numFmt numFmtId="171" formatCode="_(* #,##0.000_);_(* \(#,##0.000\);_(* &quot;-&quot;??_);_(@_)"/>
  </numFmts>
  <fonts count="4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i/>
      <sz val="20"/>
      <name val="Arial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282">
    <xf numFmtId="0" fontId="0" fillId="0" borderId="0" xfId="0"/>
    <xf numFmtId="0" fontId="6" fillId="4" borderId="0" xfId="0" applyFont="1" applyFill="1" applyAlignment="1">
      <alignment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7" fillId="0" borderId="15" xfId="3" applyFont="1" applyFill="1" applyBorder="1" applyAlignment="1">
      <alignment horizontal="center" vertical="center"/>
    </xf>
    <xf numFmtId="164" fontId="7" fillId="0" borderId="0" xfId="3" applyFont="1" applyFill="1" applyBorder="1" applyAlignment="1">
      <alignment horizontal="center" vertical="center"/>
    </xf>
    <xf numFmtId="164" fontId="9" fillId="0" borderId="0" xfId="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4" applyNumberFormat="1" applyFont="1" applyFill="1" applyAlignment="1">
      <alignment horizontal="center" vertical="center"/>
    </xf>
    <xf numFmtId="4" fontId="7" fillId="0" borderId="0" xfId="4" applyNumberFormat="1" applyFont="1" applyFill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4" fontId="6" fillId="0" borderId="0" xfId="3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3" applyNumberFormat="1" applyFont="1" applyFill="1" applyAlignment="1">
      <alignment vertical="center"/>
    </xf>
    <xf numFmtId="164" fontId="15" fillId="0" borderId="0" xfId="3" applyFont="1" applyFill="1" applyAlignment="1">
      <alignment horizontal="center" vertical="center"/>
    </xf>
    <xf numFmtId="10" fontId="8" fillId="7" borderId="31" xfId="5" applyNumberFormat="1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7" borderId="31" xfId="0" applyFont="1" applyFill="1" applyBorder="1" applyAlignment="1">
      <alignment vertical="center"/>
    </xf>
    <xf numFmtId="164" fontId="15" fillId="7" borderId="32" xfId="3" applyFont="1" applyFill="1" applyBorder="1" applyAlignment="1">
      <alignment horizontal="center" vertical="center"/>
    </xf>
    <xf numFmtId="164" fontId="17" fillId="0" borderId="0" xfId="3" applyFont="1" applyFill="1" applyBorder="1" applyAlignment="1">
      <alignment horizontal="right"/>
    </xf>
    <xf numFmtId="0" fontId="6" fillId="7" borderId="32" xfId="0" applyFont="1" applyFill="1" applyBorder="1" applyAlignment="1">
      <alignment vertical="center"/>
    </xf>
    <xf numFmtId="10" fontId="8" fillId="7" borderId="32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9" fontId="18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3" applyNumberFormat="1" applyFont="1" applyFill="1" applyAlignment="1">
      <alignment vertical="center"/>
    </xf>
    <xf numFmtId="4" fontId="15" fillId="0" borderId="0" xfId="4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0" xfId="0" applyFont="1" applyBorder="1" applyAlignment="1">
      <alignment horizontal="right"/>
    </xf>
    <xf numFmtId="164" fontId="21" fillId="5" borderId="35" xfId="3" applyFont="1" applyFill="1" applyBorder="1" applyAlignment="1">
      <alignment horizontal="right"/>
    </xf>
    <xf numFmtId="164" fontId="21" fillId="0" borderId="0" xfId="3" applyFont="1" applyFill="1" applyBorder="1" applyAlignment="1">
      <alignment horizontal="right"/>
    </xf>
    <xf numFmtId="164" fontId="7" fillId="0" borderId="15" xfId="3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4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horizontal="right"/>
    </xf>
    <xf numFmtId="168" fontId="7" fillId="7" borderId="15" xfId="3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4" fontId="7" fillId="8" borderId="15" xfId="3" applyFont="1" applyFill="1" applyBorder="1" applyAlignment="1">
      <alignment vertical="center"/>
    </xf>
    <xf numFmtId="169" fontId="24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7" borderId="3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3" applyNumberFormat="1" applyFont="1" applyFill="1" applyBorder="1" applyAlignment="1">
      <alignment horizontal="center"/>
    </xf>
    <xf numFmtId="2" fontId="20" fillId="0" borderId="0" xfId="3" applyNumberFormat="1" applyFont="1" applyFill="1" applyBorder="1" applyAlignment="1">
      <alignment horizontal="center"/>
    </xf>
    <xf numFmtId="0" fontId="6" fillId="7" borderId="37" xfId="0" applyFont="1" applyFill="1" applyBorder="1" applyAlignment="1">
      <alignment vertical="center"/>
    </xf>
    <xf numFmtId="10" fontId="6" fillId="0" borderId="0" xfId="5" applyNumberFormat="1" applyFont="1" applyFill="1" applyAlignment="1">
      <alignment vertical="center"/>
    </xf>
    <xf numFmtId="4" fontId="6" fillId="0" borderId="0" xfId="3" applyNumberFormat="1" applyFont="1" applyFill="1" applyAlignment="1">
      <alignment vertical="center"/>
    </xf>
    <xf numFmtId="164" fontId="21" fillId="7" borderId="7" xfId="3" applyFont="1" applyFill="1" applyBorder="1" applyAlignment="1">
      <alignment horizontal="right"/>
    </xf>
    <xf numFmtId="0" fontId="7" fillId="7" borderId="6" xfId="0" applyFont="1" applyFill="1" applyBorder="1" applyAlignment="1">
      <alignment horizontal="right" vertical="center"/>
    </xf>
    <xf numFmtId="10" fontId="27" fillId="0" borderId="0" xfId="3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9" fontId="28" fillId="0" borderId="0" xfId="0" applyNumberFormat="1" applyFont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164" fontId="29" fillId="0" borderId="0" xfId="3" applyFont="1" applyFill="1" applyAlignment="1">
      <alignment vertical="center"/>
    </xf>
    <xf numFmtId="4" fontId="30" fillId="0" borderId="0" xfId="4" applyNumberFormat="1" applyFont="1" applyFill="1" applyAlignment="1">
      <alignment horizontal="center" vertical="center" wrapText="1"/>
    </xf>
    <xf numFmtId="9" fontId="6" fillId="0" borderId="0" xfId="3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3" applyNumberFormat="1" applyFont="1" applyFill="1" applyAlignment="1">
      <alignment vertical="center"/>
    </xf>
    <xf numFmtId="4" fontId="7" fillId="10" borderId="35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4" fontId="31" fillId="0" borderId="0" xfId="3" applyFont="1" applyFill="1" applyAlignment="1">
      <alignment vertical="center"/>
    </xf>
    <xf numFmtId="9" fontId="31" fillId="0" borderId="0" xfId="3" applyNumberFormat="1" applyFont="1" applyFill="1" applyAlignment="1">
      <alignment vertical="center"/>
    </xf>
    <xf numFmtId="4" fontId="7" fillId="0" borderId="0" xfId="3" applyNumberFormat="1" applyFont="1" applyFill="1" applyAlignment="1">
      <alignment horizontal="center" vertical="center"/>
    </xf>
    <xf numFmtId="10" fontId="24" fillId="0" borderId="0" xfId="5" applyNumberFormat="1" applyFont="1" applyFill="1" applyAlignment="1">
      <alignment vertical="center"/>
    </xf>
    <xf numFmtId="164" fontId="24" fillId="0" borderId="0" xfId="3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4" fontId="6" fillId="0" borderId="0" xfId="3" applyFont="1" applyFill="1" applyBorder="1"/>
    <xf numFmtId="10" fontId="24" fillId="0" borderId="0" xfId="5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4" fontId="6" fillId="0" borderId="0" xfId="3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9" fontId="7" fillId="0" borderId="0" xfId="0" applyNumberFormat="1" applyFont="1"/>
    <xf numFmtId="0" fontId="37" fillId="3" borderId="24" xfId="2" applyFont="1" applyFill="1" applyBorder="1" applyAlignment="1">
      <alignment horizontal="right"/>
    </xf>
    <xf numFmtId="0" fontId="38" fillId="0" borderId="23" xfId="0" applyFont="1" applyBorder="1" applyAlignment="1">
      <alignment horizontal="center"/>
    </xf>
    <xf numFmtId="0" fontId="37" fillId="3" borderId="15" xfId="2" applyFont="1" applyFill="1" applyBorder="1" applyAlignment="1">
      <alignment horizontal="right"/>
    </xf>
    <xf numFmtId="49" fontId="35" fillId="3" borderId="26" xfId="2" applyNumberFormat="1" applyFont="1" applyFill="1" applyBorder="1" applyAlignment="1">
      <alignment horizontal="center"/>
    </xf>
    <xf numFmtId="0" fontId="35" fillId="3" borderId="18" xfId="2" applyFont="1" applyFill="1" applyBorder="1" applyAlignment="1">
      <alignment horizontal="right"/>
    </xf>
    <xf numFmtId="0" fontId="35" fillId="3" borderId="15" xfId="2" applyFont="1" applyFill="1" applyBorder="1" applyAlignment="1">
      <alignment horizontal="right"/>
    </xf>
    <xf numFmtId="0" fontId="37" fillId="2" borderId="23" xfId="1" applyFont="1" applyFill="1" applyBorder="1" applyAlignment="1">
      <alignment horizontal="center" vertical="center" wrapText="1"/>
    </xf>
    <xf numFmtId="1" fontId="37" fillId="2" borderId="10" xfId="1" applyNumberFormat="1" applyFont="1" applyFill="1" applyBorder="1" applyAlignment="1">
      <alignment horizontal="center"/>
    </xf>
    <xf numFmtId="1" fontId="37" fillId="2" borderId="10" xfId="1" applyNumberFormat="1" applyFont="1" applyFill="1" applyBorder="1" applyAlignment="1">
      <alignment horizontal="center" wrapText="1"/>
    </xf>
    <xf numFmtId="0" fontId="37" fillId="2" borderId="22" xfId="1" applyFont="1" applyFill="1" applyBorder="1" applyAlignment="1">
      <alignment horizontal="center"/>
    </xf>
    <xf numFmtId="0" fontId="3" fillId="3" borderId="0" xfId="2" applyFont="1" applyFill="1" applyAlignment="1">
      <alignment horizontal="right"/>
    </xf>
    <xf numFmtId="0" fontId="3" fillId="3" borderId="0" xfId="2" applyFont="1" applyFill="1"/>
    <xf numFmtId="0" fontId="37" fillId="2" borderId="25" xfId="1" applyFont="1" applyFill="1" applyBorder="1" applyAlignment="1">
      <alignment horizontal="center" vertical="center"/>
    </xf>
    <xf numFmtId="0" fontId="37" fillId="2" borderId="11" xfId="1" applyFont="1" applyFill="1" applyBorder="1" applyAlignment="1">
      <alignment horizontal="center" vertical="center"/>
    </xf>
    <xf numFmtId="0" fontId="37" fillId="2" borderId="25" xfId="1" applyFont="1" applyFill="1" applyBorder="1" applyAlignment="1">
      <alignment horizontal="center" vertical="center" wrapText="1"/>
    </xf>
    <xf numFmtId="0" fontId="37" fillId="2" borderId="11" xfId="1" applyFont="1" applyFill="1" applyBorder="1" applyAlignment="1">
      <alignment horizontal="center" vertical="center" wrapText="1"/>
    </xf>
    <xf numFmtId="0" fontId="37" fillId="2" borderId="24" xfId="1" applyFont="1" applyFill="1" applyBorder="1" applyAlignment="1">
      <alignment horizontal="center" vertical="center"/>
    </xf>
    <xf numFmtId="0" fontId="37" fillId="2" borderId="10" xfId="1" applyFont="1" applyFill="1" applyBorder="1" applyAlignment="1">
      <alignment horizontal="center" vertical="center"/>
    </xf>
    <xf numFmtId="14" fontId="35" fillId="3" borderId="43" xfId="2" applyNumberFormat="1" applyFont="1" applyFill="1" applyBorder="1" applyAlignment="1">
      <alignment horizontal="center" vertical="center" wrapText="1"/>
    </xf>
    <xf numFmtId="14" fontId="35" fillId="3" borderId="47" xfId="2" applyNumberFormat="1" applyFont="1" applyFill="1" applyBorder="1" applyAlignment="1">
      <alignment horizontal="center" vertical="center" wrapText="1"/>
    </xf>
    <xf numFmtId="14" fontId="35" fillId="3" borderId="21" xfId="2" applyNumberFormat="1" applyFont="1" applyFill="1" applyBorder="1" applyAlignment="1">
      <alignment horizontal="center" vertical="center" wrapText="1"/>
    </xf>
    <xf numFmtId="0" fontId="35" fillId="3" borderId="44" xfId="2" applyFont="1" applyFill="1" applyBorder="1" applyAlignment="1">
      <alignment horizontal="left"/>
    </xf>
    <xf numFmtId="0" fontId="35" fillId="3" borderId="45" xfId="2" applyFont="1" applyFill="1" applyBorder="1" applyAlignment="1">
      <alignment horizontal="left"/>
    </xf>
    <xf numFmtId="0" fontId="35" fillId="3" borderId="38" xfId="2" applyFont="1" applyFill="1" applyBorder="1" applyAlignment="1">
      <alignment horizontal="left"/>
    </xf>
    <xf numFmtId="0" fontId="35" fillId="3" borderId="13" xfId="2" applyFont="1" applyFill="1" applyBorder="1" applyAlignment="1">
      <alignment horizontal="left"/>
    </xf>
    <xf numFmtId="0" fontId="35" fillId="3" borderId="40" xfId="2" applyFont="1" applyFill="1" applyBorder="1" applyAlignment="1">
      <alignment horizontal="left"/>
    </xf>
    <xf numFmtId="0" fontId="35" fillId="3" borderId="14" xfId="2" applyFont="1" applyFill="1" applyBorder="1" applyAlignment="1">
      <alignment horizontal="left"/>
    </xf>
    <xf numFmtId="0" fontId="35" fillId="3" borderId="33" xfId="2" applyFont="1" applyFill="1" applyBorder="1" applyAlignment="1">
      <alignment horizontal="center"/>
    </xf>
    <xf numFmtId="0" fontId="35" fillId="3" borderId="34" xfId="2" applyFont="1" applyFill="1" applyBorder="1" applyAlignment="1">
      <alignment horizontal="center"/>
    </xf>
    <xf numFmtId="0" fontId="35" fillId="3" borderId="36" xfId="2" applyFont="1" applyFill="1" applyBorder="1" applyAlignment="1">
      <alignment horizontal="center"/>
    </xf>
    <xf numFmtId="0" fontId="35" fillId="3" borderId="0" xfId="2" applyFont="1" applyFill="1" applyAlignment="1">
      <alignment horizontal="center"/>
    </xf>
    <xf numFmtId="0" fontId="35" fillId="3" borderId="5" xfId="2" applyFont="1" applyFill="1" applyBorder="1" applyAlignment="1">
      <alignment horizontal="center"/>
    </xf>
    <xf numFmtId="0" fontId="35" fillId="3" borderId="4" xfId="2" applyFont="1" applyFill="1" applyBorder="1" applyAlignment="1">
      <alignment horizontal="center"/>
    </xf>
    <xf numFmtId="0" fontId="36" fillId="3" borderId="24" xfId="2" applyFont="1" applyFill="1" applyBorder="1" applyAlignment="1">
      <alignment horizontal="center"/>
    </xf>
    <xf numFmtId="0" fontId="36" fillId="3" borderId="9" xfId="2" applyFont="1" applyFill="1" applyBorder="1" applyAlignment="1">
      <alignment horizontal="center"/>
    </xf>
    <xf numFmtId="0" fontId="36" fillId="3" borderId="41" xfId="2" applyFont="1" applyFill="1" applyBorder="1" applyAlignment="1">
      <alignment horizontal="center"/>
    </xf>
    <xf numFmtId="0" fontId="36" fillId="3" borderId="39" xfId="2" applyFont="1" applyFill="1" applyBorder="1" applyAlignment="1">
      <alignment horizontal="center"/>
    </xf>
    <xf numFmtId="0" fontId="37" fillId="3" borderId="42" xfId="2" applyFont="1" applyFill="1" applyBorder="1" applyAlignment="1">
      <alignment horizontal="right" vertical="top" wrapText="1"/>
    </xf>
    <xf numFmtId="0" fontId="37" fillId="3" borderId="46" xfId="2" applyFont="1" applyFill="1" applyBorder="1" applyAlignment="1">
      <alignment horizontal="right" vertical="top" wrapText="1"/>
    </xf>
    <xf numFmtId="0" fontId="37" fillId="3" borderId="48" xfId="2" applyFont="1" applyFill="1" applyBorder="1" applyAlignment="1">
      <alignment horizontal="right" vertical="top" wrapText="1"/>
    </xf>
    <xf numFmtId="0" fontId="15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32" fillId="0" borderId="6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7" borderId="8" xfId="0" applyFont="1" applyFill="1" applyBorder="1" applyAlignment="1">
      <alignment horizontal="right"/>
    </xf>
    <xf numFmtId="0" fontId="21" fillId="7" borderId="7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9" borderId="8" xfId="0" applyFont="1" applyFill="1" applyBorder="1" applyAlignment="1">
      <alignment horizontal="right" vertical="center"/>
    </xf>
    <xf numFmtId="0" fontId="7" fillId="9" borderId="7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right" vertical="center"/>
    </xf>
    <xf numFmtId="4" fontId="30" fillId="0" borderId="0" xfId="4" applyNumberFormat="1" applyFont="1" applyFill="1" applyAlignment="1">
      <alignment horizontal="center" vertical="center" wrapText="1"/>
    </xf>
    <xf numFmtId="0" fontId="24" fillId="0" borderId="15" xfId="0" applyFont="1" applyBorder="1" applyAlignment="1">
      <alignment horizontal="right" vertical="center"/>
    </xf>
    <xf numFmtId="0" fontId="25" fillId="0" borderId="3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0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33" xfId="0" applyFont="1" applyBorder="1" applyAlignment="1">
      <alignment horizontal="right"/>
    </xf>
    <xf numFmtId="0" fontId="16" fillId="0" borderId="34" xfId="0" applyFont="1" applyBorder="1" applyAlignment="1">
      <alignment horizontal="right"/>
    </xf>
    <xf numFmtId="0" fontId="6" fillId="0" borderId="15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right" vertical="center" wrapText="1"/>
    </xf>
    <xf numFmtId="0" fontId="39" fillId="0" borderId="27" xfId="1" applyFont="1" applyBorder="1" applyAlignment="1">
      <alignment horizontal="center" vertical="center"/>
    </xf>
    <xf numFmtId="0" fontId="39" fillId="0" borderId="14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39" fillId="0" borderId="15" xfId="1" applyFont="1" applyBorder="1" applyAlignment="1">
      <alignment horizontal="center" vertical="center"/>
    </xf>
    <xf numFmtId="1" fontId="39" fillId="0" borderId="15" xfId="1" applyNumberFormat="1" applyFont="1" applyBorder="1" applyAlignment="1">
      <alignment horizontal="center"/>
    </xf>
    <xf numFmtId="1" fontId="39" fillId="0" borderId="15" xfId="1" applyNumberFormat="1" applyFont="1" applyBorder="1" applyAlignment="1">
      <alignment horizontal="center" wrapText="1"/>
    </xf>
    <xf numFmtId="0" fontId="41" fillId="0" borderId="26" xfId="1" applyFont="1" applyBorder="1" applyAlignment="1">
      <alignment horizontal="center"/>
    </xf>
    <xf numFmtId="1" fontId="41" fillId="0" borderId="15" xfId="0" applyNumberFormat="1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0" borderId="15" xfId="0" applyFont="1" applyBorder="1"/>
    <xf numFmtId="0" fontId="41" fillId="0" borderId="15" xfId="0" applyFont="1" applyBorder="1" applyAlignment="1">
      <alignment horizontal="center" vertical="center"/>
    </xf>
    <xf numFmtId="1" fontId="41" fillId="0" borderId="15" xfId="0" applyNumberFormat="1" applyFont="1" applyBorder="1" applyAlignment="1">
      <alignment horizontal="center" vertical="center"/>
    </xf>
    <xf numFmtId="1" fontId="41" fillId="0" borderId="15" xfId="0" applyNumberFormat="1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wrapText="1"/>
    </xf>
    <xf numFmtId="12" fontId="41" fillId="0" borderId="18" xfId="0" applyNumberFormat="1" applyFont="1" applyBorder="1" applyAlignment="1">
      <alignment horizontal="center"/>
    </xf>
    <xf numFmtId="0" fontId="41" fillId="0" borderId="15" xfId="0" applyFont="1" applyBorder="1" applyAlignment="1">
      <alignment horizontal="left" vertical="center"/>
    </xf>
    <xf numFmtId="0" fontId="41" fillId="0" borderId="15" xfId="6" applyFont="1" applyBorder="1" applyAlignment="1">
      <alignment horizontal="center"/>
    </xf>
    <xf numFmtId="0" fontId="41" fillId="0" borderId="15" xfId="6" applyFont="1" applyBorder="1"/>
    <xf numFmtId="0" fontId="41" fillId="0" borderId="15" xfId="7" applyFont="1" applyBorder="1" applyAlignment="1">
      <alignment horizontal="center"/>
    </xf>
    <xf numFmtId="1" fontId="39" fillId="0" borderId="15" xfId="7" applyNumberFormat="1" applyFont="1" applyBorder="1" applyAlignment="1">
      <alignment horizontal="center"/>
    </xf>
    <xf numFmtId="1" fontId="41" fillId="0" borderId="15" xfId="7" applyNumberFormat="1" applyFont="1" applyBorder="1" applyAlignment="1">
      <alignment horizontal="center"/>
    </xf>
    <xf numFmtId="0" fontId="41" fillId="0" borderId="15" xfId="0" applyFont="1" applyBorder="1" applyAlignment="1">
      <alignment horizontal="left"/>
    </xf>
    <xf numFmtId="0" fontId="42" fillId="0" borderId="15" xfId="0" applyFont="1" applyBorder="1" applyAlignment="1">
      <alignment horizontal="center" vertical="center"/>
    </xf>
    <xf numFmtId="0" fontId="39" fillId="0" borderId="15" xfId="0" applyFont="1" applyBorder="1"/>
    <xf numFmtId="49" fontId="41" fillId="0" borderId="27" xfId="1" applyNumberFormat="1" applyFont="1" applyBorder="1" applyAlignment="1">
      <alignment horizontal="center"/>
    </xf>
    <xf numFmtId="49" fontId="41" fillId="0" borderId="14" xfId="1" applyNumberFormat="1" applyFont="1" applyBorder="1" applyAlignment="1">
      <alignment horizontal="center"/>
    </xf>
    <xf numFmtId="0" fontId="39" fillId="4" borderId="15" xfId="1" applyFont="1" applyFill="1" applyBorder="1" applyAlignment="1">
      <alignment horizontal="left"/>
    </xf>
    <xf numFmtId="1" fontId="41" fillId="0" borderId="15" xfId="0" applyNumberFormat="1" applyFont="1" applyBorder="1"/>
    <xf numFmtId="0" fontId="41" fillId="4" borderId="15" xfId="1" applyFont="1" applyFill="1" applyBorder="1" applyAlignment="1">
      <alignment horizontal="center"/>
    </xf>
    <xf numFmtId="0" fontId="41" fillId="0" borderId="15" xfId="1" applyFont="1" applyBorder="1" applyAlignment="1">
      <alignment horizontal="center"/>
    </xf>
    <xf numFmtId="170" fontId="41" fillId="0" borderId="15" xfId="1" applyNumberFormat="1" applyFont="1" applyBorder="1" applyAlignment="1">
      <alignment horizontal="center"/>
    </xf>
    <xf numFmtId="1" fontId="41" fillId="0" borderId="15" xfId="1" applyNumberFormat="1" applyFont="1" applyBorder="1" applyAlignment="1">
      <alignment horizontal="center" wrapText="1"/>
    </xf>
    <xf numFmtId="0" fontId="43" fillId="4" borderId="27" xfId="0" applyFont="1" applyFill="1" applyBorder="1" applyAlignment="1">
      <alignment horizontal="center"/>
    </xf>
    <xf numFmtId="0" fontId="43" fillId="4" borderId="19" xfId="0" applyFont="1" applyFill="1" applyBorder="1" applyAlignment="1">
      <alignment horizontal="center"/>
    </xf>
    <xf numFmtId="0" fontId="43" fillId="4" borderId="18" xfId="0" applyFont="1" applyFill="1" applyBorder="1"/>
    <xf numFmtId="0" fontId="41" fillId="4" borderId="14" xfId="0" applyFont="1" applyFill="1" applyBorder="1" applyAlignment="1">
      <alignment horizontal="center"/>
    </xf>
    <xf numFmtId="1" fontId="41" fillId="4" borderId="18" xfId="0" applyNumberFormat="1" applyFont="1" applyFill="1" applyBorder="1" applyAlignment="1">
      <alignment horizontal="center"/>
    </xf>
    <xf numFmtId="1" fontId="41" fillId="4" borderId="18" xfId="0" applyNumberFormat="1" applyFont="1" applyFill="1" applyBorder="1" applyAlignment="1">
      <alignment horizontal="center" wrapText="1"/>
    </xf>
    <xf numFmtId="16" fontId="41" fillId="0" borderId="15" xfId="0" applyNumberFormat="1" applyFont="1" applyBorder="1" applyAlignment="1">
      <alignment horizontal="center"/>
    </xf>
    <xf numFmtId="1" fontId="41" fillId="0" borderId="15" xfId="0" applyNumberFormat="1" applyFont="1" applyBorder="1" applyAlignment="1">
      <alignment horizontal="center" wrapText="1"/>
    </xf>
    <xf numFmtId="0" fontId="40" fillId="4" borderId="15" xfId="1" applyFont="1" applyFill="1" applyBorder="1" applyAlignment="1">
      <alignment vertical="center"/>
    </xf>
    <xf numFmtId="0" fontId="39" fillId="0" borderId="14" xfId="1" applyFont="1" applyBorder="1" applyAlignment="1">
      <alignment horizontal="center"/>
    </xf>
    <xf numFmtId="170" fontId="39" fillId="0" borderId="15" xfId="1" applyNumberFormat="1" applyFont="1" applyBorder="1" applyAlignment="1">
      <alignment horizontal="center"/>
    </xf>
    <xf numFmtId="0" fontId="41" fillId="0" borderId="0" xfId="0" applyFont="1"/>
    <xf numFmtId="49" fontId="41" fillId="0" borderId="27" xfId="0" applyNumberFormat="1" applyFont="1" applyBorder="1" applyAlignment="1">
      <alignment horizontal="center"/>
    </xf>
    <xf numFmtId="49" fontId="41" fillId="0" borderId="14" xfId="0" applyNumberFormat="1" applyFont="1" applyBorder="1" applyAlignment="1">
      <alignment horizontal="center"/>
    </xf>
    <xf numFmtId="49" fontId="39" fillId="0" borderId="15" xfId="0" applyNumberFormat="1" applyFont="1" applyBorder="1"/>
    <xf numFmtId="171" fontId="39" fillId="4" borderId="15" xfId="3" applyNumberFormat="1" applyFont="1" applyFill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14" xfId="0" applyFont="1" applyBorder="1" applyAlignment="1">
      <alignment horizontal="center"/>
    </xf>
    <xf numFmtId="0" fontId="42" fillId="0" borderId="15" xfId="0" applyFont="1" applyBorder="1"/>
    <xf numFmtId="12" fontId="41" fillId="0" borderId="15" xfId="1" applyNumberFormat="1" applyFont="1" applyBorder="1" applyAlignment="1">
      <alignment horizontal="center"/>
    </xf>
    <xf numFmtId="1" fontId="41" fillId="0" borderId="15" xfId="1" applyNumberFormat="1" applyFont="1" applyBorder="1" applyAlignment="1">
      <alignment horizontal="center"/>
    </xf>
    <xf numFmtId="0" fontId="41" fillId="0" borderId="15" xfId="0" quotePrefix="1" applyFont="1" applyBorder="1" applyAlignment="1">
      <alignment horizontal="center"/>
    </xf>
    <xf numFmtId="0" fontId="41" fillId="0" borderId="15" xfId="0" quotePrefix="1" applyFont="1" applyBorder="1"/>
    <xf numFmtId="49" fontId="42" fillId="3" borderId="36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1" fillId="3" borderId="0" xfId="1" applyFont="1" applyFill="1"/>
    <xf numFmtId="1" fontId="41" fillId="3" borderId="0" xfId="1" applyNumberFormat="1" applyFont="1" applyFill="1" applyAlignment="1">
      <alignment horizontal="center"/>
    </xf>
    <xf numFmtId="165" fontId="41" fillId="3" borderId="0" xfId="1" applyNumberFormat="1" applyFont="1" applyFill="1" applyAlignment="1">
      <alignment horizontal="center" wrapText="1"/>
    </xf>
    <xf numFmtId="0" fontId="41" fillId="3" borderId="20" xfId="1" applyFont="1" applyFill="1" applyBorder="1" applyAlignment="1">
      <alignment horizontal="center"/>
    </xf>
    <xf numFmtId="0" fontId="41" fillId="2" borderId="8" xfId="1" applyFont="1" applyFill="1" applyBorder="1" applyAlignment="1">
      <alignment horizontal="center"/>
    </xf>
    <xf numFmtId="0" fontId="41" fillId="2" borderId="7" xfId="1" applyFont="1" applyFill="1" applyBorder="1" applyAlignment="1">
      <alignment horizontal="center"/>
    </xf>
    <xf numFmtId="0" fontId="41" fillId="2" borderId="7" xfId="1" applyFont="1" applyFill="1" applyBorder="1"/>
    <xf numFmtId="0" fontId="39" fillId="2" borderId="7" xfId="1" applyFont="1" applyFill="1" applyBorder="1" applyAlignment="1">
      <alignment horizontal="center"/>
    </xf>
    <xf numFmtId="1" fontId="39" fillId="2" borderId="7" xfId="1" applyNumberFormat="1" applyFont="1" applyFill="1" applyBorder="1" applyAlignment="1">
      <alignment horizontal="center"/>
    </xf>
    <xf numFmtId="165" fontId="41" fillId="2" borderId="7" xfId="1" applyNumberFormat="1" applyFont="1" applyFill="1" applyBorder="1" applyAlignment="1">
      <alignment horizontal="center" wrapText="1"/>
    </xf>
    <xf numFmtId="0" fontId="41" fillId="2" borderId="6" xfId="1" applyFont="1" applyFill="1" applyBorder="1" applyAlignment="1">
      <alignment horizontal="center"/>
    </xf>
    <xf numFmtId="0" fontId="39" fillId="0" borderId="5" xfId="1" applyFont="1" applyBorder="1" applyAlignment="1">
      <alignment horizontal="right"/>
    </xf>
    <xf numFmtId="0" fontId="39" fillId="0" borderId="4" xfId="1" applyFont="1" applyBorder="1" applyAlignment="1">
      <alignment horizontal="right"/>
    </xf>
    <xf numFmtId="0" fontId="39" fillId="0" borderId="19" xfId="1" applyFont="1" applyBorder="1" applyAlignment="1">
      <alignment horizontal="right"/>
    </xf>
    <xf numFmtId="1" fontId="41" fillId="0" borderId="18" xfId="0" applyNumberFormat="1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165" fontId="41" fillId="0" borderId="18" xfId="1" applyNumberFormat="1" applyFont="1" applyBorder="1" applyAlignment="1">
      <alignment horizontal="right"/>
    </xf>
    <xf numFmtId="0" fontId="41" fillId="3" borderId="17" xfId="1" applyFont="1" applyFill="1" applyBorder="1" applyAlignment="1">
      <alignment horizontal="center"/>
    </xf>
    <xf numFmtId="0" fontId="41" fillId="3" borderId="3" xfId="1" applyFont="1" applyFill="1" applyBorder="1" applyAlignment="1">
      <alignment horizontal="center"/>
    </xf>
    <xf numFmtId="0" fontId="39" fillId="0" borderId="16" xfId="1" applyFont="1" applyBorder="1" applyAlignment="1">
      <alignment horizontal="right"/>
    </xf>
    <xf numFmtId="0" fontId="39" fillId="0" borderId="40" xfId="1" applyFont="1" applyBorder="1" applyAlignment="1">
      <alignment horizontal="right"/>
    </xf>
    <xf numFmtId="0" fontId="39" fillId="0" borderId="14" xfId="1" applyFont="1" applyBorder="1" applyAlignment="1">
      <alignment horizontal="right"/>
    </xf>
    <xf numFmtId="0" fontId="41" fillId="0" borderId="15" xfId="1" applyFont="1" applyBorder="1" applyAlignment="1">
      <alignment horizontal="right"/>
    </xf>
    <xf numFmtId="165" fontId="41" fillId="0" borderId="13" xfId="1" applyNumberFormat="1" applyFont="1" applyBorder="1" applyAlignment="1">
      <alignment horizontal="center"/>
    </xf>
    <xf numFmtId="165" fontId="41" fillId="0" borderId="12" xfId="1" applyNumberFormat="1" applyFont="1" applyBorder="1" applyAlignment="1">
      <alignment horizontal="center"/>
    </xf>
    <xf numFmtId="165" fontId="41" fillId="0" borderId="13" xfId="1" applyNumberFormat="1" applyFont="1" applyBorder="1" applyAlignment="1">
      <alignment horizontal="right" wrapText="1"/>
    </xf>
    <xf numFmtId="165" fontId="41" fillId="0" borderId="14" xfId="1" applyNumberFormat="1" applyFont="1" applyBorder="1" applyAlignment="1">
      <alignment horizontal="right" wrapText="1"/>
    </xf>
    <xf numFmtId="165" fontId="41" fillId="0" borderId="13" xfId="0" applyNumberFormat="1" applyFont="1" applyBorder="1" applyAlignment="1">
      <alignment horizontal="center" wrapText="1"/>
    </xf>
    <xf numFmtId="165" fontId="41" fillId="0" borderId="12" xfId="0" applyNumberFormat="1" applyFont="1" applyBorder="1" applyAlignment="1">
      <alignment horizontal="center" wrapText="1"/>
    </xf>
    <xf numFmtId="0" fontId="39" fillId="0" borderId="11" xfId="1" applyFont="1" applyBorder="1" applyAlignment="1">
      <alignment horizontal="right"/>
    </xf>
    <xf numFmtId="0" fontId="39" fillId="0" borderId="39" xfId="1" applyFont="1" applyBorder="1" applyAlignment="1">
      <alignment horizontal="right"/>
    </xf>
    <xf numFmtId="0" fontId="39" fillId="0" borderId="10" xfId="1" applyFont="1" applyBorder="1" applyAlignment="1">
      <alignment horizontal="right"/>
    </xf>
    <xf numFmtId="1" fontId="41" fillId="0" borderId="10" xfId="0" applyNumberFormat="1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0" xfId="1" applyFont="1" applyBorder="1" applyAlignment="1">
      <alignment horizontal="right"/>
    </xf>
    <xf numFmtId="0" fontId="39" fillId="0" borderId="5" xfId="1" applyFont="1" applyBorder="1" applyAlignment="1">
      <alignment horizontal="left" wrapText="1"/>
    </xf>
    <xf numFmtId="0" fontId="39" fillId="0" borderId="4" xfId="1" applyFont="1" applyBorder="1" applyAlignment="1">
      <alignment horizontal="left" wrapText="1"/>
    </xf>
    <xf numFmtId="0" fontId="39" fillId="0" borderId="3" xfId="1" applyFont="1" applyBorder="1" applyAlignment="1">
      <alignment horizontal="left" wrapText="1"/>
    </xf>
    <xf numFmtId="0" fontId="41" fillId="0" borderId="27" xfId="0" applyFont="1" applyBorder="1" applyAlignment="1">
      <alignment horizontal="left" wrapText="1"/>
    </xf>
    <xf numFmtId="0" fontId="41" fillId="0" borderId="14" xfId="0" applyFont="1" applyBorder="1" applyAlignment="1">
      <alignment horizontal="left" wrapText="1"/>
    </xf>
    <xf numFmtId="0" fontId="41" fillId="0" borderId="15" xfId="0" applyFont="1" applyBorder="1" applyAlignment="1">
      <alignment horizontal="left" wrapText="1"/>
    </xf>
    <xf numFmtId="0" fontId="41" fillId="0" borderId="26" xfId="0" applyFont="1" applyBorder="1" applyAlignment="1">
      <alignment horizontal="left" wrapText="1"/>
    </xf>
    <xf numFmtId="0" fontId="41" fillId="0" borderId="11" xfId="0" applyFont="1" applyBorder="1" applyAlignment="1">
      <alignment horizontal="left" wrapText="1"/>
    </xf>
    <xf numFmtId="0" fontId="41" fillId="0" borderId="39" xfId="0" applyFont="1" applyBorder="1" applyAlignment="1">
      <alignment horizontal="left" wrapText="1"/>
    </xf>
    <xf numFmtId="0" fontId="41" fillId="0" borderId="10" xfId="0" applyFont="1" applyBorder="1" applyAlignment="1">
      <alignment horizontal="left" wrapText="1"/>
    </xf>
    <xf numFmtId="0" fontId="41" fillId="0" borderId="22" xfId="0" applyFont="1" applyBorder="1" applyAlignment="1">
      <alignment horizontal="left" wrapText="1"/>
    </xf>
    <xf numFmtId="0" fontId="39" fillId="11" borderId="49" xfId="2" applyFont="1" applyFill="1" applyBorder="1" applyAlignment="1">
      <alignment horizontal="center"/>
    </xf>
    <xf numFmtId="0" fontId="39" fillId="11" borderId="34" xfId="2" applyFont="1" applyFill="1" applyBorder="1" applyAlignment="1">
      <alignment horizontal="center"/>
    </xf>
    <xf numFmtId="0" fontId="44" fillId="5" borderId="15" xfId="2" applyFont="1" applyFill="1" applyBorder="1" applyAlignment="1">
      <alignment horizontal="center" vertical="center" wrapText="1"/>
    </xf>
    <xf numFmtId="0" fontId="39" fillId="2" borderId="8" xfId="1" applyFont="1" applyFill="1" applyBorder="1" applyAlignment="1">
      <alignment horizontal="center"/>
    </xf>
    <xf numFmtId="0" fontId="39" fillId="2" borderId="7" xfId="1" applyFont="1" applyFill="1" applyBorder="1" applyAlignment="1">
      <alignment horizontal="center"/>
    </xf>
    <xf numFmtId="0" fontId="39" fillId="2" borderId="6" xfId="1" applyFont="1" applyFill="1" applyBorder="1" applyAlignment="1">
      <alignment horizontal="center"/>
    </xf>
    <xf numFmtId="0" fontId="41" fillId="3" borderId="15" xfId="2" applyFont="1" applyFill="1" applyBorder="1" applyAlignment="1">
      <alignment horizontal="left"/>
    </xf>
    <xf numFmtId="49" fontId="39" fillId="0" borderId="15" xfId="1" applyNumberFormat="1" applyFont="1" applyBorder="1" applyAlignment="1">
      <alignment horizontal="center"/>
    </xf>
    <xf numFmtId="0" fontId="45" fillId="3" borderId="2" xfId="2" applyFont="1" applyFill="1" applyBorder="1" applyAlignment="1">
      <alignment horizontal="center"/>
    </xf>
    <xf numFmtId="14" fontId="45" fillId="3" borderId="0" xfId="2" applyNumberFormat="1" applyFont="1" applyFill="1" applyAlignment="1">
      <alignment horizontal="center" vertical="center" wrapText="1"/>
    </xf>
  </cellXfs>
  <cellStyles count="8">
    <cellStyle name="Millares" xfId="3" builtinId="3"/>
    <cellStyle name="Millares [0]" xfId="4" builtinId="6"/>
    <cellStyle name="Normal" xfId="0" builtinId="0"/>
    <cellStyle name="Normal 2" xfId="1" xr:uid="{00000000-0005-0000-0000-000002000000}"/>
    <cellStyle name="Normal 2 2" xfId="7" xr:uid="{CFF3F39E-26C8-4CAB-B2ED-94ABFDBA4F7B}"/>
    <cellStyle name="Normal 3 2" xfId="6" xr:uid="{27FD2193-B063-4FB1-A233-0E7A2546E862}"/>
    <cellStyle name="Normal_CRITERIOS DE EVALUACION PT DE GB 2" xfId="2" xr:uid="{00000000-0005-0000-0000-000003000000}"/>
    <cellStyle name="Porcentaje 2" xfId="5" xr:uid="{0D55BE7D-65DA-4358-8CD5-877131118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119063</xdr:rowOff>
    </xdr:from>
    <xdr:to>
      <xdr:col>1</xdr:col>
      <xdr:colOff>1095374</xdr:colOff>
      <xdr:row>4</xdr:row>
      <xdr:rowOff>2212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549E65D-D777-425A-809B-34BD5C3FA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" y="119063"/>
          <a:ext cx="2083594" cy="954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87E5-E314-4433-A1E9-1B30BE9FA5CC}">
  <sheetPr>
    <pageSetUpPr fitToPage="1"/>
  </sheetPr>
  <dimension ref="A1:I5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7109375" customWidth="1"/>
    <col min="2" max="2" width="18.5703125" bestFit="1" customWidth="1"/>
    <col min="3" max="3" width="67.85546875" customWidth="1"/>
    <col min="4" max="4" width="19.42578125" customWidth="1"/>
    <col min="5" max="5" width="15" customWidth="1"/>
    <col min="6" max="6" width="12.85546875" customWidth="1"/>
    <col min="7" max="7" width="21.140625" customWidth="1"/>
    <col min="8" max="8" width="15.7109375" customWidth="1"/>
    <col min="9" max="9" width="22.7109375" bestFit="1" customWidth="1"/>
  </cols>
  <sheetData>
    <row r="1" spans="1:9" ht="16.5" x14ac:dyDescent="0.3">
      <c r="A1" s="125"/>
      <c r="B1" s="126"/>
      <c r="C1" s="131" t="s">
        <v>35</v>
      </c>
      <c r="D1" s="131"/>
      <c r="E1" s="131"/>
      <c r="F1" s="131"/>
      <c r="G1" s="131"/>
      <c r="H1" s="98" t="s">
        <v>34</v>
      </c>
      <c r="I1" s="99" t="s">
        <v>123</v>
      </c>
    </row>
    <row r="2" spans="1:9" ht="18" customHeight="1" thickBot="1" x14ac:dyDescent="0.3">
      <c r="A2" s="127"/>
      <c r="B2" s="128"/>
      <c r="C2" s="132" t="s">
        <v>33</v>
      </c>
      <c r="D2" s="133"/>
      <c r="E2" s="133"/>
      <c r="F2" s="133"/>
      <c r="G2" s="134"/>
      <c r="H2" s="100" t="s">
        <v>32</v>
      </c>
      <c r="I2" s="101" t="s">
        <v>112</v>
      </c>
    </row>
    <row r="3" spans="1:9" ht="31.5" customHeight="1" thickBot="1" x14ac:dyDescent="0.25">
      <c r="A3" s="127"/>
      <c r="B3" s="128"/>
      <c r="C3" s="274" t="s">
        <v>110</v>
      </c>
      <c r="D3" s="274"/>
      <c r="E3" s="274"/>
      <c r="F3" s="274"/>
      <c r="G3" s="274"/>
      <c r="H3" s="135" t="s">
        <v>31</v>
      </c>
      <c r="I3" s="116">
        <v>45618</v>
      </c>
    </row>
    <row r="4" spans="1:9" ht="18" customHeight="1" x14ac:dyDescent="0.25">
      <c r="A4" s="127"/>
      <c r="B4" s="128"/>
      <c r="C4" s="102" t="s">
        <v>30</v>
      </c>
      <c r="D4" s="119" t="s">
        <v>113</v>
      </c>
      <c r="E4" s="120"/>
      <c r="F4" s="120"/>
      <c r="G4" s="121"/>
      <c r="H4" s="136"/>
      <c r="I4" s="117"/>
    </row>
    <row r="5" spans="1:9" ht="14.25" thickBot="1" x14ac:dyDescent="0.3">
      <c r="A5" s="129"/>
      <c r="B5" s="130"/>
      <c r="C5" s="103" t="s">
        <v>29</v>
      </c>
      <c r="D5" s="122" t="s">
        <v>114</v>
      </c>
      <c r="E5" s="123"/>
      <c r="F5" s="123"/>
      <c r="G5" s="124"/>
      <c r="H5" s="137"/>
      <c r="I5" s="118"/>
    </row>
    <row r="6" spans="1:9" ht="18.75" thickBot="1" x14ac:dyDescent="0.3">
      <c r="A6" s="108" t="s">
        <v>28</v>
      </c>
      <c r="B6" s="108"/>
      <c r="C6" s="108"/>
      <c r="D6" s="280" t="s">
        <v>27</v>
      </c>
      <c r="E6" s="280"/>
      <c r="F6" s="280"/>
      <c r="G6" s="109" t="s">
        <v>26</v>
      </c>
      <c r="H6" s="109"/>
      <c r="I6" s="281" t="s">
        <v>25</v>
      </c>
    </row>
    <row r="7" spans="1:9" ht="17.25" customHeight="1" x14ac:dyDescent="0.2">
      <c r="A7" s="110" t="s">
        <v>24</v>
      </c>
      <c r="B7" s="112" t="s">
        <v>99</v>
      </c>
      <c r="C7" s="114" t="s">
        <v>23</v>
      </c>
      <c r="D7" s="114" t="s">
        <v>22</v>
      </c>
      <c r="E7" s="114" t="s">
        <v>21</v>
      </c>
      <c r="F7" s="114"/>
      <c r="G7" s="114" t="s">
        <v>20</v>
      </c>
      <c r="H7" s="114"/>
      <c r="I7" s="104" t="s">
        <v>19</v>
      </c>
    </row>
    <row r="8" spans="1:9" ht="29.25" customHeight="1" thickBot="1" x14ac:dyDescent="0.25">
      <c r="A8" s="111"/>
      <c r="B8" s="113"/>
      <c r="C8" s="115"/>
      <c r="D8" s="115"/>
      <c r="E8" s="105" t="s">
        <v>10</v>
      </c>
      <c r="F8" s="106" t="s">
        <v>18</v>
      </c>
      <c r="G8" s="105" t="s">
        <v>10</v>
      </c>
      <c r="H8" s="106" t="s">
        <v>18</v>
      </c>
      <c r="I8" s="107" t="s">
        <v>17</v>
      </c>
    </row>
    <row r="9" spans="1:9" ht="18.600000000000001" customHeight="1" x14ac:dyDescent="0.3">
      <c r="A9" s="169"/>
      <c r="B9" s="170"/>
      <c r="C9" s="171" t="s">
        <v>115</v>
      </c>
      <c r="D9" s="172"/>
      <c r="E9" s="173"/>
      <c r="F9" s="174"/>
      <c r="G9" s="173"/>
      <c r="H9" s="174"/>
      <c r="I9" s="175"/>
    </row>
    <row r="10" spans="1:9" ht="20.25" x14ac:dyDescent="0.3">
      <c r="A10" s="176" t="s">
        <v>37</v>
      </c>
      <c r="B10" s="177" t="s">
        <v>100</v>
      </c>
      <c r="C10" s="178" t="s">
        <v>38</v>
      </c>
      <c r="D10" s="179" t="s">
        <v>116</v>
      </c>
      <c r="E10" s="180">
        <v>400</v>
      </c>
      <c r="F10" s="181" t="s">
        <v>1</v>
      </c>
      <c r="G10" s="182"/>
      <c r="H10" s="183"/>
      <c r="I10" s="175"/>
    </row>
    <row r="11" spans="1:9" ht="20.25" x14ac:dyDescent="0.3">
      <c r="A11" s="179" t="s">
        <v>36</v>
      </c>
      <c r="B11" s="179" t="s">
        <v>101</v>
      </c>
      <c r="C11" s="184" t="s">
        <v>16</v>
      </c>
      <c r="D11" s="179" t="s">
        <v>11</v>
      </c>
      <c r="E11" s="180">
        <v>850</v>
      </c>
      <c r="F11" s="181" t="s">
        <v>1</v>
      </c>
      <c r="G11" s="182"/>
      <c r="H11" s="183"/>
      <c r="I11" s="175"/>
    </row>
    <row r="12" spans="1:9" ht="20.25" x14ac:dyDescent="0.3">
      <c r="A12" s="185" t="s">
        <v>39</v>
      </c>
      <c r="B12" s="185" t="s">
        <v>102</v>
      </c>
      <c r="C12" s="186" t="s">
        <v>40</v>
      </c>
      <c r="D12" s="187"/>
      <c r="E12" s="188">
        <v>1100</v>
      </c>
      <c r="F12" s="189" t="s">
        <v>1</v>
      </c>
      <c r="G12" s="177"/>
      <c r="H12" s="183"/>
      <c r="I12" s="175"/>
    </row>
    <row r="13" spans="1:9" ht="20.25" x14ac:dyDescent="0.3">
      <c r="A13" s="177" t="s">
        <v>15</v>
      </c>
      <c r="B13" s="177" t="s">
        <v>103</v>
      </c>
      <c r="C13" s="190" t="s">
        <v>14</v>
      </c>
      <c r="D13" s="177" t="s">
        <v>117</v>
      </c>
      <c r="E13" s="177">
        <v>10</v>
      </c>
      <c r="F13" s="177" t="s">
        <v>1</v>
      </c>
      <c r="G13" s="177"/>
      <c r="H13" s="183"/>
      <c r="I13" s="175"/>
    </row>
    <row r="14" spans="1:9" ht="20.25" x14ac:dyDescent="0.3">
      <c r="A14" s="191">
        <v>90100396</v>
      </c>
      <c r="B14" s="191"/>
      <c r="C14" s="192" t="s">
        <v>41</v>
      </c>
      <c r="D14" s="177" t="s">
        <v>11</v>
      </c>
      <c r="E14" s="177">
        <v>4300</v>
      </c>
      <c r="F14" s="177" t="s">
        <v>1</v>
      </c>
      <c r="G14" s="177"/>
      <c r="H14" s="183"/>
      <c r="I14" s="175"/>
    </row>
    <row r="15" spans="1:9" ht="20.25" x14ac:dyDescent="0.3">
      <c r="A15" s="191" t="s">
        <v>13</v>
      </c>
      <c r="B15" s="191" t="s">
        <v>104</v>
      </c>
      <c r="C15" s="192" t="s">
        <v>12</v>
      </c>
      <c r="D15" s="177" t="s">
        <v>11</v>
      </c>
      <c r="E15" s="177">
        <v>250</v>
      </c>
      <c r="F15" s="177" t="s">
        <v>1</v>
      </c>
      <c r="G15" s="177"/>
      <c r="H15" s="183"/>
      <c r="I15" s="175"/>
    </row>
    <row r="16" spans="1:9" ht="20.25" x14ac:dyDescent="0.3">
      <c r="A16" s="191" t="s">
        <v>42</v>
      </c>
      <c r="B16" s="191"/>
      <c r="C16" s="192" t="s">
        <v>43</v>
      </c>
      <c r="D16" s="177"/>
      <c r="E16" s="177">
        <v>500</v>
      </c>
      <c r="F16" s="177"/>
      <c r="G16" s="177"/>
      <c r="H16" s="183"/>
      <c r="I16" s="175"/>
    </row>
    <row r="17" spans="1:9" ht="20.25" x14ac:dyDescent="0.3">
      <c r="A17" s="191"/>
      <c r="B17" s="191"/>
      <c r="C17" s="192"/>
      <c r="D17" s="177"/>
      <c r="E17" s="177"/>
      <c r="F17" s="177"/>
      <c r="G17" s="177"/>
      <c r="H17" s="183"/>
      <c r="I17" s="175"/>
    </row>
    <row r="18" spans="1:9" ht="20.25" x14ac:dyDescent="0.3">
      <c r="A18" s="191"/>
      <c r="B18" s="191"/>
      <c r="C18" s="192"/>
      <c r="D18" s="177"/>
      <c r="E18" s="177"/>
      <c r="F18" s="177"/>
      <c r="G18" s="177"/>
      <c r="H18" s="183"/>
      <c r="I18" s="175"/>
    </row>
    <row r="19" spans="1:9" ht="20.25" x14ac:dyDescent="0.3">
      <c r="A19" s="191"/>
      <c r="B19" s="191"/>
      <c r="C19" s="192"/>
      <c r="D19" s="177"/>
      <c r="E19" s="177"/>
      <c r="F19" s="177"/>
      <c r="G19" s="177"/>
      <c r="H19" s="183"/>
      <c r="I19" s="175"/>
    </row>
    <row r="20" spans="1:9" ht="20.25" x14ac:dyDescent="0.3">
      <c r="A20" s="191"/>
      <c r="B20" s="191"/>
      <c r="C20" s="192"/>
      <c r="D20" s="177"/>
      <c r="E20" s="177"/>
      <c r="F20" s="177"/>
      <c r="G20" s="177"/>
      <c r="H20" s="183"/>
      <c r="I20" s="175"/>
    </row>
    <row r="21" spans="1:9" ht="20.25" x14ac:dyDescent="0.3">
      <c r="A21" s="191"/>
      <c r="B21" s="191"/>
      <c r="C21" s="192"/>
      <c r="D21" s="177"/>
      <c r="E21" s="177"/>
      <c r="F21" s="177"/>
      <c r="G21" s="177"/>
      <c r="H21" s="183"/>
      <c r="I21" s="175"/>
    </row>
    <row r="22" spans="1:9" ht="20.25" x14ac:dyDescent="0.3">
      <c r="A22" s="177"/>
      <c r="B22" s="177"/>
      <c r="C22" s="178"/>
      <c r="D22" s="177"/>
      <c r="E22" s="177"/>
      <c r="F22" s="177"/>
      <c r="G22" s="177"/>
      <c r="H22" s="183"/>
      <c r="I22" s="175"/>
    </row>
    <row r="23" spans="1:9" ht="20.25" x14ac:dyDescent="0.3">
      <c r="A23" s="177"/>
      <c r="B23" s="177"/>
      <c r="C23" s="178"/>
      <c r="D23" s="177"/>
      <c r="E23" s="177"/>
      <c r="F23" s="177"/>
      <c r="G23" s="177"/>
      <c r="H23" s="183"/>
      <c r="I23" s="175"/>
    </row>
    <row r="24" spans="1:9" ht="20.25" x14ac:dyDescent="0.3">
      <c r="A24" s="193"/>
      <c r="B24" s="194"/>
      <c r="C24" s="195" t="s">
        <v>118</v>
      </c>
      <c r="D24" s="177"/>
      <c r="E24" s="177"/>
      <c r="F24" s="177"/>
      <c r="G24" s="177"/>
      <c r="H24" s="183"/>
      <c r="I24" s="175"/>
    </row>
    <row r="25" spans="1:9" ht="20.25" x14ac:dyDescent="0.3">
      <c r="A25" s="196"/>
      <c r="B25" s="177"/>
      <c r="C25" s="178"/>
      <c r="D25" s="197"/>
      <c r="E25" s="197"/>
      <c r="F25" s="197"/>
      <c r="G25" s="173"/>
      <c r="H25" s="183"/>
      <c r="I25" s="175"/>
    </row>
    <row r="26" spans="1:9" ht="20.25" x14ac:dyDescent="0.3">
      <c r="A26" s="193"/>
      <c r="B26" s="194"/>
      <c r="C26" s="195"/>
      <c r="D26" s="198"/>
      <c r="E26" s="199"/>
      <c r="F26" s="200"/>
      <c r="G26" s="173"/>
      <c r="H26" s="183"/>
      <c r="I26" s="175"/>
    </row>
    <row r="27" spans="1:9" ht="20.25" x14ac:dyDescent="0.3">
      <c r="A27" s="201"/>
      <c r="B27" s="202"/>
      <c r="C27" s="203"/>
      <c r="D27" s="204"/>
      <c r="E27" s="205"/>
      <c r="F27" s="206"/>
      <c r="G27" s="173"/>
      <c r="H27" s="183"/>
      <c r="I27" s="175"/>
    </row>
    <row r="28" spans="1:9" ht="20.25" x14ac:dyDescent="0.3">
      <c r="A28" s="177"/>
      <c r="B28" s="177"/>
      <c r="C28" s="178"/>
      <c r="D28" s="207"/>
      <c r="E28" s="176"/>
      <c r="F28" s="208"/>
      <c r="G28" s="173"/>
      <c r="H28" s="174"/>
      <c r="I28" s="175"/>
    </row>
    <row r="29" spans="1:9" ht="20.25" x14ac:dyDescent="0.3">
      <c r="A29" s="279"/>
      <c r="B29" s="279"/>
      <c r="C29" s="209" t="s">
        <v>25</v>
      </c>
      <c r="D29" s="210"/>
      <c r="E29" s="211"/>
      <c r="F29" s="174"/>
      <c r="G29" s="173"/>
      <c r="H29" s="212"/>
      <c r="I29" s="175"/>
    </row>
    <row r="30" spans="1:9" ht="20.25" x14ac:dyDescent="0.3">
      <c r="A30" s="213"/>
      <c r="B30" s="214"/>
      <c r="C30" s="215"/>
      <c r="D30" s="177"/>
      <c r="E30" s="176"/>
      <c r="F30" s="208"/>
      <c r="G30" s="216"/>
      <c r="H30" s="174"/>
      <c r="I30" s="175"/>
    </row>
    <row r="31" spans="1:9" ht="20.25" x14ac:dyDescent="0.3">
      <c r="A31" s="213"/>
      <c r="B31" s="214"/>
      <c r="C31" s="215"/>
      <c r="D31" s="177"/>
      <c r="E31" s="176"/>
      <c r="F31" s="208"/>
      <c r="G31" s="216"/>
      <c r="H31" s="174"/>
      <c r="I31" s="175"/>
    </row>
    <row r="32" spans="1:9" ht="20.25" x14ac:dyDescent="0.3">
      <c r="A32" s="217"/>
      <c r="B32" s="218"/>
      <c r="C32" s="219"/>
      <c r="D32" s="177"/>
      <c r="E32" s="176"/>
      <c r="F32" s="208"/>
      <c r="G32" s="216"/>
      <c r="H32" s="174"/>
      <c r="I32" s="175"/>
    </row>
    <row r="33" spans="1:9" ht="20.25" x14ac:dyDescent="0.3">
      <c r="A33" s="179"/>
      <c r="B33" s="179"/>
      <c r="C33" s="184"/>
      <c r="D33" s="177"/>
      <c r="E33" s="176"/>
      <c r="F33" s="208"/>
      <c r="G33" s="173"/>
      <c r="H33" s="174"/>
      <c r="I33" s="175"/>
    </row>
    <row r="34" spans="1:9" ht="20.25" x14ac:dyDescent="0.3">
      <c r="A34" s="179"/>
      <c r="B34" s="179"/>
      <c r="C34" s="184"/>
      <c r="D34" s="177"/>
      <c r="E34" s="176"/>
      <c r="F34" s="208"/>
      <c r="G34" s="173"/>
      <c r="H34" s="174"/>
      <c r="I34" s="175"/>
    </row>
    <row r="35" spans="1:9" ht="20.25" x14ac:dyDescent="0.3">
      <c r="A35" s="179"/>
      <c r="B35" s="179"/>
      <c r="C35" s="184"/>
      <c r="D35" s="177"/>
      <c r="E35" s="176"/>
      <c r="F35" s="208"/>
      <c r="G35" s="220"/>
      <c r="H35" s="174"/>
      <c r="I35" s="175"/>
    </row>
    <row r="36" spans="1:9" ht="20.25" x14ac:dyDescent="0.3">
      <c r="A36" s="179"/>
      <c r="B36" s="179"/>
      <c r="C36" s="184"/>
      <c r="D36" s="177"/>
      <c r="E36" s="176"/>
      <c r="F36" s="208"/>
      <c r="G36" s="221"/>
      <c r="H36" s="174"/>
      <c r="I36" s="175"/>
    </row>
    <row r="37" spans="1:9" ht="20.25" x14ac:dyDescent="0.3">
      <c r="A37" s="222"/>
      <c r="B37" s="222"/>
      <c r="C37" s="223"/>
      <c r="D37" s="177"/>
      <c r="E37" s="208"/>
      <c r="F37" s="208"/>
      <c r="G37" s="221"/>
      <c r="H37" s="174"/>
      <c r="I37" s="175"/>
    </row>
    <row r="38" spans="1:9" ht="21" thickBot="1" x14ac:dyDescent="0.35">
      <c r="A38" s="224"/>
      <c r="B38" s="225"/>
      <c r="C38" s="226"/>
      <c r="D38" s="226"/>
      <c r="E38" s="227"/>
      <c r="F38" s="228"/>
      <c r="G38" s="226"/>
      <c r="H38" s="226"/>
      <c r="I38" s="229"/>
    </row>
    <row r="39" spans="1:9" ht="21" thickBot="1" x14ac:dyDescent="0.35">
      <c r="A39" s="230"/>
      <c r="B39" s="231"/>
      <c r="C39" s="232"/>
      <c r="D39" s="233" t="s">
        <v>10</v>
      </c>
      <c r="E39" s="234" t="s">
        <v>9</v>
      </c>
      <c r="F39" s="235"/>
      <c r="G39" s="232"/>
      <c r="H39" s="232"/>
      <c r="I39" s="236"/>
    </row>
    <row r="40" spans="1:9" ht="20.25" x14ac:dyDescent="0.3">
      <c r="A40" s="237" t="s">
        <v>8</v>
      </c>
      <c r="B40" s="238"/>
      <c r="C40" s="239"/>
      <c r="D40" s="240">
        <v>6700</v>
      </c>
      <c r="E40" s="241" t="s">
        <v>1</v>
      </c>
      <c r="F40" s="242" t="s">
        <v>119</v>
      </c>
      <c r="G40" s="242"/>
      <c r="H40" s="243"/>
      <c r="I40" s="244"/>
    </row>
    <row r="41" spans="1:9" ht="20.25" x14ac:dyDescent="0.3">
      <c r="A41" s="245" t="s">
        <v>7</v>
      </c>
      <c r="B41" s="246"/>
      <c r="C41" s="247"/>
      <c r="D41" s="176">
        <v>8</v>
      </c>
      <c r="E41" s="177" t="s">
        <v>6</v>
      </c>
      <c r="F41" s="248" t="s">
        <v>120</v>
      </c>
      <c r="G41" s="248"/>
      <c r="H41" s="249"/>
      <c r="I41" s="250"/>
    </row>
    <row r="42" spans="1:9" ht="20.25" x14ac:dyDescent="0.3">
      <c r="A42" s="245" t="s">
        <v>5</v>
      </c>
      <c r="B42" s="246"/>
      <c r="C42" s="247"/>
      <c r="D42" s="176">
        <v>83.75</v>
      </c>
      <c r="E42" s="177" t="s">
        <v>4</v>
      </c>
      <c r="F42" s="248" t="s">
        <v>121</v>
      </c>
      <c r="G42" s="248"/>
      <c r="H42" s="249"/>
      <c r="I42" s="250"/>
    </row>
    <row r="43" spans="1:9" ht="20.25" x14ac:dyDescent="0.3">
      <c r="A43" s="245" t="s">
        <v>3</v>
      </c>
      <c r="B43" s="246"/>
      <c r="C43" s="247"/>
      <c r="D43" s="176">
        <v>80</v>
      </c>
      <c r="E43" s="177" t="s">
        <v>1</v>
      </c>
      <c r="F43" s="251" t="s">
        <v>122</v>
      </c>
      <c r="G43" s="252"/>
      <c r="H43" s="253"/>
      <c r="I43" s="254"/>
    </row>
    <row r="44" spans="1:9" ht="21" thickBot="1" x14ac:dyDescent="0.35">
      <c r="A44" s="255" t="s">
        <v>2</v>
      </c>
      <c r="B44" s="256"/>
      <c r="C44" s="257"/>
      <c r="D44" s="258">
        <v>710</v>
      </c>
      <c r="E44" s="259" t="s">
        <v>1</v>
      </c>
      <c r="F44" s="260"/>
      <c r="G44" s="260"/>
      <c r="H44" s="249"/>
      <c r="I44" s="250"/>
    </row>
    <row r="45" spans="1:9" ht="21" thickBot="1" x14ac:dyDescent="0.35">
      <c r="A45" s="275" t="s">
        <v>0</v>
      </c>
      <c r="B45" s="276"/>
      <c r="C45" s="276"/>
      <c r="D45" s="276"/>
      <c r="E45" s="276"/>
      <c r="F45" s="276"/>
      <c r="G45" s="276"/>
      <c r="H45" s="276"/>
      <c r="I45" s="277"/>
    </row>
    <row r="46" spans="1:9" ht="20.25" x14ac:dyDescent="0.3">
      <c r="A46" s="261" t="s">
        <v>105</v>
      </c>
      <c r="B46" s="262"/>
      <c r="C46" s="262"/>
      <c r="D46" s="262"/>
      <c r="E46" s="262"/>
      <c r="F46" s="262"/>
      <c r="G46" s="262"/>
      <c r="H46" s="262"/>
      <c r="I46" s="263"/>
    </row>
    <row r="47" spans="1:9" ht="20.25" x14ac:dyDescent="0.3">
      <c r="A47" s="261" t="s">
        <v>106</v>
      </c>
      <c r="B47" s="262"/>
      <c r="C47" s="262"/>
      <c r="D47" s="262"/>
      <c r="E47" s="262"/>
      <c r="F47" s="262"/>
      <c r="G47" s="262"/>
      <c r="H47" s="262"/>
      <c r="I47" s="263"/>
    </row>
    <row r="48" spans="1:9" ht="20.25" x14ac:dyDescent="0.3">
      <c r="A48" s="261" t="s">
        <v>109</v>
      </c>
      <c r="B48" s="262"/>
      <c r="C48" s="262"/>
      <c r="D48" s="262"/>
      <c r="E48" s="262"/>
      <c r="F48" s="262"/>
      <c r="G48" s="262"/>
      <c r="H48" s="262"/>
      <c r="I48" s="263"/>
    </row>
    <row r="49" spans="1:9" ht="20.25" x14ac:dyDescent="0.3">
      <c r="A49" s="261" t="s">
        <v>107</v>
      </c>
      <c r="B49" s="262"/>
      <c r="C49" s="262"/>
      <c r="D49" s="262"/>
      <c r="E49" s="262"/>
      <c r="F49" s="262"/>
      <c r="G49" s="262"/>
      <c r="H49" s="262"/>
      <c r="I49" s="263"/>
    </row>
    <row r="50" spans="1:9" ht="20.25" x14ac:dyDescent="0.3">
      <c r="A50" s="261" t="s">
        <v>108</v>
      </c>
      <c r="B50" s="262"/>
      <c r="C50" s="262"/>
      <c r="D50" s="262"/>
      <c r="E50" s="262"/>
      <c r="F50" s="262"/>
      <c r="G50" s="262"/>
      <c r="H50" s="262"/>
      <c r="I50" s="263"/>
    </row>
    <row r="51" spans="1:9" ht="18" customHeight="1" x14ac:dyDescent="0.3">
      <c r="A51" s="264"/>
      <c r="B51" s="265"/>
      <c r="C51" s="266"/>
      <c r="D51" s="266"/>
      <c r="E51" s="266"/>
      <c r="F51" s="266"/>
      <c r="G51" s="266"/>
      <c r="H51" s="266"/>
      <c r="I51" s="267"/>
    </row>
    <row r="52" spans="1:9" ht="20.25" x14ac:dyDescent="0.3">
      <c r="A52" s="264"/>
      <c r="B52" s="265"/>
      <c r="C52" s="266"/>
      <c r="D52" s="266"/>
      <c r="E52" s="266"/>
      <c r="F52" s="266"/>
      <c r="G52" s="266"/>
      <c r="H52" s="266"/>
      <c r="I52" s="267"/>
    </row>
    <row r="53" spans="1:9" ht="21" thickBot="1" x14ac:dyDescent="0.35">
      <c r="A53" s="268"/>
      <c r="B53" s="269"/>
      <c r="C53" s="270"/>
      <c r="D53" s="270"/>
      <c r="E53" s="270"/>
      <c r="F53" s="270"/>
      <c r="G53" s="270"/>
      <c r="H53" s="270"/>
      <c r="I53" s="271"/>
    </row>
    <row r="54" spans="1:9" ht="20.25" x14ac:dyDescent="0.3">
      <c r="A54" s="272" t="s">
        <v>111</v>
      </c>
      <c r="B54" s="273"/>
      <c r="C54" s="273"/>
      <c r="D54" s="273"/>
      <c r="E54" s="273"/>
      <c r="F54" s="273"/>
      <c r="G54" s="273"/>
      <c r="H54" s="273"/>
      <c r="I54" s="273"/>
    </row>
    <row r="55" spans="1:9" ht="20.25" x14ac:dyDescent="0.3">
      <c r="A55" s="278"/>
      <c r="B55" s="278"/>
      <c r="C55" s="278"/>
      <c r="D55" s="278"/>
      <c r="E55" s="278"/>
      <c r="F55" s="278"/>
      <c r="G55" s="278"/>
      <c r="H55" s="278"/>
      <c r="I55" s="278"/>
    </row>
    <row r="56" spans="1:9" ht="20.25" x14ac:dyDescent="0.3">
      <c r="A56" s="278"/>
      <c r="B56" s="278"/>
      <c r="C56" s="278"/>
      <c r="D56" s="278"/>
      <c r="E56" s="278"/>
      <c r="F56" s="278"/>
      <c r="G56" s="278"/>
      <c r="H56" s="278"/>
      <c r="I56" s="278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AF82-E795-4E58-8675-4CE3DFB53C75}">
  <dimension ref="A1:Q91"/>
  <sheetViews>
    <sheetView topLeftCell="A59" workbookViewId="0">
      <selection activeCell="G60" sqref="G60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71093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71093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71093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71093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71093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71093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71093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71093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71093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71093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71093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71093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71093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71093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71093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71093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71093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71093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71093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71093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71093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71093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71093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71093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71093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71093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71093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71093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71093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71093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71093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71093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71093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71093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71093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71093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71093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71093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71093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71093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71093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71093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71093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71093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71093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71093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71093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71093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71093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71093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71093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71093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71093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71093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71093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71093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71093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71093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71093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71093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71093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71093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71093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44</v>
      </c>
      <c r="F1" s="3" t="s">
        <v>45</v>
      </c>
      <c r="G1" s="3" t="s">
        <v>46</v>
      </c>
      <c r="H1" s="3" t="s">
        <v>47</v>
      </c>
      <c r="I1" s="4"/>
    </row>
    <row r="2" spans="1:10" ht="30.75" customHeight="1" x14ac:dyDescent="0.2">
      <c r="A2" s="1"/>
      <c r="B2" s="1"/>
      <c r="C2" s="1"/>
      <c r="D2" s="1"/>
      <c r="E2" s="7">
        <f>IFERROR(O62,"")</f>
        <v>97.56608720434663</v>
      </c>
      <c r="F2" s="7">
        <f>IFERROR(H53,"")</f>
        <v>83.325283018867921</v>
      </c>
      <c r="G2" s="7">
        <f>IFERROR(H54,"")</f>
        <v>0.67905437556154535</v>
      </c>
      <c r="H2" s="7">
        <f>IFERROR(H56,"")</f>
        <v>8.0199485260593004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164"/>
      <c r="B4" s="164"/>
      <c r="C4" s="164"/>
      <c r="D4" s="164"/>
      <c r="E4" s="164"/>
      <c r="F4" s="164"/>
      <c r="G4" s="164"/>
      <c r="H4" s="164"/>
      <c r="I4" s="10"/>
    </row>
    <row r="5" spans="1:10" ht="19.5" customHeight="1" thickBot="1" x14ac:dyDescent="0.25">
      <c r="A5" s="165" t="s">
        <v>48</v>
      </c>
      <c r="B5" s="166"/>
      <c r="C5" s="166"/>
      <c r="D5" s="166"/>
      <c r="E5" s="166"/>
      <c r="F5" s="166"/>
      <c r="G5" s="166"/>
      <c r="H5" s="167"/>
      <c r="I5" s="11"/>
    </row>
    <row r="6" spans="1:10" ht="19.5" thickBot="1" x14ac:dyDescent="0.25">
      <c r="A6" s="11"/>
      <c r="B6" s="11"/>
      <c r="C6" s="11"/>
      <c r="D6" s="11"/>
      <c r="E6" s="11"/>
      <c r="F6" s="168" t="s">
        <v>49</v>
      </c>
      <c r="G6" s="168"/>
      <c r="H6" s="12">
        <f ca="1">TODAY()</f>
        <v>45943</v>
      </c>
      <c r="I6" s="12"/>
    </row>
    <row r="7" spans="1:10" ht="26.25" thickBot="1" x14ac:dyDescent="0.25">
      <c r="A7" s="13" t="s">
        <v>50</v>
      </c>
      <c r="B7" s="14" t="s">
        <v>51</v>
      </c>
      <c r="C7" s="14" t="s">
        <v>50</v>
      </c>
      <c r="D7" s="15" t="s">
        <v>52</v>
      </c>
      <c r="E7" s="15" t="s">
        <v>53</v>
      </c>
      <c r="F7" s="15" t="s">
        <v>54</v>
      </c>
      <c r="G7" s="15" t="s">
        <v>55</v>
      </c>
      <c r="H7" s="16" t="s">
        <v>56</v>
      </c>
      <c r="I7" s="17"/>
    </row>
    <row r="8" spans="1:10" ht="13.5" x14ac:dyDescent="0.25">
      <c r="A8" s="18">
        <v>400</v>
      </c>
      <c r="B8" s="6" t="str">
        <f>IFERROR(VLOOKUP(H8,'[1]Consolidado MP Planta'!$A$2:$M$823,3,0),"")</f>
        <v>LACTOCREMA GRANEL (CAJA:25 KG)</v>
      </c>
      <c r="C8" s="19">
        <f>+A8</f>
        <v>400</v>
      </c>
      <c r="D8" s="20" t="str">
        <f>IFERROR(VLOOKUP(H8,'[1]Consolidado MP Planta'!$A$2:$M$823,13,0),"")</f>
        <v>Gramos</v>
      </c>
      <c r="E8" s="20">
        <v>3.49</v>
      </c>
      <c r="F8" s="20">
        <f>IFERROR(C8*E8,"")</f>
        <v>1396</v>
      </c>
      <c r="G8" s="21">
        <f t="shared" ref="G8:G14" si="0">IFERROR(F8/$F$66,"")</f>
        <v>0.227372919114704</v>
      </c>
      <c r="H8" s="22" t="s">
        <v>37</v>
      </c>
      <c r="I8" s="22"/>
      <c r="J8" s="23"/>
    </row>
    <row r="9" spans="1:10" ht="13.5" x14ac:dyDescent="0.25">
      <c r="A9" s="18">
        <v>1100</v>
      </c>
      <c r="B9" s="6" t="s">
        <v>57</v>
      </c>
      <c r="C9" s="19">
        <f t="shared" ref="C9:C14" si="1">+A9</f>
        <v>1100</v>
      </c>
      <c r="D9" s="20" t="s">
        <v>58</v>
      </c>
      <c r="E9" s="20">
        <v>2.8</v>
      </c>
      <c r="F9" s="20">
        <f t="shared" ref="F9:F14" si="2">IFERROR(C9*E9,"")</f>
        <v>3080</v>
      </c>
      <c r="G9" s="21">
        <f t="shared" si="0"/>
        <v>0.50165371839060768</v>
      </c>
      <c r="H9" s="22" t="s">
        <v>59</v>
      </c>
      <c r="I9" s="22"/>
      <c r="J9" s="23"/>
    </row>
    <row r="10" spans="1:10" ht="13.5" x14ac:dyDescent="0.25">
      <c r="A10" s="18">
        <v>10</v>
      </c>
      <c r="B10" s="6" t="str">
        <f>IFERROR(VLOOKUP(H10,'[1]Consolidado MP Planta'!$A$2:$M$823,3,0),"")</f>
        <v>PRESERVANTE 1047S (PAQ=5 KILO)</v>
      </c>
      <c r="C10" s="19">
        <f t="shared" si="1"/>
        <v>10</v>
      </c>
      <c r="D10" s="20" t="str">
        <f>IFERROR(VLOOKUP(H10,'[1]Consolidado MP Planta'!$A$2:$M$823,13,0),"")</f>
        <v>Gramos</v>
      </c>
      <c r="E10" s="20">
        <v>7.88</v>
      </c>
      <c r="F10" s="20">
        <f t="shared" si="2"/>
        <v>78.8</v>
      </c>
      <c r="G10" s="21">
        <f t="shared" si="0"/>
        <v>1.2834517210772689E-2</v>
      </c>
      <c r="H10" s="22" t="s">
        <v>15</v>
      </c>
      <c r="I10" s="22"/>
      <c r="J10" s="23"/>
    </row>
    <row r="11" spans="1:10" ht="13.5" x14ac:dyDescent="0.25">
      <c r="A11" s="18">
        <v>500</v>
      </c>
      <c r="B11" s="6" t="str">
        <f>IFERROR(VLOOKUP(H11,'[1]Consolidado MP Planta'!$A$2:$M$823,3,0),"")</f>
        <v>AGUA PLANTA</v>
      </c>
      <c r="C11" s="19">
        <f t="shared" si="1"/>
        <v>500</v>
      </c>
      <c r="D11" s="20" t="str">
        <f>IFERROR(VLOOKUP(H11,'[1]Consolidado MP Planta'!$A$2:$M$823,13,0),"")</f>
        <v>Mililitros</v>
      </c>
      <c r="E11" s="20">
        <f>IFERROR(VLOOKUP(H11,'[1]Consolidado MP Planta'!$A$2:$M$823,12,0),"")</f>
        <v>0.1</v>
      </c>
      <c r="F11" s="20">
        <f t="shared" si="2"/>
        <v>50</v>
      </c>
      <c r="G11" s="21">
        <f t="shared" si="0"/>
        <v>8.1437291946527216E-3</v>
      </c>
      <c r="H11" s="22" t="s">
        <v>42</v>
      </c>
      <c r="I11" s="22"/>
      <c r="J11" s="23"/>
    </row>
    <row r="12" spans="1:10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25">
      <c r="A16" s="13" t="s">
        <v>50</v>
      </c>
      <c r="B16" s="14" t="s">
        <v>60</v>
      </c>
      <c r="C16" s="14" t="s">
        <v>50</v>
      </c>
      <c r="D16" s="15" t="s">
        <v>52</v>
      </c>
      <c r="E16" s="15" t="s">
        <v>53</v>
      </c>
      <c r="F16" s="15" t="s">
        <v>54</v>
      </c>
      <c r="G16" s="15" t="s">
        <v>55</v>
      </c>
      <c r="H16" s="16" t="s">
        <v>56</v>
      </c>
      <c r="I16" s="17"/>
      <c r="J16" s="23"/>
    </row>
    <row r="17" spans="1:12" ht="13.5" x14ac:dyDescent="0.25">
      <c r="A17" s="18">
        <v>850</v>
      </c>
      <c r="B17" s="6" t="str">
        <f>IFERROR(VLOOKUP(H17,[1]SEMIELABORADOS!$A$2:$M$6000,2,0),"")</f>
        <v>AZUCAR BLANCO INDUSTRIAL KILO</v>
      </c>
      <c r="C17" s="19">
        <f>+A17</f>
        <v>850</v>
      </c>
      <c r="D17" s="19" t="str">
        <f>IFERROR(VLOOKUP(H17,[1]SEMIELABORADOS!$A$2:$M$6000,6,0),"")</f>
        <v>Gramo</v>
      </c>
      <c r="E17" s="20">
        <v>0.43</v>
      </c>
      <c r="F17" s="20">
        <f>IFERROR(E17*C17,"")</f>
        <v>365.5</v>
      </c>
      <c r="G17" s="21">
        <f t="shared" ref="G17:G24" si="3">IFERROR(F17/$F$66,"")</f>
        <v>5.9530660412911399E-2</v>
      </c>
      <c r="H17" s="22" t="s">
        <v>36</v>
      </c>
      <c r="I17" s="22"/>
      <c r="J17" s="23"/>
    </row>
    <row r="18" spans="1:12" ht="13.5" x14ac:dyDescent="0.25">
      <c r="A18" s="18">
        <v>250</v>
      </c>
      <c r="B18" s="6" t="str">
        <f>IFERROR(VLOOKUP(H18,[1]SEMIELABORADOS!$A$2:$M$6000,2,0),"")</f>
        <v>EMPAQUE ALMIDON MODIFICADO KILO</v>
      </c>
      <c r="C18" s="19">
        <f t="shared" ref="C18:C24" si="4">+A18</f>
        <v>250</v>
      </c>
      <c r="D18" s="19" t="str">
        <f>IFERROR(VLOOKUP(H18,[1]SEMIELABORADOS!$A$2:$M$6000,6,0),"")</f>
        <v>Gramo</v>
      </c>
      <c r="E18" s="20">
        <v>2.2000000000000002</v>
      </c>
      <c r="F18" s="20">
        <f t="shared" ref="F18:F24" si="5">IFERROR(E18*C18,"")</f>
        <v>550</v>
      </c>
      <c r="G18" s="21">
        <f t="shared" si="3"/>
        <v>8.958102114117994E-2</v>
      </c>
      <c r="H18" s="22" t="s">
        <v>13</v>
      </c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hidden="1" thickBot="1" x14ac:dyDescent="0.25">
      <c r="A26" s="13" t="s">
        <v>50</v>
      </c>
      <c r="B26" s="14" t="s">
        <v>61</v>
      </c>
      <c r="C26" s="14" t="s">
        <v>50</v>
      </c>
      <c r="D26" s="15" t="s">
        <v>52</v>
      </c>
      <c r="E26" s="15" t="s">
        <v>53</v>
      </c>
      <c r="F26" s="15" t="s">
        <v>54</v>
      </c>
      <c r="G26" s="15" t="s">
        <v>55</v>
      </c>
      <c r="H26" s="16" t="s">
        <v>56</v>
      </c>
      <c r="I26" s="17"/>
    </row>
    <row r="27" spans="1:12" ht="14.25" hidden="1" thickBot="1" x14ac:dyDescent="0.3">
      <c r="A27" s="18">
        <v>0</v>
      </c>
      <c r="B27" s="24" t="str">
        <f>IFERROR(VLOOKUP(H27,'[1]Consolidado MP Planta'!$A$2:$M$823,3,0),"")</f>
        <v/>
      </c>
      <c r="C27" s="19">
        <f t="shared" ref="C27:C32" si="6">+A27</f>
        <v>0</v>
      </c>
      <c r="D27" s="20" t="str">
        <f>IFERROR(VLOOKUP(H27,'[1]Consolidado MP Planta'!$A$2:$M$823,13,0),"")</f>
        <v/>
      </c>
      <c r="E27" s="20" t="str">
        <f>IFERROR(VLOOKUP(H27,'[1]Consolidado MP Planta'!$A$2:$M$823,12,0),"")</f>
        <v/>
      </c>
      <c r="F27" s="20" t="str">
        <f t="shared" ref="F27:F32" si="7">IFERROR(C27*E27,"")</f>
        <v/>
      </c>
      <c r="G27" s="21" t="str">
        <f t="shared" ref="G27:G32" si="8">IFERROR(F27/$F$66,"")</f>
        <v/>
      </c>
      <c r="H27" s="25"/>
      <c r="I27" s="25"/>
      <c r="J27" s="23"/>
      <c r="K27" s="158"/>
      <c r="L27" s="158"/>
    </row>
    <row r="28" spans="1:12" ht="14.25" hidden="1" thickBot="1" x14ac:dyDescent="0.3">
      <c r="A28" s="18"/>
      <c r="B28" s="24" t="str">
        <f>IFERROR(VLOOKUP(H28,'[1]Consolidado MP Planta'!$A$2:$M$823,3,0),"")</f>
        <v/>
      </c>
      <c r="C28" s="19">
        <f t="shared" si="6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7"/>
        <v/>
      </c>
      <c r="G28" s="21" t="str">
        <f t="shared" si="8"/>
        <v/>
      </c>
      <c r="H28" s="25"/>
      <c r="I28" s="25"/>
      <c r="J28" s="23"/>
      <c r="K28" s="158"/>
      <c r="L28" s="158"/>
    </row>
    <row r="29" spans="1:12" ht="14.25" hidden="1" thickBot="1" x14ac:dyDescent="0.3">
      <c r="A29" s="18"/>
      <c r="B29" s="24" t="str">
        <f>IFERROR(VLOOKUP(H29,'[1]Consolidado MP Planta'!$A$2:$M$823,3,0),"")</f>
        <v/>
      </c>
      <c r="C29" s="19">
        <f t="shared" si="6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7"/>
        <v/>
      </c>
      <c r="G29" s="21" t="str">
        <f t="shared" si="8"/>
        <v/>
      </c>
      <c r="H29" s="25"/>
      <c r="I29" s="25"/>
      <c r="J29" s="23"/>
      <c r="K29" s="158"/>
      <c r="L29" s="158"/>
    </row>
    <row r="30" spans="1:12" ht="14.25" hidden="1" thickBot="1" x14ac:dyDescent="0.3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158"/>
      <c r="L30" s="158"/>
    </row>
    <row r="31" spans="1:12" ht="14.25" hidden="1" thickBot="1" x14ac:dyDescent="0.3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4.25" hidden="1" thickBot="1" x14ac:dyDescent="0.3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hidden="1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50</v>
      </c>
      <c r="B34" s="14" t="s">
        <v>62</v>
      </c>
      <c r="C34" s="14" t="s">
        <v>50</v>
      </c>
      <c r="D34" s="15" t="s">
        <v>52</v>
      </c>
      <c r="E34" s="15" t="s">
        <v>53</v>
      </c>
      <c r="F34" s="15" t="s">
        <v>54</v>
      </c>
      <c r="G34" s="15" t="s">
        <v>55</v>
      </c>
      <c r="H34" s="16" t="s">
        <v>56</v>
      </c>
      <c r="I34" s="25"/>
      <c r="J34" s="23"/>
    </row>
    <row r="35" spans="1:13" ht="13.5" x14ac:dyDescent="0.25">
      <c r="A35" s="18">
        <f>+A17</f>
        <v>850</v>
      </c>
      <c r="B35" s="24" t="str">
        <f>IFERROR(VLOOKUP(H35,[1]SEMIELABORADOS!$A$2:$M$6000,2,0),"")</f>
        <v>AZUCAR BLANCO INDUSTRIAL KILO</v>
      </c>
      <c r="C35" s="19">
        <f>+A35</f>
        <v>850</v>
      </c>
      <c r="D35" s="20" t="str">
        <f>IFERROR(VLOOKUP(H35,[1]SEMIELABORADOS!$A$2:$M$6000,6,0),"")</f>
        <v>Gramo</v>
      </c>
      <c r="E35" s="20">
        <v>0.05</v>
      </c>
      <c r="F35" s="20">
        <f>IFERROR(E35*C35,"")</f>
        <v>42.5</v>
      </c>
      <c r="G35" s="21">
        <f t="shared" ref="G35:G41" si="9">IFERROR(F35/$F$66,"")</f>
        <v>6.9221698154548136E-3</v>
      </c>
      <c r="H35" s="25" t="s">
        <v>36</v>
      </c>
      <c r="I35" s="25"/>
      <c r="J35" s="23"/>
    </row>
    <row r="36" spans="1:13" ht="13.5" x14ac:dyDescent="0.25">
      <c r="A36" s="18">
        <f t="shared" ref="A36:A41" si="10">+A18</f>
        <v>250</v>
      </c>
      <c r="B36" s="24" t="s">
        <v>12</v>
      </c>
      <c r="C36" s="19">
        <f t="shared" ref="C36:C41" si="11">+A36</f>
        <v>250</v>
      </c>
      <c r="D36" s="20" t="s">
        <v>63</v>
      </c>
      <c r="E36" s="20">
        <f>IFERROR(VLOOKUP(H36,[1]SEMIELABORADOS!$A$2:$M$65536,10,0),"")</f>
        <v>9.9494095238095229E-3</v>
      </c>
      <c r="F36" s="20">
        <f t="shared" ref="F36:F41" si="12">IFERROR(E36*C36,"")</f>
        <v>2.4873523809523808</v>
      </c>
      <c r="G36" s="21">
        <f t="shared" si="9"/>
        <v>4.0512648404301721E-4</v>
      </c>
      <c r="H36" s="25" t="s">
        <v>13</v>
      </c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25">
      <c r="A43" s="13" t="s">
        <v>50</v>
      </c>
      <c r="B43" s="14" t="s">
        <v>64</v>
      </c>
      <c r="C43" s="14" t="s">
        <v>50</v>
      </c>
      <c r="D43" s="15" t="s">
        <v>52</v>
      </c>
      <c r="E43" s="15" t="s">
        <v>53</v>
      </c>
      <c r="F43" s="15" t="s">
        <v>54</v>
      </c>
      <c r="G43" s="15" t="s">
        <v>55</v>
      </c>
      <c r="H43" s="16" t="s">
        <v>56</v>
      </c>
      <c r="I43" s="17"/>
      <c r="J43" s="23"/>
    </row>
    <row r="44" spans="1:13" ht="13.5" x14ac:dyDescent="0.25">
      <c r="A44" s="18">
        <f>+A35</f>
        <v>850</v>
      </c>
      <c r="B44" s="24" t="str">
        <f>IFERROR(VLOOKUP(H44,[1]SEMIELABORADOS!$A$2:$M$6000,2,0),"")</f>
        <v>AZUCAR BLANCO INDUSTRIAL KILO</v>
      </c>
      <c r="C44" s="19">
        <f>+A44</f>
        <v>850</v>
      </c>
      <c r="D44" s="20" t="str">
        <f>IFERROR(VLOOKUP(H44,[1]SEMIELABORADOS!$A$2:$M$6000,6,0),"")</f>
        <v>Gramo</v>
      </c>
      <c r="E44" s="20">
        <f>IFERROR(VLOOKUP(H44,[1]SEMIELABORADOS!$A$2:$M$65536,12,0),"")</f>
        <v>7.6260693942857144E-2</v>
      </c>
      <c r="F44" s="20">
        <f>IFERROR(E44*C44,"")</f>
        <v>64.82158985142857</v>
      </c>
      <c r="G44" s="21">
        <f>IFERROR(F44/$F$66,"")</f>
        <v>1.0557789474337668E-2</v>
      </c>
      <c r="H44" s="25" t="s">
        <v>36</v>
      </c>
      <c r="I44" s="17"/>
      <c r="J44" s="23"/>
    </row>
    <row r="45" spans="1:13" ht="13.5" x14ac:dyDescent="0.25">
      <c r="A45" s="18">
        <f t="shared" ref="A45:A50" si="13">+A36</f>
        <v>250</v>
      </c>
      <c r="B45" s="24" t="s">
        <v>12</v>
      </c>
      <c r="C45" s="19">
        <f t="shared" ref="C45:C50" si="14">+A45</f>
        <v>250</v>
      </c>
      <c r="D45" s="20" t="s">
        <v>63</v>
      </c>
      <c r="E45" s="20">
        <v>0.01</v>
      </c>
      <c r="F45" s="20">
        <f t="shared" ref="F45:F50" si="15">IFERROR(E45*C45,"")</f>
        <v>2.5</v>
      </c>
      <c r="G45" s="21">
        <f t="shared" ref="G45:G50" si="16">IFERROR(F45/$F$66,"")</f>
        <v>4.071864597326361E-4</v>
      </c>
      <c r="H45" s="25" t="s">
        <v>13</v>
      </c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65</v>
      </c>
      <c r="C51" s="19">
        <f>+A51</f>
        <v>1</v>
      </c>
      <c r="D51" s="19" t="s">
        <v>66</v>
      </c>
      <c r="E51" s="20">
        <f>+F65</f>
        <v>464</v>
      </c>
      <c r="F51" s="20">
        <f>IFERROR(C51*E51,"")</f>
        <v>464</v>
      </c>
      <c r="G51" s="21">
        <f>IFERROR(F51/$F$66,"")</f>
        <v>7.557380692637726E-2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25">
      <c r="A53" s="30"/>
      <c r="B53" s="159" t="s">
        <v>67</v>
      </c>
      <c r="C53" s="159"/>
      <c r="D53" s="159"/>
      <c r="E53" s="159"/>
      <c r="F53" s="32">
        <f>SUM(F8:F14,F17:F24)</f>
        <v>5520.3</v>
      </c>
      <c r="G53" s="21">
        <f>+F53/$F$66</f>
        <v>0.89911656546482843</v>
      </c>
      <c r="H53" s="33">
        <f>+F53/$D$60</f>
        <v>83.325283018867921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159" t="s">
        <v>68</v>
      </c>
      <c r="C54" s="159"/>
      <c r="D54" s="159"/>
      <c r="E54" s="159"/>
      <c r="F54" s="32">
        <f>SUM(F27:F32,F35:F41)</f>
        <v>44.98735238095238</v>
      </c>
      <c r="G54" s="21">
        <f>+F54/$F$66</f>
        <v>7.3272962994978307E-3</v>
      </c>
      <c r="H54" s="33">
        <f>+F54/$D$60</f>
        <v>0.67905437556154535</v>
      </c>
      <c r="I54" s="33"/>
      <c r="J54" s="37"/>
      <c r="K54" s="160" t="s">
        <v>69</v>
      </c>
      <c r="L54" s="161"/>
      <c r="M54" s="161"/>
      <c r="N54" s="161"/>
      <c r="O54" s="38">
        <f>+F55</f>
        <v>5565.2873523809521</v>
      </c>
      <c r="P54" s="38"/>
      <c r="Q54" s="39"/>
    </row>
    <row r="55" spans="1:17" x14ac:dyDescent="0.2">
      <c r="A55" s="30"/>
      <c r="B55" s="159" t="s">
        <v>70</v>
      </c>
      <c r="C55" s="159"/>
      <c r="D55" s="159"/>
      <c r="E55" s="159"/>
      <c r="F55" s="32">
        <f>+F53+F54</f>
        <v>5565.2873523809521</v>
      </c>
      <c r="G55" s="21">
        <f>+F55/$F$66</f>
        <v>0.90644386176432623</v>
      </c>
      <c r="H55" s="33">
        <f>+F55/$D$60</f>
        <v>84.00433739442947</v>
      </c>
      <c r="I55" s="33"/>
      <c r="J55" s="40"/>
      <c r="K55" s="41"/>
      <c r="M55" s="42" t="s">
        <v>71</v>
      </c>
      <c r="N55" s="43"/>
      <c r="O55" s="38">
        <f>+H56</f>
        <v>8.0199485260593004</v>
      </c>
      <c r="P55" s="38"/>
      <c r="Q55" s="39"/>
    </row>
    <row r="56" spans="1:17" ht="13.5" thickBot="1" x14ac:dyDescent="0.25">
      <c r="A56" s="30"/>
      <c r="B56" s="31"/>
      <c r="C56" s="159" t="s">
        <v>72</v>
      </c>
      <c r="D56" s="159"/>
      <c r="E56" s="159"/>
      <c r="F56" s="32">
        <f>SUM(F44:F51)</f>
        <v>531.3215898514286</v>
      </c>
      <c r="G56" s="21">
        <f>+F56/$F$66</f>
        <v>8.6538782860447569E-2</v>
      </c>
      <c r="H56" s="33">
        <f>+F56/$D$60</f>
        <v>8.0199485260593004</v>
      </c>
      <c r="I56" s="33"/>
      <c r="J56" s="40"/>
      <c r="K56" s="41"/>
      <c r="L56" s="41"/>
      <c r="M56" s="41" t="s">
        <v>73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74</v>
      </c>
      <c r="N57" s="50"/>
      <c r="O57" s="51">
        <f>SUM(O54:O56)</f>
        <v>5573.3073009070113</v>
      </c>
      <c r="P57" s="52"/>
      <c r="Q57" s="39"/>
    </row>
    <row r="58" spans="1:17" x14ac:dyDescent="0.2">
      <c r="B58" s="162" t="s">
        <v>75</v>
      </c>
      <c r="C58" s="162"/>
      <c r="D58" s="53">
        <v>5300</v>
      </c>
      <c r="E58" s="54"/>
      <c r="G58" s="21"/>
      <c r="H58" s="47"/>
      <c r="I58" s="55"/>
      <c r="J58" s="40"/>
      <c r="K58" s="48"/>
      <c r="L58" s="41"/>
      <c r="M58" s="41" t="s">
        <v>76</v>
      </c>
      <c r="N58" s="56">
        <v>0.16</v>
      </c>
      <c r="O58" s="38">
        <f>+O54*N58</f>
        <v>890.4459763809524</v>
      </c>
      <c r="P58" s="38"/>
      <c r="Q58" s="39"/>
    </row>
    <row r="59" spans="1:17" x14ac:dyDescent="0.2">
      <c r="B59" s="162" t="s">
        <v>77</v>
      </c>
      <c r="C59" s="162"/>
      <c r="D59" s="57">
        <v>80</v>
      </c>
      <c r="E59" s="54"/>
      <c r="G59" s="21"/>
      <c r="H59" s="47"/>
      <c r="I59" s="55"/>
      <c r="J59" s="40"/>
      <c r="K59" s="48"/>
      <c r="L59" s="41"/>
      <c r="M59" s="163" t="s">
        <v>74</v>
      </c>
      <c r="N59" s="163"/>
      <c r="O59" s="38">
        <f>SUM(O57:O58)</f>
        <v>6463.753277287964</v>
      </c>
      <c r="P59" s="38"/>
      <c r="Q59" s="39"/>
    </row>
    <row r="60" spans="1:17" ht="13.5" thickBot="1" x14ac:dyDescent="0.25">
      <c r="B60" s="154" t="s">
        <v>78</v>
      </c>
      <c r="C60" s="154"/>
      <c r="D60" s="53">
        <f>+D58/D59</f>
        <v>66.25</v>
      </c>
      <c r="E60" s="54"/>
      <c r="F60" s="58"/>
      <c r="G60" s="21"/>
      <c r="H60" s="47"/>
      <c r="I60" s="55"/>
      <c r="J60" s="40"/>
      <c r="K60" s="48"/>
      <c r="L60" s="163"/>
      <c r="M60" s="163"/>
      <c r="N60" s="56"/>
      <c r="O60" s="38">
        <f>+O59*N60</f>
        <v>0</v>
      </c>
      <c r="P60" s="38"/>
      <c r="Q60" s="39"/>
    </row>
    <row r="61" spans="1:17" ht="13.5" thickBot="1" x14ac:dyDescent="0.25">
      <c r="B61" s="154" t="s">
        <v>79</v>
      </c>
      <c r="C61" s="154"/>
      <c r="D61" s="59"/>
      <c r="E61" s="54"/>
      <c r="F61" s="58"/>
      <c r="G61" s="21"/>
      <c r="H61" s="47"/>
      <c r="I61" s="55"/>
      <c r="J61" s="40"/>
      <c r="K61" s="155" t="s">
        <v>80</v>
      </c>
      <c r="L61" s="156"/>
      <c r="M61" s="156"/>
      <c r="N61" s="157"/>
      <c r="O61" s="51">
        <f>SUM(O59:O60)</f>
        <v>6463.753277287964</v>
      </c>
      <c r="P61" s="60" t="s">
        <v>81</v>
      </c>
      <c r="Q61" s="39"/>
    </row>
    <row r="62" spans="1:17" ht="13.5" thickBot="1" x14ac:dyDescent="0.25">
      <c r="C62" s="30" t="s">
        <v>82</v>
      </c>
      <c r="D62" s="61"/>
      <c r="E62" s="4" t="s">
        <v>83</v>
      </c>
      <c r="F62" s="62" t="s">
        <v>84</v>
      </c>
      <c r="G62" s="21"/>
      <c r="H62" s="47"/>
      <c r="I62" s="55"/>
      <c r="J62" s="63"/>
      <c r="K62" s="64"/>
      <c r="L62" s="143" t="s">
        <v>85</v>
      </c>
      <c r="M62" s="143"/>
      <c r="N62" s="143"/>
      <c r="O62" s="65">
        <f>+O61/D60</f>
        <v>97.56608720434663</v>
      </c>
      <c r="P62" s="66">
        <f>+O62/D59</f>
        <v>1.2195760900543329</v>
      </c>
      <c r="Q62" s="67"/>
    </row>
    <row r="63" spans="1:17" ht="13.5" thickBot="1" x14ac:dyDescent="0.25">
      <c r="B63" s="144" t="s">
        <v>70</v>
      </c>
      <c r="C63" s="144"/>
      <c r="D63" s="144"/>
      <c r="E63" s="68">
        <f>+F63/F63</f>
        <v>1</v>
      </c>
      <c r="F63" s="69">
        <f>SUM(F55)</f>
        <v>5565.2873523809521</v>
      </c>
      <c r="G63" s="21">
        <f>+F63/$F$66</f>
        <v>0.90644386176432623</v>
      </c>
      <c r="H63" s="47"/>
      <c r="I63" s="55"/>
      <c r="K63" s="145"/>
      <c r="L63" s="146"/>
      <c r="M63" s="146"/>
      <c r="N63" s="146"/>
      <c r="O63" s="70"/>
      <c r="P63" s="71"/>
    </row>
    <row r="64" spans="1:17" ht="13.5" thickBot="1" x14ac:dyDescent="0.25">
      <c r="B64" s="147" t="s">
        <v>86</v>
      </c>
      <c r="C64" s="147"/>
      <c r="D64" s="147"/>
      <c r="E64" s="72">
        <v>0.02</v>
      </c>
      <c r="F64" s="69">
        <f>+F53*E64</f>
        <v>110.40600000000001</v>
      </c>
      <c r="G64" s="21">
        <f>+F64/$F$66</f>
        <v>1.7982331309296568E-2</v>
      </c>
      <c r="H64" s="33"/>
      <c r="I64" s="55"/>
      <c r="J64" s="73"/>
      <c r="O64" s="74"/>
      <c r="P64" s="31"/>
    </row>
    <row r="65" spans="2:13" ht="13.5" thickBot="1" x14ac:dyDescent="0.25">
      <c r="B65" s="148" t="s">
        <v>87</v>
      </c>
      <c r="C65" s="149"/>
      <c r="D65" s="75">
        <v>8</v>
      </c>
      <c r="E65" s="76">
        <v>58</v>
      </c>
      <c r="F65" s="69">
        <f>+E65*D65</f>
        <v>464</v>
      </c>
      <c r="G65" s="21">
        <f>+F65/$F$66</f>
        <v>7.557380692637726E-2</v>
      </c>
      <c r="H65" s="33"/>
      <c r="I65" s="33"/>
      <c r="J65" s="23"/>
    </row>
    <row r="66" spans="2:13" ht="13.5" thickBot="1" x14ac:dyDescent="0.25">
      <c r="B66" s="150" t="s">
        <v>88</v>
      </c>
      <c r="C66" s="151"/>
      <c r="D66" s="151"/>
      <c r="E66" s="152"/>
      <c r="F66" s="46">
        <f>SUM(F63:F65)</f>
        <v>6139.6933523809521</v>
      </c>
      <c r="G66" s="21">
        <f>+F66/$F$66</f>
        <v>1</v>
      </c>
      <c r="H66" s="153"/>
      <c r="I66" s="33"/>
      <c r="J66" s="23"/>
      <c r="M66" s="6" t="s">
        <v>89</v>
      </c>
    </row>
    <row r="67" spans="2:13" x14ac:dyDescent="0.2">
      <c r="C67" s="28"/>
      <c r="D67" s="28"/>
      <c r="E67" s="78"/>
      <c r="F67" s="69"/>
      <c r="G67" s="21"/>
      <c r="H67" s="153"/>
      <c r="I67" s="77"/>
      <c r="J67" s="6"/>
      <c r="M67" s="6" t="s">
        <v>90</v>
      </c>
    </row>
    <row r="68" spans="2:13" ht="13.5" thickBot="1" x14ac:dyDescent="0.25">
      <c r="B68" s="138" t="s">
        <v>91</v>
      </c>
      <c r="C68" s="138"/>
      <c r="D68" s="138"/>
      <c r="E68" s="138"/>
      <c r="F68" s="138"/>
      <c r="G68" s="21"/>
      <c r="H68" s="80"/>
      <c r="I68" s="77"/>
      <c r="J68" s="6"/>
    </row>
    <row r="69" spans="2:13" ht="13.5" thickBot="1" x14ac:dyDescent="0.25">
      <c r="B69" s="81" t="s">
        <v>92</v>
      </c>
      <c r="C69" s="82">
        <f>+F53</f>
        <v>5520.3</v>
      </c>
      <c r="D69" s="82">
        <f>+D58</f>
        <v>5300</v>
      </c>
      <c r="E69" s="83">
        <f>+C69/D69</f>
        <v>1.0415660377358491</v>
      </c>
      <c r="F69" s="21"/>
      <c r="G69" s="80"/>
      <c r="H69" s="23"/>
      <c r="I69" s="80"/>
      <c r="J69" s="6"/>
    </row>
    <row r="70" spans="2:13" x14ac:dyDescent="0.2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">
      <c r="B71" s="81" t="s">
        <v>93</v>
      </c>
      <c r="C71" s="82">
        <f>SUM(F63:F64)</f>
        <v>5675.6933523809521</v>
      </c>
      <c r="D71" s="82">
        <f>+D58</f>
        <v>5300</v>
      </c>
      <c r="E71" s="87">
        <f>+C71/D71</f>
        <v>1.0708855381850853</v>
      </c>
      <c r="F71" s="21"/>
      <c r="G71" s="80"/>
      <c r="H71" s="23"/>
      <c r="I71" s="23"/>
      <c r="J71" s="6"/>
    </row>
    <row r="72" spans="2:13" x14ac:dyDescent="0.2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25">
      <c r="B73" s="81" t="s">
        <v>94</v>
      </c>
      <c r="C73" s="82">
        <f>+F65</f>
        <v>464</v>
      </c>
      <c r="D73" s="82">
        <f>+D58</f>
        <v>5300</v>
      </c>
      <c r="E73" s="87">
        <f>+C73/D73</f>
        <v>8.7547169811320755E-2</v>
      </c>
      <c r="F73" s="21"/>
      <c r="G73" s="80"/>
      <c r="H73" s="23"/>
      <c r="I73" s="23"/>
      <c r="J73" s="6"/>
    </row>
    <row r="74" spans="2:13" ht="13.5" thickBot="1" x14ac:dyDescent="0.25">
      <c r="B74" s="81" t="s">
        <v>95</v>
      </c>
      <c r="C74" s="82">
        <f>+F56</f>
        <v>531.3215898514286</v>
      </c>
      <c r="D74" s="82">
        <f>+D73</f>
        <v>5300</v>
      </c>
      <c r="E74" s="83">
        <f>+C74/D74</f>
        <v>0.10024935657574124</v>
      </c>
      <c r="F74" s="21"/>
      <c r="G74" s="80"/>
      <c r="H74" s="23"/>
      <c r="I74" s="23"/>
      <c r="J74" s="6"/>
    </row>
    <row r="75" spans="2:13" ht="13.5" thickBot="1" x14ac:dyDescent="0.25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25">
      <c r="B76" s="81" t="s">
        <v>96</v>
      </c>
      <c r="C76" s="82">
        <f>+F54</f>
        <v>44.98735238095238</v>
      </c>
      <c r="D76" s="82">
        <f>+D74</f>
        <v>5300</v>
      </c>
      <c r="E76" s="83">
        <f>+C76/D76</f>
        <v>8.4881796945193173E-3</v>
      </c>
      <c r="F76" s="21"/>
      <c r="G76" s="80"/>
      <c r="H76" s="23"/>
      <c r="I76" s="23"/>
      <c r="J76" s="23"/>
    </row>
    <row r="77" spans="2:13" ht="13.5" thickBot="1" x14ac:dyDescent="0.25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25">
      <c r="B78" s="139" t="s">
        <v>97</v>
      </c>
      <c r="C78" s="140"/>
      <c r="D78" s="141"/>
      <c r="E78" s="83">
        <f>+E69+E74</f>
        <v>1.1418153943115903</v>
      </c>
      <c r="G78" s="21"/>
      <c r="H78" s="80"/>
      <c r="I78" s="23"/>
      <c r="J78" s="87"/>
    </row>
    <row r="79" spans="2:13" x14ac:dyDescent="0.2">
      <c r="I79" s="80"/>
      <c r="J79" s="6"/>
    </row>
    <row r="80" spans="2:13" ht="13.5" thickBot="1" x14ac:dyDescent="0.25">
      <c r="B80" s="138" t="s">
        <v>98</v>
      </c>
      <c r="C80" s="138"/>
      <c r="D80" s="138"/>
      <c r="E80" s="138"/>
      <c r="F80" s="138"/>
      <c r="G80" s="21"/>
      <c r="H80" s="80"/>
      <c r="J80" s="6"/>
    </row>
    <row r="81" spans="1:10" ht="13.5" thickBot="1" x14ac:dyDescent="0.25">
      <c r="B81" s="81" t="s">
        <v>92</v>
      </c>
      <c r="C81" s="82">
        <f>+C69</f>
        <v>5520.3</v>
      </c>
      <c r="D81" s="82">
        <f>+D60</f>
        <v>66.25</v>
      </c>
      <c r="E81" s="83">
        <f>+C81/D81</f>
        <v>83.325283018867921</v>
      </c>
      <c r="F81" s="21"/>
      <c r="G81" s="80"/>
      <c r="H81" s="23"/>
      <c r="I81" s="80"/>
      <c r="J81" s="6"/>
    </row>
    <row r="82" spans="1:10" x14ac:dyDescent="0.2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">
      <c r="B83" s="81" t="s">
        <v>93</v>
      </c>
      <c r="C83" s="82">
        <f>+C71</f>
        <v>5675.6933523809521</v>
      </c>
      <c r="D83" s="82">
        <f>+D60</f>
        <v>66.25</v>
      </c>
      <c r="E83" s="87">
        <f>+C83/D83</f>
        <v>85.670843054806824</v>
      </c>
      <c r="F83" s="21"/>
      <c r="G83" s="80"/>
      <c r="H83" s="23"/>
      <c r="I83" s="23"/>
      <c r="J83" s="6"/>
    </row>
    <row r="84" spans="1:10" x14ac:dyDescent="0.2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25">
      <c r="B85" s="81" t="s">
        <v>95</v>
      </c>
      <c r="C85" s="82">
        <f>+C73</f>
        <v>464</v>
      </c>
      <c r="D85" s="82">
        <f>+D60</f>
        <v>66.25</v>
      </c>
      <c r="E85" s="87">
        <f>+C85/D85</f>
        <v>7.0037735849056606</v>
      </c>
      <c r="F85" s="89"/>
      <c r="G85" s="79"/>
      <c r="H85" s="5"/>
      <c r="I85" s="23"/>
    </row>
    <row r="86" spans="1:10" ht="13.5" thickBot="1" x14ac:dyDescent="0.25">
      <c r="B86" s="81" t="s">
        <v>95</v>
      </c>
      <c r="C86" s="82">
        <f>+C74</f>
        <v>531.3215898514286</v>
      </c>
      <c r="D86" s="82">
        <f>+D85</f>
        <v>66.25</v>
      </c>
      <c r="E86" s="83">
        <f>+C86/D86</f>
        <v>8.0199485260593004</v>
      </c>
      <c r="F86" s="88"/>
      <c r="G86" s="79"/>
      <c r="H86" s="5"/>
      <c r="I86" s="5"/>
    </row>
    <row r="87" spans="1:10" x14ac:dyDescent="0.2">
      <c r="I87" s="5"/>
    </row>
    <row r="88" spans="1:10" x14ac:dyDescent="0.2">
      <c r="A88" s="142"/>
      <c r="B88" s="142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AB5645-CCC0-4A81-B8BE-6CFE26A6B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2CDBDC-03A8-411F-9FB8-62F54D7F86B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200EDD0-7520-4604-BEEF-21F105010F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Salsa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2025-10-13T19:49:05Z</cp:lastPrinted>
  <dcterms:created xsi:type="dcterms:W3CDTF">2022-07-27T19:48:32Z</dcterms:created>
  <dcterms:modified xsi:type="dcterms:W3CDTF">2025-10-13T19:55:21Z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709000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
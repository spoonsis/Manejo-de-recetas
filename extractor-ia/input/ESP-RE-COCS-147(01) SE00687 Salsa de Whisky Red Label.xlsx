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0A92C806-2589-4777-8E5F-D3BA1DAC4190}" xr6:coauthVersionLast="47" xr6:coauthVersionMax="47" xr10:uidLastSave="{8CDE9D66-869B-4775-BD5B-B186360CA3ED}"/>
  <bookViews>
    <workbookView xWindow="-120" yWindow="-120" windowWidth="20730" windowHeight="11040" xr2:uid="{1AB50A5C-5A6F-4C07-9CC6-77420AE47AC7}"/>
  </bookViews>
  <sheets>
    <sheet name="Salsa de Whisky" sheetId="1" r:id="rId1"/>
  </sheets>
  <definedNames>
    <definedName name="_xlnm.Print_Area" localSheetId="0">'Salsa de Whisky'!$A$1:$I$31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8" i="1"/>
</calcChain>
</file>

<file path=xl/sharedStrings.xml><?xml version="1.0" encoding="utf-8"?>
<sst xmlns="http://schemas.openxmlformats.org/spreadsheetml/2006/main" count="78" uniqueCount="61">
  <si>
    <t>CONTROL DE CAMBIOS</t>
  </si>
  <si>
    <t>5.Dejar enfriar, empacar y etiquetar.</t>
  </si>
  <si>
    <t xml:space="preserve">4. Por ultimo se le incorpora el agua y el ron hasta que espece. </t>
  </si>
  <si>
    <t>3. Se agrega la Crema Gourmet y el mangar, mezclando hasta que agarre un punto denso.</t>
  </si>
  <si>
    <t>2. Incorporar el azucar hasta que tome un color estilo caramelo.</t>
  </si>
  <si>
    <t>1. Derretir la lactocrema</t>
  </si>
  <si>
    <t>PROCEDIMIENTO DE PREPARACION DE LA  RECETA</t>
  </si>
  <si>
    <t>g</t>
  </si>
  <si>
    <t>MERMA</t>
  </si>
  <si>
    <t>PESO DE CADA PORCIÓN</t>
  </si>
  <si>
    <t>Tanda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</si>
  <si>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</si>
  <si>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</si>
  <si>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</si>
  <si>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</si>
  <si>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</si>
  <si>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</si>
  <si>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FAS</t>
  </si>
  <si>
    <t>Agua (PLANTA)</t>
  </si>
  <si>
    <t>Aceal</t>
  </si>
  <si>
    <t>Preservante 1017S</t>
  </si>
  <si>
    <t>MP10025</t>
  </si>
  <si>
    <t>Nestle</t>
  </si>
  <si>
    <t>Manjar Leche Condensada</t>
  </si>
  <si>
    <t>MP10007</t>
  </si>
  <si>
    <t>CHIVAS REGAL</t>
  </si>
  <si>
    <t xml:space="preserve">Whiskey Red Label </t>
  </si>
  <si>
    <t>MP10545</t>
  </si>
  <si>
    <t xml:space="preserve">Rich </t>
  </si>
  <si>
    <t>Crema Gourmet Pro</t>
  </si>
  <si>
    <t>MP10693</t>
  </si>
  <si>
    <t>Fas</t>
  </si>
  <si>
    <t>Empaque Azucar  Industrial</t>
  </si>
  <si>
    <t>SE00016</t>
  </si>
  <si>
    <t xml:space="preserve">Dos Pinos </t>
  </si>
  <si>
    <t>Lactocrema Granel</t>
  </si>
  <si>
    <t>MP10022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</si>
  <si>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</si>
  <si>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</si>
  <si>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</si>
  <si>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</si>
  <si>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</si>
  <si>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</si>
  <si>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</si>
  <si>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</si>
  <si>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Empaque </t>
  </si>
  <si>
    <t xml:space="preserve">AREA QUE EMPACA: </t>
  </si>
  <si>
    <t xml:space="preserve">Cocina </t>
  </si>
  <si>
    <t>AREA QUE PRODUCE:</t>
  </si>
  <si>
    <t>Sebastian Diaz, Gte Manufactura</t>
  </si>
  <si>
    <t>Aprobado</t>
  </si>
  <si>
    <t>Juan Pablo Brenes-Chef</t>
  </si>
  <si>
    <t>Elaborado</t>
  </si>
  <si>
    <t>FECHA DE APROBACIÓN:</t>
  </si>
  <si>
    <t xml:space="preserve">SE00687 Salsa de Whisky Red Label </t>
  </si>
  <si>
    <t>REVISIÓN:</t>
  </si>
  <si>
    <t>ESPECIFICACION DE RECETA</t>
  </si>
  <si>
    <t>CÓDIGO:</t>
  </si>
  <si>
    <t>SERVICIOS DE PASTELERIA S.A.</t>
  </si>
  <si>
    <t>01</t>
  </si>
  <si>
    <t>ESP-RE-COCS-147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</si>
</sst>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3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15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horizontal="left" indent="1"/>
    </xf>
    <xf numFmtId="9" fontId="1" fillId="2" borderId="0" xfId="2" applyFill="1"/>
    <xf numFmtId="165" fontId="0" fillId="0" borderId="0" xfId="0" applyNumberFormat="1"/>
    <xf numFmtId="1" fontId="0" fillId="0" borderId="0" xfId="0" applyNumberFormat="1"/>
    <xf numFmtId="0" fontId="0" fillId="5" borderId="0" xfId="0" applyFill="1" applyAlignment="1">
      <alignment wrapText="1"/>
    </xf>
    <xf numFmtId="0" fontId="0" fillId="5" borderId="0" xfId="0" applyFill="1"/>
    <xf numFmtId="0" fontId="3" fillId="4" borderId="27" xfId="1" applyFont="1" applyFill="1" applyBorder="1" applyAlignment="1">
      <alignment horizontal="center"/>
    </xf>
    <xf numFmtId="1" fontId="3" fillId="4" borderId="12" xfId="1" applyNumberFormat="1" applyFont="1" applyFill="1" applyBorder="1" applyAlignment="1">
      <alignment horizontal="center" wrapText="1"/>
    </xf>
    <xf numFmtId="1" fontId="3" fillId="4" borderId="12" xfId="1" applyNumberFormat="1" applyFont="1" applyFill="1" applyBorder="1" applyAlignment="1">
      <alignment horizontal="center"/>
    </xf>
    <xf numFmtId="0" fontId="1" fillId="2" borderId="12" xfId="3" applyFont="1" applyFill="1" applyBorder="1" applyAlignment="1">
      <alignment horizontal="right"/>
    </xf>
    <xf numFmtId="0" fontId="1" fillId="2" borderId="18" xfId="3" applyFont="1" applyFill="1" applyBorder="1" applyAlignment="1">
      <alignment horizontal="right"/>
    </xf>
    <xf numFmtId="49" fontId="6" fillId="2" borderId="37" xfId="3" applyNumberFormat="1" applyFont="1" applyFill="1" applyBorder="1" applyAlignment="1">
      <alignment horizontal="center"/>
    </xf>
    <xf numFmtId="0" fontId="3" fillId="2" borderId="18" xfId="3" applyFont="1" applyFill="1" applyBorder="1" applyAlignment="1">
      <alignment horizontal="right"/>
    </xf>
    <xf numFmtId="0" fontId="6" fillId="2" borderId="30" xfId="3" applyFont="1" applyFill="1" applyBorder="1" applyAlignment="1">
      <alignment horizontal="center"/>
    </xf>
    <xf numFmtId="0" fontId="3" fillId="2" borderId="31" xfId="3" applyFont="1" applyFill="1" applyBorder="1" applyAlignment="1">
      <alignment horizontal="right"/>
    </xf>
    <xf numFmtId="0" fontId="11" fillId="0" borderId="18" xfId="0" applyFont="1" applyBorder="1"/>
    <xf numFmtId="16" fontId="11" fillId="0" borderId="18" xfId="1" applyNumberFormat="1" applyFont="1" applyBorder="1" applyAlignment="1">
      <alignment horizontal="center"/>
    </xf>
    <xf numFmtId="1" fontId="11" fillId="0" borderId="18" xfId="1" applyNumberFormat="1" applyFont="1" applyBorder="1" applyAlignment="1">
      <alignment horizontal="center"/>
    </xf>
    <xf numFmtId="1" fontId="11" fillId="0" borderId="18" xfId="1" applyNumberFormat="1" applyFont="1" applyBorder="1" applyAlignment="1">
      <alignment horizontal="center" wrapText="1"/>
    </xf>
    <xf numFmtId="1" fontId="11" fillId="0" borderId="22" xfId="1" applyNumberFormat="1" applyFont="1" applyBorder="1" applyAlignment="1">
      <alignment horizontal="center"/>
    </xf>
    <xf numFmtId="0" fontId="11" fillId="0" borderId="22" xfId="1" applyFont="1" applyBorder="1" applyAlignment="1">
      <alignment horizontal="center"/>
    </xf>
    <xf numFmtId="0" fontId="7" fillId="5" borderId="26" xfId="1" applyFont="1" applyFill="1" applyBorder="1" applyAlignment="1">
      <alignment horizontal="center"/>
    </xf>
    <xf numFmtId="0" fontId="11" fillId="0" borderId="0" xfId="1" applyFont="1" applyAlignment="1">
      <alignment horizontal="center" vertical="center"/>
    </xf>
    <xf numFmtId="0" fontId="11" fillId="6" borderId="18" xfId="0" applyFont="1" applyFill="1" applyBorder="1"/>
    <xf numFmtId="0" fontId="11" fillId="0" borderId="0" xfId="0" applyFont="1"/>
    <xf numFmtId="49" fontId="12" fillId="2" borderId="25" xfId="1" applyNumberFormat="1" applyFont="1" applyFill="1" applyBorder="1" applyAlignment="1">
      <alignment horizontal="center" vertical="center"/>
    </xf>
    <xf numFmtId="49" fontId="12" fillId="2" borderId="0" xfId="1" applyNumberFormat="1" applyFont="1" applyFill="1" applyAlignment="1">
      <alignment horizontal="center" vertical="center"/>
    </xf>
    <xf numFmtId="0" fontId="11" fillId="0" borderId="0" xfId="1" applyFont="1"/>
    <xf numFmtId="1" fontId="11" fillId="2" borderId="0" xfId="1" applyNumberFormat="1" applyFont="1" applyFill="1" applyAlignment="1">
      <alignment horizontal="center"/>
    </xf>
    <xf numFmtId="164" fontId="11" fillId="2" borderId="0" xfId="1" applyNumberFormat="1" applyFont="1" applyFill="1" applyAlignment="1">
      <alignment horizontal="center" wrapText="1"/>
    </xf>
    <xf numFmtId="0" fontId="11" fillId="2" borderId="24" xfId="1" applyFont="1" applyFill="1" applyBorder="1" applyAlignment="1">
      <alignment horizontal="center"/>
    </xf>
    <xf numFmtId="0" fontId="11" fillId="4" borderId="9" xfId="1" applyFont="1" applyFill="1" applyBorder="1" applyAlignment="1">
      <alignment horizontal="center"/>
    </xf>
    <xf numFmtId="0" fontId="11" fillId="4" borderId="8" xfId="1" applyFont="1" applyFill="1" applyBorder="1" applyAlignment="1">
      <alignment horizontal="center"/>
    </xf>
    <xf numFmtId="0" fontId="11" fillId="4" borderId="8" xfId="1" applyFont="1" applyFill="1" applyBorder="1"/>
    <xf numFmtId="0" fontId="7" fillId="4" borderId="8" xfId="1" applyFont="1" applyFill="1" applyBorder="1" applyAlignment="1">
      <alignment horizontal="center"/>
    </xf>
    <xf numFmtId="1" fontId="7" fillId="4" borderId="8" xfId="1" applyNumberFormat="1" applyFont="1" applyFill="1" applyBorder="1" applyAlignment="1">
      <alignment horizontal="center"/>
    </xf>
    <xf numFmtId="164" fontId="11" fillId="4" borderId="8" xfId="1" applyNumberFormat="1" applyFont="1" applyFill="1" applyBorder="1" applyAlignment="1">
      <alignment horizontal="center" wrapText="1"/>
    </xf>
    <xf numFmtId="0" fontId="11" fillId="4" borderId="7" xfId="1" applyFont="1" applyFill="1" applyBorder="1" applyAlignment="1">
      <alignment horizontal="center"/>
    </xf>
    <xf numFmtId="0" fontId="11" fillId="0" borderId="21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11" fillId="0" borderId="18" xfId="1" applyFont="1" applyBorder="1" applyAlignment="1">
      <alignment horizontal="center"/>
    </xf>
    <xf numFmtId="1" fontId="11" fillId="0" borderId="12" xfId="1" applyNumberFormat="1" applyFont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3" fillId="4" borderId="26" xfId="1" applyFont="1" applyFill="1" applyBorder="1" applyAlignment="1">
      <alignment horizontal="center" vertical="center" wrapText="1"/>
    </xf>
    <xf numFmtId="14" fontId="10" fillId="2" borderId="18" xfId="3" applyNumberFormat="1" applyFont="1" applyFill="1" applyBorder="1" applyAlignment="1">
      <alignment horizontal="center" vertical="center" wrapText="1"/>
    </xf>
    <xf numFmtId="49" fontId="11" fillId="0" borderId="17" xfId="1" applyNumberFormat="1" applyFont="1" applyBorder="1"/>
    <xf numFmtId="49" fontId="11" fillId="0" borderId="18" xfId="1" applyNumberFormat="1" applyFont="1" applyBorder="1" applyAlignment="1">
      <alignment horizontal="center"/>
    </xf>
    <xf numFmtId="0" fontId="5" fillId="2" borderId="31" xfId="3" applyFont="1" applyFill="1" applyBorder="1" applyAlignment="1">
      <alignment horizontal="center"/>
    </xf>
    <xf numFmtId="0" fontId="5" fillId="2" borderId="18" xfId="3" applyFont="1" applyFill="1" applyBorder="1" applyAlignment="1">
      <alignment horizontal="center"/>
    </xf>
    <xf numFmtId="0" fontId="8" fillId="7" borderId="18" xfId="3" applyFont="1" applyFill="1" applyBorder="1" applyAlignment="1">
      <alignment horizontal="center" vertical="center" wrapText="1"/>
    </xf>
    <xf numFmtId="0" fontId="9" fillId="7" borderId="18" xfId="3" applyFont="1" applyFill="1" applyBorder="1" applyAlignment="1">
      <alignment horizontal="center" vertical="center" wrapText="1"/>
    </xf>
    <xf numFmtId="0" fontId="3" fillId="2" borderId="18" xfId="3" applyFont="1" applyFill="1" applyBorder="1" applyAlignment="1">
      <alignment horizontal="right" vertical="top" wrapText="1"/>
    </xf>
    <xf numFmtId="0" fontId="3" fillId="2" borderId="12" xfId="3" applyFont="1" applyFill="1" applyBorder="1" applyAlignment="1">
      <alignment horizontal="right" vertical="top" wrapText="1"/>
    </xf>
    <xf numFmtId="0" fontId="3" fillId="4" borderId="31" xfId="1" applyFont="1" applyFill="1" applyBorder="1" applyAlignment="1">
      <alignment horizontal="center" vertical="center"/>
    </xf>
    <xf numFmtId="0" fontId="0" fillId="2" borderId="18" xfId="3" applyFont="1" applyFill="1" applyBorder="1" applyAlignment="1">
      <alignment horizontal="left"/>
    </xf>
    <xf numFmtId="0" fontId="1" fillId="2" borderId="18" xfId="3" applyFont="1" applyFill="1" applyBorder="1" applyAlignment="1">
      <alignment horizontal="left"/>
    </xf>
    <xf numFmtId="0" fontId="7" fillId="0" borderId="6" xfId="1" applyFont="1" applyBorder="1" applyAlignment="1">
      <alignment horizontal="right"/>
    </xf>
    <xf numFmtId="0" fontId="7" fillId="0" borderId="5" xfId="1" applyFont="1" applyBorder="1" applyAlignment="1">
      <alignment horizontal="right"/>
    </xf>
    <xf numFmtId="0" fontId="7" fillId="0" borderId="23" xfId="1" applyFont="1" applyBorder="1" applyAlignment="1">
      <alignment horizontal="right"/>
    </xf>
    <xf numFmtId="164" fontId="11" fillId="0" borderId="22" xfId="1" applyNumberFormat="1" applyFont="1" applyBorder="1" applyAlignment="1">
      <alignment horizontal="right"/>
    </xf>
    <xf numFmtId="0" fontId="11" fillId="2" borderId="21" xfId="1" applyFont="1" applyFill="1" applyBorder="1" applyAlignment="1">
      <alignment horizontal="center"/>
    </xf>
    <xf numFmtId="0" fontId="11" fillId="2" borderId="4" xfId="1" applyFont="1" applyFill="1" applyBorder="1" applyAlignment="1">
      <alignment horizontal="center"/>
    </xf>
    <xf numFmtId="0" fontId="3" fillId="4" borderId="32" xfId="1" applyFont="1" applyFill="1" applyBorder="1" applyAlignment="1">
      <alignment horizontal="center" vertical="center"/>
    </xf>
    <xf numFmtId="0" fontId="3" fillId="4" borderId="29" xfId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/>
    </xf>
    <xf numFmtId="14" fontId="6" fillId="2" borderId="36" xfId="3" applyNumberFormat="1" applyFont="1" applyFill="1" applyBorder="1" applyAlignment="1">
      <alignment horizontal="center" vertical="center" wrapText="1"/>
    </xf>
    <xf numFmtId="14" fontId="6" fillId="2" borderId="34" xfId="3" applyNumberFormat="1" applyFont="1" applyFill="1" applyBorder="1" applyAlignment="1">
      <alignment horizontal="center" vertical="center" wrapText="1"/>
    </xf>
    <xf numFmtId="14" fontId="6" fillId="2" borderId="26" xfId="3" applyNumberFormat="1" applyFont="1" applyFill="1" applyBorder="1" applyAlignment="1">
      <alignment horizontal="center" vertical="center" wrapText="1"/>
    </xf>
    <xf numFmtId="0" fontId="6" fillId="2" borderId="16" xfId="3" applyFont="1" applyFill="1" applyBorder="1" applyAlignment="1">
      <alignment horizontal="left"/>
    </xf>
    <xf numFmtId="0" fontId="6" fillId="2" borderId="19" xfId="3" applyFont="1" applyFill="1" applyBorder="1" applyAlignment="1">
      <alignment horizontal="left"/>
    </xf>
    <xf numFmtId="0" fontId="6" fillId="2" borderId="17" xfId="3" applyFont="1" applyFill="1" applyBorder="1" applyAlignment="1">
      <alignment horizontal="left"/>
    </xf>
    <xf numFmtId="0" fontId="5" fillId="2" borderId="0" xfId="3" applyFont="1" applyFill="1" applyAlignment="1">
      <alignment horizontal="right"/>
    </xf>
    <xf numFmtId="0" fontId="10" fillId="2" borderId="2" xfId="3" applyFont="1" applyFill="1" applyBorder="1" applyAlignment="1">
      <alignment horizontal="center"/>
    </xf>
    <xf numFmtId="0" fontId="7" fillId="0" borderId="20" xfId="1" applyFont="1" applyBorder="1" applyAlignment="1">
      <alignment horizontal="right"/>
    </xf>
    <xf numFmtId="0" fontId="7" fillId="0" borderId="19" xfId="1" applyFont="1" applyBorder="1" applyAlignment="1">
      <alignment horizontal="right"/>
    </xf>
    <xf numFmtId="0" fontId="7" fillId="0" borderId="17" xfId="1" applyFont="1" applyBorder="1" applyAlignment="1">
      <alignment horizontal="right"/>
    </xf>
    <xf numFmtId="0" fontId="11" fillId="0" borderId="18" xfId="1" applyFont="1" applyBorder="1" applyAlignment="1">
      <alignment horizontal="right"/>
    </xf>
    <xf numFmtId="0" fontId="1" fillId="2" borderId="39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" fillId="2" borderId="25" xfId="3" applyFont="1" applyFill="1" applyBorder="1" applyAlignment="1">
      <alignment horizontal="center"/>
    </xf>
    <xf numFmtId="0" fontId="1" fillId="2" borderId="35" xfId="3" applyFont="1" applyFill="1" applyBorder="1" applyAlignment="1">
      <alignment horizontal="center"/>
    </xf>
    <xf numFmtId="0" fontId="1" fillId="2" borderId="3" xfId="3" applyFont="1" applyFill="1" applyBorder="1" applyAlignment="1">
      <alignment horizontal="center"/>
    </xf>
    <xf numFmtId="0" fontId="1" fillId="2" borderId="33" xfId="3" applyFont="1" applyFill="1" applyBorder="1" applyAlignment="1">
      <alignment horizontal="center"/>
    </xf>
    <xf numFmtId="0" fontId="5" fillId="2" borderId="0" xfId="3" applyFont="1" applyFill="1"/>
    <xf numFmtId="164" fontId="11" fillId="0" borderId="16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/>
    </xf>
    <xf numFmtId="0" fontId="11" fillId="0" borderId="6" xfId="1" applyFont="1" applyBorder="1" applyAlignment="1">
      <alignment horizontal="left" wrapText="1"/>
    </xf>
    <xf numFmtId="0" fontId="11" fillId="0" borderId="5" xfId="1" applyFont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0" fontId="7" fillId="0" borderId="5" xfId="1" applyFont="1" applyBorder="1" applyAlignment="1">
      <alignment horizontal="left" wrapText="1"/>
    </xf>
    <xf numFmtId="0" fontId="7" fillId="0" borderId="4" xfId="1" applyFont="1" applyBorder="1" applyAlignment="1">
      <alignment horizontal="left" wrapText="1"/>
    </xf>
    <xf numFmtId="164" fontId="11" fillId="0" borderId="16" xfId="1" applyNumberFormat="1" applyFont="1" applyBorder="1" applyAlignment="1">
      <alignment horizontal="right" wrapText="1"/>
    </xf>
    <xf numFmtId="164" fontId="11" fillId="0" borderId="17" xfId="1" applyNumberFormat="1" applyFont="1" applyBorder="1" applyAlignment="1">
      <alignment horizontal="right" wrapText="1"/>
    </xf>
    <xf numFmtId="0" fontId="11" fillId="0" borderId="3" xfId="1" applyFont="1" applyBorder="1" applyAlignment="1">
      <alignment horizontal="left"/>
    </xf>
    <xf numFmtId="0" fontId="11" fillId="0" borderId="2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7" fillId="0" borderId="14" xfId="1" applyFont="1" applyBorder="1" applyAlignment="1">
      <alignment horizontal="right"/>
    </xf>
    <xf numFmtId="0" fontId="7" fillId="0" borderId="13" xfId="1" applyFont="1" applyBorder="1" applyAlignment="1">
      <alignment horizontal="right"/>
    </xf>
    <xf numFmtId="0" fontId="7" fillId="0" borderId="12" xfId="1" applyFont="1" applyBorder="1" applyAlignment="1">
      <alignment horizontal="right"/>
    </xf>
    <xf numFmtId="0" fontId="11" fillId="0" borderId="12" xfId="1" applyFont="1" applyBorder="1" applyAlignment="1">
      <alignment horizontal="right"/>
    </xf>
    <xf numFmtId="164" fontId="11" fillId="0" borderId="11" xfId="1" applyNumberFormat="1" applyFont="1" applyBorder="1" applyAlignment="1">
      <alignment horizontal="center"/>
    </xf>
    <xf numFmtId="164" fontId="11" fillId="0" borderId="10" xfId="1" applyNumberFormat="1" applyFont="1" applyBorder="1" applyAlignment="1">
      <alignment horizontal="center"/>
    </xf>
    <xf numFmtId="0" fontId="11" fillId="0" borderId="6" xfId="1" applyFont="1" applyBorder="1" applyAlignment="1">
      <alignment horizontal="left"/>
    </xf>
    <xf numFmtId="0" fontId="11" fillId="0" borderId="5" xfId="1" applyFont="1" applyBorder="1" applyAlignment="1">
      <alignment horizontal="left"/>
    </xf>
    <xf numFmtId="0" fontId="11" fillId="0" borderId="4" xfId="1" applyFont="1" applyBorder="1" applyAlignment="1">
      <alignment horizontal="left"/>
    </xf>
    <xf numFmtId="0" fontId="7" fillId="3" borderId="6" xfId="1" applyFont="1" applyFill="1" applyBorder="1" applyAlignment="1">
      <alignment horizontal="center"/>
    </xf>
    <xf numFmtId="0" fontId="7" fillId="3" borderId="5" xfId="1" applyFont="1" applyFill="1" applyBorder="1" applyAlignment="1">
      <alignment horizontal="center"/>
    </xf>
    <xf numFmtId="0" fontId="7" fillId="3" borderId="4" xfId="1" applyFont="1" applyFill="1" applyBorder="1" applyAlignment="1">
      <alignment horizontal="center"/>
    </xf>
    <xf numFmtId="0" fontId="7" fillId="4" borderId="9" xfId="1" applyFont="1" applyFill="1" applyBorder="1" applyAlignment="1">
      <alignment horizontal="center"/>
    </xf>
    <xf numFmtId="0" fontId="7" fillId="4" borderId="8" xfId="1" applyFont="1" applyFill="1" applyBorder="1" applyAlignment="1">
      <alignment horizontal="center"/>
    </xf>
    <xf numFmtId="0" fontId="7" fillId="4" borderId="7" xfId="1" applyFont="1" applyFill="1" applyBorder="1" applyAlignment="1">
      <alignment horizontal="center"/>
    </xf>
  </cellXfs>
  <cellStyles count="4">
    <cellStyle name="Normal" xfId="0" builtinId="0"/>
    <cellStyle name="Normal 2" xfId="1" xr:uid="{8C51FE4A-B900-4EA5-B4A2-17B662B5B1A7}"/>
    <cellStyle name="Normal_CRITERIOS DE EVALUACION PT DE GB 2" xfId="3" xr:uid="{160552CE-592D-4E39-A430-047B64765C90}"/>
    <cellStyle name="Porcentaje 2" xfId="2" xr:uid="{505E1FB2-D4B0-484B-8077-8DA634B7A2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161924</xdr:rowOff>
    </xdr:from>
    <xdr:ext cx="1771026" cy="838199"/>
    <xdr:pic>
      <xdr:nvPicPr>
        <xdr:cNvPr id="2" name="Imagen 1">
          <a:extLst>
            <a:ext uri="{FF2B5EF4-FFF2-40B4-BE49-F238E27FC236}">
              <a16:creationId xmlns:a16="http://schemas.microsoft.com/office/drawing/2014/main" id="{72BCA347-CF4E-43D7-802E-252233421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4"/>
          <a:ext cx="1771026" cy="838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3DA6-E7DA-42AA-AABA-FFFC6F79B906}">
  <sheetPr>
    <pageSetUpPr fitToPage="1"/>
  </sheetPr>
  <dimension ref="A1:N33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2" width="14.28515625" bestFit="1" customWidth="1"/>
    <col min="3" max="3" width="38.42578125" bestFit="1" customWidth="1"/>
    <col min="4" max="4" width="23.42578125" bestFit="1" customWidth="1"/>
    <col min="8" max="8" width="15" customWidth="1"/>
    <col min="9" max="9" width="19.5703125" bestFit="1" customWidth="1"/>
  </cols>
  <sheetData>
    <row r="1" spans="1:14" ht="18" x14ac:dyDescent="0.25">
      <c r="A1" s="81"/>
      <c r="B1" s="82"/>
      <c r="C1" s="50" t="s">
        <v>58</v>
      </c>
      <c r="D1" s="50"/>
      <c r="E1" s="50"/>
      <c r="F1" s="50"/>
      <c r="G1" s="50"/>
      <c r="H1" s="17" t="s">
        <v>57</v>
      </c>
      <c r="I1" s="16" t="s">
        <v>60</v>
      </c>
    </row>
    <row r="2" spans="1:14" ht="18" x14ac:dyDescent="0.25">
      <c r="A2" s="83"/>
      <c r="B2" s="84"/>
      <c r="C2" s="51" t="s">
        <v>56</v>
      </c>
      <c r="D2" s="51"/>
      <c r="E2" s="51"/>
      <c r="F2" s="51"/>
      <c r="G2" s="51"/>
      <c r="H2" s="15" t="s">
        <v>55</v>
      </c>
      <c r="I2" s="14" t="s">
        <v>59</v>
      </c>
    </row>
    <row r="3" spans="1:14" ht="29.25" customHeight="1" x14ac:dyDescent="0.2">
      <c r="A3" s="83"/>
      <c r="B3" s="84"/>
      <c r="C3" s="52" t="s">
        <v>54</v>
      </c>
      <c r="D3" s="53"/>
      <c r="E3" s="53"/>
      <c r="F3" s="53"/>
      <c r="G3" s="53"/>
      <c r="H3" s="54" t="s">
        <v>53</v>
      </c>
      <c r="I3" s="69">
        <v>46141</v>
      </c>
    </row>
    <row r="4" spans="1:14" x14ac:dyDescent="0.2">
      <c r="A4" s="83"/>
      <c r="B4" s="84"/>
      <c r="C4" s="13" t="s">
        <v>52</v>
      </c>
      <c r="D4" s="57" t="s">
        <v>51</v>
      </c>
      <c r="E4" s="58"/>
      <c r="F4" s="58"/>
      <c r="G4" s="58"/>
      <c r="H4" s="54"/>
      <c r="I4" s="70"/>
      <c r="K4" s="8"/>
      <c r="L4" s="8"/>
      <c r="M4" s="8"/>
      <c r="N4" s="8"/>
    </row>
    <row r="5" spans="1:14" ht="14.25" thickBot="1" x14ac:dyDescent="0.3">
      <c r="A5" s="85"/>
      <c r="B5" s="86"/>
      <c r="C5" s="12" t="s">
        <v>50</v>
      </c>
      <c r="D5" s="72" t="s">
        <v>49</v>
      </c>
      <c r="E5" s="73"/>
      <c r="F5" s="73"/>
      <c r="G5" s="74"/>
      <c r="H5" s="55"/>
      <c r="I5" s="71"/>
      <c r="K5" s="8"/>
      <c r="L5" s="8"/>
      <c r="M5" s="8"/>
      <c r="N5" s="8"/>
    </row>
    <row r="6" spans="1:14" ht="18.75" thickBot="1" x14ac:dyDescent="0.3">
      <c r="A6" s="75" t="s">
        <v>48</v>
      </c>
      <c r="B6" s="75"/>
      <c r="C6" s="75"/>
      <c r="D6" s="76" t="s">
        <v>47</v>
      </c>
      <c r="E6" s="76"/>
      <c r="F6" s="76"/>
      <c r="G6" s="87" t="s">
        <v>46</v>
      </c>
      <c r="H6" s="87"/>
      <c r="I6" s="47" t="s">
        <v>45</v>
      </c>
      <c r="K6" s="8"/>
      <c r="L6" s="8"/>
      <c r="M6" s="8"/>
      <c r="N6" s="8"/>
    </row>
    <row r="7" spans="1:14" ht="22.5" customHeight="1" x14ac:dyDescent="0.2">
      <c r="A7" s="65" t="s">
        <v>44</v>
      </c>
      <c r="B7" s="65" t="s">
        <v>44</v>
      </c>
      <c r="C7" s="56" t="s">
        <v>43</v>
      </c>
      <c r="D7" s="56" t="s">
        <v>42</v>
      </c>
      <c r="E7" s="56" t="s">
        <v>41</v>
      </c>
      <c r="F7" s="56"/>
      <c r="G7" s="56" t="s">
        <v>40</v>
      </c>
      <c r="H7" s="56"/>
      <c r="I7" s="46" t="s">
        <v>39</v>
      </c>
      <c r="K7" s="7"/>
      <c r="L7" s="8"/>
      <c r="M7" s="8"/>
      <c r="N7" s="8"/>
    </row>
    <row r="8" spans="1:14" ht="26.25" thickBot="1" x14ac:dyDescent="0.25">
      <c r="A8" s="66"/>
      <c r="B8" s="66"/>
      <c r="C8" s="67"/>
      <c r="D8" s="68"/>
      <c r="E8" s="11" t="s">
        <v>16</v>
      </c>
      <c r="F8" s="10" t="s">
        <v>38</v>
      </c>
      <c r="G8" s="11" t="s">
        <v>16</v>
      </c>
      <c r="H8" s="10" t="s">
        <v>38</v>
      </c>
      <c r="I8" s="9" t="s">
        <v>37</v>
      </c>
      <c r="K8" s="8"/>
      <c r="L8" s="8"/>
      <c r="M8" s="8"/>
      <c r="N8" s="8"/>
    </row>
    <row r="9" spans="1:14" ht="20.25" x14ac:dyDescent="0.3">
      <c r="A9" s="18" t="s">
        <v>36</v>
      </c>
      <c r="B9" s="18" t="s">
        <v>36</v>
      </c>
      <c r="C9" s="18" t="s">
        <v>35</v>
      </c>
      <c r="D9" s="19" t="s">
        <v>34</v>
      </c>
      <c r="E9" s="20">
        <v>2500</v>
      </c>
      <c r="F9" s="21" t="s">
        <v>7</v>
      </c>
      <c r="G9" s="22"/>
      <c r="H9" s="23"/>
      <c r="I9" s="24"/>
      <c r="J9" s="5">
        <f t="shared" ref="J9:J15" si="0">E9/25.52</f>
        <v>97.962382445141074</v>
      </c>
      <c r="K9" s="7"/>
      <c r="L9" s="8"/>
      <c r="M9" s="8"/>
      <c r="N9" s="8"/>
    </row>
    <row r="10" spans="1:14" ht="20.25" x14ac:dyDescent="0.3">
      <c r="A10" s="18" t="s">
        <v>33</v>
      </c>
      <c r="B10" s="18" t="s">
        <v>33</v>
      </c>
      <c r="C10" s="18" t="s">
        <v>32</v>
      </c>
      <c r="D10" s="19" t="s">
        <v>31</v>
      </c>
      <c r="E10" s="25">
        <v>3750</v>
      </c>
      <c r="F10" s="21" t="s">
        <v>7</v>
      </c>
      <c r="G10" s="22"/>
      <c r="H10" s="23"/>
      <c r="I10" s="24"/>
      <c r="J10" s="5">
        <f t="shared" si="0"/>
        <v>146.9435736677116</v>
      </c>
      <c r="K10" s="7"/>
      <c r="L10" s="8"/>
      <c r="M10" s="8"/>
      <c r="N10" s="8"/>
    </row>
    <row r="11" spans="1:14" ht="20.25" x14ac:dyDescent="0.3">
      <c r="A11" s="18" t="s">
        <v>30</v>
      </c>
      <c r="B11" s="18" t="s">
        <v>30</v>
      </c>
      <c r="C11" s="18" t="s">
        <v>29</v>
      </c>
      <c r="D11" s="19" t="s">
        <v>28</v>
      </c>
      <c r="E11" s="20">
        <v>6100</v>
      </c>
      <c r="F11" s="21" t="s">
        <v>7</v>
      </c>
      <c r="G11" s="22"/>
      <c r="H11" s="23"/>
      <c r="I11" s="24"/>
      <c r="J11" s="5">
        <f t="shared" si="0"/>
        <v>239.02821316614421</v>
      </c>
      <c r="K11" s="7"/>
      <c r="L11" s="8"/>
      <c r="M11" s="8"/>
      <c r="N11" s="8"/>
    </row>
    <row r="12" spans="1:14" ht="20.25" x14ac:dyDescent="0.3">
      <c r="A12" s="26"/>
      <c r="B12" s="26" t="s">
        <v>27</v>
      </c>
      <c r="C12" s="26" t="s">
        <v>26</v>
      </c>
      <c r="D12" s="19" t="s">
        <v>25</v>
      </c>
      <c r="E12" s="20">
        <v>2850</v>
      </c>
      <c r="F12" s="21" t="s">
        <v>7</v>
      </c>
      <c r="G12" s="22"/>
      <c r="H12" s="23"/>
      <c r="I12" s="24"/>
      <c r="J12" s="5">
        <f t="shared" si="0"/>
        <v>111.67711598746082</v>
      </c>
      <c r="K12" s="7"/>
    </row>
    <row r="13" spans="1:14" ht="20.25" x14ac:dyDescent="0.3">
      <c r="A13" s="18" t="s">
        <v>24</v>
      </c>
      <c r="B13" s="18" t="s">
        <v>24</v>
      </c>
      <c r="C13" s="18" t="s">
        <v>23</v>
      </c>
      <c r="D13" s="19" t="s">
        <v>22</v>
      </c>
      <c r="E13" s="20">
        <v>2500</v>
      </c>
      <c r="F13" s="21" t="s">
        <v>7</v>
      </c>
      <c r="G13" s="22"/>
      <c r="H13" s="23"/>
      <c r="I13" s="24"/>
      <c r="J13" s="5">
        <f t="shared" si="0"/>
        <v>97.962382445141074</v>
      </c>
      <c r="K13" s="7"/>
    </row>
    <row r="14" spans="1:14" ht="20.25" x14ac:dyDescent="0.3">
      <c r="A14" s="18"/>
      <c r="B14" s="18" t="s">
        <v>21</v>
      </c>
      <c r="C14" s="27" t="s">
        <v>20</v>
      </c>
      <c r="D14" s="19" t="s">
        <v>19</v>
      </c>
      <c r="E14" s="20">
        <v>25</v>
      </c>
      <c r="F14" s="21" t="s">
        <v>7</v>
      </c>
      <c r="G14" s="22"/>
      <c r="H14" s="23"/>
      <c r="I14" s="24"/>
      <c r="J14" s="5">
        <f t="shared" si="0"/>
        <v>0.97962382445141072</v>
      </c>
      <c r="K14" s="7"/>
      <c r="M14" s="6">
        <v>19725</v>
      </c>
    </row>
    <row r="15" spans="1:14" ht="20.25" x14ac:dyDescent="0.3">
      <c r="A15" s="49"/>
      <c r="B15" s="49"/>
      <c r="C15" s="48" t="s">
        <v>18</v>
      </c>
      <c r="D15" s="19" t="s">
        <v>17</v>
      </c>
      <c r="E15" s="20">
        <v>2000</v>
      </c>
      <c r="F15" s="21" t="s">
        <v>7</v>
      </c>
      <c r="G15" s="22"/>
      <c r="H15" s="23"/>
      <c r="I15" s="24"/>
      <c r="J15" s="5">
        <f t="shared" si="0"/>
        <v>78.369905956112859</v>
      </c>
    </row>
    <row r="16" spans="1:14" ht="21" thickBot="1" x14ac:dyDescent="0.35">
      <c r="A16" s="28"/>
      <c r="B16" s="29"/>
      <c r="C16" s="30"/>
      <c r="D16" s="30"/>
      <c r="E16" s="31"/>
      <c r="F16" s="32"/>
      <c r="G16" s="30"/>
      <c r="H16" s="30"/>
      <c r="I16" s="33">
        <v>0</v>
      </c>
      <c r="J16" s="1"/>
      <c r="K16" s="1"/>
      <c r="L16" s="3"/>
      <c r="M16" s="1"/>
    </row>
    <row r="17" spans="1:13" ht="21" thickBot="1" x14ac:dyDescent="0.35">
      <c r="A17" s="34"/>
      <c r="B17" s="35"/>
      <c r="C17" s="36"/>
      <c r="D17" s="37" t="s">
        <v>16</v>
      </c>
      <c r="E17" s="38" t="s">
        <v>15</v>
      </c>
      <c r="F17" s="39"/>
      <c r="G17" s="36"/>
      <c r="H17" s="36"/>
      <c r="I17" s="40"/>
      <c r="J17" s="1"/>
      <c r="K17" s="1"/>
      <c r="L17" s="3"/>
      <c r="M17" s="1"/>
    </row>
    <row r="18" spans="1:13" ht="20.25" x14ac:dyDescent="0.3">
      <c r="A18" s="59" t="s">
        <v>14</v>
      </c>
      <c r="B18" s="60"/>
      <c r="C18" s="61"/>
      <c r="D18" s="22">
        <v>12760</v>
      </c>
      <c r="E18" s="41" t="s">
        <v>7</v>
      </c>
      <c r="F18" s="62"/>
      <c r="G18" s="62"/>
      <c r="H18" s="63"/>
      <c r="I18" s="64"/>
      <c r="J18" s="1">
        <f>D18/500</f>
        <v>25.52</v>
      </c>
      <c r="K18" s="1"/>
      <c r="L18" s="3"/>
      <c r="M18" s="1"/>
    </row>
    <row r="19" spans="1:13" ht="20.25" x14ac:dyDescent="0.3">
      <c r="A19" s="77" t="s">
        <v>13</v>
      </c>
      <c r="B19" s="78"/>
      <c r="C19" s="79"/>
      <c r="D19" s="42">
        <v>15</v>
      </c>
      <c r="E19" s="43" t="s">
        <v>12</v>
      </c>
      <c r="F19" s="80"/>
      <c r="G19" s="80"/>
      <c r="H19" s="88"/>
      <c r="I19" s="89"/>
      <c r="J19" s="1"/>
      <c r="K19" s="1"/>
      <c r="L19" s="3"/>
      <c r="M19" s="1"/>
    </row>
    <row r="20" spans="1:13" ht="20.25" x14ac:dyDescent="0.3">
      <c r="A20" s="77" t="s">
        <v>11</v>
      </c>
      <c r="B20" s="78"/>
      <c r="C20" s="79"/>
      <c r="D20" s="20">
        <v>1</v>
      </c>
      <c r="E20" s="43" t="s">
        <v>10</v>
      </c>
      <c r="F20" s="80"/>
      <c r="G20" s="80"/>
      <c r="H20" s="88"/>
      <c r="I20" s="89"/>
      <c r="J20" s="1"/>
      <c r="K20" s="1"/>
      <c r="L20" s="3"/>
      <c r="M20" s="1"/>
    </row>
    <row r="21" spans="1:13" ht="20.25" x14ac:dyDescent="0.3">
      <c r="A21" s="77" t="s">
        <v>9</v>
      </c>
      <c r="B21" s="78"/>
      <c r="C21" s="79"/>
      <c r="D21" s="20">
        <v>12760</v>
      </c>
      <c r="E21" s="43" t="s">
        <v>7</v>
      </c>
      <c r="F21" s="95"/>
      <c r="G21" s="96"/>
      <c r="H21" s="88"/>
      <c r="I21" s="89"/>
      <c r="J21" s="1"/>
      <c r="K21" s="1"/>
      <c r="L21" s="3"/>
      <c r="M21" s="4"/>
    </row>
    <row r="22" spans="1:13" ht="21" thickBot="1" x14ac:dyDescent="0.35">
      <c r="A22" s="100" t="s">
        <v>8</v>
      </c>
      <c r="B22" s="101"/>
      <c r="C22" s="102"/>
      <c r="D22" s="44">
        <v>6965</v>
      </c>
      <c r="E22" s="45" t="s">
        <v>7</v>
      </c>
      <c r="F22" s="103"/>
      <c r="G22" s="103"/>
      <c r="H22" s="104"/>
      <c r="I22" s="105"/>
      <c r="J22" s="1"/>
      <c r="K22" s="1"/>
      <c r="L22" s="3"/>
      <c r="M22" s="1"/>
    </row>
    <row r="23" spans="1:13" ht="21" thickBot="1" x14ac:dyDescent="0.35">
      <c r="A23" s="112" t="s">
        <v>6</v>
      </c>
      <c r="B23" s="113"/>
      <c r="C23" s="113"/>
      <c r="D23" s="113"/>
      <c r="E23" s="113"/>
      <c r="F23" s="113"/>
      <c r="G23" s="113"/>
      <c r="H23" s="113"/>
      <c r="I23" s="114"/>
      <c r="J23" s="1"/>
      <c r="K23" s="1"/>
      <c r="L23" s="1"/>
      <c r="M23" s="1"/>
    </row>
    <row r="24" spans="1:13" ht="20.25" x14ac:dyDescent="0.3">
      <c r="A24" s="90" t="s">
        <v>5</v>
      </c>
      <c r="B24" s="91"/>
      <c r="C24" s="93"/>
      <c r="D24" s="93"/>
      <c r="E24" s="93"/>
      <c r="F24" s="93"/>
      <c r="G24" s="93"/>
      <c r="H24" s="93"/>
      <c r="I24" s="94"/>
    </row>
    <row r="25" spans="1:13" ht="20.25" x14ac:dyDescent="0.3">
      <c r="A25" s="90" t="s">
        <v>4</v>
      </c>
      <c r="B25" s="91"/>
      <c r="C25" s="93"/>
      <c r="D25" s="93"/>
      <c r="E25" s="93"/>
      <c r="F25" s="93"/>
      <c r="G25" s="93"/>
      <c r="H25" s="93"/>
      <c r="I25" s="94"/>
    </row>
    <row r="26" spans="1:13" ht="20.25" x14ac:dyDescent="0.3">
      <c r="A26" s="90" t="s">
        <v>3</v>
      </c>
      <c r="B26" s="91"/>
      <c r="C26" s="93"/>
      <c r="D26" s="93"/>
      <c r="E26" s="93"/>
      <c r="F26" s="93"/>
      <c r="G26" s="93"/>
      <c r="H26" s="93"/>
      <c r="I26" s="94"/>
    </row>
    <row r="27" spans="1:13" ht="20.25" x14ac:dyDescent="0.3">
      <c r="A27" s="90" t="s">
        <v>2</v>
      </c>
      <c r="B27" s="91"/>
      <c r="C27" s="91"/>
      <c r="D27" s="91"/>
      <c r="E27" s="91"/>
      <c r="F27" s="91"/>
      <c r="G27" s="91"/>
      <c r="H27" s="91"/>
      <c r="I27" s="92"/>
    </row>
    <row r="28" spans="1:13" ht="20.25" x14ac:dyDescent="0.3">
      <c r="A28" s="90" t="s">
        <v>1</v>
      </c>
      <c r="B28" s="93"/>
      <c r="C28" s="93"/>
      <c r="D28" s="93"/>
      <c r="E28" s="93"/>
      <c r="F28" s="93"/>
      <c r="G28" s="93"/>
      <c r="H28" s="93"/>
      <c r="I28" s="94"/>
    </row>
    <row r="29" spans="1:13" ht="20.25" x14ac:dyDescent="0.3">
      <c r="A29" s="106"/>
      <c r="B29" s="107"/>
      <c r="C29" s="107"/>
      <c r="D29" s="107"/>
      <c r="E29" s="107"/>
      <c r="F29" s="107"/>
      <c r="G29" s="107"/>
      <c r="H29" s="107"/>
      <c r="I29" s="108"/>
    </row>
    <row r="30" spans="1:13" ht="20.25" x14ac:dyDescent="0.3">
      <c r="A30" s="109" t="s">
        <v>0</v>
      </c>
      <c r="B30" s="110"/>
      <c r="C30" s="110"/>
      <c r="D30" s="110"/>
      <c r="E30" s="110"/>
      <c r="F30" s="110"/>
      <c r="G30" s="110"/>
      <c r="H30" s="110"/>
      <c r="I30" s="111"/>
    </row>
    <row r="31" spans="1:13" ht="21" thickBot="1" x14ac:dyDescent="0.35">
      <c r="A31" s="97"/>
      <c r="B31" s="98"/>
      <c r="C31" s="98"/>
      <c r="D31" s="98"/>
      <c r="E31" s="98"/>
      <c r="F31" s="98"/>
      <c r="G31" s="98"/>
      <c r="H31" s="98"/>
      <c r="I31" s="99"/>
    </row>
    <row r="33" spans="1:9" x14ac:dyDescent="0.2">
      <c r="A33" s="2"/>
      <c r="B33" s="2"/>
      <c r="C33" s="2"/>
      <c r="D33" s="1"/>
      <c r="E33" s="1"/>
      <c r="F33" s="1"/>
      <c r="G33" s="1"/>
      <c r="H33" s="1"/>
      <c r="I33" s="1"/>
    </row>
  </sheetData>
  <mergeCells count="41">
    <mergeCell ref="A20:C20"/>
    <mergeCell ref="F20:G20"/>
    <mergeCell ref="H20:I20"/>
    <mergeCell ref="F21:G21"/>
    <mergeCell ref="A31:I31"/>
    <mergeCell ref="A22:C22"/>
    <mergeCell ref="F22:G22"/>
    <mergeCell ref="H22:I22"/>
    <mergeCell ref="A24:I24"/>
    <mergeCell ref="A29:I29"/>
    <mergeCell ref="A30:I30"/>
    <mergeCell ref="A23:I23"/>
    <mergeCell ref="A26:I26"/>
    <mergeCell ref="A27:I27"/>
    <mergeCell ref="A28:I28"/>
    <mergeCell ref="A25:I25"/>
    <mergeCell ref="H21:I21"/>
    <mergeCell ref="A21:C21"/>
    <mergeCell ref="I3:I5"/>
    <mergeCell ref="D5:G5"/>
    <mergeCell ref="A6:C6"/>
    <mergeCell ref="D6:F6"/>
    <mergeCell ref="A19:C19"/>
    <mergeCell ref="F19:G19"/>
    <mergeCell ref="B7:B8"/>
    <mergeCell ref="A1:B5"/>
    <mergeCell ref="G6:H6"/>
    <mergeCell ref="H19:I19"/>
    <mergeCell ref="A18:C18"/>
    <mergeCell ref="F18:G18"/>
    <mergeCell ref="H18:I18"/>
    <mergeCell ref="A7:A8"/>
    <mergeCell ref="C7:C8"/>
    <mergeCell ref="D7:D8"/>
    <mergeCell ref="E7:F7"/>
    <mergeCell ref="C1:G1"/>
    <mergeCell ref="C2:G2"/>
    <mergeCell ref="C3:G3"/>
    <mergeCell ref="H3:H5"/>
    <mergeCell ref="G7:H7"/>
    <mergeCell ref="D4:G4"/>
  </mergeCells>
  <pageMargins left="0.25" right="0.25" top="0.75" bottom="0.75" header="0.3" footer="0.3"/>
  <pageSetup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FE923C-4744-40AF-B8BC-2F12AAD8D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3274A3-7A89-4CC3-B089-187513300ED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9E83E27-0A7A-4061-8A61-D2DF8B94DC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Salsa de Whisky</vt:lpstr>
      <vt:lpstr>'Salsa de Whisky'!Área_de_impresión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2026-05-13T14:20:35Z</cp:lastPrinted>
  <dcterms:created xsi:type="dcterms:W3CDTF">2026-04-29T16:06:39Z</dcterms:created>
  <dcterms:modified xsi:type="dcterms:W3CDTF">2026-05-13T14:21:06Z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
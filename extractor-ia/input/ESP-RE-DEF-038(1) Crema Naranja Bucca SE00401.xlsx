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5" documentId="8_{F35881CB-5E5C-4F91-8FC4-7E247C04D452}" xr6:coauthVersionLast="47" xr6:coauthVersionMax="47" xr10:uidLastSave="{D5D3C61D-B95E-4205-B27E-51E7D3155333}"/>
  <bookViews>
    <workbookView xWindow="-120" yWindow="-120" windowWidth="20730" windowHeight="11040" xr2:uid="{FE23BBB5-8365-461E-A8C4-3D22555C9874}"/>
  </bookViews>
  <sheets>
    <sheet name="Hoja1" sheetId="18" r:id="rId1"/>
  </sheets>
  <definedNames>
    <definedName name="_xlnm.Print_Area" localSheetId="0">Hoja1!$A$1:$I$57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8" l="1"/>
  <c r="E12" i="18"/>
  <c r="E11" i="18"/>
  <c r="E10" i="18"/>
  <c r="K34" i="18"/>
</calcChain>
</file>

<file path=xl/sharedStrings.xml><?xml version="1.0" encoding="utf-8"?>
<sst xmlns="http://schemas.openxmlformats.org/spreadsheetml/2006/main" count="67" uniqueCount="58">
  <si>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</si>
  <si>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</si>
  <si>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</si>
  <si>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</si>
  <si>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</si>
  <si>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</si>
  <si>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</si>
  <si>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</si>
  <si>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</si>
  <si>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</si>
  <si>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</si>
  <si>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</si>
  <si>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</si>
  <si>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</si>
  <si>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</si>
  <si>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</si>
  <si>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</si>
  <si>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</si>
  <si>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</si>
  <si>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</si>
  <si>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</si>
  <si>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</si>
  <si>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</si>
  <si>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</si>
  <si>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</si>
  <si>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</si>
  <si>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</si>
  <si>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</si>
  <si>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</si>
  <si>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</si>
  <si>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</si>
  <si>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</si>
  <si>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</si>
  <si>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Ensamble</t>
  </si>
  <si>
    <t>Decoración</t>
  </si>
  <si>
    <t>Empaque</t>
  </si>
  <si>
    <t>PESO DE CADA PORCIÓN</t>
  </si>
  <si>
    <t xml:space="preserve">Decoración </t>
  </si>
  <si>
    <t>Tanda</t>
  </si>
  <si>
    <t>Mariela Barrantes Sánchez</t>
  </si>
  <si>
    <t>SE00634</t>
  </si>
  <si>
    <t>Crema Blanca Bucca</t>
  </si>
  <si>
    <t>Rich´s</t>
  </si>
  <si>
    <t>MP10157</t>
  </si>
  <si>
    <t>Colorante Gel Super Red</t>
  </si>
  <si>
    <t>American Colors</t>
  </si>
  <si>
    <t>MP10150</t>
  </si>
  <si>
    <t>Colorante Gel Egg Yellow</t>
  </si>
  <si>
    <t>1, Sacar la crema blanca Bucca de la camara (temperatura maxima 18° ya batida).</t>
  </si>
  <si>
    <t>2, Agregar los colorantes, mezclar a mano, hasta que este completamente homogeneo.</t>
  </si>
  <si>
    <t>3, Colocar plastico para tapar y etiquetar.</t>
  </si>
  <si>
    <t xml:space="preserve">4, Volver a guardar en la camara hasta su uso. </t>
  </si>
  <si>
    <t>EM10005</t>
  </si>
  <si>
    <t>ETIQ.FECHA VENCIMIENTO VERDE</t>
  </si>
  <si>
    <t>Etiplast</t>
  </si>
  <si>
    <t>ESP-RE-DEF-038</t>
  </si>
  <si>
    <t>1</t>
  </si>
  <si>
    <t xml:space="preserve"> Crema Naranja Bucca SE00401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</si>
</sst>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0" fontId="4" fillId="0" borderId="0"/>
    <xf numFmtId="0" fontId="6" fillId="0" borderId="0"/>
  </cellStyleXfs>
  <cellXfs count="164">
    <xf numFmtId="0" fontId="0" fillId="0" borderId="0" xfId="0"/>
    <xf numFmtId="0" fontId="3" fillId="2" borderId="4" xfId="4" applyFont="1" applyFill="1" applyBorder="1" applyAlignment="1">
      <alignment horizontal="right"/>
    </xf>
    <xf numFmtId="0" fontId="8" fillId="2" borderId="1" xfId="4" applyFont="1" applyFill="1" applyBorder="1" applyAlignment="1">
      <alignment horizontal="center"/>
    </xf>
    <xf numFmtId="0" fontId="3" fillId="2" borderId="5" xfId="4" applyFont="1" applyFill="1" applyBorder="1" applyAlignment="1">
      <alignment horizontal="right"/>
    </xf>
    <xf numFmtId="49" fontId="8" fillId="2" borderId="7" xfId="4" applyNumberFormat="1" applyFont="1" applyFill="1" applyBorder="1" applyAlignment="1">
      <alignment horizontal="center"/>
    </xf>
    <xf numFmtId="0" fontId="8" fillId="2" borderId="6" xfId="4" applyFont="1" applyFill="1" applyBorder="1" applyAlignment="1">
      <alignment horizontal="right"/>
    </xf>
    <xf numFmtId="0" fontId="8" fillId="2" borderId="5" xfId="4" applyFont="1" applyFill="1" applyBorder="1" applyAlignment="1">
      <alignment horizontal="right"/>
    </xf>
    <xf numFmtId="14" fontId="9" fillId="2" borderId="0" xfId="6" applyNumberFormat="1" applyFont="1" applyFill="1" applyAlignment="1">
      <alignment horizontal="center" vertical="center" wrapText="1"/>
    </xf>
    <xf numFmtId="0" fontId="3" fillId="3" borderId="1" xfId="7" applyFont="1" applyFill="1" applyBorder="1" applyAlignment="1">
      <alignment horizontal="center" vertical="center" wrapText="1"/>
    </xf>
    <xf numFmtId="1" fontId="3" fillId="3" borderId="2" xfId="7" applyNumberFormat="1" applyFont="1" applyFill="1" applyBorder="1" applyAlignment="1">
      <alignment horizontal="center"/>
    </xf>
    <xf numFmtId="1" fontId="3" fillId="3" borderId="2" xfId="7" applyNumberFormat="1" applyFont="1" applyFill="1" applyBorder="1" applyAlignment="1">
      <alignment horizontal="center" wrapText="1"/>
    </xf>
    <xf numFmtId="0" fontId="3" fillId="3" borderId="3" xfId="7" applyFont="1" applyFill="1" applyBorder="1" applyAlignment="1">
      <alignment horizontal="center"/>
    </xf>
    <xf numFmtId="0" fontId="10" fillId="0" borderId="8" xfId="7" applyFont="1" applyBorder="1" applyAlignment="1">
      <alignment horizontal="center" vertical="center"/>
    </xf>
    <xf numFmtId="0" fontId="10" fillId="0" borderId="17" xfId="7" applyFont="1" applyBorder="1" applyAlignment="1">
      <alignment horizontal="center" vertical="center"/>
    </xf>
    <xf numFmtId="0" fontId="11" fillId="0" borderId="5" xfId="7" applyFont="1" applyBorder="1" applyAlignment="1">
      <alignment vertical="center"/>
    </xf>
    <xf numFmtId="0" fontId="10" fillId="0" borderId="5" xfId="7" applyFont="1" applyBorder="1" applyAlignment="1">
      <alignment horizontal="center" vertical="center"/>
    </xf>
    <xf numFmtId="1" fontId="10" fillId="0" borderId="5" xfId="7" applyNumberFormat="1" applyFont="1" applyBorder="1" applyAlignment="1">
      <alignment horizontal="center"/>
    </xf>
    <xf numFmtId="1" fontId="10" fillId="0" borderId="5" xfId="7" applyNumberFormat="1" applyFont="1" applyBorder="1" applyAlignment="1">
      <alignment horizontal="center" wrapText="1"/>
    </xf>
    <xf numFmtId="0" fontId="12" fillId="0" borderId="7" xfId="7" applyFont="1" applyBorder="1" applyAlignment="1">
      <alignment horizontal="center"/>
    </xf>
    <xf numFmtId="49" fontId="13" fillId="5" borderId="5" xfId="7" applyNumberFormat="1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/>
    <xf numFmtId="16" fontId="12" fillId="0" borderId="5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12" fontId="12" fillId="0" borderId="6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top"/>
    </xf>
    <xf numFmtId="0" fontId="12" fillId="0" borderId="8" xfId="0" quotePrefix="1" applyFont="1" applyBorder="1" applyAlignment="1">
      <alignment horizontal="center"/>
    </xf>
    <xf numFmtId="0" fontId="12" fillId="0" borderId="17" xfId="0" quotePrefix="1" applyFont="1" applyBorder="1" applyAlignment="1">
      <alignment horizontal="center"/>
    </xf>
    <xf numFmtId="0" fontId="12" fillId="0" borderId="5" xfId="0" quotePrefix="1" applyFont="1" applyBorder="1"/>
    <xf numFmtId="0" fontId="12" fillId="5" borderId="5" xfId="0" applyFont="1" applyFill="1" applyBorder="1"/>
    <xf numFmtId="1" fontId="12" fillId="0" borderId="5" xfId="7" applyNumberFormat="1" applyFont="1" applyBorder="1" applyAlignment="1">
      <alignment horizontal="center"/>
    </xf>
    <xf numFmtId="0" fontId="12" fillId="0" borderId="5" xfId="7" applyFont="1" applyBorder="1" applyAlignment="1">
      <alignment horizontal="center"/>
    </xf>
    <xf numFmtId="1" fontId="12" fillId="0" borderId="5" xfId="7" applyNumberFormat="1" applyFont="1" applyBorder="1" applyAlignment="1">
      <alignment horizontal="center" wrapText="1"/>
    </xf>
    <xf numFmtId="1" fontId="12" fillId="0" borderId="5" xfId="0" applyNumberFormat="1" applyFont="1" applyBorder="1"/>
    <xf numFmtId="0" fontId="12" fillId="5" borderId="5" xfId="7" applyFont="1" applyFill="1" applyBorder="1" applyAlignment="1">
      <alignment horizontal="center"/>
    </xf>
    <xf numFmtId="49" fontId="12" fillId="0" borderId="8" xfId="7" applyNumberFormat="1" applyFont="1" applyBorder="1" applyAlignment="1">
      <alignment horizontal="center"/>
    </xf>
    <xf numFmtId="49" fontId="12" fillId="0" borderId="17" xfId="7" applyNumberFormat="1" applyFont="1" applyBorder="1" applyAlignment="1">
      <alignment horizontal="center"/>
    </xf>
    <xf numFmtId="0" fontId="10" fillId="5" borderId="5" xfId="7" applyFont="1" applyFill="1" applyBorder="1" applyAlignment="1">
      <alignment horizontal="left"/>
    </xf>
    <xf numFmtId="167" fontId="12" fillId="0" borderId="5" xfId="7" applyNumberFormat="1" applyFont="1" applyBorder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14" fillId="5" borderId="29" xfId="0" applyFont="1" applyFill="1" applyBorder="1" applyAlignment="1">
      <alignment horizontal="center"/>
    </xf>
    <xf numFmtId="0" fontId="14" fillId="5" borderId="6" xfId="0" applyFont="1" applyFill="1" applyBorder="1"/>
    <xf numFmtId="0" fontId="12" fillId="5" borderId="17" xfId="0" applyFont="1" applyFill="1" applyBorder="1" applyAlignment="1">
      <alignment horizontal="center"/>
    </xf>
    <xf numFmtId="1" fontId="12" fillId="5" borderId="6" xfId="0" applyNumberFormat="1" applyFont="1" applyFill="1" applyBorder="1" applyAlignment="1">
      <alignment horizontal="center"/>
    </xf>
    <xf numFmtId="1" fontId="12" fillId="5" borderId="6" xfId="0" applyNumberFormat="1" applyFont="1" applyFill="1" applyBorder="1" applyAlignment="1">
      <alignment horizontal="center" wrapText="1"/>
    </xf>
    <xf numFmtId="49" fontId="12" fillId="5" borderId="6" xfId="0" applyNumberFormat="1" applyFont="1" applyFill="1" applyBorder="1" applyAlignment="1">
      <alignment horizontal="center"/>
    </xf>
    <xf numFmtId="1" fontId="12" fillId="5" borderId="5" xfId="7" applyNumberFormat="1" applyFont="1" applyFill="1" applyBorder="1" applyAlignment="1">
      <alignment horizontal="center"/>
    </xf>
    <xf numFmtId="1" fontId="12" fillId="5" borderId="5" xfId="7" applyNumberFormat="1" applyFont="1" applyFill="1" applyBorder="1" applyAlignment="1">
      <alignment horizontal="center" wrapText="1"/>
    </xf>
    <xf numFmtId="1" fontId="12" fillId="5" borderId="5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6" fontId="12" fillId="5" borderId="5" xfId="0" applyNumberFormat="1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1" fontId="12" fillId="0" borderId="6" xfId="0" applyNumberFormat="1" applyFont="1" applyBorder="1" applyAlignment="1">
      <alignment horizontal="center" wrapText="1"/>
    </xf>
    <xf numFmtId="1" fontId="12" fillId="0" borderId="6" xfId="0" applyNumberFormat="1" applyFont="1" applyBorder="1" applyAlignment="1">
      <alignment horizontal="center"/>
    </xf>
    <xf numFmtId="49" fontId="10" fillId="0" borderId="23" xfId="7" applyNumberFormat="1" applyFont="1" applyBorder="1" applyAlignment="1">
      <alignment horizontal="center"/>
    </xf>
    <xf numFmtId="49" fontId="10" fillId="0" borderId="24" xfId="7" applyNumberFormat="1" applyFont="1" applyBorder="1" applyAlignment="1">
      <alignment horizontal="center"/>
    </xf>
    <xf numFmtId="0" fontId="11" fillId="5" borderId="5" xfId="7" applyFont="1" applyFill="1" applyBorder="1" applyAlignment="1">
      <alignment vertical="center"/>
    </xf>
    <xf numFmtId="0" fontId="10" fillId="0" borderId="17" xfId="7" applyFont="1" applyBorder="1" applyAlignment="1">
      <alignment horizontal="center"/>
    </xf>
    <xf numFmtId="167" fontId="10" fillId="0" borderId="5" xfId="7" applyNumberFormat="1" applyFont="1" applyBorder="1" applyAlignment="1">
      <alignment horizontal="center"/>
    </xf>
    <xf numFmtId="49" fontId="12" fillId="0" borderId="5" xfId="0" applyNumberFormat="1" applyFont="1" applyBorder="1" applyAlignment="1">
      <alignment horizontal="center"/>
    </xf>
    <xf numFmtId="49" fontId="12" fillId="0" borderId="5" xfId="0" applyNumberFormat="1" applyFont="1" applyBorder="1"/>
    <xf numFmtId="0" fontId="12" fillId="0" borderId="6" xfId="7" applyFont="1" applyBorder="1" applyAlignment="1">
      <alignment horizontal="center"/>
    </xf>
    <xf numFmtId="168" fontId="10" fillId="5" borderId="5" xfId="1" applyNumberFormat="1" applyFont="1" applyFill="1" applyBorder="1" applyAlignment="1">
      <alignment horizontal="center"/>
    </xf>
    <xf numFmtId="0" fontId="14" fillId="0" borderId="5" xfId="8" applyFont="1" applyBorder="1" applyAlignment="1">
      <alignment horizontal="center"/>
    </xf>
    <xf numFmtId="49" fontId="12" fillId="0" borderId="5" xfId="7" applyNumberFormat="1" applyFont="1" applyBorder="1" applyAlignment="1">
      <alignment horizontal="center"/>
    </xf>
    <xf numFmtId="49" fontId="12" fillId="0" borderId="5" xfId="7" applyNumberFormat="1" applyFont="1" applyBorder="1"/>
    <xf numFmtId="16" fontId="12" fillId="0" borderId="5" xfId="7" applyNumberFormat="1" applyFont="1" applyBorder="1" applyAlignment="1">
      <alignment horizontal="center"/>
    </xf>
    <xf numFmtId="1" fontId="12" fillId="0" borderId="6" xfId="7" applyNumberFormat="1" applyFont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12" fontId="12" fillId="0" borderId="5" xfId="7" applyNumberFormat="1" applyFont="1" applyBorder="1" applyAlignment="1">
      <alignment horizontal="center"/>
    </xf>
    <xf numFmtId="0" fontId="12" fillId="0" borderId="5" xfId="0" quotePrefix="1" applyFont="1" applyBorder="1" applyAlignment="1">
      <alignment horizontal="center"/>
    </xf>
    <xf numFmtId="49" fontId="13" fillId="2" borderId="9" xfId="7" applyNumberFormat="1" applyFont="1" applyFill="1" applyBorder="1" applyAlignment="1">
      <alignment horizontal="center" vertical="center"/>
    </xf>
    <xf numFmtId="49" fontId="13" fillId="2" borderId="0" xfId="7" applyNumberFormat="1" applyFont="1" applyFill="1" applyAlignment="1">
      <alignment horizontal="center" vertical="center"/>
    </xf>
    <xf numFmtId="0" fontId="12" fillId="2" borderId="0" xfId="7" applyFont="1" applyFill="1"/>
    <xf numFmtId="1" fontId="12" fillId="2" borderId="0" xfId="7" applyNumberFormat="1" applyFont="1" applyFill="1" applyAlignment="1">
      <alignment horizontal="center"/>
    </xf>
    <xf numFmtId="166" fontId="12" fillId="2" borderId="0" xfId="7" applyNumberFormat="1" applyFont="1" applyFill="1" applyAlignment="1">
      <alignment horizontal="center" wrapText="1"/>
    </xf>
    <xf numFmtId="0" fontId="12" fillId="2" borderId="10" xfId="7" applyFont="1" applyFill="1" applyBorder="1" applyAlignment="1">
      <alignment horizontal="center"/>
    </xf>
    <xf numFmtId="0" fontId="12" fillId="3" borderId="11" xfId="7" applyFont="1" applyFill="1" applyBorder="1" applyAlignment="1">
      <alignment horizontal="center"/>
    </xf>
    <xf numFmtId="0" fontId="12" fillId="3" borderId="12" xfId="7" applyFont="1" applyFill="1" applyBorder="1" applyAlignment="1">
      <alignment horizontal="center"/>
    </xf>
    <xf numFmtId="0" fontId="12" fillId="3" borderId="12" xfId="7" applyFont="1" applyFill="1" applyBorder="1"/>
    <xf numFmtId="0" fontId="10" fillId="3" borderId="12" xfId="7" applyFont="1" applyFill="1" applyBorder="1" applyAlignment="1">
      <alignment horizontal="center"/>
    </xf>
    <xf numFmtId="1" fontId="10" fillId="3" borderId="12" xfId="7" applyNumberFormat="1" applyFont="1" applyFill="1" applyBorder="1" applyAlignment="1">
      <alignment horizontal="center"/>
    </xf>
    <xf numFmtId="166" fontId="12" fillId="3" borderId="12" xfId="7" applyNumberFormat="1" applyFont="1" applyFill="1" applyBorder="1" applyAlignment="1">
      <alignment horizontal="center" wrapText="1"/>
    </xf>
    <xf numFmtId="0" fontId="12" fillId="3" borderId="13" xfId="7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4" fontId="8" fillId="2" borderId="36" xfId="4" applyNumberFormat="1" applyFont="1" applyFill="1" applyBorder="1" applyAlignment="1">
      <alignment horizontal="center" vertical="center" wrapText="1"/>
    </xf>
    <xf numFmtId="14" fontId="8" fillId="2" borderId="37" xfId="4" applyNumberFormat="1" applyFont="1" applyFill="1" applyBorder="1" applyAlignment="1">
      <alignment horizontal="center" vertical="center" wrapText="1"/>
    </xf>
    <xf numFmtId="14" fontId="8" fillId="2" borderId="15" xfId="4" applyNumberFormat="1" applyFont="1" applyFill="1" applyBorder="1" applyAlignment="1">
      <alignment horizontal="center" vertical="center" wrapText="1"/>
    </xf>
    <xf numFmtId="0" fontId="8" fillId="2" borderId="38" xfId="4" applyFont="1" applyFill="1" applyBorder="1" applyAlignment="1">
      <alignment horizontal="left"/>
    </xf>
    <xf numFmtId="0" fontId="8" fillId="2" borderId="39" xfId="4" applyFont="1" applyFill="1" applyBorder="1" applyAlignment="1">
      <alignment horizontal="left"/>
    </xf>
    <xf numFmtId="0" fontId="8" fillId="2" borderId="16" xfId="4" applyFont="1" applyFill="1" applyBorder="1" applyAlignment="1">
      <alignment horizontal="left"/>
    </xf>
    <xf numFmtId="0" fontId="8" fillId="2" borderId="25" xfId="4" applyFont="1" applyFill="1" applyBorder="1" applyAlignment="1">
      <alignment horizontal="left"/>
    </xf>
    <xf numFmtId="0" fontId="8" fillId="2" borderId="24" xfId="4" applyFont="1" applyFill="1" applyBorder="1" applyAlignment="1">
      <alignment horizontal="left"/>
    </xf>
    <xf numFmtId="0" fontId="8" fillId="2" borderId="17" xfId="4" applyFont="1" applyFill="1" applyBorder="1" applyAlignment="1">
      <alignment horizontal="left"/>
    </xf>
    <xf numFmtId="0" fontId="8" fillId="2" borderId="21" xfId="4" applyFont="1" applyFill="1" applyBorder="1" applyAlignment="1">
      <alignment horizontal="center"/>
    </xf>
    <xf numFmtId="0" fontId="8" fillId="2" borderId="22" xfId="4" applyFont="1" applyFill="1" applyBorder="1" applyAlignment="1">
      <alignment horizontal="center"/>
    </xf>
    <xf numFmtId="0" fontId="8" fillId="2" borderId="9" xfId="4" applyFont="1" applyFill="1" applyBorder="1" applyAlignment="1">
      <alignment horizontal="center"/>
    </xf>
    <xf numFmtId="0" fontId="8" fillId="2" borderId="0" xfId="4" applyFont="1" applyFill="1" applyAlignment="1">
      <alignment horizontal="center"/>
    </xf>
    <xf numFmtId="0" fontId="8" fillId="2" borderId="27" xfId="4" applyFont="1" applyFill="1" applyBorder="1" applyAlignment="1">
      <alignment horizontal="center"/>
    </xf>
    <xf numFmtId="0" fontId="8" fillId="2" borderId="28" xfId="4" applyFont="1" applyFill="1" applyBorder="1" applyAlignment="1">
      <alignment horizontal="center"/>
    </xf>
    <xf numFmtId="0" fontId="3" fillId="2" borderId="4" xfId="4" applyFont="1" applyFill="1" applyBorder="1" applyAlignment="1">
      <alignment horizontal="center"/>
    </xf>
    <xf numFmtId="0" fontId="3" fillId="2" borderId="20" xfId="4" applyFont="1" applyFill="1" applyBorder="1" applyAlignment="1">
      <alignment horizontal="center"/>
    </xf>
    <xf numFmtId="0" fontId="3" fillId="2" borderId="40" xfId="4" applyFont="1" applyFill="1" applyBorder="1" applyAlignment="1">
      <alignment horizontal="center"/>
    </xf>
    <xf numFmtId="0" fontId="3" fillId="2" borderId="19" xfId="4" applyFont="1" applyFill="1" applyBorder="1" applyAlignment="1">
      <alignment horizontal="center"/>
    </xf>
    <xf numFmtId="0" fontId="3" fillId="4" borderId="11" xfId="4" applyFont="1" applyFill="1" applyBorder="1" applyAlignment="1">
      <alignment horizontal="center" vertical="center" wrapText="1"/>
    </xf>
    <xf numFmtId="0" fontId="3" fillId="4" borderId="12" xfId="4" applyFont="1" applyFill="1" applyBorder="1" applyAlignment="1">
      <alignment horizontal="center" vertical="center" wrapText="1"/>
    </xf>
    <xf numFmtId="0" fontId="3" fillId="4" borderId="13" xfId="4" applyFont="1" applyFill="1" applyBorder="1" applyAlignment="1">
      <alignment horizontal="center" vertical="center" wrapText="1"/>
    </xf>
    <xf numFmtId="0" fontId="3" fillId="2" borderId="33" xfId="4" applyFont="1" applyFill="1" applyBorder="1" applyAlignment="1">
      <alignment horizontal="right" vertical="top" wrapText="1"/>
    </xf>
    <xf numFmtId="0" fontId="3" fillId="2" borderId="34" xfId="4" applyFont="1" applyFill="1" applyBorder="1" applyAlignment="1">
      <alignment horizontal="right" vertical="top" wrapText="1"/>
    </xf>
    <xf numFmtId="0" fontId="3" fillId="2" borderId="35" xfId="4" applyFont="1" applyFill="1" applyBorder="1" applyAlignment="1">
      <alignment horizontal="right" vertical="top" wrapText="1"/>
    </xf>
    <xf numFmtId="0" fontId="7" fillId="2" borderId="0" xfId="6" applyFont="1" applyFill="1" applyAlignment="1">
      <alignment horizontal="right"/>
    </xf>
    <xf numFmtId="0" fontId="9" fillId="2" borderId="31" xfId="6" applyFont="1" applyFill="1" applyBorder="1" applyAlignment="1">
      <alignment horizontal="center"/>
    </xf>
    <xf numFmtId="0" fontId="7" fillId="2" borderId="0" xfId="6" applyFont="1" applyFill="1"/>
    <xf numFmtId="0" fontId="3" fillId="3" borderId="32" xfId="7" applyFont="1" applyFill="1" applyBorder="1" applyAlignment="1">
      <alignment horizontal="center" vertical="center"/>
    </xf>
    <xf numFmtId="0" fontId="3" fillId="3" borderId="18" xfId="7" applyFont="1" applyFill="1" applyBorder="1" applyAlignment="1">
      <alignment horizontal="center" vertical="center"/>
    </xf>
    <xf numFmtId="0" fontId="3" fillId="3" borderId="32" xfId="7" applyFont="1" applyFill="1" applyBorder="1" applyAlignment="1">
      <alignment horizontal="center" vertical="center" wrapText="1"/>
    </xf>
    <xf numFmtId="0" fontId="3" fillId="3" borderId="18" xfId="7" applyFont="1" applyFill="1" applyBorder="1" applyAlignment="1">
      <alignment horizontal="center" vertical="center" wrapText="1"/>
    </xf>
    <xf numFmtId="0" fontId="3" fillId="3" borderId="4" xfId="7" applyFont="1" applyFill="1" applyBorder="1" applyAlignment="1">
      <alignment horizontal="center" vertical="center"/>
    </xf>
    <xf numFmtId="0" fontId="3" fillId="3" borderId="2" xfId="7" applyFont="1" applyFill="1" applyBorder="1" applyAlignment="1">
      <alignment horizontal="center" vertical="center"/>
    </xf>
    <xf numFmtId="0" fontId="10" fillId="0" borderId="27" xfId="7" applyFont="1" applyBorder="1" applyAlignment="1">
      <alignment horizontal="right"/>
    </xf>
    <xf numFmtId="0" fontId="10" fillId="0" borderId="28" xfId="7" applyFont="1" applyBorder="1" applyAlignment="1">
      <alignment horizontal="right"/>
    </xf>
    <xf numFmtId="0" fontId="10" fillId="0" borderId="29" xfId="7" applyFont="1" applyBorder="1" applyAlignment="1">
      <alignment horizontal="right"/>
    </xf>
    <xf numFmtId="166" fontId="12" fillId="0" borderId="6" xfId="7" applyNumberFormat="1" applyFont="1" applyBorder="1" applyAlignment="1">
      <alignment horizontal="right"/>
    </xf>
    <xf numFmtId="0" fontId="12" fillId="2" borderId="14" xfId="7" applyFont="1" applyFill="1" applyBorder="1" applyAlignment="1">
      <alignment horizontal="center"/>
    </xf>
    <xf numFmtId="0" fontId="12" fillId="2" borderId="30" xfId="7" applyFont="1" applyFill="1" applyBorder="1" applyAlignment="1">
      <alignment horizontal="center"/>
    </xf>
    <xf numFmtId="0" fontId="10" fillId="0" borderId="23" xfId="7" applyFont="1" applyBorder="1" applyAlignment="1">
      <alignment horizontal="right"/>
    </xf>
    <xf numFmtId="0" fontId="10" fillId="0" borderId="24" xfId="7" applyFont="1" applyBorder="1" applyAlignment="1">
      <alignment horizontal="right"/>
    </xf>
    <xf numFmtId="0" fontId="10" fillId="0" borderId="17" xfId="7" applyFont="1" applyBorder="1" applyAlignment="1">
      <alignment horizontal="right"/>
    </xf>
    <xf numFmtId="0" fontId="12" fillId="0" borderId="5" xfId="7" applyFont="1" applyBorder="1" applyAlignment="1">
      <alignment horizontal="right"/>
    </xf>
    <xf numFmtId="166" fontId="12" fillId="0" borderId="25" xfId="7" applyNumberFormat="1" applyFont="1" applyBorder="1" applyAlignment="1">
      <alignment horizontal="center"/>
    </xf>
    <xf numFmtId="166" fontId="12" fillId="0" borderId="26" xfId="7" applyNumberFormat="1" applyFont="1" applyBorder="1" applyAlignment="1">
      <alignment horizontal="center"/>
    </xf>
    <xf numFmtId="0" fontId="12" fillId="0" borderId="27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166" fontId="12" fillId="0" borderId="25" xfId="7" applyNumberFormat="1" applyFont="1" applyBorder="1" applyAlignment="1">
      <alignment horizontal="right" wrapText="1"/>
    </xf>
    <xf numFmtId="166" fontId="12" fillId="0" borderId="17" xfId="7" applyNumberFormat="1" applyFont="1" applyBorder="1" applyAlignment="1">
      <alignment horizontal="right" wrapText="1"/>
    </xf>
    <xf numFmtId="166" fontId="12" fillId="0" borderId="25" xfId="0" applyNumberFormat="1" applyFont="1" applyBorder="1" applyAlignment="1">
      <alignment horizontal="center" wrapText="1"/>
    </xf>
    <xf numFmtId="166" fontId="12" fillId="0" borderId="26" xfId="0" applyNumberFormat="1" applyFont="1" applyBorder="1" applyAlignment="1">
      <alignment horizontal="center" wrapText="1"/>
    </xf>
    <xf numFmtId="0" fontId="10" fillId="0" borderId="18" xfId="7" applyFont="1" applyBorder="1" applyAlignment="1">
      <alignment horizontal="right"/>
    </xf>
    <xf numFmtId="0" fontId="10" fillId="0" borderId="19" xfId="7" applyFont="1" applyBorder="1" applyAlignment="1">
      <alignment horizontal="right"/>
    </xf>
    <xf numFmtId="0" fontId="10" fillId="0" borderId="2" xfId="7" applyFont="1" applyBorder="1" applyAlignment="1">
      <alignment horizontal="right"/>
    </xf>
    <xf numFmtId="0" fontId="12" fillId="0" borderId="2" xfId="7" applyFont="1" applyBorder="1" applyAlignment="1">
      <alignment horizontal="right"/>
    </xf>
    <xf numFmtId="0" fontId="10" fillId="3" borderId="11" xfId="7" applyFont="1" applyFill="1" applyBorder="1" applyAlignment="1">
      <alignment horizontal="left"/>
    </xf>
    <xf numFmtId="0" fontId="10" fillId="3" borderId="12" xfId="7" applyFont="1" applyFill="1" applyBorder="1" applyAlignment="1">
      <alignment horizontal="left"/>
    </xf>
    <xf numFmtId="0" fontId="10" fillId="3" borderId="13" xfId="7" applyFont="1" applyFill="1" applyBorder="1" applyAlignment="1">
      <alignment horizontal="left"/>
    </xf>
    <xf numFmtId="0" fontId="10" fillId="6" borderId="41" xfId="4" applyFont="1" applyFill="1" applyBorder="1" applyAlignment="1">
      <alignment horizontal="center"/>
    </xf>
    <xf numFmtId="0" fontId="10" fillId="6" borderId="22" xfId="4" applyFont="1" applyFill="1" applyBorder="1" applyAlignment="1">
      <alignment horizontal="center"/>
    </xf>
    <xf numFmtId="0" fontId="12" fillId="2" borderId="42" xfId="4" applyFont="1" applyFill="1" applyBorder="1" applyAlignment="1">
      <alignment horizontal="left"/>
    </xf>
    <xf numFmtId="0" fontId="12" fillId="2" borderId="0" xfId="4" applyFont="1" applyFill="1" applyAlignment="1">
      <alignment horizontal="left"/>
    </xf>
    <xf numFmtId="0" fontId="12" fillId="0" borderId="23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26" xfId="0" applyFont="1" applyBorder="1" applyAlignment="1">
      <alignment horizontal="left"/>
    </xf>
  </cellXfs>
  <cellStyles count="9">
    <cellStyle name="Millares" xfId="1" builtinId="3"/>
    <cellStyle name="Millares [0] 2" xfId="2" xr:uid="{29F403A8-3CF3-412B-9497-C98343DCCB7B}"/>
    <cellStyle name="Millares 2" xfId="3" xr:uid="{8D729A6A-BDD2-43EA-98D4-9EC01FB931D9}"/>
    <cellStyle name="Normal" xfId="0" builtinId="0"/>
    <cellStyle name="Normal 2" xfId="7" xr:uid="{F1D68FFB-5487-42FE-9FE6-45715CA8869A}"/>
    <cellStyle name="Normal 3" xfId="8" xr:uid="{E9D31727-FA63-4D65-8739-9DFE8AB0AF22}"/>
    <cellStyle name="Normal_CRITERIOS DE EVALUACION PT DE GB" xfId="4" xr:uid="{0F0F03D6-4859-4DCE-8C22-C38346192F5C}"/>
    <cellStyle name="Normal_CRITERIOS DE EVALUACION PT DE GB 2" xfId="6" xr:uid="{B704DD06-31FF-4BF2-9370-6857A27C901A}"/>
    <cellStyle name="Porcentaje 2" xfId="5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5986-F8B8-4018-86E8-0EB37F2F29A4}">
  <dimension ref="A1:K60"/>
  <sheetViews>
    <sheetView tabSelected="1" zoomScale="70" zoomScaleNormal="70" workbookViewId="0">
      <selection activeCell="B10" sqref="B10"/>
    </sheetView>
  </sheetViews>
  <sheetFormatPr baseColWidth="10" defaultRowHeight="12.75" x14ac:dyDescent="0.2"/>
  <cols>
    <col min="2" max="2" width="14.28515625" bestFit="1" customWidth="1"/>
    <col min="3" max="3" width="52.5703125" bestFit="1" customWidth="1"/>
    <col min="4" max="4" width="25.85546875" customWidth="1"/>
    <col min="8" max="8" width="47.5703125" bestFit="1" customWidth="1"/>
    <col min="9" max="9" width="21.140625" bestFit="1" customWidth="1"/>
  </cols>
  <sheetData>
    <row r="1" spans="1:9" ht="18" x14ac:dyDescent="0.25">
      <c r="A1" s="103"/>
      <c r="B1" s="104"/>
      <c r="C1" s="109" t="s">
        <v>23</v>
      </c>
      <c r="D1" s="109"/>
      <c r="E1" s="109"/>
      <c r="F1" s="109"/>
      <c r="G1" s="109"/>
      <c r="H1" s="1" t="s">
        <v>0</v>
      </c>
      <c r="I1" s="2" t="s">
        <v>55</v>
      </c>
    </row>
    <row r="2" spans="1:9" ht="18" customHeight="1" thickBot="1" x14ac:dyDescent="0.3">
      <c r="A2" s="105"/>
      <c r="B2" s="106"/>
      <c r="C2" s="110" t="s">
        <v>1</v>
      </c>
      <c r="D2" s="111"/>
      <c r="E2" s="111"/>
      <c r="F2" s="111"/>
      <c r="G2" s="112"/>
      <c r="H2" s="3" t="s">
        <v>2</v>
      </c>
      <c r="I2" s="4" t="s">
        <v>56</v>
      </c>
    </row>
    <row r="3" spans="1:9" ht="31.5" customHeight="1" thickBot="1" x14ac:dyDescent="0.25">
      <c r="A3" s="105"/>
      <c r="B3" s="106"/>
      <c r="C3" s="113" t="s">
        <v>57</v>
      </c>
      <c r="D3" s="114"/>
      <c r="E3" s="114"/>
      <c r="F3" s="114"/>
      <c r="G3" s="115"/>
      <c r="H3" s="116" t="s">
        <v>3</v>
      </c>
      <c r="I3" s="94">
        <v>45692</v>
      </c>
    </row>
    <row r="4" spans="1:9" ht="18" customHeight="1" x14ac:dyDescent="0.25">
      <c r="A4" s="105"/>
      <c r="B4" s="106"/>
      <c r="C4" s="5" t="s">
        <v>4</v>
      </c>
      <c r="D4" s="97" t="s">
        <v>39</v>
      </c>
      <c r="E4" s="98"/>
      <c r="F4" s="98"/>
      <c r="G4" s="99"/>
      <c r="H4" s="117"/>
      <c r="I4" s="95"/>
    </row>
    <row r="5" spans="1:9" ht="18.75" thickBot="1" x14ac:dyDescent="0.3">
      <c r="A5" s="107"/>
      <c r="B5" s="108"/>
      <c r="C5" s="6" t="s">
        <v>5</v>
      </c>
      <c r="D5" s="100" t="s">
        <v>29</v>
      </c>
      <c r="E5" s="101"/>
      <c r="F5" s="101"/>
      <c r="G5" s="102"/>
      <c r="H5" s="118"/>
      <c r="I5" s="96"/>
    </row>
    <row r="6" spans="1:9" ht="18.75" thickBot="1" x14ac:dyDescent="0.3">
      <c r="A6" s="119" t="s">
        <v>30</v>
      </c>
      <c r="B6" s="119"/>
      <c r="C6" s="119"/>
      <c r="D6" s="120" t="s">
        <v>37</v>
      </c>
      <c r="E6" s="120"/>
      <c r="F6" s="120"/>
      <c r="G6" s="121" t="s">
        <v>31</v>
      </c>
      <c r="H6" s="121"/>
      <c r="I6" s="7" t="s">
        <v>37</v>
      </c>
    </row>
    <row r="7" spans="1:9" ht="36" x14ac:dyDescent="0.2">
      <c r="A7" s="122" t="s">
        <v>6</v>
      </c>
      <c r="B7" s="124" t="s">
        <v>32</v>
      </c>
      <c r="C7" s="126" t="s">
        <v>7</v>
      </c>
      <c r="D7" s="126" t="s">
        <v>8</v>
      </c>
      <c r="E7" s="126" t="s">
        <v>9</v>
      </c>
      <c r="F7" s="126"/>
      <c r="G7" s="126" t="s">
        <v>10</v>
      </c>
      <c r="H7" s="126"/>
      <c r="I7" s="8" t="s">
        <v>11</v>
      </c>
    </row>
    <row r="8" spans="1:9" ht="54.75" thickBot="1" x14ac:dyDescent="0.3">
      <c r="A8" s="123"/>
      <c r="B8" s="125"/>
      <c r="C8" s="127"/>
      <c r="D8" s="127"/>
      <c r="E8" s="9" t="s">
        <v>12</v>
      </c>
      <c r="F8" s="10" t="s">
        <v>13</v>
      </c>
      <c r="G8" s="9" t="s">
        <v>12</v>
      </c>
      <c r="H8" s="10" t="s">
        <v>13</v>
      </c>
      <c r="I8" s="11" t="s">
        <v>14</v>
      </c>
    </row>
    <row r="9" spans="1:9" ht="18.399999999999999" customHeight="1" x14ac:dyDescent="0.3">
      <c r="A9" s="12"/>
      <c r="B9" s="13"/>
      <c r="C9" s="14" t="s">
        <v>33</v>
      </c>
      <c r="D9" s="15"/>
      <c r="E9" s="16"/>
      <c r="F9" s="17"/>
      <c r="G9" s="16"/>
      <c r="H9" s="17"/>
      <c r="I9" s="18"/>
    </row>
    <row r="10" spans="1:9" ht="18" customHeight="1" x14ac:dyDescent="0.3">
      <c r="A10" s="19"/>
      <c r="B10" s="20" t="s">
        <v>40</v>
      </c>
      <c r="C10" s="21" t="s">
        <v>41</v>
      </c>
      <c r="D10" s="22" t="s">
        <v>42</v>
      </c>
      <c r="E10" s="23">
        <f>19900/19.9</f>
        <v>1000.0000000000001</v>
      </c>
      <c r="F10" s="24" t="s">
        <v>26</v>
      </c>
      <c r="G10" s="25"/>
      <c r="H10" s="26"/>
      <c r="I10" s="18"/>
    </row>
    <row r="11" spans="1:9" ht="20.25" x14ac:dyDescent="0.3">
      <c r="A11" s="27"/>
      <c r="B11" s="20" t="s">
        <v>43</v>
      </c>
      <c r="C11" s="21" t="s">
        <v>44</v>
      </c>
      <c r="D11" s="22" t="s">
        <v>45</v>
      </c>
      <c r="E11" s="23">
        <f>200/19.9</f>
        <v>10.050251256281408</v>
      </c>
      <c r="F11" s="24" t="s">
        <v>26</v>
      </c>
      <c r="G11" s="25"/>
      <c r="H11" s="26"/>
      <c r="I11" s="18"/>
    </row>
    <row r="12" spans="1:9" ht="20.25" x14ac:dyDescent="0.3">
      <c r="A12" s="28"/>
      <c r="B12" s="20" t="s">
        <v>46</v>
      </c>
      <c r="C12" s="21" t="s">
        <v>47</v>
      </c>
      <c r="D12" s="22"/>
      <c r="E12" s="23">
        <f>265/19.9</f>
        <v>13.316582914572866</v>
      </c>
      <c r="F12" s="24" t="s">
        <v>26</v>
      </c>
      <c r="G12" s="20"/>
      <c r="H12" s="26"/>
      <c r="I12" s="18"/>
    </row>
    <row r="13" spans="1:9" ht="20.25" x14ac:dyDescent="0.3">
      <c r="A13" s="28"/>
      <c r="B13" s="29"/>
      <c r="C13" s="30"/>
      <c r="D13" s="20"/>
      <c r="E13" s="20"/>
      <c r="F13" s="20"/>
      <c r="G13" s="20"/>
      <c r="H13" s="26"/>
      <c r="I13" s="18"/>
    </row>
    <row r="14" spans="1:9" ht="20.25" x14ac:dyDescent="0.3">
      <c r="A14" s="20"/>
      <c r="B14" s="20"/>
      <c r="C14" s="31"/>
      <c r="D14" s="32"/>
      <c r="E14" s="33"/>
      <c r="F14" s="34"/>
      <c r="G14" s="20"/>
      <c r="H14" s="26"/>
      <c r="I14" s="18"/>
    </row>
    <row r="15" spans="1:9" ht="20.25" x14ac:dyDescent="0.3">
      <c r="A15" s="20"/>
      <c r="B15" s="20"/>
      <c r="C15" s="31"/>
      <c r="D15" s="32"/>
      <c r="E15" s="33"/>
      <c r="F15" s="34"/>
      <c r="G15" s="20"/>
      <c r="H15" s="26"/>
      <c r="I15" s="18"/>
    </row>
    <row r="16" spans="1:9" ht="20.25" x14ac:dyDescent="0.3">
      <c r="A16" s="20"/>
      <c r="B16" s="20"/>
      <c r="C16" s="31"/>
      <c r="D16" s="32"/>
      <c r="E16" s="33"/>
      <c r="F16" s="34"/>
      <c r="G16" s="20"/>
      <c r="H16" s="26"/>
      <c r="I16" s="18"/>
    </row>
    <row r="17" spans="1:9" ht="20.25" x14ac:dyDescent="0.3">
      <c r="A17" s="20"/>
      <c r="B17" s="20"/>
      <c r="C17" s="31"/>
      <c r="D17" s="32"/>
      <c r="E17" s="33"/>
      <c r="F17" s="34"/>
      <c r="G17" s="20"/>
      <c r="H17" s="26"/>
      <c r="I17" s="18"/>
    </row>
    <row r="18" spans="1:9" ht="20.25" x14ac:dyDescent="0.3">
      <c r="A18" s="20"/>
      <c r="B18" s="20"/>
      <c r="C18" s="31"/>
      <c r="D18" s="32"/>
      <c r="E18" s="33"/>
      <c r="F18" s="34"/>
      <c r="G18" s="20"/>
      <c r="H18" s="26"/>
      <c r="I18" s="18"/>
    </row>
    <row r="19" spans="1:9" ht="20.25" x14ac:dyDescent="0.3">
      <c r="A19" s="20"/>
      <c r="B19" s="20"/>
      <c r="C19" s="31"/>
      <c r="D19" s="32"/>
      <c r="E19" s="33"/>
      <c r="F19" s="34"/>
      <c r="G19" s="20"/>
      <c r="H19" s="26"/>
      <c r="I19" s="18"/>
    </row>
    <row r="20" spans="1:9" ht="20.25" x14ac:dyDescent="0.3">
      <c r="A20" s="35"/>
      <c r="B20" s="20"/>
      <c r="C20" s="21"/>
      <c r="D20" s="36"/>
      <c r="E20" s="36"/>
      <c r="F20" s="36"/>
      <c r="G20" s="16"/>
      <c r="H20" s="26"/>
      <c r="I20" s="18"/>
    </row>
    <row r="21" spans="1:9" ht="20.25" x14ac:dyDescent="0.3">
      <c r="A21" s="37"/>
      <c r="B21" s="38"/>
      <c r="C21" s="39" t="s">
        <v>34</v>
      </c>
      <c r="D21" s="33"/>
      <c r="E21" s="40"/>
      <c r="F21" s="34"/>
      <c r="G21" s="16"/>
      <c r="H21" s="17"/>
      <c r="I21" s="18"/>
    </row>
    <row r="22" spans="1:9" ht="20.25" x14ac:dyDescent="0.3">
      <c r="A22" s="41"/>
      <c r="B22" s="42"/>
      <c r="C22" s="43"/>
      <c r="D22" s="44"/>
      <c r="E22" s="45"/>
      <c r="F22" s="46"/>
      <c r="G22" s="16"/>
      <c r="H22" s="17"/>
      <c r="I22" s="18"/>
    </row>
    <row r="23" spans="1:9" ht="20.25" x14ac:dyDescent="0.3">
      <c r="A23" s="41"/>
      <c r="B23" s="42"/>
      <c r="C23" s="43"/>
      <c r="D23" s="44"/>
      <c r="E23" s="47"/>
      <c r="F23" s="46"/>
      <c r="G23" s="16"/>
      <c r="H23" s="17"/>
      <c r="I23" s="18"/>
    </row>
    <row r="24" spans="1:9" ht="20.25" x14ac:dyDescent="0.3">
      <c r="A24" s="41"/>
      <c r="B24" s="42"/>
      <c r="C24" s="43"/>
      <c r="D24" s="44"/>
      <c r="E24" s="45"/>
      <c r="F24" s="46"/>
      <c r="G24" s="16"/>
      <c r="H24" s="17"/>
      <c r="I24" s="18"/>
    </row>
    <row r="25" spans="1:9" ht="20.25" x14ac:dyDescent="0.3">
      <c r="A25" s="41"/>
      <c r="B25" s="42"/>
      <c r="C25" s="43"/>
      <c r="D25" s="44"/>
      <c r="E25" s="48"/>
      <c r="F25" s="49"/>
      <c r="G25" s="16"/>
      <c r="H25" s="17"/>
      <c r="I25" s="18"/>
    </row>
    <row r="26" spans="1:9" ht="20.25" x14ac:dyDescent="0.3">
      <c r="A26" s="41"/>
      <c r="B26" s="42"/>
      <c r="C26" s="43"/>
      <c r="D26" s="44"/>
      <c r="E26" s="50"/>
      <c r="F26" s="49"/>
      <c r="G26" s="16"/>
      <c r="H26" s="17"/>
      <c r="I26" s="18"/>
    </row>
    <row r="27" spans="1:9" ht="20.25" x14ac:dyDescent="0.3">
      <c r="A27" s="51"/>
      <c r="B27" s="51"/>
      <c r="C27" s="52"/>
      <c r="D27" s="53"/>
      <c r="E27" s="54"/>
      <c r="F27" s="55"/>
      <c r="G27" s="16"/>
      <c r="H27" s="17"/>
      <c r="I27" s="18"/>
    </row>
    <row r="28" spans="1:9" ht="20.25" x14ac:dyDescent="0.3">
      <c r="A28" s="20"/>
      <c r="B28" s="20"/>
      <c r="C28" s="21"/>
      <c r="D28" s="22"/>
      <c r="E28" s="56"/>
      <c r="F28" s="55"/>
      <c r="G28" s="16"/>
      <c r="H28" s="17"/>
      <c r="I28" s="18"/>
    </row>
    <row r="29" spans="1:9" ht="20.25" x14ac:dyDescent="0.3">
      <c r="A29" s="20"/>
      <c r="B29" s="20"/>
      <c r="C29" s="21"/>
      <c r="D29" s="22"/>
      <c r="E29" s="23"/>
      <c r="F29" s="24"/>
      <c r="G29" s="16"/>
      <c r="H29" s="17"/>
      <c r="I29" s="18"/>
    </row>
    <row r="30" spans="1:9" ht="20.25" x14ac:dyDescent="0.3">
      <c r="A30" s="57"/>
      <c r="B30" s="58"/>
      <c r="C30" s="59" t="s">
        <v>35</v>
      </c>
      <c r="D30" s="60"/>
      <c r="E30" s="61"/>
      <c r="F30" s="17"/>
      <c r="G30" s="16"/>
      <c r="H30" s="52"/>
      <c r="I30" s="18"/>
    </row>
    <row r="31" spans="1:9" ht="20.25" x14ac:dyDescent="0.3">
      <c r="A31" s="62"/>
      <c r="B31" s="21" t="s">
        <v>52</v>
      </c>
      <c r="C31" s="63" t="s">
        <v>53</v>
      </c>
      <c r="D31" s="22" t="s">
        <v>54</v>
      </c>
      <c r="E31" s="23">
        <v>1</v>
      </c>
      <c r="F31" s="64"/>
      <c r="G31" s="65"/>
      <c r="H31" s="17"/>
      <c r="I31" s="18"/>
    </row>
    <row r="32" spans="1:9" ht="20.25" x14ac:dyDescent="0.3">
      <c r="A32" s="66"/>
      <c r="B32" s="67"/>
      <c r="C32" s="68"/>
      <c r="D32" s="69"/>
      <c r="E32" s="70"/>
      <c r="F32" s="64"/>
      <c r="G32" s="65"/>
      <c r="H32" s="17"/>
      <c r="I32" s="18"/>
    </row>
    <row r="33" spans="1:11" ht="20.25" x14ac:dyDescent="0.3">
      <c r="A33" s="20"/>
      <c r="B33" s="71"/>
      <c r="C33" s="31"/>
      <c r="D33" s="20"/>
      <c r="E33" s="72"/>
      <c r="F33" s="73"/>
      <c r="G33" s="65"/>
      <c r="H33" s="17"/>
      <c r="I33" s="18"/>
    </row>
    <row r="34" spans="1:11" ht="20.25" x14ac:dyDescent="0.3">
      <c r="A34" s="74"/>
      <c r="B34" s="74"/>
      <c r="C34" s="75"/>
      <c r="D34" s="20"/>
      <c r="E34" s="23"/>
      <c r="F34" s="24"/>
      <c r="G34" s="16"/>
      <c r="H34" s="17"/>
      <c r="I34" s="18"/>
      <c r="K34">
        <f>D44/1000</f>
        <v>1</v>
      </c>
    </row>
    <row r="35" spans="1:11" ht="20.25" x14ac:dyDescent="0.3">
      <c r="A35" s="74"/>
      <c r="B35" s="74"/>
      <c r="C35" s="75"/>
      <c r="D35" s="20"/>
      <c r="E35" s="23"/>
      <c r="F35" s="24"/>
      <c r="G35" s="16"/>
      <c r="H35" s="17"/>
      <c r="I35" s="18"/>
    </row>
    <row r="36" spans="1:11" ht="20.25" x14ac:dyDescent="0.3">
      <c r="A36" s="74"/>
      <c r="B36" s="74"/>
      <c r="C36" s="75"/>
      <c r="D36" s="20"/>
      <c r="E36" s="23"/>
      <c r="F36" s="24"/>
      <c r="G36" s="76"/>
      <c r="H36" s="17"/>
      <c r="I36" s="18"/>
    </row>
    <row r="37" spans="1:11" ht="20.25" x14ac:dyDescent="0.3">
      <c r="A37" s="74"/>
      <c r="B37" s="74"/>
      <c r="C37" s="75"/>
      <c r="D37" s="20"/>
      <c r="E37" s="23"/>
      <c r="F37" s="24"/>
      <c r="G37" s="32"/>
      <c r="H37" s="17"/>
      <c r="I37" s="18"/>
    </row>
    <row r="38" spans="1:11" ht="20.25" x14ac:dyDescent="0.3">
      <c r="A38" s="77"/>
      <c r="B38" s="77"/>
      <c r="C38" s="30"/>
      <c r="D38" s="20"/>
      <c r="E38" s="24"/>
      <c r="F38" s="24"/>
      <c r="G38" s="32"/>
      <c r="H38" s="17"/>
      <c r="I38" s="18"/>
    </row>
    <row r="39" spans="1:11" ht="20.25" x14ac:dyDescent="0.3">
      <c r="A39" s="62"/>
      <c r="B39" s="20"/>
      <c r="C39" s="63"/>
      <c r="D39" s="22"/>
      <c r="E39" s="23"/>
      <c r="F39" s="20"/>
      <c r="G39" s="32"/>
      <c r="H39" s="17"/>
      <c r="I39" s="18"/>
    </row>
    <row r="40" spans="1:11" ht="20.25" x14ac:dyDescent="0.3">
      <c r="A40" s="74"/>
      <c r="B40" s="74"/>
      <c r="C40" s="75"/>
      <c r="D40" s="20"/>
      <c r="E40" s="23"/>
      <c r="F40" s="20"/>
      <c r="G40" s="32"/>
      <c r="H40" s="17"/>
      <c r="I40" s="18"/>
    </row>
    <row r="41" spans="1:11" ht="20.25" x14ac:dyDescent="0.3">
      <c r="A41" s="37"/>
      <c r="B41" s="38"/>
      <c r="C41" s="68"/>
      <c r="D41" s="33"/>
      <c r="E41" s="33"/>
      <c r="F41" s="34"/>
      <c r="G41" s="33"/>
      <c r="H41" s="33"/>
      <c r="I41" s="18"/>
    </row>
    <row r="42" spans="1:11" ht="21" thickBot="1" x14ac:dyDescent="0.35">
      <c r="A42" s="78"/>
      <c r="B42" s="79"/>
      <c r="C42" s="80"/>
      <c r="D42" s="80"/>
      <c r="E42" s="81"/>
      <c r="F42" s="82"/>
      <c r="G42" s="80"/>
      <c r="H42" s="80"/>
      <c r="I42" s="83"/>
    </row>
    <row r="43" spans="1:11" ht="21" thickBot="1" x14ac:dyDescent="0.35">
      <c r="A43" s="84"/>
      <c r="B43" s="85"/>
      <c r="C43" s="86"/>
      <c r="D43" s="87" t="s">
        <v>12</v>
      </c>
      <c r="E43" s="88" t="s">
        <v>15</v>
      </c>
      <c r="F43" s="89"/>
      <c r="G43" s="86"/>
      <c r="H43" s="86"/>
      <c r="I43" s="90"/>
    </row>
    <row r="44" spans="1:11" ht="20.25" x14ac:dyDescent="0.3">
      <c r="A44" s="128" t="s">
        <v>16</v>
      </c>
      <c r="B44" s="129"/>
      <c r="C44" s="130"/>
      <c r="D44" s="56">
        <v>1000</v>
      </c>
      <c r="E44" s="91" t="s">
        <v>26</v>
      </c>
      <c r="F44" s="131" t="s">
        <v>24</v>
      </c>
      <c r="G44" s="131"/>
      <c r="H44" s="132"/>
      <c r="I44" s="133"/>
    </row>
    <row r="45" spans="1:11" ht="20.25" x14ac:dyDescent="0.3">
      <c r="A45" s="134" t="s">
        <v>17</v>
      </c>
      <c r="B45" s="135"/>
      <c r="C45" s="136"/>
      <c r="D45" s="23">
        <v>3</v>
      </c>
      <c r="E45" s="20" t="s">
        <v>27</v>
      </c>
      <c r="F45" s="137" t="s">
        <v>18</v>
      </c>
      <c r="G45" s="137"/>
      <c r="H45" s="138"/>
      <c r="I45" s="139"/>
    </row>
    <row r="46" spans="1:11" ht="20.25" x14ac:dyDescent="0.3">
      <c r="A46" s="134" t="s">
        <v>19</v>
      </c>
      <c r="B46" s="135"/>
      <c r="C46" s="136"/>
      <c r="D46" s="23">
        <v>1</v>
      </c>
      <c r="E46" s="20" t="s">
        <v>38</v>
      </c>
      <c r="F46" s="137" t="s">
        <v>25</v>
      </c>
      <c r="G46" s="137"/>
      <c r="H46" s="138"/>
      <c r="I46" s="139"/>
    </row>
    <row r="47" spans="1:11" ht="20.25" x14ac:dyDescent="0.3">
      <c r="A47" s="134" t="s">
        <v>36</v>
      </c>
      <c r="B47" s="135"/>
      <c r="C47" s="136"/>
      <c r="D47" s="23">
        <v>1000</v>
      </c>
      <c r="E47" s="20" t="s">
        <v>26</v>
      </c>
      <c r="F47" s="143" t="s">
        <v>20</v>
      </c>
      <c r="G47" s="144"/>
      <c r="H47" s="145"/>
      <c r="I47" s="146"/>
    </row>
    <row r="48" spans="1:11" ht="21" thickBot="1" x14ac:dyDescent="0.35">
      <c r="A48" s="147" t="s">
        <v>21</v>
      </c>
      <c r="B48" s="148"/>
      <c r="C48" s="149"/>
      <c r="D48" s="92">
        <f>SUM(E10:E12)-D44</f>
        <v>23.366834170854418</v>
      </c>
      <c r="E48" s="93" t="s">
        <v>26</v>
      </c>
      <c r="F48" s="150"/>
      <c r="G48" s="150"/>
      <c r="H48" s="138"/>
      <c r="I48" s="139"/>
    </row>
    <row r="49" spans="1:9" ht="21" thickBot="1" x14ac:dyDescent="0.35">
      <c r="A49" s="151" t="s">
        <v>22</v>
      </c>
      <c r="B49" s="152"/>
      <c r="C49" s="152"/>
      <c r="D49" s="152"/>
      <c r="E49" s="152"/>
      <c r="F49" s="152"/>
      <c r="G49" s="152"/>
      <c r="H49" s="152"/>
      <c r="I49" s="153"/>
    </row>
    <row r="50" spans="1:9" ht="18.399999999999999" customHeight="1" x14ac:dyDescent="0.3">
      <c r="A50" s="140" t="s">
        <v>48</v>
      </c>
      <c r="B50" s="141"/>
      <c r="C50" s="141"/>
      <c r="D50" s="141"/>
      <c r="E50" s="141"/>
      <c r="F50" s="141"/>
      <c r="G50" s="141"/>
      <c r="H50" s="141"/>
      <c r="I50" s="142"/>
    </row>
    <row r="51" spans="1:9" ht="15.4" customHeight="1" x14ac:dyDescent="0.3">
      <c r="A51" s="140" t="s">
        <v>49</v>
      </c>
      <c r="B51" s="141"/>
      <c r="C51" s="141"/>
      <c r="D51" s="141"/>
      <c r="E51" s="141"/>
      <c r="F51" s="141"/>
      <c r="G51" s="141"/>
      <c r="H51" s="141"/>
      <c r="I51" s="142"/>
    </row>
    <row r="52" spans="1:9" ht="14.65" customHeight="1" x14ac:dyDescent="0.3">
      <c r="A52" s="140" t="s">
        <v>50</v>
      </c>
      <c r="B52" s="141"/>
      <c r="C52" s="141"/>
      <c r="D52" s="141"/>
      <c r="E52" s="141"/>
      <c r="F52" s="141"/>
      <c r="G52" s="141"/>
      <c r="H52" s="141"/>
      <c r="I52" s="142"/>
    </row>
    <row r="53" spans="1:9" ht="14.65" customHeight="1" x14ac:dyDescent="0.3">
      <c r="A53" s="140" t="s">
        <v>51</v>
      </c>
      <c r="B53" s="141"/>
      <c r="C53" s="141"/>
      <c r="D53" s="141"/>
      <c r="E53" s="141"/>
      <c r="F53" s="141"/>
      <c r="G53" s="141"/>
      <c r="H53" s="141"/>
      <c r="I53" s="142"/>
    </row>
    <row r="54" spans="1:9" ht="14.65" customHeight="1" x14ac:dyDescent="0.3">
      <c r="A54" s="158"/>
      <c r="B54" s="159"/>
      <c r="C54" s="159"/>
      <c r="D54" s="159"/>
      <c r="E54" s="159"/>
      <c r="F54" s="159"/>
      <c r="G54" s="159"/>
      <c r="H54" s="159"/>
      <c r="I54" s="160"/>
    </row>
    <row r="55" spans="1:9" ht="18" customHeight="1" x14ac:dyDescent="0.3">
      <c r="A55" s="158"/>
      <c r="B55" s="159"/>
      <c r="C55" s="159"/>
      <c r="D55" s="159"/>
      <c r="E55" s="159"/>
      <c r="F55" s="159"/>
      <c r="G55" s="159"/>
      <c r="H55" s="159"/>
      <c r="I55" s="160"/>
    </row>
    <row r="56" spans="1:9" ht="20.25" x14ac:dyDescent="0.3">
      <c r="A56" s="140"/>
      <c r="B56" s="141"/>
      <c r="C56" s="141"/>
      <c r="D56" s="141"/>
      <c r="E56" s="141"/>
      <c r="F56" s="141"/>
      <c r="G56" s="141"/>
      <c r="H56" s="141"/>
      <c r="I56" s="142"/>
    </row>
    <row r="57" spans="1:9" ht="21" thickBot="1" x14ac:dyDescent="0.35">
      <c r="A57" s="161"/>
      <c r="B57" s="162"/>
      <c r="C57" s="162"/>
      <c r="D57" s="162"/>
      <c r="E57" s="162"/>
      <c r="F57" s="162"/>
      <c r="G57" s="162"/>
      <c r="H57" s="162"/>
      <c r="I57" s="163"/>
    </row>
    <row r="58" spans="1:9" ht="20.25" x14ac:dyDescent="0.3">
      <c r="A58" s="154" t="s">
        <v>28</v>
      </c>
      <c r="B58" s="155"/>
      <c r="C58" s="155"/>
      <c r="D58" s="155"/>
      <c r="E58" s="155"/>
      <c r="F58" s="155"/>
      <c r="G58" s="155"/>
      <c r="H58" s="155"/>
      <c r="I58" s="155"/>
    </row>
    <row r="59" spans="1:9" ht="20.25" x14ac:dyDescent="0.3">
      <c r="A59" s="156"/>
      <c r="B59" s="157"/>
      <c r="C59" s="157"/>
      <c r="D59" s="157"/>
      <c r="E59" s="157"/>
      <c r="F59" s="157"/>
      <c r="G59" s="157"/>
      <c r="H59" s="157"/>
      <c r="I59" s="157"/>
    </row>
    <row r="60" spans="1:9" ht="20.25" x14ac:dyDescent="0.3">
      <c r="A60" s="156"/>
      <c r="B60" s="157"/>
      <c r="C60" s="157"/>
      <c r="D60" s="157"/>
      <c r="E60" s="157"/>
      <c r="F60" s="157"/>
      <c r="G60" s="157"/>
      <c r="H60" s="157"/>
      <c r="I60" s="157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375642-9E3B-49AD-AF61-C25BC3E91A97}"/>
</file>

<file path=customXml/itemProps4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2023-08-28T21:13:59Z</cp:lastPrinted>
  <dcterms:created xsi:type="dcterms:W3CDTF">2012-05-10T22:32:20Z</dcterms:created>
  <dcterms:modified xsi:type="dcterms:W3CDTF">2026-03-20T16:37:23Z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
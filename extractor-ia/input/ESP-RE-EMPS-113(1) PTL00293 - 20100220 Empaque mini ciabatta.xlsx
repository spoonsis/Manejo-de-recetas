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2" documentId="8_{A4FD3D80-96D1-4DB9-ACCD-B4A7782F365E}" xr6:coauthVersionLast="47" xr6:coauthVersionMax="47" xr10:uidLastSave="{8127804B-03BE-4FF0-BFCC-887594FBE558}"/>
  <bookViews>
    <workbookView xWindow="-120" yWindow="-120" windowWidth="20730" windowHeight="11040" firstSheet="1" activeTab="1" xr2:uid="{00000000-000D-0000-FFFF-FFFF00000000}"/>
  </bookViews>
  <sheets>
    <sheet name="Costo Salsa Para saltado" sheetId="14" state="hidden" r:id="rId1"/>
    <sheet name="Empaque" sheetId="13" r:id="rId2"/>
    <sheet name="Costo Empaque " sheetId="15" state="hidden" r:id="rId3"/>
  </sheets>
  <externalReferences>
    <externalReference r:id="rId4"/>
    <externalReference r:id="rId5"/>
  </externalReferences>
  <definedNames>
    <definedName name="_xlnm.Print_Area" localSheetId="1">Empaque!$A$1:$I$29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4" i="15" l="1"/>
  <c r="D76" i="15" s="1"/>
  <c r="D73" i="15"/>
  <c r="C73" i="15"/>
  <c r="C85" i="15" s="1"/>
  <c r="D71" i="15"/>
  <c r="D69" i="15"/>
  <c r="F65" i="15"/>
  <c r="E51" i="15" s="1"/>
  <c r="D60" i="15"/>
  <c r="D85" i="15" s="1"/>
  <c r="D86" i="15" s="1"/>
  <c r="C51" i="15"/>
  <c r="E50" i="15"/>
  <c r="F50" i="15" s="1"/>
  <c r="D50" i="15"/>
  <c r="B50" i="15"/>
  <c r="E49" i="15"/>
  <c r="D49" i="15"/>
  <c r="B49" i="15"/>
  <c r="E48" i="15"/>
  <c r="D48" i="15"/>
  <c r="B48" i="15"/>
  <c r="E47" i="15"/>
  <c r="D47" i="15"/>
  <c r="B47" i="15"/>
  <c r="E46" i="15"/>
  <c r="D46" i="15"/>
  <c r="B46" i="15"/>
  <c r="E45" i="15"/>
  <c r="D45" i="15"/>
  <c r="B45" i="15"/>
  <c r="E41" i="15"/>
  <c r="D41" i="15"/>
  <c r="B41" i="15"/>
  <c r="A41" i="15"/>
  <c r="A50" i="15" s="1"/>
  <c r="C50" i="15" s="1"/>
  <c r="E40" i="15"/>
  <c r="D40" i="15"/>
  <c r="B40" i="15"/>
  <c r="A40" i="15"/>
  <c r="C40" i="15" s="1"/>
  <c r="E39" i="15"/>
  <c r="D39" i="15"/>
  <c r="B39" i="15"/>
  <c r="A39" i="15"/>
  <c r="C39" i="15" s="1"/>
  <c r="E38" i="15"/>
  <c r="D38" i="15"/>
  <c r="B38" i="15"/>
  <c r="A38" i="15"/>
  <c r="C38" i="15" s="1"/>
  <c r="E37" i="15"/>
  <c r="D37" i="15"/>
  <c r="B37" i="15"/>
  <c r="A37" i="15"/>
  <c r="C37" i="15" s="1"/>
  <c r="E36" i="15"/>
  <c r="D36" i="15"/>
  <c r="B36" i="15"/>
  <c r="A36" i="15"/>
  <c r="A45" i="15" s="1"/>
  <c r="C45" i="15" s="1"/>
  <c r="A35" i="15"/>
  <c r="A44" i="15" s="1"/>
  <c r="C44" i="15" s="1"/>
  <c r="E32" i="15"/>
  <c r="F32" i="15" s="1"/>
  <c r="D32" i="15"/>
  <c r="C32" i="15"/>
  <c r="B32" i="15"/>
  <c r="E31" i="15"/>
  <c r="F31" i="15" s="1"/>
  <c r="D31" i="15"/>
  <c r="C31" i="15"/>
  <c r="B31" i="15"/>
  <c r="E30" i="15"/>
  <c r="F30" i="15" s="1"/>
  <c r="D30" i="15"/>
  <c r="C30" i="15"/>
  <c r="B30" i="15"/>
  <c r="F29" i="15"/>
  <c r="C29" i="15"/>
  <c r="C28" i="15"/>
  <c r="C27" i="15"/>
  <c r="E24" i="15"/>
  <c r="F24" i="15" s="1"/>
  <c r="D24" i="15"/>
  <c r="C24" i="15"/>
  <c r="B24" i="15"/>
  <c r="E23" i="15"/>
  <c r="F23" i="15" s="1"/>
  <c r="D23" i="15"/>
  <c r="C23" i="15"/>
  <c r="B23" i="15"/>
  <c r="E22" i="15"/>
  <c r="F22" i="15" s="1"/>
  <c r="D22" i="15"/>
  <c r="C22" i="15"/>
  <c r="B22" i="15"/>
  <c r="E21" i="15"/>
  <c r="F21" i="15" s="1"/>
  <c r="D21" i="15"/>
  <c r="C21" i="15"/>
  <c r="B21" i="15"/>
  <c r="E20" i="15"/>
  <c r="F20" i="15" s="1"/>
  <c r="D20" i="15"/>
  <c r="C20" i="15"/>
  <c r="B20" i="15"/>
  <c r="E19" i="15"/>
  <c r="F19" i="15" s="1"/>
  <c r="D19" i="15"/>
  <c r="C19" i="15"/>
  <c r="B19" i="15"/>
  <c r="E18" i="15"/>
  <c r="F18" i="15" s="1"/>
  <c r="D18" i="15"/>
  <c r="C18" i="15"/>
  <c r="B18" i="15"/>
  <c r="C17" i="15"/>
  <c r="B15" i="15"/>
  <c r="E14" i="15"/>
  <c r="F14" i="15" s="1"/>
  <c r="D14" i="15"/>
  <c r="C14" i="15"/>
  <c r="B14" i="15"/>
  <c r="E13" i="15"/>
  <c r="F13" i="15" s="1"/>
  <c r="D13" i="15"/>
  <c r="C13" i="15"/>
  <c r="B13" i="15"/>
  <c r="E12" i="15"/>
  <c r="F12" i="15" s="1"/>
  <c r="D12" i="15"/>
  <c r="C12" i="15"/>
  <c r="B12" i="15"/>
  <c r="E11" i="15"/>
  <c r="D11" i="15"/>
  <c r="C11" i="15"/>
  <c r="F11" i="15" s="1"/>
  <c r="B11" i="15"/>
  <c r="E10" i="15"/>
  <c r="F10" i="15" s="1"/>
  <c r="D10" i="15"/>
  <c r="C10" i="15"/>
  <c r="B10" i="15"/>
  <c r="E9" i="15"/>
  <c r="D9" i="15"/>
  <c r="C9" i="15"/>
  <c r="F9" i="15" s="1"/>
  <c r="B9" i="15"/>
  <c r="E8" i="15"/>
  <c r="F8" i="15" s="1"/>
  <c r="D8" i="15"/>
  <c r="C8" i="15"/>
  <c r="B8" i="15"/>
  <c r="H6" i="15"/>
  <c r="D73" i="14"/>
  <c r="D74" i="14" s="1"/>
  <c r="D76" i="14" s="1"/>
  <c r="D71" i="14"/>
  <c r="D69" i="14"/>
  <c r="F65" i="14"/>
  <c r="E51" i="14" s="1"/>
  <c r="D60" i="14"/>
  <c r="D85" i="14" s="1"/>
  <c r="D86" i="14" s="1"/>
  <c r="C51" i="14"/>
  <c r="E50" i="14"/>
  <c r="D50" i="14"/>
  <c r="B50" i="14"/>
  <c r="E49" i="14"/>
  <c r="D49" i="14"/>
  <c r="B49" i="14"/>
  <c r="E48" i="14"/>
  <c r="D48" i="14"/>
  <c r="B48" i="14"/>
  <c r="E47" i="14"/>
  <c r="D47" i="14"/>
  <c r="B47" i="14"/>
  <c r="E46" i="14"/>
  <c r="D46" i="14"/>
  <c r="B46" i="14"/>
  <c r="E45" i="14"/>
  <c r="D45" i="14"/>
  <c r="B45" i="14"/>
  <c r="E41" i="14"/>
  <c r="D41" i="14"/>
  <c r="B41" i="14"/>
  <c r="A41" i="14"/>
  <c r="A50" i="14" s="1"/>
  <c r="C50" i="14" s="1"/>
  <c r="E40" i="14"/>
  <c r="D40" i="14"/>
  <c r="B40" i="14"/>
  <c r="A40" i="14"/>
  <c r="C40" i="14" s="1"/>
  <c r="E39" i="14"/>
  <c r="D39" i="14"/>
  <c r="B39" i="14"/>
  <c r="A39" i="14"/>
  <c r="C39" i="14" s="1"/>
  <c r="E38" i="14"/>
  <c r="D38" i="14"/>
  <c r="B38" i="14"/>
  <c r="A38" i="14"/>
  <c r="C38" i="14" s="1"/>
  <c r="E37" i="14"/>
  <c r="D37" i="14"/>
  <c r="B37" i="14"/>
  <c r="A37" i="14"/>
  <c r="A46" i="14" s="1"/>
  <c r="C46" i="14" s="1"/>
  <c r="E36" i="14"/>
  <c r="D36" i="14"/>
  <c r="C36" i="14"/>
  <c r="B36" i="14"/>
  <c r="A36" i="14"/>
  <c r="A45" i="14" s="1"/>
  <c r="C45" i="14" s="1"/>
  <c r="A35" i="14"/>
  <c r="C35" i="14" s="1"/>
  <c r="E32" i="14"/>
  <c r="F32" i="14" s="1"/>
  <c r="D32" i="14"/>
  <c r="C32" i="14"/>
  <c r="B32" i="14"/>
  <c r="E31" i="14"/>
  <c r="F31" i="14" s="1"/>
  <c r="D31" i="14"/>
  <c r="C31" i="14"/>
  <c r="B31" i="14"/>
  <c r="E30" i="14"/>
  <c r="F30" i="14" s="1"/>
  <c r="D30" i="14"/>
  <c r="C30" i="14"/>
  <c r="B30" i="14"/>
  <c r="E29" i="14"/>
  <c r="F29" i="14" s="1"/>
  <c r="D29" i="14"/>
  <c r="C29" i="14"/>
  <c r="B29" i="14"/>
  <c r="E28" i="14"/>
  <c r="F28" i="14" s="1"/>
  <c r="D28" i="14"/>
  <c r="C28" i="14"/>
  <c r="B28" i="14"/>
  <c r="C27" i="14"/>
  <c r="E24" i="14"/>
  <c r="F24" i="14" s="1"/>
  <c r="D24" i="14"/>
  <c r="C24" i="14"/>
  <c r="B24" i="14"/>
  <c r="E23" i="14"/>
  <c r="F23" i="14" s="1"/>
  <c r="D23" i="14"/>
  <c r="C23" i="14"/>
  <c r="B23" i="14"/>
  <c r="E22" i="14"/>
  <c r="F22" i="14" s="1"/>
  <c r="D22" i="14"/>
  <c r="C22" i="14"/>
  <c r="B22" i="14"/>
  <c r="E21" i="14"/>
  <c r="F21" i="14" s="1"/>
  <c r="D21" i="14"/>
  <c r="C21" i="14"/>
  <c r="B21" i="14"/>
  <c r="E20" i="14"/>
  <c r="F20" i="14" s="1"/>
  <c r="D20" i="14"/>
  <c r="C20" i="14"/>
  <c r="B20" i="14"/>
  <c r="E19" i="14"/>
  <c r="F19" i="14" s="1"/>
  <c r="D19" i="14"/>
  <c r="C19" i="14"/>
  <c r="B19" i="14"/>
  <c r="E18" i="14"/>
  <c r="F18" i="14" s="1"/>
  <c r="D18" i="14"/>
  <c r="C18" i="14"/>
  <c r="B18" i="14"/>
  <c r="C17" i="14"/>
  <c r="B15" i="14"/>
  <c r="C14" i="14"/>
  <c r="C13" i="14"/>
  <c r="C12" i="14"/>
  <c r="C11" i="14"/>
  <c r="C10" i="14"/>
  <c r="C9" i="14"/>
  <c r="C8" i="14"/>
  <c r="H6" i="14"/>
  <c r="F51" i="15" l="1"/>
  <c r="D81" i="15"/>
  <c r="E73" i="15"/>
  <c r="F38" i="15"/>
  <c r="F40" i="15"/>
  <c r="C41" i="15"/>
  <c r="F41" i="15" s="1"/>
  <c r="C36" i="15"/>
  <c r="F36" i="15"/>
  <c r="F39" i="15"/>
  <c r="F28" i="15"/>
  <c r="F27" i="15"/>
  <c r="C35" i="15"/>
  <c r="C73" i="14"/>
  <c r="C85" i="14" s="1"/>
  <c r="E85" i="14" s="1"/>
  <c r="F51" i="14"/>
  <c r="F45" i="14"/>
  <c r="F40" i="14"/>
  <c r="F38" i="14"/>
  <c r="F39" i="14"/>
  <c r="F27" i="14"/>
  <c r="F36" i="14"/>
  <c r="C37" i="14"/>
  <c r="F37" i="14" s="1"/>
  <c r="F46" i="14"/>
  <c r="F14" i="14"/>
  <c r="F12" i="14"/>
  <c r="F13" i="14"/>
  <c r="F11" i="14"/>
  <c r="F17" i="14"/>
  <c r="F8" i="14"/>
  <c r="F10" i="14"/>
  <c r="F9" i="14"/>
  <c r="F37" i="15"/>
  <c r="F45" i="15"/>
  <c r="E85" i="15"/>
  <c r="A47" i="15"/>
  <c r="C47" i="15" s="1"/>
  <c r="F47" i="15" s="1"/>
  <c r="A49" i="15"/>
  <c r="C49" i="15" s="1"/>
  <c r="F49" i="15" s="1"/>
  <c r="D83" i="15"/>
  <c r="A46" i="15"/>
  <c r="C46" i="15" s="1"/>
  <c r="F46" i="15" s="1"/>
  <c r="A48" i="15"/>
  <c r="C48" i="15" s="1"/>
  <c r="F48" i="15" s="1"/>
  <c r="F50" i="14"/>
  <c r="F35" i="14"/>
  <c r="F44" i="14"/>
  <c r="C41" i="14"/>
  <c r="F41" i="14" s="1"/>
  <c r="D81" i="14"/>
  <c r="A47" i="14"/>
  <c r="C47" i="14" s="1"/>
  <c r="F47" i="14" s="1"/>
  <c r="A49" i="14"/>
  <c r="C49" i="14" s="1"/>
  <c r="F49" i="14" s="1"/>
  <c r="D83" i="14"/>
  <c r="A44" i="14"/>
  <c r="C44" i="14" s="1"/>
  <c r="A48" i="14"/>
  <c r="C48" i="14" s="1"/>
  <c r="F48" i="14" s="1"/>
  <c r="E73" i="14" l="1"/>
  <c r="F53" i="14"/>
  <c r="C69" i="14" s="1"/>
  <c r="C81" i="14" s="1"/>
  <c r="E81" i="14" s="1"/>
  <c r="F56" i="14"/>
  <c r="F54" i="14"/>
  <c r="F55" i="15" l="1"/>
  <c r="H55" i="15" s="1"/>
  <c r="F64" i="14"/>
  <c r="H53" i="14"/>
  <c r="F2" i="14" s="1"/>
  <c r="E69" i="14"/>
  <c r="E17" i="15" s="1"/>
  <c r="F17" i="15" s="1"/>
  <c r="F53" i="15" s="1"/>
  <c r="C76" i="14"/>
  <c r="E76" i="14" s="1"/>
  <c r="E35" i="15" s="1"/>
  <c r="F35" i="15" s="1"/>
  <c r="F54" i="15" s="1"/>
  <c r="C76" i="15" s="1"/>
  <c r="E76" i="15" s="1"/>
  <c r="H54" i="14"/>
  <c r="G2" i="14" s="1"/>
  <c r="F55" i="14"/>
  <c r="H56" i="14"/>
  <c r="C74" i="14"/>
  <c r="H53" i="15" l="1"/>
  <c r="F2" i="15" s="1"/>
  <c r="C69" i="15"/>
  <c r="F64" i="15"/>
  <c r="H54" i="15"/>
  <c r="G2" i="15" s="1"/>
  <c r="F63" i="15"/>
  <c r="C71" i="15" s="1"/>
  <c r="O54" i="15"/>
  <c r="H55" i="14"/>
  <c r="O54" i="14"/>
  <c r="F63" i="14"/>
  <c r="C86" i="14"/>
  <c r="E86" i="14" s="1"/>
  <c r="E74" i="14"/>
  <c r="H2" i="14"/>
  <c r="O55" i="14"/>
  <c r="H58" i="14"/>
  <c r="H59" i="14" s="1"/>
  <c r="O58" i="14" s="1"/>
  <c r="E69" i="15" l="1"/>
  <c r="C81" i="15"/>
  <c r="E81" i="15" s="1"/>
  <c r="E78" i="14"/>
  <c r="E44" i="15"/>
  <c r="F44" i="15" s="1"/>
  <c r="F56" i="15" s="1"/>
  <c r="O56" i="15"/>
  <c r="F66" i="15"/>
  <c r="G63" i="15" s="1"/>
  <c r="E63" i="15"/>
  <c r="C83" i="15"/>
  <c r="E83" i="15" s="1"/>
  <c r="E71" i="15"/>
  <c r="C71" i="14"/>
  <c r="E63" i="14"/>
  <c r="F66" i="14"/>
  <c r="G63" i="14" s="1"/>
  <c r="O57" i="14"/>
  <c r="O59" i="14" s="1"/>
  <c r="O56" i="14"/>
  <c r="H56" i="15" l="1"/>
  <c r="C74" i="15"/>
  <c r="G47" i="15"/>
  <c r="G46" i="15"/>
  <c r="G48" i="15"/>
  <c r="G21" i="15"/>
  <c r="G32" i="15"/>
  <c r="G35" i="15"/>
  <c r="G23" i="15"/>
  <c r="G30" i="15"/>
  <c r="G53" i="15"/>
  <c r="G8" i="15"/>
  <c r="G38" i="15"/>
  <c r="G14" i="15"/>
  <c r="G12" i="15"/>
  <c r="G39" i="15"/>
  <c r="G54" i="15"/>
  <c r="G22" i="15"/>
  <c r="G51" i="15"/>
  <c r="G19" i="15"/>
  <c r="G44" i="15"/>
  <c r="G13" i="15"/>
  <c r="G40" i="15"/>
  <c r="G55" i="15"/>
  <c r="G20" i="15"/>
  <c r="G50" i="15"/>
  <c r="G64" i="15"/>
  <c r="G18" i="15"/>
  <c r="G56" i="15"/>
  <c r="G24" i="15"/>
  <c r="G28" i="15"/>
  <c r="G17" i="15"/>
  <c r="G65" i="15"/>
  <c r="G45" i="15"/>
  <c r="G41" i="15"/>
  <c r="G31" i="15"/>
  <c r="G66" i="15"/>
  <c r="G9" i="15"/>
  <c r="G37" i="15"/>
  <c r="G27" i="15"/>
  <c r="G29" i="15"/>
  <c r="G49" i="15"/>
  <c r="G11" i="15"/>
  <c r="G10" i="15"/>
  <c r="G36" i="15"/>
  <c r="O60" i="14"/>
  <c r="O61" i="14" s="1"/>
  <c r="O62" i="14" s="1"/>
  <c r="G66" i="14"/>
  <c r="G65" i="14"/>
  <c r="G45" i="14"/>
  <c r="G24" i="14"/>
  <c r="G39" i="14"/>
  <c r="G19" i="14"/>
  <c r="G18" i="14"/>
  <c r="G29" i="14"/>
  <c r="G32" i="14"/>
  <c r="G22" i="14"/>
  <c r="G37" i="14"/>
  <c r="G17" i="14"/>
  <c r="G14" i="14"/>
  <c r="G27" i="14"/>
  <c r="G13" i="14"/>
  <c r="G38" i="14"/>
  <c r="G23" i="14"/>
  <c r="G30" i="14"/>
  <c r="G9" i="14"/>
  <c r="G12" i="14"/>
  <c r="G8" i="14"/>
  <c r="G28" i="14"/>
  <c r="G51" i="14"/>
  <c r="G10" i="14"/>
  <c r="G11" i="14"/>
  <c r="G46" i="14"/>
  <c r="G40" i="14"/>
  <c r="G31" i="14"/>
  <c r="G53" i="14"/>
  <c r="G21" i="14"/>
  <c r="G36" i="14"/>
  <c r="G20" i="14"/>
  <c r="G48" i="14"/>
  <c r="G50" i="14"/>
  <c r="G49" i="14"/>
  <c r="G41" i="14"/>
  <c r="G44" i="14"/>
  <c r="G64" i="14"/>
  <c r="G35" i="14"/>
  <c r="G47" i="14"/>
  <c r="G54" i="14"/>
  <c r="G56" i="14"/>
  <c r="G55" i="14"/>
  <c r="C83" i="14"/>
  <c r="E83" i="14" s="1"/>
  <c r="E71" i="14"/>
  <c r="E74" i="15" l="1"/>
  <c r="E78" i="15" s="1"/>
  <c r="C86" i="15"/>
  <c r="E86" i="15" s="1"/>
  <c r="O55" i="15"/>
  <c r="O57" i="15" s="1"/>
  <c r="H58" i="15"/>
  <c r="H59" i="15" s="1"/>
  <c r="O58" i="15" s="1"/>
  <c r="H2" i="15"/>
  <c r="P62" i="14"/>
  <c r="E2" i="14"/>
  <c r="O59" i="15" l="1"/>
  <c r="O60" i="15" s="1"/>
  <c r="O61" i="15" s="1"/>
  <c r="O62" i="15" s="1"/>
  <c r="E2" i="15" l="1"/>
  <c r="P62" i="15"/>
</calcChain>
</file>

<file path=xl/sharedStrings.xml><?xml version="1.0" encoding="utf-8"?>
<sst xmlns="http://schemas.openxmlformats.org/spreadsheetml/2006/main" count="280" uniqueCount="131">
  <si>
    <t>CÓDIGO:</t>
  </si>
  <si>
    <t>ESPECIFICACION DE RECETA</t>
  </si>
  <si>
    <t>REVISIÓN:</t>
  </si>
  <si>
    <t>FECHA DE APROBACIÓN: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</si>
  <si>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</si>
  <si>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</si>
  <si>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</si>
  <si>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</si>
  <si>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</si>
  <si>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</si>
  <si>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</si>
  <si>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</si>
  <si>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</si>
  <si>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</si>
  <si>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PESO TOTAL OBTENIDO</t>
  </si>
  <si>
    <t>TIEMPO TOTAL DE PREPARACION</t>
  </si>
  <si>
    <t>Horno:</t>
  </si>
  <si>
    <t>CANTIDAD DE PORCIONES OBTENIDAS</t>
  </si>
  <si>
    <t>PESO DE CADA PORCIÓN</t>
  </si>
  <si>
    <t>Otros</t>
  </si>
  <si>
    <t>MERMA</t>
  </si>
  <si>
    <t>PROCEDIMIENTO DE PREPARACION DE LA  RECETA</t>
  </si>
  <si>
    <t>SERVICIOS DE PASTELERIA S.A.</t>
  </si>
  <si>
    <t>Javier Tong, Chef</t>
  </si>
  <si>
    <t>Tiempo de Horneo:</t>
  </si>
  <si>
    <t>Temperatura de Horneo:</t>
  </si>
  <si>
    <t>g</t>
  </si>
  <si>
    <t>ETIQUETA BLANCA 2 5/8X1 15/16 (UND)</t>
  </si>
  <si>
    <t>ud</t>
  </si>
  <si>
    <t># Codigo Netsuite</t>
  </si>
  <si>
    <t>MP10021</t>
  </si>
  <si>
    <t>MP10002</t>
  </si>
  <si>
    <t>MP10053</t>
  </si>
  <si>
    <t>SE00015</t>
  </si>
  <si>
    <t>MP10296</t>
  </si>
  <si>
    <t>EM10011</t>
  </si>
  <si>
    <t>MP10025</t>
  </si>
  <si>
    <t>Preservante 1017S</t>
  </si>
  <si>
    <t>Ajo Pelado</t>
  </si>
  <si>
    <t>Aceite Capullo Rbd</t>
  </si>
  <si>
    <t>Aceite De Oliva</t>
  </si>
  <si>
    <t>Jugo Limon Planta</t>
  </si>
  <si>
    <t>Perejil Desinfectado</t>
  </si>
  <si>
    <t>MP10521</t>
  </si>
  <si>
    <t>Salsa Soya Lee Kum Kee</t>
  </si>
  <si>
    <t>MP10032</t>
  </si>
  <si>
    <t>Salsa Chile Aji Planta</t>
  </si>
  <si>
    <t>EM10037</t>
  </si>
  <si>
    <t>Plasticos P</t>
  </si>
  <si>
    <t>EM10002</t>
  </si>
  <si>
    <t>EM10005</t>
  </si>
  <si>
    <t>ETIQ.FECHA VENCIMIENTO VERDE</t>
  </si>
  <si>
    <t>Sebastian Díaz, Gte Manufactura</t>
  </si>
  <si>
    <t>SALSA PARA SALTADO</t>
  </si>
  <si>
    <t>Bolsa 8X12 Transparente</t>
  </si>
  <si>
    <t>Etiq.Blanca 1 1/4 * 3/4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</si>
  <si>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</si>
  <si>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</si>
  <si>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</si>
  <si>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</si>
  <si>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</si>
  <si>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</si>
  <si>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</si>
  <si>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</si>
  <si>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</si>
  <si>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</si>
  <si>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</si>
  <si>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</si>
  <si>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</si>
  <si>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</si>
  <si>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</si>
  <si>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</si>
  <si>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</si>
  <si>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</si>
  <si>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</si>
  <si>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</si>
  <si>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</si>
  <si>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</si>
  <si>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</si>
  <si>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</si>
  <si>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</si>
  <si>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</si>
  <si>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</si>
  <si>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</si>
  <si>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</si>
  <si>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</si>
  <si>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</si>
  <si>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</si>
  <si>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</si>
  <si>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</si>
  <si>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</si>
  <si>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</si>
  <si>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</si>
  <si>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</si>
  <si>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</si>
  <si>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</si>
  <si>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</si>
  <si>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77 COLONES X MIN</t>
  </si>
  <si>
    <t xml:space="preserve">Gf 83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</si>
  <si>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</si>
  <si>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</si>
  <si>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</si>
  <si>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</si>
  <si>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</si>
  <si>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</si>
  <si>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</si>
  <si>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</si>
  <si>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</si>
  <si>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Gramos</t>
  </si>
  <si>
    <t>gRAMOS</t>
  </si>
  <si>
    <t>und</t>
  </si>
  <si>
    <t>UND</t>
  </si>
  <si>
    <t>AREA QUE PRODUCE:</t>
  </si>
  <si>
    <t xml:space="preserve">AREA QUE EMPACA: </t>
  </si>
  <si>
    <t>Cocina</t>
  </si>
  <si>
    <t>Empaque</t>
  </si>
  <si>
    <t>CONTROL DE CAMBIOS</t>
  </si>
  <si>
    <t>EM10016</t>
  </si>
  <si>
    <t>Bolsa 12X18 Transparente</t>
  </si>
  <si>
    <t>PANAMAR</t>
  </si>
  <si>
    <t>min</t>
  </si>
  <si>
    <t>Etiqueta Blanca 2 5/8X1 15/16</t>
  </si>
  <si>
    <t>1, En area de congelado -12°C como minimo, empacar 10 ud en una bolsa 12x18.</t>
  </si>
  <si>
    <t>2, Cerrar la bolsa con nudo.</t>
  </si>
  <si>
    <t>3, Etiquetar</t>
  </si>
  <si>
    <t>1 bosla con 10 ud</t>
  </si>
  <si>
    <t>PAN MINI CIABATTA</t>
  </si>
  <si>
    <t>MP10936</t>
  </si>
  <si>
    <t>PTL00293 - 20100220 Empaque mini ciabatta</t>
  </si>
  <si>
    <t>ESP-RE-EMPS-113</t>
  </si>
  <si>
    <t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</si>
</sst>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_(* #,##0.00_);_(* \(#,##0.00\);_(* &quot;-&quot;??_);_(@_)"/>
    <numFmt numFmtId="166" formatCode="[$-409]d\-mmm\-yy;@"/>
    <numFmt numFmtId="167" formatCode="&quot;$&quot;#,##0_);[Red]\(&quot;$&quot;#,##0\)"/>
    <numFmt numFmtId="168" formatCode="_-* #,##0.0\ _€_-;\-* #,##0.0\ _€_-;_-* &quot;-&quot;??\ _€_-;_-@_-"/>
  </numFmts>
  <fonts count="44" x14ac:knownFonts="1">
    <font>
      <sz val="10"/>
      <name val="Arial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4"/>
      <name val="Arial"/>
      <family val="2"/>
    </font>
    <font>
      <b/>
      <sz val="14"/>
      <color rgb="FFFF0000"/>
      <name val="Arial"/>
      <family val="2"/>
    </font>
    <font>
      <b/>
      <sz val="18"/>
      <name val="Century Gothic"/>
      <family val="2"/>
    </font>
    <font>
      <sz val="16"/>
      <color indexed="8"/>
      <name val="Arial"/>
      <family val="2"/>
    </font>
    <font>
      <sz val="16"/>
      <name val="Arial"/>
      <family val="2"/>
    </font>
    <font>
      <b/>
      <sz val="16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7">
    <xf numFmtId="0" fontId="0" fillId="0" borderId="0"/>
    <xf numFmtId="0" fontId="2" fillId="0" borderId="0"/>
    <xf numFmtId="9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1" fillId="0" borderId="0"/>
    <xf numFmtId="0" fontId="6" fillId="0" borderId="0"/>
    <xf numFmtId="0" fontId="1" fillId="0" borderId="0"/>
    <xf numFmtId="9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</cellStyleXfs>
  <cellXfs count="265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right"/>
    </xf>
    <xf numFmtId="0" fontId="5" fillId="3" borderId="3" xfId="1" applyFont="1" applyFill="1" applyBorder="1" applyAlignment="1">
      <alignment horizontal="right"/>
    </xf>
    <xf numFmtId="0" fontId="4" fillId="3" borderId="4" xfId="1" applyFont="1" applyFill="1" applyBorder="1" applyAlignment="1">
      <alignment horizontal="right"/>
    </xf>
    <xf numFmtId="0" fontId="4" fillId="3" borderId="3" xfId="1" applyFont="1" applyFill="1" applyBorder="1" applyAlignment="1">
      <alignment horizontal="right"/>
    </xf>
    <xf numFmtId="49" fontId="4" fillId="3" borderId="11" xfId="1" applyNumberFormat="1" applyFont="1" applyFill="1" applyBorder="1" applyAlignment="1">
      <alignment horizontal="center"/>
    </xf>
    <xf numFmtId="0" fontId="4" fillId="3" borderId="1" xfId="1" applyFont="1" applyFill="1" applyBorder="1" applyAlignment="1">
      <alignment horizontal="center"/>
    </xf>
    <xf numFmtId="0" fontId="4" fillId="3" borderId="0" xfId="0" applyFont="1" applyFill="1"/>
    <xf numFmtId="1" fontId="5" fillId="2" borderId="43" xfId="0" applyNumberFormat="1" applyFont="1" applyFill="1" applyBorder="1" applyAlignment="1">
      <alignment horizontal="center"/>
    </xf>
    <xf numFmtId="1" fontId="5" fillId="2" borderId="43" xfId="0" applyNumberFormat="1" applyFont="1" applyFill="1" applyBorder="1" applyAlignment="1">
      <alignment horizontal="center" wrapText="1"/>
    </xf>
    <xf numFmtId="1" fontId="5" fillId="2" borderId="10" xfId="0" applyNumberFormat="1" applyFont="1" applyFill="1" applyBorder="1" applyAlignment="1">
      <alignment horizontal="center"/>
    </xf>
    <xf numFmtId="1" fontId="5" fillId="2" borderId="10" xfId="0" applyNumberFormat="1" applyFont="1" applyFill="1" applyBorder="1" applyAlignment="1">
      <alignment horizontal="center" wrapText="1"/>
    </xf>
    <xf numFmtId="0" fontId="5" fillId="2" borderId="40" xfId="0" applyFont="1" applyFill="1" applyBorder="1" applyAlignment="1">
      <alignment horizontal="center"/>
    </xf>
    <xf numFmtId="0" fontId="4" fillId="3" borderId="0" xfId="0" applyFont="1" applyFill="1" applyAlignment="1">
      <alignment horizontal="left" indent="1"/>
    </xf>
    <xf numFmtId="9" fontId="4" fillId="3" borderId="0" xfId="3" applyFont="1" applyFill="1"/>
    <xf numFmtId="0" fontId="9" fillId="5" borderId="0" xfId="0" applyFont="1" applyFill="1" applyAlignment="1">
      <alignment vertical="center"/>
    </xf>
    <xf numFmtId="0" fontId="10" fillId="6" borderId="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43" fontId="10" fillId="0" borderId="3" xfId="4" applyFont="1" applyFill="1" applyBorder="1" applyAlignment="1">
      <alignment horizontal="center" vertical="center"/>
    </xf>
    <xf numFmtId="43" fontId="10" fillId="0" borderId="0" xfId="4" applyFont="1" applyFill="1" applyBorder="1" applyAlignment="1">
      <alignment horizontal="center" vertical="center"/>
    </xf>
    <xf numFmtId="43" fontId="12" fillId="0" borderId="0" xfId="4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166" fontId="15" fillId="0" borderId="0" xfId="0" applyNumberFormat="1" applyFont="1" applyAlignment="1">
      <alignment horizontal="center" vertical="center" wrapText="1"/>
    </xf>
    <xf numFmtId="0" fontId="10" fillId="7" borderId="44" xfId="0" applyFont="1" applyFill="1" applyBorder="1" applyAlignment="1">
      <alignment horizontal="center" vertical="center"/>
    </xf>
    <xf numFmtId="0" fontId="10" fillId="7" borderId="45" xfId="0" applyFont="1" applyFill="1" applyBorder="1" applyAlignment="1">
      <alignment horizontal="center" vertical="center"/>
    </xf>
    <xf numFmtId="0" fontId="10" fillId="7" borderId="45" xfId="0" applyFont="1" applyFill="1" applyBorder="1" applyAlignment="1">
      <alignment horizontal="center" vertical="center" wrapText="1"/>
    </xf>
    <xf numFmtId="0" fontId="10" fillId="7" borderId="46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2" fontId="16" fillId="0" borderId="0" xfId="0" applyNumberFormat="1" applyFont="1" applyAlignment="1">
      <alignment horizontal="center"/>
    </xf>
    <xf numFmtId="4" fontId="16" fillId="0" borderId="0" xfId="5" applyNumberFormat="1" applyFont="1" applyFill="1" applyAlignment="1">
      <alignment horizontal="center" vertical="center"/>
    </xf>
    <xf numFmtId="4" fontId="10" fillId="0" borderId="0" xfId="5" applyNumberFormat="1" applyFont="1" applyFill="1" applyAlignment="1">
      <alignment horizontal="center" vertical="center"/>
    </xf>
    <xf numFmtId="10" fontId="10" fillId="0" borderId="0" xfId="2" applyNumberFormat="1" applyFont="1" applyFill="1" applyAlignment="1">
      <alignment vertical="center"/>
    </xf>
    <xf numFmtId="49" fontId="10" fillId="0" borderId="0" xfId="0" applyNumberFormat="1" applyFont="1" applyAlignment="1">
      <alignment horizontal="center" vertical="center"/>
    </xf>
    <xf numFmtId="10" fontId="11" fillId="0" borderId="0" xfId="2" applyNumberFormat="1" applyFont="1" applyFill="1" applyAlignment="1">
      <alignment vertical="center"/>
    </xf>
    <xf numFmtId="0" fontId="9" fillId="0" borderId="0" xfId="0" applyFont="1"/>
    <xf numFmtId="49" fontId="10" fillId="0" borderId="0" xfId="0" applyNumberFormat="1" applyFont="1" applyAlignment="1">
      <alignment horizontal="center"/>
    </xf>
    <xf numFmtId="167" fontId="9" fillId="0" borderId="0" xfId="0" applyNumberFormat="1" applyFont="1" applyAlignment="1">
      <alignment vertical="center"/>
    </xf>
    <xf numFmtId="0" fontId="9" fillId="0" borderId="0" xfId="0" applyFont="1" applyAlignment="1">
      <alignment horizontal="left" vertical="center"/>
    </xf>
    <xf numFmtId="43" fontId="9" fillId="0" borderId="0" xfId="4" applyFont="1" applyFill="1" applyAlignment="1">
      <alignment vertical="center"/>
    </xf>
    <xf numFmtId="49" fontId="17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right" vertical="center"/>
    </xf>
    <xf numFmtId="4" fontId="10" fillId="0" borderId="0" xfId="4" applyNumberFormat="1" applyFont="1" applyFill="1" applyAlignment="1">
      <alignment vertical="center"/>
    </xf>
    <xf numFmtId="43" fontId="18" fillId="0" borderId="0" xfId="4" applyFont="1" applyFill="1" applyAlignment="1">
      <alignment horizontal="center" vertical="center"/>
    </xf>
    <xf numFmtId="10" fontId="11" fillId="7" borderId="47" xfId="2" applyNumberFormat="1" applyFont="1" applyFill="1" applyBorder="1" applyAlignment="1">
      <alignment vertical="center"/>
    </xf>
    <xf numFmtId="0" fontId="9" fillId="7" borderId="7" xfId="0" applyFont="1" applyFill="1" applyBorder="1" applyAlignment="1">
      <alignment vertical="center"/>
    </xf>
    <xf numFmtId="0" fontId="9" fillId="7" borderId="47" xfId="0" applyFont="1" applyFill="1" applyBorder="1" applyAlignment="1">
      <alignment vertical="center"/>
    </xf>
    <xf numFmtId="43" fontId="18" fillId="7" borderId="48" xfId="4" applyFont="1" applyFill="1" applyBorder="1" applyAlignment="1">
      <alignment horizontal="center" vertical="center"/>
    </xf>
    <xf numFmtId="43" fontId="20" fillId="0" borderId="0" xfId="4" applyFont="1" applyFill="1" applyBorder="1" applyAlignment="1">
      <alignment horizontal="right"/>
    </xf>
    <xf numFmtId="0" fontId="9" fillId="7" borderId="48" xfId="0" applyFont="1" applyFill="1" applyBorder="1" applyAlignment="1">
      <alignment vertical="center"/>
    </xf>
    <xf numFmtId="10" fontId="11" fillId="7" borderId="48" xfId="2" applyNumberFormat="1" applyFont="1" applyFill="1" applyBorder="1" applyAlignment="1">
      <alignment vertical="center"/>
    </xf>
    <xf numFmtId="0" fontId="19" fillId="0" borderId="0" xfId="0" applyFont="1" applyAlignment="1">
      <alignment horizontal="right"/>
    </xf>
    <xf numFmtId="0" fontId="19" fillId="0" borderId="0" xfId="0" applyFont="1"/>
    <xf numFmtId="9" fontId="19" fillId="0" borderId="0" xfId="0" applyNumberFormat="1" applyFont="1"/>
    <xf numFmtId="9" fontId="21" fillId="0" borderId="0" xfId="2" applyFont="1" applyFill="1" applyAlignment="1">
      <alignment horizontal="center"/>
    </xf>
    <xf numFmtId="0" fontId="18" fillId="0" borderId="0" xfId="0" applyFont="1" applyAlignment="1">
      <alignment horizontal="right" vertical="center"/>
    </xf>
    <xf numFmtId="4" fontId="18" fillId="0" borderId="0" xfId="4" applyNumberFormat="1" applyFont="1" applyFill="1" applyAlignment="1">
      <alignment vertical="center"/>
    </xf>
    <xf numFmtId="4" fontId="18" fillId="0" borderId="0" xfId="5" applyNumberFormat="1" applyFont="1" applyAlignment="1">
      <alignment horizontal="center" vertical="center"/>
    </xf>
    <xf numFmtId="0" fontId="22" fillId="0" borderId="0" xfId="0" applyFont="1" applyAlignment="1">
      <alignment horizontal="right"/>
    </xf>
    <xf numFmtId="0" fontId="23" fillId="0" borderId="0" xfId="0" applyFont="1" applyAlignment="1">
      <alignment horizontal="right"/>
    </xf>
    <xf numFmtId="0" fontId="23" fillId="0" borderId="49" xfId="0" applyFont="1" applyBorder="1" applyAlignment="1">
      <alignment horizontal="right"/>
    </xf>
    <xf numFmtId="43" fontId="24" fillId="4" borderId="50" xfId="4" applyFont="1" applyFill="1" applyBorder="1" applyAlignment="1">
      <alignment horizontal="right"/>
    </xf>
    <xf numFmtId="43" fontId="24" fillId="0" borderId="0" xfId="4" applyFont="1" applyFill="1" applyBorder="1" applyAlignment="1">
      <alignment horizontal="right"/>
    </xf>
    <xf numFmtId="43" fontId="10" fillId="0" borderId="3" xfId="4" applyFont="1" applyFill="1" applyBorder="1" applyAlignment="1">
      <alignment vertical="center"/>
    </xf>
    <xf numFmtId="0" fontId="25" fillId="0" borderId="0" xfId="0" applyFont="1" applyAlignment="1">
      <alignment horizontal="left" vertical="center"/>
    </xf>
    <xf numFmtId="4" fontId="18" fillId="0" borderId="0" xfId="5" applyNumberFormat="1" applyFont="1" applyFill="1" applyAlignment="1">
      <alignment horizontal="center" vertical="center"/>
    </xf>
    <xf numFmtId="10" fontId="26" fillId="0" borderId="0" xfId="2" applyNumberFormat="1" applyFont="1" applyFill="1" applyAlignment="1">
      <alignment horizontal="right"/>
    </xf>
    <xf numFmtId="168" fontId="10" fillId="7" borderId="3" xfId="4" applyNumberFormat="1" applyFont="1" applyFill="1" applyBorder="1" applyAlignment="1">
      <alignment vertical="center"/>
    </xf>
    <xf numFmtId="4" fontId="9" fillId="0" borderId="0" xfId="0" applyNumberFormat="1" applyFont="1" applyAlignment="1">
      <alignment horizontal="center" vertical="center"/>
    </xf>
    <xf numFmtId="43" fontId="10" fillId="8" borderId="3" xfId="4" applyFont="1" applyFill="1" applyBorder="1" applyAlignment="1">
      <alignment vertical="center"/>
    </xf>
    <xf numFmtId="165" fontId="27" fillId="0" borderId="0" xfId="0" applyNumberFormat="1" applyFont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4" fontId="10" fillId="0" borderId="0" xfId="0" applyNumberFormat="1" applyFont="1" applyAlignment="1">
      <alignment horizontal="center" vertical="center"/>
    </xf>
    <xf numFmtId="0" fontId="11" fillId="7" borderId="51" xfId="0" applyFont="1" applyFill="1" applyBorder="1" applyAlignment="1">
      <alignment vertical="center"/>
    </xf>
    <xf numFmtId="0" fontId="29" fillId="0" borderId="0" xfId="0" applyFont="1" applyAlignment="1">
      <alignment vertical="center"/>
    </xf>
    <xf numFmtId="2" fontId="26" fillId="0" borderId="0" xfId="4" applyNumberFormat="1" applyFont="1" applyFill="1" applyBorder="1" applyAlignment="1">
      <alignment horizontal="center"/>
    </xf>
    <xf numFmtId="2" fontId="23" fillId="0" borderId="0" xfId="4" applyNumberFormat="1" applyFont="1" applyFill="1" applyBorder="1" applyAlignment="1">
      <alignment horizontal="center"/>
    </xf>
    <xf numFmtId="0" fontId="9" fillId="7" borderId="51" xfId="0" applyFont="1" applyFill="1" applyBorder="1" applyAlignment="1">
      <alignment vertical="center"/>
    </xf>
    <xf numFmtId="10" fontId="9" fillId="0" borderId="0" xfId="2" applyNumberFormat="1" applyFont="1" applyFill="1" applyAlignment="1">
      <alignment vertical="center"/>
    </xf>
    <xf numFmtId="4" fontId="9" fillId="0" borderId="0" xfId="4" applyNumberFormat="1" applyFont="1" applyFill="1" applyAlignment="1">
      <alignment vertical="center"/>
    </xf>
    <xf numFmtId="43" fontId="24" fillId="7" borderId="7" xfId="4" applyFont="1" applyFill="1" applyBorder="1" applyAlignment="1">
      <alignment horizontal="right"/>
    </xf>
    <xf numFmtId="0" fontId="10" fillId="7" borderId="8" xfId="0" applyFont="1" applyFill="1" applyBorder="1" applyAlignment="1">
      <alignment horizontal="right" vertical="center"/>
    </xf>
    <xf numFmtId="10" fontId="30" fillId="0" borderId="0" xfId="4" applyNumberFormat="1" applyFont="1" applyFill="1" applyAlignment="1">
      <alignment vertical="center"/>
    </xf>
    <xf numFmtId="10" fontId="11" fillId="0" borderId="0" xfId="2" applyNumberFormat="1" applyFont="1" applyFill="1" applyBorder="1" applyAlignment="1">
      <alignment vertical="center"/>
    </xf>
    <xf numFmtId="165" fontId="31" fillId="0" borderId="0" xfId="0" applyNumberFormat="1" applyFont="1" applyAlignment="1">
      <alignment horizontal="center" vertical="center"/>
    </xf>
    <xf numFmtId="0" fontId="9" fillId="5" borderId="50" xfId="0" applyFont="1" applyFill="1" applyBorder="1" applyAlignment="1">
      <alignment horizontal="center" vertical="center"/>
    </xf>
    <xf numFmtId="43" fontId="32" fillId="0" borderId="0" xfId="4" applyFont="1" applyFill="1" applyAlignment="1">
      <alignment vertical="center"/>
    </xf>
    <xf numFmtId="4" fontId="33" fillId="0" borderId="0" xfId="5" applyNumberFormat="1" applyFont="1" applyFill="1" applyAlignment="1">
      <alignment horizontal="center" vertical="center" wrapText="1"/>
    </xf>
    <xf numFmtId="9" fontId="9" fillId="0" borderId="0" xfId="4" applyNumberFormat="1" applyFont="1" applyFill="1" applyAlignment="1">
      <alignment vertical="center"/>
    </xf>
    <xf numFmtId="0" fontId="1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4" fontId="17" fillId="0" borderId="0" xfId="4" applyNumberFormat="1" applyFont="1" applyFill="1" applyAlignment="1">
      <alignment vertical="center"/>
    </xf>
    <xf numFmtId="4" fontId="10" fillId="10" borderId="50" xfId="4" applyNumberFormat="1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43" fontId="34" fillId="0" borderId="0" xfId="4" applyFont="1" applyFill="1" applyAlignment="1">
      <alignment vertical="center"/>
    </xf>
    <xf numFmtId="9" fontId="34" fillId="0" borderId="0" xfId="4" applyNumberFormat="1" applyFont="1" applyFill="1" applyAlignment="1">
      <alignment vertical="center"/>
    </xf>
    <xf numFmtId="4" fontId="10" fillId="0" borderId="0" xfId="4" applyNumberFormat="1" applyFont="1" applyFill="1" applyAlignment="1">
      <alignment horizontal="center" vertical="center"/>
    </xf>
    <xf numFmtId="10" fontId="27" fillId="0" borderId="0" xfId="2" applyNumberFormat="1" applyFont="1" applyFill="1" applyAlignment="1">
      <alignment vertical="center"/>
    </xf>
    <xf numFmtId="43" fontId="27" fillId="0" borderId="0" xfId="4" applyFont="1" applyFill="1" applyBorder="1" applyAlignment="1">
      <alignment vertical="center"/>
    </xf>
    <xf numFmtId="4" fontId="9" fillId="0" borderId="0" xfId="0" applyNumberFormat="1" applyFont="1" applyAlignment="1">
      <alignment horizontal="center"/>
    </xf>
    <xf numFmtId="43" fontId="9" fillId="0" borderId="0" xfId="4" applyFont="1" applyFill="1" applyBorder="1"/>
    <xf numFmtId="10" fontId="27" fillId="0" borderId="0" xfId="2" applyNumberFormat="1" applyFont="1" applyFill="1" applyBorder="1" applyAlignment="1">
      <alignment vertical="center"/>
    </xf>
    <xf numFmtId="0" fontId="27" fillId="0" borderId="0" xfId="0" applyFont="1" applyAlignment="1">
      <alignment horizontal="right"/>
    </xf>
    <xf numFmtId="43" fontId="9" fillId="0" borderId="0" xfId="4" applyFont="1" applyFill="1" applyBorder="1" applyAlignment="1">
      <alignment horizontal="center"/>
    </xf>
    <xf numFmtId="9" fontId="37" fillId="0" borderId="0" xfId="0" applyNumberFormat="1" applyFont="1" applyAlignment="1">
      <alignment horizontal="left"/>
    </xf>
    <xf numFmtId="4" fontId="10" fillId="0" borderId="0" xfId="0" applyNumberFormat="1" applyFont="1" applyAlignment="1">
      <alignment horizontal="center"/>
    </xf>
    <xf numFmtId="165" fontId="10" fillId="0" borderId="0" xfId="0" applyNumberFormat="1" applyFont="1"/>
    <xf numFmtId="14" fontId="4" fillId="3" borderId="26" xfId="1" applyNumberFormat="1" applyFont="1" applyFill="1" applyBorder="1" applyAlignment="1">
      <alignment horizontal="center" vertical="center" wrapText="1"/>
    </xf>
    <xf numFmtId="0" fontId="4" fillId="3" borderId="15" xfId="1" applyFont="1" applyFill="1" applyBorder="1" applyAlignment="1">
      <alignment horizontal="center"/>
    </xf>
    <xf numFmtId="0" fontId="5" fillId="3" borderId="24" xfId="1" applyFont="1" applyFill="1" applyBorder="1" applyAlignment="1">
      <alignment horizontal="right" vertical="top" wrapText="1"/>
    </xf>
    <xf numFmtId="0" fontId="4" fillId="3" borderId="0" xfId="1" applyFont="1" applyFill="1" applyAlignment="1">
      <alignment horizontal="center"/>
    </xf>
    <xf numFmtId="0" fontId="4" fillId="3" borderId="42" xfId="1" applyFont="1" applyFill="1" applyBorder="1" applyAlignment="1">
      <alignment horizontal="right"/>
    </xf>
    <xf numFmtId="0" fontId="4" fillId="3" borderId="53" xfId="1" applyFont="1" applyFill="1" applyBorder="1" applyAlignment="1">
      <alignment horizontal="left"/>
    </xf>
    <xf numFmtId="0" fontId="4" fillId="3" borderId="0" xfId="1" applyFont="1" applyFill="1" applyAlignment="1">
      <alignment horizontal="left"/>
    </xf>
    <xf numFmtId="14" fontId="39" fillId="3" borderId="0" xfId="15" applyNumberFormat="1" applyFont="1" applyFill="1" applyAlignment="1">
      <alignment horizontal="center" vertical="center" wrapText="1"/>
    </xf>
    <xf numFmtId="0" fontId="41" fillId="0" borderId="3" xfId="0" applyFont="1" applyBorder="1" applyAlignment="1">
      <alignment horizontal="center" vertical="top"/>
    </xf>
    <xf numFmtId="0" fontId="41" fillId="0" borderId="3" xfId="0" applyFont="1" applyBorder="1" applyAlignment="1">
      <alignment vertical="top"/>
    </xf>
    <xf numFmtId="16" fontId="42" fillId="0" borderId="3" xfId="0" applyNumberFormat="1" applyFont="1" applyBorder="1" applyAlignment="1">
      <alignment horizontal="center"/>
    </xf>
    <xf numFmtId="1" fontId="42" fillId="0" borderId="3" xfId="0" applyNumberFormat="1" applyFont="1" applyBorder="1" applyAlignment="1">
      <alignment horizontal="center"/>
    </xf>
    <xf numFmtId="1" fontId="42" fillId="0" borderId="3" xfId="0" applyNumberFormat="1" applyFont="1" applyBorder="1" applyAlignment="1">
      <alignment horizontal="center" wrapText="1"/>
    </xf>
    <xf numFmtId="1" fontId="42" fillId="0" borderId="4" xfId="0" applyNumberFormat="1" applyFont="1" applyBorder="1" applyAlignment="1">
      <alignment horizontal="center"/>
    </xf>
    <xf numFmtId="0" fontId="42" fillId="0" borderId="4" xfId="0" applyFont="1" applyBorder="1" applyAlignment="1">
      <alignment horizontal="center"/>
    </xf>
    <xf numFmtId="0" fontId="42" fillId="0" borderId="5" xfId="0" applyFont="1" applyBorder="1" applyAlignment="1">
      <alignment horizontal="center"/>
    </xf>
    <xf numFmtId="0" fontId="42" fillId="0" borderId="3" xfId="0" quotePrefix="1" applyFont="1" applyBorder="1" applyAlignment="1">
      <alignment horizontal="center"/>
    </xf>
    <xf numFmtId="0" fontId="42" fillId="0" borderId="3" xfId="0" quotePrefix="1" applyFont="1" applyBorder="1"/>
    <xf numFmtId="49" fontId="42" fillId="0" borderId="33" xfId="0" applyNumberFormat="1" applyFont="1" applyBorder="1" applyAlignment="1">
      <alignment horizontal="center"/>
    </xf>
    <xf numFmtId="0" fontId="42" fillId="0" borderId="3" xfId="0" applyFont="1" applyBorder="1" applyAlignment="1">
      <alignment horizontal="center"/>
    </xf>
    <xf numFmtId="0" fontId="42" fillId="0" borderId="3" xfId="0" applyFont="1" applyBorder="1"/>
    <xf numFmtId="0" fontId="42" fillId="0" borderId="0" xfId="0" applyFont="1" applyAlignment="1">
      <alignment horizontal="center"/>
    </xf>
    <xf numFmtId="0" fontId="42" fillId="0" borderId="33" xfId="0" quotePrefix="1" applyFont="1" applyBorder="1" applyAlignment="1">
      <alignment horizontal="center"/>
    </xf>
    <xf numFmtId="49" fontId="42" fillId="0" borderId="43" xfId="0" applyNumberFormat="1" applyFont="1" applyBorder="1" applyAlignment="1">
      <alignment horizontal="center"/>
    </xf>
    <xf numFmtId="0" fontId="42" fillId="0" borderId="43" xfId="0" applyFont="1" applyBorder="1" applyAlignment="1">
      <alignment wrapText="1"/>
    </xf>
    <xf numFmtId="16" fontId="42" fillId="0" borderId="43" xfId="0" applyNumberFormat="1" applyFont="1" applyBorder="1" applyAlignment="1">
      <alignment horizontal="center"/>
    </xf>
    <xf numFmtId="1" fontId="42" fillId="0" borderId="42" xfId="0" applyNumberFormat="1" applyFont="1" applyBorder="1" applyAlignment="1">
      <alignment horizontal="center"/>
    </xf>
    <xf numFmtId="1" fontId="42" fillId="0" borderId="42" xfId="0" applyNumberFormat="1" applyFont="1" applyBorder="1" applyAlignment="1">
      <alignment horizontal="center" wrapText="1"/>
    </xf>
    <xf numFmtId="0" fontId="42" fillId="0" borderId="42" xfId="0" applyFont="1" applyBorder="1" applyAlignment="1">
      <alignment horizontal="center"/>
    </xf>
    <xf numFmtId="0" fontId="42" fillId="0" borderId="26" xfId="0" applyFont="1" applyBorder="1" applyAlignment="1">
      <alignment horizontal="center"/>
    </xf>
    <xf numFmtId="0" fontId="42" fillId="2" borderId="6" xfId="0" applyFont="1" applyFill="1" applyBorder="1" applyAlignment="1">
      <alignment horizontal="center"/>
    </xf>
    <xf numFmtId="0" fontId="42" fillId="2" borderId="7" xfId="0" applyFont="1" applyFill="1" applyBorder="1" applyAlignment="1">
      <alignment horizontal="center"/>
    </xf>
    <xf numFmtId="0" fontId="42" fillId="2" borderId="7" xfId="0" applyFont="1" applyFill="1" applyBorder="1"/>
    <xf numFmtId="0" fontId="43" fillId="2" borderId="7" xfId="0" applyFont="1" applyFill="1" applyBorder="1" applyAlignment="1">
      <alignment horizontal="center"/>
    </xf>
    <xf numFmtId="1" fontId="43" fillId="2" borderId="7" xfId="0" applyNumberFormat="1" applyFont="1" applyFill="1" applyBorder="1" applyAlignment="1">
      <alignment horizontal="center"/>
    </xf>
    <xf numFmtId="164" fontId="42" fillId="2" borderId="7" xfId="0" applyNumberFormat="1" applyFont="1" applyFill="1" applyBorder="1" applyAlignment="1">
      <alignment horizontal="center" wrapText="1"/>
    </xf>
    <xf numFmtId="0" fontId="42" fillId="2" borderId="8" xfId="0" applyFont="1" applyFill="1" applyBorder="1" applyAlignment="1">
      <alignment horizontal="center"/>
    </xf>
    <xf numFmtId="0" fontId="42" fillId="0" borderId="9" xfId="0" applyFont="1" applyBorder="1" applyAlignment="1">
      <alignment horizontal="center"/>
    </xf>
    <xf numFmtId="1" fontId="42" fillId="0" borderId="10" xfId="0" applyNumberFormat="1" applyFont="1" applyBorder="1" applyAlignment="1">
      <alignment horizontal="center"/>
    </xf>
    <xf numFmtId="0" fontId="42" fillId="0" borderId="10" xfId="0" applyFont="1" applyBorder="1" applyAlignment="1">
      <alignment horizontal="center"/>
    </xf>
    <xf numFmtId="20" fontId="42" fillId="0" borderId="3" xfId="0" applyNumberFormat="1" applyFont="1" applyBorder="1" applyAlignment="1">
      <alignment horizontal="center"/>
    </xf>
    <xf numFmtId="0" fontId="42" fillId="0" borderId="35" xfId="0" applyFont="1" applyBorder="1" applyAlignment="1">
      <alignment horizontal="left"/>
    </xf>
    <xf numFmtId="0" fontId="42" fillId="0" borderId="21" xfId="0" applyFont="1" applyBorder="1" applyAlignment="1">
      <alignment horizontal="left"/>
    </xf>
    <xf numFmtId="0" fontId="42" fillId="0" borderId="36" xfId="0" applyFont="1" applyBorder="1" applyAlignment="1">
      <alignment horizontal="left"/>
    </xf>
    <xf numFmtId="0" fontId="43" fillId="2" borderId="14" xfId="0" applyFont="1" applyFill="1" applyBorder="1" applyAlignment="1">
      <alignment horizontal="center"/>
    </xf>
    <xf numFmtId="0" fontId="43" fillId="2" borderId="38" xfId="0" applyFont="1" applyFill="1" applyBorder="1" applyAlignment="1">
      <alignment horizontal="center"/>
    </xf>
    <xf numFmtId="0" fontId="43" fillId="2" borderId="54" xfId="0" applyFont="1" applyFill="1" applyBorder="1" applyAlignment="1">
      <alignment horizontal="center"/>
    </xf>
    <xf numFmtId="0" fontId="43" fillId="0" borderId="35" xfId="0" applyFont="1" applyBorder="1" applyAlignment="1">
      <alignment horizontal="right"/>
    </xf>
    <xf numFmtId="0" fontId="43" fillId="0" borderId="21" xfId="0" applyFont="1" applyBorder="1" applyAlignment="1">
      <alignment horizontal="right"/>
    </xf>
    <xf numFmtId="0" fontId="43" fillId="0" borderId="22" xfId="0" applyFont="1" applyBorder="1" applyAlignment="1">
      <alignment horizontal="right"/>
    </xf>
    <xf numFmtId="0" fontId="42" fillId="0" borderId="20" xfId="0" applyFont="1" applyBorder="1" applyAlignment="1">
      <alignment horizontal="right"/>
    </xf>
    <xf numFmtId="0" fontId="42" fillId="0" borderId="22" xfId="0" applyFont="1" applyBorder="1" applyAlignment="1">
      <alignment horizontal="right"/>
    </xf>
    <xf numFmtId="164" fontId="42" fillId="0" borderId="20" xfId="0" applyNumberFormat="1" applyFont="1" applyBorder="1" applyAlignment="1">
      <alignment horizontal="center"/>
    </xf>
    <xf numFmtId="164" fontId="42" fillId="0" borderId="36" xfId="0" applyNumberFormat="1" applyFont="1" applyBorder="1" applyAlignment="1">
      <alignment horizontal="center"/>
    </xf>
    <xf numFmtId="0" fontId="43" fillId="2" borderId="6" xfId="0" applyFont="1" applyFill="1" applyBorder="1" applyAlignment="1">
      <alignment horizontal="center"/>
    </xf>
    <xf numFmtId="0" fontId="43" fillId="2" borderId="7" xfId="0" applyFont="1" applyFill="1" applyBorder="1" applyAlignment="1">
      <alignment horizontal="center"/>
    </xf>
    <xf numFmtId="0" fontId="43" fillId="2" borderId="8" xfId="0" applyFont="1" applyFill="1" applyBorder="1" applyAlignment="1">
      <alignment horizontal="center"/>
    </xf>
    <xf numFmtId="0" fontId="42" fillId="0" borderId="29" xfId="0" applyFont="1" applyBorder="1" applyAlignment="1">
      <alignment horizontal="left"/>
    </xf>
    <xf numFmtId="0" fontId="42" fillId="0" borderId="18" xfId="0" applyFont="1" applyBorder="1" applyAlignment="1">
      <alignment horizontal="left"/>
    </xf>
    <xf numFmtId="0" fontId="42" fillId="0" borderId="30" xfId="0" applyFont="1" applyBorder="1" applyAlignment="1">
      <alignment horizontal="left"/>
    </xf>
    <xf numFmtId="0" fontId="42" fillId="0" borderId="31" xfId="0" applyFont="1" applyBorder="1" applyAlignment="1">
      <alignment horizontal="left" wrapText="1"/>
    </xf>
    <xf numFmtId="0" fontId="42" fillId="0" borderId="37" xfId="0" applyFont="1" applyBorder="1" applyAlignment="1">
      <alignment horizontal="left" wrapText="1"/>
    </xf>
    <xf numFmtId="0" fontId="42" fillId="0" borderId="34" xfId="0" applyFont="1" applyBorder="1" applyAlignment="1">
      <alignment horizontal="left" wrapText="1"/>
    </xf>
    <xf numFmtId="0" fontId="43" fillId="0" borderId="31" xfId="0" applyFont="1" applyBorder="1" applyAlignment="1">
      <alignment horizontal="right"/>
    </xf>
    <xf numFmtId="0" fontId="43" fillId="0" borderId="37" xfId="0" applyFont="1" applyBorder="1" applyAlignment="1">
      <alignment horizontal="right"/>
    </xf>
    <xf numFmtId="0" fontId="43" fillId="0" borderId="32" xfId="0" applyFont="1" applyBorder="1" applyAlignment="1">
      <alignment horizontal="right"/>
    </xf>
    <xf numFmtId="0" fontId="42" fillId="0" borderId="33" xfId="0" applyFont="1" applyBorder="1" applyAlignment="1">
      <alignment horizontal="right"/>
    </xf>
    <xf numFmtId="0" fontId="42" fillId="0" borderId="32" xfId="0" applyFont="1" applyBorder="1" applyAlignment="1">
      <alignment horizontal="right"/>
    </xf>
    <xf numFmtId="164" fontId="42" fillId="0" borderId="33" xfId="0" applyNumberFormat="1" applyFont="1" applyBorder="1" applyAlignment="1">
      <alignment horizontal="center"/>
    </xf>
    <xf numFmtId="164" fontId="42" fillId="0" borderId="34" xfId="0" applyNumberFormat="1" applyFont="1" applyBorder="1" applyAlignment="1">
      <alignment horizontal="center"/>
    </xf>
    <xf numFmtId="0" fontId="38" fillId="3" borderId="0" xfId="15" applyFont="1" applyFill="1"/>
    <xf numFmtId="0" fontId="42" fillId="0" borderId="31" xfId="0" applyFont="1" applyBorder="1" applyAlignment="1">
      <alignment horizontal="left"/>
    </xf>
    <xf numFmtId="0" fontId="42" fillId="0" borderId="37" xfId="0" applyFont="1" applyBorder="1" applyAlignment="1">
      <alignment horizontal="left"/>
    </xf>
    <xf numFmtId="0" fontId="42" fillId="0" borderId="34" xfId="0" applyFont="1" applyBorder="1" applyAlignment="1">
      <alignment horizontal="left"/>
    </xf>
    <xf numFmtId="164" fontId="42" fillId="0" borderId="33" xfId="0" applyNumberFormat="1" applyFont="1" applyBorder="1" applyAlignment="1">
      <alignment horizontal="right" wrapText="1"/>
    </xf>
    <xf numFmtId="164" fontId="42" fillId="0" borderId="32" xfId="0" applyNumberFormat="1" applyFont="1" applyBorder="1" applyAlignment="1">
      <alignment horizontal="right" wrapText="1"/>
    </xf>
    <xf numFmtId="0" fontId="38" fillId="3" borderId="0" xfId="15" applyFont="1" applyFill="1" applyAlignment="1">
      <alignment horizontal="right"/>
    </xf>
    <xf numFmtId="0" fontId="39" fillId="3" borderId="39" xfId="15" applyFont="1" applyFill="1" applyBorder="1" applyAlignment="1">
      <alignment horizontal="center"/>
    </xf>
    <xf numFmtId="0" fontId="43" fillId="0" borderId="29" xfId="0" applyFont="1" applyBorder="1" applyAlignment="1">
      <alignment horizontal="right"/>
    </xf>
    <xf numFmtId="0" fontId="43" fillId="0" borderId="18" xfId="0" applyFont="1" applyBorder="1" applyAlignment="1">
      <alignment horizontal="right"/>
    </xf>
    <xf numFmtId="0" fontId="43" fillId="0" borderId="19" xfId="0" applyFont="1" applyBorder="1" applyAlignment="1">
      <alignment horizontal="right"/>
    </xf>
    <xf numFmtId="164" fontId="42" fillId="0" borderId="17" xfId="0" applyNumberFormat="1" applyFont="1" applyBorder="1" applyAlignment="1">
      <alignment horizontal="right"/>
    </xf>
    <xf numFmtId="164" fontId="42" fillId="0" borderId="19" xfId="0" applyNumberFormat="1" applyFont="1" applyBorder="1" applyAlignment="1">
      <alignment horizontal="right"/>
    </xf>
    <xf numFmtId="0" fontId="42" fillId="3" borderId="17" xfId="0" applyFont="1" applyFill="1" applyBorder="1" applyAlignment="1">
      <alignment horizontal="center"/>
    </xf>
    <xf numFmtId="0" fontId="42" fillId="3" borderId="30" xfId="0" applyFont="1" applyFill="1" applyBorder="1" applyAlignment="1">
      <alignment horizontal="center"/>
    </xf>
    <xf numFmtId="0" fontId="42" fillId="0" borderId="3" xfId="0" applyFont="1" applyBorder="1" applyAlignment="1">
      <alignment horizontal="left"/>
    </xf>
    <xf numFmtId="14" fontId="4" fillId="3" borderId="12" xfId="1" applyNumberFormat="1" applyFont="1" applyFill="1" applyBorder="1" applyAlignment="1">
      <alignment horizontal="center" vertical="center" wrapText="1"/>
    </xf>
    <xf numFmtId="14" fontId="4" fillId="3" borderId="26" xfId="1" applyNumberFormat="1" applyFont="1" applyFill="1" applyBorder="1" applyAlignment="1">
      <alignment horizontal="center" vertical="center" wrapText="1"/>
    </xf>
    <xf numFmtId="14" fontId="4" fillId="3" borderId="13" xfId="1" applyNumberFormat="1" applyFont="1" applyFill="1" applyBorder="1" applyAlignment="1">
      <alignment horizontal="center" vertical="center" wrapText="1"/>
    </xf>
    <xf numFmtId="0" fontId="4" fillId="3" borderId="17" xfId="1" applyFont="1" applyFill="1" applyBorder="1" applyAlignment="1">
      <alignment horizontal="left"/>
    </xf>
    <xf numFmtId="0" fontId="4" fillId="3" borderId="18" xfId="1" applyFont="1" applyFill="1" applyBorder="1" applyAlignment="1">
      <alignment horizontal="left"/>
    </xf>
    <xf numFmtId="0" fontId="4" fillId="3" borderId="19" xfId="1" applyFont="1" applyFill="1" applyBorder="1" applyAlignment="1">
      <alignment horizontal="left"/>
    </xf>
    <xf numFmtId="0" fontId="4" fillId="3" borderId="20" xfId="1" applyFont="1" applyFill="1" applyBorder="1" applyAlignment="1">
      <alignment horizontal="left"/>
    </xf>
    <xf numFmtId="0" fontId="4" fillId="3" borderId="21" xfId="1" applyFont="1" applyFill="1" applyBorder="1" applyAlignment="1">
      <alignment horizontal="left"/>
    </xf>
    <xf numFmtId="0" fontId="4" fillId="3" borderId="22" xfId="1" applyFont="1" applyFill="1" applyBorder="1" applyAlignment="1">
      <alignment horizontal="left"/>
    </xf>
    <xf numFmtId="0" fontId="5" fillId="2" borderId="17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4" fillId="3" borderId="14" xfId="1" applyFont="1" applyFill="1" applyBorder="1" applyAlignment="1">
      <alignment horizontal="center"/>
    </xf>
    <xf numFmtId="0" fontId="4" fillId="3" borderId="38" xfId="1" applyFont="1" applyFill="1" applyBorder="1" applyAlignment="1">
      <alignment horizontal="center"/>
    </xf>
    <xf numFmtId="0" fontId="4" fillId="3" borderId="15" xfId="1" applyFont="1" applyFill="1" applyBorder="1" applyAlignment="1">
      <alignment horizontal="center"/>
    </xf>
    <xf numFmtId="0" fontId="4" fillId="3" borderId="0" xfId="1" applyFont="1" applyFill="1" applyAlignment="1">
      <alignment horizontal="center"/>
    </xf>
    <xf numFmtId="0" fontId="4" fillId="3" borderId="16" xfId="1" applyFont="1" applyFill="1" applyBorder="1" applyAlignment="1">
      <alignment horizontal="center"/>
    </xf>
    <xf numFmtId="0" fontId="4" fillId="3" borderId="39" xfId="1" applyFont="1" applyFill="1" applyBorder="1" applyAlignment="1">
      <alignment horizontal="center"/>
    </xf>
    <xf numFmtId="0" fontId="3" fillId="3" borderId="17" xfId="1" applyFont="1" applyFill="1" applyBorder="1" applyAlignment="1">
      <alignment horizontal="center"/>
    </xf>
    <xf numFmtId="0" fontId="3" fillId="3" borderId="18" xfId="1" applyFont="1" applyFill="1" applyBorder="1" applyAlignment="1">
      <alignment horizontal="center"/>
    </xf>
    <xf numFmtId="0" fontId="3" fillId="3" borderId="19" xfId="1" applyFont="1" applyFill="1" applyBorder="1" applyAlignment="1">
      <alignment horizontal="center"/>
    </xf>
    <xf numFmtId="0" fontId="3" fillId="3" borderId="20" xfId="1" applyFont="1" applyFill="1" applyBorder="1" applyAlignment="1">
      <alignment horizontal="center"/>
    </xf>
    <xf numFmtId="0" fontId="3" fillId="3" borderId="21" xfId="1" applyFont="1" applyFill="1" applyBorder="1" applyAlignment="1">
      <alignment horizontal="center"/>
    </xf>
    <xf numFmtId="0" fontId="3" fillId="3" borderId="22" xfId="1" applyFont="1" applyFill="1" applyBorder="1" applyAlignment="1">
      <alignment horizontal="center"/>
    </xf>
    <xf numFmtId="0" fontId="40" fillId="4" borderId="6" xfId="1" applyFont="1" applyFill="1" applyBorder="1" applyAlignment="1">
      <alignment horizontal="center" vertical="center" wrapText="1"/>
    </xf>
    <xf numFmtId="0" fontId="40" fillId="4" borderId="7" xfId="1" applyFont="1" applyFill="1" applyBorder="1" applyAlignment="1">
      <alignment horizontal="center" vertical="center" wrapText="1"/>
    </xf>
    <xf numFmtId="0" fontId="40" fillId="4" borderId="8" xfId="1" applyFont="1" applyFill="1" applyBorder="1" applyAlignment="1">
      <alignment horizontal="center" vertical="center" wrapText="1"/>
    </xf>
    <xf numFmtId="0" fontId="5" fillId="3" borderId="23" xfId="1" applyFont="1" applyFill="1" applyBorder="1" applyAlignment="1">
      <alignment horizontal="right" vertical="top" wrapText="1"/>
    </xf>
    <xf numFmtId="0" fontId="5" fillId="3" borderId="24" xfId="1" applyFont="1" applyFill="1" applyBorder="1" applyAlignment="1">
      <alignment horizontal="right" vertical="top" wrapText="1"/>
    </xf>
    <xf numFmtId="0" fontId="5" fillId="3" borderId="25" xfId="1" applyFont="1" applyFill="1" applyBorder="1" applyAlignment="1">
      <alignment horizontal="right" vertical="top" wrapText="1"/>
    </xf>
    <xf numFmtId="0" fontId="5" fillId="2" borderId="27" xfId="0" applyFont="1" applyFill="1" applyBorder="1" applyAlignment="1">
      <alignment horizontal="center" vertical="center"/>
    </xf>
    <xf numFmtId="0" fontId="5" fillId="2" borderId="41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28" xfId="0" applyFont="1" applyFill="1" applyBorder="1" applyAlignment="1">
      <alignment horizontal="center" vertical="center"/>
    </xf>
    <xf numFmtId="0" fontId="5" fillId="2" borderId="42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3" fillId="0" borderId="39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right" vertical="center" wrapText="1"/>
    </xf>
    <xf numFmtId="0" fontId="27" fillId="0" borderId="3" xfId="0" applyFont="1" applyBorder="1" applyAlignment="1">
      <alignment horizontal="right" vertical="center"/>
    </xf>
    <xf numFmtId="0" fontId="28" fillId="0" borderId="15" xfId="0" applyFont="1" applyBorder="1" applyAlignment="1">
      <alignment horizontal="right"/>
    </xf>
    <xf numFmtId="0" fontId="28" fillId="0" borderId="0" xfId="0" applyFont="1" applyAlignment="1">
      <alignment horizontal="right"/>
    </xf>
    <xf numFmtId="0" fontId="28" fillId="0" borderId="49" xfId="0" applyFont="1" applyBorder="1" applyAlignment="1">
      <alignment horizontal="right"/>
    </xf>
    <xf numFmtId="0" fontId="10" fillId="0" borderId="0" xfId="0" applyFont="1" applyAlignment="1">
      <alignment horizontal="right" vertical="center"/>
    </xf>
    <xf numFmtId="0" fontId="19" fillId="0" borderId="14" xfId="0" applyFont="1" applyBorder="1" applyAlignment="1">
      <alignment horizontal="right"/>
    </xf>
    <xf numFmtId="0" fontId="19" fillId="0" borderId="38" xfId="0" applyFont="1" applyBorder="1" applyAlignment="1">
      <alignment horizontal="right"/>
    </xf>
    <xf numFmtId="0" fontId="9" fillId="0" borderId="3" xfId="0" applyFont="1" applyBorder="1" applyAlignment="1">
      <alignment horizontal="right" vertical="center"/>
    </xf>
    <xf numFmtId="0" fontId="19" fillId="0" borderId="0" xfId="0" applyFont="1" applyAlignment="1">
      <alignment horizontal="right"/>
    </xf>
    <xf numFmtId="0" fontId="18" fillId="0" borderId="0" xfId="0" applyFont="1" applyAlignment="1">
      <alignment horizontal="center" vertical="center"/>
    </xf>
    <xf numFmtId="0" fontId="35" fillId="0" borderId="6" xfId="0" applyFont="1" applyBorder="1" applyAlignment="1">
      <alignment horizontal="right" vertical="center"/>
    </xf>
    <xf numFmtId="0" fontId="35" fillId="0" borderId="7" xfId="0" applyFont="1" applyBorder="1" applyAlignment="1">
      <alignment horizontal="right" vertical="center"/>
    </xf>
    <xf numFmtId="0" fontId="35" fillId="0" borderId="8" xfId="0" applyFont="1" applyBorder="1" applyAlignment="1">
      <alignment horizontal="right" vertical="center"/>
    </xf>
    <xf numFmtId="0" fontId="36" fillId="0" borderId="0" xfId="0" applyFont="1" applyAlignment="1">
      <alignment horizontal="right"/>
    </xf>
    <xf numFmtId="0" fontId="26" fillId="0" borderId="39" xfId="0" applyFont="1" applyBorder="1" applyAlignment="1">
      <alignment horizontal="right"/>
    </xf>
    <xf numFmtId="0" fontId="18" fillId="0" borderId="0" xfId="0" applyFont="1" applyAlignment="1">
      <alignment horizontal="right" vertical="center"/>
    </xf>
    <xf numFmtId="0" fontId="24" fillId="7" borderId="6" xfId="0" applyFont="1" applyFill="1" applyBorder="1" applyAlignment="1">
      <alignment horizontal="right"/>
    </xf>
    <xf numFmtId="0" fontId="24" fillId="7" borderId="7" xfId="0" applyFont="1" applyFill="1" applyBorder="1" applyAlignment="1">
      <alignment horizontal="right"/>
    </xf>
    <xf numFmtId="0" fontId="9" fillId="0" borderId="0" xfId="0" applyFont="1" applyAlignment="1">
      <alignment horizontal="right" vertical="center"/>
    </xf>
    <xf numFmtId="0" fontId="10" fillId="0" borderId="39" xfId="0" applyFont="1" applyBorder="1" applyAlignment="1">
      <alignment horizontal="right" vertical="center"/>
    </xf>
    <xf numFmtId="0" fontId="10" fillId="0" borderId="52" xfId="0" applyFont="1" applyBorder="1" applyAlignment="1">
      <alignment horizontal="right" vertical="center"/>
    </xf>
    <xf numFmtId="0" fontId="10" fillId="9" borderId="6" xfId="0" applyFont="1" applyFill="1" applyBorder="1" applyAlignment="1">
      <alignment horizontal="right" vertical="center"/>
    </xf>
    <xf numFmtId="0" fontId="10" fillId="9" borderId="7" xfId="0" applyFont="1" applyFill="1" applyBorder="1" applyAlignment="1">
      <alignment horizontal="right" vertical="center"/>
    </xf>
    <xf numFmtId="0" fontId="10" fillId="9" borderId="8" xfId="0" applyFont="1" applyFill="1" applyBorder="1" applyAlignment="1">
      <alignment horizontal="right" vertical="center"/>
    </xf>
    <xf numFmtId="4" fontId="33" fillId="0" borderId="0" xfId="5" applyNumberFormat="1" applyFont="1" applyFill="1" applyAlignment="1">
      <alignment horizontal="center" vertical="center" wrapText="1"/>
    </xf>
  </cellXfs>
  <cellStyles count="17">
    <cellStyle name="Millares" xfId="4" builtinId="3"/>
    <cellStyle name="Millares [0]" xfId="5" builtinId="6"/>
    <cellStyle name="Millares [0] 2" xfId="12" xr:uid="{AE3EC568-B0F3-41F4-9B07-371041A4DABD}"/>
    <cellStyle name="Millares [0] 3 2 3 2 3" xfId="10" xr:uid="{8ED923B6-17D6-46CF-B154-11A7D06077ED}"/>
    <cellStyle name="Millares 2" xfId="11" xr:uid="{B06FB3F6-9BE1-4DEB-A687-CD4A4D8F3F2C}"/>
    <cellStyle name="Millares 3" xfId="13" xr:uid="{FCC091F9-EF18-4A8E-B0CA-63300F5B43AE}"/>
    <cellStyle name="Millares 4" xfId="14" xr:uid="{580BB635-37DC-4807-A81A-EADAC4250FFA}"/>
    <cellStyle name="Millares 5" xfId="16" xr:uid="{7693CFE8-B36D-4772-B3ED-79FADC50E7E3}"/>
    <cellStyle name="Normal" xfId="0" builtinId="0"/>
    <cellStyle name="Normal 2" xfId="7" xr:uid="{8AC5E78E-F6DE-4F23-B339-760A517978C2}"/>
    <cellStyle name="Normal 3" xfId="6" xr:uid="{09951084-EBA3-44F3-8523-34944F3DB942}"/>
    <cellStyle name="Normal 5" xfId="8" xr:uid="{F823796A-F57E-4D95-86B1-99070B27B10A}"/>
    <cellStyle name="Normal_CRITERIOS DE EVALUACION PT DE GB" xfId="1" xr:uid="{00000000-0005-0000-0000-000001000000}"/>
    <cellStyle name="Normal_CRITERIOS DE EVALUACION PT DE GB 2" xfId="15" xr:uid="{9543DE70-5472-4319-BB69-26C18A847155}"/>
    <cellStyle name="Porcentaje" xfId="3" builtinId="5"/>
    <cellStyle name="Porcentaje 2" xfId="2" xr:uid="{00000000-0005-0000-0000-000002000000}"/>
    <cellStyle name="Porcentaje 3 2" xfId="9" xr:uid="{AF717680-8DF8-483D-AC6E-FE03D0C1B79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57804</xdr:colOff>
      <xdr:row>0</xdr:row>
      <xdr:rowOff>155575</xdr:rowOff>
    </xdr:from>
    <xdr:to>
      <xdr:col>1</xdr:col>
      <xdr:colOff>1023938</xdr:colOff>
      <xdr:row>4</xdr:row>
      <xdr:rowOff>11906</xdr:rowOff>
    </xdr:to>
    <xdr:pic>
      <xdr:nvPicPr>
        <xdr:cNvPr id="2" name="Imagen 5">
          <a:extLst>
            <a:ext uri="{FF2B5EF4-FFF2-40B4-BE49-F238E27FC236}">
              <a16:creationId xmlns:a16="http://schemas.microsoft.com/office/drawing/2014/main" id="{7970BB10-2674-4F19-A7B4-80EE43E90D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804" y="155575"/>
          <a:ext cx="1799572" cy="832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COSTOS%202013/LISTA%20COSTOS%20AL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Users/arodriguez/Desktop/recetas%20icg%20proyecto/Prueba%20Alejandr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2">
          <cell r="A2"/>
          <cell r="B2"/>
          <cell r="C2" t="str">
            <v>ESPECIFICACION DE RECETA</v>
          </cell>
          <cell r="D2"/>
          <cell r="E2"/>
          <cell r="F2"/>
          <cell r="G2"/>
        </row>
        <row r="3">
          <cell r="A3"/>
          <cell r="B3"/>
          <cell r="C3" t="str">
            <v>907000285(SE00434) Batido Easy queque vainilla SP</v>
          </cell>
          <cell r="D3"/>
          <cell r="E3"/>
          <cell r="F3"/>
          <cell r="G3"/>
        </row>
        <row r="4">
          <cell r="A4"/>
          <cell r="B4"/>
          <cell r="C4" t="str">
            <v>Elaborado</v>
          </cell>
          <cell r="D4" t="str">
            <v>Javier Tong, Chef</v>
          </cell>
          <cell r="E4"/>
          <cell r="F4"/>
          <cell r="G4"/>
        </row>
        <row r="5">
          <cell r="A5"/>
          <cell r="B5"/>
          <cell r="C5" t="str">
            <v>Aprobado</v>
          </cell>
          <cell r="D5" t="str">
            <v>Esteban Cartin, Gte Manufactura</v>
          </cell>
          <cell r="E5"/>
          <cell r="F5"/>
          <cell r="G5"/>
        </row>
        <row r="6">
          <cell r="A6" t="str">
            <v>AREA QUE PRODUCE:</v>
          </cell>
          <cell r="B6"/>
          <cell r="C6"/>
          <cell r="D6" t="str">
            <v>Batidos</v>
          </cell>
          <cell r="E6"/>
          <cell r="F6"/>
          <cell r="G6" t="str">
            <v xml:space="preserve">AREA QUE EMPACA: </v>
          </cell>
        </row>
        <row r="7">
          <cell r="A7" t="str">
            <v xml:space="preserve"># Código </v>
          </cell>
          <cell r="B7" t="str">
            <v># Código Netsuite</v>
          </cell>
          <cell r="C7" t="str">
            <v>Descripción del ingrediente</v>
          </cell>
          <cell r="D7" t="str">
            <v xml:space="preserve">Marca </v>
          </cell>
          <cell r="E7" t="str">
            <v>Unidad Internacional</v>
          </cell>
          <cell r="F7"/>
          <cell r="G7" t="str">
            <v>Medida alternativa</v>
          </cell>
        </row>
        <row r="8">
          <cell r="A8"/>
          <cell r="B8"/>
          <cell r="C8"/>
          <cell r="D8"/>
          <cell r="E8" t="str">
            <v>Cantidad</v>
          </cell>
          <cell r="F8" t="str">
            <v xml:space="preserve">Unidad medida </v>
          </cell>
          <cell r="G8" t="str">
            <v>Cantidad</v>
          </cell>
        </row>
        <row r="9">
          <cell r="A9"/>
          <cell r="B9"/>
          <cell r="C9" t="str">
            <v>Ensamble</v>
          </cell>
          <cell r="D9"/>
          <cell r="E9"/>
          <cell r="F9"/>
          <cell r="G9"/>
        </row>
        <row r="10">
          <cell r="A10">
            <v>906000135</v>
          </cell>
          <cell r="B10" t="str">
            <v>SE00435</v>
          </cell>
          <cell r="C10" t="str">
            <v>PREMEZCLA EASY QUEQUE VAINILLA SP</v>
          </cell>
          <cell r="D10" t="str">
            <v>FAS</v>
          </cell>
          <cell r="E10">
            <v>25050</v>
          </cell>
          <cell r="F10" t="str">
            <v>g</v>
          </cell>
          <cell r="G10"/>
        </row>
        <row r="11">
          <cell r="A11" t="str">
            <v>1210482</v>
          </cell>
          <cell r="B11" t="str">
            <v>MP10005</v>
          </cell>
          <cell r="C11" t="str">
            <v>HUEVO LIQUIDO ESPECIAL INNOV (CAJA:10 K)</v>
          </cell>
          <cell r="D11" t="str">
            <v>INNOVO</v>
          </cell>
          <cell r="E11">
            <v>8900</v>
          </cell>
          <cell r="F11" t="str">
            <v>g</v>
          </cell>
          <cell r="G11"/>
        </row>
        <row r="12">
          <cell r="A12" t="str">
            <v>10415</v>
          </cell>
          <cell r="B12"/>
          <cell r="C12" t="str">
            <v>AGUA POTABLE (PLANTA)</v>
          </cell>
          <cell r="D12" t="str">
            <v>FAS</v>
          </cell>
          <cell r="E12">
            <v>5900</v>
          </cell>
          <cell r="F12" t="str">
            <v>g</v>
          </cell>
          <cell r="G12"/>
        </row>
        <row r="13">
          <cell r="A13">
            <v>10100050</v>
          </cell>
          <cell r="B13" t="str">
            <v>MP10002</v>
          </cell>
          <cell r="C13" t="str">
            <v>ACEITE CAPULLO RBD (UND:17 L)</v>
          </cell>
          <cell r="D13" t="str">
            <v>CAPULLO</v>
          </cell>
          <cell r="E13">
            <v>8200</v>
          </cell>
          <cell r="F13" t="str">
            <v>g</v>
          </cell>
          <cell r="G13"/>
        </row>
        <row r="14">
          <cell r="A14"/>
          <cell r="B14"/>
          <cell r="C14"/>
          <cell r="D14"/>
          <cell r="E14"/>
          <cell r="F14"/>
          <cell r="G14"/>
        </row>
        <row r="15">
          <cell r="A15"/>
          <cell r="B15"/>
          <cell r="C15"/>
          <cell r="D15"/>
          <cell r="E15"/>
          <cell r="F15"/>
          <cell r="G15"/>
        </row>
        <row r="16">
          <cell r="A16"/>
          <cell r="B16"/>
          <cell r="C16"/>
          <cell r="D16"/>
          <cell r="E16"/>
          <cell r="F16"/>
          <cell r="G16"/>
        </row>
        <row r="17">
          <cell r="A17"/>
          <cell r="B17"/>
          <cell r="C17"/>
          <cell r="D17"/>
          <cell r="E17"/>
          <cell r="F17"/>
          <cell r="G17"/>
        </row>
        <row r="18">
          <cell r="A18"/>
          <cell r="B18"/>
          <cell r="C18"/>
          <cell r="D18"/>
          <cell r="E18"/>
          <cell r="F18"/>
          <cell r="G18"/>
        </row>
        <row r="19">
          <cell r="A19"/>
          <cell r="B19"/>
          <cell r="C19"/>
          <cell r="D19"/>
          <cell r="E19"/>
          <cell r="F19"/>
          <cell r="G19"/>
        </row>
        <row r="20">
          <cell r="A20"/>
          <cell r="B20"/>
          <cell r="C20"/>
          <cell r="D20"/>
          <cell r="E20"/>
          <cell r="F20"/>
          <cell r="G20"/>
        </row>
        <row r="21">
          <cell r="A21"/>
          <cell r="B21"/>
          <cell r="C21" t="str">
            <v>Decoración</v>
          </cell>
          <cell r="D21"/>
          <cell r="E21"/>
          <cell r="F21"/>
          <cell r="G21"/>
        </row>
        <row r="22">
          <cell r="A22"/>
          <cell r="B22"/>
          <cell r="C22"/>
          <cell r="D22"/>
          <cell r="E22"/>
          <cell r="F22"/>
          <cell r="G22"/>
        </row>
        <row r="23">
          <cell r="A23"/>
          <cell r="B23"/>
          <cell r="C23"/>
          <cell r="D23"/>
          <cell r="E23"/>
          <cell r="F23"/>
          <cell r="G23"/>
        </row>
        <row r="24">
          <cell r="A24"/>
          <cell r="B24"/>
          <cell r="C24"/>
          <cell r="D24"/>
          <cell r="E24"/>
          <cell r="F24"/>
          <cell r="G24"/>
        </row>
        <row r="25">
          <cell r="A25"/>
          <cell r="B25"/>
          <cell r="C25"/>
          <cell r="D25"/>
          <cell r="E25"/>
          <cell r="F25"/>
          <cell r="G25"/>
        </row>
        <row r="26">
          <cell r="A26"/>
          <cell r="B26"/>
          <cell r="C26"/>
          <cell r="D26"/>
          <cell r="E26"/>
          <cell r="F26"/>
          <cell r="G26"/>
        </row>
        <row r="27">
          <cell r="A27"/>
          <cell r="B27"/>
          <cell r="C27"/>
          <cell r="D27"/>
          <cell r="E27"/>
          <cell r="F27"/>
          <cell r="G27"/>
        </row>
        <row r="28">
          <cell r="A28"/>
          <cell r="B28"/>
          <cell r="C28" t="str">
            <v>Empaque</v>
          </cell>
          <cell r="D28"/>
          <cell r="E28"/>
          <cell r="F28"/>
          <cell r="G28"/>
        </row>
        <row r="29">
          <cell r="A29"/>
          <cell r="B29"/>
          <cell r="C29"/>
          <cell r="D29"/>
          <cell r="E29"/>
          <cell r="F29"/>
          <cell r="G29"/>
        </row>
        <row r="30">
          <cell r="A30"/>
          <cell r="B30"/>
          <cell r="C30"/>
          <cell r="D30"/>
          <cell r="E30"/>
          <cell r="F30"/>
          <cell r="G30"/>
        </row>
        <row r="31">
          <cell r="A31"/>
          <cell r="B31"/>
          <cell r="C31"/>
          <cell r="D31"/>
          <cell r="E31"/>
          <cell r="F31"/>
          <cell r="G31"/>
        </row>
        <row r="32">
          <cell r="A32"/>
          <cell r="B32"/>
          <cell r="C32"/>
          <cell r="D32"/>
          <cell r="E32"/>
          <cell r="F32"/>
          <cell r="G32"/>
        </row>
        <row r="33">
          <cell r="A33"/>
          <cell r="B33"/>
          <cell r="C33"/>
          <cell r="D33"/>
          <cell r="E33"/>
          <cell r="F33"/>
          <cell r="G33"/>
        </row>
        <row r="34">
          <cell r="A34"/>
          <cell r="B34"/>
          <cell r="C34"/>
          <cell r="D34"/>
          <cell r="E34"/>
          <cell r="F34"/>
          <cell r="G34"/>
        </row>
        <row r="35">
          <cell r="A35"/>
          <cell r="B35"/>
          <cell r="C35"/>
          <cell r="D35"/>
          <cell r="E35"/>
          <cell r="F35"/>
          <cell r="G35"/>
        </row>
        <row r="36">
          <cell r="A36"/>
          <cell r="B36"/>
          <cell r="C36"/>
          <cell r="D36"/>
          <cell r="E36"/>
          <cell r="F36"/>
          <cell r="G36"/>
        </row>
        <row r="37">
          <cell r="A37"/>
          <cell r="B37"/>
          <cell r="C37" t="str">
            <v/>
          </cell>
          <cell r="D37"/>
          <cell r="E37"/>
          <cell r="F37"/>
          <cell r="G37"/>
        </row>
        <row r="38">
          <cell r="A38"/>
          <cell r="B38"/>
          <cell r="C38" t="str">
            <v/>
          </cell>
          <cell r="D38" t="str">
            <v>Cantidad</v>
          </cell>
          <cell r="E38" t="str">
            <v>Unidad</v>
          </cell>
          <cell r="F38"/>
          <cell r="G38"/>
        </row>
        <row r="39">
          <cell r="A39" t="str">
            <v>PESO TOTAL OBTENIDO</v>
          </cell>
          <cell r="B39"/>
          <cell r="C39"/>
          <cell r="D39">
            <v>47400</v>
          </cell>
          <cell r="E39" t="str">
            <v>g</v>
          </cell>
          <cell r="F39" t="str">
            <v>Tiempo de Horneo:</v>
          </cell>
          <cell r="G39"/>
        </row>
        <row r="40">
          <cell r="A40" t="str">
            <v>TIEMPO TOTAL DE PREPARACION</v>
          </cell>
          <cell r="B40"/>
          <cell r="C40"/>
          <cell r="D40">
            <v>10</v>
          </cell>
          <cell r="E40" t="str">
            <v>min</v>
          </cell>
          <cell r="F40" t="str">
            <v>Horno:</v>
          </cell>
          <cell r="G40"/>
        </row>
        <row r="41">
          <cell r="A41" t="str">
            <v>CANTIDAD DE PORCIONES OBTENIDAS</v>
          </cell>
          <cell r="B41"/>
          <cell r="C41"/>
          <cell r="D41">
            <v>1</v>
          </cell>
          <cell r="E41" t="str">
            <v>ud</v>
          </cell>
          <cell r="F41" t="str">
            <v>Temperatura de Horneo:</v>
          </cell>
          <cell r="G41"/>
        </row>
        <row r="42">
          <cell r="A42" t="str">
            <v>PESO DE CADA PORCIÓN</v>
          </cell>
          <cell r="B42"/>
          <cell r="C42"/>
          <cell r="D42">
            <v>47400</v>
          </cell>
          <cell r="E42" t="str">
            <v>g</v>
          </cell>
          <cell r="F42" t="str">
            <v>Otros</v>
          </cell>
          <cell r="G42"/>
        </row>
        <row r="43">
          <cell r="A43" t="str">
            <v>MERMA</v>
          </cell>
          <cell r="B43"/>
          <cell r="C43"/>
          <cell r="D43">
            <v>650</v>
          </cell>
          <cell r="E43" t="str">
            <v>g</v>
          </cell>
          <cell r="F43"/>
          <cell r="G43"/>
        </row>
        <row r="44">
          <cell r="A44" t="str">
            <v>PROCEDIMIENTO DE PREPARACION DE LA  RECETA</v>
          </cell>
          <cell r="B44"/>
          <cell r="C44"/>
          <cell r="D44"/>
          <cell r="E44"/>
          <cell r="F44"/>
          <cell r="G44"/>
        </row>
        <row r="45">
          <cell r="A45" t="str">
            <v>1.- Colocar todos los ingredientes en la batidora y batir con paleta.</v>
          </cell>
          <cell r="B45"/>
          <cell r="C45"/>
          <cell r="D45"/>
          <cell r="E45"/>
          <cell r="F45"/>
          <cell r="G45"/>
        </row>
        <row r="46">
          <cell r="A46" t="str">
            <v>2.- Batir por 1 minutos en velocidad 1.</v>
          </cell>
          <cell r="B46"/>
          <cell r="C46"/>
          <cell r="D46"/>
          <cell r="E46"/>
          <cell r="F46"/>
          <cell r="G46"/>
        </row>
        <row r="47">
          <cell r="A47" t="str">
            <v>3.- Luego batir por 5 minutos a velocidad 2.</v>
          </cell>
          <cell r="B47"/>
          <cell r="C47"/>
          <cell r="D47"/>
          <cell r="E47"/>
          <cell r="F47"/>
          <cell r="G47"/>
        </row>
        <row r="48">
          <cell r="A48" t="str">
            <v>4.- Pasar a dosificar.</v>
          </cell>
          <cell r="B48"/>
          <cell r="C48"/>
          <cell r="D48"/>
          <cell r="E48"/>
          <cell r="F48"/>
          <cell r="G48"/>
        </row>
        <row r="49">
          <cell r="A49"/>
          <cell r="B49"/>
          <cell r="C49"/>
          <cell r="D49"/>
          <cell r="E49"/>
          <cell r="F49"/>
          <cell r="G49"/>
        </row>
        <row r="50">
          <cell r="A50"/>
          <cell r="B50"/>
          <cell r="C50"/>
          <cell r="D50"/>
          <cell r="E50"/>
          <cell r="F50"/>
          <cell r="G50"/>
        </row>
        <row r="51">
          <cell r="A51"/>
          <cell r="B51"/>
          <cell r="C51"/>
          <cell r="D51"/>
          <cell r="E51"/>
          <cell r="F51"/>
          <cell r="G51"/>
        </row>
        <row r="52">
          <cell r="A52"/>
          <cell r="B52"/>
          <cell r="C52"/>
          <cell r="D52"/>
          <cell r="E52"/>
          <cell r="F52"/>
          <cell r="G52"/>
        </row>
        <row r="53">
          <cell r="A53"/>
          <cell r="B53"/>
          <cell r="C53"/>
          <cell r="D53"/>
          <cell r="E53"/>
          <cell r="F53"/>
          <cell r="G53"/>
        </row>
        <row r="54">
          <cell r="A54"/>
          <cell r="B54"/>
          <cell r="C54"/>
          <cell r="D54"/>
          <cell r="E54"/>
          <cell r="F54"/>
          <cell r="G54"/>
        </row>
        <row r="55">
          <cell r="A55" t="str">
            <v>CONTROL DE CAMBIOS</v>
          </cell>
          <cell r="B55"/>
          <cell r="C55"/>
          <cell r="D55"/>
          <cell r="E55"/>
          <cell r="F55"/>
          <cell r="G55"/>
        </row>
        <row r="56">
          <cell r="A56" t="str">
            <v>2, Actualizacion de procedimeinto</v>
          </cell>
          <cell r="B56"/>
          <cell r="C56"/>
          <cell r="D56"/>
          <cell r="E56"/>
          <cell r="F56"/>
          <cell r="G56"/>
        </row>
        <row r="57">
          <cell r="A57"/>
          <cell r="B57"/>
          <cell r="C57"/>
          <cell r="D57"/>
          <cell r="E57"/>
          <cell r="F57"/>
          <cell r="G57"/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96169-3A47-4693-8B64-01315A0B1912}">
  <dimension ref="A1:Q91"/>
  <sheetViews>
    <sheetView topLeftCell="A58" workbookViewId="0">
      <selection activeCell="B66" sqref="B66:E66"/>
    </sheetView>
  </sheetViews>
  <sheetFormatPr baseColWidth="10" defaultColWidth="8.42578125" defaultRowHeight="12.75" x14ac:dyDescent="0.2"/>
  <cols>
    <col min="1" max="1" width="10" style="21" bestFit="1" customWidth="1"/>
    <col min="2" max="2" width="44.42578125" style="21" bestFit="1" customWidth="1"/>
    <col min="3" max="3" width="10.42578125" style="21" bestFit="1" customWidth="1"/>
    <col min="4" max="4" width="10.42578125" style="21" customWidth="1"/>
    <col min="5" max="5" width="11" style="21" customWidth="1"/>
    <col min="6" max="6" width="9.5703125" style="21" bestFit="1" customWidth="1"/>
    <col min="7" max="7" width="10.7109375" style="103" customWidth="1"/>
    <col min="8" max="8" width="10.42578125" style="94" bestFit="1" customWidth="1"/>
    <col min="9" max="9" width="4.5703125" style="94" customWidth="1"/>
    <col min="10" max="10" width="1.7109375" style="20" customWidth="1"/>
    <col min="11" max="11" width="7" style="21" bestFit="1" customWidth="1"/>
    <col min="12" max="12" width="6.42578125" style="21" customWidth="1"/>
    <col min="13" max="13" width="20.42578125" style="21" customWidth="1"/>
    <col min="14" max="14" width="6.42578125" style="21" bestFit="1" customWidth="1"/>
    <col min="15" max="16" width="8.42578125" style="21"/>
    <col min="17" max="17" width="3.42578125" style="21" customWidth="1"/>
    <col min="18" max="16384" width="8.42578125" style="21"/>
  </cols>
  <sheetData>
    <row r="1" spans="1:10" ht="27.75" customHeight="1" x14ac:dyDescent="0.2">
      <c r="A1" s="16"/>
      <c r="B1" s="16"/>
      <c r="C1" s="16"/>
      <c r="D1" s="16"/>
      <c r="E1" s="17" t="s">
        <v>56</v>
      </c>
      <c r="F1" s="18" t="s">
        <v>57</v>
      </c>
      <c r="G1" s="18" t="s">
        <v>58</v>
      </c>
      <c r="H1" s="18" t="s">
        <v>59</v>
      </c>
      <c r="I1" s="19"/>
    </row>
    <row r="2" spans="1:10" ht="30.75" customHeight="1" x14ac:dyDescent="0.2">
      <c r="A2" s="16"/>
      <c r="B2" s="16"/>
      <c r="C2" s="16"/>
      <c r="D2" s="16"/>
      <c r="E2" s="22">
        <f>IFERROR(O62,"")</f>
        <v>6362.3437662337665</v>
      </c>
      <c r="F2" s="22">
        <f>IFERROR(H53,"")</f>
        <v>5552.4800000000005</v>
      </c>
      <c r="G2" s="22">
        <f>IFERROR(H54,"")</f>
        <v>3.63</v>
      </c>
      <c r="H2" s="22">
        <f>IFERROR(H56,"")</f>
        <v>388</v>
      </c>
      <c r="I2" s="23"/>
    </row>
    <row r="3" spans="1:10" ht="15" customHeight="1" x14ac:dyDescent="0.2">
      <c r="A3" s="16"/>
      <c r="B3" s="16"/>
      <c r="C3" s="16"/>
      <c r="D3" s="16"/>
      <c r="E3" s="16"/>
      <c r="F3" s="24"/>
      <c r="G3" s="24"/>
      <c r="H3" s="24"/>
      <c r="I3" s="24"/>
    </row>
    <row r="4" spans="1:10" ht="24.75" customHeight="1" thickBot="1" x14ac:dyDescent="0.25">
      <c r="A4" s="235"/>
      <c r="B4" s="235"/>
      <c r="C4" s="235"/>
      <c r="D4" s="235"/>
      <c r="E4" s="235"/>
      <c r="F4" s="235"/>
      <c r="G4" s="235"/>
      <c r="H4" s="235"/>
      <c r="I4" s="25"/>
    </row>
    <row r="5" spans="1:10" ht="19.5" customHeight="1" thickBot="1" x14ac:dyDescent="0.25">
      <c r="A5" s="236" t="s">
        <v>60</v>
      </c>
      <c r="B5" s="237"/>
      <c r="C5" s="237"/>
      <c r="D5" s="237"/>
      <c r="E5" s="237"/>
      <c r="F5" s="237"/>
      <c r="G5" s="237"/>
      <c r="H5" s="238"/>
      <c r="I5" s="26"/>
    </row>
    <row r="6" spans="1:10" ht="19.5" thickBot="1" x14ac:dyDescent="0.25">
      <c r="A6" s="26"/>
      <c r="B6" s="26"/>
      <c r="C6" s="26"/>
      <c r="D6" s="26"/>
      <c r="E6" s="26"/>
      <c r="F6" s="239" t="s">
        <v>61</v>
      </c>
      <c r="G6" s="239"/>
      <c r="H6" s="27">
        <f ca="1">TODAY()</f>
        <v>46133</v>
      </c>
      <c r="I6" s="27"/>
    </row>
    <row r="7" spans="1:10" ht="26.25" thickBot="1" x14ac:dyDescent="0.25">
      <c r="A7" s="28" t="s">
        <v>62</v>
      </c>
      <c r="B7" s="29" t="s">
        <v>63</v>
      </c>
      <c r="C7" s="29" t="s">
        <v>62</v>
      </c>
      <c r="D7" s="30" t="s">
        <v>64</v>
      </c>
      <c r="E7" s="30" t="s">
        <v>65</v>
      </c>
      <c r="F7" s="30" t="s">
        <v>66</v>
      </c>
      <c r="G7" s="30" t="s">
        <v>67</v>
      </c>
      <c r="H7" s="31" t="s">
        <v>68</v>
      </c>
      <c r="I7" s="32"/>
    </row>
    <row r="8" spans="1:10" ht="13.5" x14ac:dyDescent="0.25">
      <c r="A8" s="33">
        <v>145</v>
      </c>
      <c r="B8" s="21" t="s">
        <v>38</v>
      </c>
      <c r="C8" s="34">
        <f>+A8</f>
        <v>145</v>
      </c>
      <c r="D8" s="35" t="s">
        <v>108</v>
      </c>
      <c r="E8" s="35">
        <v>4.2</v>
      </c>
      <c r="F8" s="35">
        <f>IFERROR(C8*E8,"")</f>
        <v>609</v>
      </c>
      <c r="G8" s="36">
        <f t="shared" ref="G8:G14" si="0">IFERROR(F8/$F$66,"")</f>
        <v>0.10062523797290474</v>
      </c>
      <c r="H8" s="37" t="s">
        <v>30</v>
      </c>
      <c r="I8" s="37"/>
      <c r="J8" s="38"/>
    </row>
    <row r="9" spans="1:10" ht="13.5" x14ac:dyDescent="0.25">
      <c r="A9" s="33">
        <v>110</v>
      </c>
      <c r="B9" s="21" t="s">
        <v>39</v>
      </c>
      <c r="C9" s="34">
        <f t="shared" ref="C9:C14" si="1">+A9</f>
        <v>110</v>
      </c>
      <c r="D9" s="35" t="s">
        <v>108</v>
      </c>
      <c r="E9" s="35">
        <v>0.98</v>
      </c>
      <c r="F9" s="35">
        <f t="shared" ref="F9:F14" si="2">IFERROR(C9*E9,"")</f>
        <v>107.8</v>
      </c>
      <c r="G9" s="36">
        <f t="shared" si="0"/>
        <v>1.7811823733134859E-2</v>
      </c>
      <c r="H9" s="37" t="s">
        <v>31</v>
      </c>
      <c r="I9" s="37"/>
      <c r="J9" s="38"/>
    </row>
    <row r="10" spans="1:10" ht="13.5" x14ac:dyDescent="0.25">
      <c r="A10" s="33">
        <v>110</v>
      </c>
      <c r="B10" s="21" t="s">
        <v>40</v>
      </c>
      <c r="C10" s="34">
        <f t="shared" si="1"/>
        <v>110</v>
      </c>
      <c r="D10" s="35" t="s">
        <v>108</v>
      </c>
      <c r="E10" s="35">
        <v>2.8</v>
      </c>
      <c r="F10" s="35">
        <f t="shared" si="2"/>
        <v>308</v>
      </c>
      <c r="G10" s="36">
        <f t="shared" si="0"/>
        <v>5.0890924951813889E-2</v>
      </c>
      <c r="H10" s="37" t="s">
        <v>32</v>
      </c>
      <c r="I10" s="37"/>
      <c r="J10" s="38"/>
    </row>
    <row r="11" spans="1:10" ht="13.5" x14ac:dyDescent="0.25">
      <c r="A11" s="33">
        <v>155</v>
      </c>
      <c r="B11" s="21" t="s">
        <v>42</v>
      </c>
      <c r="C11" s="34">
        <f t="shared" si="1"/>
        <v>155</v>
      </c>
      <c r="D11" s="35" t="s">
        <v>108</v>
      </c>
      <c r="E11" s="35">
        <v>8.1999999999999993</v>
      </c>
      <c r="F11" s="35">
        <f t="shared" si="2"/>
        <v>1271</v>
      </c>
      <c r="G11" s="36">
        <f t="shared" si="0"/>
        <v>0.21000768056414107</v>
      </c>
      <c r="H11" s="37" t="s">
        <v>34</v>
      </c>
      <c r="I11" s="37"/>
      <c r="J11" s="38"/>
    </row>
    <row r="12" spans="1:10" ht="13.5" x14ac:dyDescent="0.25">
      <c r="A12" s="33">
        <v>580</v>
      </c>
      <c r="B12" s="21" t="s">
        <v>44</v>
      </c>
      <c r="C12" s="34">
        <f t="shared" si="1"/>
        <v>580</v>
      </c>
      <c r="D12" s="35" t="s">
        <v>108</v>
      </c>
      <c r="E12" s="35">
        <v>3.28</v>
      </c>
      <c r="F12" s="35">
        <f t="shared" si="2"/>
        <v>1902.3999999999999</v>
      </c>
      <c r="G12" s="36">
        <f t="shared" si="0"/>
        <v>0.31433407671535951</v>
      </c>
      <c r="H12" s="37" t="s">
        <v>43</v>
      </c>
      <c r="I12" s="37"/>
      <c r="J12" s="38"/>
    </row>
    <row r="13" spans="1:10" ht="13.5" x14ac:dyDescent="0.25">
      <c r="A13" s="33">
        <v>180</v>
      </c>
      <c r="B13" s="21" t="s">
        <v>46</v>
      </c>
      <c r="C13" s="34">
        <f t="shared" si="1"/>
        <v>180</v>
      </c>
      <c r="D13" s="35" t="s">
        <v>108</v>
      </c>
      <c r="E13" s="35">
        <v>6.98</v>
      </c>
      <c r="F13" s="35">
        <f t="shared" si="2"/>
        <v>1256.4000000000001</v>
      </c>
      <c r="G13" s="36">
        <f t="shared" si="0"/>
        <v>0.20759531853720445</v>
      </c>
      <c r="H13" s="37" t="s">
        <v>45</v>
      </c>
      <c r="I13" s="37"/>
      <c r="J13" s="38"/>
    </row>
    <row r="14" spans="1:10" ht="13.5" x14ac:dyDescent="0.25">
      <c r="A14" s="33">
        <v>2</v>
      </c>
      <c r="B14" s="21" t="s">
        <v>37</v>
      </c>
      <c r="C14" s="34">
        <f t="shared" si="1"/>
        <v>2</v>
      </c>
      <c r="D14" s="35" t="s">
        <v>108</v>
      </c>
      <c r="E14" s="35">
        <v>8.44</v>
      </c>
      <c r="F14" s="35">
        <f t="shared" si="2"/>
        <v>16.88</v>
      </c>
      <c r="G14" s="36">
        <f t="shared" si="0"/>
        <v>2.7890870558007091E-3</v>
      </c>
      <c r="H14" s="37" t="s">
        <v>36</v>
      </c>
      <c r="I14" s="37"/>
      <c r="J14" s="38"/>
    </row>
    <row r="15" spans="1:10" ht="14.25" thickBot="1" x14ac:dyDescent="0.3">
      <c r="A15" s="33"/>
      <c r="B15" s="21" t="str">
        <f>IFERROR(VLOOKUP(H15,[1]Hoja2!$A$2:$G$589,2,0),"")</f>
        <v/>
      </c>
      <c r="C15" s="34"/>
      <c r="D15" s="35"/>
      <c r="E15" s="35"/>
      <c r="F15" s="35"/>
      <c r="G15" s="36"/>
      <c r="H15" s="37"/>
      <c r="I15" s="37"/>
      <c r="J15" s="38"/>
    </row>
    <row r="16" spans="1:10" ht="26.25" thickBot="1" x14ac:dyDescent="0.25">
      <c r="A16" s="28" t="s">
        <v>62</v>
      </c>
      <c r="B16" s="29" t="s">
        <v>69</v>
      </c>
      <c r="C16" s="29" t="s">
        <v>62</v>
      </c>
      <c r="D16" s="30" t="s">
        <v>64</v>
      </c>
      <c r="E16" s="30" t="s">
        <v>65</v>
      </c>
      <c r="F16" s="30" t="s">
        <v>66</v>
      </c>
      <c r="G16" s="30" t="s">
        <v>67</v>
      </c>
      <c r="H16" s="31" t="s">
        <v>68</v>
      </c>
      <c r="I16" s="32"/>
      <c r="J16" s="38"/>
    </row>
    <row r="17" spans="1:12" ht="13.5" x14ac:dyDescent="0.25">
      <c r="A17" s="33">
        <v>150</v>
      </c>
      <c r="B17" s="21" t="s">
        <v>41</v>
      </c>
      <c r="C17" s="34">
        <f>+A17</f>
        <v>150</v>
      </c>
      <c r="D17" s="34" t="s">
        <v>109</v>
      </c>
      <c r="E17" s="35">
        <v>0.54</v>
      </c>
      <c r="F17" s="35">
        <f>IFERROR(E17*C17,"")</f>
        <v>81</v>
      </c>
      <c r="G17" s="36">
        <f t="shared" ref="G17:G24" si="3">IFERROR(F17/$F$66,"")</f>
        <v>1.3383652341223781E-2</v>
      </c>
      <c r="H17" s="37" t="s">
        <v>33</v>
      </c>
      <c r="I17" s="37"/>
      <c r="J17" s="38"/>
    </row>
    <row r="18" spans="1:12" ht="13.5" hidden="1" x14ac:dyDescent="0.25">
      <c r="A18" s="33"/>
      <c r="B18" s="21" t="str">
        <f>IFERROR(VLOOKUP(H18,[2]SEMIELABORADOS!$A$2:$M$6000,2,0),"")</f>
        <v/>
      </c>
      <c r="C18" s="34">
        <f t="shared" ref="C18:C24" si="4">+A18</f>
        <v>0</v>
      </c>
      <c r="D18" s="34" t="str">
        <f>IFERROR(VLOOKUP(H18,[2]SEMIELABORADOS!$A$2:$M$6000,6,0),"")</f>
        <v/>
      </c>
      <c r="E18" s="35" t="str">
        <f>IFERROR(VLOOKUP(H18,[2]SEMIELABORADOS!$A$2:$H$65536,8,0),"")</f>
        <v/>
      </c>
      <c r="F18" s="35" t="str">
        <f t="shared" ref="F18:F24" si="5">IFERROR(E18*C18,"")</f>
        <v/>
      </c>
      <c r="G18" s="36" t="str">
        <f t="shared" si="3"/>
        <v/>
      </c>
      <c r="H18" s="37"/>
      <c r="I18" s="37"/>
      <c r="J18" s="38"/>
    </row>
    <row r="19" spans="1:12" ht="13.5" hidden="1" x14ac:dyDescent="0.25">
      <c r="A19" s="33"/>
      <c r="B19" s="21" t="str">
        <f>IFERROR(VLOOKUP(H19,[2]SEMIELABORADOS!$A$2:$M$6000,2,0),"")</f>
        <v/>
      </c>
      <c r="C19" s="34">
        <f>+A19</f>
        <v>0</v>
      </c>
      <c r="D19" s="34" t="str">
        <f>IFERROR(VLOOKUP(H19,[2]SEMIELABORADOS!$A$2:$M$6000,6,0),"")</f>
        <v/>
      </c>
      <c r="E19" s="35" t="str">
        <f>IFERROR(VLOOKUP(H19,[2]SEMIELABORADOS!$A$2:$H$65536,8,0),"")</f>
        <v/>
      </c>
      <c r="F19" s="35" t="str">
        <f>IFERROR(E19*C19,"")</f>
        <v/>
      </c>
      <c r="G19" s="36" t="str">
        <f t="shared" si="3"/>
        <v/>
      </c>
      <c r="H19" s="37"/>
      <c r="I19" s="37"/>
      <c r="J19" s="38"/>
    </row>
    <row r="20" spans="1:12" ht="13.5" hidden="1" x14ac:dyDescent="0.25">
      <c r="A20" s="33"/>
      <c r="B20" s="21" t="str">
        <f>IFERROR(VLOOKUP(H20,[2]SEMIELABORADOS!$A$2:$M$6000,2,0),"")</f>
        <v/>
      </c>
      <c r="C20" s="34">
        <f>+A20</f>
        <v>0</v>
      </c>
      <c r="D20" s="34" t="str">
        <f>IFERROR(VLOOKUP(H20,[2]SEMIELABORADOS!$A$2:$M$6000,6,0),"")</f>
        <v/>
      </c>
      <c r="E20" s="35" t="str">
        <f>IFERROR(VLOOKUP(H20,[2]SEMIELABORADOS!$A$2:$H$65536,8,0),"")</f>
        <v/>
      </c>
      <c r="F20" s="35" t="str">
        <f>IFERROR(E20*C20,"")</f>
        <v/>
      </c>
      <c r="G20" s="36" t="str">
        <f t="shared" si="3"/>
        <v/>
      </c>
      <c r="H20" s="37"/>
      <c r="I20" s="37"/>
      <c r="J20" s="38"/>
    </row>
    <row r="21" spans="1:12" ht="13.5" hidden="1" x14ac:dyDescent="0.25">
      <c r="A21" s="33"/>
      <c r="B21" s="21" t="str">
        <f>IFERROR(VLOOKUP(H21,[2]SEMIELABORADOS!$A$2:$M$6000,2,0),"")</f>
        <v/>
      </c>
      <c r="C21" s="34">
        <f>+A21</f>
        <v>0</v>
      </c>
      <c r="D21" s="34" t="str">
        <f>IFERROR(VLOOKUP(H21,[2]SEMIELABORADOS!$A$2:$M$6000,6,0),"")</f>
        <v/>
      </c>
      <c r="E21" s="35" t="str">
        <f>IFERROR(VLOOKUP(H21,[2]SEMIELABORADOS!$A$2:$H$65536,8,0),"")</f>
        <v/>
      </c>
      <c r="F21" s="35" t="str">
        <f>IFERROR(E21*C21,"")</f>
        <v/>
      </c>
      <c r="G21" s="36" t="str">
        <f t="shared" si="3"/>
        <v/>
      </c>
      <c r="H21" s="37"/>
      <c r="I21" s="37"/>
      <c r="J21" s="38"/>
    </row>
    <row r="22" spans="1:12" ht="13.5" hidden="1" x14ac:dyDescent="0.25">
      <c r="A22" s="33"/>
      <c r="B22" s="21" t="str">
        <f>IFERROR(VLOOKUP(H22,[2]SEMIELABORADOS!$A$2:$M$6000,2,0),"")</f>
        <v/>
      </c>
      <c r="C22" s="34">
        <f t="shared" si="4"/>
        <v>0</v>
      </c>
      <c r="D22" s="34" t="str">
        <f>IFERROR(VLOOKUP(H22,[2]SEMIELABORADOS!$A$2:$M$6000,6,0),"")</f>
        <v/>
      </c>
      <c r="E22" s="35" t="str">
        <f>IFERROR(VLOOKUP(H22,[2]SEMIELABORADOS!$A$2:$H$65536,8,0),"")</f>
        <v/>
      </c>
      <c r="F22" s="35" t="str">
        <f t="shared" si="5"/>
        <v/>
      </c>
      <c r="G22" s="36" t="str">
        <f t="shared" si="3"/>
        <v/>
      </c>
      <c r="H22" s="37"/>
      <c r="I22" s="37"/>
      <c r="J22" s="38"/>
    </row>
    <row r="23" spans="1:12" ht="13.5" hidden="1" x14ac:dyDescent="0.25">
      <c r="A23" s="33"/>
      <c r="B23" s="21" t="str">
        <f>IFERROR(VLOOKUP(H23,[2]SEMIELABORADOS!$A$2:$M$6000,2,0),"")</f>
        <v/>
      </c>
      <c r="C23" s="34">
        <f t="shared" si="4"/>
        <v>0</v>
      </c>
      <c r="D23" s="34" t="str">
        <f>IFERROR(VLOOKUP(H23,[2]SEMIELABORADOS!$A$2:$M$6000,6,0),"")</f>
        <v/>
      </c>
      <c r="E23" s="35" t="str">
        <f>IFERROR(VLOOKUP(H23,[2]SEMIELABORADOS!$A$2:$H$65536,8,0),"")</f>
        <v/>
      </c>
      <c r="F23" s="35" t="str">
        <f t="shared" si="5"/>
        <v/>
      </c>
      <c r="G23" s="36" t="str">
        <f t="shared" si="3"/>
        <v/>
      </c>
      <c r="H23" s="37"/>
      <c r="I23" s="37"/>
      <c r="J23" s="38"/>
    </row>
    <row r="24" spans="1:12" ht="13.5" hidden="1" x14ac:dyDescent="0.25">
      <c r="A24" s="33"/>
      <c r="B24" s="21" t="str">
        <f>IFERROR(VLOOKUP(H24,[2]SEMIELABORADOS!$A$2:$M$6000,2,0),"")</f>
        <v/>
      </c>
      <c r="C24" s="34">
        <f t="shared" si="4"/>
        <v>0</v>
      </c>
      <c r="D24" s="34" t="str">
        <f>IFERROR(VLOOKUP(H24,[2]SEMIELABORADOS!$A$2:$M$6000,6,0),"")</f>
        <v/>
      </c>
      <c r="E24" s="35" t="str">
        <f>IFERROR(VLOOKUP(H24,[2]SEMIELABORADOS!$A$2:$H$65536,8,0),"")</f>
        <v/>
      </c>
      <c r="F24" s="35" t="str">
        <f t="shared" si="5"/>
        <v/>
      </c>
      <c r="G24" s="36" t="str">
        <f t="shared" si="3"/>
        <v/>
      </c>
      <c r="H24" s="37"/>
      <c r="I24" s="37"/>
      <c r="J24" s="38"/>
    </row>
    <row r="25" spans="1:12" ht="14.25" thickBot="1" x14ac:dyDescent="0.3">
      <c r="A25" s="33"/>
      <c r="C25" s="34"/>
      <c r="D25" s="34"/>
      <c r="E25" s="35"/>
      <c r="F25" s="35"/>
      <c r="G25" s="36"/>
      <c r="H25" s="37"/>
      <c r="I25" s="37"/>
      <c r="J25" s="38"/>
    </row>
    <row r="26" spans="1:12" ht="26.25" thickBot="1" x14ac:dyDescent="0.25">
      <c r="A26" s="28" t="s">
        <v>62</v>
      </c>
      <c r="B26" s="29" t="s">
        <v>70</v>
      </c>
      <c r="C26" s="29" t="s">
        <v>62</v>
      </c>
      <c r="D26" s="30" t="s">
        <v>64</v>
      </c>
      <c r="E26" s="30" t="s">
        <v>65</v>
      </c>
      <c r="F26" s="30" t="s">
        <v>66</v>
      </c>
      <c r="G26" s="30" t="s">
        <v>67</v>
      </c>
      <c r="H26" s="31" t="s">
        <v>68</v>
      </c>
      <c r="I26" s="32"/>
    </row>
    <row r="27" spans="1:12" ht="13.5" x14ac:dyDescent="0.25">
      <c r="A27" s="33">
        <v>1</v>
      </c>
      <c r="B27" s="39" t="s">
        <v>27</v>
      </c>
      <c r="C27" s="34">
        <f t="shared" ref="C27:C32" si="6">+A27</f>
        <v>1</v>
      </c>
      <c r="D27" s="35" t="s">
        <v>110</v>
      </c>
      <c r="E27" s="35">
        <v>2.13</v>
      </c>
      <c r="F27" s="35">
        <f t="shared" ref="F27:F32" si="7">IFERROR(C27*E27,"")</f>
        <v>2.13</v>
      </c>
      <c r="G27" s="36">
        <f t="shared" ref="G27:G32" si="8">IFERROR(F27/$F$66,"")</f>
        <v>3.519404874914402E-4</v>
      </c>
      <c r="H27" s="40" t="s">
        <v>35</v>
      </c>
      <c r="I27" s="40"/>
      <c r="J27" s="38"/>
      <c r="K27" s="234"/>
      <c r="L27" s="234"/>
    </row>
    <row r="28" spans="1:12" ht="13.5" hidden="1" x14ac:dyDescent="0.25">
      <c r="A28" s="33"/>
      <c r="B28" s="39" t="str">
        <f>IFERROR(VLOOKUP(H28,'[2]Consolidado MP Planta'!$A$2:$M$823,3,0),"")</f>
        <v/>
      </c>
      <c r="C28" s="34">
        <f t="shared" si="6"/>
        <v>0</v>
      </c>
      <c r="D28" s="35" t="str">
        <f>IFERROR(VLOOKUP(H28,'[2]Consolidado MP Planta'!$A$2:$M$823,13,0),"")</f>
        <v/>
      </c>
      <c r="E28" s="35" t="str">
        <f>IFERROR(VLOOKUP(H28,'[2]Consolidado MP Planta'!$A$2:$M$823,12,0),"")</f>
        <v/>
      </c>
      <c r="F28" s="35" t="str">
        <f t="shared" si="7"/>
        <v/>
      </c>
      <c r="G28" s="36" t="str">
        <f t="shared" si="8"/>
        <v/>
      </c>
      <c r="H28" s="40"/>
      <c r="I28" s="40"/>
      <c r="J28" s="38"/>
      <c r="K28" s="234"/>
      <c r="L28" s="234"/>
    </row>
    <row r="29" spans="1:12" ht="13.5" hidden="1" x14ac:dyDescent="0.25">
      <c r="A29" s="33"/>
      <c r="B29" s="39" t="str">
        <f>IFERROR(VLOOKUP(H29,'[2]Consolidado MP Planta'!$A$2:$M$823,3,0),"")</f>
        <v/>
      </c>
      <c r="C29" s="34">
        <f t="shared" si="6"/>
        <v>0</v>
      </c>
      <c r="D29" s="35" t="str">
        <f>IFERROR(VLOOKUP(H29,'[2]Consolidado MP Planta'!$A$2:$M$823,13,0),"")</f>
        <v/>
      </c>
      <c r="E29" s="35" t="str">
        <f>IFERROR(VLOOKUP(H29,'[2]Consolidado MP Planta'!$A$2:$M$823,12,0),"")</f>
        <v/>
      </c>
      <c r="F29" s="35" t="str">
        <f t="shared" si="7"/>
        <v/>
      </c>
      <c r="G29" s="36" t="str">
        <f t="shared" si="8"/>
        <v/>
      </c>
      <c r="H29" s="40"/>
      <c r="I29" s="40"/>
      <c r="J29" s="38"/>
      <c r="K29" s="234"/>
      <c r="L29" s="234"/>
    </row>
    <row r="30" spans="1:12" ht="13.5" hidden="1" x14ac:dyDescent="0.25">
      <c r="A30" s="33"/>
      <c r="B30" s="39" t="str">
        <f>IFERROR(VLOOKUP(H30,'[2]Consolidado MP Planta'!$A$2:$M$823,3,0),"")</f>
        <v/>
      </c>
      <c r="C30" s="34">
        <f t="shared" si="6"/>
        <v>0</v>
      </c>
      <c r="D30" s="35" t="str">
        <f>IFERROR(VLOOKUP(H30,'[2]Consolidado MP Planta'!$A$2:$M$823,13,0),"")</f>
        <v/>
      </c>
      <c r="E30" s="35" t="str">
        <f>IFERROR(VLOOKUP(H30,'[2]Consolidado MP Planta'!$A$2:$M$823,12,0),"")</f>
        <v/>
      </c>
      <c r="F30" s="35" t="str">
        <f t="shared" si="7"/>
        <v/>
      </c>
      <c r="G30" s="36" t="str">
        <f t="shared" si="8"/>
        <v/>
      </c>
      <c r="H30" s="40"/>
      <c r="I30" s="40"/>
      <c r="J30" s="38"/>
      <c r="K30" s="234"/>
      <c r="L30" s="234"/>
    </row>
    <row r="31" spans="1:12" ht="13.5" hidden="1" x14ac:dyDescent="0.25">
      <c r="A31" s="33"/>
      <c r="B31" s="39" t="str">
        <f>IFERROR(VLOOKUP(H31,'[2]Consolidado MP Planta'!$A$2:$M$823,3,0),"")</f>
        <v/>
      </c>
      <c r="C31" s="34">
        <f t="shared" si="6"/>
        <v>0</v>
      </c>
      <c r="D31" s="35" t="str">
        <f>IFERROR(VLOOKUP(H31,'[2]Consolidado MP Planta'!$A$2:$M$823,13,0),"")</f>
        <v/>
      </c>
      <c r="E31" s="35" t="str">
        <f>IFERROR(VLOOKUP(H31,'[2]Consolidado MP Planta'!$A$2:$M$823,12,0),"")</f>
        <v/>
      </c>
      <c r="F31" s="35" t="str">
        <f t="shared" si="7"/>
        <v/>
      </c>
      <c r="G31" s="36" t="str">
        <f t="shared" si="8"/>
        <v/>
      </c>
      <c r="H31" s="40"/>
      <c r="I31" s="40"/>
      <c r="J31" s="38"/>
      <c r="K31" s="41"/>
      <c r="L31" s="42"/>
    </row>
    <row r="32" spans="1:12" ht="13.5" hidden="1" x14ac:dyDescent="0.25">
      <c r="A32" s="33"/>
      <c r="B32" s="39" t="str">
        <f>IFERROR(VLOOKUP(H32,'[2]Consolidado MP Planta'!$A$2:$M$823,3,0),"")</f>
        <v/>
      </c>
      <c r="C32" s="34">
        <f t="shared" si="6"/>
        <v>0</v>
      </c>
      <c r="D32" s="35" t="str">
        <f>IFERROR(VLOOKUP(H32,'[2]Consolidado MP Planta'!$A$2:$M$823,13,0),"")</f>
        <v/>
      </c>
      <c r="E32" s="35" t="str">
        <f>IFERROR(VLOOKUP(H32,'[2]Consolidado MP Planta'!$A$2:$M$823,12,0),"")</f>
        <v/>
      </c>
      <c r="F32" s="35" t="str">
        <f t="shared" si="7"/>
        <v/>
      </c>
      <c r="G32" s="36" t="str">
        <f t="shared" si="8"/>
        <v/>
      </c>
      <c r="H32" s="40"/>
      <c r="I32" s="40"/>
      <c r="J32" s="38"/>
    </row>
    <row r="33" spans="1:13" ht="14.25" thickBot="1" x14ac:dyDescent="0.3">
      <c r="A33" s="33"/>
      <c r="B33" s="39"/>
      <c r="C33" s="34"/>
      <c r="D33" s="35"/>
      <c r="E33" s="35"/>
      <c r="F33" s="35"/>
      <c r="G33" s="36"/>
      <c r="H33" s="40"/>
      <c r="I33" s="40"/>
      <c r="J33" s="38"/>
    </row>
    <row r="34" spans="1:13" ht="26.25" thickBot="1" x14ac:dyDescent="0.25">
      <c r="A34" s="28" t="s">
        <v>62</v>
      </c>
      <c r="B34" s="29" t="s">
        <v>71</v>
      </c>
      <c r="C34" s="29" t="s">
        <v>62</v>
      </c>
      <c r="D34" s="30" t="s">
        <v>64</v>
      </c>
      <c r="E34" s="30" t="s">
        <v>65</v>
      </c>
      <c r="F34" s="30" t="s">
        <v>66</v>
      </c>
      <c r="G34" s="30" t="s">
        <v>67</v>
      </c>
      <c r="H34" s="31" t="s">
        <v>68</v>
      </c>
      <c r="I34" s="40"/>
      <c r="J34" s="38"/>
    </row>
    <row r="35" spans="1:13" ht="13.5" x14ac:dyDescent="0.25">
      <c r="A35" s="33">
        <f>+A17</f>
        <v>150</v>
      </c>
      <c r="B35" s="39" t="s">
        <v>41</v>
      </c>
      <c r="C35" s="34">
        <f>+A35</f>
        <v>150</v>
      </c>
      <c r="D35" s="35" t="s">
        <v>108</v>
      </c>
      <c r="E35" s="35">
        <v>0.01</v>
      </c>
      <c r="F35" s="35">
        <f>IFERROR(E35*C35,"")</f>
        <v>1.5</v>
      </c>
      <c r="G35" s="36">
        <f t="shared" ref="G35:G41" si="9">IFERROR(F35/$F$66,"")</f>
        <v>2.4784541372636633E-4</v>
      </c>
      <c r="H35" s="40" t="s">
        <v>33</v>
      </c>
      <c r="I35" s="40"/>
      <c r="J35" s="38"/>
    </row>
    <row r="36" spans="1:13" ht="13.5" hidden="1" x14ac:dyDescent="0.25">
      <c r="A36" s="33">
        <f t="shared" ref="A36:A41" si="10">+A18</f>
        <v>0</v>
      </c>
      <c r="B36" s="39" t="str">
        <f>IFERROR(VLOOKUP(H36,[2]SEMIELABORADOS!$A$2:$M$6000,2,0),"")</f>
        <v/>
      </c>
      <c r="C36" s="34">
        <f t="shared" ref="C36:C41" si="11">+A36</f>
        <v>0</v>
      </c>
      <c r="D36" s="35" t="str">
        <f>IFERROR(VLOOKUP(H36,[2]SEMIELABORADOS!$A$2:$M$6000,6,0),"")</f>
        <v/>
      </c>
      <c r="E36" s="35" t="str">
        <f>IFERROR(VLOOKUP(H36,[2]SEMIELABORADOS!$A$2:$M$65536,10,0),"")</f>
        <v/>
      </c>
      <c r="F36" s="35" t="str">
        <f t="shared" ref="F36:F41" si="12">IFERROR(E36*C36,"")</f>
        <v/>
      </c>
      <c r="G36" s="36" t="str">
        <f t="shared" si="9"/>
        <v/>
      </c>
      <c r="H36" s="40"/>
      <c r="I36" s="40"/>
      <c r="J36" s="38"/>
    </row>
    <row r="37" spans="1:13" ht="13.5" hidden="1" x14ac:dyDescent="0.25">
      <c r="A37" s="33">
        <f t="shared" si="10"/>
        <v>0</v>
      </c>
      <c r="B37" s="39" t="str">
        <f>IFERROR(VLOOKUP(H37,[2]SEMIELABORADOS!$A$2:$M$6000,2,0),"")</f>
        <v/>
      </c>
      <c r="C37" s="34">
        <f t="shared" si="11"/>
        <v>0</v>
      </c>
      <c r="D37" s="35" t="str">
        <f>IFERROR(VLOOKUP(H37,[2]SEMIELABORADOS!$A$2:$M$6000,6,0),"")</f>
        <v/>
      </c>
      <c r="E37" s="35" t="str">
        <f>IFERROR(VLOOKUP(H37,[2]SEMIELABORADOS!$A$2:$M$65536,10,0),"")</f>
        <v/>
      </c>
      <c r="F37" s="35" t="str">
        <f t="shared" si="12"/>
        <v/>
      </c>
      <c r="G37" s="36" t="str">
        <f t="shared" si="9"/>
        <v/>
      </c>
      <c r="H37" s="40"/>
      <c r="I37" s="40"/>
      <c r="J37" s="38"/>
    </row>
    <row r="38" spans="1:13" ht="13.5" hidden="1" x14ac:dyDescent="0.25">
      <c r="A38" s="33">
        <f t="shared" si="10"/>
        <v>0</v>
      </c>
      <c r="B38" s="39" t="str">
        <f>IFERROR(VLOOKUP(H38,[2]SEMIELABORADOS!$A$2:$M$6000,2,0),"")</f>
        <v/>
      </c>
      <c r="C38" s="34">
        <f>+A38</f>
        <v>0</v>
      </c>
      <c r="D38" s="35" t="str">
        <f>IFERROR(VLOOKUP(H38,[2]SEMIELABORADOS!$A$2:$M$6000,6,0),"")</f>
        <v/>
      </c>
      <c r="E38" s="35" t="str">
        <f>IFERROR(VLOOKUP(H38,[2]SEMIELABORADOS!$A$2:$M$65536,10,0),"")</f>
        <v/>
      </c>
      <c r="F38" s="35" t="str">
        <f>IFERROR(E38*C38,"")</f>
        <v/>
      </c>
      <c r="G38" s="36" t="str">
        <f t="shared" si="9"/>
        <v/>
      </c>
      <c r="H38" s="40"/>
      <c r="I38" s="40"/>
      <c r="J38" s="38"/>
    </row>
    <row r="39" spans="1:13" ht="13.5" hidden="1" x14ac:dyDescent="0.25">
      <c r="A39" s="33">
        <f t="shared" si="10"/>
        <v>0</v>
      </c>
      <c r="B39" s="39" t="str">
        <f>IFERROR(VLOOKUP(H39,[2]SEMIELABORADOS!$A$2:$M$6000,2,0),"")</f>
        <v/>
      </c>
      <c r="C39" s="34">
        <f>+A39</f>
        <v>0</v>
      </c>
      <c r="D39" s="35" t="str">
        <f>IFERROR(VLOOKUP(H39,[2]SEMIELABORADOS!$A$2:$M$6000,6,0),"")</f>
        <v/>
      </c>
      <c r="E39" s="35" t="str">
        <f>IFERROR(VLOOKUP(H39,[2]SEMIELABORADOS!$A$2:$M$65536,10,0),"")</f>
        <v/>
      </c>
      <c r="F39" s="35" t="str">
        <f>IFERROR(E39*C39,"")</f>
        <v/>
      </c>
      <c r="G39" s="36" t="str">
        <f t="shared" si="9"/>
        <v/>
      </c>
      <c r="H39" s="40"/>
      <c r="I39" s="40"/>
      <c r="J39" s="38"/>
    </row>
    <row r="40" spans="1:13" ht="13.5" hidden="1" x14ac:dyDescent="0.25">
      <c r="A40" s="33">
        <f t="shared" si="10"/>
        <v>0</v>
      </c>
      <c r="B40" s="39" t="str">
        <f>IFERROR(VLOOKUP(H40,[2]SEMIELABORADOS!$A$2:$M$6000,2,0),"")</f>
        <v/>
      </c>
      <c r="C40" s="34">
        <f t="shared" si="11"/>
        <v>0</v>
      </c>
      <c r="D40" s="35" t="str">
        <f>IFERROR(VLOOKUP(H40,[2]SEMIELABORADOS!$A$2:$M$6000,6,0),"")</f>
        <v/>
      </c>
      <c r="E40" s="35" t="str">
        <f>IFERROR(VLOOKUP(H40,[2]SEMIELABORADOS!$A$2:$M$65536,10,0),"")</f>
        <v/>
      </c>
      <c r="F40" s="35" t="str">
        <f t="shared" si="12"/>
        <v/>
      </c>
      <c r="G40" s="36" t="str">
        <f t="shared" si="9"/>
        <v/>
      </c>
      <c r="H40" s="40"/>
      <c r="I40" s="40"/>
      <c r="J40" s="38"/>
    </row>
    <row r="41" spans="1:13" ht="13.5" hidden="1" x14ac:dyDescent="0.25">
      <c r="A41" s="33">
        <f t="shared" si="10"/>
        <v>0</v>
      </c>
      <c r="B41" s="39" t="str">
        <f>IFERROR(VLOOKUP(H41,[2]SEMIELABORADOS!$A$2:$M$6000,2,0),"")</f>
        <v/>
      </c>
      <c r="C41" s="34">
        <f t="shared" si="11"/>
        <v>0</v>
      </c>
      <c r="D41" s="35" t="str">
        <f>IFERROR(VLOOKUP(H41,[2]SEMIELABORADOS!$A$2:$M$6000,6,0),"")</f>
        <v/>
      </c>
      <c r="E41" s="35" t="str">
        <f>IFERROR(VLOOKUP(H41,[2]SEMIELABORADOS!$A$2:$M$65536,10,0),"")</f>
        <v/>
      </c>
      <c r="F41" s="35" t="str">
        <f t="shared" si="12"/>
        <v/>
      </c>
      <c r="G41" s="36" t="str">
        <f t="shared" si="9"/>
        <v/>
      </c>
      <c r="H41" s="40"/>
      <c r="I41" s="40"/>
      <c r="J41" s="38"/>
    </row>
    <row r="42" spans="1:13" ht="14.25" thickBot="1" x14ac:dyDescent="0.3">
      <c r="A42" s="33"/>
      <c r="B42" s="39"/>
      <c r="C42" s="34"/>
      <c r="D42" s="35"/>
      <c r="E42" s="35"/>
      <c r="F42" s="35"/>
      <c r="G42" s="36"/>
      <c r="H42" s="40"/>
      <c r="I42" s="40"/>
      <c r="J42" s="38"/>
    </row>
    <row r="43" spans="1:13" ht="26.25" thickBot="1" x14ac:dyDescent="0.25">
      <c r="A43" s="28" t="s">
        <v>62</v>
      </c>
      <c r="B43" s="29" t="s">
        <v>72</v>
      </c>
      <c r="C43" s="29" t="s">
        <v>62</v>
      </c>
      <c r="D43" s="30" t="s">
        <v>64</v>
      </c>
      <c r="E43" s="30" t="s">
        <v>65</v>
      </c>
      <c r="F43" s="30" t="s">
        <v>66</v>
      </c>
      <c r="G43" s="30" t="s">
        <v>67</v>
      </c>
      <c r="H43" s="31" t="s">
        <v>68</v>
      </c>
      <c r="I43" s="32"/>
      <c r="J43" s="38"/>
    </row>
    <row r="44" spans="1:13" ht="13.5" x14ac:dyDescent="0.25">
      <c r="A44" s="33">
        <f>+A35</f>
        <v>150</v>
      </c>
      <c r="B44" s="39" t="s">
        <v>41</v>
      </c>
      <c r="C44" s="34">
        <f>+A44</f>
        <v>150</v>
      </c>
      <c r="D44" s="35" t="s">
        <v>108</v>
      </c>
      <c r="E44" s="35">
        <v>0.02</v>
      </c>
      <c r="F44" s="35">
        <f>IFERROR(E44*C44,"")</f>
        <v>3</v>
      </c>
      <c r="G44" s="36">
        <f>IFERROR(F44/$F$66,"")</f>
        <v>4.9569082745273265E-4</v>
      </c>
      <c r="H44" s="40" t="s">
        <v>33</v>
      </c>
      <c r="I44" s="32"/>
      <c r="J44" s="38"/>
    </row>
    <row r="45" spans="1:13" ht="13.5" hidden="1" x14ac:dyDescent="0.25">
      <c r="A45" s="33">
        <f t="shared" ref="A45:A50" si="13">+A36</f>
        <v>0</v>
      </c>
      <c r="B45" s="39" t="str">
        <f>IFERROR(VLOOKUP(H45,[2]SEMIELABORADOS!$A$2:$M$6000,2,0),"")</f>
        <v/>
      </c>
      <c r="C45" s="34">
        <f t="shared" ref="C45:C50" si="14">+A45</f>
        <v>0</v>
      </c>
      <c r="D45" s="35" t="str">
        <f>IFERROR(VLOOKUP(H45,[2]SEMIELABORADOS!$A$2:$M$6000,6,0),"")</f>
        <v/>
      </c>
      <c r="E45" s="35" t="str">
        <f>IFERROR(VLOOKUP(H45,[2]SEMIELABORADOS!$A$2:$M$65536,12,0),"")</f>
        <v/>
      </c>
      <c r="F45" s="35" t="str">
        <f t="shared" ref="F45:F50" si="15">IFERROR(E45*C45,"")</f>
        <v/>
      </c>
      <c r="G45" s="36" t="str">
        <f t="shared" ref="G45:G50" si="16">IFERROR(F45/$F$66,"")</f>
        <v/>
      </c>
      <c r="H45" s="40"/>
      <c r="I45" s="32"/>
      <c r="J45" s="38"/>
      <c r="M45" s="43"/>
    </row>
    <row r="46" spans="1:13" ht="13.5" hidden="1" x14ac:dyDescent="0.25">
      <c r="A46" s="33">
        <f t="shared" si="13"/>
        <v>0</v>
      </c>
      <c r="B46" s="39" t="str">
        <f>IFERROR(VLOOKUP(H46,[2]SEMIELABORADOS!$A$2:$M$6000,2,0),"")</f>
        <v/>
      </c>
      <c r="C46" s="34">
        <f t="shared" si="14"/>
        <v>0</v>
      </c>
      <c r="D46" s="35" t="str">
        <f>IFERROR(VLOOKUP(H46,[2]SEMIELABORADOS!$A$2:$M$6000,6,0),"")</f>
        <v/>
      </c>
      <c r="E46" s="35" t="str">
        <f>IFERROR(VLOOKUP(H46,[2]SEMIELABORADOS!$A$2:$M$65536,12,0),"")</f>
        <v/>
      </c>
      <c r="F46" s="35" t="str">
        <f t="shared" si="15"/>
        <v/>
      </c>
      <c r="G46" s="36" t="str">
        <f t="shared" si="16"/>
        <v/>
      </c>
      <c r="H46" s="40"/>
      <c r="I46" s="32"/>
      <c r="J46" s="38"/>
    </row>
    <row r="47" spans="1:13" ht="13.5" hidden="1" x14ac:dyDescent="0.25">
      <c r="A47" s="33">
        <f t="shared" si="13"/>
        <v>0</v>
      </c>
      <c r="B47" s="39" t="str">
        <f>IFERROR(VLOOKUP(H47,[2]SEMIELABORADOS!$A$2:$M$6000,2,0),"")</f>
        <v/>
      </c>
      <c r="C47" s="34">
        <f t="shared" si="14"/>
        <v>0</v>
      </c>
      <c r="D47" s="35" t="str">
        <f>IFERROR(VLOOKUP(H47,[2]SEMIELABORADOS!$A$2:$M$6000,6,0),"")</f>
        <v/>
      </c>
      <c r="E47" s="35" t="str">
        <f>IFERROR(VLOOKUP(H47,[2]SEMIELABORADOS!$A$2:$M$65536,12,0),"")</f>
        <v/>
      </c>
      <c r="F47" s="35" t="str">
        <f t="shared" si="15"/>
        <v/>
      </c>
      <c r="G47" s="36" t="str">
        <f t="shared" si="16"/>
        <v/>
      </c>
      <c r="H47" s="40"/>
      <c r="I47" s="32"/>
      <c r="J47" s="38"/>
    </row>
    <row r="48" spans="1:13" ht="13.5" hidden="1" x14ac:dyDescent="0.25">
      <c r="A48" s="33">
        <f t="shared" si="13"/>
        <v>0</v>
      </c>
      <c r="B48" s="39" t="str">
        <f>IFERROR(VLOOKUP(H48,[2]SEMIELABORADOS!$A$2:$M$6000,2,0),"")</f>
        <v/>
      </c>
      <c r="C48" s="34">
        <f t="shared" si="14"/>
        <v>0</v>
      </c>
      <c r="D48" s="35" t="str">
        <f>IFERROR(VLOOKUP(H48,[2]SEMIELABORADOS!$A$2:$M$6000,6,0),"")</f>
        <v/>
      </c>
      <c r="E48" s="35" t="str">
        <f>IFERROR(VLOOKUP(H48,[2]SEMIELABORADOS!$A$2:$M$65536,12,0),"")</f>
        <v/>
      </c>
      <c r="F48" s="35" t="str">
        <f t="shared" si="15"/>
        <v/>
      </c>
      <c r="G48" s="36" t="str">
        <f t="shared" si="16"/>
        <v/>
      </c>
      <c r="H48" s="40"/>
      <c r="I48" s="32"/>
      <c r="J48" s="38"/>
    </row>
    <row r="49" spans="1:17" ht="13.5" hidden="1" x14ac:dyDescent="0.25">
      <c r="A49" s="33">
        <f t="shared" si="13"/>
        <v>0</v>
      </c>
      <c r="B49" s="39" t="str">
        <f>IFERROR(VLOOKUP(H49,[2]SEMIELABORADOS!$A$2:$M$6000,2,0),"")</f>
        <v/>
      </c>
      <c r="C49" s="34">
        <f t="shared" si="14"/>
        <v>0</v>
      </c>
      <c r="D49" s="35" t="str">
        <f>IFERROR(VLOOKUP(H49,[2]SEMIELABORADOS!$A$2:$M$6000,6,0),"")</f>
        <v/>
      </c>
      <c r="E49" s="35" t="str">
        <f>IFERROR(VLOOKUP(H49,[2]SEMIELABORADOS!$A$2:$M$65536,12,0),"")</f>
        <v/>
      </c>
      <c r="F49" s="35" t="str">
        <f t="shared" si="15"/>
        <v/>
      </c>
      <c r="G49" s="36" t="str">
        <f t="shared" si="16"/>
        <v/>
      </c>
      <c r="H49" s="40"/>
      <c r="I49" s="32"/>
      <c r="J49" s="38"/>
    </row>
    <row r="50" spans="1:17" ht="13.5" hidden="1" x14ac:dyDescent="0.25">
      <c r="A50" s="33">
        <f t="shared" si="13"/>
        <v>0</v>
      </c>
      <c r="B50" s="39" t="str">
        <f>IFERROR(VLOOKUP(H50,[2]SEMIELABORADOS!$A$2:$M$6000,2,0),"")</f>
        <v/>
      </c>
      <c r="C50" s="34">
        <f t="shared" si="14"/>
        <v>0</v>
      </c>
      <c r="D50" s="35" t="str">
        <f>IFERROR(VLOOKUP(H50,[2]SEMIELABORADOS!$A$2:$M$6000,6,0),"")</f>
        <v/>
      </c>
      <c r="E50" s="35" t="str">
        <f>IFERROR(VLOOKUP(H50,[2]SEMIELABORADOS!$A$2:$M$65536,12,0),"")</f>
        <v/>
      </c>
      <c r="F50" s="35" t="str">
        <f t="shared" si="15"/>
        <v/>
      </c>
      <c r="G50" s="36" t="str">
        <f t="shared" si="16"/>
        <v/>
      </c>
      <c r="H50" s="39"/>
      <c r="I50" s="32"/>
      <c r="J50" s="38"/>
    </row>
    <row r="51" spans="1:17" ht="13.5" x14ac:dyDescent="0.25">
      <c r="A51" s="33">
        <v>1</v>
      </c>
      <c r="B51" s="39" t="s">
        <v>73</v>
      </c>
      <c r="C51" s="34">
        <f>+A51</f>
        <v>1</v>
      </c>
      <c r="D51" s="34" t="s">
        <v>74</v>
      </c>
      <c r="E51" s="35">
        <f>+F65</f>
        <v>385</v>
      </c>
      <c r="F51" s="35">
        <f>IFERROR(C51*E51,"")</f>
        <v>385</v>
      </c>
      <c r="G51" s="36">
        <f>IFERROR(F51/$F$66,"")</f>
        <v>6.3613656189767359E-2</v>
      </c>
      <c r="H51" s="44"/>
      <c r="I51" s="44"/>
      <c r="J51" s="38"/>
    </row>
    <row r="52" spans="1:17" ht="14.25" thickBot="1" x14ac:dyDescent="0.3">
      <c r="A52" s="33"/>
      <c r="B52" s="39"/>
      <c r="C52" s="34"/>
      <c r="D52" s="34"/>
      <c r="E52" s="35"/>
      <c r="F52" s="35"/>
      <c r="G52" s="36"/>
      <c r="H52" s="44"/>
      <c r="I52" s="44"/>
      <c r="J52" s="38"/>
    </row>
    <row r="53" spans="1:17" ht="13.5" thickBot="1" x14ac:dyDescent="0.25">
      <c r="A53" s="45"/>
      <c r="B53" s="244" t="s">
        <v>75</v>
      </c>
      <c r="C53" s="244"/>
      <c r="D53" s="244"/>
      <c r="E53" s="244"/>
      <c r="F53" s="47">
        <f>SUM(F8:F14,F17:F24)</f>
        <v>5552.4800000000005</v>
      </c>
      <c r="G53" s="36">
        <f>+F53/$F$66</f>
        <v>0.91743780187158308</v>
      </c>
      <c r="H53" s="48">
        <f>+F53/$D$60</f>
        <v>5552.4800000000005</v>
      </c>
      <c r="I53" s="48"/>
      <c r="J53" s="49"/>
      <c r="K53" s="50"/>
      <c r="L53" s="50"/>
      <c r="M53" s="50"/>
      <c r="N53" s="50"/>
      <c r="O53" s="50"/>
      <c r="P53" s="50"/>
      <c r="Q53" s="51"/>
    </row>
    <row r="54" spans="1:17" x14ac:dyDescent="0.2">
      <c r="A54" s="45"/>
      <c r="B54" s="244" t="s">
        <v>76</v>
      </c>
      <c r="C54" s="244"/>
      <c r="D54" s="244"/>
      <c r="E54" s="244"/>
      <c r="F54" s="47">
        <f>SUM(F27:F32,F35:F41)</f>
        <v>3.63</v>
      </c>
      <c r="G54" s="36">
        <f>+F54/$F$66</f>
        <v>5.9978590121780647E-4</v>
      </c>
      <c r="H54" s="48">
        <f>+F54/$D$60</f>
        <v>3.63</v>
      </c>
      <c r="I54" s="48"/>
      <c r="J54" s="52"/>
      <c r="K54" s="245" t="s">
        <v>77</v>
      </c>
      <c r="L54" s="246"/>
      <c r="M54" s="246"/>
      <c r="N54" s="246"/>
      <c r="O54" s="53">
        <f>+F55</f>
        <v>5556.1100000000006</v>
      </c>
      <c r="P54" s="53"/>
      <c r="Q54" s="54"/>
    </row>
    <row r="55" spans="1:17" x14ac:dyDescent="0.2">
      <c r="A55" s="45"/>
      <c r="B55" s="244" t="s">
        <v>78</v>
      </c>
      <c r="C55" s="244"/>
      <c r="D55" s="244"/>
      <c r="E55" s="244"/>
      <c r="F55" s="47">
        <f>+F53+F54</f>
        <v>5556.1100000000006</v>
      </c>
      <c r="G55" s="36">
        <f>+F55/$F$66</f>
        <v>0.91803758777280098</v>
      </c>
      <c r="H55" s="48">
        <f>+F55/$D$60</f>
        <v>5556.1100000000006</v>
      </c>
      <c r="I55" s="48"/>
      <c r="J55" s="55"/>
      <c r="K55" s="56"/>
      <c r="M55" s="57" t="s">
        <v>79</v>
      </c>
      <c r="N55" s="58"/>
      <c r="O55" s="53">
        <f>+H56</f>
        <v>388</v>
      </c>
      <c r="P55" s="53"/>
      <c r="Q55" s="54"/>
    </row>
    <row r="56" spans="1:17" ht="13.5" thickBot="1" x14ac:dyDescent="0.25">
      <c r="A56" s="45"/>
      <c r="B56" s="46"/>
      <c r="C56" s="244" t="s">
        <v>80</v>
      </c>
      <c r="D56" s="244"/>
      <c r="E56" s="244"/>
      <c r="F56" s="47">
        <f>SUM(F44:F51)</f>
        <v>388</v>
      </c>
      <c r="G56" s="36">
        <f>+F56/$F$66</f>
        <v>6.4109347017220097E-2</v>
      </c>
      <c r="H56" s="48">
        <f>+F56/$D$60</f>
        <v>388</v>
      </c>
      <c r="I56" s="48"/>
      <c r="J56" s="55"/>
      <c r="K56" s="56"/>
      <c r="L56" s="56"/>
      <c r="M56" s="56" t="s">
        <v>81</v>
      </c>
      <c r="N56" s="59"/>
      <c r="O56" s="53">
        <f>O54*N56</f>
        <v>0</v>
      </c>
      <c r="P56" s="53"/>
      <c r="Q56" s="54"/>
    </row>
    <row r="57" spans="1:17" ht="13.5" thickBot="1" x14ac:dyDescent="0.25">
      <c r="A57" s="45"/>
      <c r="B57" s="60"/>
      <c r="C57" s="60"/>
      <c r="D57" s="60"/>
      <c r="E57" s="60"/>
      <c r="F57" s="61"/>
      <c r="G57" s="36"/>
      <c r="H57" s="62"/>
      <c r="I57" s="48"/>
      <c r="J57" s="55"/>
      <c r="K57" s="63"/>
      <c r="M57" s="64" t="s">
        <v>82</v>
      </c>
      <c r="N57" s="65"/>
      <c r="O57" s="66">
        <f>SUM(O54:O56)</f>
        <v>5944.1100000000006</v>
      </c>
      <c r="P57" s="67"/>
      <c r="Q57" s="54"/>
    </row>
    <row r="58" spans="1:17" x14ac:dyDescent="0.2">
      <c r="B58" s="247" t="s">
        <v>83</v>
      </c>
      <c r="C58" s="247"/>
      <c r="D58" s="68">
        <v>2000</v>
      </c>
      <c r="E58" s="69"/>
      <c r="G58" s="36"/>
      <c r="H58" s="62">
        <f>+H56/77</f>
        <v>5.0389610389610393</v>
      </c>
      <c r="I58" s="70"/>
      <c r="J58" s="55"/>
      <c r="K58" s="63"/>
      <c r="L58" s="56"/>
      <c r="M58" s="56" t="s">
        <v>84</v>
      </c>
      <c r="N58" s="71"/>
      <c r="O58" s="53">
        <f>+H59</f>
        <v>418.23376623376629</v>
      </c>
      <c r="P58" s="53"/>
      <c r="Q58" s="54"/>
    </row>
    <row r="59" spans="1:17" x14ac:dyDescent="0.2">
      <c r="B59" s="247" t="s">
        <v>85</v>
      </c>
      <c r="C59" s="247"/>
      <c r="D59" s="72">
        <v>2000</v>
      </c>
      <c r="E59" s="69"/>
      <c r="G59" s="36"/>
      <c r="H59" s="62">
        <f>+H58*83</f>
        <v>418.23376623376629</v>
      </c>
      <c r="I59" s="70"/>
      <c r="J59" s="55"/>
      <c r="K59" s="63"/>
      <c r="L59" s="56"/>
      <c r="M59" s="248" t="s">
        <v>82</v>
      </c>
      <c r="N59" s="248"/>
      <c r="O59" s="53">
        <f>SUM(O57:O58)</f>
        <v>6362.3437662337665</v>
      </c>
      <c r="P59" s="53"/>
      <c r="Q59" s="54"/>
    </row>
    <row r="60" spans="1:17" ht="13.5" thickBot="1" x14ac:dyDescent="0.25">
      <c r="B60" s="240" t="s">
        <v>86</v>
      </c>
      <c r="C60" s="240"/>
      <c r="D60" s="68">
        <f>+D58/D59</f>
        <v>1</v>
      </c>
      <c r="E60" s="69"/>
      <c r="F60" s="73"/>
      <c r="G60" s="36"/>
      <c r="H60" s="62"/>
      <c r="I60" s="70"/>
      <c r="J60" s="55"/>
      <c r="K60" s="63"/>
      <c r="L60" s="248"/>
      <c r="M60" s="248"/>
      <c r="N60" s="71"/>
      <c r="O60" s="53">
        <f>+O59*N60</f>
        <v>0</v>
      </c>
      <c r="P60" s="53"/>
      <c r="Q60" s="54"/>
    </row>
    <row r="61" spans="1:17" ht="13.5" thickBot="1" x14ac:dyDescent="0.25">
      <c r="B61" s="240" t="s">
        <v>87</v>
      </c>
      <c r="C61" s="240"/>
      <c r="D61" s="74"/>
      <c r="E61" s="69"/>
      <c r="F61" s="73"/>
      <c r="G61" s="36"/>
      <c r="H61" s="62"/>
      <c r="I61" s="70"/>
      <c r="J61" s="55"/>
      <c r="K61" s="241" t="s">
        <v>88</v>
      </c>
      <c r="L61" s="242"/>
      <c r="M61" s="242"/>
      <c r="N61" s="243"/>
      <c r="O61" s="66">
        <f>SUM(O59:O60)</f>
        <v>6362.3437662337665</v>
      </c>
      <c r="P61" s="75" t="s">
        <v>89</v>
      </c>
      <c r="Q61" s="54"/>
    </row>
    <row r="62" spans="1:17" ht="13.5" thickBot="1" x14ac:dyDescent="0.25">
      <c r="C62" s="45" t="s">
        <v>90</v>
      </c>
      <c r="D62" s="76"/>
      <c r="E62" s="19" t="s">
        <v>91</v>
      </c>
      <c r="F62" s="77" t="s">
        <v>92</v>
      </c>
      <c r="G62" s="36"/>
      <c r="H62" s="62"/>
      <c r="I62" s="70"/>
      <c r="J62" s="78"/>
      <c r="K62" s="79"/>
      <c r="L62" s="254" t="s">
        <v>93</v>
      </c>
      <c r="M62" s="254"/>
      <c r="N62" s="254"/>
      <c r="O62" s="80">
        <f>+O61/D60</f>
        <v>6362.3437662337665</v>
      </c>
      <c r="P62" s="81">
        <f>+O62/D59</f>
        <v>3.1811718831168831</v>
      </c>
      <c r="Q62" s="82"/>
    </row>
    <row r="63" spans="1:17" ht="13.5" thickBot="1" x14ac:dyDescent="0.25">
      <c r="B63" s="255" t="s">
        <v>78</v>
      </c>
      <c r="C63" s="255"/>
      <c r="D63" s="255"/>
      <c r="E63" s="83">
        <f>+F63/F63</f>
        <v>1</v>
      </c>
      <c r="F63" s="84">
        <f>SUM(F55)</f>
        <v>5556.1100000000006</v>
      </c>
      <c r="G63" s="36">
        <f>+F63/$F$66</f>
        <v>0.91803758777280098</v>
      </c>
      <c r="H63" s="62"/>
      <c r="I63" s="70"/>
      <c r="K63" s="256"/>
      <c r="L63" s="257"/>
      <c r="M63" s="257"/>
      <c r="N63" s="257"/>
      <c r="O63" s="85"/>
      <c r="P63" s="86"/>
    </row>
    <row r="64" spans="1:17" ht="13.5" thickBot="1" x14ac:dyDescent="0.25">
      <c r="B64" s="258" t="s">
        <v>94</v>
      </c>
      <c r="C64" s="258"/>
      <c r="D64" s="258"/>
      <c r="E64" s="87">
        <v>0.02</v>
      </c>
      <c r="F64" s="84">
        <f>+F53*E64</f>
        <v>111.04960000000001</v>
      </c>
      <c r="G64" s="36">
        <f>+F64/$F$66</f>
        <v>1.8348756037431663E-2</v>
      </c>
      <c r="H64" s="48"/>
      <c r="I64" s="70"/>
      <c r="J64" s="88"/>
      <c r="O64" s="89"/>
      <c r="P64" s="46"/>
    </row>
    <row r="65" spans="2:13" ht="13.5" thickBot="1" x14ac:dyDescent="0.25">
      <c r="B65" s="259" t="s">
        <v>95</v>
      </c>
      <c r="C65" s="260"/>
      <c r="D65" s="90">
        <v>5</v>
      </c>
      <c r="E65" s="91">
        <v>77</v>
      </c>
      <c r="F65" s="84">
        <f>+E65*D65</f>
        <v>385</v>
      </c>
      <c r="G65" s="36">
        <f>+F65/$F$66</f>
        <v>6.3613656189767359E-2</v>
      </c>
      <c r="H65" s="48"/>
      <c r="I65" s="48"/>
      <c r="J65" s="38"/>
    </row>
    <row r="66" spans="2:13" ht="13.5" thickBot="1" x14ac:dyDescent="0.25">
      <c r="B66" s="261" t="s">
        <v>96</v>
      </c>
      <c r="C66" s="262"/>
      <c r="D66" s="262"/>
      <c r="E66" s="263"/>
      <c r="F66" s="61">
        <f>SUM(F63:F65)</f>
        <v>6052.1596000000009</v>
      </c>
      <c r="G66" s="36">
        <f>+F66/$F$66</f>
        <v>1</v>
      </c>
      <c r="H66" s="264"/>
      <c r="I66" s="48"/>
      <c r="J66" s="38"/>
      <c r="M66" s="21" t="s">
        <v>97</v>
      </c>
    </row>
    <row r="67" spans="2:13" x14ac:dyDescent="0.2">
      <c r="C67" s="43"/>
      <c r="D67" s="43"/>
      <c r="E67" s="93"/>
      <c r="F67" s="84"/>
      <c r="G67" s="36"/>
      <c r="H67" s="264"/>
      <c r="I67" s="92"/>
      <c r="J67" s="21"/>
      <c r="M67" s="21" t="s">
        <v>98</v>
      </c>
    </row>
    <row r="68" spans="2:13" ht="13.5" thickBot="1" x14ac:dyDescent="0.25">
      <c r="B68" s="249" t="s">
        <v>99</v>
      </c>
      <c r="C68" s="249"/>
      <c r="D68" s="249"/>
      <c r="E68" s="249"/>
      <c r="F68" s="249"/>
      <c r="G68" s="36"/>
      <c r="H68" s="95"/>
      <c r="I68" s="92"/>
      <c r="J68" s="21"/>
      <c r="M68" s="21" t="s">
        <v>100</v>
      </c>
    </row>
    <row r="69" spans="2:13" ht="13.5" thickBot="1" x14ac:dyDescent="0.25">
      <c r="B69" s="96" t="s">
        <v>101</v>
      </c>
      <c r="C69" s="97">
        <f>+F53</f>
        <v>5552.4800000000005</v>
      </c>
      <c r="D69" s="97">
        <f>+D58</f>
        <v>2000</v>
      </c>
      <c r="E69" s="98">
        <f>+C69/D69</f>
        <v>2.77624</v>
      </c>
      <c r="F69" s="36"/>
      <c r="G69" s="95"/>
      <c r="H69" s="38"/>
      <c r="I69" s="95"/>
      <c r="J69" s="21"/>
    </row>
    <row r="70" spans="2:13" x14ac:dyDescent="0.2">
      <c r="B70" s="99"/>
      <c r="C70" s="100"/>
      <c r="D70" s="101"/>
      <c r="E70" s="84"/>
      <c r="F70" s="36"/>
      <c r="G70" s="95"/>
      <c r="H70" s="38"/>
      <c r="I70" s="38"/>
      <c r="J70" s="21"/>
    </row>
    <row r="71" spans="2:13" x14ac:dyDescent="0.2">
      <c r="B71" s="96" t="s">
        <v>102</v>
      </c>
      <c r="C71" s="97">
        <f>SUM(F63:F64)</f>
        <v>5667.1596000000009</v>
      </c>
      <c r="D71" s="97">
        <f>+D58</f>
        <v>2000</v>
      </c>
      <c r="E71" s="102">
        <f>+C71/D71</f>
        <v>2.8335798000000003</v>
      </c>
      <c r="F71" s="36"/>
      <c r="G71" s="95"/>
      <c r="H71" s="38"/>
      <c r="I71" s="38"/>
      <c r="J71" s="21"/>
    </row>
    <row r="72" spans="2:13" x14ac:dyDescent="0.2">
      <c r="B72" s="96"/>
      <c r="C72" s="97"/>
      <c r="D72" s="97"/>
      <c r="E72" s="102"/>
      <c r="F72" s="36"/>
      <c r="G72" s="95"/>
      <c r="H72" s="38"/>
      <c r="I72" s="38"/>
      <c r="J72" s="21"/>
    </row>
    <row r="73" spans="2:13" ht="13.5" thickBot="1" x14ac:dyDescent="0.25">
      <c r="B73" s="96" t="s">
        <v>103</v>
      </c>
      <c r="C73" s="97">
        <f>+F65</f>
        <v>385</v>
      </c>
      <c r="D73" s="97">
        <f>+D58</f>
        <v>2000</v>
      </c>
      <c r="E73" s="102">
        <f>+C73/D73</f>
        <v>0.1925</v>
      </c>
      <c r="F73" s="36"/>
      <c r="G73" s="95"/>
      <c r="H73" s="38"/>
      <c r="I73" s="38"/>
      <c r="J73" s="21"/>
    </row>
    <row r="74" spans="2:13" ht="13.5" thickBot="1" x14ac:dyDescent="0.25">
      <c r="B74" s="96" t="s">
        <v>104</v>
      </c>
      <c r="C74" s="97">
        <f>+F56</f>
        <v>388</v>
      </c>
      <c r="D74" s="97">
        <f>+D73</f>
        <v>2000</v>
      </c>
      <c r="E74" s="98">
        <f>+C74/D74</f>
        <v>0.19400000000000001</v>
      </c>
      <c r="F74" s="36"/>
      <c r="G74" s="95"/>
      <c r="H74" s="38"/>
      <c r="I74" s="38"/>
      <c r="J74" s="21"/>
    </row>
    <row r="75" spans="2:13" ht="13.5" thickBot="1" x14ac:dyDescent="0.25">
      <c r="B75" s="60"/>
      <c r="C75" s="61"/>
      <c r="D75" s="61"/>
      <c r="E75" s="102"/>
      <c r="F75" s="36"/>
      <c r="G75" s="95"/>
      <c r="H75" s="38"/>
      <c r="I75" s="38"/>
      <c r="J75" s="21"/>
    </row>
    <row r="76" spans="2:13" ht="13.5" thickBot="1" x14ac:dyDescent="0.25">
      <c r="B76" s="96" t="s">
        <v>105</v>
      </c>
      <c r="C76" s="97">
        <f>+F54</f>
        <v>3.63</v>
      </c>
      <c r="D76" s="97">
        <f>+D74</f>
        <v>2000</v>
      </c>
      <c r="E76" s="98">
        <f>+C76/D76</f>
        <v>1.815E-3</v>
      </c>
      <c r="F76" s="36"/>
      <c r="G76" s="95"/>
      <c r="H76" s="38"/>
      <c r="I76" s="38"/>
      <c r="J76" s="38"/>
    </row>
    <row r="77" spans="2:13" ht="13.5" thickBot="1" x14ac:dyDescent="0.25">
      <c r="B77" s="60"/>
      <c r="C77" s="61"/>
      <c r="D77" s="61"/>
      <c r="E77" s="102"/>
      <c r="F77" s="36"/>
      <c r="G77" s="95"/>
      <c r="H77" s="38"/>
      <c r="I77" s="38"/>
    </row>
    <row r="78" spans="2:13" ht="13.5" thickBot="1" x14ac:dyDescent="0.25">
      <c r="B78" s="250" t="s">
        <v>106</v>
      </c>
      <c r="C78" s="251"/>
      <c r="D78" s="252"/>
      <c r="E78" s="98">
        <f>+E69+E74</f>
        <v>2.97024</v>
      </c>
      <c r="G78" s="36"/>
      <c r="H78" s="95"/>
      <c r="I78" s="38"/>
      <c r="J78" s="102"/>
    </row>
    <row r="79" spans="2:13" x14ac:dyDescent="0.2">
      <c r="I79" s="95"/>
      <c r="J79" s="21"/>
    </row>
    <row r="80" spans="2:13" ht="13.5" thickBot="1" x14ac:dyDescent="0.25">
      <c r="B80" s="249" t="s">
        <v>107</v>
      </c>
      <c r="C80" s="249"/>
      <c r="D80" s="249"/>
      <c r="E80" s="249"/>
      <c r="F80" s="249"/>
      <c r="G80" s="36"/>
      <c r="H80" s="95"/>
      <c r="J80" s="21"/>
    </row>
    <row r="81" spans="1:10" ht="13.5" thickBot="1" x14ac:dyDescent="0.25">
      <c r="B81" s="96" t="s">
        <v>101</v>
      </c>
      <c r="C81" s="97">
        <f>+C69</f>
        <v>5552.4800000000005</v>
      </c>
      <c r="D81" s="97">
        <f>+D60</f>
        <v>1</v>
      </c>
      <c r="E81" s="98">
        <f>+C81/D81</f>
        <v>5552.4800000000005</v>
      </c>
      <c r="F81" s="36"/>
      <c r="G81" s="95"/>
      <c r="H81" s="38"/>
      <c r="I81" s="95"/>
      <c r="J81" s="21"/>
    </row>
    <row r="82" spans="1:10" x14ac:dyDescent="0.2">
      <c r="B82" s="99"/>
      <c r="C82" s="100"/>
      <c r="D82" s="101"/>
      <c r="E82" s="84"/>
      <c r="F82" s="36"/>
      <c r="G82" s="95"/>
      <c r="H82" s="38"/>
      <c r="I82" s="38"/>
      <c r="J82" s="21"/>
    </row>
    <row r="83" spans="1:10" x14ac:dyDescent="0.2">
      <c r="B83" s="96" t="s">
        <v>102</v>
      </c>
      <c r="C83" s="97">
        <f>+C71</f>
        <v>5667.1596000000009</v>
      </c>
      <c r="D83" s="97">
        <f>+D60</f>
        <v>1</v>
      </c>
      <c r="E83" s="102">
        <f>+C83/D83</f>
        <v>5667.1596000000009</v>
      </c>
      <c r="F83" s="36"/>
      <c r="G83" s="95"/>
      <c r="H83" s="38"/>
      <c r="I83" s="38"/>
      <c r="J83" s="21"/>
    </row>
    <row r="84" spans="1:10" x14ac:dyDescent="0.2">
      <c r="B84" s="96"/>
      <c r="C84" s="97"/>
      <c r="D84" s="97"/>
      <c r="E84" s="102"/>
      <c r="F84" s="36"/>
      <c r="G84" s="95"/>
      <c r="H84" s="38"/>
      <c r="I84" s="38"/>
      <c r="J84" s="21"/>
    </row>
    <row r="85" spans="1:10" ht="13.5" thickBot="1" x14ac:dyDescent="0.25">
      <c r="B85" s="96" t="s">
        <v>104</v>
      </c>
      <c r="C85" s="97">
        <f>+C73</f>
        <v>385</v>
      </c>
      <c r="D85" s="97">
        <f>+D60</f>
        <v>1</v>
      </c>
      <c r="E85" s="102">
        <f>+C85/D85</f>
        <v>385</v>
      </c>
      <c r="F85" s="104"/>
      <c r="G85" s="94"/>
      <c r="H85" s="20"/>
      <c r="I85" s="38"/>
    </row>
    <row r="86" spans="1:10" ht="13.5" thickBot="1" x14ac:dyDescent="0.25">
      <c r="B86" s="96" t="s">
        <v>104</v>
      </c>
      <c r="C86" s="97">
        <f>+C74</f>
        <v>388</v>
      </c>
      <c r="D86" s="97">
        <f>+D85</f>
        <v>1</v>
      </c>
      <c r="E86" s="98">
        <f>+C86/D86</f>
        <v>388</v>
      </c>
      <c r="F86" s="103"/>
      <c r="G86" s="94"/>
      <c r="H86" s="20"/>
      <c r="I86" s="20"/>
    </row>
    <row r="87" spans="1:10" x14ac:dyDescent="0.2">
      <c r="I87" s="20"/>
    </row>
    <row r="88" spans="1:10" x14ac:dyDescent="0.2">
      <c r="A88" s="253"/>
      <c r="B88" s="253"/>
      <c r="C88" s="105"/>
      <c r="D88" s="105"/>
      <c r="E88" s="106"/>
      <c r="G88" s="107"/>
    </row>
    <row r="89" spans="1:10" x14ac:dyDescent="0.2">
      <c r="A89" s="39"/>
      <c r="B89" s="108"/>
      <c r="C89" s="109"/>
      <c r="D89" s="109"/>
      <c r="E89" s="110"/>
      <c r="G89" s="107"/>
    </row>
    <row r="90" spans="1:10" x14ac:dyDescent="0.2">
      <c r="A90" s="39"/>
      <c r="B90" s="108"/>
      <c r="C90" s="111"/>
      <c r="D90" s="111"/>
      <c r="E90" s="39"/>
      <c r="G90" s="107"/>
    </row>
    <row r="91" spans="1:10" x14ac:dyDescent="0.2">
      <c r="A91" s="39"/>
      <c r="B91" s="108"/>
      <c r="C91" s="112"/>
      <c r="D91" s="112"/>
      <c r="E91" s="39"/>
      <c r="G91" s="107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C4F7E-8B78-4DC3-827A-245FB4BB8366}">
  <sheetPr>
    <pageSetUpPr fitToPage="1"/>
  </sheetPr>
  <dimension ref="A1:M29"/>
  <sheetViews>
    <sheetView tabSelected="1" zoomScale="80" zoomScaleNormal="80" workbookViewId="0">
      <selection activeCell="C1" sqref="C1:G1"/>
    </sheetView>
  </sheetViews>
  <sheetFormatPr baseColWidth="10" defaultColWidth="11.42578125" defaultRowHeight="13.5" x14ac:dyDescent="0.25"/>
  <cols>
    <col min="1" max="1" width="12.42578125" style="8" customWidth="1"/>
    <col min="2" max="2" width="16.5703125" style="8" customWidth="1"/>
    <col min="3" max="3" width="52.28515625" style="8" customWidth="1"/>
    <col min="4" max="4" width="16.5703125" style="8" bestFit="1" customWidth="1"/>
    <col min="5" max="5" width="11.42578125" style="8"/>
    <col min="6" max="6" width="11.7109375" style="8" customWidth="1"/>
    <col min="7" max="7" width="22.28515625" style="8" customWidth="1"/>
    <col min="8" max="8" width="15.7109375" style="8" customWidth="1"/>
    <col min="9" max="9" width="17.7109375" style="8" customWidth="1"/>
    <col min="10" max="16384" width="11.42578125" style="8"/>
  </cols>
  <sheetData>
    <row r="1" spans="1:12" ht="15.75" x14ac:dyDescent="0.25">
      <c r="A1" s="210"/>
      <c r="B1" s="211"/>
      <c r="C1" s="216" t="s">
        <v>22</v>
      </c>
      <c r="D1" s="217"/>
      <c r="E1" s="217"/>
      <c r="F1" s="217"/>
      <c r="G1" s="218"/>
      <c r="H1" s="2" t="s">
        <v>0</v>
      </c>
      <c r="I1" s="7" t="s">
        <v>129</v>
      </c>
    </row>
    <row r="2" spans="1:12" ht="16.5" thickBot="1" x14ac:dyDescent="0.3">
      <c r="A2" s="212"/>
      <c r="B2" s="213"/>
      <c r="C2" s="219" t="s">
        <v>1</v>
      </c>
      <c r="D2" s="220"/>
      <c r="E2" s="220"/>
      <c r="F2" s="220"/>
      <c r="G2" s="221"/>
      <c r="H2" s="3" t="s">
        <v>2</v>
      </c>
      <c r="I2" s="6" t="s">
        <v>130</v>
      </c>
    </row>
    <row r="3" spans="1:12" ht="30.75" customHeight="1" thickBot="1" x14ac:dyDescent="0.3">
      <c r="A3" s="212"/>
      <c r="B3" s="213"/>
      <c r="C3" s="222" t="s">
        <v>128</v>
      </c>
      <c r="D3" s="223"/>
      <c r="E3" s="223"/>
      <c r="F3" s="223"/>
      <c r="G3" s="224"/>
      <c r="H3" s="225" t="s">
        <v>3</v>
      </c>
      <c r="I3" s="199">
        <v>46133</v>
      </c>
    </row>
    <row r="4" spans="1:12" x14ac:dyDescent="0.25">
      <c r="A4" s="212"/>
      <c r="B4" s="213"/>
      <c r="C4" s="4"/>
      <c r="D4" s="202" t="s">
        <v>23</v>
      </c>
      <c r="E4" s="203"/>
      <c r="F4" s="203"/>
      <c r="G4" s="204"/>
      <c r="H4" s="226"/>
      <c r="I4" s="200"/>
    </row>
    <row r="5" spans="1:12" ht="13.5" customHeight="1" thickBot="1" x14ac:dyDescent="0.3">
      <c r="A5" s="214"/>
      <c r="B5" s="215"/>
      <c r="C5" s="5" t="s">
        <v>4</v>
      </c>
      <c r="D5" s="205" t="s">
        <v>52</v>
      </c>
      <c r="E5" s="206"/>
      <c r="F5" s="206"/>
      <c r="G5" s="207"/>
      <c r="H5" s="227"/>
      <c r="I5" s="201"/>
    </row>
    <row r="6" spans="1:12" ht="2.25" hidden="1" customHeight="1" x14ac:dyDescent="0.25">
      <c r="A6" s="114"/>
      <c r="B6" s="116"/>
      <c r="C6" s="117"/>
      <c r="D6" s="118"/>
      <c r="E6" s="119"/>
      <c r="F6" s="119"/>
      <c r="G6" s="119"/>
      <c r="H6" s="115"/>
      <c r="I6" s="113"/>
    </row>
    <row r="7" spans="1:12" ht="18.75" thickBot="1" x14ac:dyDescent="0.3">
      <c r="A7" s="189" t="s">
        <v>112</v>
      </c>
      <c r="B7" s="189"/>
      <c r="C7" s="189"/>
      <c r="D7" s="190" t="s">
        <v>114</v>
      </c>
      <c r="E7" s="190"/>
      <c r="F7" s="190"/>
      <c r="G7" s="183" t="s">
        <v>113</v>
      </c>
      <c r="H7" s="183"/>
      <c r="I7" s="120" t="s">
        <v>115</v>
      </c>
    </row>
    <row r="8" spans="1:12" ht="30.75" customHeight="1" x14ac:dyDescent="0.25">
      <c r="A8" s="228" t="s">
        <v>5</v>
      </c>
      <c r="B8" s="230" t="s">
        <v>29</v>
      </c>
      <c r="C8" s="232" t="s">
        <v>6</v>
      </c>
      <c r="D8" s="232" t="s">
        <v>7</v>
      </c>
      <c r="E8" s="208" t="s">
        <v>8</v>
      </c>
      <c r="F8" s="209"/>
      <c r="G8" s="208" t="s">
        <v>9</v>
      </c>
      <c r="H8" s="209"/>
      <c r="I8" s="1" t="s">
        <v>10</v>
      </c>
    </row>
    <row r="9" spans="1:12" ht="27" thickBot="1" x14ac:dyDescent="0.3">
      <c r="A9" s="229"/>
      <c r="B9" s="231"/>
      <c r="C9" s="233"/>
      <c r="D9" s="233"/>
      <c r="E9" s="9" t="s">
        <v>11</v>
      </c>
      <c r="F9" s="10" t="s">
        <v>12</v>
      </c>
      <c r="G9" s="11" t="s">
        <v>11</v>
      </c>
      <c r="H9" s="12" t="s">
        <v>12</v>
      </c>
      <c r="I9" s="13" t="s">
        <v>13</v>
      </c>
    </row>
    <row r="10" spans="1:12" ht="20.25" x14ac:dyDescent="0.3">
      <c r="A10" s="121"/>
      <c r="B10" s="121" t="s">
        <v>127</v>
      </c>
      <c r="C10" s="122" t="s">
        <v>126</v>
      </c>
      <c r="D10" s="123" t="s">
        <v>119</v>
      </c>
      <c r="E10" s="124">
        <v>10</v>
      </c>
      <c r="F10" s="125" t="s">
        <v>28</v>
      </c>
      <c r="G10" s="126"/>
      <c r="H10" s="127"/>
      <c r="I10" s="128"/>
    </row>
    <row r="11" spans="1:12" ht="20.25" x14ac:dyDescent="0.3">
      <c r="A11" s="129"/>
      <c r="B11" s="129"/>
      <c r="C11" s="130"/>
      <c r="D11" s="123"/>
      <c r="E11" s="124"/>
      <c r="F11" s="125"/>
      <c r="G11" s="124"/>
      <c r="H11" s="127"/>
      <c r="I11" s="128"/>
    </row>
    <row r="12" spans="1:12" ht="20.25" x14ac:dyDescent="0.3">
      <c r="A12" s="131"/>
      <c r="B12" s="122" t="s">
        <v>117</v>
      </c>
      <c r="C12" s="122" t="s">
        <v>118</v>
      </c>
      <c r="D12" s="123" t="s">
        <v>48</v>
      </c>
      <c r="E12" s="124">
        <v>1</v>
      </c>
      <c r="F12" s="125" t="s">
        <v>28</v>
      </c>
      <c r="G12" s="124"/>
      <c r="H12" s="127"/>
      <c r="I12" s="128"/>
    </row>
    <row r="13" spans="1:12" ht="20.25" x14ac:dyDescent="0.3">
      <c r="A13" s="134"/>
      <c r="B13" s="122" t="s">
        <v>35</v>
      </c>
      <c r="C13" s="122" t="s">
        <v>121</v>
      </c>
      <c r="D13" s="123"/>
      <c r="E13" s="124">
        <v>1</v>
      </c>
      <c r="F13" s="125" t="s">
        <v>28</v>
      </c>
      <c r="G13" s="124"/>
      <c r="H13" s="127"/>
      <c r="I13" s="128"/>
    </row>
    <row r="14" spans="1:12" ht="20.25" x14ac:dyDescent="0.3">
      <c r="A14" s="135"/>
      <c r="B14" s="132"/>
      <c r="C14" s="133"/>
      <c r="D14" s="123"/>
      <c r="E14" s="124"/>
      <c r="F14" s="125"/>
      <c r="G14" s="124"/>
      <c r="H14" s="127"/>
      <c r="I14" s="128"/>
    </row>
    <row r="15" spans="1:12" ht="21" thickBot="1" x14ac:dyDescent="0.35">
      <c r="A15" s="136"/>
      <c r="B15" s="134"/>
      <c r="C15" s="137"/>
      <c r="D15" s="138"/>
      <c r="E15" s="139"/>
      <c r="F15" s="140"/>
      <c r="G15" s="139"/>
      <c r="H15" s="141"/>
      <c r="I15" s="142"/>
    </row>
    <row r="16" spans="1:12" ht="21" thickBot="1" x14ac:dyDescent="0.35">
      <c r="A16" s="143"/>
      <c r="B16" s="144"/>
      <c r="C16" s="145"/>
      <c r="D16" s="146"/>
      <c r="E16" s="147"/>
      <c r="F16" s="148"/>
      <c r="G16" s="145"/>
      <c r="H16" s="145"/>
      <c r="I16" s="149"/>
      <c r="L16" s="14"/>
    </row>
    <row r="17" spans="1:13" ht="20.25" x14ac:dyDescent="0.3">
      <c r="A17" s="191" t="s">
        <v>14</v>
      </c>
      <c r="B17" s="192"/>
      <c r="C17" s="193"/>
      <c r="D17" s="126">
        <v>270</v>
      </c>
      <c r="E17" s="150" t="s">
        <v>26</v>
      </c>
      <c r="F17" s="194" t="s">
        <v>24</v>
      </c>
      <c r="G17" s="195"/>
      <c r="H17" s="196"/>
      <c r="I17" s="197"/>
      <c r="L17" s="14"/>
    </row>
    <row r="18" spans="1:13" ht="20.25" x14ac:dyDescent="0.3">
      <c r="A18" s="176" t="s">
        <v>15</v>
      </c>
      <c r="B18" s="177"/>
      <c r="C18" s="178"/>
      <c r="D18" s="153">
        <v>6.25E-2</v>
      </c>
      <c r="E18" s="132" t="s">
        <v>120</v>
      </c>
      <c r="F18" s="179" t="s">
        <v>16</v>
      </c>
      <c r="G18" s="180"/>
      <c r="H18" s="181"/>
      <c r="I18" s="182"/>
      <c r="L18" s="14"/>
    </row>
    <row r="19" spans="1:13" ht="20.25" x14ac:dyDescent="0.3">
      <c r="A19" s="176" t="s">
        <v>17</v>
      </c>
      <c r="B19" s="177"/>
      <c r="C19" s="178"/>
      <c r="D19" s="132">
        <v>1</v>
      </c>
      <c r="E19" s="132" t="s">
        <v>28</v>
      </c>
      <c r="F19" s="179" t="s">
        <v>25</v>
      </c>
      <c r="G19" s="180"/>
      <c r="H19" s="181"/>
      <c r="I19" s="182"/>
      <c r="L19" s="14"/>
    </row>
    <row r="20" spans="1:13" ht="20.25" x14ac:dyDescent="0.3">
      <c r="A20" s="176" t="s">
        <v>18</v>
      </c>
      <c r="B20" s="177"/>
      <c r="C20" s="178"/>
      <c r="D20" s="132">
        <v>270</v>
      </c>
      <c r="E20" s="132" t="s">
        <v>26</v>
      </c>
      <c r="F20" s="187" t="s">
        <v>19</v>
      </c>
      <c r="G20" s="188"/>
      <c r="H20" s="181" t="s">
        <v>125</v>
      </c>
      <c r="I20" s="182"/>
      <c r="L20" s="14"/>
      <c r="M20" s="15"/>
    </row>
    <row r="21" spans="1:13" ht="21" thickBot="1" x14ac:dyDescent="0.35">
      <c r="A21" s="160" t="s">
        <v>20</v>
      </c>
      <c r="B21" s="161"/>
      <c r="C21" s="162"/>
      <c r="D21" s="151">
        <v>0</v>
      </c>
      <c r="E21" s="152" t="s">
        <v>26</v>
      </c>
      <c r="F21" s="163"/>
      <c r="G21" s="164"/>
      <c r="H21" s="165"/>
      <c r="I21" s="166"/>
      <c r="L21" s="14"/>
    </row>
    <row r="22" spans="1:13" ht="21" thickBot="1" x14ac:dyDescent="0.35">
      <c r="A22" s="167" t="s">
        <v>21</v>
      </c>
      <c r="B22" s="168"/>
      <c r="C22" s="168"/>
      <c r="D22" s="168"/>
      <c r="E22" s="168"/>
      <c r="F22" s="168"/>
      <c r="G22" s="168"/>
      <c r="H22" s="168"/>
      <c r="I22" s="169"/>
    </row>
    <row r="23" spans="1:13" ht="20.25" x14ac:dyDescent="0.3">
      <c r="A23" s="170" t="s">
        <v>122</v>
      </c>
      <c r="B23" s="171"/>
      <c r="C23" s="171"/>
      <c r="D23" s="171"/>
      <c r="E23" s="171"/>
      <c r="F23" s="171"/>
      <c r="G23" s="171"/>
      <c r="H23" s="171"/>
      <c r="I23" s="172"/>
    </row>
    <row r="24" spans="1:13" ht="20.25" x14ac:dyDescent="0.3">
      <c r="A24" s="173" t="s">
        <v>123</v>
      </c>
      <c r="B24" s="174"/>
      <c r="C24" s="174"/>
      <c r="D24" s="174"/>
      <c r="E24" s="174"/>
      <c r="F24" s="174"/>
      <c r="G24" s="174"/>
      <c r="H24" s="174"/>
      <c r="I24" s="175"/>
    </row>
    <row r="25" spans="1:13" ht="25.9" customHeight="1" x14ac:dyDescent="0.3">
      <c r="A25" s="184" t="s">
        <v>124</v>
      </c>
      <c r="B25" s="185"/>
      <c r="C25" s="185"/>
      <c r="D25" s="185"/>
      <c r="E25" s="185"/>
      <c r="F25" s="185"/>
      <c r="G25" s="185"/>
      <c r="H25" s="185"/>
      <c r="I25" s="186"/>
    </row>
    <row r="26" spans="1:13" ht="21" thickBot="1" x14ac:dyDescent="0.35">
      <c r="A26" s="154"/>
      <c r="B26" s="155"/>
      <c r="C26" s="155"/>
      <c r="D26" s="155"/>
      <c r="E26" s="155"/>
      <c r="F26" s="155"/>
      <c r="G26" s="155"/>
      <c r="H26" s="155"/>
      <c r="I26" s="156"/>
    </row>
    <row r="27" spans="1:13" ht="20.25" x14ac:dyDescent="0.3">
      <c r="A27" s="157" t="s">
        <v>116</v>
      </c>
      <c r="B27" s="158"/>
      <c r="C27" s="158"/>
      <c r="D27" s="158"/>
      <c r="E27" s="158"/>
      <c r="F27" s="158"/>
      <c r="G27" s="158"/>
      <c r="H27" s="158"/>
      <c r="I27" s="159"/>
    </row>
    <row r="28" spans="1:13" ht="20.25" x14ac:dyDescent="0.3">
      <c r="A28" s="198"/>
      <c r="B28" s="198"/>
      <c r="C28" s="198"/>
      <c r="D28" s="198"/>
      <c r="E28" s="198"/>
      <c r="F28" s="198"/>
      <c r="G28" s="198"/>
      <c r="H28" s="198"/>
      <c r="I28" s="198"/>
    </row>
    <row r="29" spans="1:13" ht="20.25" x14ac:dyDescent="0.3">
      <c r="A29" s="198"/>
      <c r="B29" s="198"/>
      <c r="C29" s="198"/>
      <c r="D29" s="198"/>
      <c r="E29" s="198"/>
      <c r="F29" s="198"/>
      <c r="G29" s="198"/>
      <c r="H29" s="198"/>
      <c r="I29" s="198"/>
    </row>
  </sheetData>
  <mergeCells count="40">
    <mergeCell ref="A28:I28"/>
    <mergeCell ref="A29:I29"/>
    <mergeCell ref="I3:I5"/>
    <mergeCell ref="D4:G4"/>
    <mergeCell ref="D5:G5"/>
    <mergeCell ref="G8:H8"/>
    <mergeCell ref="A1:B5"/>
    <mergeCell ref="C1:G1"/>
    <mergeCell ref="C2:G2"/>
    <mergeCell ref="C3:G3"/>
    <mergeCell ref="H3:H5"/>
    <mergeCell ref="A8:A9"/>
    <mergeCell ref="B8:B9"/>
    <mergeCell ref="C8:C9"/>
    <mergeCell ref="D8:D9"/>
    <mergeCell ref="E8:F8"/>
    <mergeCell ref="A18:C18"/>
    <mergeCell ref="F18:G18"/>
    <mergeCell ref="H18:I18"/>
    <mergeCell ref="G7:H7"/>
    <mergeCell ref="A25:I25"/>
    <mergeCell ref="A19:C19"/>
    <mergeCell ref="F19:G19"/>
    <mergeCell ref="H19:I19"/>
    <mergeCell ref="A20:C20"/>
    <mergeCell ref="F20:G20"/>
    <mergeCell ref="H20:I20"/>
    <mergeCell ref="A7:C7"/>
    <mergeCell ref="D7:F7"/>
    <mergeCell ref="A17:C17"/>
    <mergeCell ref="F17:G17"/>
    <mergeCell ref="H17:I17"/>
    <mergeCell ref="A26:I26"/>
    <mergeCell ref="A27:I27"/>
    <mergeCell ref="A21:C21"/>
    <mergeCell ref="F21:G21"/>
    <mergeCell ref="H21:I21"/>
    <mergeCell ref="A22:I22"/>
    <mergeCell ref="A23:I23"/>
    <mergeCell ref="A24:I24"/>
  </mergeCells>
  <pageMargins left="0.25" right="0.25" top="0.75" bottom="0.75" header="0.3" footer="0.3"/>
  <pageSetup scale="58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39923-7F40-492F-AF81-C882E3DDB2C2}">
  <dimension ref="A1:Q91"/>
  <sheetViews>
    <sheetView topLeftCell="A28" workbookViewId="0">
      <selection activeCell="B66" sqref="B66:E66"/>
    </sheetView>
  </sheetViews>
  <sheetFormatPr baseColWidth="10" defaultColWidth="8.42578125" defaultRowHeight="12.75" x14ac:dyDescent="0.2"/>
  <cols>
    <col min="1" max="1" width="10" style="21" bestFit="1" customWidth="1"/>
    <col min="2" max="2" width="44.42578125" style="21" bestFit="1" customWidth="1"/>
    <col min="3" max="3" width="10.42578125" style="21" bestFit="1" customWidth="1"/>
    <col min="4" max="4" width="10.42578125" style="21" customWidth="1"/>
    <col min="5" max="5" width="11" style="21" customWidth="1"/>
    <col min="6" max="6" width="9.5703125" style="21" bestFit="1" customWidth="1"/>
    <col min="7" max="7" width="10.7109375" style="103" customWidth="1"/>
    <col min="8" max="8" width="10.42578125" style="94" bestFit="1" customWidth="1"/>
    <col min="9" max="9" width="4.5703125" style="94" customWidth="1"/>
    <col min="10" max="10" width="1.7109375" style="20" customWidth="1"/>
    <col min="11" max="11" width="7" style="21" bestFit="1" customWidth="1"/>
    <col min="12" max="12" width="6.42578125" style="21" customWidth="1"/>
    <col min="13" max="13" width="20.42578125" style="21" customWidth="1"/>
    <col min="14" max="14" width="6.42578125" style="21" bestFit="1" customWidth="1"/>
    <col min="15" max="16" width="8.42578125" style="21"/>
    <col min="17" max="17" width="3.42578125" style="21" customWidth="1"/>
    <col min="18" max="16384" width="8.42578125" style="21"/>
  </cols>
  <sheetData>
    <row r="1" spans="1:10" ht="27.75" customHeight="1" x14ac:dyDescent="0.2">
      <c r="A1" s="16"/>
      <c r="B1" s="16"/>
      <c r="C1" s="16"/>
      <c r="D1" s="16"/>
      <c r="E1" s="17" t="s">
        <v>56</v>
      </c>
      <c r="F1" s="18" t="s">
        <v>57</v>
      </c>
      <c r="G1" s="18" t="s">
        <v>58</v>
      </c>
      <c r="H1" s="18" t="s">
        <v>59</v>
      </c>
      <c r="I1" s="19"/>
    </row>
    <row r="2" spans="1:10" ht="30.75" customHeight="1" x14ac:dyDescent="0.2">
      <c r="A2" s="16"/>
      <c r="B2" s="16"/>
      <c r="C2" s="16"/>
      <c r="D2" s="16"/>
      <c r="E2" s="22">
        <f>IFERROR(O62,"")</f>
        <v>1372.2187532467533</v>
      </c>
      <c r="F2" s="22">
        <f>IFERROR(H53,"")</f>
        <v>1110.4960000000001</v>
      </c>
      <c r="G2" s="22">
        <f>IFERROR(H54,"")</f>
        <v>20.475999999999999</v>
      </c>
      <c r="H2" s="22">
        <f>IFERROR(H56,"")</f>
        <v>116.10000000000001</v>
      </c>
      <c r="I2" s="23"/>
    </row>
    <row r="3" spans="1:10" ht="15" customHeight="1" x14ac:dyDescent="0.2">
      <c r="A3" s="16"/>
      <c r="B3" s="16"/>
      <c r="C3" s="16"/>
      <c r="D3" s="16"/>
      <c r="E3" s="16"/>
      <c r="F3" s="24"/>
      <c r="G3" s="24"/>
      <c r="H3" s="24"/>
      <c r="I3" s="24"/>
    </row>
    <row r="4" spans="1:10" ht="24.75" customHeight="1" thickBot="1" x14ac:dyDescent="0.25">
      <c r="A4" s="235"/>
      <c r="B4" s="235"/>
      <c r="C4" s="235"/>
      <c r="D4" s="235"/>
      <c r="E4" s="235"/>
      <c r="F4" s="235"/>
      <c r="G4" s="235"/>
      <c r="H4" s="235"/>
      <c r="I4" s="25"/>
    </row>
    <row r="5" spans="1:10" ht="19.5" customHeight="1" thickBot="1" x14ac:dyDescent="0.25">
      <c r="A5" s="236" t="s">
        <v>60</v>
      </c>
      <c r="B5" s="237"/>
      <c r="C5" s="237"/>
      <c r="D5" s="237"/>
      <c r="E5" s="237"/>
      <c r="F5" s="237"/>
      <c r="G5" s="237"/>
      <c r="H5" s="238"/>
      <c r="I5" s="26"/>
    </row>
    <row r="6" spans="1:10" ht="19.5" thickBot="1" x14ac:dyDescent="0.25">
      <c r="A6" s="26"/>
      <c r="B6" s="26"/>
      <c r="C6" s="26"/>
      <c r="D6" s="26"/>
      <c r="E6" s="26"/>
      <c r="F6" s="239" t="s">
        <v>61</v>
      </c>
      <c r="G6" s="239"/>
      <c r="H6" s="27">
        <f ca="1">TODAY()</f>
        <v>46133</v>
      </c>
      <c r="I6" s="27"/>
    </row>
    <row r="7" spans="1:10" ht="26.25" hidden="1" thickBot="1" x14ac:dyDescent="0.25">
      <c r="A7" s="28" t="s">
        <v>62</v>
      </c>
      <c r="B7" s="29" t="s">
        <v>63</v>
      </c>
      <c r="C7" s="29" t="s">
        <v>62</v>
      </c>
      <c r="D7" s="30" t="s">
        <v>64</v>
      </c>
      <c r="E7" s="30" t="s">
        <v>65</v>
      </c>
      <c r="F7" s="30" t="s">
        <v>66</v>
      </c>
      <c r="G7" s="30" t="s">
        <v>67</v>
      </c>
      <c r="H7" s="31" t="s">
        <v>68</v>
      </c>
      <c r="I7" s="32"/>
    </row>
    <row r="8" spans="1:10" ht="13.5" hidden="1" x14ac:dyDescent="0.25">
      <c r="A8" s="33"/>
      <c r="B8" s="21" t="str">
        <f>IFERROR(VLOOKUP(H8,'[2]Consolidado MP Planta'!$A$2:$M$823,3,0),"")</f>
        <v/>
      </c>
      <c r="C8" s="34">
        <f>+A8</f>
        <v>0</v>
      </c>
      <c r="D8" s="35" t="str">
        <f>IFERROR(VLOOKUP(H8,'[2]Consolidado MP Planta'!$A$2:$M$823,13,0),"")</f>
        <v/>
      </c>
      <c r="E8" s="35" t="str">
        <f>IFERROR(VLOOKUP(H8,'[2]Consolidado MP Planta'!$A$2:$M$823,12,0),"")</f>
        <v/>
      </c>
      <c r="F8" s="35" t="str">
        <f>IFERROR(C8*E8,"")</f>
        <v/>
      </c>
      <c r="G8" s="36" t="str">
        <f t="shared" ref="G8:G14" si="0">IFERROR(F8/$F$66,"")</f>
        <v/>
      </c>
      <c r="H8" s="37"/>
      <c r="I8" s="37"/>
      <c r="J8" s="38"/>
    </row>
    <row r="9" spans="1:10" ht="13.5" hidden="1" x14ac:dyDescent="0.25">
      <c r="A9" s="33"/>
      <c r="B9" s="21" t="str">
        <f>IFERROR(VLOOKUP(H9,'[2]Consolidado MP Planta'!$A$2:$M$823,3,0),"")</f>
        <v/>
      </c>
      <c r="C9" s="34">
        <f t="shared" ref="C9:C14" si="1">+A9</f>
        <v>0</v>
      </c>
      <c r="D9" s="35" t="str">
        <f>IFERROR(VLOOKUP(H9,'[2]Consolidado MP Planta'!$A$2:$M$823,13,0),"")</f>
        <v/>
      </c>
      <c r="E9" s="35" t="str">
        <f>IFERROR(VLOOKUP(H9,'[2]Consolidado MP Planta'!$A$2:$M$823,12,0),"")</f>
        <v/>
      </c>
      <c r="F9" s="35" t="str">
        <f t="shared" ref="F9:F14" si="2">IFERROR(C9*E9,"")</f>
        <v/>
      </c>
      <c r="G9" s="36" t="str">
        <f t="shared" si="0"/>
        <v/>
      </c>
      <c r="H9" s="37"/>
      <c r="I9" s="37"/>
      <c r="J9" s="38"/>
    </row>
    <row r="10" spans="1:10" ht="13.5" hidden="1" x14ac:dyDescent="0.25">
      <c r="A10" s="33"/>
      <c r="B10" s="21" t="str">
        <f>IFERROR(VLOOKUP(H10,'[2]Consolidado MP Planta'!$A$2:$M$823,3,0),"")</f>
        <v/>
      </c>
      <c r="C10" s="34">
        <f t="shared" si="1"/>
        <v>0</v>
      </c>
      <c r="D10" s="35" t="str">
        <f>IFERROR(VLOOKUP(H10,'[2]Consolidado MP Planta'!$A$2:$M$823,13,0),"")</f>
        <v/>
      </c>
      <c r="E10" s="35" t="str">
        <f>IFERROR(VLOOKUP(H10,'[2]Consolidado MP Planta'!$A$2:$M$823,12,0),"")</f>
        <v/>
      </c>
      <c r="F10" s="35" t="str">
        <f t="shared" si="2"/>
        <v/>
      </c>
      <c r="G10" s="36" t="str">
        <f t="shared" si="0"/>
        <v/>
      </c>
      <c r="H10" s="37"/>
      <c r="I10" s="37"/>
      <c r="J10" s="38"/>
    </row>
    <row r="11" spans="1:10" ht="13.5" hidden="1" x14ac:dyDescent="0.25">
      <c r="A11" s="33"/>
      <c r="B11" s="21" t="str">
        <f>IFERROR(VLOOKUP(H11,'[2]Consolidado MP Planta'!$A$2:$M$823,3,0),"")</f>
        <v/>
      </c>
      <c r="C11" s="34">
        <f t="shared" si="1"/>
        <v>0</v>
      </c>
      <c r="D11" s="35" t="str">
        <f>IFERROR(VLOOKUP(H11,'[2]Consolidado MP Planta'!$A$2:$M$823,13,0),"")</f>
        <v/>
      </c>
      <c r="E11" s="35" t="str">
        <f>IFERROR(VLOOKUP(H11,'[2]Consolidado MP Planta'!$A$2:$M$823,12,0),"")</f>
        <v/>
      </c>
      <c r="F11" s="35" t="str">
        <f t="shared" si="2"/>
        <v/>
      </c>
      <c r="G11" s="36" t="str">
        <f t="shared" si="0"/>
        <v/>
      </c>
      <c r="H11" s="37"/>
      <c r="I11" s="37"/>
      <c r="J11" s="38"/>
    </row>
    <row r="12" spans="1:10" ht="13.5" hidden="1" x14ac:dyDescent="0.25">
      <c r="A12" s="33"/>
      <c r="B12" s="21" t="str">
        <f>IFERROR(VLOOKUP(H12,'[2]Consolidado MP Planta'!$A$2:$M$823,3,0),"")</f>
        <v/>
      </c>
      <c r="C12" s="34">
        <f t="shared" si="1"/>
        <v>0</v>
      </c>
      <c r="D12" s="35" t="str">
        <f>IFERROR(VLOOKUP(H12,'[2]Consolidado MP Planta'!$A$2:$M$823,13,0),"")</f>
        <v/>
      </c>
      <c r="E12" s="35" t="str">
        <f>IFERROR(VLOOKUP(H12,'[2]Consolidado MP Planta'!$A$2:$M$823,12,0),"")</f>
        <v/>
      </c>
      <c r="F12" s="35" t="str">
        <f t="shared" si="2"/>
        <v/>
      </c>
      <c r="G12" s="36" t="str">
        <f t="shared" si="0"/>
        <v/>
      </c>
      <c r="H12" s="37"/>
      <c r="I12" s="37"/>
      <c r="J12" s="38"/>
    </row>
    <row r="13" spans="1:10" ht="13.5" hidden="1" x14ac:dyDescent="0.25">
      <c r="A13" s="33"/>
      <c r="B13" s="21" t="str">
        <f>IFERROR(VLOOKUP(H13,'[2]Consolidado MP Planta'!$A$2:$M$823,3,0),"")</f>
        <v/>
      </c>
      <c r="C13" s="34">
        <f t="shared" si="1"/>
        <v>0</v>
      </c>
      <c r="D13" s="35" t="str">
        <f>IFERROR(VLOOKUP(H13,'[2]Consolidado MP Planta'!$A$2:$M$823,13,0),"")</f>
        <v/>
      </c>
      <c r="E13" s="35" t="str">
        <f>IFERROR(VLOOKUP(H13,'[2]Consolidado MP Planta'!$A$2:$M$823,12,0),"")</f>
        <v/>
      </c>
      <c r="F13" s="35" t="str">
        <f t="shared" si="2"/>
        <v/>
      </c>
      <c r="G13" s="36" t="str">
        <f t="shared" si="0"/>
        <v/>
      </c>
      <c r="H13" s="37"/>
      <c r="I13" s="37"/>
      <c r="J13" s="38"/>
    </row>
    <row r="14" spans="1:10" ht="13.5" hidden="1" x14ac:dyDescent="0.25">
      <c r="A14" s="33"/>
      <c r="B14" s="21" t="str">
        <f>IFERROR(VLOOKUP(H14,'[2]Consolidado MP Planta'!$A$2:$M$823,3,0),"")</f>
        <v/>
      </c>
      <c r="C14" s="34">
        <f t="shared" si="1"/>
        <v>0</v>
      </c>
      <c r="D14" s="35" t="str">
        <f>IFERROR(VLOOKUP(H14,'[2]Consolidado MP Planta'!$A$2:$M$823,13,0),"")</f>
        <v/>
      </c>
      <c r="E14" s="35" t="str">
        <f>IFERROR(VLOOKUP(H14,'[2]Consolidado MP Planta'!$A$2:$M$823,12,0),"")</f>
        <v/>
      </c>
      <c r="F14" s="35" t="str">
        <f t="shared" si="2"/>
        <v/>
      </c>
      <c r="G14" s="36" t="str">
        <f t="shared" si="0"/>
        <v/>
      </c>
      <c r="H14" s="37"/>
      <c r="I14" s="37"/>
      <c r="J14" s="38"/>
    </row>
    <row r="15" spans="1:10" ht="14.25" hidden="1" thickBot="1" x14ac:dyDescent="0.3">
      <c r="A15" s="33"/>
      <c r="B15" s="21" t="str">
        <f>IFERROR(VLOOKUP(H15,[1]Hoja2!$A$2:$G$589,2,0),"")</f>
        <v/>
      </c>
      <c r="C15" s="34"/>
      <c r="D15" s="35"/>
      <c r="E15" s="35"/>
      <c r="F15" s="35"/>
      <c r="G15" s="36"/>
      <c r="H15" s="37"/>
      <c r="I15" s="37"/>
      <c r="J15" s="38"/>
    </row>
    <row r="16" spans="1:10" ht="26.25" thickBot="1" x14ac:dyDescent="0.25">
      <c r="A16" s="28" t="s">
        <v>62</v>
      </c>
      <c r="B16" s="29" t="s">
        <v>69</v>
      </c>
      <c r="C16" s="29" t="s">
        <v>62</v>
      </c>
      <c r="D16" s="30" t="s">
        <v>64</v>
      </c>
      <c r="E16" s="30" t="s">
        <v>65</v>
      </c>
      <c r="F16" s="30" t="s">
        <v>66</v>
      </c>
      <c r="G16" s="30" t="s">
        <v>67</v>
      </c>
      <c r="H16" s="31" t="s">
        <v>68</v>
      </c>
      <c r="I16" s="32"/>
      <c r="J16" s="38"/>
    </row>
    <row r="17" spans="1:12" ht="13.5" x14ac:dyDescent="0.25">
      <c r="A17" s="33">
        <v>400</v>
      </c>
      <c r="B17" s="21" t="s">
        <v>53</v>
      </c>
      <c r="C17" s="34">
        <f>+A17</f>
        <v>400</v>
      </c>
      <c r="D17" s="34" t="s">
        <v>108</v>
      </c>
      <c r="E17" s="35">
        <f>+'Costo Salsa Para saltado'!E69</f>
        <v>2.77624</v>
      </c>
      <c r="F17" s="35">
        <f>IFERROR(E17*C17,"")</f>
        <v>1110.4960000000001</v>
      </c>
      <c r="G17" s="36">
        <f t="shared" ref="G17:G24" si="3">IFERROR(F17/$F$66,"")</f>
        <v>0.93187282727256604</v>
      </c>
      <c r="H17" s="37"/>
      <c r="I17" s="37"/>
      <c r="J17" s="38"/>
    </row>
    <row r="18" spans="1:12" ht="13.5" hidden="1" x14ac:dyDescent="0.25">
      <c r="A18" s="33"/>
      <c r="B18" s="21" t="str">
        <f>IFERROR(VLOOKUP(H18,[2]SEMIELABORADOS!$A$2:$M$6000,2,0),"")</f>
        <v/>
      </c>
      <c r="C18" s="34">
        <f t="shared" ref="C18:C24" si="4">+A18</f>
        <v>0</v>
      </c>
      <c r="D18" s="34" t="str">
        <f>IFERROR(VLOOKUP(H18,[2]SEMIELABORADOS!$A$2:$M$6000,6,0),"")</f>
        <v/>
      </c>
      <c r="E18" s="35" t="str">
        <f>IFERROR(VLOOKUP(H18,[2]SEMIELABORADOS!$A$2:$H$65536,8,0),"")</f>
        <v/>
      </c>
      <c r="F18" s="35" t="str">
        <f t="shared" ref="F18:F24" si="5">IFERROR(E18*C18,"")</f>
        <v/>
      </c>
      <c r="G18" s="36" t="str">
        <f t="shared" si="3"/>
        <v/>
      </c>
      <c r="H18" s="37"/>
      <c r="I18" s="37"/>
      <c r="J18" s="38"/>
    </row>
    <row r="19" spans="1:12" ht="13.5" hidden="1" x14ac:dyDescent="0.25">
      <c r="A19" s="33"/>
      <c r="B19" s="21" t="str">
        <f>IFERROR(VLOOKUP(H19,[2]SEMIELABORADOS!$A$2:$M$6000,2,0),"")</f>
        <v/>
      </c>
      <c r="C19" s="34">
        <f>+A19</f>
        <v>0</v>
      </c>
      <c r="D19" s="34" t="str">
        <f>IFERROR(VLOOKUP(H19,[2]SEMIELABORADOS!$A$2:$M$6000,6,0),"")</f>
        <v/>
      </c>
      <c r="E19" s="35" t="str">
        <f>IFERROR(VLOOKUP(H19,[2]SEMIELABORADOS!$A$2:$H$65536,8,0),"")</f>
        <v/>
      </c>
      <c r="F19" s="35" t="str">
        <f>IFERROR(E19*C19,"")</f>
        <v/>
      </c>
      <c r="G19" s="36" t="str">
        <f t="shared" si="3"/>
        <v/>
      </c>
      <c r="H19" s="37"/>
      <c r="I19" s="37"/>
      <c r="J19" s="38"/>
    </row>
    <row r="20" spans="1:12" ht="13.5" hidden="1" x14ac:dyDescent="0.25">
      <c r="A20" s="33"/>
      <c r="B20" s="21" t="str">
        <f>IFERROR(VLOOKUP(H20,[2]SEMIELABORADOS!$A$2:$M$6000,2,0),"")</f>
        <v/>
      </c>
      <c r="C20" s="34">
        <f>+A20</f>
        <v>0</v>
      </c>
      <c r="D20" s="34" t="str">
        <f>IFERROR(VLOOKUP(H20,[2]SEMIELABORADOS!$A$2:$M$6000,6,0),"")</f>
        <v/>
      </c>
      <c r="E20" s="35" t="str">
        <f>IFERROR(VLOOKUP(H20,[2]SEMIELABORADOS!$A$2:$H$65536,8,0),"")</f>
        <v/>
      </c>
      <c r="F20" s="35" t="str">
        <f>IFERROR(E20*C20,"")</f>
        <v/>
      </c>
      <c r="G20" s="36" t="str">
        <f t="shared" si="3"/>
        <v/>
      </c>
      <c r="H20" s="37"/>
      <c r="I20" s="37"/>
      <c r="J20" s="38"/>
    </row>
    <row r="21" spans="1:12" ht="13.5" hidden="1" x14ac:dyDescent="0.25">
      <c r="A21" s="33"/>
      <c r="B21" s="21" t="str">
        <f>IFERROR(VLOOKUP(H21,[2]SEMIELABORADOS!$A$2:$M$6000,2,0),"")</f>
        <v/>
      </c>
      <c r="C21" s="34">
        <f>+A21</f>
        <v>0</v>
      </c>
      <c r="D21" s="34" t="str">
        <f>IFERROR(VLOOKUP(H21,[2]SEMIELABORADOS!$A$2:$M$6000,6,0),"")</f>
        <v/>
      </c>
      <c r="E21" s="35" t="str">
        <f>IFERROR(VLOOKUP(H21,[2]SEMIELABORADOS!$A$2:$H$65536,8,0),"")</f>
        <v/>
      </c>
      <c r="F21" s="35" t="str">
        <f>IFERROR(E21*C21,"")</f>
        <v/>
      </c>
      <c r="G21" s="36" t="str">
        <f t="shared" si="3"/>
        <v/>
      </c>
      <c r="H21" s="37"/>
      <c r="I21" s="37"/>
      <c r="J21" s="38"/>
    </row>
    <row r="22" spans="1:12" ht="13.5" hidden="1" x14ac:dyDescent="0.25">
      <c r="A22" s="33"/>
      <c r="B22" s="21" t="str">
        <f>IFERROR(VLOOKUP(H22,[2]SEMIELABORADOS!$A$2:$M$6000,2,0),"")</f>
        <v/>
      </c>
      <c r="C22" s="34">
        <f t="shared" si="4"/>
        <v>0</v>
      </c>
      <c r="D22" s="34" t="str">
        <f>IFERROR(VLOOKUP(H22,[2]SEMIELABORADOS!$A$2:$M$6000,6,0),"")</f>
        <v/>
      </c>
      <c r="E22" s="35" t="str">
        <f>IFERROR(VLOOKUP(H22,[2]SEMIELABORADOS!$A$2:$H$65536,8,0),"")</f>
        <v/>
      </c>
      <c r="F22" s="35" t="str">
        <f t="shared" si="5"/>
        <v/>
      </c>
      <c r="G22" s="36" t="str">
        <f t="shared" si="3"/>
        <v/>
      </c>
      <c r="H22" s="37"/>
      <c r="I22" s="37"/>
      <c r="J22" s="38"/>
    </row>
    <row r="23" spans="1:12" ht="13.5" hidden="1" x14ac:dyDescent="0.25">
      <c r="A23" s="33"/>
      <c r="B23" s="21" t="str">
        <f>IFERROR(VLOOKUP(H23,[2]SEMIELABORADOS!$A$2:$M$6000,2,0),"")</f>
        <v/>
      </c>
      <c r="C23" s="34">
        <f t="shared" si="4"/>
        <v>0</v>
      </c>
      <c r="D23" s="34" t="str">
        <f>IFERROR(VLOOKUP(H23,[2]SEMIELABORADOS!$A$2:$M$6000,6,0),"")</f>
        <v/>
      </c>
      <c r="E23" s="35" t="str">
        <f>IFERROR(VLOOKUP(H23,[2]SEMIELABORADOS!$A$2:$H$65536,8,0),"")</f>
        <v/>
      </c>
      <c r="F23" s="35" t="str">
        <f t="shared" si="5"/>
        <v/>
      </c>
      <c r="G23" s="36" t="str">
        <f t="shared" si="3"/>
        <v/>
      </c>
      <c r="H23" s="37"/>
      <c r="I23" s="37"/>
      <c r="J23" s="38"/>
    </row>
    <row r="24" spans="1:12" ht="13.5" hidden="1" x14ac:dyDescent="0.25">
      <c r="A24" s="33"/>
      <c r="B24" s="21" t="str">
        <f>IFERROR(VLOOKUP(H24,[2]SEMIELABORADOS!$A$2:$M$6000,2,0),"")</f>
        <v/>
      </c>
      <c r="C24" s="34">
        <f t="shared" si="4"/>
        <v>0</v>
      </c>
      <c r="D24" s="34" t="str">
        <f>IFERROR(VLOOKUP(H24,[2]SEMIELABORADOS!$A$2:$M$6000,6,0),"")</f>
        <v/>
      </c>
      <c r="E24" s="35" t="str">
        <f>IFERROR(VLOOKUP(H24,[2]SEMIELABORADOS!$A$2:$H$65536,8,0),"")</f>
        <v/>
      </c>
      <c r="F24" s="35" t="str">
        <f t="shared" si="5"/>
        <v/>
      </c>
      <c r="G24" s="36" t="str">
        <f t="shared" si="3"/>
        <v/>
      </c>
      <c r="H24" s="37"/>
      <c r="I24" s="37"/>
      <c r="J24" s="38"/>
    </row>
    <row r="25" spans="1:12" ht="14.25" thickBot="1" x14ac:dyDescent="0.3">
      <c r="A25" s="33"/>
      <c r="C25" s="34"/>
      <c r="D25" s="34"/>
      <c r="E25" s="35"/>
      <c r="F25" s="35"/>
      <c r="G25" s="36"/>
      <c r="H25" s="37"/>
      <c r="I25" s="37"/>
      <c r="J25" s="38"/>
    </row>
    <row r="26" spans="1:12" ht="26.25" thickBot="1" x14ac:dyDescent="0.25">
      <c r="A26" s="28" t="s">
        <v>62</v>
      </c>
      <c r="B26" s="29" t="s">
        <v>70</v>
      </c>
      <c r="C26" s="29" t="s">
        <v>62</v>
      </c>
      <c r="D26" s="30" t="s">
        <v>64</v>
      </c>
      <c r="E26" s="30" t="s">
        <v>65</v>
      </c>
      <c r="F26" s="30" t="s">
        <v>66</v>
      </c>
      <c r="G26" s="30" t="s">
        <v>67</v>
      </c>
      <c r="H26" s="31" t="s">
        <v>68</v>
      </c>
      <c r="I26" s="32"/>
    </row>
    <row r="27" spans="1:12" ht="13.5" x14ac:dyDescent="0.25">
      <c r="A27" s="33">
        <v>1</v>
      </c>
      <c r="B27" s="39" t="s">
        <v>54</v>
      </c>
      <c r="C27" s="34">
        <f t="shared" ref="C27:C32" si="6">+A27</f>
        <v>1</v>
      </c>
      <c r="D27" s="35" t="s">
        <v>111</v>
      </c>
      <c r="E27" s="35">
        <v>15</v>
      </c>
      <c r="F27" s="35">
        <f t="shared" ref="F27:F32" si="7">IFERROR(C27*E27,"")</f>
        <v>15</v>
      </c>
      <c r="G27" s="36">
        <f t="shared" ref="G27:G32" si="8">IFERROR(F27/$F$66,"")</f>
        <v>1.2587251470593761E-2</v>
      </c>
      <c r="H27" s="40" t="s">
        <v>47</v>
      </c>
      <c r="I27" s="40"/>
      <c r="J27" s="38"/>
      <c r="K27" s="234"/>
      <c r="L27" s="234"/>
    </row>
    <row r="28" spans="1:12" ht="13.5" x14ac:dyDescent="0.25">
      <c r="A28" s="33">
        <v>1</v>
      </c>
      <c r="B28" s="39" t="s">
        <v>55</v>
      </c>
      <c r="C28" s="34">
        <f t="shared" si="6"/>
        <v>1</v>
      </c>
      <c r="D28" s="35" t="s">
        <v>111</v>
      </c>
      <c r="E28" s="35">
        <v>2.5</v>
      </c>
      <c r="F28" s="35">
        <f t="shared" si="7"/>
        <v>2.5</v>
      </c>
      <c r="G28" s="36">
        <f t="shared" si="8"/>
        <v>2.0978752450989601E-3</v>
      </c>
      <c r="H28" s="40" t="s">
        <v>49</v>
      </c>
      <c r="I28" s="40"/>
      <c r="J28" s="38"/>
      <c r="K28" s="234"/>
      <c r="L28" s="234"/>
    </row>
    <row r="29" spans="1:12" ht="13.5" x14ac:dyDescent="0.25">
      <c r="A29" s="33">
        <v>1</v>
      </c>
      <c r="B29" s="39" t="s">
        <v>51</v>
      </c>
      <c r="C29" s="34">
        <f t="shared" si="6"/>
        <v>1</v>
      </c>
      <c r="D29" s="35" t="s">
        <v>111</v>
      </c>
      <c r="E29" s="35">
        <v>2.25</v>
      </c>
      <c r="F29" s="35">
        <f t="shared" si="7"/>
        <v>2.25</v>
      </c>
      <c r="G29" s="36">
        <f t="shared" si="8"/>
        <v>1.8880877205890642E-3</v>
      </c>
      <c r="H29" s="40" t="s">
        <v>50</v>
      </c>
      <c r="I29" s="40"/>
      <c r="J29" s="38"/>
      <c r="K29" s="234"/>
      <c r="L29" s="234"/>
    </row>
    <row r="30" spans="1:12" ht="13.5" hidden="1" x14ac:dyDescent="0.25">
      <c r="A30" s="33"/>
      <c r="B30" s="39" t="str">
        <f>IFERROR(VLOOKUP(H30,'[2]Consolidado MP Planta'!$A$2:$M$823,3,0),"")</f>
        <v/>
      </c>
      <c r="C30" s="34">
        <f t="shared" si="6"/>
        <v>0</v>
      </c>
      <c r="D30" s="35" t="str">
        <f>IFERROR(VLOOKUP(H30,'[2]Consolidado MP Planta'!$A$2:$M$823,13,0),"")</f>
        <v/>
      </c>
      <c r="E30" s="35" t="str">
        <f>IFERROR(VLOOKUP(H30,'[2]Consolidado MP Planta'!$A$2:$M$823,12,0),"")</f>
        <v/>
      </c>
      <c r="F30" s="35" t="str">
        <f t="shared" si="7"/>
        <v/>
      </c>
      <c r="G30" s="36" t="str">
        <f t="shared" si="8"/>
        <v/>
      </c>
      <c r="H30" s="40"/>
      <c r="I30" s="40"/>
      <c r="J30" s="38"/>
      <c r="K30" s="234"/>
      <c r="L30" s="234"/>
    </row>
    <row r="31" spans="1:12" ht="13.5" hidden="1" x14ac:dyDescent="0.25">
      <c r="A31" s="33"/>
      <c r="B31" s="39" t="str">
        <f>IFERROR(VLOOKUP(H31,'[2]Consolidado MP Planta'!$A$2:$M$823,3,0),"")</f>
        <v/>
      </c>
      <c r="C31" s="34">
        <f t="shared" si="6"/>
        <v>0</v>
      </c>
      <c r="D31" s="35" t="str">
        <f>IFERROR(VLOOKUP(H31,'[2]Consolidado MP Planta'!$A$2:$M$823,13,0),"")</f>
        <v/>
      </c>
      <c r="E31" s="35" t="str">
        <f>IFERROR(VLOOKUP(H31,'[2]Consolidado MP Planta'!$A$2:$M$823,12,0),"")</f>
        <v/>
      </c>
      <c r="F31" s="35" t="str">
        <f t="shared" si="7"/>
        <v/>
      </c>
      <c r="G31" s="36" t="str">
        <f t="shared" si="8"/>
        <v/>
      </c>
      <c r="H31" s="40"/>
      <c r="I31" s="40"/>
      <c r="J31" s="38"/>
      <c r="K31" s="41"/>
      <c r="L31" s="42"/>
    </row>
    <row r="32" spans="1:12" ht="13.5" hidden="1" x14ac:dyDescent="0.25">
      <c r="A32" s="33"/>
      <c r="B32" s="39" t="str">
        <f>IFERROR(VLOOKUP(H32,'[2]Consolidado MP Planta'!$A$2:$M$823,3,0),"")</f>
        <v/>
      </c>
      <c r="C32" s="34">
        <f t="shared" si="6"/>
        <v>0</v>
      </c>
      <c r="D32" s="35" t="str">
        <f>IFERROR(VLOOKUP(H32,'[2]Consolidado MP Planta'!$A$2:$M$823,13,0),"")</f>
        <v/>
      </c>
      <c r="E32" s="35" t="str">
        <f>IFERROR(VLOOKUP(H32,'[2]Consolidado MP Planta'!$A$2:$M$823,12,0),"")</f>
        <v/>
      </c>
      <c r="F32" s="35" t="str">
        <f t="shared" si="7"/>
        <v/>
      </c>
      <c r="G32" s="36" t="str">
        <f t="shared" si="8"/>
        <v/>
      </c>
      <c r="H32" s="40"/>
      <c r="I32" s="40"/>
      <c r="J32" s="38"/>
    </row>
    <row r="33" spans="1:13" ht="14.25" thickBot="1" x14ac:dyDescent="0.3">
      <c r="A33" s="33"/>
      <c r="B33" s="39"/>
      <c r="C33" s="34"/>
      <c r="D33" s="35"/>
      <c r="E33" s="35"/>
      <c r="F33" s="35"/>
      <c r="G33" s="36"/>
      <c r="H33" s="40"/>
      <c r="I33" s="40"/>
      <c r="J33" s="38"/>
    </row>
    <row r="34" spans="1:13" ht="26.25" thickBot="1" x14ac:dyDescent="0.25">
      <c r="A34" s="28" t="s">
        <v>62</v>
      </c>
      <c r="B34" s="29" t="s">
        <v>71</v>
      </c>
      <c r="C34" s="29" t="s">
        <v>62</v>
      </c>
      <c r="D34" s="30" t="s">
        <v>64</v>
      </c>
      <c r="E34" s="30" t="s">
        <v>65</v>
      </c>
      <c r="F34" s="30" t="s">
        <v>66</v>
      </c>
      <c r="G34" s="30" t="s">
        <v>67</v>
      </c>
      <c r="H34" s="31" t="s">
        <v>68</v>
      </c>
      <c r="I34" s="40"/>
      <c r="J34" s="38"/>
    </row>
    <row r="35" spans="1:13" ht="13.5" x14ac:dyDescent="0.25">
      <c r="A35" s="33">
        <f>+A17</f>
        <v>400</v>
      </c>
      <c r="B35" s="39" t="s">
        <v>53</v>
      </c>
      <c r="C35" s="34">
        <f>+A35</f>
        <v>400</v>
      </c>
      <c r="D35" s="35" t="s">
        <v>108</v>
      </c>
      <c r="E35" s="35">
        <f>+'Costo Salsa Para saltado'!E76</f>
        <v>1.815E-3</v>
      </c>
      <c r="F35" s="35">
        <f>IFERROR(E35*C35,"")</f>
        <v>0.72599999999999998</v>
      </c>
      <c r="G35" s="36">
        <f t="shared" ref="G35:G41" si="9">IFERROR(F35/$F$66,"")</f>
        <v>6.0922297117673807E-4</v>
      </c>
      <c r="H35" s="40"/>
      <c r="I35" s="40"/>
      <c r="J35" s="38"/>
    </row>
    <row r="36" spans="1:13" ht="13.5" hidden="1" x14ac:dyDescent="0.25">
      <c r="A36" s="33">
        <f t="shared" ref="A36:A41" si="10">+A18</f>
        <v>0</v>
      </c>
      <c r="B36" s="39" t="str">
        <f>IFERROR(VLOOKUP(H36,[2]SEMIELABORADOS!$A$2:$M$6000,2,0),"")</f>
        <v/>
      </c>
      <c r="C36" s="34">
        <f t="shared" ref="C36:C41" si="11">+A36</f>
        <v>0</v>
      </c>
      <c r="D36" s="35" t="str">
        <f>IFERROR(VLOOKUP(H36,[2]SEMIELABORADOS!$A$2:$M$6000,6,0),"")</f>
        <v/>
      </c>
      <c r="E36" s="35" t="str">
        <f>IFERROR(VLOOKUP(H36,[2]SEMIELABORADOS!$A$2:$M$65536,10,0),"")</f>
        <v/>
      </c>
      <c r="F36" s="35" t="str">
        <f t="shared" ref="F36:F41" si="12">IFERROR(E36*C36,"")</f>
        <v/>
      </c>
      <c r="G36" s="36" t="str">
        <f t="shared" si="9"/>
        <v/>
      </c>
      <c r="H36" s="40"/>
      <c r="I36" s="40"/>
      <c r="J36" s="38"/>
    </row>
    <row r="37" spans="1:13" ht="13.5" hidden="1" x14ac:dyDescent="0.25">
      <c r="A37" s="33">
        <f t="shared" si="10"/>
        <v>0</v>
      </c>
      <c r="B37" s="39" t="str">
        <f>IFERROR(VLOOKUP(H37,[2]SEMIELABORADOS!$A$2:$M$6000,2,0),"")</f>
        <v/>
      </c>
      <c r="C37" s="34">
        <f t="shared" si="11"/>
        <v>0</v>
      </c>
      <c r="D37" s="35" t="str">
        <f>IFERROR(VLOOKUP(H37,[2]SEMIELABORADOS!$A$2:$M$6000,6,0),"")</f>
        <v/>
      </c>
      <c r="E37" s="35" t="str">
        <f>IFERROR(VLOOKUP(H37,[2]SEMIELABORADOS!$A$2:$M$65536,10,0),"")</f>
        <v/>
      </c>
      <c r="F37" s="35" t="str">
        <f t="shared" si="12"/>
        <v/>
      </c>
      <c r="G37" s="36" t="str">
        <f t="shared" si="9"/>
        <v/>
      </c>
      <c r="H37" s="40"/>
      <c r="I37" s="40"/>
      <c r="J37" s="38"/>
    </row>
    <row r="38" spans="1:13" ht="13.5" hidden="1" x14ac:dyDescent="0.25">
      <c r="A38" s="33">
        <f t="shared" si="10"/>
        <v>0</v>
      </c>
      <c r="B38" s="39" t="str">
        <f>IFERROR(VLOOKUP(H38,[2]SEMIELABORADOS!$A$2:$M$6000,2,0),"")</f>
        <v/>
      </c>
      <c r="C38" s="34">
        <f>+A38</f>
        <v>0</v>
      </c>
      <c r="D38" s="35" t="str">
        <f>IFERROR(VLOOKUP(H38,[2]SEMIELABORADOS!$A$2:$M$6000,6,0),"")</f>
        <v/>
      </c>
      <c r="E38" s="35" t="str">
        <f>IFERROR(VLOOKUP(H38,[2]SEMIELABORADOS!$A$2:$M$65536,10,0),"")</f>
        <v/>
      </c>
      <c r="F38" s="35" t="str">
        <f>IFERROR(E38*C38,"")</f>
        <v/>
      </c>
      <c r="G38" s="36" t="str">
        <f t="shared" si="9"/>
        <v/>
      </c>
      <c r="H38" s="40"/>
      <c r="I38" s="40"/>
      <c r="J38" s="38"/>
    </row>
    <row r="39" spans="1:13" ht="13.5" hidden="1" x14ac:dyDescent="0.25">
      <c r="A39" s="33">
        <f t="shared" si="10"/>
        <v>0</v>
      </c>
      <c r="B39" s="39" t="str">
        <f>IFERROR(VLOOKUP(H39,[2]SEMIELABORADOS!$A$2:$M$6000,2,0),"")</f>
        <v/>
      </c>
      <c r="C39" s="34">
        <f>+A39</f>
        <v>0</v>
      </c>
      <c r="D39" s="35" t="str">
        <f>IFERROR(VLOOKUP(H39,[2]SEMIELABORADOS!$A$2:$M$6000,6,0),"")</f>
        <v/>
      </c>
      <c r="E39" s="35" t="str">
        <f>IFERROR(VLOOKUP(H39,[2]SEMIELABORADOS!$A$2:$M$65536,10,0),"")</f>
        <v/>
      </c>
      <c r="F39" s="35" t="str">
        <f>IFERROR(E39*C39,"")</f>
        <v/>
      </c>
      <c r="G39" s="36" t="str">
        <f t="shared" si="9"/>
        <v/>
      </c>
      <c r="H39" s="40"/>
      <c r="I39" s="40"/>
      <c r="J39" s="38"/>
    </row>
    <row r="40" spans="1:13" ht="13.5" hidden="1" x14ac:dyDescent="0.25">
      <c r="A40" s="33">
        <f t="shared" si="10"/>
        <v>0</v>
      </c>
      <c r="B40" s="39" t="str">
        <f>IFERROR(VLOOKUP(H40,[2]SEMIELABORADOS!$A$2:$M$6000,2,0),"")</f>
        <v/>
      </c>
      <c r="C40" s="34">
        <f t="shared" si="11"/>
        <v>0</v>
      </c>
      <c r="D40" s="35" t="str">
        <f>IFERROR(VLOOKUP(H40,[2]SEMIELABORADOS!$A$2:$M$6000,6,0),"")</f>
        <v/>
      </c>
      <c r="E40" s="35" t="str">
        <f>IFERROR(VLOOKUP(H40,[2]SEMIELABORADOS!$A$2:$M$65536,10,0),"")</f>
        <v/>
      </c>
      <c r="F40" s="35" t="str">
        <f t="shared" si="12"/>
        <v/>
      </c>
      <c r="G40" s="36" t="str">
        <f t="shared" si="9"/>
        <v/>
      </c>
      <c r="H40" s="40"/>
      <c r="I40" s="40"/>
      <c r="J40" s="38"/>
    </row>
    <row r="41" spans="1:13" ht="13.5" hidden="1" x14ac:dyDescent="0.25">
      <c r="A41" s="33">
        <f t="shared" si="10"/>
        <v>0</v>
      </c>
      <c r="B41" s="39" t="str">
        <f>IFERROR(VLOOKUP(H41,[2]SEMIELABORADOS!$A$2:$M$6000,2,0),"")</f>
        <v/>
      </c>
      <c r="C41" s="34">
        <f t="shared" si="11"/>
        <v>0</v>
      </c>
      <c r="D41" s="35" t="str">
        <f>IFERROR(VLOOKUP(H41,[2]SEMIELABORADOS!$A$2:$M$6000,6,0),"")</f>
        <v/>
      </c>
      <c r="E41" s="35" t="str">
        <f>IFERROR(VLOOKUP(H41,[2]SEMIELABORADOS!$A$2:$M$65536,10,0),"")</f>
        <v/>
      </c>
      <c r="F41" s="35" t="str">
        <f t="shared" si="12"/>
        <v/>
      </c>
      <c r="G41" s="36" t="str">
        <f t="shared" si="9"/>
        <v/>
      </c>
      <c r="H41" s="40"/>
      <c r="I41" s="40"/>
      <c r="J41" s="38"/>
    </row>
    <row r="42" spans="1:13" ht="14.25" thickBot="1" x14ac:dyDescent="0.3">
      <c r="A42" s="33"/>
      <c r="B42" s="39"/>
      <c r="C42" s="34"/>
      <c r="D42" s="35"/>
      <c r="E42" s="35"/>
      <c r="F42" s="35"/>
      <c r="G42" s="36"/>
      <c r="H42" s="40"/>
      <c r="I42" s="40"/>
      <c r="J42" s="38"/>
    </row>
    <row r="43" spans="1:13" ht="26.25" thickBot="1" x14ac:dyDescent="0.25">
      <c r="A43" s="28" t="s">
        <v>62</v>
      </c>
      <c r="B43" s="29" t="s">
        <v>72</v>
      </c>
      <c r="C43" s="29" t="s">
        <v>62</v>
      </c>
      <c r="D43" s="30" t="s">
        <v>64</v>
      </c>
      <c r="E43" s="30" t="s">
        <v>65</v>
      </c>
      <c r="F43" s="30" t="s">
        <v>66</v>
      </c>
      <c r="G43" s="30" t="s">
        <v>67</v>
      </c>
      <c r="H43" s="31" t="s">
        <v>68</v>
      </c>
      <c r="I43" s="32"/>
      <c r="J43" s="38"/>
    </row>
    <row r="44" spans="1:13" ht="13.5" x14ac:dyDescent="0.25">
      <c r="A44" s="33">
        <f>+A35</f>
        <v>400</v>
      </c>
      <c r="B44" s="39" t="s">
        <v>53</v>
      </c>
      <c r="C44" s="34">
        <f>+A44</f>
        <v>400</v>
      </c>
      <c r="D44" s="35" t="s">
        <v>108</v>
      </c>
      <c r="E44" s="35">
        <f>+'Costo Salsa Para saltado'!E74</f>
        <v>0.19400000000000001</v>
      </c>
      <c r="F44" s="35">
        <f>IFERROR(E44*C44,"")</f>
        <v>77.600000000000009</v>
      </c>
      <c r="G44" s="36">
        <f>IFERROR(F44/$F$66,"")</f>
        <v>6.5118047607871737E-2</v>
      </c>
      <c r="H44" s="40"/>
      <c r="I44" s="32"/>
      <c r="J44" s="38"/>
    </row>
    <row r="45" spans="1:13" ht="13.5" hidden="1" x14ac:dyDescent="0.25">
      <c r="A45" s="33">
        <f t="shared" ref="A45:A50" si="13">+A36</f>
        <v>0</v>
      </c>
      <c r="B45" s="39" t="str">
        <f>IFERROR(VLOOKUP(H45,[2]SEMIELABORADOS!$A$2:$M$6000,2,0),"")</f>
        <v/>
      </c>
      <c r="C45" s="34">
        <f t="shared" ref="C45:C50" si="14">+A45</f>
        <v>0</v>
      </c>
      <c r="D45" s="35" t="str">
        <f>IFERROR(VLOOKUP(H45,[2]SEMIELABORADOS!$A$2:$M$6000,6,0),"")</f>
        <v/>
      </c>
      <c r="E45" s="35" t="str">
        <f>IFERROR(VLOOKUP(H45,[2]SEMIELABORADOS!$A$2:$M$65536,12,0),"")</f>
        <v/>
      </c>
      <c r="F45" s="35" t="str">
        <f t="shared" ref="F45:F50" si="15">IFERROR(E45*C45,"")</f>
        <v/>
      </c>
      <c r="G45" s="36" t="str">
        <f t="shared" ref="G45:G50" si="16">IFERROR(F45/$F$66,"")</f>
        <v/>
      </c>
      <c r="H45" s="40"/>
      <c r="I45" s="32"/>
      <c r="J45" s="38"/>
      <c r="M45" s="43"/>
    </row>
    <row r="46" spans="1:13" ht="13.5" hidden="1" x14ac:dyDescent="0.25">
      <c r="A46" s="33">
        <f t="shared" si="13"/>
        <v>0</v>
      </c>
      <c r="B46" s="39" t="str">
        <f>IFERROR(VLOOKUP(H46,[2]SEMIELABORADOS!$A$2:$M$6000,2,0),"")</f>
        <v/>
      </c>
      <c r="C46" s="34">
        <f t="shared" si="14"/>
        <v>0</v>
      </c>
      <c r="D46" s="35" t="str">
        <f>IFERROR(VLOOKUP(H46,[2]SEMIELABORADOS!$A$2:$M$6000,6,0),"")</f>
        <v/>
      </c>
      <c r="E46" s="35" t="str">
        <f>IFERROR(VLOOKUP(H46,[2]SEMIELABORADOS!$A$2:$M$65536,12,0),"")</f>
        <v/>
      </c>
      <c r="F46" s="35" t="str">
        <f t="shared" si="15"/>
        <v/>
      </c>
      <c r="G46" s="36" t="str">
        <f t="shared" si="16"/>
        <v/>
      </c>
      <c r="H46" s="40"/>
      <c r="I46" s="32"/>
      <c r="J46" s="38"/>
    </row>
    <row r="47" spans="1:13" ht="13.5" hidden="1" x14ac:dyDescent="0.25">
      <c r="A47" s="33">
        <f t="shared" si="13"/>
        <v>0</v>
      </c>
      <c r="B47" s="39" t="str">
        <f>IFERROR(VLOOKUP(H47,[2]SEMIELABORADOS!$A$2:$M$6000,2,0),"")</f>
        <v/>
      </c>
      <c r="C47" s="34">
        <f t="shared" si="14"/>
        <v>0</v>
      </c>
      <c r="D47" s="35" t="str">
        <f>IFERROR(VLOOKUP(H47,[2]SEMIELABORADOS!$A$2:$M$6000,6,0),"")</f>
        <v/>
      </c>
      <c r="E47" s="35" t="str">
        <f>IFERROR(VLOOKUP(H47,[2]SEMIELABORADOS!$A$2:$M$65536,12,0),"")</f>
        <v/>
      </c>
      <c r="F47" s="35" t="str">
        <f t="shared" si="15"/>
        <v/>
      </c>
      <c r="G47" s="36" t="str">
        <f t="shared" si="16"/>
        <v/>
      </c>
      <c r="H47" s="40"/>
      <c r="I47" s="32"/>
      <c r="J47" s="38"/>
    </row>
    <row r="48" spans="1:13" ht="13.5" hidden="1" x14ac:dyDescent="0.25">
      <c r="A48" s="33">
        <f t="shared" si="13"/>
        <v>0</v>
      </c>
      <c r="B48" s="39" t="str">
        <f>IFERROR(VLOOKUP(H48,[2]SEMIELABORADOS!$A$2:$M$6000,2,0),"")</f>
        <v/>
      </c>
      <c r="C48" s="34">
        <f t="shared" si="14"/>
        <v>0</v>
      </c>
      <c r="D48" s="35" t="str">
        <f>IFERROR(VLOOKUP(H48,[2]SEMIELABORADOS!$A$2:$M$6000,6,0),"")</f>
        <v/>
      </c>
      <c r="E48" s="35" t="str">
        <f>IFERROR(VLOOKUP(H48,[2]SEMIELABORADOS!$A$2:$M$65536,12,0),"")</f>
        <v/>
      </c>
      <c r="F48" s="35" t="str">
        <f t="shared" si="15"/>
        <v/>
      </c>
      <c r="G48" s="36" t="str">
        <f t="shared" si="16"/>
        <v/>
      </c>
      <c r="H48" s="40"/>
      <c r="I48" s="32"/>
      <c r="J48" s="38"/>
    </row>
    <row r="49" spans="1:17" ht="13.5" hidden="1" x14ac:dyDescent="0.25">
      <c r="A49" s="33">
        <f t="shared" si="13"/>
        <v>0</v>
      </c>
      <c r="B49" s="39" t="str">
        <f>IFERROR(VLOOKUP(H49,[2]SEMIELABORADOS!$A$2:$M$6000,2,0),"")</f>
        <v/>
      </c>
      <c r="C49" s="34">
        <f t="shared" si="14"/>
        <v>0</v>
      </c>
      <c r="D49" s="35" t="str">
        <f>IFERROR(VLOOKUP(H49,[2]SEMIELABORADOS!$A$2:$M$6000,6,0),"")</f>
        <v/>
      </c>
      <c r="E49" s="35" t="str">
        <f>IFERROR(VLOOKUP(H49,[2]SEMIELABORADOS!$A$2:$M$65536,12,0),"")</f>
        <v/>
      </c>
      <c r="F49" s="35" t="str">
        <f t="shared" si="15"/>
        <v/>
      </c>
      <c r="G49" s="36" t="str">
        <f t="shared" si="16"/>
        <v/>
      </c>
      <c r="H49" s="40"/>
      <c r="I49" s="32"/>
      <c r="J49" s="38"/>
    </row>
    <row r="50" spans="1:17" ht="13.5" hidden="1" x14ac:dyDescent="0.25">
      <c r="A50" s="33">
        <f t="shared" si="13"/>
        <v>0</v>
      </c>
      <c r="B50" s="39" t="str">
        <f>IFERROR(VLOOKUP(H50,[2]SEMIELABORADOS!$A$2:$M$6000,2,0),"")</f>
        <v/>
      </c>
      <c r="C50" s="34">
        <f t="shared" si="14"/>
        <v>0</v>
      </c>
      <c r="D50" s="35" t="str">
        <f>IFERROR(VLOOKUP(H50,[2]SEMIELABORADOS!$A$2:$M$6000,6,0),"")</f>
        <v/>
      </c>
      <c r="E50" s="35" t="str">
        <f>IFERROR(VLOOKUP(H50,[2]SEMIELABORADOS!$A$2:$M$65536,12,0),"")</f>
        <v/>
      </c>
      <c r="F50" s="35" t="str">
        <f t="shared" si="15"/>
        <v/>
      </c>
      <c r="G50" s="36" t="str">
        <f t="shared" si="16"/>
        <v/>
      </c>
      <c r="H50" s="39"/>
      <c r="I50" s="32"/>
      <c r="J50" s="38"/>
    </row>
    <row r="51" spans="1:17" ht="13.5" x14ac:dyDescent="0.25">
      <c r="A51" s="33">
        <v>1</v>
      </c>
      <c r="B51" s="39" t="s">
        <v>73</v>
      </c>
      <c r="C51" s="34">
        <f>+A51</f>
        <v>1</v>
      </c>
      <c r="D51" s="34" t="s">
        <v>74</v>
      </c>
      <c r="E51" s="35">
        <f>+F65</f>
        <v>38.5</v>
      </c>
      <c r="F51" s="35">
        <f>IFERROR(C51*E51,"")</f>
        <v>38.5</v>
      </c>
      <c r="G51" s="36">
        <f>IFERROR(F51/$F$66,"")</f>
        <v>3.2307278774523988E-2</v>
      </c>
      <c r="H51" s="44"/>
      <c r="I51" s="44"/>
      <c r="J51" s="38"/>
    </row>
    <row r="52" spans="1:17" ht="14.25" thickBot="1" x14ac:dyDescent="0.3">
      <c r="A52" s="33"/>
      <c r="B52" s="39"/>
      <c r="C52" s="34"/>
      <c r="D52" s="34"/>
      <c r="E52" s="35"/>
      <c r="F52" s="35"/>
      <c r="G52" s="36"/>
      <c r="H52" s="44"/>
      <c r="I52" s="44"/>
      <c r="J52" s="38"/>
    </row>
    <row r="53" spans="1:17" ht="13.5" thickBot="1" x14ac:dyDescent="0.25">
      <c r="A53" s="45"/>
      <c r="B53" s="244" t="s">
        <v>75</v>
      </c>
      <c r="C53" s="244"/>
      <c r="D53" s="244"/>
      <c r="E53" s="244"/>
      <c r="F53" s="47">
        <f>SUM(F8:F14,F17:F24)</f>
        <v>1110.4960000000001</v>
      </c>
      <c r="G53" s="36">
        <f>+F53/$F$66</f>
        <v>0.93187282727256604</v>
      </c>
      <c r="H53" s="48">
        <f>+F53/$D$60</f>
        <v>1110.4960000000001</v>
      </c>
      <c r="I53" s="48"/>
      <c r="J53" s="49"/>
      <c r="K53" s="50"/>
      <c r="L53" s="50"/>
      <c r="M53" s="50"/>
      <c r="N53" s="50"/>
      <c r="O53" s="50"/>
      <c r="P53" s="50"/>
      <c r="Q53" s="51"/>
    </row>
    <row r="54" spans="1:17" x14ac:dyDescent="0.2">
      <c r="A54" s="45"/>
      <c r="B54" s="244" t="s">
        <v>76</v>
      </c>
      <c r="C54" s="244"/>
      <c r="D54" s="244"/>
      <c r="E54" s="244"/>
      <c r="F54" s="47">
        <f>SUM(F27:F32,F35:F41)</f>
        <v>20.475999999999999</v>
      </c>
      <c r="G54" s="36">
        <f>+F54/$F$66</f>
        <v>1.7182437407458524E-2</v>
      </c>
      <c r="H54" s="48">
        <f>+F54/$D$60</f>
        <v>20.475999999999999</v>
      </c>
      <c r="I54" s="48"/>
      <c r="J54" s="52"/>
      <c r="K54" s="245" t="s">
        <v>77</v>
      </c>
      <c r="L54" s="246"/>
      <c r="M54" s="246"/>
      <c r="N54" s="246"/>
      <c r="O54" s="53">
        <f>+F55</f>
        <v>1130.9720000000002</v>
      </c>
      <c r="P54" s="53"/>
      <c r="Q54" s="54"/>
    </row>
    <row r="55" spans="1:17" x14ac:dyDescent="0.2">
      <c r="A55" s="45"/>
      <c r="B55" s="244" t="s">
        <v>78</v>
      </c>
      <c r="C55" s="244"/>
      <c r="D55" s="244"/>
      <c r="E55" s="244"/>
      <c r="F55" s="47">
        <f>+F53+F54</f>
        <v>1130.9720000000002</v>
      </c>
      <c r="G55" s="36">
        <f>+F55/$F$66</f>
        <v>0.94905526468002466</v>
      </c>
      <c r="H55" s="48">
        <f>+F55/$D$60</f>
        <v>1130.9720000000002</v>
      </c>
      <c r="I55" s="48"/>
      <c r="J55" s="55"/>
      <c r="K55" s="56"/>
      <c r="M55" s="57" t="s">
        <v>79</v>
      </c>
      <c r="N55" s="58"/>
      <c r="O55" s="53">
        <f>+H56</f>
        <v>116.10000000000001</v>
      </c>
      <c r="P55" s="53"/>
      <c r="Q55" s="54"/>
    </row>
    <row r="56" spans="1:17" ht="13.5" thickBot="1" x14ac:dyDescent="0.25">
      <c r="A56" s="45"/>
      <c r="B56" s="46"/>
      <c r="C56" s="244" t="s">
        <v>80</v>
      </c>
      <c r="D56" s="244"/>
      <c r="E56" s="244"/>
      <c r="F56" s="47">
        <f>SUM(F44:F51)</f>
        <v>116.10000000000001</v>
      </c>
      <c r="G56" s="36">
        <f>+F56/$F$66</f>
        <v>9.7425326382395719E-2</v>
      </c>
      <c r="H56" s="48">
        <f>+F56/$D$60</f>
        <v>116.10000000000001</v>
      </c>
      <c r="I56" s="48"/>
      <c r="J56" s="55"/>
      <c r="K56" s="56"/>
      <c r="L56" s="56"/>
      <c r="M56" s="56" t="s">
        <v>81</v>
      </c>
      <c r="N56" s="59"/>
      <c r="O56" s="53">
        <f>O54*N56</f>
        <v>0</v>
      </c>
      <c r="P56" s="53"/>
      <c r="Q56" s="54"/>
    </row>
    <row r="57" spans="1:17" ht="13.5" thickBot="1" x14ac:dyDescent="0.25">
      <c r="A57" s="45"/>
      <c r="B57" s="60"/>
      <c r="C57" s="60"/>
      <c r="D57" s="60"/>
      <c r="E57" s="60"/>
      <c r="F57" s="61"/>
      <c r="G57" s="36"/>
      <c r="H57" s="62"/>
      <c r="I57" s="48"/>
      <c r="J57" s="55"/>
      <c r="K57" s="63"/>
      <c r="M57" s="64" t="s">
        <v>82</v>
      </c>
      <c r="N57" s="65"/>
      <c r="O57" s="66">
        <f>SUM(O54:O56)</f>
        <v>1247.0720000000001</v>
      </c>
      <c r="P57" s="67"/>
      <c r="Q57" s="54"/>
    </row>
    <row r="58" spans="1:17" x14ac:dyDescent="0.2">
      <c r="B58" s="247" t="s">
        <v>83</v>
      </c>
      <c r="C58" s="247"/>
      <c r="D58" s="68">
        <v>400</v>
      </c>
      <c r="E58" s="69"/>
      <c r="G58" s="36"/>
      <c r="H58" s="62">
        <f>+H56/77</f>
        <v>1.5077922077922079</v>
      </c>
      <c r="I58" s="70"/>
      <c r="J58" s="55"/>
      <c r="K58" s="63"/>
      <c r="L58" s="56"/>
      <c r="M58" s="56" t="s">
        <v>84</v>
      </c>
      <c r="N58" s="71"/>
      <c r="O58" s="53">
        <f>+H59</f>
        <v>125.14675324675325</v>
      </c>
      <c r="P58" s="53"/>
      <c r="Q58" s="54"/>
    </row>
    <row r="59" spans="1:17" x14ac:dyDescent="0.2">
      <c r="B59" s="247" t="s">
        <v>85</v>
      </c>
      <c r="C59" s="247"/>
      <c r="D59" s="72">
        <v>400</v>
      </c>
      <c r="E59" s="69"/>
      <c r="G59" s="36"/>
      <c r="H59" s="62">
        <f>+H58*83</f>
        <v>125.14675324675325</v>
      </c>
      <c r="I59" s="70"/>
      <c r="J59" s="55"/>
      <c r="K59" s="63"/>
      <c r="L59" s="56"/>
      <c r="M59" s="248" t="s">
        <v>82</v>
      </c>
      <c r="N59" s="248"/>
      <c r="O59" s="53">
        <f>SUM(O57:O58)</f>
        <v>1372.2187532467533</v>
      </c>
      <c r="P59" s="53"/>
      <c r="Q59" s="54"/>
    </row>
    <row r="60" spans="1:17" ht="13.5" thickBot="1" x14ac:dyDescent="0.25">
      <c r="B60" s="240" t="s">
        <v>86</v>
      </c>
      <c r="C60" s="240"/>
      <c r="D60" s="68">
        <f>+D58/D59</f>
        <v>1</v>
      </c>
      <c r="E60" s="69"/>
      <c r="F60" s="73"/>
      <c r="G60" s="36"/>
      <c r="H60" s="62"/>
      <c r="I60" s="70"/>
      <c r="J60" s="55"/>
      <c r="K60" s="63"/>
      <c r="L60" s="248"/>
      <c r="M60" s="248"/>
      <c r="N60" s="71"/>
      <c r="O60" s="53">
        <f>+O59*N60</f>
        <v>0</v>
      </c>
      <c r="P60" s="53"/>
      <c r="Q60" s="54"/>
    </row>
    <row r="61" spans="1:17" ht="13.5" thickBot="1" x14ac:dyDescent="0.25">
      <c r="B61" s="240" t="s">
        <v>87</v>
      </c>
      <c r="C61" s="240"/>
      <c r="D61" s="74"/>
      <c r="E61" s="69"/>
      <c r="F61" s="73"/>
      <c r="G61" s="36"/>
      <c r="H61" s="62"/>
      <c r="I61" s="70"/>
      <c r="J61" s="55"/>
      <c r="K61" s="241" t="s">
        <v>88</v>
      </c>
      <c r="L61" s="242"/>
      <c r="M61" s="242"/>
      <c r="N61" s="243"/>
      <c r="O61" s="66">
        <f>SUM(O59:O60)</f>
        <v>1372.2187532467533</v>
      </c>
      <c r="P61" s="75" t="s">
        <v>89</v>
      </c>
      <c r="Q61" s="54"/>
    </row>
    <row r="62" spans="1:17" ht="13.5" thickBot="1" x14ac:dyDescent="0.25">
      <c r="C62" s="45" t="s">
        <v>90</v>
      </c>
      <c r="D62" s="76"/>
      <c r="E62" s="19" t="s">
        <v>91</v>
      </c>
      <c r="F62" s="77" t="s">
        <v>92</v>
      </c>
      <c r="G62" s="36"/>
      <c r="H62" s="62"/>
      <c r="I62" s="70"/>
      <c r="J62" s="78"/>
      <c r="K62" s="79"/>
      <c r="L62" s="254" t="s">
        <v>93</v>
      </c>
      <c r="M62" s="254"/>
      <c r="N62" s="254"/>
      <c r="O62" s="80">
        <f>+O61/D60</f>
        <v>1372.2187532467533</v>
      </c>
      <c r="P62" s="81">
        <f>+O62/D59</f>
        <v>3.4305468831168833</v>
      </c>
      <c r="Q62" s="82"/>
    </row>
    <row r="63" spans="1:17" ht="13.5" thickBot="1" x14ac:dyDescent="0.25">
      <c r="B63" s="255" t="s">
        <v>78</v>
      </c>
      <c r="C63" s="255"/>
      <c r="D63" s="255"/>
      <c r="E63" s="83">
        <f>+F63/F63</f>
        <v>1</v>
      </c>
      <c r="F63" s="84">
        <f>SUM(F55)</f>
        <v>1130.9720000000002</v>
      </c>
      <c r="G63" s="36">
        <f>+F63/$F$66</f>
        <v>0.94905526468002466</v>
      </c>
      <c r="H63" s="62"/>
      <c r="I63" s="70"/>
      <c r="K63" s="256"/>
      <c r="L63" s="257"/>
      <c r="M63" s="257"/>
      <c r="N63" s="257"/>
      <c r="O63" s="85"/>
      <c r="P63" s="86"/>
    </row>
    <row r="64" spans="1:17" ht="13.5" thickBot="1" x14ac:dyDescent="0.25">
      <c r="B64" s="258" t="s">
        <v>94</v>
      </c>
      <c r="C64" s="258"/>
      <c r="D64" s="258"/>
      <c r="E64" s="87">
        <v>0.02</v>
      </c>
      <c r="F64" s="84">
        <f>+F53*E64</f>
        <v>22.209920000000004</v>
      </c>
      <c r="G64" s="36">
        <f>+F64/$F$66</f>
        <v>1.8637456545451323E-2</v>
      </c>
      <c r="H64" s="48"/>
      <c r="I64" s="70"/>
      <c r="J64" s="88"/>
      <c r="O64" s="89"/>
      <c r="P64" s="46"/>
    </row>
    <row r="65" spans="2:13" ht="13.5" thickBot="1" x14ac:dyDescent="0.25">
      <c r="B65" s="259" t="s">
        <v>95</v>
      </c>
      <c r="C65" s="260"/>
      <c r="D65" s="90">
        <v>0.5</v>
      </c>
      <c r="E65" s="91">
        <v>77</v>
      </c>
      <c r="F65" s="84">
        <f>+E65*D65</f>
        <v>38.5</v>
      </c>
      <c r="G65" s="36">
        <f>+F65/$F$66</f>
        <v>3.2307278774523988E-2</v>
      </c>
      <c r="H65" s="48"/>
      <c r="I65" s="48"/>
      <c r="J65" s="38"/>
    </row>
    <row r="66" spans="2:13" ht="13.5" thickBot="1" x14ac:dyDescent="0.25">
      <c r="B66" s="261" t="s">
        <v>96</v>
      </c>
      <c r="C66" s="262"/>
      <c r="D66" s="262"/>
      <c r="E66" s="263"/>
      <c r="F66" s="61">
        <f>SUM(F63:F65)</f>
        <v>1191.6819200000002</v>
      </c>
      <c r="G66" s="36">
        <f>+F66/$F$66</f>
        <v>1</v>
      </c>
      <c r="H66" s="264"/>
      <c r="I66" s="48"/>
      <c r="J66" s="38"/>
      <c r="M66" s="21" t="s">
        <v>97</v>
      </c>
    </row>
    <row r="67" spans="2:13" x14ac:dyDescent="0.2">
      <c r="C67" s="43"/>
      <c r="D67" s="43"/>
      <c r="E67" s="93"/>
      <c r="F67" s="84"/>
      <c r="G67" s="36"/>
      <c r="H67" s="264"/>
      <c r="I67" s="92"/>
      <c r="J67" s="21"/>
      <c r="M67" s="21" t="s">
        <v>98</v>
      </c>
    </row>
    <row r="68" spans="2:13" ht="13.5" thickBot="1" x14ac:dyDescent="0.25">
      <c r="B68" s="249" t="s">
        <v>99</v>
      </c>
      <c r="C68" s="249"/>
      <c r="D68" s="249"/>
      <c r="E68" s="249"/>
      <c r="F68" s="249"/>
      <c r="G68" s="36"/>
      <c r="H68" s="95"/>
      <c r="I68" s="92"/>
      <c r="J68" s="21"/>
      <c r="M68" s="21" t="s">
        <v>100</v>
      </c>
    </row>
    <row r="69" spans="2:13" ht="13.5" thickBot="1" x14ac:dyDescent="0.25">
      <c r="B69" s="96" t="s">
        <v>101</v>
      </c>
      <c r="C69" s="97">
        <f>+F53</f>
        <v>1110.4960000000001</v>
      </c>
      <c r="D69" s="97">
        <f>+D58</f>
        <v>400</v>
      </c>
      <c r="E69" s="98">
        <f>+C69/D69</f>
        <v>2.77624</v>
      </c>
      <c r="F69" s="36"/>
      <c r="G69" s="95"/>
      <c r="H69" s="38"/>
      <c r="I69" s="95"/>
      <c r="J69" s="21"/>
    </row>
    <row r="70" spans="2:13" x14ac:dyDescent="0.2">
      <c r="B70" s="99"/>
      <c r="C70" s="100"/>
      <c r="D70" s="101"/>
      <c r="E70" s="84"/>
      <c r="F70" s="36"/>
      <c r="G70" s="95"/>
      <c r="H70" s="38"/>
      <c r="I70" s="38"/>
      <c r="J70" s="21"/>
    </row>
    <row r="71" spans="2:13" x14ac:dyDescent="0.2">
      <c r="B71" s="96" t="s">
        <v>102</v>
      </c>
      <c r="C71" s="97">
        <f>SUM(F63:F64)</f>
        <v>1153.1819200000002</v>
      </c>
      <c r="D71" s="97">
        <f>+D58</f>
        <v>400</v>
      </c>
      <c r="E71" s="102">
        <f>+C71/D71</f>
        <v>2.8829548000000007</v>
      </c>
      <c r="F71" s="36"/>
      <c r="G71" s="95"/>
      <c r="H71" s="38"/>
      <c r="I71" s="38"/>
      <c r="J71" s="21"/>
    </row>
    <row r="72" spans="2:13" x14ac:dyDescent="0.2">
      <c r="B72" s="96"/>
      <c r="C72" s="97"/>
      <c r="D72" s="97"/>
      <c r="E72" s="102"/>
      <c r="F72" s="36"/>
      <c r="G72" s="95"/>
      <c r="H72" s="38"/>
      <c r="I72" s="38"/>
      <c r="J72" s="21"/>
    </row>
    <row r="73" spans="2:13" ht="13.5" thickBot="1" x14ac:dyDescent="0.25">
      <c r="B73" s="96" t="s">
        <v>103</v>
      </c>
      <c r="C73" s="97">
        <f>+F65</f>
        <v>38.5</v>
      </c>
      <c r="D73" s="97">
        <f>+D58</f>
        <v>400</v>
      </c>
      <c r="E73" s="102">
        <f>+C73/D73</f>
        <v>9.6250000000000002E-2</v>
      </c>
      <c r="F73" s="36"/>
      <c r="G73" s="95"/>
      <c r="H73" s="38"/>
      <c r="I73" s="38"/>
      <c r="J73" s="21"/>
    </row>
    <row r="74" spans="2:13" ht="13.5" thickBot="1" x14ac:dyDescent="0.25">
      <c r="B74" s="96" t="s">
        <v>104</v>
      </c>
      <c r="C74" s="97">
        <f>+F56</f>
        <v>116.10000000000001</v>
      </c>
      <c r="D74" s="97">
        <f>+D73</f>
        <v>400</v>
      </c>
      <c r="E74" s="98">
        <f>+C74/D74</f>
        <v>0.29025000000000001</v>
      </c>
      <c r="F74" s="36"/>
      <c r="G74" s="95"/>
      <c r="H74" s="38"/>
      <c r="I74" s="38"/>
      <c r="J74" s="21"/>
    </row>
    <row r="75" spans="2:13" ht="13.5" thickBot="1" x14ac:dyDescent="0.25">
      <c r="B75" s="60"/>
      <c r="C75" s="61"/>
      <c r="D75" s="61"/>
      <c r="E75" s="102"/>
      <c r="F75" s="36"/>
      <c r="G75" s="95"/>
      <c r="H75" s="38"/>
      <c r="I75" s="38"/>
      <c r="J75" s="21"/>
    </row>
    <row r="76" spans="2:13" ht="13.5" thickBot="1" x14ac:dyDescent="0.25">
      <c r="B76" s="96" t="s">
        <v>105</v>
      </c>
      <c r="C76" s="97">
        <f>+F54</f>
        <v>20.475999999999999</v>
      </c>
      <c r="D76" s="97">
        <f>+D74</f>
        <v>400</v>
      </c>
      <c r="E76" s="98">
        <f>+C76/D76</f>
        <v>5.1189999999999999E-2</v>
      </c>
      <c r="F76" s="36"/>
      <c r="G76" s="95"/>
      <c r="H76" s="38"/>
      <c r="I76" s="38"/>
      <c r="J76" s="38"/>
    </row>
    <row r="77" spans="2:13" ht="13.5" thickBot="1" x14ac:dyDescent="0.25">
      <c r="B77" s="60"/>
      <c r="C77" s="61"/>
      <c r="D77" s="61"/>
      <c r="E77" s="102"/>
      <c r="F77" s="36"/>
      <c r="G77" s="95"/>
      <c r="H77" s="38"/>
      <c r="I77" s="38"/>
    </row>
    <row r="78" spans="2:13" ht="13.5" thickBot="1" x14ac:dyDescent="0.25">
      <c r="B78" s="250" t="s">
        <v>106</v>
      </c>
      <c r="C78" s="251"/>
      <c r="D78" s="252"/>
      <c r="E78" s="98">
        <f>+E69+E74</f>
        <v>3.0664899999999999</v>
      </c>
      <c r="G78" s="36"/>
      <c r="H78" s="95"/>
      <c r="I78" s="38"/>
      <c r="J78" s="102"/>
    </row>
    <row r="79" spans="2:13" x14ac:dyDescent="0.2">
      <c r="I79" s="95"/>
      <c r="J79" s="21"/>
    </row>
    <row r="80" spans="2:13" ht="13.5" thickBot="1" x14ac:dyDescent="0.25">
      <c r="B80" s="249" t="s">
        <v>107</v>
      </c>
      <c r="C80" s="249"/>
      <c r="D80" s="249"/>
      <c r="E80" s="249"/>
      <c r="F80" s="249"/>
      <c r="G80" s="36"/>
      <c r="H80" s="95"/>
      <c r="J80" s="21"/>
    </row>
    <row r="81" spans="1:10" ht="13.5" thickBot="1" x14ac:dyDescent="0.25">
      <c r="B81" s="96" t="s">
        <v>101</v>
      </c>
      <c r="C81" s="97">
        <f>+C69</f>
        <v>1110.4960000000001</v>
      </c>
      <c r="D81" s="97">
        <f>+D60</f>
        <v>1</v>
      </c>
      <c r="E81" s="98">
        <f>+C81/D81</f>
        <v>1110.4960000000001</v>
      </c>
      <c r="F81" s="36"/>
      <c r="G81" s="95"/>
      <c r="H81" s="38"/>
      <c r="I81" s="95"/>
      <c r="J81" s="21"/>
    </row>
    <row r="82" spans="1:10" x14ac:dyDescent="0.2">
      <c r="B82" s="99"/>
      <c r="C82" s="100"/>
      <c r="D82" s="101"/>
      <c r="E82" s="84"/>
      <c r="F82" s="36"/>
      <c r="G82" s="95"/>
      <c r="H82" s="38"/>
      <c r="I82" s="38"/>
      <c r="J82" s="21"/>
    </row>
    <row r="83" spans="1:10" x14ac:dyDescent="0.2">
      <c r="B83" s="96" t="s">
        <v>102</v>
      </c>
      <c r="C83" s="97">
        <f>+C71</f>
        <v>1153.1819200000002</v>
      </c>
      <c r="D83" s="97">
        <f>+D60</f>
        <v>1</v>
      </c>
      <c r="E83" s="102">
        <f>+C83/D83</f>
        <v>1153.1819200000002</v>
      </c>
      <c r="F83" s="36"/>
      <c r="G83" s="95"/>
      <c r="H83" s="38"/>
      <c r="I83" s="38"/>
      <c r="J83" s="21"/>
    </row>
    <row r="84" spans="1:10" x14ac:dyDescent="0.2">
      <c r="B84" s="96"/>
      <c r="C84" s="97"/>
      <c r="D84" s="97"/>
      <c r="E84" s="102"/>
      <c r="F84" s="36"/>
      <c r="G84" s="95"/>
      <c r="H84" s="38"/>
      <c r="I84" s="38"/>
      <c r="J84" s="21"/>
    </row>
    <row r="85" spans="1:10" ht="13.5" thickBot="1" x14ac:dyDescent="0.25">
      <c r="B85" s="96" t="s">
        <v>104</v>
      </c>
      <c r="C85" s="97">
        <f>+C73</f>
        <v>38.5</v>
      </c>
      <c r="D85" s="97">
        <f>+D60</f>
        <v>1</v>
      </c>
      <c r="E85" s="102">
        <f>+C85/D85</f>
        <v>38.5</v>
      </c>
      <c r="F85" s="104"/>
      <c r="G85" s="94"/>
      <c r="H85" s="20"/>
      <c r="I85" s="38"/>
    </row>
    <row r="86" spans="1:10" ht="13.5" thickBot="1" x14ac:dyDescent="0.25">
      <c r="B86" s="96" t="s">
        <v>104</v>
      </c>
      <c r="C86" s="97">
        <f>+C74</f>
        <v>116.10000000000001</v>
      </c>
      <c r="D86" s="97">
        <f>+D85</f>
        <v>1</v>
      </c>
      <c r="E86" s="98">
        <f>+C86/D86</f>
        <v>116.10000000000001</v>
      </c>
      <c r="F86" s="103"/>
      <c r="G86" s="94"/>
      <c r="H86" s="20"/>
      <c r="I86" s="20"/>
    </row>
    <row r="87" spans="1:10" x14ac:dyDescent="0.2">
      <c r="I87" s="20"/>
    </row>
    <row r="88" spans="1:10" x14ac:dyDescent="0.2">
      <c r="A88" s="253"/>
      <c r="B88" s="253"/>
      <c r="C88" s="105"/>
      <c r="D88" s="105"/>
      <c r="E88" s="106"/>
      <c r="G88" s="107"/>
    </row>
    <row r="89" spans="1:10" x14ac:dyDescent="0.2">
      <c r="A89" s="39"/>
      <c r="B89" s="108"/>
      <c r="C89" s="109"/>
      <c r="D89" s="109"/>
      <c r="E89" s="110"/>
      <c r="G89" s="107"/>
    </row>
    <row r="90" spans="1:10" x14ac:dyDescent="0.2">
      <c r="A90" s="39"/>
      <c r="B90" s="108"/>
      <c r="C90" s="111"/>
      <c r="D90" s="111"/>
      <c r="E90" s="39"/>
      <c r="G90" s="107"/>
    </row>
    <row r="91" spans="1:10" x14ac:dyDescent="0.2">
      <c r="A91" s="39"/>
      <c r="B91" s="108"/>
      <c r="C91" s="112"/>
      <c r="D91" s="112"/>
      <c r="E91" s="39"/>
      <c r="G91" s="107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B116F11-8A1D-4604-A9B9-909EC4F0642E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2A91D446-CAC3-49AF-BA96-5807434C81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0DDAB4C-1ACD-41D3-A766-B87230971C92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50E07E9D-CFD5-466E-A5E7-FA91CEEDD8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Costo Salsa Para saltado</vt:lpstr>
      <vt:lpstr>Empaque</vt:lpstr>
      <vt:lpstr>Costo Empaque </vt:lpstr>
      <vt:lpstr>Empaque!Área_de_impresión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ymontenegro</dc:creator>
  <cp:lastModifiedBy>Allan Brenes</cp:lastModifiedBy>
  <cp:lastPrinted>2026-04-21T17:48:40Z</cp:lastPrinted>
  <dcterms:created xsi:type="dcterms:W3CDTF">2012-05-10T22:32:20Z</dcterms:created>
  <dcterms:modified xsi:type="dcterms:W3CDTF">2026-04-21T17:48:42Z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display_urn:schemas-microsoft-com:office:office#Editor">
    <vt:lpwstr>Daniela Brenes Madriz</vt:lpwstr>
  </property>
  <property fmtid="{D5CDD505-2E9C-101B-9397-08002B2CF9AE}" pid="4" name="Order">
    <vt:lpwstr>169800.000000000</vt:lpwstr>
  </property>
  <property fmtid="{D5CDD505-2E9C-101B-9397-08002B2CF9AE}" pid="5" name="display_urn:schemas-microsoft-com:office:office#Author">
    <vt:lpwstr>Daniela Brenes Madriz</vt:lpwstr>
  </property>
  <property fmtid="{D5CDD505-2E9C-101B-9397-08002B2CF9AE}" pid="6" name="MediaServiceImageTags">
    <vt:lpwstr/>
  </property>
</Properties>
</file>
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2" documentId="8_{28E53104-2AC8-4A10-8B45-C190B4BC30D8}" xr6:coauthVersionLast="47" xr6:coauthVersionMax="47" xr10:uidLastSave="{F1A7324A-C8F5-418F-B679-3E8F9008FCC5}"/>
  <bookViews>
    <workbookView xWindow="20370" yWindow="-120" windowWidth="24240" windowHeight="13020" xr2:uid="{86A95AF8-34C1-4DB7-AE30-E3F9DEB6557E}"/>
  </bookViews>
  <sheets>
    <sheet name="Topping Suspiro Limeño" sheetId="2" r:id="rId1"/>
  </sheets>
  <definedNames>
    <definedName name="_xlnm.Print_Area" localSheetId="0">'Topping Suspiro Limeño'!$A$1:$I$47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" l="1"/>
  <c r="D37" i="2" s="1"/>
  <c r="J35" i="2"/>
</calcChain>
</file>

<file path=xl/sharedStrings.xml><?xml version="1.0" encoding="utf-8"?>
<sst xmlns="http://schemas.openxmlformats.org/spreadsheetml/2006/main" count="59" uniqueCount="52">
  <si>
    <t>PROCEDIMIENTO DE PREPARACION DE LA  RECETA</t>
  </si>
  <si>
    <t>g</t>
  </si>
  <si>
    <t>MERMA</t>
  </si>
  <si>
    <t>Otros</t>
  </si>
  <si>
    <t>PESO DE CADA PORCIÓN</t>
  </si>
  <si>
    <t>Temperatura de Horneo: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</si>
  <si>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</si>
  <si>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</si>
  <si>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</si>
  <si>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</si>
  <si>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</si>
  <si>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</si>
  <si>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</si>
  <si>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</si>
  <si>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</si>
  <si>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</si>
  <si>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</si>
  <si>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</si>
  <si>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</si>
  <si>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</si>
  <si>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</si>
  <si>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</si>
  <si>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</si>
  <si>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</si>
  <si>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</si>
  <si>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</si>
  <si>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</si>
  <si>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</si>
  <si>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</si>
  <si>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</si>
  <si>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</si>
  <si>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</si>
  <si>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# Código Netsuite</t>
  </si>
  <si>
    <t>Ensamble</t>
  </si>
  <si>
    <t>CONTROL DE CAMBIOS</t>
  </si>
  <si>
    <t>EMPAQUE</t>
  </si>
  <si>
    <t>Mariela Barrantes Sánchez, Chef</t>
  </si>
  <si>
    <t>DECORACION</t>
  </si>
  <si>
    <t>FAS</t>
  </si>
  <si>
    <t xml:space="preserve">Postres </t>
  </si>
  <si>
    <t>SE00475</t>
  </si>
  <si>
    <t>SUSPIRO LIMEÑO</t>
  </si>
  <si>
    <t>MP10024</t>
  </si>
  <si>
    <t>Leche Evaporada</t>
  </si>
  <si>
    <t>Nestle</t>
  </si>
  <si>
    <t>Tanda</t>
  </si>
  <si>
    <t>1, Mezclar el suspiro limeño con leche evaporada, mezclando bien hasta que quede completamente incorpordado.</t>
  </si>
  <si>
    <t>2, Usar inmediatamente</t>
  </si>
  <si>
    <t xml:space="preserve">SE00735 Topping de Suspiro Limeño </t>
  </si>
  <si>
    <t>ESP-RE-POS-098</t>
  </si>
  <si>
    <t>2, Se actualiza cantidad de Evaporada.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</si>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</sst>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000"/>
    <numFmt numFmtId="166" formatCode="_(* #,##0.000_);_(* \(#,##0.000\);_(* &quot;-&quot;??_);_(@_)"/>
  </numFmts>
  <fonts count="1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1"/>
      <color theme="1"/>
      <name val="Aptos Narrow"/>
      <family val="2"/>
      <scheme val="minor"/>
    </font>
    <font>
      <sz val="12"/>
      <name val="Times New Roman"/>
      <family val="1"/>
    </font>
    <font>
      <b/>
      <sz val="12"/>
      <name val="Century Gothic"/>
      <family val="2"/>
    </font>
    <font>
      <b/>
      <sz val="12"/>
      <name val="Arial"/>
      <family val="2"/>
    </font>
    <font>
      <b/>
      <sz val="12"/>
      <name val="Times New Roman"/>
      <family val="1"/>
    </font>
    <font>
      <sz val="12"/>
      <name val="Century Gothic"/>
      <family val="2"/>
    </font>
    <font>
      <b/>
      <sz val="12"/>
      <color rgb="FFFF0000"/>
      <name val="Arial"/>
      <family val="2"/>
    </font>
    <font>
      <sz val="8"/>
      <name val="Aptos Narrow"/>
      <family val="2"/>
      <scheme val="minor"/>
    </font>
    <font>
      <b/>
      <sz val="14"/>
      <color indexed="8"/>
      <name val="Times New Roman"/>
      <family val="1"/>
    </font>
    <font>
      <b/>
      <sz val="18"/>
      <name val="Century Gothic"/>
      <family val="2"/>
    </font>
    <font>
      <sz val="16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6"/>
      <color rgb="FF0070C0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3" fillId="0" borderId="0"/>
    <xf numFmtId="0" fontId="1" fillId="0" borderId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</cellStyleXfs>
  <cellXfs count="157">
    <xf numFmtId="0" fontId="0" fillId="0" borderId="0" xfId="0"/>
    <xf numFmtId="0" fontId="5" fillId="3" borderId="17" xfId="2" applyFont="1" applyFill="1" applyBorder="1" applyAlignment="1">
      <alignment horizontal="right"/>
    </xf>
    <xf numFmtId="0" fontId="8" fillId="3" borderId="16" xfId="2" applyFont="1" applyFill="1" applyBorder="1" applyAlignment="1">
      <alignment horizontal="center"/>
    </xf>
    <xf numFmtId="0" fontId="5" fillId="3" borderId="14" xfId="2" applyFont="1" applyFill="1" applyBorder="1" applyAlignment="1">
      <alignment horizontal="right"/>
    </xf>
    <xf numFmtId="49" fontId="8" fillId="3" borderId="13" xfId="2" applyNumberFormat="1" applyFont="1" applyFill="1" applyBorder="1" applyAlignment="1">
      <alignment horizontal="center"/>
    </xf>
    <xf numFmtId="0" fontId="8" fillId="3" borderId="11" xfId="2" applyFont="1" applyFill="1" applyBorder="1" applyAlignment="1">
      <alignment horizontal="right"/>
    </xf>
    <xf numFmtId="0" fontId="8" fillId="3" borderId="14" xfId="2" applyFont="1" applyFill="1" applyBorder="1" applyAlignment="1">
      <alignment horizontal="right"/>
    </xf>
    <xf numFmtId="14" fontId="9" fillId="3" borderId="0" xfId="2" applyNumberFormat="1" applyFont="1" applyFill="1" applyAlignment="1">
      <alignment horizontal="center" vertical="center" wrapText="1"/>
    </xf>
    <xf numFmtId="0" fontId="5" fillId="2" borderId="16" xfId="1" applyFont="1" applyFill="1" applyBorder="1" applyAlignment="1">
      <alignment horizontal="center" vertical="center" wrapText="1"/>
    </xf>
    <xf numFmtId="1" fontId="5" fillId="2" borderId="2" xfId="1" applyNumberFormat="1" applyFont="1" applyFill="1" applyBorder="1" applyAlignment="1">
      <alignment horizontal="center"/>
    </xf>
    <xf numFmtId="1" fontId="5" fillId="2" borderId="2" xfId="1" applyNumberFormat="1" applyFont="1" applyFill="1" applyBorder="1" applyAlignment="1">
      <alignment horizontal="center" wrapText="1"/>
    </xf>
    <xf numFmtId="0" fontId="5" fillId="2" borderId="1" xfId="1" applyFont="1" applyFill="1" applyBorder="1" applyAlignment="1">
      <alignment horizontal="center"/>
    </xf>
    <xf numFmtId="0" fontId="7" fillId="0" borderId="15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1" fontId="7" fillId="0" borderId="14" xfId="1" applyNumberFormat="1" applyFont="1" applyBorder="1" applyAlignment="1">
      <alignment horizontal="center"/>
    </xf>
    <xf numFmtId="1" fontId="7" fillId="0" borderId="14" xfId="1" applyNumberFormat="1" applyFont="1" applyBorder="1" applyAlignment="1">
      <alignment horizontal="center" wrapText="1"/>
    </xf>
    <xf numFmtId="0" fontId="4" fillId="0" borderId="13" xfId="1" applyFont="1" applyBorder="1" applyAlignment="1">
      <alignment horizontal="center"/>
    </xf>
    <xf numFmtId="0" fontId="11" fillId="0" borderId="14" xfId="1" applyFont="1" applyBorder="1" applyAlignment="1">
      <alignment vertical="center"/>
    </xf>
    <xf numFmtId="0" fontId="13" fillId="0" borderId="14" xfId="0" applyFont="1" applyBorder="1" applyAlignment="1">
      <alignment horizontal="center"/>
    </xf>
    <xf numFmtId="0" fontId="13" fillId="0" borderId="14" xfId="0" applyFont="1" applyBorder="1"/>
    <xf numFmtId="0" fontId="14" fillId="0" borderId="14" xfId="0" applyFont="1" applyBorder="1" applyAlignment="1">
      <alignment horizontal="center"/>
    </xf>
    <xf numFmtId="1" fontId="14" fillId="0" borderId="14" xfId="0" applyNumberFormat="1" applyFont="1" applyBorder="1" applyAlignment="1">
      <alignment horizontal="center"/>
    </xf>
    <xf numFmtId="1" fontId="14" fillId="0" borderId="26" xfId="1" applyNumberFormat="1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4" fillId="0" borderId="13" xfId="1" applyFont="1" applyBorder="1" applyAlignment="1">
      <alignment horizontal="center"/>
    </xf>
    <xf numFmtId="0" fontId="13" fillId="0" borderId="14" xfId="0" applyFont="1" applyBorder="1" applyAlignment="1">
      <alignment horizontal="center" vertical="top"/>
    </xf>
    <xf numFmtId="16" fontId="14" fillId="3" borderId="14" xfId="0" applyNumberFormat="1" applyFont="1" applyFill="1" applyBorder="1" applyAlignment="1">
      <alignment horizontal="center"/>
    </xf>
    <xf numFmtId="1" fontId="14" fillId="3" borderId="14" xfId="0" applyNumberFormat="1" applyFont="1" applyFill="1" applyBorder="1" applyAlignment="1">
      <alignment horizontal="center"/>
    </xf>
    <xf numFmtId="1" fontId="14" fillId="3" borderId="14" xfId="0" applyNumberFormat="1" applyFont="1" applyFill="1" applyBorder="1" applyAlignment="1">
      <alignment horizontal="center" wrapText="1"/>
    </xf>
    <xf numFmtId="0" fontId="13" fillId="0" borderId="9" xfId="0" applyFont="1" applyBorder="1" applyAlignment="1">
      <alignment horizontal="center"/>
    </xf>
    <xf numFmtId="0" fontId="14" fillId="0" borderId="15" xfId="1" applyFont="1" applyBorder="1" applyAlignment="1">
      <alignment horizontal="center"/>
    </xf>
    <xf numFmtId="0" fontId="13" fillId="0" borderId="11" xfId="0" applyFont="1" applyBorder="1"/>
    <xf numFmtId="0" fontId="13" fillId="0" borderId="0" xfId="0" applyFont="1"/>
    <xf numFmtId="1" fontId="14" fillId="0" borderId="9" xfId="1" applyNumberFormat="1" applyFont="1" applyBorder="1" applyAlignment="1">
      <alignment horizontal="center"/>
    </xf>
    <xf numFmtId="0" fontId="14" fillId="0" borderId="14" xfId="1" applyFont="1" applyBorder="1"/>
    <xf numFmtId="0" fontId="14" fillId="0" borderId="8" xfId="1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4" fillId="0" borderId="14" xfId="1" applyFont="1" applyBorder="1" applyAlignment="1">
      <alignment horizontal="center"/>
    </xf>
    <xf numFmtId="0" fontId="15" fillId="0" borderId="14" xfId="1" applyFont="1" applyBorder="1"/>
    <xf numFmtId="1" fontId="13" fillId="0" borderId="14" xfId="0" applyNumberFormat="1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1" fontId="14" fillId="0" borderId="14" xfId="1" applyNumberFormat="1" applyFont="1" applyBorder="1"/>
    <xf numFmtId="1" fontId="14" fillId="0" borderId="8" xfId="1" applyNumberFormat="1" applyFont="1" applyBorder="1"/>
    <xf numFmtId="1" fontId="14" fillId="0" borderId="45" xfId="1" applyNumberFormat="1" applyFont="1" applyBorder="1" applyAlignment="1">
      <alignment horizontal="center"/>
    </xf>
    <xf numFmtId="0" fontId="13" fillId="0" borderId="14" xfId="5" applyFont="1" applyBorder="1" applyAlignment="1">
      <alignment horizontal="center"/>
    </xf>
    <xf numFmtId="0" fontId="14" fillId="0" borderId="14" xfId="0" applyFont="1" applyBorder="1"/>
    <xf numFmtId="1" fontId="14" fillId="0" borderId="14" xfId="0" applyNumberFormat="1" applyFont="1" applyBorder="1" applyAlignment="1">
      <alignment horizontal="center" wrapText="1"/>
    </xf>
    <xf numFmtId="166" fontId="15" fillId="4" borderId="14" xfId="9" applyNumberFormat="1" applyFont="1" applyFill="1" applyBorder="1" applyAlignment="1">
      <alignment horizontal="center"/>
    </xf>
    <xf numFmtId="16" fontId="14" fillId="0" borderId="14" xfId="0" applyNumberFormat="1" applyFont="1" applyBorder="1" applyAlignment="1">
      <alignment horizontal="center"/>
    </xf>
    <xf numFmtId="0" fontId="14" fillId="0" borderId="14" xfId="0" applyFont="1" applyBorder="1" applyAlignment="1">
      <alignment horizontal="center" vertical="center"/>
    </xf>
    <xf numFmtId="1" fontId="14" fillId="0" borderId="14" xfId="1" applyNumberFormat="1" applyFont="1" applyBorder="1" applyAlignment="1">
      <alignment horizontal="center"/>
    </xf>
    <xf numFmtId="12" fontId="16" fillId="0" borderId="14" xfId="1" applyNumberFormat="1" applyFont="1" applyBorder="1" applyAlignment="1">
      <alignment horizontal="left"/>
    </xf>
    <xf numFmtId="49" fontId="14" fillId="0" borderId="15" xfId="1" applyNumberFormat="1" applyFont="1" applyBorder="1" applyAlignment="1">
      <alignment horizontal="center"/>
    </xf>
    <xf numFmtId="49" fontId="14" fillId="0" borderId="8" xfId="1" applyNumberFormat="1" applyFont="1" applyBorder="1" applyAlignment="1">
      <alignment horizontal="center"/>
    </xf>
    <xf numFmtId="49" fontId="14" fillId="0" borderId="14" xfId="1" applyNumberFormat="1" applyFont="1" applyBorder="1"/>
    <xf numFmtId="1" fontId="14" fillId="0" borderId="14" xfId="1" applyNumberFormat="1" applyFont="1" applyBorder="1" applyAlignment="1">
      <alignment horizontal="center" wrapText="1"/>
    </xf>
    <xf numFmtId="49" fontId="14" fillId="4" borderId="14" xfId="0" applyNumberFormat="1" applyFont="1" applyFill="1" applyBorder="1" applyAlignment="1">
      <alignment horizontal="center" vertical="center"/>
    </xf>
    <xf numFmtId="49" fontId="14" fillId="4" borderId="14" xfId="0" applyNumberFormat="1" applyFont="1" applyFill="1" applyBorder="1" applyAlignment="1">
      <alignment vertical="center"/>
    </xf>
    <xf numFmtId="0" fontId="14" fillId="4" borderId="14" xfId="0" applyFont="1" applyFill="1" applyBorder="1" applyAlignment="1">
      <alignment horizontal="center" vertical="center"/>
    </xf>
    <xf numFmtId="49" fontId="14" fillId="0" borderId="14" xfId="1" applyNumberFormat="1" applyFont="1" applyBorder="1" applyAlignment="1">
      <alignment horizontal="center"/>
    </xf>
    <xf numFmtId="165" fontId="14" fillId="0" borderId="14" xfId="0" applyNumberFormat="1" applyFont="1" applyBorder="1" applyAlignment="1">
      <alignment horizontal="center" wrapText="1"/>
    </xf>
    <xf numFmtId="49" fontId="14" fillId="0" borderId="14" xfId="0" applyNumberFormat="1" applyFont="1" applyBorder="1" applyAlignment="1">
      <alignment horizontal="center" vertical="center"/>
    </xf>
    <xf numFmtId="49" fontId="14" fillId="0" borderId="14" xfId="0" applyNumberFormat="1" applyFont="1" applyBorder="1" applyAlignment="1">
      <alignment vertical="center"/>
    </xf>
    <xf numFmtId="0" fontId="14" fillId="0" borderId="14" xfId="0" quotePrefix="1" applyFont="1" applyBorder="1" applyAlignment="1">
      <alignment horizontal="right"/>
    </xf>
    <xf numFmtId="0" fontId="14" fillId="0" borderId="14" xfId="0" quotePrefix="1" applyFont="1" applyBorder="1"/>
    <xf numFmtId="0" fontId="13" fillId="0" borderId="0" xfId="0" applyFont="1" applyAlignment="1">
      <alignment horizontal="center"/>
    </xf>
    <xf numFmtId="49" fontId="17" fillId="3" borderId="20" xfId="1" applyNumberFormat="1" applyFont="1" applyFill="1" applyBorder="1" applyAlignment="1">
      <alignment horizontal="center" vertical="center"/>
    </xf>
    <xf numFmtId="49" fontId="17" fillId="3" borderId="0" xfId="1" applyNumberFormat="1" applyFont="1" applyFill="1" applyAlignment="1">
      <alignment horizontal="center" vertical="center"/>
    </xf>
    <xf numFmtId="0" fontId="14" fillId="3" borderId="0" xfId="1" applyFont="1" applyFill="1"/>
    <xf numFmtId="1" fontId="14" fillId="3" borderId="0" xfId="1" applyNumberFormat="1" applyFont="1" applyFill="1" applyAlignment="1">
      <alignment horizontal="center"/>
    </xf>
    <xf numFmtId="164" fontId="14" fillId="3" borderId="0" xfId="1" applyNumberFormat="1" applyFont="1" applyFill="1" applyAlignment="1">
      <alignment horizontal="center" wrapText="1"/>
    </xf>
    <xf numFmtId="0" fontId="14" fillId="3" borderId="19" xfId="1" applyFont="1" applyFill="1" applyBorder="1" applyAlignment="1">
      <alignment horizontal="center"/>
    </xf>
    <xf numFmtId="0" fontId="14" fillId="2" borderId="41" xfId="1" applyFont="1" applyFill="1" applyBorder="1" applyAlignment="1">
      <alignment horizontal="center"/>
    </xf>
    <xf numFmtId="0" fontId="14" fillId="2" borderId="36" xfId="1" applyFont="1" applyFill="1" applyBorder="1" applyAlignment="1">
      <alignment horizontal="center"/>
    </xf>
    <xf numFmtId="0" fontId="14" fillId="2" borderId="36" xfId="1" applyFont="1" applyFill="1" applyBorder="1"/>
    <xf numFmtId="0" fontId="15" fillId="2" borderId="36" xfId="1" applyFont="1" applyFill="1" applyBorder="1" applyAlignment="1">
      <alignment horizontal="center"/>
    </xf>
    <xf numFmtId="1" fontId="15" fillId="2" borderId="36" xfId="1" applyNumberFormat="1" applyFont="1" applyFill="1" applyBorder="1" applyAlignment="1">
      <alignment horizontal="center"/>
    </xf>
    <xf numFmtId="164" fontId="14" fillId="2" borderId="36" xfId="1" applyNumberFormat="1" applyFont="1" applyFill="1" applyBorder="1" applyAlignment="1">
      <alignment horizontal="center" wrapText="1"/>
    </xf>
    <xf numFmtId="0" fontId="14" fillId="2" borderId="37" xfId="1" applyFont="1" applyFill="1" applyBorder="1" applyAlignment="1">
      <alignment horizontal="center"/>
    </xf>
    <xf numFmtId="1" fontId="14" fillId="0" borderId="11" xfId="0" applyNumberFormat="1" applyFont="1" applyBorder="1" applyAlignment="1">
      <alignment horizontal="center"/>
    </xf>
    <xf numFmtId="0" fontId="14" fillId="0" borderId="26" xfId="0" applyFont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5" fillId="0" borderId="38" xfId="1" applyFont="1" applyBorder="1" applyAlignment="1">
      <alignment horizontal="right"/>
    </xf>
    <xf numFmtId="0" fontId="15" fillId="0" borderId="39" xfId="1" applyFont="1" applyBorder="1" applyAlignment="1">
      <alignment horizontal="right"/>
    </xf>
    <xf numFmtId="0" fontId="15" fillId="0" borderId="12" xfId="1" applyFont="1" applyBorder="1" applyAlignment="1">
      <alignment horizontal="right"/>
    </xf>
    <xf numFmtId="164" fontId="14" fillId="0" borderId="11" xfId="1" applyNumberFormat="1" applyFont="1" applyBorder="1" applyAlignment="1">
      <alignment horizontal="right"/>
    </xf>
    <xf numFmtId="0" fontId="14" fillId="3" borderId="26" xfId="1" applyFont="1" applyFill="1" applyBorder="1" applyAlignment="1">
      <alignment horizontal="center"/>
    </xf>
    <xf numFmtId="0" fontId="14" fillId="3" borderId="42" xfId="1" applyFont="1" applyFill="1" applyBorder="1" applyAlignment="1">
      <alignment horizontal="center"/>
    </xf>
    <xf numFmtId="14" fontId="8" fillId="3" borderId="32" xfId="2" applyNumberFormat="1" applyFont="1" applyFill="1" applyBorder="1" applyAlignment="1">
      <alignment horizontal="center" vertical="center" wrapText="1"/>
    </xf>
    <xf numFmtId="14" fontId="8" fillId="3" borderId="30" xfId="2" applyNumberFormat="1" applyFont="1" applyFill="1" applyBorder="1" applyAlignment="1">
      <alignment horizontal="center" vertical="center" wrapText="1"/>
    </xf>
    <xf numFmtId="14" fontId="8" fillId="3" borderId="10" xfId="2" applyNumberFormat="1" applyFont="1" applyFill="1" applyBorder="1" applyAlignment="1">
      <alignment horizontal="center" vertical="center" wrapText="1"/>
    </xf>
    <xf numFmtId="0" fontId="8" fillId="3" borderId="24" xfId="2" applyFont="1" applyFill="1" applyBorder="1" applyAlignment="1">
      <alignment horizontal="left"/>
    </xf>
    <xf numFmtId="0" fontId="8" fillId="3" borderId="25" xfId="2" applyFont="1" applyFill="1" applyBorder="1" applyAlignment="1">
      <alignment horizontal="left"/>
    </xf>
    <xf numFmtId="0" fontId="8" fillId="3" borderId="18" xfId="2" applyFont="1" applyFill="1" applyBorder="1" applyAlignment="1">
      <alignment horizontal="left"/>
    </xf>
    <xf numFmtId="0" fontId="8" fillId="3" borderId="9" xfId="2" applyFont="1" applyFill="1" applyBorder="1" applyAlignment="1">
      <alignment horizontal="left"/>
    </xf>
    <xf numFmtId="0" fontId="8" fillId="3" borderId="6" xfId="2" applyFont="1" applyFill="1" applyBorder="1" applyAlignment="1">
      <alignment horizontal="left"/>
    </xf>
    <xf numFmtId="0" fontId="8" fillId="3" borderId="8" xfId="2" applyFont="1" applyFill="1" applyBorder="1" applyAlignment="1">
      <alignment horizontal="left"/>
    </xf>
    <xf numFmtId="0" fontId="8" fillId="3" borderId="35" xfId="2" applyFont="1" applyFill="1" applyBorder="1" applyAlignment="1">
      <alignment horizontal="center"/>
    </xf>
    <xf numFmtId="0" fontId="8" fillId="3" borderId="34" xfId="2" applyFont="1" applyFill="1" applyBorder="1" applyAlignment="1">
      <alignment horizontal="center"/>
    </xf>
    <xf numFmtId="0" fontId="8" fillId="3" borderId="20" xfId="2" applyFont="1" applyFill="1" applyBorder="1" applyAlignment="1">
      <alignment horizontal="center"/>
    </xf>
    <xf numFmtId="0" fontId="8" fillId="3" borderId="0" xfId="2" applyFont="1" applyFill="1" applyAlignment="1">
      <alignment horizontal="center"/>
    </xf>
    <xf numFmtId="0" fontId="8" fillId="3" borderId="38" xfId="2" applyFont="1" applyFill="1" applyBorder="1" applyAlignment="1">
      <alignment horizontal="center"/>
    </xf>
    <xf numFmtId="0" fontId="8" fillId="3" borderId="39" xfId="2" applyFont="1" applyFill="1" applyBorder="1" applyAlignment="1">
      <alignment horizontal="center"/>
    </xf>
    <xf numFmtId="0" fontId="5" fillId="3" borderId="17" xfId="2" applyFont="1" applyFill="1" applyBorder="1" applyAlignment="1">
      <alignment horizontal="center"/>
    </xf>
    <xf numFmtId="0" fontId="5" fillId="3" borderId="27" xfId="2" applyFont="1" applyFill="1" applyBorder="1" applyAlignment="1">
      <alignment horizontal="center"/>
    </xf>
    <xf numFmtId="0" fontId="12" fillId="5" borderId="41" xfId="2" applyFont="1" applyFill="1" applyBorder="1" applyAlignment="1">
      <alignment horizontal="center" vertical="center" wrapText="1"/>
    </xf>
    <xf numFmtId="0" fontId="12" fillId="5" borderId="36" xfId="2" applyFont="1" applyFill="1" applyBorder="1" applyAlignment="1">
      <alignment horizontal="center" vertical="center" wrapText="1"/>
    </xf>
    <xf numFmtId="0" fontId="12" fillId="5" borderId="37" xfId="2" applyFont="1" applyFill="1" applyBorder="1" applyAlignment="1">
      <alignment horizontal="center" vertical="center" wrapText="1"/>
    </xf>
    <xf numFmtId="0" fontId="5" fillId="3" borderId="33" xfId="2" applyFont="1" applyFill="1" applyBorder="1" applyAlignment="1">
      <alignment horizontal="right" vertical="top" wrapText="1"/>
    </xf>
    <xf numFmtId="0" fontId="5" fillId="3" borderId="31" xfId="2" applyFont="1" applyFill="1" applyBorder="1" applyAlignment="1">
      <alignment horizontal="right" vertical="top" wrapText="1"/>
    </xf>
    <xf numFmtId="0" fontId="5" fillId="3" borderId="28" xfId="2" applyFont="1" applyFill="1" applyBorder="1" applyAlignment="1">
      <alignment horizontal="right" vertical="top" wrapText="1"/>
    </xf>
    <xf numFmtId="0" fontId="6" fillId="3" borderId="0" xfId="2" applyFont="1" applyFill="1" applyAlignment="1">
      <alignment horizontal="right"/>
    </xf>
    <xf numFmtId="0" fontId="9" fillId="3" borderId="29" xfId="2" applyFont="1" applyFill="1" applyBorder="1" applyAlignment="1">
      <alignment horizontal="center"/>
    </xf>
    <xf numFmtId="0" fontId="6" fillId="3" borderId="0" xfId="2" applyFont="1" applyFill="1"/>
    <xf numFmtId="0" fontId="5" fillId="2" borderId="40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40" xfId="1" applyFont="1" applyFill="1" applyBorder="1" applyAlignment="1">
      <alignment horizontal="center" vertical="center" wrapText="1"/>
    </xf>
    <xf numFmtId="0" fontId="5" fillId="2" borderId="46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14" fillId="0" borderId="2" xfId="1" applyFont="1" applyBorder="1" applyAlignment="1">
      <alignment horizontal="right"/>
    </xf>
    <xf numFmtId="164" fontId="14" fillId="0" borderId="22" xfId="1" applyNumberFormat="1" applyFont="1" applyBorder="1" applyAlignment="1">
      <alignment horizontal="center"/>
    </xf>
    <xf numFmtId="164" fontId="14" fillId="0" borderId="21" xfId="1" applyNumberFormat="1" applyFont="1" applyBorder="1" applyAlignment="1">
      <alignment horizontal="center"/>
    </xf>
    <xf numFmtId="0" fontId="14" fillId="0" borderId="15" xfId="0" applyFont="1" applyBorder="1" applyAlignment="1">
      <alignment horizontal="left"/>
    </xf>
    <xf numFmtId="0" fontId="14" fillId="0" borderId="8" xfId="0" applyFont="1" applyBorder="1" applyAlignment="1">
      <alignment horizontal="left"/>
    </xf>
    <xf numFmtId="0" fontId="14" fillId="0" borderId="14" xfId="0" applyFont="1" applyBorder="1" applyAlignment="1">
      <alignment horizontal="left"/>
    </xf>
    <xf numFmtId="0" fontId="14" fillId="0" borderId="13" xfId="0" applyFont="1" applyBorder="1" applyAlignment="1">
      <alignment horizontal="left"/>
    </xf>
    <xf numFmtId="0" fontId="14" fillId="0" borderId="7" xfId="0" applyFont="1" applyBorder="1" applyAlignment="1">
      <alignment horizontal="left" wrapText="1"/>
    </xf>
    <xf numFmtId="0" fontId="14" fillId="0" borderId="6" xfId="0" applyFont="1" applyBorder="1" applyAlignment="1">
      <alignment horizontal="left" wrapText="1"/>
    </xf>
    <xf numFmtId="0" fontId="14" fillId="0" borderId="7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5" fillId="6" borderId="43" xfId="2" applyFont="1" applyFill="1" applyBorder="1" applyAlignment="1">
      <alignment horizontal="center"/>
    </xf>
    <xf numFmtId="0" fontId="15" fillId="6" borderId="34" xfId="2" applyFont="1" applyFill="1" applyBorder="1" applyAlignment="1">
      <alignment horizontal="center"/>
    </xf>
    <xf numFmtId="0" fontId="15" fillId="0" borderId="7" xfId="1" applyFont="1" applyBorder="1" applyAlignment="1">
      <alignment horizontal="right"/>
    </xf>
    <xf numFmtId="0" fontId="15" fillId="0" borderId="6" xfId="1" applyFont="1" applyBorder="1" applyAlignment="1">
      <alignment horizontal="right"/>
    </xf>
    <xf numFmtId="0" fontId="15" fillId="0" borderId="8" xfId="1" applyFont="1" applyBorder="1" applyAlignment="1">
      <alignment horizontal="right"/>
    </xf>
    <xf numFmtId="0" fontId="14" fillId="0" borderId="14" xfId="1" applyFont="1" applyBorder="1" applyAlignment="1">
      <alignment horizontal="right"/>
    </xf>
    <xf numFmtId="164" fontId="14" fillId="0" borderId="9" xfId="1" applyNumberFormat="1" applyFont="1" applyBorder="1" applyAlignment="1">
      <alignment horizontal="center"/>
    </xf>
    <xf numFmtId="164" fontId="14" fillId="0" borderId="5" xfId="1" applyNumberFormat="1" applyFont="1" applyBorder="1" applyAlignment="1">
      <alignment horizontal="center"/>
    </xf>
    <xf numFmtId="0" fontId="14" fillId="0" borderId="38" xfId="0" applyFont="1" applyBorder="1" applyAlignment="1">
      <alignment horizontal="left" wrapText="1"/>
    </xf>
    <xf numFmtId="0" fontId="14" fillId="0" borderId="39" xfId="0" applyFont="1" applyBorder="1" applyAlignment="1">
      <alignment horizontal="left" wrapText="1"/>
    </xf>
    <xf numFmtId="0" fontId="14" fillId="0" borderId="42" xfId="0" applyFont="1" applyBorder="1" applyAlignment="1">
      <alignment horizontal="left" wrapText="1"/>
    </xf>
    <xf numFmtId="0" fontId="14" fillId="0" borderId="44" xfId="1" applyFont="1" applyBorder="1" applyAlignment="1">
      <alignment horizontal="left"/>
    </xf>
    <xf numFmtId="0" fontId="14" fillId="0" borderId="23" xfId="1" applyFont="1" applyBorder="1" applyAlignment="1">
      <alignment horizontal="left"/>
    </xf>
    <xf numFmtId="0" fontId="14" fillId="0" borderId="21" xfId="1" applyFont="1" applyBorder="1" applyAlignment="1">
      <alignment horizontal="left"/>
    </xf>
    <xf numFmtId="164" fontId="14" fillId="0" borderId="9" xfId="1" applyNumberFormat="1" applyFont="1" applyBorder="1" applyAlignment="1">
      <alignment horizontal="right" wrapText="1"/>
    </xf>
    <xf numFmtId="164" fontId="14" fillId="0" borderId="8" xfId="1" applyNumberFormat="1" applyFont="1" applyBorder="1" applyAlignment="1">
      <alignment horizontal="right" wrapText="1"/>
    </xf>
    <xf numFmtId="0" fontId="15" fillId="0" borderId="4" xfId="1" applyFont="1" applyBorder="1" applyAlignment="1">
      <alignment horizontal="right"/>
    </xf>
    <xf numFmtId="0" fontId="15" fillId="0" borderId="3" xfId="1" applyFont="1" applyBorder="1" applyAlignment="1">
      <alignment horizontal="right"/>
    </xf>
    <xf numFmtId="0" fontId="15" fillId="0" borderId="2" xfId="1" applyFont="1" applyBorder="1" applyAlignment="1">
      <alignment horizontal="right"/>
    </xf>
    <xf numFmtId="0" fontId="14" fillId="0" borderId="5" xfId="0" applyFont="1" applyBorder="1" applyAlignment="1">
      <alignment horizontal="left" wrapText="1"/>
    </xf>
    <xf numFmtId="0" fontId="14" fillId="3" borderId="14" xfId="2" applyFont="1" applyFill="1" applyBorder="1" applyAlignment="1">
      <alignment horizontal="left"/>
    </xf>
    <xf numFmtId="0" fontId="15" fillId="2" borderId="41" xfId="1" applyFont="1" applyFill="1" applyBorder="1" applyAlignment="1">
      <alignment horizontal="center"/>
    </xf>
    <xf numFmtId="0" fontId="15" fillId="2" borderId="36" xfId="1" applyFont="1" applyFill="1" applyBorder="1" applyAlignment="1">
      <alignment horizontal="center"/>
    </xf>
    <xf numFmtId="0" fontId="15" fillId="2" borderId="37" xfId="1" applyFont="1" applyFill="1" applyBorder="1" applyAlignment="1">
      <alignment horizontal="center"/>
    </xf>
  </cellXfs>
  <cellStyles count="10">
    <cellStyle name="Millares" xfId="9" builtinId="3"/>
    <cellStyle name="Normal" xfId="0" builtinId="0"/>
    <cellStyle name="Normal 2" xfId="1" xr:uid="{2DDBC5E7-0E7E-4491-99E3-7A5940DF1256}"/>
    <cellStyle name="Normal 2 2" xfId="6" xr:uid="{18DF5752-43FF-4BFD-89D2-0730588F24A8}"/>
    <cellStyle name="Normal 3" xfId="5" xr:uid="{75D741B7-9A8C-4961-BA15-A0EFA330802B}"/>
    <cellStyle name="Normal 3 2" xfId="4" xr:uid="{71C988F8-0287-427A-924A-7BBB9BDC240E}"/>
    <cellStyle name="Normal 4 2" xfId="8" xr:uid="{AE4E5C20-AE4F-441A-8BA1-7E71CBFF6AC0}"/>
    <cellStyle name="Normal 5" xfId="3" xr:uid="{9E162E44-7FEC-4CBF-A2D3-215B3357159E}"/>
    <cellStyle name="Normal_CRITERIOS DE EVALUACION PT DE GB 2" xfId="2" xr:uid="{91D1D7B8-FF69-4D3C-B5A7-139D9BD47895}"/>
    <cellStyle name="Porcentaje 2" xfId="7" xr:uid="{535DE1C8-4333-4DB8-BA61-0D675B7A5B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216693</xdr:colOff>
      <xdr:row>0</xdr:row>
      <xdr:rowOff>154781</xdr:rowOff>
    </xdr:from>
    <xdr:to>
      <xdr:col>1</xdr:col>
      <xdr:colOff>926103</xdr:colOff>
      <xdr:row>4</xdr:row>
      <xdr:rowOff>35718</xdr:rowOff>
    </xdr:to>
    <xdr:pic>
      <xdr:nvPicPr>
        <xdr:cNvPr id="4" name="Imagen 3" descr="Icono&#10;&#10;Descripción generada automáticamente con confianza media">
          <a:extLst>
            <a:ext uri="{FF2B5EF4-FFF2-40B4-BE49-F238E27FC236}">
              <a16:creationId xmlns:a16="http://schemas.microsoft.com/office/drawing/2014/main" id="{9A695B85-00E2-4F7A-8ED6-F41DB4B2E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693" y="154781"/>
          <a:ext cx="1828598" cy="928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921B2-88D0-4D0A-98D0-059750B19291}">
  <sheetPr>
    <pageSetUpPr fitToPage="1"/>
  </sheetPr>
  <dimension ref="A1:J47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6.85546875" bestFit="1" customWidth="1"/>
    <col min="2" max="2" width="18.5703125" customWidth="1"/>
    <col min="3" max="3" width="35" customWidth="1"/>
    <col min="4" max="4" width="18.140625" customWidth="1"/>
    <col min="6" max="6" width="16.28515625" customWidth="1"/>
    <col min="7" max="7" width="17" customWidth="1"/>
    <col min="8" max="8" width="18.42578125" customWidth="1"/>
    <col min="9" max="9" width="23.42578125" bestFit="1" customWidth="1"/>
  </cols>
  <sheetData>
    <row r="1" spans="1:9" ht="17.25" x14ac:dyDescent="0.3">
      <c r="A1" s="98"/>
      <c r="B1" s="99"/>
      <c r="C1" s="104" t="s">
        <v>31</v>
      </c>
      <c r="D1" s="104"/>
      <c r="E1" s="104"/>
      <c r="F1" s="104"/>
      <c r="G1" s="104"/>
      <c r="H1" s="1" t="s">
        <v>30</v>
      </c>
      <c r="I1" s="2" t="s">
        <v>49</v>
      </c>
    </row>
    <row r="2" spans="1:9" ht="18" thickBot="1" x14ac:dyDescent="0.35">
      <c r="A2" s="100"/>
      <c r="B2" s="101"/>
      <c r="C2" s="105" t="s">
        <v>29</v>
      </c>
      <c r="D2" s="105"/>
      <c r="E2" s="105"/>
      <c r="F2" s="105"/>
      <c r="G2" s="105"/>
      <c r="H2" s="3" t="s">
        <v>28</v>
      </c>
      <c r="I2" s="4" t="s">
        <v>51</v>
      </c>
    </row>
    <row r="3" spans="1:9" ht="30.75" customHeight="1" thickBot="1" x14ac:dyDescent="0.3">
      <c r="A3" s="100"/>
      <c r="B3" s="101"/>
      <c r="C3" s="106" t="s">
        <v>48</v>
      </c>
      <c r="D3" s="107"/>
      <c r="E3" s="107"/>
      <c r="F3" s="107"/>
      <c r="G3" s="108"/>
      <c r="H3" s="109" t="s">
        <v>27</v>
      </c>
      <c r="I3" s="89">
        <v>45852</v>
      </c>
    </row>
    <row r="4" spans="1:9" ht="17.25" x14ac:dyDescent="0.3">
      <c r="A4" s="100"/>
      <c r="B4" s="101"/>
      <c r="C4" s="5" t="s">
        <v>26</v>
      </c>
      <c r="D4" s="92" t="s">
        <v>36</v>
      </c>
      <c r="E4" s="93"/>
      <c r="F4" s="93"/>
      <c r="G4" s="94"/>
      <c r="H4" s="110"/>
      <c r="I4" s="90"/>
    </row>
    <row r="5" spans="1:9" ht="18" thickBot="1" x14ac:dyDescent="0.35">
      <c r="A5" s="102"/>
      <c r="B5" s="103"/>
      <c r="C5" s="6" t="s">
        <v>25</v>
      </c>
      <c r="D5" s="95" t="s">
        <v>24</v>
      </c>
      <c r="E5" s="96"/>
      <c r="F5" s="96"/>
      <c r="G5" s="97"/>
      <c r="H5" s="111"/>
      <c r="I5" s="91"/>
    </row>
    <row r="6" spans="1:9" ht="16.5" thickBot="1" x14ac:dyDescent="0.3">
      <c r="A6" s="112" t="s">
        <v>23</v>
      </c>
      <c r="B6" s="112"/>
      <c r="C6" s="112"/>
      <c r="D6" s="113" t="s">
        <v>39</v>
      </c>
      <c r="E6" s="113"/>
      <c r="F6" s="113"/>
      <c r="G6" s="114" t="s">
        <v>22</v>
      </c>
      <c r="H6" s="114"/>
      <c r="I6" s="7" t="s">
        <v>39</v>
      </c>
    </row>
    <row r="7" spans="1:9" x14ac:dyDescent="0.25">
      <c r="A7" s="115" t="s">
        <v>21</v>
      </c>
      <c r="B7" s="117" t="s">
        <v>32</v>
      </c>
      <c r="C7" s="119" t="s">
        <v>20</v>
      </c>
      <c r="D7" s="119" t="s">
        <v>19</v>
      </c>
      <c r="E7" s="119" t="s">
        <v>18</v>
      </c>
      <c r="F7" s="119"/>
      <c r="G7" s="119" t="s">
        <v>17</v>
      </c>
      <c r="H7" s="119"/>
      <c r="I7" s="8" t="s">
        <v>16</v>
      </c>
    </row>
    <row r="8" spans="1:9" ht="31.5" thickBot="1" x14ac:dyDescent="0.3">
      <c r="A8" s="116"/>
      <c r="B8" s="118"/>
      <c r="C8" s="120"/>
      <c r="D8" s="120"/>
      <c r="E8" s="9" t="s">
        <v>13</v>
      </c>
      <c r="F8" s="10" t="s">
        <v>15</v>
      </c>
      <c r="G8" s="9" t="s">
        <v>13</v>
      </c>
      <c r="H8" s="10" t="s">
        <v>15</v>
      </c>
      <c r="I8" s="11" t="s">
        <v>14</v>
      </c>
    </row>
    <row r="9" spans="1:9" ht="18.75" x14ac:dyDescent="0.25">
      <c r="A9" s="12"/>
      <c r="B9" s="13"/>
      <c r="C9" s="17" t="s">
        <v>33</v>
      </c>
      <c r="D9" s="13"/>
      <c r="E9" s="14"/>
      <c r="F9" s="15"/>
      <c r="G9" s="14"/>
      <c r="H9" s="15"/>
      <c r="I9" s="16"/>
    </row>
    <row r="10" spans="1:9" ht="20.25" x14ac:dyDescent="0.3">
      <c r="A10" s="18">
        <v>902000170</v>
      </c>
      <c r="B10" s="18" t="s">
        <v>40</v>
      </c>
      <c r="C10" s="19" t="s">
        <v>41</v>
      </c>
      <c r="D10" s="20" t="s">
        <v>38</v>
      </c>
      <c r="E10" s="21">
        <f>120*7.7</f>
        <v>924</v>
      </c>
      <c r="F10" s="20" t="s">
        <v>1</v>
      </c>
      <c r="G10" s="22"/>
      <c r="H10" s="23"/>
      <c r="I10" s="24"/>
    </row>
    <row r="11" spans="1:9" ht="20.25" x14ac:dyDescent="0.3">
      <c r="A11" s="25"/>
      <c r="B11" s="18" t="s">
        <v>42</v>
      </c>
      <c r="C11" s="19" t="s">
        <v>43</v>
      </c>
      <c r="D11" s="26" t="s">
        <v>44</v>
      </c>
      <c r="E11" s="27">
        <v>83</v>
      </c>
      <c r="F11" s="28"/>
      <c r="G11" s="29"/>
      <c r="H11" s="29"/>
      <c r="I11" s="24"/>
    </row>
    <row r="12" spans="1:9" ht="20.25" x14ac:dyDescent="0.3">
      <c r="A12" s="30"/>
      <c r="B12" s="31"/>
      <c r="C12" s="32"/>
      <c r="D12" s="18"/>
      <c r="E12" s="18"/>
      <c r="F12" s="18"/>
      <c r="G12" s="33"/>
      <c r="H12" s="18"/>
      <c r="I12" s="24"/>
    </row>
    <row r="13" spans="1:9" ht="20.25" x14ac:dyDescent="0.3">
      <c r="A13" s="30"/>
      <c r="B13" s="19"/>
      <c r="C13" s="34"/>
      <c r="D13" s="18"/>
      <c r="E13" s="18"/>
      <c r="F13" s="18"/>
      <c r="G13" s="33"/>
      <c r="H13" s="18"/>
      <c r="I13" s="24"/>
    </row>
    <row r="14" spans="1:9" ht="20.25" x14ac:dyDescent="0.3">
      <c r="A14" s="35"/>
      <c r="B14" s="35"/>
      <c r="C14" s="34"/>
      <c r="D14" s="20"/>
      <c r="E14" s="18"/>
      <c r="F14" s="36"/>
      <c r="G14" s="33"/>
      <c r="H14" s="18"/>
      <c r="I14" s="24"/>
    </row>
    <row r="15" spans="1:9" ht="20.25" x14ac:dyDescent="0.3">
      <c r="A15" s="35"/>
      <c r="B15" s="35"/>
      <c r="C15" s="34"/>
      <c r="D15" s="20"/>
      <c r="E15" s="18"/>
      <c r="F15" s="36"/>
      <c r="G15" s="33"/>
      <c r="H15" s="18"/>
      <c r="I15" s="24"/>
    </row>
    <row r="16" spans="1:9" ht="20.25" x14ac:dyDescent="0.3">
      <c r="A16" s="37"/>
      <c r="B16" s="37"/>
      <c r="C16" s="38" t="s">
        <v>37</v>
      </c>
      <c r="D16" s="18"/>
      <c r="E16" s="19"/>
      <c r="F16" s="36"/>
      <c r="G16" s="33"/>
      <c r="H16" s="18"/>
      <c r="I16" s="24"/>
    </row>
    <row r="17" spans="1:9" ht="20.25" x14ac:dyDescent="0.3">
      <c r="A17" s="18"/>
      <c r="B17" s="18"/>
      <c r="C17" s="19"/>
      <c r="D17" s="26"/>
      <c r="E17" s="18"/>
      <c r="F17" s="36"/>
      <c r="G17" s="33"/>
      <c r="H17" s="18"/>
      <c r="I17" s="24"/>
    </row>
    <row r="18" spans="1:9" ht="20.25" x14ac:dyDescent="0.3">
      <c r="A18" s="37"/>
      <c r="B18" s="18"/>
      <c r="C18" s="19"/>
      <c r="D18" s="18"/>
      <c r="E18" s="18"/>
      <c r="F18" s="36"/>
      <c r="G18" s="33"/>
      <c r="H18" s="39"/>
      <c r="I18" s="24"/>
    </row>
    <row r="19" spans="1:9" ht="20.25" x14ac:dyDescent="0.3">
      <c r="A19" s="37"/>
      <c r="B19" s="19"/>
      <c r="C19" s="34"/>
      <c r="D19" s="18"/>
      <c r="E19" s="18"/>
      <c r="F19" s="40"/>
      <c r="G19" s="41"/>
      <c r="H19" s="42"/>
      <c r="I19" s="24"/>
    </row>
    <row r="20" spans="1:9" ht="20.25" x14ac:dyDescent="0.3">
      <c r="A20" s="37"/>
      <c r="B20" s="37"/>
      <c r="C20" s="34"/>
      <c r="D20" s="18"/>
      <c r="E20" s="19"/>
      <c r="F20" s="36"/>
      <c r="G20" s="43"/>
      <c r="H20" s="18"/>
      <c r="I20" s="24"/>
    </row>
    <row r="21" spans="1:9" ht="20.25" x14ac:dyDescent="0.3">
      <c r="A21" s="37"/>
      <c r="B21" s="37"/>
      <c r="C21" s="38" t="s">
        <v>35</v>
      </c>
      <c r="D21" s="19"/>
      <c r="E21" s="19"/>
      <c r="F21" s="36"/>
      <c r="G21" s="33"/>
      <c r="H21" s="18"/>
      <c r="I21" s="24"/>
    </row>
    <row r="22" spans="1:9" ht="20.25" x14ac:dyDescent="0.3">
      <c r="A22" s="37"/>
      <c r="B22" s="37"/>
      <c r="C22" s="38"/>
      <c r="D22" s="19"/>
      <c r="E22" s="19"/>
      <c r="F22" s="36"/>
      <c r="G22" s="33"/>
      <c r="H22" s="18"/>
      <c r="I22" s="24"/>
    </row>
    <row r="23" spans="1:9" ht="20.25" x14ac:dyDescent="0.3">
      <c r="A23" s="44"/>
      <c r="B23" s="20"/>
      <c r="C23" s="45"/>
      <c r="D23" s="20"/>
      <c r="E23" s="21"/>
      <c r="F23" s="46"/>
      <c r="G23" s="47"/>
      <c r="H23" s="18"/>
      <c r="I23" s="24"/>
    </row>
    <row r="24" spans="1:9" ht="20.25" x14ac:dyDescent="0.3">
      <c r="A24" s="20"/>
      <c r="B24" s="20"/>
      <c r="C24" s="45"/>
      <c r="D24" s="48"/>
      <c r="E24" s="21"/>
      <c r="F24" s="20"/>
      <c r="G24" s="47"/>
      <c r="H24" s="18"/>
      <c r="I24" s="24"/>
    </row>
    <row r="25" spans="1:9" ht="20.25" x14ac:dyDescent="0.3">
      <c r="A25" s="52"/>
      <c r="B25" s="53"/>
      <c r="C25" s="54"/>
      <c r="D25" s="20"/>
      <c r="E25" s="50"/>
      <c r="F25" s="55"/>
      <c r="G25" s="50"/>
      <c r="H25" s="51"/>
      <c r="I25" s="24"/>
    </row>
    <row r="26" spans="1:9" ht="16.149999999999999" customHeight="1" x14ac:dyDescent="0.3">
      <c r="A26" s="56"/>
      <c r="B26" s="56"/>
      <c r="C26" s="57"/>
      <c r="D26" s="58"/>
      <c r="E26" s="56"/>
      <c r="F26" s="59"/>
      <c r="G26" s="60"/>
      <c r="H26" s="37"/>
      <c r="I26" s="24"/>
    </row>
    <row r="27" spans="1:9" ht="20.25" x14ac:dyDescent="0.3">
      <c r="A27" s="61"/>
      <c r="B27" s="61"/>
      <c r="C27" s="62"/>
      <c r="D27" s="49"/>
      <c r="E27" s="61"/>
      <c r="F27" s="46"/>
      <c r="G27" s="50"/>
      <c r="H27" s="37"/>
      <c r="I27" s="24"/>
    </row>
    <row r="28" spans="1:9" ht="20.25" x14ac:dyDescent="0.3">
      <c r="A28" s="63"/>
      <c r="B28" s="18"/>
      <c r="C28" s="64"/>
      <c r="D28" s="45"/>
      <c r="E28" s="46"/>
      <c r="F28" s="46"/>
      <c r="G28" s="50"/>
      <c r="H28" s="37"/>
      <c r="I28" s="24"/>
    </row>
    <row r="29" spans="1:9" ht="20.25" x14ac:dyDescent="0.3">
      <c r="A29" s="18"/>
      <c r="B29" s="65"/>
      <c r="C29" s="19"/>
      <c r="D29" s="20"/>
      <c r="E29" s="21"/>
      <c r="F29" s="46"/>
      <c r="G29" s="50"/>
      <c r="H29" s="37"/>
      <c r="I29" s="24"/>
    </row>
    <row r="30" spans="1:9" ht="20.25" x14ac:dyDescent="0.3">
      <c r="A30" s="52"/>
      <c r="B30" s="53"/>
      <c r="C30" s="54"/>
      <c r="D30" s="37"/>
      <c r="E30" s="37"/>
      <c r="F30" s="55"/>
      <c r="G30" s="37"/>
      <c r="H30" s="37"/>
      <c r="I30" s="24"/>
    </row>
    <row r="31" spans="1:9" ht="21" thickBot="1" x14ac:dyDescent="0.35">
      <c r="A31" s="66"/>
      <c r="B31" s="67"/>
      <c r="C31" s="68"/>
      <c r="D31" s="68"/>
      <c r="E31" s="69"/>
      <c r="F31" s="70"/>
      <c r="G31" s="68"/>
      <c r="H31" s="68"/>
      <c r="I31" s="71"/>
    </row>
    <row r="32" spans="1:9" ht="21" thickBot="1" x14ac:dyDescent="0.35">
      <c r="A32" s="72"/>
      <c r="B32" s="73"/>
      <c r="C32" s="74"/>
      <c r="D32" s="75" t="s">
        <v>13</v>
      </c>
      <c r="E32" s="76" t="s">
        <v>12</v>
      </c>
      <c r="F32" s="77"/>
      <c r="G32" s="74"/>
      <c r="H32" s="74"/>
      <c r="I32" s="78"/>
    </row>
    <row r="33" spans="1:10" ht="20.25" x14ac:dyDescent="0.3">
      <c r="A33" s="83" t="s">
        <v>11</v>
      </c>
      <c r="B33" s="84"/>
      <c r="C33" s="85"/>
      <c r="D33" s="79">
        <v>1000</v>
      </c>
      <c r="E33" s="80" t="s">
        <v>1</v>
      </c>
      <c r="F33" s="86" t="s">
        <v>10</v>
      </c>
      <c r="G33" s="86"/>
      <c r="H33" s="87"/>
      <c r="I33" s="88"/>
    </row>
    <row r="34" spans="1:10" ht="20.25" x14ac:dyDescent="0.3">
      <c r="A34" s="135" t="s">
        <v>9</v>
      </c>
      <c r="B34" s="136"/>
      <c r="C34" s="137"/>
      <c r="D34" s="20">
        <v>2</v>
      </c>
      <c r="E34" s="20" t="s">
        <v>8</v>
      </c>
      <c r="F34" s="138" t="s">
        <v>7</v>
      </c>
      <c r="G34" s="138"/>
      <c r="H34" s="139"/>
      <c r="I34" s="140"/>
    </row>
    <row r="35" spans="1:10" ht="20.25" x14ac:dyDescent="0.3">
      <c r="A35" s="135" t="s">
        <v>6</v>
      </c>
      <c r="B35" s="136"/>
      <c r="C35" s="137"/>
      <c r="D35" s="20">
        <v>1</v>
      </c>
      <c r="E35" s="20" t="s">
        <v>45</v>
      </c>
      <c r="F35" s="138" t="s">
        <v>5</v>
      </c>
      <c r="G35" s="138"/>
      <c r="H35" s="139"/>
      <c r="I35" s="140"/>
      <c r="J35">
        <f>1000/130</f>
        <v>7.6923076923076925</v>
      </c>
    </row>
    <row r="36" spans="1:10" ht="20.25" x14ac:dyDescent="0.3">
      <c r="A36" s="135" t="s">
        <v>4</v>
      </c>
      <c r="B36" s="136"/>
      <c r="C36" s="137"/>
      <c r="D36" s="20">
        <v>1000</v>
      </c>
      <c r="E36" s="20" t="s">
        <v>1</v>
      </c>
      <c r="F36" s="147" t="s">
        <v>3</v>
      </c>
      <c r="G36" s="148"/>
      <c r="H36" s="139"/>
      <c r="I36" s="140"/>
    </row>
    <row r="37" spans="1:10" ht="21" thickBot="1" x14ac:dyDescent="0.35">
      <c r="A37" s="149" t="s">
        <v>2</v>
      </c>
      <c r="B37" s="150"/>
      <c r="C37" s="151"/>
      <c r="D37" s="81">
        <f>SUM(E10:E11)-D33</f>
        <v>7</v>
      </c>
      <c r="E37" s="82" t="s">
        <v>1</v>
      </c>
      <c r="F37" s="121"/>
      <c r="G37" s="121"/>
      <c r="H37" s="122"/>
      <c r="I37" s="123"/>
    </row>
    <row r="38" spans="1:10" ht="21" thickBot="1" x14ac:dyDescent="0.35">
      <c r="A38" s="154" t="s">
        <v>0</v>
      </c>
      <c r="B38" s="155"/>
      <c r="C38" s="155"/>
      <c r="D38" s="155"/>
      <c r="E38" s="155"/>
      <c r="F38" s="155"/>
      <c r="G38" s="155"/>
      <c r="H38" s="155"/>
      <c r="I38" s="156"/>
    </row>
    <row r="39" spans="1:10" ht="20.45" customHeight="1" x14ac:dyDescent="0.3">
      <c r="A39" s="141" t="s">
        <v>46</v>
      </c>
      <c r="B39" s="142"/>
      <c r="C39" s="142"/>
      <c r="D39" s="142"/>
      <c r="E39" s="142"/>
      <c r="F39" s="142"/>
      <c r="G39" s="142"/>
      <c r="H39" s="142"/>
      <c r="I39" s="143"/>
    </row>
    <row r="40" spans="1:10" ht="21.6" customHeight="1" x14ac:dyDescent="0.3">
      <c r="A40" s="128" t="s">
        <v>47</v>
      </c>
      <c r="B40" s="129"/>
      <c r="C40" s="129"/>
      <c r="D40" s="129"/>
      <c r="E40" s="129"/>
      <c r="F40" s="129"/>
      <c r="G40" s="129"/>
      <c r="H40" s="129"/>
      <c r="I40" s="152"/>
    </row>
    <row r="41" spans="1:10" ht="19.899999999999999" customHeight="1" x14ac:dyDescent="0.3">
      <c r="A41" s="124"/>
      <c r="B41" s="125"/>
      <c r="C41" s="126"/>
      <c r="D41" s="126"/>
      <c r="E41" s="126"/>
      <c r="F41" s="126"/>
      <c r="G41" s="126"/>
      <c r="H41" s="126"/>
      <c r="I41" s="127"/>
    </row>
    <row r="42" spans="1:10" ht="18" customHeight="1" x14ac:dyDescent="0.3">
      <c r="A42" s="130"/>
      <c r="B42" s="131"/>
      <c r="C42" s="131"/>
      <c r="D42" s="131"/>
      <c r="E42" s="131"/>
      <c r="F42" s="131"/>
      <c r="G42" s="131"/>
      <c r="H42" s="131"/>
      <c r="I42" s="132"/>
    </row>
    <row r="43" spans="1:10" ht="20.25" x14ac:dyDescent="0.3">
      <c r="A43" s="130"/>
      <c r="B43" s="131"/>
      <c r="C43" s="131"/>
      <c r="D43" s="131"/>
      <c r="E43" s="131"/>
      <c r="F43" s="131"/>
      <c r="G43" s="131"/>
      <c r="H43" s="131"/>
      <c r="I43" s="132"/>
    </row>
    <row r="44" spans="1:10" ht="21" thickBot="1" x14ac:dyDescent="0.35">
      <c r="A44" s="144"/>
      <c r="B44" s="145"/>
      <c r="C44" s="145"/>
      <c r="D44" s="145"/>
      <c r="E44" s="145"/>
      <c r="F44" s="145"/>
      <c r="G44" s="145"/>
      <c r="H44" s="145"/>
      <c r="I44" s="146"/>
    </row>
    <row r="45" spans="1:10" ht="20.25" x14ac:dyDescent="0.3">
      <c r="A45" s="133" t="s">
        <v>34</v>
      </c>
      <c r="B45" s="134"/>
      <c r="C45" s="134"/>
      <c r="D45" s="134"/>
      <c r="E45" s="134"/>
      <c r="F45" s="134"/>
      <c r="G45" s="134"/>
      <c r="H45" s="134"/>
      <c r="I45" s="134"/>
    </row>
    <row r="46" spans="1:10" ht="20.25" x14ac:dyDescent="0.3">
      <c r="A46" s="153" t="s">
        <v>50</v>
      </c>
      <c r="B46" s="153"/>
      <c r="C46" s="153"/>
      <c r="D46" s="153"/>
      <c r="E46" s="153"/>
      <c r="F46" s="153"/>
      <c r="G46" s="153"/>
      <c r="H46" s="153"/>
      <c r="I46" s="153"/>
    </row>
    <row r="47" spans="1:10" ht="20.25" x14ac:dyDescent="0.3">
      <c r="A47" s="153"/>
      <c r="B47" s="153"/>
      <c r="C47" s="153"/>
      <c r="D47" s="153"/>
      <c r="E47" s="153"/>
      <c r="F47" s="153"/>
      <c r="G47" s="153"/>
      <c r="H47" s="153"/>
      <c r="I47" s="153"/>
    </row>
  </sheetData>
  <mergeCells count="42">
    <mergeCell ref="A34:C34"/>
    <mergeCell ref="F34:G34"/>
    <mergeCell ref="H34:I34"/>
    <mergeCell ref="A39:I39"/>
    <mergeCell ref="A44:I44"/>
    <mergeCell ref="A35:C35"/>
    <mergeCell ref="F35:G35"/>
    <mergeCell ref="H35:I35"/>
    <mergeCell ref="A36:C36"/>
    <mergeCell ref="F36:G36"/>
    <mergeCell ref="H36:I36"/>
    <mergeCell ref="A37:C37"/>
    <mergeCell ref="A40:I40"/>
    <mergeCell ref="A41:I41"/>
    <mergeCell ref="F37:G37"/>
    <mergeCell ref="H37:I37"/>
    <mergeCell ref="A47:I47"/>
    <mergeCell ref="A42:I42"/>
    <mergeCell ref="A43:I43"/>
    <mergeCell ref="A45:I45"/>
    <mergeCell ref="A46:I46"/>
    <mergeCell ref="B7:B8"/>
    <mergeCell ref="C7:C8"/>
    <mergeCell ref="D7:D8"/>
    <mergeCell ref="E7:F7"/>
    <mergeCell ref="G7:H7"/>
    <mergeCell ref="A33:C33"/>
    <mergeCell ref="F33:G33"/>
    <mergeCell ref="H33:I33"/>
    <mergeCell ref="A38:I38"/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</mergeCells>
  <phoneticPr fontId="10" type="noConversion"/>
  <pageMargins left="0.7" right="0.7" top="0.75" bottom="0.75" header="0.3" footer="0.3"/>
  <pageSetup scale="5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FC54A3-B27F-4C76-A7EF-382E507802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7116607-CD2A-4DC6-96A6-82F70ABB59D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7D703B1A-D239-4116-A952-4C18714F805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Topping Suspiro Limeño</vt:lpstr>
      <vt:lpstr>'Topping Suspiro Limeño'!Área_de_impresión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Allan Brenes</cp:lastModifiedBy>
  <cp:lastPrinted>2025-09-19T16:30:31Z</cp:lastPrinted>
  <dcterms:created xsi:type="dcterms:W3CDTF">2025-01-06T20:55:42Z</dcterms:created>
  <dcterms:modified xsi:type="dcterms:W3CDTF">2025-09-19T16:32:36Z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
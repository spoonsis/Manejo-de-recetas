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7" documentId="8_{C0F80C08-2BF3-4045-BDA7-8C6CAE79B46D}" xr6:coauthVersionLast="47" xr6:coauthVersionMax="47" xr10:uidLastSave="{642868D0-8F83-4EDF-B44B-3B7567646325}"/>
  <bookViews>
    <workbookView xWindow="-120" yWindow="-120" windowWidth="20730" windowHeight="11040" xr2:uid="{0E74A515-377F-48BD-8D83-79DCC85D6C65}"/>
  </bookViews>
  <sheets>
    <sheet name="Hoja1" sheetId="1" r:id="rId1"/>
    <sheet name="Hoja3" sheetId="3" state="hidden" r:id="rId2"/>
  </sheets>
  <externalReferences>
    <externalReference r:id="rId3"/>
    <externalReference r:id="rId4"/>
  </externalReferences>
  <definedNames>
    <definedName name="_xlnm.Print_Area" localSheetId="0">Hoja1!$A$1:$I$40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3" i="3" l="1"/>
  <c r="D74" i="3" s="1"/>
  <c r="D76" i="3" s="1"/>
  <c r="D71" i="3"/>
  <c r="D69" i="3"/>
  <c r="F65" i="3"/>
  <c r="C73" i="3" s="1"/>
  <c r="D60" i="3"/>
  <c r="D85" i="3" s="1"/>
  <c r="D86" i="3" s="1"/>
  <c r="C51" i="3"/>
  <c r="E50" i="3"/>
  <c r="D50" i="3"/>
  <c r="B50" i="3"/>
  <c r="E49" i="3"/>
  <c r="D49" i="3"/>
  <c r="B49" i="3"/>
  <c r="E48" i="3"/>
  <c r="D48" i="3"/>
  <c r="B48" i="3"/>
  <c r="E47" i="3"/>
  <c r="D47" i="3"/>
  <c r="B47" i="3"/>
  <c r="E46" i="3"/>
  <c r="D46" i="3"/>
  <c r="B46" i="3"/>
  <c r="E45" i="3"/>
  <c r="D45" i="3"/>
  <c r="B45" i="3"/>
  <c r="E44" i="3"/>
  <c r="D44" i="3"/>
  <c r="B44" i="3"/>
  <c r="E41" i="3"/>
  <c r="D41" i="3"/>
  <c r="C41" i="3"/>
  <c r="B41" i="3"/>
  <c r="A41" i="3"/>
  <c r="A50" i="3" s="1"/>
  <c r="C50" i="3" s="1"/>
  <c r="E40" i="3"/>
  <c r="D40" i="3"/>
  <c r="B40" i="3"/>
  <c r="A40" i="3"/>
  <c r="C40" i="3" s="1"/>
  <c r="E39" i="3"/>
  <c r="D39" i="3"/>
  <c r="B39" i="3"/>
  <c r="A39" i="3"/>
  <c r="A48" i="3" s="1"/>
  <c r="C48" i="3" s="1"/>
  <c r="E38" i="3"/>
  <c r="D38" i="3"/>
  <c r="B38" i="3"/>
  <c r="A38" i="3"/>
  <c r="A47" i="3" s="1"/>
  <c r="C47" i="3" s="1"/>
  <c r="E37" i="3"/>
  <c r="D37" i="3"/>
  <c r="B37" i="3"/>
  <c r="A37" i="3"/>
  <c r="A46" i="3" s="1"/>
  <c r="C46" i="3" s="1"/>
  <c r="E36" i="3"/>
  <c r="D36" i="3"/>
  <c r="B36" i="3"/>
  <c r="A36" i="3"/>
  <c r="C36" i="3" s="1"/>
  <c r="E35" i="3"/>
  <c r="D35" i="3"/>
  <c r="B35" i="3"/>
  <c r="A35" i="3"/>
  <c r="A44" i="3" s="1"/>
  <c r="C44" i="3" s="1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F29" i="3" s="1"/>
  <c r="D29" i="3"/>
  <c r="C29" i="3"/>
  <c r="B29" i="3"/>
  <c r="E28" i="3"/>
  <c r="D28" i="3"/>
  <c r="C28" i="3"/>
  <c r="B28" i="3"/>
  <c r="E27" i="3"/>
  <c r="F27" i="3" s="1"/>
  <c r="D27" i="3"/>
  <c r="C27" i="3"/>
  <c r="B27" i="3"/>
  <c r="E24" i="3"/>
  <c r="D24" i="3"/>
  <c r="C24" i="3"/>
  <c r="B24" i="3"/>
  <c r="E23" i="3"/>
  <c r="F23" i="3" s="1"/>
  <c r="D23" i="3"/>
  <c r="C23" i="3"/>
  <c r="B23" i="3"/>
  <c r="E22" i="3"/>
  <c r="F22" i="3" s="1"/>
  <c r="D22" i="3"/>
  <c r="C22" i="3"/>
  <c r="B22" i="3"/>
  <c r="E21" i="3"/>
  <c r="F21" i="3" s="1"/>
  <c r="D21" i="3"/>
  <c r="C21" i="3"/>
  <c r="B21" i="3"/>
  <c r="E20" i="3"/>
  <c r="F20" i="3" s="1"/>
  <c r="D20" i="3"/>
  <c r="C20" i="3"/>
  <c r="B20" i="3"/>
  <c r="E19" i="3"/>
  <c r="F19" i="3" s="1"/>
  <c r="D19" i="3"/>
  <c r="C19" i="3"/>
  <c r="B19" i="3"/>
  <c r="E18" i="3"/>
  <c r="D18" i="3"/>
  <c r="C18" i="3"/>
  <c r="B18" i="3"/>
  <c r="E17" i="3"/>
  <c r="D17" i="3"/>
  <c r="C17" i="3"/>
  <c r="B17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F11" i="3" s="1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H6" i="3"/>
  <c r="D30" i="1"/>
  <c r="F13" i="3" l="1"/>
  <c r="F31" i="3"/>
  <c r="D81" i="3"/>
  <c r="D83" i="3"/>
  <c r="F36" i="3"/>
  <c r="F40" i="3"/>
  <c r="F28" i="3"/>
  <c r="F30" i="3"/>
  <c r="F32" i="3"/>
  <c r="F41" i="3"/>
  <c r="C37" i="3"/>
  <c r="F37" i="3" s="1"/>
  <c r="F18" i="3"/>
  <c r="F24" i="3"/>
  <c r="C38" i="3"/>
  <c r="F38" i="3" s="1"/>
  <c r="F46" i="3"/>
  <c r="F50" i="3"/>
  <c r="F10" i="3"/>
  <c r="F12" i="3"/>
  <c r="F14" i="3"/>
  <c r="F9" i="3"/>
  <c r="F8" i="3"/>
  <c r="F17" i="3"/>
  <c r="F44" i="3"/>
  <c r="F48" i="3"/>
  <c r="F47" i="3"/>
  <c r="C85" i="3"/>
  <c r="E85" i="3" s="1"/>
  <c r="E73" i="3"/>
  <c r="C35" i="3"/>
  <c r="F35" i="3" s="1"/>
  <c r="C39" i="3"/>
  <c r="F39" i="3" s="1"/>
  <c r="E51" i="3"/>
  <c r="F51" i="3" s="1"/>
  <c r="A45" i="3"/>
  <c r="C45" i="3" s="1"/>
  <c r="F45" i="3" s="1"/>
  <c r="A49" i="3"/>
  <c r="C49" i="3" s="1"/>
  <c r="F49" i="3" s="1"/>
  <c r="F53" i="3" l="1"/>
  <c r="C69" i="3" s="1"/>
  <c r="F54" i="3"/>
  <c r="F56" i="3"/>
  <c r="H53" i="3" l="1"/>
  <c r="F2" i="3" s="1"/>
  <c r="F64" i="3"/>
  <c r="H54" i="3"/>
  <c r="G2" i="3" s="1"/>
  <c r="C76" i="3"/>
  <c r="E76" i="3" s="1"/>
  <c r="E69" i="3"/>
  <c r="C81" i="3"/>
  <c r="E81" i="3" s="1"/>
  <c r="F55" i="3"/>
  <c r="C74" i="3"/>
  <c r="H56" i="3"/>
  <c r="H2" i="3" s="1"/>
  <c r="E74" i="3" l="1"/>
  <c r="E78" i="3" s="1"/>
  <c r="C86" i="3"/>
  <c r="E86" i="3" s="1"/>
  <c r="O54" i="3"/>
  <c r="H55" i="3"/>
  <c r="F63" i="3"/>
  <c r="O56" i="3" l="1"/>
  <c r="O55" i="3"/>
  <c r="O58" i="3"/>
  <c r="C71" i="3"/>
  <c r="E63" i="3"/>
  <c r="F66" i="3"/>
  <c r="G63" i="3" s="1"/>
  <c r="O57" i="3" l="1"/>
  <c r="O59" i="3" s="1"/>
  <c r="O60" i="3" s="1"/>
  <c r="O61" i="3" s="1"/>
  <c r="O62" i="3" s="1"/>
  <c r="G66" i="3"/>
  <c r="G17" i="3"/>
  <c r="G22" i="3"/>
  <c r="G13" i="3"/>
  <c r="G32" i="3"/>
  <c r="G11" i="3"/>
  <c r="G37" i="3"/>
  <c r="G19" i="3"/>
  <c r="G23" i="3"/>
  <c r="G9" i="3"/>
  <c r="G38" i="3"/>
  <c r="G12" i="3"/>
  <c r="G18" i="3"/>
  <c r="G40" i="3"/>
  <c r="G46" i="3"/>
  <c r="G27" i="3"/>
  <c r="G20" i="3"/>
  <c r="G30" i="3"/>
  <c r="G14" i="3"/>
  <c r="G24" i="3"/>
  <c r="G41" i="3"/>
  <c r="G28" i="3"/>
  <c r="G50" i="3"/>
  <c r="G65" i="3"/>
  <c r="G21" i="3"/>
  <c r="G36" i="3"/>
  <c r="G10" i="3"/>
  <c r="G8" i="3"/>
  <c r="G29" i="3"/>
  <c r="G31" i="3"/>
  <c r="G39" i="3"/>
  <c r="G45" i="3"/>
  <c r="G44" i="3"/>
  <c r="G53" i="3"/>
  <c r="G48" i="3"/>
  <c r="G49" i="3"/>
  <c r="G51" i="3"/>
  <c r="G35" i="3"/>
  <c r="G47" i="3"/>
  <c r="G56" i="3"/>
  <c r="G54" i="3"/>
  <c r="G64" i="3"/>
  <c r="G55" i="3"/>
  <c r="C83" i="3"/>
  <c r="E83" i="3" s="1"/>
  <c r="E71" i="3"/>
  <c r="P62" i="3" l="1"/>
  <c r="E2" i="3"/>
</calcChain>
</file>

<file path=xl/sharedStrings.xml><?xml version="1.0" encoding="utf-8"?>
<sst xmlns="http://schemas.openxmlformats.org/spreadsheetml/2006/main" count="156" uniqueCount="108">
  <si>
    <t>PROCEDIMIENTO DE PREPARACION DE LA  RECETA</t>
  </si>
  <si>
    <t>g</t>
  </si>
  <si>
    <t>MERMA</t>
  </si>
  <si>
    <t>PESO DE CADA PORCIÓN</t>
  </si>
  <si>
    <t>Unidades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</si>
  <si>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</si>
  <si>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</si>
  <si>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</si>
  <si>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</si>
  <si>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</si>
  <si>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</si>
  <si>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</si>
  <si>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</si>
  <si>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</si>
  <si>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</si>
  <si>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</si>
  <si>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</si>
  <si>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</si>
  <si>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</si>
  <si>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</si>
  <si>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</si>
  <si>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</si>
  <si>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</si>
  <si>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</si>
  <si>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</si>
  <si>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</si>
  <si>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</si>
  <si>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</si>
  <si>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ETIPLAST</t>
  </si>
  <si>
    <t>ETIQUETA BLANCA 2 5/8X1 15/16 PRE BLANCA</t>
  </si>
  <si>
    <t>0702123</t>
  </si>
  <si>
    <t>EMPAQUE</t>
  </si>
  <si>
    <t>ud</t>
  </si>
  <si>
    <t>Enmanuel Madrigal, Chef</t>
  </si>
  <si>
    <t xml:space="preserve">Cocina </t>
  </si>
  <si>
    <t xml:space="preserve">Empaque </t>
  </si>
  <si>
    <t>FAS</t>
  </si>
  <si>
    <t>10100050</t>
  </si>
  <si>
    <t>CAPULLO</t>
  </si>
  <si>
    <t>105000009</t>
  </si>
  <si>
    <t>LOS PATITOS</t>
  </si>
  <si>
    <t>2- Colocar en una olla el aceite junto con el achiote, mezclar hasta derretir</t>
  </si>
  <si>
    <t>CALDO DE POLLO RECORTE</t>
  </si>
  <si>
    <t>3- Agregar el caldo de pollo junto con los trozos de pollo y mezclar de forma envolvente</t>
  </si>
  <si>
    <t>1- Pasar el pollo recorte una vez cocinado por la máquina mechadora, deben quedar trozos grandes NO MUY MOLIDO</t>
  </si>
  <si>
    <t>4- Colocar en bandejas, cubrir, etiquetar y pasar a empaque para choque térmico</t>
  </si>
  <si>
    <t>CONTROL DE CAMBIOS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</si>
  <si>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</si>
  <si>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</si>
  <si>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</si>
  <si>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</si>
  <si>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</si>
  <si>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</si>
  <si>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</si>
  <si>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</si>
  <si>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</si>
  <si>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</si>
  <si>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</si>
  <si>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</si>
  <si>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</si>
  <si>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</si>
  <si>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</si>
  <si>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</si>
  <si>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</si>
  <si>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</si>
  <si>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</si>
  <si>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</si>
  <si>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</si>
  <si>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</si>
  <si>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</si>
  <si>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</si>
  <si>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</si>
  <si>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</si>
  <si>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</si>
  <si>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</si>
  <si>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</si>
  <si>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</si>
  <si>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</si>
  <si>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</si>
  <si>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</si>
  <si>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</si>
  <si>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</si>
  <si>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</si>
  <si>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</si>
  <si>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</si>
  <si>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</si>
  <si>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</si>
  <si>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</si>
  <si>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</si>
  <si>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</si>
  <si>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</si>
  <si>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</si>
  <si>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</si>
  <si>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</si>
  <si>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</si>
  <si>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901000167</t>
  </si>
  <si>
    <t>Esteban Cartin, Gte Manufactura</t>
  </si>
  <si>
    <t>SE00135</t>
  </si>
  <si>
    <t>MP10002</t>
  </si>
  <si>
    <t>MP10058</t>
  </si>
  <si>
    <t>EM10011</t>
  </si>
  <si>
    <t xml:space="preserve">90100303 (SE00559) Cocción Pollo Achotado Tamal de Pollo </t>
  </si>
  <si>
    <t># Código Netsuite</t>
  </si>
  <si>
    <t xml:space="preserve">COCCION POLLO RECORTE </t>
  </si>
  <si>
    <t>ACEITE CAPULLO RBD</t>
  </si>
  <si>
    <t>ACHIOTE</t>
  </si>
  <si>
    <t>01</t>
  </si>
  <si>
    <t>ESP-RE-COCS-110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</si>
</sst>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_([$€-2]* #,##0.00_);_([$€-2]* \(#,##0.00\);_([$€-2]* &quot;-&quot;??_)"/>
    <numFmt numFmtId="168" formatCode="[$-409]d\-mmm\-yy;@"/>
    <numFmt numFmtId="169" formatCode="&quot;$&quot;#,##0_);[Red]\(&quot;$&quot;#,##0\)"/>
    <numFmt numFmtId="170" formatCode="_-* #,##0.0\ _€_-;\-* #,##0.0\ _€_-;_-* &quot;-&quot;??\ _€_-;_-@_-"/>
  </numFmts>
  <fonts count="4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2"/>
      <color rgb="FFFF000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i/>
      <sz val="1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4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8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25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9" fontId="1" fillId="2" borderId="0" xfId="2" applyFill="1"/>
    <xf numFmtId="0" fontId="2" fillId="3" borderId="27" xfId="0" applyFont="1" applyFill="1" applyBorder="1" applyAlignment="1">
      <alignment horizontal="center" vertical="center" wrapText="1"/>
    </xf>
    <xf numFmtId="14" fontId="1" fillId="2" borderId="0" xfId="3" applyNumberFormat="1" applyFont="1" applyFill="1" applyAlignment="1">
      <alignment horizontal="center" vertical="center" wrapText="1"/>
    </xf>
    <xf numFmtId="0" fontId="2" fillId="2" borderId="0" xfId="3" applyFont="1" applyFill="1" applyAlignment="1">
      <alignment horizontal="right" vertical="top" wrapText="1"/>
    </xf>
    <xf numFmtId="0" fontId="1" fillId="2" borderId="0" xfId="3" applyFont="1" applyFill="1" applyAlignment="1">
      <alignment horizontal="left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center"/>
    </xf>
    <xf numFmtId="0" fontId="1" fillId="2" borderId="12" xfId="3" applyFont="1" applyFill="1" applyBorder="1" applyAlignment="1">
      <alignment horizontal="right"/>
    </xf>
    <xf numFmtId="0" fontId="1" fillId="2" borderId="17" xfId="3" applyFont="1" applyFill="1" applyBorder="1" applyAlignment="1">
      <alignment horizontal="right"/>
    </xf>
    <xf numFmtId="49" fontId="1" fillId="2" borderId="24" xfId="3" applyNumberFormat="1" applyFont="1" applyFill="1" applyBorder="1" applyAlignment="1">
      <alignment horizontal="center"/>
    </xf>
    <xf numFmtId="0" fontId="2" fillId="2" borderId="17" xfId="3" applyFont="1" applyFill="1" applyBorder="1" applyAlignment="1">
      <alignment horizontal="right"/>
    </xf>
    <xf numFmtId="0" fontId="1" fillId="2" borderId="27" xfId="3" applyFont="1" applyFill="1" applyBorder="1" applyAlignment="1">
      <alignment horizontal="center"/>
    </xf>
    <xf numFmtId="0" fontId="2" fillId="2" borderId="28" xfId="3" applyFont="1" applyFill="1" applyBorder="1" applyAlignment="1">
      <alignment horizontal="right"/>
    </xf>
    <xf numFmtId="1" fontId="2" fillId="3" borderId="12" xfId="0" applyNumberFormat="1" applyFont="1" applyFill="1" applyBorder="1" applyAlignment="1">
      <alignment horizontal="center" vertical="center"/>
    </xf>
    <xf numFmtId="1" fontId="2" fillId="3" borderId="12" xfId="0" applyNumberFormat="1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8" fillId="6" borderId="17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3" fontId="8" fillId="0" borderId="17" xfId="15" applyFont="1" applyFill="1" applyBorder="1" applyAlignment="1">
      <alignment horizontal="center" vertical="center"/>
    </xf>
    <xf numFmtId="43" fontId="8" fillId="0" borderId="0" xfId="15" applyFont="1" applyFill="1" applyBorder="1" applyAlignment="1">
      <alignment horizontal="center" vertical="center"/>
    </xf>
    <xf numFmtId="43" fontId="10" fillId="0" borderId="0" xfId="15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8" fontId="13" fillId="0" borderId="0" xfId="0" applyNumberFormat="1" applyFont="1" applyAlignment="1">
      <alignment horizontal="center" vertical="center" wrapText="1"/>
    </xf>
    <xf numFmtId="0" fontId="8" fillId="7" borderId="33" xfId="0" applyFont="1" applyFill="1" applyBorder="1" applyAlignment="1">
      <alignment horizontal="center" vertical="center"/>
    </xf>
    <xf numFmtId="0" fontId="8" fillId="7" borderId="34" xfId="0" applyFont="1" applyFill="1" applyBorder="1" applyAlignment="1">
      <alignment horizontal="center" vertical="center"/>
    </xf>
    <xf numFmtId="0" fontId="8" fillId="7" borderId="34" xfId="0" applyFont="1" applyFill="1" applyBorder="1" applyAlignment="1">
      <alignment horizontal="center" vertical="center" wrapText="1"/>
    </xf>
    <xf numFmtId="0" fontId="8" fillId="7" borderId="3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4" fontId="14" fillId="0" borderId="0" xfId="16" applyNumberFormat="1" applyFont="1" applyFill="1" applyAlignment="1">
      <alignment horizontal="center" vertical="center"/>
    </xf>
    <xf numFmtId="4" fontId="8" fillId="0" borderId="0" xfId="16" applyNumberFormat="1" applyFont="1" applyFill="1" applyAlignment="1">
      <alignment horizontal="center" vertical="center"/>
    </xf>
    <xf numFmtId="10" fontId="8" fillId="0" borderId="0" xfId="17" applyNumberFormat="1" applyFont="1" applyFill="1" applyAlignment="1">
      <alignment vertical="center"/>
    </xf>
    <xf numFmtId="49" fontId="8" fillId="0" borderId="0" xfId="0" applyNumberFormat="1" applyFont="1" applyAlignment="1">
      <alignment horizontal="center" vertical="center"/>
    </xf>
    <xf numFmtId="10" fontId="9" fillId="0" borderId="0" xfId="17" applyNumberFormat="1" applyFont="1" applyFill="1" applyAlignment="1">
      <alignment vertical="center"/>
    </xf>
    <xf numFmtId="0" fontId="7" fillId="0" borderId="0" xfId="0" applyFont="1"/>
    <xf numFmtId="49" fontId="8" fillId="0" borderId="0" xfId="0" applyNumberFormat="1" applyFont="1" applyAlignment="1">
      <alignment horizontal="center"/>
    </xf>
    <xf numFmtId="169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43" fontId="7" fillId="0" borderId="0" xfId="15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" fontId="8" fillId="0" borderId="0" xfId="15" applyNumberFormat="1" applyFont="1" applyFill="1" applyAlignment="1">
      <alignment vertical="center"/>
    </xf>
    <xf numFmtId="43" fontId="16" fillId="0" borderId="0" xfId="15" applyFont="1" applyFill="1" applyAlignment="1">
      <alignment horizontal="center" vertical="center"/>
    </xf>
    <xf numFmtId="10" fontId="9" fillId="7" borderId="36" xfId="17" applyNumberFormat="1" applyFont="1" applyFill="1" applyBorder="1" applyAlignment="1">
      <alignment vertical="center"/>
    </xf>
    <xf numFmtId="0" fontId="7" fillId="7" borderId="8" xfId="0" applyFont="1" applyFill="1" applyBorder="1" applyAlignment="1">
      <alignment vertical="center"/>
    </xf>
    <xf numFmtId="0" fontId="7" fillId="7" borderId="36" xfId="0" applyFont="1" applyFill="1" applyBorder="1" applyAlignment="1">
      <alignment vertical="center"/>
    </xf>
    <xf numFmtId="43" fontId="16" fillId="7" borderId="37" xfId="15" applyFont="1" applyFill="1" applyBorder="1" applyAlignment="1">
      <alignment horizontal="center" vertical="center"/>
    </xf>
    <xf numFmtId="43" fontId="18" fillId="0" borderId="0" xfId="15" applyFont="1" applyFill="1" applyBorder="1" applyAlignment="1">
      <alignment horizontal="right"/>
    </xf>
    <xf numFmtId="0" fontId="7" fillId="7" borderId="37" xfId="0" applyFont="1" applyFill="1" applyBorder="1" applyAlignment="1">
      <alignment vertical="center"/>
    </xf>
    <xf numFmtId="10" fontId="9" fillId="7" borderId="37" xfId="17" applyNumberFormat="1" applyFont="1" applyFill="1" applyBorder="1" applyAlignment="1">
      <alignment vertical="center"/>
    </xf>
    <xf numFmtId="0" fontId="17" fillId="0" borderId="0" xfId="0" applyFont="1" applyAlignment="1">
      <alignment horizontal="right"/>
    </xf>
    <xf numFmtId="0" fontId="17" fillId="0" borderId="0" xfId="0" applyFont="1"/>
    <xf numFmtId="9" fontId="17" fillId="0" borderId="0" xfId="0" applyNumberFormat="1" applyFont="1"/>
    <xf numFmtId="0" fontId="8" fillId="0" borderId="0" xfId="0" applyFont="1" applyAlignment="1">
      <alignment horizontal="right" vertical="center"/>
    </xf>
    <xf numFmtId="9" fontId="19" fillId="0" borderId="0" xfId="17" applyFont="1" applyFill="1" applyAlignment="1">
      <alignment horizontal="center"/>
    </xf>
    <xf numFmtId="0" fontId="16" fillId="0" borderId="0" xfId="0" applyFont="1" applyAlignment="1">
      <alignment horizontal="right" vertical="center"/>
    </xf>
    <xf numFmtId="4" fontId="16" fillId="0" borderId="0" xfId="15" applyNumberFormat="1" applyFont="1" applyFill="1" applyAlignment="1">
      <alignment vertical="center"/>
    </xf>
    <xf numFmtId="4" fontId="16" fillId="0" borderId="0" xfId="16" applyNumberFormat="1" applyFont="1" applyAlignment="1">
      <alignment horizontal="center" vertical="center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1" fillId="0" borderId="22" xfId="0" applyFont="1" applyBorder="1" applyAlignment="1">
      <alignment horizontal="right"/>
    </xf>
    <xf numFmtId="43" fontId="22" fillId="5" borderId="38" xfId="15" applyFont="1" applyFill="1" applyBorder="1" applyAlignment="1">
      <alignment horizontal="right"/>
    </xf>
    <xf numFmtId="43" fontId="22" fillId="0" borderId="0" xfId="15" applyFont="1" applyFill="1" applyBorder="1" applyAlignment="1">
      <alignment horizontal="right"/>
    </xf>
    <xf numFmtId="43" fontId="8" fillId="0" borderId="17" xfId="15" applyFont="1" applyFill="1" applyBorder="1" applyAlignment="1">
      <alignment vertical="center"/>
    </xf>
    <xf numFmtId="0" fontId="23" fillId="0" borderId="0" xfId="0" applyFont="1" applyAlignment="1">
      <alignment horizontal="left" vertical="center"/>
    </xf>
    <xf numFmtId="4" fontId="16" fillId="0" borderId="0" xfId="16" applyNumberFormat="1" applyFont="1" applyFill="1" applyAlignment="1">
      <alignment horizontal="center" vertical="center"/>
    </xf>
    <xf numFmtId="10" fontId="24" fillId="0" borderId="0" xfId="17" applyNumberFormat="1" applyFont="1" applyFill="1" applyAlignment="1">
      <alignment horizontal="right"/>
    </xf>
    <xf numFmtId="170" fontId="8" fillId="7" borderId="17" xfId="15" applyNumberFormat="1" applyFont="1" applyFill="1" applyBorder="1" applyAlignment="1">
      <alignment vertical="center"/>
    </xf>
    <xf numFmtId="4" fontId="7" fillId="0" borderId="0" xfId="0" applyNumberFormat="1" applyFont="1" applyAlignment="1">
      <alignment horizontal="center" vertical="center"/>
    </xf>
    <xf numFmtId="43" fontId="8" fillId="8" borderId="17" xfId="15" applyFont="1" applyFill="1" applyBorder="1" applyAlignment="1">
      <alignment vertical="center"/>
    </xf>
    <xf numFmtId="165" fontId="25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9" fillId="7" borderId="39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2" fontId="24" fillId="0" borderId="0" xfId="15" applyNumberFormat="1" applyFont="1" applyFill="1" applyBorder="1" applyAlignment="1">
      <alignment horizontal="center"/>
    </xf>
    <xf numFmtId="2" fontId="21" fillId="0" borderId="0" xfId="15" applyNumberFormat="1" applyFont="1" applyFill="1" applyBorder="1" applyAlignment="1">
      <alignment horizontal="center"/>
    </xf>
    <xf numFmtId="0" fontId="7" fillId="7" borderId="39" xfId="0" applyFont="1" applyFill="1" applyBorder="1" applyAlignment="1">
      <alignment vertical="center"/>
    </xf>
    <xf numFmtId="10" fontId="7" fillId="0" borderId="0" xfId="17" applyNumberFormat="1" applyFont="1" applyFill="1" applyAlignment="1">
      <alignment vertical="center"/>
    </xf>
    <xf numFmtId="4" fontId="7" fillId="0" borderId="0" xfId="15" applyNumberFormat="1" applyFont="1" applyFill="1" applyAlignment="1">
      <alignment vertical="center"/>
    </xf>
    <xf numFmtId="43" fontId="22" fillId="7" borderId="8" xfId="15" applyFont="1" applyFill="1" applyBorder="1" applyAlignment="1">
      <alignment horizontal="right"/>
    </xf>
    <xf numFmtId="0" fontId="8" fillId="7" borderId="7" xfId="0" applyFont="1" applyFill="1" applyBorder="1" applyAlignment="1">
      <alignment horizontal="right" vertical="center"/>
    </xf>
    <xf numFmtId="10" fontId="28" fillId="0" borderId="0" xfId="15" applyNumberFormat="1" applyFont="1" applyFill="1" applyAlignment="1">
      <alignment vertical="center"/>
    </xf>
    <xf numFmtId="10" fontId="9" fillId="0" borderId="0" xfId="17" applyNumberFormat="1" applyFont="1" applyFill="1" applyBorder="1" applyAlignment="1">
      <alignment vertical="center"/>
    </xf>
    <xf numFmtId="165" fontId="29" fillId="0" borderId="0" xfId="0" applyNumberFormat="1" applyFont="1" applyAlignment="1">
      <alignment horizontal="center" vertical="center"/>
    </xf>
    <xf numFmtId="0" fontId="7" fillId="4" borderId="38" xfId="0" applyFont="1" applyFill="1" applyBorder="1" applyAlignment="1">
      <alignment horizontal="center" vertical="center"/>
    </xf>
    <xf numFmtId="43" fontId="30" fillId="0" borderId="0" xfId="15" applyFont="1" applyFill="1" applyAlignment="1">
      <alignment vertical="center"/>
    </xf>
    <xf numFmtId="9" fontId="7" fillId="0" borderId="0" xfId="15" applyNumberFormat="1" applyFont="1" applyFill="1" applyAlignment="1">
      <alignment vertical="center"/>
    </xf>
    <xf numFmtId="4" fontId="31" fillId="0" borderId="0" xfId="16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4" fontId="15" fillId="0" borderId="0" xfId="15" applyNumberFormat="1" applyFont="1" applyFill="1" applyAlignment="1">
      <alignment vertical="center"/>
    </xf>
    <xf numFmtId="4" fontId="8" fillId="10" borderId="38" xfId="15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43" fontId="32" fillId="0" borderId="0" xfId="15" applyFont="1" applyFill="1" applyAlignment="1">
      <alignment vertical="center"/>
    </xf>
    <xf numFmtId="9" fontId="32" fillId="0" borderId="0" xfId="15" applyNumberFormat="1" applyFont="1" applyFill="1" applyAlignment="1">
      <alignment vertical="center"/>
    </xf>
    <xf numFmtId="4" fontId="8" fillId="0" borderId="0" xfId="15" applyNumberFormat="1" applyFont="1" applyFill="1" applyAlignment="1">
      <alignment horizontal="center" vertical="center"/>
    </xf>
    <xf numFmtId="10" fontId="25" fillId="0" borderId="0" xfId="17" applyNumberFormat="1" applyFont="1" applyFill="1" applyAlignment="1">
      <alignment vertical="center"/>
    </xf>
    <xf numFmtId="0" fontId="16" fillId="0" borderId="0" xfId="0" applyFont="1" applyAlignment="1">
      <alignment horizontal="center" vertical="center"/>
    </xf>
    <xf numFmtId="43" fontId="25" fillId="0" borderId="0" xfId="15" applyFont="1" applyFill="1" applyBorder="1" applyAlignment="1">
      <alignment vertical="center"/>
    </xf>
    <xf numFmtId="4" fontId="7" fillId="0" borderId="0" xfId="0" applyNumberFormat="1" applyFont="1" applyAlignment="1">
      <alignment horizontal="center"/>
    </xf>
    <xf numFmtId="43" fontId="7" fillId="0" borderId="0" xfId="15" applyFont="1" applyFill="1" applyBorder="1"/>
    <xf numFmtId="10" fontId="25" fillId="0" borderId="0" xfId="17" applyNumberFormat="1" applyFont="1" applyFill="1" applyBorder="1" applyAlignment="1">
      <alignment vertical="center"/>
    </xf>
    <xf numFmtId="0" fontId="25" fillId="0" borderId="0" xfId="0" applyFont="1" applyAlignment="1">
      <alignment horizontal="right"/>
    </xf>
    <xf numFmtId="43" fontId="7" fillId="0" borderId="0" xfId="15" applyFont="1" applyFill="1" applyBorder="1" applyAlignment="1">
      <alignment horizontal="center"/>
    </xf>
    <xf numFmtId="9" fontId="35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65" fontId="8" fillId="0" borderId="0" xfId="0" applyNumberFormat="1" applyFont="1"/>
    <xf numFmtId="14" fontId="36" fillId="2" borderId="0" xfId="3" applyNumberFormat="1" applyFont="1" applyFill="1" applyAlignment="1">
      <alignment horizontal="center" vertical="center" wrapText="1"/>
    </xf>
    <xf numFmtId="0" fontId="37" fillId="4" borderId="17" xfId="0" applyFont="1" applyFill="1" applyBorder="1" applyAlignment="1">
      <alignment horizontal="center" vertical="center"/>
    </xf>
    <xf numFmtId="0" fontId="37" fillId="4" borderId="17" xfId="0" applyFont="1" applyFill="1" applyBorder="1" applyAlignment="1">
      <alignment horizontal="left" vertical="center"/>
    </xf>
    <xf numFmtId="1" fontId="37" fillId="0" borderId="17" xfId="0" applyNumberFormat="1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0" fontId="38" fillId="4" borderId="24" xfId="0" applyFont="1" applyFill="1" applyBorder="1" applyAlignment="1">
      <alignment horizontal="center"/>
    </xf>
    <xf numFmtId="49" fontId="37" fillId="0" borderId="25" xfId="1" applyNumberFormat="1" applyFont="1" applyBorder="1" applyAlignment="1">
      <alignment horizontal="center"/>
    </xf>
    <xf numFmtId="49" fontId="37" fillId="0" borderId="17" xfId="1" applyNumberFormat="1" applyFont="1" applyBorder="1"/>
    <xf numFmtId="16" fontId="37" fillId="0" borderId="17" xfId="1" applyNumberFormat="1" applyFont="1" applyBorder="1" applyAlignment="1">
      <alignment horizontal="center"/>
    </xf>
    <xf numFmtId="1" fontId="37" fillId="0" borderId="17" xfId="1" applyNumberFormat="1" applyFont="1" applyBorder="1" applyAlignment="1">
      <alignment horizontal="center"/>
    </xf>
    <xf numFmtId="1" fontId="37" fillId="0" borderId="17" xfId="1" applyNumberFormat="1" applyFont="1" applyBorder="1" applyAlignment="1">
      <alignment horizontal="center" wrapText="1"/>
    </xf>
    <xf numFmtId="49" fontId="38" fillId="0" borderId="17" xfId="1" applyNumberFormat="1" applyFont="1" applyBorder="1"/>
    <xf numFmtId="0" fontId="39" fillId="0" borderId="17" xfId="0" quotePrefix="1" applyFont="1" applyBorder="1" applyAlignment="1">
      <alignment horizontal="center"/>
    </xf>
    <xf numFmtId="0" fontId="39" fillId="0" borderId="17" xfId="0" quotePrefix="1" applyFont="1" applyBorder="1"/>
    <xf numFmtId="49" fontId="37" fillId="0" borderId="16" xfId="1" applyNumberFormat="1" applyFont="1" applyBorder="1" applyAlignment="1">
      <alignment horizontal="center"/>
    </xf>
    <xf numFmtId="49" fontId="37" fillId="4" borderId="25" xfId="0" applyNumberFormat="1" applyFont="1" applyFill="1" applyBorder="1" applyAlignment="1">
      <alignment horizontal="right"/>
    </xf>
    <xf numFmtId="49" fontId="37" fillId="4" borderId="16" xfId="0" applyNumberFormat="1" applyFont="1" applyFill="1" applyBorder="1" applyAlignment="1">
      <alignment horizontal="right"/>
    </xf>
    <xf numFmtId="49" fontId="37" fillId="4" borderId="17" xfId="0" applyNumberFormat="1" applyFont="1" applyFill="1" applyBorder="1"/>
    <xf numFmtId="0" fontId="37" fillId="0" borderId="17" xfId="0" applyFont="1" applyBorder="1"/>
    <xf numFmtId="0" fontId="37" fillId="0" borderId="24" xfId="0" applyFont="1" applyBorder="1" applyAlignment="1">
      <alignment horizontal="center"/>
    </xf>
    <xf numFmtId="0" fontId="37" fillId="0" borderId="25" xfId="0" quotePrefix="1" applyFont="1" applyBorder="1" applyAlignment="1">
      <alignment horizontal="right"/>
    </xf>
    <xf numFmtId="0" fontId="37" fillId="0" borderId="16" xfId="0" quotePrefix="1" applyFont="1" applyBorder="1" applyAlignment="1">
      <alignment horizontal="right"/>
    </xf>
    <xf numFmtId="0" fontId="37" fillId="0" borderId="17" xfId="0" quotePrefix="1" applyFont="1" applyBorder="1"/>
    <xf numFmtId="1" fontId="37" fillId="0" borderId="17" xfId="0" applyNumberFormat="1" applyFont="1" applyBorder="1" applyAlignment="1">
      <alignment horizontal="center" wrapText="1"/>
    </xf>
    <xf numFmtId="49" fontId="40" fillId="2" borderId="23" xfId="0" applyNumberFormat="1" applyFont="1" applyFill="1" applyBorder="1" applyAlignment="1">
      <alignment horizontal="center" vertical="center"/>
    </xf>
    <xf numFmtId="49" fontId="40" fillId="2" borderId="0" xfId="0" applyNumberFormat="1" applyFont="1" applyFill="1" applyAlignment="1">
      <alignment horizontal="center" vertical="center"/>
    </xf>
    <xf numFmtId="0" fontId="37" fillId="2" borderId="0" xfId="0" applyFont="1" applyFill="1"/>
    <xf numFmtId="1" fontId="37" fillId="2" borderId="0" xfId="0" applyNumberFormat="1" applyFont="1" applyFill="1" applyAlignment="1">
      <alignment horizontal="center"/>
    </xf>
    <xf numFmtId="166" fontId="37" fillId="2" borderId="0" xfId="0" applyNumberFormat="1" applyFont="1" applyFill="1" applyAlignment="1">
      <alignment horizontal="center" wrapText="1"/>
    </xf>
    <xf numFmtId="0" fontId="37" fillId="2" borderId="22" xfId="0" applyFont="1" applyFill="1" applyBorder="1" applyAlignment="1">
      <alignment horizontal="center"/>
    </xf>
    <xf numFmtId="0" fontId="37" fillId="3" borderId="9" xfId="0" applyFont="1" applyFill="1" applyBorder="1" applyAlignment="1">
      <alignment horizontal="center"/>
    </xf>
    <xf numFmtId="0" fontId="37" fillId="3" borderId="8" xfId="0" applyFont="1" applyFill="1" applyBorder="1" applyAlignment="1">
      <alignment horizontal="center"/>
    </xf>
    <xf numFmtId="0" fontId="37" fillId="3" borderId="8" xfId="0" applyFont="1" applyFill="1" applyBorder="1"/>
    <xf numFmtId="0" fontId="38" fillId="3" borderId="8" xfId="0" applyFont="1" applyFill="1" applyBorder="1" applyAlignment="1">
      <alignment horizontal="center"/>
    </xf>
    <xf numFmtId="1" fontId="38" fillId="3" borderId="8" xfId="0" applyNumberFormat="1" applyFont="1" applyFill="1" applyBorder="1" applyAlignment="1">
      <alignment horizontal="center"/>
    </xf>
    <xf numFmtId="166" fontId="37" fillId="3" borderId="8" xfId="0" applyNumberFormat="1" applyFont="1" applyFill="1" applyBorder="1" applyAlignment="1">
      <alignment horizontal="center" wrapText="1"/>
    </xf>
    <xf numFmtId="0" fontId="37" fillId="3" borderId="7" xfId="0" applyFont="1" applyFill="1" applyBorder="1" applyAlignment="1">
      <alignment horizontal="center"/>
    </xf>
    <xf numFmtId="1" fontId="37" fillId="4" borderId="20" xfId="0" applyNumberFormat="1" applyFont="1" applyFill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4" borderId="17" xfId="0" applyFont="1" applyFill="1" applyBorder="1" applyAlignment="1">
      <alignment horizontal="center"/>
    </xf>
    <xf numFmtId="0" fontId="37" fillId="4" borderId="17" xfId="0" applyFont="1" applyFill="1" applyBorder="1" applyAlignment="1">
      <alignment horizontal="center"/>
    </xf>
    <xf numFmtId="1" fontId="37" fillId="4" borderId="17" xfId="0" applyNumberFormat="1" applyFont="1" applyFill="1" applyBorder="1" applyAlignment="1">
      <alignment horizontal="center"/>
    </xf>
    <xf numFmtId="1" fontId="37" fillId="4" borderId="12" xfId="0" applyNumberFormat="1" applyFont="1" applyFill="1" applyBorder="1" applyAlignment="1">
      <alignment horizontal="center"/>
    </xf>
    <xf numFmtId="0" fontId="37" fillId="0" borderId="12" xfId="0" applyFont="1" applyBorder="1" applyAlignment="1">
      <alignment horizontal="center"/>
    </xf>
    <xf numFmtId="0" fontId="40" fillId="2" borderId="17" xfId="11" applyFont="1" applyFill="1" applyBorder="1" applyAlignment="1">
      <alignment horizontal="left" vertical="center"/>
    </xf>
    <xf numFmtId="0" fontId="2" fillId="3" borderId="29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14" fontId="1" fillId="2" borderId="24" xfId="3" applyNumberFormat="1" applyFont="1" applyFill="1" applyBorder="1" applyAlignment="1">
      <alignment horizontal="center" vertical="center" wrapText="1"/>
    </xf>
    <xf numFmtId="14" fontId="1" fillId="2" borderId="26" xfId="3" applyNumberFormat="1" applyFont="1" applyFill="1" applyBorder="1" applyAlignment="1">
      <alignment horizontal="center" vertical="center" wrapText="1"/>
    </xf>
    <xf numFmtId="0" fontId="1" fillId="2" borderId="17" xfId="3" applyFont="1" applyFill="1" applyBorder="1" applyAlignment="1">
      <alignment horizontal="left"/>
    </xf>
    <xf numFmtId="0" fontId="1" fillId="2" borderId="12" xfId="3" applyFont="1" applyFill="1" applyBorder="1" applyAlignment="1">
      <alignment horizontal="left"/>
    </xf>
    <xf numFmtId="0" fontId="4" fillId="2" borderId="28" xfId="3" applyFont="1" applyFill="1" applyBorder="1" applyAlignment="1">
      <alignment horizontal="center"/>
    </xf>
    <xf numFmtId="0" fontId="4" fillId="2" borderId="17" xfId="3" applyFont="1" applyFill="1" applyBorder="1" applyAlignment="1">
      <alignment horizontal="center"/>
    </xf>
    <xf numFmtId="0" fontId="41" fillId="5" borderId="17" xfId="3" applyFont="1" applyFill="1" applyBorder="1" applyAlignment="1">
      <alignment horizontal="center" vertical="center" wrapText="1"/>
    </xf>
    <xf numFmtId="0" fontId="2" fillId="2" borderId="17" xfId="3" applyFont="1" applyFill="1" applyBorder="1" applyAlignment="1">
      <alignment horizontal="right" vertical="top" wrapText="1"/>
    </xf>
    <xf numFmtId="0" fontId="2" fillId="2" borderId="12" xfId="3" applyFont="1" applyFill="1" applyBorder="1" applyAlignment="1">
      <alignment horizontal="right" vertical="top" wrapText="1"/>
    </xf>
    <xf numFmtId="0" fontId="1" fillId="2" borderId="30" xfId="3" applyFont="1" applyFill="1" applyBorder="1" applyAlignment="1">
      <alignment horizontal="center"/>
    </xf>
    <xf numFmtId="0" fontId="1" fillId="2" borderId="42" xfId="3" applyFont="1" applyFill="1" applyBorder="1" applyAlignment="1">
      <alignment horizontal="center"/>
    </xf>
    <xf numFmtId="0" fontId="1" fillId="2" borderId="23" xfId="3" applyFont="1" applyFill="1" applyBorder="1" applyAlignment="1">
      <alignment horizontal="center"/>
    </xf>
    <xf numFmtId="0" fontId="1" fillId="2" borderId="43" xfId="3" applyFont="1" applyFill="1" applyBorder="1" applyAlignment="1">
      <alignment horizontal="center"/>
    </xf>
    <xf numFmtId="0" fontId="1" fillId="2" borderId="3" xfId="3" applyFont="1" applyFill="1" applyBorder="1" applyAlignment="1">
      <alignment horizontal="center"/>
    </xf>
    <xf numFmtId="0" fontId="1" fillId="2" borderId="44" xfId="3" applyFont="1" applyFill="1" applyBorder="1" applyAlignment="1">
      <alignment horizontal="center"/>
    </xf>
    <xf numFmtId="0" fontId="37" fillId="0" borderId="6" xfId="1" applyFont="1" applyBorder="1" applyAlignment="1">
      <alignment horizontal="left" wrapText="1"/>
    </xf>
    <xf numFmtId="0" fontId="37" fillId="0" borderId="5" xfId="1" applyFont="1" applyBorder="1" applyAlignment="1">
      <alignment horizontal="left" wrapText="1"/>
    </xf>
    <xf numFmtId="0" fontId="37" fillId="0" borderId="4" xfId="1" applyFont="1" applyBorder="1" applyAlignment="1">
      <alignment horizontal="left" wrapText="1"/>
    </xf>
    <xf numFmtId="0" fontId="37" fillId="0" borderId="6" xfId="1" applyFont="1" applyBorder="1" applyAlignment="1">
      <alignment horizontal="left"/>
    </xf>
    <xf numFmtId="0" fontId="37" fillId="0" borderId="5" xfId="1" applyFont="1" applyBorder="1" applyAlignment="1">
      <alignment horizontal="left"/>
    </xf>
    <xf numFmtId="0" fontId="37" fillId="0" borderId="4" xfId="1" applyFont="1" applyBorder="1" applyAlignment="1">
      <alignment horizontal="left"/>
    </xf>
    <xf numFmtId="0" fontId="4" fillId="2" borderId="0" xfId="3" applyFont="1" applyFill="1" applyAlignment="1">
      <alignment horizontal="right"/>
    </xf>
    <xf numFmtId="0" fontId="36" fillId="2" borderId="2" xfId="3" applyFont="1" applyFill="1" applyBorder="1" applyAlignment="1">
      <alignment horizontal="center" vertical="center"/>
    </xf>
    <xf numFmtId="0" fontId="4" fillId="2" borderId="0" xfId="3" applyFont="1" applyFill="1" applyAlignment="1">
      <alignment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166" fontId="37" fillId="0" borderId="11" xfId="0" applyNumberFormat="1" applyFont="1" applyBorder="1" applyAlignment="1">
      <alignment horizontal="center"/>
    </xf>
    <xf numFmtId="166" fontId="37" fillId="0" borderId="10" xfId="0" applyNumberFormat="1" applyFont="1" applyBorder="1" applyAlignment="1">
      <alignment horizontal="center"/>
    </xf>
    <xf numFmtId="0" fontId="38" fillId="3" borderId="9" xfId="0" applyFont="1" applyFill="1" applyBorder="1" applyAlignment="1">
      <alignment horizontal="center"/>
    </xf>
    <xf numFmtId="0" fontId="38" fillId="3" borderId="8" xfId="0" applyFont="1" applyFill="1" applyBorder="1" applyAlignment="1">
      <alignment horizontal="center"/>
    </xf>
    <xf numFmtId="0" fontId="38" fillId="3" borderId="7" xfId="0" applyFont="1" applyFill="1" applyBorder="1" applyAlignment="1">
      <alignment horizontal="center"/>
    </xf>
    <xf numFmtId="0" fontId="38" fillId="3" borderId="30" xfId="11" applyFont="1" applyFill="1" applyBorder="1" applyAlignment="1">
      <alignment horizontal="center" vertical="center"/>
    </xf>
    <xf numFmtId="0" fontId="38" fillId="3" borderId="31" xfId="11" applyFont="1" applyFill="1" applyBorder="1" applyAlignment="1">
      <alignment horizontal="center" vertical="center"/>
    </xf>
    <xf numFmtId="0" fontId="38" fillId="3" borderId="32" xfId="11" applyFont="1" applyFill="1" applyBorder="1" applyAlignment="1">
      <alignment horizontal="center" vertical="center"/>
    </xf>
    <xf numFmtId="0" fontId="38" fillId="0" borderId="6" xfId="0" applyFont="1" applyBorder="1" applyAlignment="1">
      <alignment horizontal="right"/>
    </xf>
    <xf numFmtId="0" fontId="38" fillId="0" borderId="5" xfId="0" applyFont="1" applyBorder="1" applyAlignment="1">
      <alignment horizontal="right"/>
    </xf>
    <xf numFmtId="0" fontId="38" fillId="0" borderId="21" xfId="0" applyFont="1" applyBorder="1" applyAlignment="1">
      <alignment horizontal="right"/>
    </xf>
    <xf numFmtId="166" fontId="37" fillId="0" borderId="20" xfId="0" applyNumberFormat="1" applyFont="1" applyBorder="1" applyAlignment="1">
      <alignment horizontal="right"/>
    </xf>
    <xf numFmtId="0" fontId="37" fillId="2" borderId="19" xfId="0" applyFont="1" applyFill="1" applyBorder="1" applyAlignment="1">
      <alignment horizontal="center"/>
    </xf>
    <xf numFmtId="0" fontId="37" fillId="2" borderId="4" xfId="0" applyFont="1" applyFill="1" applyBorder="1" applyAlignment="1">
      <alignment horizontal="center"/>
    </xf>
    <xf numFmtId="0" fontId="38" fillId="0" borderId="18" xfId="0" applyFont="1" applyBorder="1" applyAlignment="1">
      <alignment horizontal="right"/>
    </xf>
    <xf numFmtId="0" fontId="38" fillId="0" borderId="41" xfId="0" applyFont="1" applyBorder="1" applyAlignment="1">
      <alignment horizontal="right"/>
    </xf>
    <xf numFmtId="0" fontId="38" fillId="0" borderId="16" xfId="0" applyFont="1" applyBorder="1" applyAlignment="1">
      <alignment horizontal="right"/>
    </xf>
    <xf numFmtId="0" fontId="37" fillId="0" borderId="17" xfId="0" applyFont="1" applyBorder="1" applyAlignment="1">
      <alignment horizontal="right"/>
    </xf>
    <xf numFmtId="166" fontId="37" fillId="0" borderId="15" xfId="0" applyNumberFormat="1" applyFont="1" applyBorder="1" applyAlignment="1">
      <alignment horizontal="center"/>
    </xf>
    <xf numFmtId="166" fontId="37" fillId="0" borderId="14" xfId="0" applyNumberFormat="1" applyFont="1" applyBorder="1" applyAlignment="1">
      <alignment horizontal="center"/>
    </xf>
    <xf numFmtId="166" fontId="37" fillId="0" borderId="15" xfId="0" applyNumberFormat="1" applyFont="1" applyBorder="1" applyAlignment="1">
      <alignment horizontal="right" wrapText="1"/>
    </xf>
    <xf numFmtId="166" fontId="37" fillId="0" borderId="16" xfId="0" applyNumberFormat="1" applyFont="1" applyBorder="1" applyAlignment="1">
      <alignment horizontal="right" wrapText="1"/>
    </xf>
    <xf numFmtId="0" fontId="37" fillId="0" borderId="3" xfId="1" applyFont="1" applyBorder="1" applyAlignment="1">
      <alignment horizontal="left"/>
    </xf>
    <xf numFmtId="0" fontId="37" fillId="0" borderId="2" xfId="1" applyFont="1" applyBorder="1" applyAlignment="1">
      <alignment horizontal="left"/>
    </xf>
    <xf numFmtId="0" fontId="37" fillId="0" borderId="1" xfId="1" applyFont="1" applyBorder="1" applyAlignment="1">
      <alignment horizontal="left"/>
    </xf>
    <xf numFmtId="0" fontId="38" fillId="0" borderId="13" xfId="0" applyFont="1" applyBorder="1" applyAlignment="1">
      <alignment horizontal="right"/>
    </xf>
    <xf numFmtId="0" fontId="38" fillId="0" borderId="40" xfId="0" applyFont="1" applyBorder="1" applyAlignment="1">
      <alignment horizontal="right"/>
    </xf>
    <xf numFmtId="0" fontId="38" fillId="0" borderId="12" xfId="0" applyFont="1" applyBorder="1" applyAlignment="1">
      <alignment horizontal="right"/>
    </xf>
    <xf numFmtId="0" fontId="37" fillId="0" borderId="12" xfId="0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right" vertical="center" wrapText="1"/>
    </xf>
    <xf numFmtId="0" fontId="25" fillId="0" borderId="17" xfId="0" applyFont="1" applyBorder="1" applyAlignment="1">
      <alignment horizontal="right" vertical="center"/>
    </xf>
    <xf numFmtId="0" fontId="26" fillId="0" borderId="23" xfId="0" applyFont="1" applyBorder="1" applyAlignment="1">
      <alignment horizontal="right"/>
    </xf>
    <xf numFmtId="0" fontId="26" fillId="0" borderId="0" xfId="0" applyFont="1" applyAlignment="1">
      <alignment horizontal="right"/>
    </xf>
    <xf numFmtId="0" fontId="26" fillId="0" borderId="22" xfId="0" applyFont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17" fillId="0" borderId="30" xfId="0" applyFont="1" applyBorder="1" applyAlignment="1">
      <alignment horizontal="right"/>
    </xf>
    <xf numFmtId="0" fontId="17" fillId="0" borderId="31" xfId="0" applyFont="1" applyBorder="1" applyAlignment="1">
      <alignment horizontal="right"/>
    </xf>
    <xf numFmtId="0" fontId="7" fillId="0" borderId="17" xfId="0" applyFont="1" applyBorder="1" applyAlignment="1">
      <alignment horizontal="right" vertical="center"/>
    </xf>
    <xf numFmtId="0" fontId="17" fillId="0" borderId="0" xfId="0" applyFont="1" applyAlignment="1">
      <alignment horizontal="right"/>
    </xf>
    <xf numFmtId="0" fontId="16" fillId="0" borderId="0" xfId="0" applyFont="1" applyAlignment="1">
      <alignment horizontal="center" vertical="center"/>
    </xf>
    <xf numFmtId="0" fontId="33" fillId="0" borderId="9" xfId="0" applyFont="1" applyBorder="1" applyAlignment="1">
      <alignment horizontal="right" vertical="center"/>
    </xf>
    <xf numFmtId="0" fontId="33" fillId="0" borderId="8" xfId="0" applyFont="1" applyBorder="1" applyAlignment="1">
      <alignment horizontal="right" vertical="center"/>
    </xf>
    <xf numFmtId="0" fontId="33" fillId="0" borderId="7" xfId="0" applyFont="1" applyBorder="1" applyAlignment="1">
      <alignment horizontal="right" vertical="center"/>
    </xf>
    <xf numFmtId="0" fontId="34" fillId="0" borderId="0" xfId="0" applyFont="1" applyAlignment="1">
      <alignment horizontal="right"/>
    </xf>
    <xf numFmtId="0" fontId="24" fillId="0" borderId="2" xfId="0" applyFont="1" applyBorder="1" applyAlignment="1">
      <alignment horizontal="right"/>
    </xf>
    <xf numFmtId="0" fontId="16" fillId="0" borderId="0" xfId="0" applyFont="1" applyAlignment="1">
      <alignment horizontal="right" vertical="center"/>
    </xf>
    <xf numFmtId="0" fontId="22" fillId="7" borderId="9" xfId="0" applyFont="1" applyFill="1" applyBorder="1" applyAlignment="1">
      <alignment horizontal="right"/>
    </xf>
    <xf numFmtId="0" fontId="22" fillId="7" borderId="8" xfId="0" applyFont="1" applyFill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9" borderId="9" xfId="0" applyFont="1" applyFill="1" applyBorder="1" applyAlignment="1">
      <alignment horizontal="right" vertical="center"/>
    </xf>
    <xf numFmtId="0" fontId="8" fillId="9" borderId="8" xfId="0" applyFont="1" applyFill="1" applyBorder="1" applyAlignment="1">
      <alignment horizontal="right" vertical="center"/>
    </xf>
    <xf numFmtId="0" fontId="8" fillId="9" borderId="7" xfId="0" applyFont="1" applyFill="1" applyBorder="1" applyAlignment="1">
      <alignment horizontal="right" vertical="center"/>
    </xf>
    <xf numFmtId="4" fontId="31" fillId="0" borderId="0" xfId="16" applyNumberFormat="1" applyFont="1" applyFill="1" applyAlignment="1">
      <alignment horizontal="center" vertical="center" wrapText="1"/>
    </xf>
  </cellXfs>
  <cellStyles count="18">
    <cellStyle name="Euro" xfId="4" xr:uid="{71A8528B-9F80-43EC-993A-70F154964512}"/>
    <cellStyle name="Millares" xfId="15" builtinId="3"/>
    <cellStyle name="Millares [0]" xfId="16" builtinId="6"/>
    <cellStyle name="Millares [0] 2" xfId="7" xr:uid="{2EDD9BA1-7435-48B8-A055-EDACCCE27C66}"/>
    <cellStyle name="Millares [0] 3" xfId="6" xr:uid="{7348754D-6B74-4AD2-8A7B-CDF26342AB01}"/>
    <cellStyle name="Millares [0] 4" xfId="13" xr:uid="{90BAA4F1-5AE6-4D74-A126-D031687D405B}"/>
    <cellStyle name="Millares 2" xfId="8" xr:uid="{0BC97B83-E25A-487E-A39B-7C229F2F5E14}"/>
    <cellStyle name="Millares 3" xfId="5" xr:uid="{957574A1-AE08-451C-BA66-1A78D5B44864}"/>
    <cellStyle name="Millares 4" xfId="12" xr:uid="{C49BD7B0-FCA3-4752-A5DC-FA871E016C7E}"/>
    <cellStyle name="Normal" xfId="0" builtinId="0"/>
    <cellStyle name="Normal 2" xfId="1" xr:uid="{A414BF83-82D8-4775-BF0A-E0EF2CF92E6C}"/>
    <cellStyle name="Normal 3" xfId="9" xr:uid="{778A472A-0326-4A99-B18E-DE4EE0B9ED24}"/>
    <cellStyle name="Normal 4" xfId="14" xr:uid="{3FF2B0AB-AF74-45EC-9E5A-5C21D83C898C}"/>
    <cellStyle name="Normal 5" xfId="11" xr:uid="{EBDB8E28-B403-4CE4-BED4-CD2564503C65}"/>
    <cellStyle name="Normal_CRITERIOS DE EVALUACION PT DE GB 2" xfId="3" xr:uid="{78D7CF0F-3A69-4F4C-9135-A844C38B431B}"/>
    <cellStyle name="Porcentaje" xfId="17" builtinId="5"/>
    <cellStyle name="Porcentaje 2" xfId="2" xr:uid="{4D9B779D-8EC6-4BE0-B580-22B510559A4D}"/>
    <cellStyle name="Porcentaje 2 2" xfId="10" xr:uid="{25AEAEEF-E2EE-488C-81BB-4BC4185329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142081</xdr:colOff>
      <xdr:row>0</xdr:row>
      <xdr:rowOff>142874</xdr:rowOff>
    </xdr:from>
    <xdr:to>
      <xdr:col>1</xdr:col>
      <xdr:colOff>1042748</xdr:colOff>
      <xdr:row>4</xdr:row>
      <xdr:rowOff>0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D66C2FFA-FA7A-4C2B-A9FE-7E757926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081" y="142874"/>
          <a:ext cx="2019855" cy="892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odriguez\Desktop\recetas%20icg%20proyecto\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315302</v>
          </cell>
          <cell r="K2">
            <v>454</v>
          </cell>
          <cell r="L2">
            <v>5.4669603524229071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540075</v>
          </cell>
          <cell r="K4">
            <v>24</v>
          </cell>
          <cell r="L4">
            <v>31.25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63200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233308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24718527</v>
          </cell>
          <cell r="K8">
            <v>1000</v>
          </cell>
          <cell r="L8">
            <v>1.8720000000000001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3706917.5</v>
          </cell>
          <cell r="K9">
            <v>1000</v>
          </cell>
          <cell r="L9">
            <v>1.2310000000000001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674311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2805241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672366.75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2879884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10100125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2778460</v>
          </cell>
          <cell r="K20">
            <v>1000</v>
          </cell>
          <cell r="L20">
            <v>0.9</v>
          </cell>
          <cell r="M20" t="str">
            <v>Gramos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2070810</v>
          </cell>
          <cell r="K21">
            <v>1000</v>
          </cell>
          <cell r="L21">
            <v>3.335</v>
          </cell>
          <cell r="M21" t="str">
            <v>Gramos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347345</v>
          </cell>
          <cell r="K22">
            <v>2840</v>
          </cell>
          <cell r="L22">
            <v>1.2028169014084507</v>
          </cell>
          <cell r="M22" t="str">
            <v>Gramos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6620073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8672705</v>
          </cell>
          <cell r="K24">
            <v>1</v>
          </cell>
          <cell r="L24">
            <v>224.91</v>
          </cell>
          <cell r="M24" t="str">
            <v>und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1528712.75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19549245</v>
          </cell>
          <cell r="K26">
            <v>500</v>
          </cell>
          <cell r="L26">
            <v>2.093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2798220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6988200</v>
          </cell>
          <cell r="K28">
            <v>1000</v>
          </cell>
          <cell r="L28">
            <v>2</v>
          </cell>
          <cell r="M28" t="str">
            <v>Gramos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3500103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13077711.15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5168379.5</v>
          </cell>
          <cell r="K31">
            <v>1000</v>
          </cell>
          <cell r="L31">
            <v>1.841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226705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30325</v>
          </cell>
          <cell r="K33">
            <v>1000</v>
          </cell>
          <cell r="L33">
            <v>1.02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96024.946139795007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1577342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>
            <v>1159264.8</v>
          </cell>
          <cell r="K36">
            <v>200</v>
          </cell>
          <cell r="L36">
            <v>12.363333333333351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507000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>
            <v>109500</v>
          </cell>
          <cell r="K38">
            <v>1000</v>
          </cell>
          <cell r="L38">
            <v>1.5</v>
          </cell>
          <cell r="M38" t="str">
            <v>Gramos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>
            <v>1891646.5</v>
          </cell>
          <cell r="K39">
            <v>1000</v>
          </cell>
          <cell r="L39">
            <v>1.474</v>
          </cell>
          <cell r="M39" t="str">
            <v>Gramos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57750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2152118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24141</v>
          </cell>
          <cell r="J42">
            <v>63585505</v>
          </cell>
          <cell r="K42">
            <v>50</v>
          </cell>
          <cell r="L42">
            <v>482.82</v>
          </cell>
          <cell r="M42" t="str">
            <v>UND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>
            <v>55091</v>
          </cell>
          <cell r="K43">
            <v>141</v>
          </cell>
          <cell r="L43">
            <v>15.680851063829786</v>
          </cell>
          <cell r="M43" t="str">
            <v>Gramos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20504863.039999999</v>
          </cell>
          <cell r="K44">
            <v>1000</v>
          </cell>
          <cell r="L44">
            <v>5.9</v>
          </cell>
          <cell r="M44" t="str">
            <v>Gramos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192501.5</v>
          </cell>
          <cell r="K45">
            <v>1000</v>
          </cell>
          <cell r="L45">
            <v>2.1949999999999998</v>
          </cell>
          <cell r="M45" t="str">
            <v>Gramos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2800623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15/06/2020</v>
          </cell>
          <cell r="I47">
            <v>3150</v>
          </cell>
          <cell r="J47">
            <v>54741328</v>
          </cell>
          <cell r="K47">
            <v>1000</v>
          </cell>
          <cell r="L47">
            <v>3.15</v>
          </cell>
          <cell r="M47" t="str">
            <v>Gramos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4235000</v>
          </cell>
          <cell r="K48">
            <v>1000</v>
          </cell>
          <cell r="L48">
            <v>4.9950000000000001</v>
          </cell>
          <cell r="M48" t="str">
            <v>Gramos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>
            <v>734416.5</v>
          </cell>
          <cell r="K49">
            <v>1000</v>
          </cell>
          <cell r="L49">
            <v>2.19</v>
          </cell>
          <cell r="M49" t="str">
            <v>Gramos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6855255.7999999998</v>
          </cell>
          <cell r="K50">
            <v>1000</v>
          </cell>
          <cell r="L50">
            <v>3.395</v>
          </cell>
          <cell r="M50" t="str">
            <v>Gramos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441314.5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168742.5</v>
          </cell>
          <cell r="K52">
            <v>1000</v>
          </cell>
          <cell r="L52">
            <v>3.7749999999999999</v>
          </cell>
          <cell r="M52" t="str">
            <v>Gramos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478540</v>
          </cell>
          <cell r="K53">
            <v>1000</v>
          </cell>
          <cell r="L53">
            <v>3.55</v>
          </cell>
          <cell r="M53" t="str">
            <v>Gramos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324115</v>
          </cell>
          <cell r="K54">
            <v>1000</v>
          </cell>
          <cell r="L54">
            <v>3.55</v>
          </cell>
          <cell r="M54" t="str">
            <v>Gramos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45151624</v>
          </cell>
          <cell r="K55">
            <v>1000</v>
          </cell>
          <cell r="L55">
            <v>2.36</v>
          </cell>
          <cell r="M55" t="str">
            <v>Gramos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461491.5</v>
          </cell>
          <cell r="K56">
            <v>1000</v>
          </cell>
          <cell r="L56">
            <v>1.5449999999999999</v>
          </cell>
          <cell r="M56" t="str">
            <v>Gramos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530535</v>
          </cell>
          <cell r="K57">
            <v>1000</v>
          </cell>
          <cell r="L57">
            <v>3.79</v>
          </cell>
          <cell r="M57" t="str">
            <v>Gramos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23543600.5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17034100.631700002</v>
          </cell>
          <cell r="K59">
            <v>1000</v>
          </cell>
          <cell r="L59">
            <v>7.6219999999999999</v>
          </cell>
          <cell r="M59" t="str">
            <v>Gramos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6151530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9185385.2526387908</v>
          </cell>
          <cell r="K61">
            <v>1000</v>
          </cell>
          <cell r="L61">
            <v>10.763652690799999</v>
          </cell>
          <cell r="M61" t="str">
            <v>Gramos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969039.38242799998</v>
          </cell>
          <cell r="K62">
            <v>1000</v>
          </cell>
          <cell r="L62">
            <v>4</v>
          </cell>
          <cell r="M62" t="str">
            <v>Gramos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1253207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91229916</v>
          </cell>
          <cell r="K64">
            <v>4000</v>
          </cell>
          <cell r="L64">
            <v>1.9724999999999999</v>
          </cell>
          <cell r="M64" t="str">
            <v>Gramos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13742988</v>
          </cell>
          <cell r="K65">
            <v>12000</v>
          </cell>
          <cell r="L65">
            <v>1.9560833333333334</v>
          </cell>
          <cell r="M65" t="str">
            <v>Gramos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5596424.7000000002</v>
          </cell>
          <cell r="K66">
            <v>500</v>
          </cell>
          <cell r="L66">
            <v>8.67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>
            <v>3089612.2996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>
            <v>5559301.8899999997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123600</v>
          </cell>
          <cell r="K69">
            <v>5000</v>
          </cell>
          <cell r="L69">
            <v>2.7437999999999998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>
            <v>1008592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1548951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3697</v>
          </cell>
          <cell r="J72">
            <v>174281903.68000001</v>
          </cell>
          <cell r="K72">
            <v>1000</v>
          </cell>
          <cell r="L72">
            <v>3.6970000000000001</v>
          </cell>
          <cell r="M72" t="str">
            <v>Gramos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27267702.25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>
            <v>6154064.5999999996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33770243.350000001</v>
          </cell>
          <cell r="K75">
            <v>1000</v>
          </cell>
          <cell r="L75">
            <v>3.335</v>
          </cell>
          <cell r="M75" t="str">
            <v>Gramos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>
            <v>16008094.18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>
            <v>177190.8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>
            <v>4618424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>
            <v>4475</v>
          </cell>
          <cell r="K79">
            <v>395</v>
          </cell>
          <cell r="L79">
            <v>2.2658227848101267</v>
          </cell>
          <cell r="M79" t="str">
            <v>Gramos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1716753</v>
          </cell>
          <cell r="K80">
            <v>9520</v>
          </cell>
          <cell r="L80">
            <v>4.0978991596638652</v>
          </cell>
          <cell r="M80" t="str">
            <v>Gramos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2586690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3790548</v>
          </cell>
          <cell r="K82">
            <v>25000</v>
          </cell>
          <cell r="L82">
            <v>0.45582</v>
          </cell>
          <cell r="M82" t="str">
            <v>Gramos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>
            <v>194400</v>
          </cell>
          <cell r="K83">
            <v>5000</v>
          </cell>
          <cell r="L83">
            <v>0.64800000000000002</v>
          </cell>
          <cell r="M83" t="str">
            <v>Gramos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>
            <v>114770.258</v>
          </cell>
          <cell r="K84">
            <v>1000</v>
          </cell>
          <cell r="L84">
            <v>6.1303000000000001</v>
          </cell>
          <cell r="M84" t="str">
            <v>Gramos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>
            <v>152402.6</v>
          </cell>
          <cell r="K85">
            <v>1000</v>
          </cell>
          <cell r="L85">
            <v>5.0000000000000001E-3</v>
          </cell>
          <cell r="M85" t="str">
            <v>Gramos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63226</v>
          </cell>
          <cell r="J86">
            <v>4412088.2621999998</v>
          </cell>
          <cell r="K86">
            <v>11340</v>
          </cell>
          <cell r="L86">
            <v>5.5754850088183421</v>
          </cell>
          <cell r="M86" t="str">
            <v>Gramos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69003</v>
          </cell>
          <cell r="J87">
            <v>199956.51</v>
          </cell>
          <cell r="K87">
            <v>12000</v>
          </cell>
          <cell r="L87">
            <v>5.7502500000000003</v>
          </cell>
          <cell r="M87" t="str">
            <v>Gramos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7899141</v>
          </cell>
          <cell r="K88">
            <v>21600</v>
          </cell>
          <cell r="L88">
            <v>0.79138888888888892</v>
          </cell>
          <cell r="M88" t="str">
            <v>Gramos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337932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8685</v>
          </cell>
          <cell r="K90">
            <v>10000</v>
          </cell>
          <cell r="L90">
            <v>2.802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34.5</v>
          </cell>
          <cell r="J91">
            <v>273906.8</v>
          </cell>
          <cell r="K91">
            <v>10000</v>
          </cell>
          <cell r="L91">
            <v>3.4499999999999999E-3</v>
          </cell>
          <cell r="M91" t="str">
            <v>Gramos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4.5</v>
          </cell>
          <cell r="J92">
            <v>1337134.875</v>
          </cell>
          <cell r="K92">
            <v>1000</v>
          </cell>
          <cell r="L92">
            <v>4.4999999999999997E-3</v>
          </cell>
          <cell r="M92" t="str">
            <v>Gramos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3.5640000000000001</v>
          </cell>
          <cell r="J93">
            <v>519080.4</v>
          </cell>
          <cell r="K93">
            <v>1000</v>
          </cell>
          <cell r="L93">
            <v>3.5639999999999999E-3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>
            <v>69138.75</v>
          </cell>
          <cell r="K94">
            <v>1000</v>
          </cell>
          <cell r="L94">
            <v>2.7987600000000001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-17420</v>
          </cell>
          <cell r="K95">
            <v>10000</v>
          </cell>
          <cell r="L95">
            <v>1.6859999999999999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2766655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3951255</v>
          </cell>
          <cell r="K97">
            <v>25000</v>
          </cell>
          <cell r="L97">
            <v>0.47166000000000002</v>
          </cell>
          <cell r="M97" t="str">
            <v>Gramos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4815998.8683120003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7831509</v>
          </cell>
          <cell r="K99">
            <v>800</v>
          </cell>
          <cell r="L99">
            <v>11.34</v>
          </cell>
          <cell r="M99" t="str">
            <v>Gramos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59.43</v>
          </cell>
          <cell r="J100">
            <v>356811.77260000003</v>
          </cell>
          <cell r="K100">
            <v>13600</v>
          </cell>
          <cell r="L100">
            <v>4.3698529411764706E-3</v>
          </cell>
          <cell r="M100" t="str">
            <v>Gramos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>
            <v>736200</v>
          </cell>
          <cell r="K101">
            <v>1000</v>
          </cell>
          <cell r="L101" t="e">
            <v>#N/A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1456502.3298484399</v>
          </cell>
          <cell r="K102">
            <v>25000</v>
          </cell>
          <cell r="L102">
            <v>1.2321200000000001</v>
          </cell>
          <cell r="M102" t="str">
            <v>Gramos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85754003</v>
          </cell>
          <cell r="K103">
            <v>22680</v>
          </cell>
          <cell r="L103">
            <v>1.7730158730158729</v>
          </cell>
          <cell r="M103" t="str">
            <v>Gramos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7039625</v>
          </cell>
          <cell r="K104">
            <v>25000</v>
          </cell>
          <cell r="L104">
            <v>1.1000000000000001</v>
          </cell>
          <cell r="M104" t="str">
            <v>Gramos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4417154.608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4845000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741420</v>
          </cell>
          <cell r="K107">
            <v>20000</v>
          </cell>
          <cell r="L107">
            <v>5.0110000000000001</v>
          </cell>
          <cell r="M107" t="str">
            <v>Gramos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>
            <v>-192776.6</v>
          </cell>
          <cell r="K108">
            <v>22670</v>
          </cell>
          <cell r="L108" t="e">
            <v>#N/A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2923700</v>
          </cell>
          <cell r="K109">
            <v>10000</v>
          </cell>
          <cell r="L109">
            <v>1.835</v>
          </cell>
          <cell r="M109" t="str">
            <v>Gramos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70471.695999999996</v>
          </cell>
          <cell r="K110">
            <v>1000</v>
          </cell>
          <cell r="L110">
            <v>5.6727400000000001</v>
          </cell>
          <cell r="M110" t="str">
            <v>Gramos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1075</v>
          </cell>
          <cell r="J111">
            <v>14004660</v>
          </cell>
          <cell r="K111">
            <v>1000</v>
          </cell>
          <cell r="L111">
            <v>1.075</v>
          </cell>
          <cell r="M111" t="str">
            <v>Gramos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7006603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998702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18608776.419998001</v>
          </cell>
          <cell r="K114">
            <v>1000</v>
          </cell>
          <cell r="L114">
            <v>2.0487899999999999</v>
          </cell>
          <cell r="M114" t="str">
            <v>Gramos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3376990.399152</v>
          </cell>
          <cell r="K115">
            <v>500</v>
          </cell>
          <cell r="L115">
            <v>2.6548666659999998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212.5</v>
          </cell>
          <cell r="J116">
            <v>854318</v>
          </cell>
          <cell r="K116">
            <v>25000</v>
          </cell>
          <cell r="L116">
            <v>8.5000000000000006E-3</v>
          </cell>
          <cell r="M116" t="str">
            <v>Gramos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31.375</v>
          </cell>
          <cell r="J117">
            <v>538675.61450000003</v>
          </cell>
          <cell r="K117">
            <v>2500</v>
          </cell>
          <cell r="L117">
            <v>1.255E-2</v>
          </cell>
          <cell r="M117" t="str">
            <v>Gramos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7.75</v>
          </cell>
          <cell r="J118">
            <v>151710.125</v>
          </cell>
          <cell r="K118">
            <v>2500</v>
          </cell>
          <cell r="L118">
            <v>3.0999999999999999E-3</v>
          </cell>
          <cell r="M118" t="str">
            <v>Gramos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3446988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2.9</v>
          </cell>
          <cell r="J120">
            <v>33116.695</v>
          </cell>
          <cell r="K120">
            <v>2500</v>
          </cell>
          <cell r="L120">
            <v>1.16E-3</v>
          </cell>
          <cell r="M120" t="str">
            <v>Gramos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37726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>
            <v>115062</v>
          </cell>
          <cell r="K122">
            <v>454</v>
          </cell>
          <cell r="L122">
            <v>6.319383259911894</v>
          </cell>
          <cell r="M122" t="str">
            <v>Gramos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1115324</v>
          </cell>
          <cell r="K123">
            <v>1000</v>
          </cell>
          <cell r="L123">
            <v>1.845</v>
          </cell>
          <cell r="M123" t="str">
            <v>Gramos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2211472</v>
          </cell>
          <cell r="K124">
            <v>780</v>
          </cell>
          <cell r="L124">
            <v>6.9721794871794867</v>
          </cell>
          <cell r="M124" t="str">
            <v>Gramos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296123.5</v>
          </cell>
          <cell r="K125">
            <v>5000</v>
          </cell>
          <cell r="L125">
            <v>5.923</v>
          </cell>
          <cell r="M125" t="str">
            <v>Gramos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33602</v>
          </cell>
          <cell r="K126">
            <v>340</v>
          </cell>
          <cell r="L126">
            <v>8.2294117647058815</v>
          </cell>
          <cell r="M126" t="str">
            <v>Gramos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851602.34424759995</v>
          </cell>
          <cell r="K127">
            <v>15000</v>
          </cell>
          <cell r="L127">
            <v>2.0150000000000001</v>
          </cell>
          <cell r="M127" t="str">
            <v>Gramos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1661484</v>
          </cell>
          <cell r="K128">
            <v>480</v>
          </cell>
          <cell r="L128">
            <v>6.5237499999999997</v>
          </cell>
          <cell r="M128" t="str">
            <v>Gramos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142145.54999999999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290297.71000000002</v>
          </cell>
          <cell r="K130">
            <v>3000</v>
          </cell>
          <cell r="L130">
            <v>13.823</v>
          </cell>
          <cell r="M130" t="str">
            <v>Gramos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553800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27720</v>
          </cell>
          <cell r="K132">
            <v>900</v>
          </cell>
          <cell r="L132">
            <v>0.2</v>
          </cell>
          <cell r="M132" t="str">
            <v>Und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19620</v>
          </cell>
          <cell r="K133">
            <v>900</v>
          </cell>
          <cell r="L133">
            <v>0.2</v>
          </cell>
          <cell r="M133" t="str">
            <v>Und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8100</v>
          </cell>
          <cell r="K134">
            <v>900</v>
          </cell>
          <cell r="L134">
            <v>0.2</v>
          </cell>
          <cell r="M134" t="str">
            <v>Und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4500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18000</v>
          </cell>
          <cell r="K136">
            <v>900</v>
          </cell>
          <cell r="L136">
            <v>0.2</v>
          </cell>
          <cell r="M136" t="str">
            <v>Und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10080</v>
          </cell>
          <cell r="K137">
            <v>900</v>
          </cell>
          <cell r="L137">
            <v>0.2</v>
          </cell>
          <cell r="M137" t="str">
            <v>Und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229220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1669387.5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376200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493762.5</v>
          </cell>
          <cell r="K141">
            <v>1</v>
          </cell>
          <cell r="L141">
            <v>47.024999999999999</v>
          </cell>
          <cell r="M141" t="str">
            <v>Und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18000</v>
          </cell>
          <cell r="K142">
            <v>900</v>
          </cell>
          <cell r="L142">
            <v>0.22222222222222221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10000</v>
          </cell>
          <cell r="K143">
            <v>900</v>
          </cell>
          <cell r="L143">
            <v>0.22222222222222221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15200</v>
          </cell>
          <cell r="K144">
            <v>900</v>
          </cell>
          <cell r="L144">
            <v>0.22222222222222221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>
            <v>4000</v>
          </cell>
          <cell r="K145">
            <v>900</v>
          </cell>
          <cell r="L145">
            <v>0.22222222222222221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>
            <v>10000</v>
          </cell>
          <cell r="K146">
            <v>900</v>
          </cell>
          <cell r="L146">
            <v>0.22222222222222221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840060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775460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>
            <v>220473</v>
          </cell>
          <cell r="K149">
            <v>1</v>
          </cell>
          <cell r="L149">
            <v>4.3230000000000004</v>
          </cell>
          <cell r="M149" t="str">
            <v>Und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1469928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345000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2157792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>
            <v>245000</v>
          </cell>
          <cell r="K153">
            <v>1</v>
          </cell>
          <cell r="L153">
            <v>25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>
            <v>245000</v>
          </cell>
          <cell r="K154">
            <v>1</v>
          </cell>
          <cell r="L154">
            <v>25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>
            <v>160000</v>
          </cell>
          <cell r="K155">
            <v>1</v>
          </cell>
          <cell r="L155">
            <v>32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>
            <v>75000</v>
          </cell>
          <cell r="K156">
            <v>1</v>
          </cell>
          <cell r="L156">
            <v>25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200013</v>
          </cell>
          <cell r="K157">
            <v>1000</v>
          </cell>
          <cell r="L157">
            <v>0.55100000000000005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>
            <v>240000</v>
          </cell>
          <cell r="K158">
            <v>1000</v>
          </cell>
          <cell r="L158">
            <v>8</v>
          </cell>
          <cell r="M158" t="str">
            <v>und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427500</v>
          </cell>
          <cell r="K159">
            <v>1</v>
          </cell>
          <cell r="L159">
            <v>15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1283700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6583500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1938969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5875400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>
            <v>272800</v>
          </cell>
          <cell r="L164" t="e">
            <v>#DIV/0!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2036750</v>
          </cell>
          <cell r="K165">
            <v>790</v>
          </cell>
          <cell r="L165">
            <v>1.2658227848101267</v>
          </cell>
          <cell r="M165" t="str">
            <v>Gramos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78650</v>
          </cell>
          <cell r="K166">
            <v>5000</v>
          </cell>
          <cell r="L166">
            <v>1.3068</v>
          </cell>
          <cell r="M166" t="str">
            <v>Gramos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9303669.4550000001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>
            <v>961140.45</v>
          </cell>
          <cell r="K168">
            <v>36</v>
          </cell>
          <cell r="L168">
            <v>41.576111111111111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-31480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>
            <v>761983.2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>
            <v>288782</v>
          </cell>
          <cell r="K171">
            <v>8.61</v>
          </cell>
          <cell r="L171" t="e">
            <v>#N/A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657558.06000000006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>
            <v>98362</v>
          </cell>
          <cell r="K173">
            <v>1</v>
          </cell>
          <cell r="L173" t="e">
            <v>#N/A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320000</v>
          </cell>
          <cell r="K174">
            <v>1000</v>
          </cell>
          <cell r="L174">
            <v>32</v>
          </cell>
          <cell r="M174" t="str">
            <v>Und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352800</v>
          </cell>
          <cell r="K175">
            <v>10</v>
          </cell>
          <cell r="L175">
            <v>315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>
            <v>3159855</v>
          </cell>
          <cell r="K176">
            <v>5000</v>
          </cell>
          <cell r="L176">
            <v>2.1</v>
          </cell>
          <cell r="M176" t="str">
            <v>Mililitros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532950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135101.70000000001</v>
          </cell>
          <cell r="K178">
            <v>3785</v>
          </cell>
          <cell r="L178">
            <v>2.7669749009247027</v>
          </cell>
          <cell r="M178" t="str">
            <v>Mililitros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2786574</v>
          </cell>
          <cell r="K179">
            <v>3700</v>
          </cell>
          <cell r="L179">
            <v>1.9737837837837837</v>
          </cell>
          <cell r="M179" t="str">
            <v>Mililitros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412876.1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136000</v>
          </cell>
          <cell r="K181">
            <v>5000</v>
          </cell>
          <cell r="L181">
            <v>3.9389480000000003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3115050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59185</v>
          </cell>
          <cell r="K183">
            <v>681</v>
          </cell>
          <cell r="L183">
            <v>2.4831130690161527</v>
          </cell>
          <cell r="M183" t="str">
            <v>Gramos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15161</v>
          </cell>
          <cell r="L184" t="e">
            <v>#DIV/0!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>
            <v>656624.36562000006</v>
          </cell>
          <cell r="K185">
            <v>5000</v>
          </cell>
          <cell r="L185">
            <v>3.5679319999999999</v>
          </cell>
          <cell r="M185" t="str">
            <v>Mililitros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17123097.48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3840762.8402100001</v>
          </cell>
          <cell r="K187">
            <v>5000</v>
          </cell>
          <cell r="L187">
            <v>3.5679319999999999</v>
          </cell>
          <cell r="M187" t="str">
            <v>Mililitros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>
            <v>506856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2352183.6800000002</v>
          </cell>
          <cell r="K189">
            <v>250</v>
          </cell>
          <cell r="L189">
            <v>83.072000000000003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589499</v>
          </cell>
          <cell r="K190">
            <v>944</v>
          </cell>
          <cell r="L190">
            <v>4.4311440677966099</v>
          </cell>
          <cell r="M190" t="str">
            <v>Gramos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>
            <v>718858</v>
          </cell>
          <cell r="K191">
            <v>2980</v>
          </cell>
          <cell r="L191">
            <v>1.3778523489932886</v>
          </cell>
          <cell r="M191" t="str">
            <v>Mililitros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9699853.8000000007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>
            <v>54866</v>
          </cell>
          <cell r="K193">
            <v>3785</v>
          </cell>
          <cell r="L193" t="e">
            <v>#N/A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>
            <v>125352</v>
          </cell>
          <cell r="K194">
            <v>2232</v>
          </cell>
          <cell r="L194">
            <v>7.2307347670250897</v>
          </cell>
          <cell r="M194" t="str">
            <v>Gramos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306100</v>
          </cell>
          <cell r="K195">
            <v>1600</v>
          </cell>
          <cell r="L195">
            <v>1.913125</v>
          </cell>
          <cell r="M195" t="str">
            <v>Gramos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410773</v>
          </cell>
          <cell r="K196">
            <v>1000</v>
          </cell>
          <cell r="L196">
            <v>4.415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54017</v>
          </cell>
          <cell r="K197">
            <v>1000</v>
          </cell>
          <cell r="L197">
            <v>1.819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693946</v>
          </cell>
          <cell r="K198">
            <v>1000</v>
          </cell>
          <cell r="L198">
            <v>1.393</v>
          </cell>
          <cell r="M198" t="str">
            <v>Gramos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47780858</v>
          </cell>
          <cell r="K199">
            <v>1000</v>
          </cell>
          <cell r="L199">
            <v>1.786</v>
          </cell>
          <cell r="M199" t="str">
            <v>Mililitros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1312230</v>
          </cell>
          <cell r="K200">
            <v>1000</v>
          </cell>
          <cell r="L200">
            <v>1.335</v>
          </cell>
          <cell r="M200" t="str">
            <v>Gramos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>
            <v>398505.53399999999</v>
          </cell>
          <cell r="K201">
            <v>820</v>
          </cell>
          <cell r="L201">
            <v>5.4939024390243905</v>
          </cell>
          <cell r="M201" t="str">
            <v>Gramos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>
            <v>577387.57999999996</v>
          </cell>
          <cell r="K202">
            <v>700</v>
          </cell>
          <cell r="L202">
            <v>19.185714285714287</v>
          </cell>
          <cell r="M202" t="str">
            <v>Gramos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177602244</v>
          </cell>
          <cell r="K203">
            <v>4500</v>
          </cell>
          <cell r="L203">
            <v>2.5188888888888887</v>
          </cell>
          <cell r="M203" t="str">
            <v>Gramos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523068</v>
          </cell>
          <cell r="K204">
            <v>1700</v>
          </cell>
          <cell r="L204">
            <v>4.0623529411764707</v>
          </cell>
          <cell r="M204" t="str">
            <v>Gramos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1122011</v>
          </cell>
          <cell r="K205">
            <v>2200</v>
          </cell>
          <cell r="L205">
            <v>0.92136363636363638</v>
          </cell>
          <cell r="M205" t="str">
            <v>Gramos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48030.55</v>
          </cell>
          <cell r="K206">
            <v>1000</v>
          </cell>
          <cell r="L206">
            <v>3.4026700000000001</v>
          </cell>
          <cell r="M206" t="str">
            <v>Gramos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27309984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4088220</v>
          </cell>
          <cell r="K208">
            <v>5000</v>
          </cell>
          <cell r="L208">
            <v>4.468</v>
          </cell>
          <cell r="M208" t="str">
            <v>Gramos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12127980</v>
          </cell>
          <cell r="K209">
            <v>4500</v>
          </cell>
          <cell r="L209">
            <v>3.5151111111111111</v>
          </cell>
          <cell r="M209" t="str">
            <v>Gramos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30786</v>
          </cell>
          <cell r="J210">
            <v>29193952</v>
          </cell>
          <cell r="K210">
            <v>25000</v>
          </cell>
          <cell r="L210">
            <v>1.2314400000000001</v>
          </cell>
          <cell r="M210" t="str">
            <v>Gramos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>
            <v>10000</v>
          </cell>
          <cell r="J211">
            <v>-250560</v>
          </cell>
          <cell r="K211">
            <v>1000</v>
          </cell>
          <cell r="L211">
            <v>10</v>
          </cell>
          <cell r="M211" t="str">
            <v>Gramos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835920.09600000002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65148</v>
          </cell>
          <cell r="K213">
            <v>1000</v>
          </cell>
          <cell r="L213" t="e">
            <v>#N/A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>
            <v>21716</v>
          </cell>
          <cell r="K214">
            <v>1000</v>
          </cell>
          <cell r="L214" t="e">
            <v>#N/A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7135379</v>
          </cell>
          <cell r="K215">
            <v>25000</v>
          </cell>
          <cell r="L215">
            <v>0.92935999999999996</v>
          </cell>
          <cell r="M215" t="str">
            <v>Gramos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>
            <v>161664</v>
          </cell>
          <cell r="K216">
            <v>12500</v>
          </cell>
          <cell r="L216" t="e">
            <v>#N/A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18779279</v>
          </cell>
          <cell r="K217">
            <v>1000</v>
          </cell>
          <cell r="L217">
            <v>2.411</v>
          </cell>
          <cell r="M217" t="str">
            <v>Gramos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1710735</v>
          </cell>
          <cell r="K218">
            <v>465</v>
          </cell>
          <cell r="L218">
            <v>3.1951612903225808</v>
          </cell>
          <cell r="M218" t="str">
            <v>Gramos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115735</v>
          </cell>
          <cell r="K219">
            <v>1000</v>
          </cell>
          <cell r="L219">
            <v>1.51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142937.921</v>
          </cell>
          <cell r="L220" t="e">
            <v>#DIV/0!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>
            <v>6740</v>
          </cell>
          <cell r="K221">
            <v>1000</v>
          </cell>
          <cell r="L221">
            <v>1.6850000000000001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77796598</v>
          </cell>
          <cell r="K222">
            <v>13600</v>
          </cell>
          <cell r="L222">
            <v>1.3260294117647058</v>
          </cell>
          <cell r="M222" t="str">
            <v>Gramos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>
            <v>8690000</v>
          </cell>
          <cell r="K223">
            <v>2000</v>
          </cell>
          <cell r="L223">
            <v>2.2000000000000002</v>
          </cell>
          <cell r="M223" t="str">
            <v>Gramos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3324053.3755999999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>
            <v>169812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>
            <v>71672</v>
          </cell>
          <cell r="K226">
            <v>750</v>
          </cell>
          <cell r="L226" t="e">
            <v>#N/A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3321360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7205999.9800000004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5152000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>
            <v>1806000</v>
          </cell>
          <cell r="K230">
            <v>150</v>
          </cell>
          <cell r="L230">
            <v>70</v>
          </cell>
          <cell r="M230" t="str">
            <v>Und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7440000</v>
          </cell>
          <cell r="K231">
            <v>10000</v>
          </cell>
          <cell r="L231" t="e">
            <v>#N/A</v>
          </cell>
          <cell r="M231" t="str">
            <v>Gramos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4499299.5599999996</v>
          </cell>
          <cell r="K232">
            <v>2000</v>
          </cell>
          <cell r="L232">
            <v>2.6615199999999999</v>
          </cell>
          <cell r="M232" t="str">
            <v>Gramos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>
            <v>3519125</v>
          </cell>
          <cell r="K233">
            <v>25</v>
          </cell>
          <cell r="L233">
            <v>599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8019999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>
            <v>-13914</v>
          </cell>
          <cell r="K235">
            <v>240</v>
          </cell>
          <cell r="L235" t="e">
            <v>#N/A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>
            <v>115631.25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2162094.4</v>
          </cell>
          <cell r="K237">
            <v>1000</v>
          </cell>
          <cell r="L237">
            <v>25.491790000000002</v>
          </cell>
          <cell r="M237" t="str">
            <v>Gramos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1414766.1</v>
          </cell>
          <cell r="K238">
            <v>5000</v>
          </cell>
          <cell r="L238">
            <v>6.7515800000000006</v>
          </cell>
          <cell r="M238" t="str">
            <v>Gramos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1390770</v>
          </cell>
          <cell r="K239">
            <v>17000</v>
          </cell>
          <cell r="L239">
            <v>3.63</v>
          </cell>
          <cell r="M239" t="str">
            <v>Gramos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125818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>
            <v>34950.9</v>
          </cell>
          <cell r="L241" t="e">
            <v>#DIV/0!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34998.012000000002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>
            <v>433225</v>
          </cell>
          <cell r="K243">
            <v>1000</v>
          </cell>
          <cell r="L243" t="e">
            <v>#N/A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453722.5</v>
          </cell>
          <cell r="K244">
            <v>1000</v>
          </cell>
          <cell r="L244" t="e">
            <v>#N/A</v>
          </cell>
          <cell r="M244" t="str">
            <v>Gramos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2467482.5</v>
          </cell>
          <cell r="K245">
            <v>1000</v>
          </cell>
          <cell r="L245">
            <v>3.9950000000000001</v>
          </cell>
          <cell r="M245" t="str">
            <v>Gramos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281086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415245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427728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>
            <v>43900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>
            <v>340200</v>
          </cell>
          <cell r="K250">
            <v>3785</v>
          </cell>
          <cell r="L250">
            <v>1.5727873183619552</v>
          </cell>
          <cell r="M250" t="str">
            <v>Und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109150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140784</v>
          </cell>
          <cell r="K252">
            <v>1000</v>
          </cell>
          <cell r="L252">
            <v>1.3839999999999999</v>
          </cell>
          <cell r="M252" t="str">
            <v>Gramos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477672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>
            <v>7800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>
            <v>604591.19999999995</v>
          </cell>
          <cell r="K255">
            <v>1000</v>
          </cell>
          <cell r="L255">
            <v>2.62</v>
          </cell>
          <cell r="M255" t="str">
            <v>Gramos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14730778.949999999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319822.88</v>
          </cell>
          <cell r="K257">
            <v>460</v>
          </cell>
          <cell r="L257">
            <v>7.0195217391304352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7000000</v>
          </cell>
          <cell r="K258">
            <v>100</v>
          </cell>
          <cell r="L258">
            <v>70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10113901.710000001</v>
          </cell>
          <cell r="K259">
            <v>150</v>
          </cell>
          <cell r="L259">
            <v>10</v>
          </cell>
          <cell r="M259" t="str">
            <v>Gramos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69403</v>
          </cell>
          <cell r="J260">
            <v>128841.75</v>
          </cell>
          <cell r="K260">
            <v>25000</v>
          </cell>
          <cell r="L260">
            <v>2.7761200000000001</v>
          </cell>
          <cell r="M260" t="str">
            <v>Gramos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269800</v>
          </cell>
          <cell r="L261" t="e">
            <v>#DIV/0!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280900</v>
          </cell>
          <cell r="K262">
            <v>100</v>
          </cell>
          <cell r="L262">
            <v>57.25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3594896.4</v>
          </cell>
          <cell r="K263">
            <v>200</v>
          </cell>
          <cell r="L263">
            <v>220</v>
          </cell>
          <cell r="M263" t="str">
            <v>Und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10522469</v>
          </cell>
          <cell r="K264">
            <v>200</v>
          </cell>
          <cell r="L264">
            <v>225.62</v>
          </cell>
          <cell r="M264" t="str">
            <v>Und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20646000</v>
          </cell>
          <cell r="K265">
            <v>1</v>
          </cell>
          <cell r="L265">
            <v>121</v>
          </cell>
          <cell r="M265" t="str">
            <v>Und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1785000</v>
          </cell>
          <cell r="K266">
            <v>1</v>
          </cell>
          <cell r="L266">
            <v>115</v>
          </cell>
          <cell r="M266" t="str">
            <v>Und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22087500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4622030</v>
          </cell>
          <cell r="K268">
            <v>125</v>
          </cell>
          <cell r="L268">
            <v>12</v>
          </cell>
          <cell r="M268" t="str">
            <v>Und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>
            <v>70000</v>
          </cell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1041600</v>
          </cell>
          <cell r="K270">
            <v>500</v>
          </cell>
          <cell r="L270">
            <v>3</v>
          </cell>
          <cell r="M270" t="str">
            <v>Gramos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3941000</v>
          </cell>
          <cell r="K271">
            <v>200</v>
          </cell>
          <cell r="L271">
            <v>7.5</v>
          </cell>
          <cell r="M271" t="str">
            <v>Und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2252040</v>
          </cell>
          <cell r="K272">
            <v>42</v>
          </cell>
          <cell r="L272">
            <v>35.714285714285715</v>
          </cell>
          <cell r="M272" t="str">
            <v>Und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>
            <v>4109.7</v>
          </cell>
          <cell r="K273">
            <v>500</v>
          </cell>
          <cell r="L273" t="e">
            <v>#N/A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528978</v>
          </cell>
          <cell r="K274">
            <v>200</v>
          </cell>
          <cell r="L274">
            <v>119.54</v>
          </cell>
          <cell r="M274" t="str">
            <v>Und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>
            <v>993337.70429999998</v>
          </cell>
          <cell r="K275">
            <v>1</v>
          </cell>
          <cell r="L275">
            <v>1827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1828000</v>
          </cell>
          <cell r="K276">
            <v>100</v>
          </cell>
          <cell r="L276">
            <v>43</v>
          </cell>
          <cell r="M276" t="str">
            <v>Und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2000425</v>
          </cell>
          <cell r="K277">
            <v>100</v>
          </cell>
          <cell r="L277">
            <v>26.25</v>
          </cell>
          <cell r="M277" t="str">
            <v>Und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3320965.1200000001</v>
          </cell>
          <cell r="K278">
            <v>1000</v>
          </cell>
          <cell r="L278">
            <v>7.9000000000000008E-3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16789</v>
          </cell>
          <cell r="K279">
            <v>1</v>
          </cell>
          <cell r="L279" t="e">
            <v>#N/A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101204.3</v>
          </cell>
          <cell r="K280">
            <v>500</v>
          </cell>
          <cell r="L280">
            <v>5.9533999999999994</v>
          </cell>
          <cell r="M280" t="str">
            <v>Und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3459500</v>
          </cell>
          <cell r="K281">
            <v>1000</v>
          </cell>
          <cell r="L281">
            <v>9.9109999999999996</v>
          </cell>
          <cell r="M281" t="str">
            <v>Und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>
            <v>19.61</v>
          </cell>
          <cell r="J282">
            <v>571200</v>
          </cell>
          <cell r="K282">
            <v>1</v>
          </cell>
          <cell r="L282">
            <v>19.61</v>
          </cell>
          <cell r="M282" t="str">
            <v>Und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5748232</v>
          </cell>
          <cell r="K283">
            <v>250</v>
          </cell>
          <cell r="L283">
            <v>213.27199999999999</v>
          </cell>
          <cell r="M283" t="str">
            <v>Und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>
            <v>29729</v>
          </cell>
          <cell r="K284">
            <v>10000</v>
          </cell>
          <cell r="L284">
            <v>1.6934</v>
          </cell>
          <cell r="M284" t="str">
            <v>Cm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>
            <v>464000</v>
          </cell>
          <cell r="K285">
            <v>1</v>
          </cell>
          <cell r="L285">
            <v>29</v>
          </cell>
          <cell r="M285" t="str">
            <v>Und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>
            <v>58556</v>
          </cell>
          <cell r="K286">
            <v>500</v>
          </cell>
          <cell r="L286">
            <v>6.0419999999999998</v>
          </cell>
          <cell r="M286" t="str">
            <v>Und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2997000</v>
          </cell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>
            <v>366184</v>
          </cell>
          <cell r="K288">
            <v>50</v>
          </cell>
          <cell r="L288">
            <v>80.48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7007000</v>
          </cell>
          <cell r="K289">
            <v>1</v>
          </cell>
          <cell r="L289">
            <v>85</v>
          </cell>
          <cell r="M289" t="str">
            <v>Und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4587000</v>
          </cell>
          <cell r="K290">
            <v>1</v>
          </cell>
          <cell r="L290">
            <v>180</v>
          </cell>
          <cell r="M290" t="str">
            <v>Und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42025</v>
          </cell>
          <cell r="J291">
            <v>20101598</v>
          </cell>
          <cell r="K291">
            <v>50</v>
          </cell>
          <cell r="L291">
            <v>840.5</v>
          </cell>
          <cell r="M291" t="str">
            <v>Und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890400</v>
          </cell>
          <cell r="K292">
            <v>1</v>
          </cell>
          <cell r="L292">
            <v>238</v>
          </cell>
          <cell r="M292" t="str">
            <v>Und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312700</v>
          </cell>
          <cell r="K293">
            <v>100</v>
          </cell>
          <cell r="L293">
            <v>57.25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664000</v>
          </cell>
          <cell r="K294">
            <v>1000</v>
          </cell>
          <cell r="L294">
            <v>45.65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276500</v>
          </cell>
          <cell r="K295">
            <v>2000</v>
          </cell>
          <cell r="L295">
            <v>19.75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>
            <v>3369214.8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1975979.19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228916</v>
          </cell>
          <cell r="K298">
            <v>250</v>
          </cell>
          <cell r="L298">
            <v>83.36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>
            <v>346850</v>
          </cell>
          <cell r="K299">
            <v>1</v>
          </cell>
          <cell r="L299">
            <v>61.02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>
            <v>179670</v>
          </cell>
          <cell r="K300">
            <v>1</v>
          </cell>
          <cell r="L300">
            <v>29.945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202491.50200000001</v>
          </cell>
          <cell r="K301">
            <v>334</v>
          </cell>
          <cell r="L301">
            <v>14.594491017964073</v>
          </cell>
          <cell r="M301" t="str">
            <v>Unidades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>
            <v>57152</v>
          </cell>
          <cell r="K302">
            <v>500</v>
          </cell>
          <cell r="L302">
            <v>30.08</v>
          </cell>
          <cell r="M302" t="str">
            <v>Und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840000</v>
          </cell>
          <cell r="K303">
            <v>334</v>
          </cell>
          <cell r="L303">
            <v>4.1916167664670656</v>
          </cell>
          <cell r="M303" t="str">
            <v>Und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894387</v>
          </cell>
          <cell r="K304">
            <v>200</v>
          </cell>
          <cell r="L304">
            <v>202.35</v>
          </cell>
          <cell r="M304" t="str">
            <v>Und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322554</v>
          </cell>
          <cell r="K305">
            <v>1</v>
          </cell>
          <cell r="L305">
            <v>76.406666666666695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>
            <v>391729</v>
          </cell>
          <cell r="K306">
            <v>100</v>
          </cell>
          <cell r="L306">
            <v>5.9132000000000007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1995000</v>
          </cell>
          <cell r="K307">
            <v>28</v>
          </cell>
          <cell r="L307">
            <v>53.571428571428569</v>
          </cell>
          <cell r="M307" t="str">
            <v>Und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1194600</v>
          </cell>
          <cell r="K308">
            <v>1</v>
          </cell>
          <cell r="L308">
            <v>36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365821</v>
          </cell>
          <cell r="K309">
            <v>20</v>
          </cell>
          <cell r="L309">
            <v>1239.75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>
            <v>456960</v>
          </cell>
          <cell r="K310">
            <v>480</v>
          </cell>
          <cell r="L310">
            <v>60.166666666666664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117504</v>
          </cell>
          <cell r="K311">
            <v>1000</v>
          </cell>
          <cell r="L311">
            <v>4.4020000000000001</v>
          </cell>
          <cell r="M311" t="str">
            <v>Und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539500</v>
          </cell>
          <cell r="K312">
            <v>1</v>
          </cell>
          <cell r="L312">
            <v>95.6</v>
          </cell>
          <cell r="M312" t="str">
            <v>Und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387400</v>
          </cell>
          <cell r="K313">
            <v>1</v>
          </cell>
          <cell r="L313">
            <v>66</v>
          </cell>
          <cell r="M313" t="str">
            <v>Und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2341465</v>
          </cell>
          <cell r="K314">
            <v>250</v>
          </cell>
          <cell r="L314">
            <v>0.35187200000000002</v>
          </cell>
          <cell r="M314" t="str">
            <v>Und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59926500</v>
          </cell>
          <cell r="K315">
            <v>1</v>
          </cell>
          <cell r="L315">
            <v>498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897250</v>
          </cell>
          <cell r="K316">
            <v>1</v>
          </cell>
          <cell r="L316">
            <v>195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>
            <v>364143.5</v>
          </cell>
          <cell r="K317">
            <v>100</v>
          </cell>
          <cell r="L317">
            <v>43.61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>
            <v>2490</v>
          </cell>
          <cell r="K318">
            <v>100</v>
          </cell>
          <cell r="L318" t="e">
            <v>#N/A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>
            <v>400608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>
            <v>316854.15999999997</v>
          </cell>
          <cell r="K320">
            <v>378</v>
          </cell>
          <cell r="L320">
            <v>11.645502645502646</v>
          </cell>
          <cell r="M320" t="str">
            <v>Und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303450</v>
          </cell>
          <cell r="K321">
            <v>1</v>
          </cell>
          <cell r="L321">
            <v>486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>
            <v>190800</v>
          </cell>
          <cell r="K322">
            <v>600</v>
          </cell>
          <cell r="L322">
            <v>53</v>
          </cell>
          <cell r="M322" t="str">
            <v>Und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2772000</v>
          </cell>
          <cell r="K323">
            <v>1</v>
          </cell>
          <cell r="L323">
            <v>85</v>
          </cell>
          <cell r="M323" t="str">
            <v>Und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10744800</v>
          </cell>
          <cell r="K324">
            <v>1</v>
          </cell>
          <cell r="L324">
            <v>121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1309000</v>
          </cell>
          <cell r="K325">
            <v>1</v>
          </cell>
          <cell r="L325">
            <v>598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9782532</v>
          </cell>
          <cell r="K326">
            <v>200</v>
          </cell>
          <cell r="L326">
            <v>61.7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>
            <v>505000</v>
          </cell>
          <cell r="K327">
            <v>1500</v>
          </cell>
          <cell r="L327" t="e">
            <v>#N/A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1694580</v>
          </cell>
          <cell r="K328">
            <v>1</v>
          </cell>
          <cell r="L328">
            <v>348</v>
          </cell>
          <cell r="M328" t="str">
            <v>Und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17001749</v>
          </cell>
          <cell r="K329">
            <v>900</v>
          </cell>
          <cell r="L329">
            <v>19.466666666666665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>
            <v>104940</v>
          </cell>
          <cell r="J330">
            <v>623693.4</v>
          </cell>
          <cell r="K330">
            <v>13600</v>
          </cell>
          <cell r="L330">
            <v>7.716176470588235</v>
          </cell>
          <cell r="M330" t="str">
            <v>Gramos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1907748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25324</v>
          </cell>
          <cell r="K332">
            <v>1000</v>
          </cell>
          <cell r="L332">
            <v>1.56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2591660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434084</v>
          </cell>
          <cell r="K334">
            <v>1000</v>
          </cell>
          <cell r="L334">
            <v>3.0562</v>
          </cell>
          <cell r="M334" t="str">
            <v>Gramos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1203200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1827059</v>
          </cell>
          <cell r="K336">
            <v>350</v>
          </cell>
          <cell r="L336">
            <v>57.22</v>
          </cell>
          <cell r="M336" t="str">
            <v>Und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8126601.1200000001</v>
          </cell>
          <cell r="K337">
            <v>2500</v>
          </cell>
          <cell r="L337">
            <v>1.2607200000000001</v>
          </cell>
          <cell r="M337" t="str">
            <v>Gramos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17/03/2020</v>
          </cell>
          <cell r="I338" t="e">
            <v>#N/A</v>
          </cell>
          <cell r="J338">
            <v>206856</v>
          </cell>
          <cell r="K338">
            <v>1000</v>
          </cell>
          <cell r="L338" t="e">
            <v>#N/A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21/03/2020</v>
          </cell>
          <cell r="I339">
            <v>4151.3999999999996</v>
          </cell>
          <cell r="J339">
            <v>48820.464</v>
          </cell>
          <cell r="K339">
            <v>850</v>
          </cell>
          <cell r="L339">
            <v>4.8839999999999995</v>
          </cell>
          <cell r="M339" t="str">
            <v>Mililitros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12/05/2020</v>
          </cell>
          <cell r="I340">
            <v>15230</v>
          </cell>
          <cell r="J340">
            <v>29572</v>
          </cell>
          <cell r="K340">
            <v>2500</v>
          </cell>
          <cell r="L340">
            <v>6.0919999999999996</v>
          </cell>
          <cell r="M340" t="str">
            <v>Gramos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3461</v>
          </cell>
          <cell r="J341">
            <v>2277584</v>
          </cell>
          <cell r="K341">
            <v>3000</v>
          </cell>
          <cell r="L341">
            <v>1.1536666666666666</v>
          </cell>
          <cell r="M341" t="str">
            <v>Gramos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686</v>
          </cell>
          <cell r="J342">
            <v>1640912</v>
          </cell>
          <cell r="K342">
            <v>500</v>
          </cell>
          <cell r="L342">
            <v>1.3720000000000001</v>
          </cell>
          <cell r="M342" t="str">
            <v>Gramos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  <cell r="H343" t="str">
            <v>08/06/2020</v>
          </cell>
          <cell r="I343">
            <v>2238</v>
          </cell>
          <cell r="J343">
            <v>349128</v>
          </cell>
          <cell r="K343">
            <v>2500</v>
          </cell>
          <cell r="L343">
            <v>0.8952</v>
          </cell>
          <cell r="M343" t="str">
            <v>Gramos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04/01/2020</v>
          </cell>
          <cell r="I344" t="e">
            <v>#N/A</v>
          </cell>
          <cell r="J344">
            <v>18601</v>
          </cell>
          <cell r="K344">
            <v>680</v>
          </cell>
          <cell r="L344" t="e">
            <v>#N/A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9861.5</v>
          </cell>
          <cell r="J345">
            <v>572472</v>
          </cell>
          <cell r="K345">
            <v>3780</v>
          </cell>
          <cell r="L345">
            <v>2.6088624338624338</v>
          </cell>
          <cell r="M345" t="str">
            <v>Mililitros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08/06/2020</v>
          </cell>
          <cell r="I346">
            <v>17014</v>
          </cell>
          <cell r="J346">
            <v>977498</v>
          </cell>
          <cell r="K346">
            <v>15880</v>
          </cell>
          <cell r="L346">
            <v>1.0714105793450881</v>
          </cell>
          <cell r="M346" t="str">
            <v>Mililitros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15/06/2020</v>
          </cell>
          <cell r="I347">
            <v>21354</v>
          </cell>
          <cell r="J347">
            <v>39057825</v>
          </cell>
          <cell r="K347">
            <v>17000</v>
          </cell>
          <cell r="L347">
            <v>1.2561176470588236</v>
          </cell>
          <cell r="M347" t="str">
            <v>Mililitros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19/03/2020</v>
          </cell>
          <cell r="I348">
            <v>3396</v>
          </cell>
          <cell r="J348">
            <v>142115</v>
          </cell>
          <cell r="K348">
            <v>3785</v>
          </cell>
          <cell r="L348">
            <v>0.89722589167767508</v>
          </cell>
          <cell r="M348" t="str">
            <v>Mililitros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01/06/2020</v>
          </cell>
          <cell r="I349">
            <v>1552</v>
          </cell>
          <cell r="J349">
            <v>1642880</v>
          </cell>
          <cell r="K349">
            <v>2000</v>
          </cell>
          <cell r="L349">
            <v>0.77600000000000002</v>
          </cell>
          <cell r="M349" t="str">
            <v>Gramos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04/06/2020</v>
          </cell>
          <cell r="I350">
            <v>2729</v>
          </cell>
          <cell r="J350">
            <v>693166</v>
          </cell>
          <cell r="K350">
            <v>1800</v>
          </cell>
          <cell r="L350">
            <v>1.5161111111111112</v>
          </cell>
          <cell r="M350" t="str">
            <v>Gramos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  <cell r="H351" t="str">
            <v>05/06/2020</v>
          </cell>
          <cell r="I351">
            <v>15600</v>
          </cell>
          <cell r="J351">
            <v>10280400</v>
          </cell>
          <cell r="K351">
            <v>1500</v>
          </cell>
          <cell r="L351">
            <v>10.4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10/02/2020</v>
          </cell>
          <cell r="I352" t="e">
            <v>#N/A</v>
          </cell>
          <cell r="J352">
            <v>6014</v>
          </cell>
          <cell r="K352">
            <v>425</v>
          </cell>
          <cell r="L352" t="e">
            <v>#N/A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28/01/2020</v>
          </cell>
          <cell r="I353">
            <v>2542.11</v>
          </cell>
          <cell r="J353">
            <v>873264</v>
          </cell>
          <cell r="K353">
            <v>250</v>
          </cell>
          <cell r="L353">
            <v>10.16844</v>
          </cell>
          <cell r="M353" t="str">
            <v>Mililitros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1684.21</v>
          </cell>
          <cell r="J354">
            <v>2302800</v>
          </cell>
          <cell r="K354">
            <v>390</v>
          </cell>
          <cell r="L354">
            <v>4.31848717948718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237.916666666667</v>
          </cell>
          <cell r="J355">
            <v>95955.999999999796</v>
          </cell>
          <cell r="K355">
            <v>500</v>
          </cell>
          <cell r="L355">
            <v>0.475833333333334</v>
          </cell>
          <cell r="M355" t="str">
            <v>Gramos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  <cell r="H356" t="str">
            <v>13/06/2020</v>
          </cell>
          <cell r="I356">
            <v>1902.3</v>
          </cell>
          <cell r="J356">
            <v>188155.69403399999</v>
          </cell>
          <cell r="K356">
            <v>250</v>
          </cell>
          <cell r="L356">
            <v>7.6091999999999995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30/03/2020</v>
          </cell>
          <cell r="I357">
            <v>81.710833333333298</v>
          </cell>
          <cell r="J357">
            <v>7110</v>
          </cell>
          <cell r="K357">
            <v>1</v>
          </cell>
          <cell r="L357" t="e">
            <v>#DIV/0!</v>
          </cell>
          <cell r="M357" t="str">
            <v>UND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16/06/2020</v>
          </cell>
          <cell r="I358">
            <v>1050</v>
          </cell>
          <cell r="J358">
            <v>2802900</v>
          </cell>
          <cell r="K358">
            <v>50</v>
          </cell>
          <cell r="L358">
            <v>21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  <cell r="H359" t="str">
            <v>24/03/2020</v>
          </cell>
          <cell r="I359">
            <v>11945.85</v>
          </cell>
          <cell r="J359">
            <v>1983011.1</v>
          </cell>
          <cell r="K359">
            <v>2000</v>
          </cell>
          <cell r="L359">
            <v>5.972925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  <cell r="H360" t="str">
            <v>18/05/2020</v>
          </cell>
          <cell r="I360" t="e">
            <v>#N/A</v>
          </cell>
          <cell r="J360">
            <v>1210</v>
          </cell>
          <cell r="K360">
            <v>250</v>
          </cell>
          <cell r="L360" t="e">
            <v>#N/A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19/05/2020</v>
          </cell>
          <cell r="I361">
            <v>495.83333333333297</v>
          </cell>
          <cell r="J361">
            <v>234529.16666666701</v>
          </cell>
          <cell r="K361">
            <v>180</v>
          </cell>
          <cell r="L361">
            <v>2.7546296296296275</v>
          </cell>
          <cell r="M361" t="str">
            <v>Gramos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  <cell r="H362" t="str">
            <v>10/12/2019</v>
          </cell>
          <cell r="I362">
            <v>1190</v>
          </cell>
          <cell r="J362">
            <v>1190</v>
          </cell>
          <cell r="K362">
            <v>900</v>
          </cell>
          <cell r="L362">
            <v>1.3222222222222222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28/05/2020</v>
          </cell>
          <cell r="I363">
            <v>10961</v>
          </cell>
          <cell r="J363">
            <v>111636</v>
          </cell>
          <cell r="K363">
            <v>1820</v>
          </cell>
          <cell r="L363">
            <v>6.0225274725274724</v>
          </cell>
          <cell r="M363" t="str">
            <v>Gramos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15/06/2020</v>
          </cell>
          <cell r="I364">
            <v>2654.86</v>
          </cell>
          <cell r="J364">
            <v>748560.14</v>
          </cell>
          <cell r="L364" t="e">
            <v>#DIV/0!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02/06/2020</v>
          </cell>
          <cell r="I365">
            <v>3375</v>
          </cell>
          <cell r="J365">
            <v>1220915</v>
          </cell>
          <cell r="K365">
            <v>3140</v>
          </cell>
          <cell r="L365">
            <v>1.0748407643312101</v>
          </cell>
          <cell r="M365" t="str">
            <v>Gramos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15/06/2020</v>
          </cell>
          <cell r="I366">
            <v>923</v>
          </cell>
          <cell r="J366">
            <v>3289572</v>
          </cell>
          <cell r="L366" t="e">
            <v>#DIV/0!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  <cell r="H367" t="str">
            <v>25/03/2020</v>
          </cell>
          <cell r="I367" t="e">
            <v>#N/A</v>
          </cell>
          <cell r="J367">
            <v>1437433.64</v>
          </cell>
          <cell r="K367">
            <v>40</v>
          </cell>
          <cell r="L367" t="e">
            <v>#N/A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01/06/2020</v>
          </cell>
          <cell r="I368">
            <v>1655</v>
          </cell>
          <cell r="J368">
            <v>26480</v>
          </cell>
          <cell r="K368">
            <v>1000</v>
          </cell>
          <cell r="L368">
            <v>1.655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16/06/2020</v>
          </cell>
          <cell r="I369">
            <v>550</v>
          </cell>
          <cell r="J369">
            <v>240350</v>
          </cell>
          <cell r="K369">
            <v>200</v>
          </cell>
          <cell r="L369">
            <v>2.75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18/01/2020</v>
          </cell>
          <cell r="I370">
            <v>2680</v>
          </cell>
          <cell r="J370">
            <v>1624350</v>
          </cell>
          <cell r="K370">
            <v>48</v>
          </cell>
          <cell r="L370">
            <v>55.833333333333336</v>
          </cell>
          <cell r="M370" t="str">
            <v>und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15/06/2020</v>
          </cell>
          <cell r="I371" t="e">
            <v>#N/A</v>
          </cell>
          <cell r="J371">
            <v>1308846.6599999999</v>
          </cell>
          <cell r="K371">
            <v>70</v>
          </cell>
          <cell r="L371" t="e">
            <v>#N/A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24/03/2020</v>
          </cell>
          <cell r="I372">
            <v>4950</v>
          </cell>
          <cell r="J372">
            <v>89100</v>
          </cell>
          <cell r="K372">
            <v>2270</v>
          </cell>
          <cell r="L372">
            <v>2.1806167400881056</v>
          </cell>
          <cell r="M372" t="str">
            <v>Gramos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  <cell r="H373" t="str">
            <v>05/06/2020</v>
          </cell>
          <cell r="I373">
            <v>35050.199999999997</v>
          </cell>
          <cell r="J373">
            <v>199789.16</v>
          </cell>
          <cell r="K373">
            <v>50000</v>
          </cell>
          <cell r="L373">
            <v>0.70100399999999996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28/05/2020</v>
          </cell>
          <cell r="I374" t="e">
            <v>#N/A</v>
          </cell>
          <cell r="J374">
            <v>6855429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08/02/2020</v>
          </cell>
          <cell r="I375" t="e">
            <v>#N/A</v>
          </cell>
          <cell r="J375">
            <v>3253080</v>
          </cell>
          <cell r="L375" t="e">
            <v>#N/A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  <cell r="H376" t="str">
            <v>15/02/2020</v>
          </cell>
          <cell r="I376">
            <v>10076</v>
          </cell>
          <cell r="J376">
            <v>2977120</v>
          </cell>
          <cell r="K376">
            <v>4000</v>
          </cell>
          <cell r="L376">
            <v>2.1411500000000001</v>
          </cell>
          <cell r="M376" t="str">
            <v>Gramos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17/03/2020</v>
          </cell>
          <cell r="I377">
            <v>21501</v>
          </cell>
          <cell r="J377">
            <v>1655577</v>
          </cell>
          <cell r="K377">
            <v>5160</v>
          </cell>
          <cell r="L377">
            <v>4.1668604651162795</v>
          </cell>
          <cell r="M377" t="str">
            <v>Gramos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12/06/2020</v>
          </cell>
          <cell r="I378">
            <v>6196</v>
          </cell>
          <cell r="J378">
            <v>118042</v>
          </cell>
          <cell r="K378">
            <v>4000</v>
          </cell>
          <cell r="L378">
            <v>1.5489999999999999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  <cell r="H379" t="str">
            <v>15/06/2020</v>
          </cell>
          <cell r="I379">
            <v>13881</v>
          </cell>
          <cell r="J379">
            <v>7828884</v>
          </cell>
          <cell r="K379">
            <v>12000</v>
          </cell>
          <cell r="L379">
            <v>1.1567499999999999</v>
          </cell>
          <cell r="M379" t="str">
            <v>Gramos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  <cell r="H380" t="str">
            <v>21/03/2020</v>
          </cell>
          <cell r="I380" t="e">
            <v>#N/A</v>
          </cell>
          <cell r="J380">
            <v>440629</v>
          </cell>
          <cell r="L380" t="e">
            <v>#N/A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  <cell r="H381" t="str">
            <v>14/12/2019</v>
          </cell>
          <cell r="I381" t="e">
            <v>#N/A</v>
          </cell>
          <cell r="J381">
            <v>2400</v>
          </cell>
          <cell r="K381">
            <v>368</v>
          </cell>
          <cell r="L381" t="e">
            <v>#N/A</v>
          </cell>
          <cell r="M381" t="str">
            <v>Gramos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  <cell r="H382" t="str">
            <v>17/03/2020</v>
          </cell>
          <cell r="I382">
            <v>59242</v>
          </cell>
          <cell r="J382">
            <v>473936</v>
          </cell>
          <cell r="K382">
            <v>25000</v>
          </cell>
          <cell r="L382">
            <v>2.3696799999999998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  <cell r="H383" t="str">
            <v>16/03/2020</v>
          </cell>
          <cell r="I383">
            <v>1215</v>
          </cell>
          <cell r="J383">
            <v>277020</v>
          </cell>
          <cell r="K383">
            <v>3785</v>
          </cell>
          <cell r="L383">
            <v>0.32100396301188905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05/02/2020</v>
          </cell>
          <cell r="I384" t="e">
            <v>#N/A</v>
          </cell>
          <cell r="J384">
            <v>108166.53</v>
          </cell>
          <cell r="K384">
            <v>25000</v>
          </cell>
          <cell r="L384" t="e">
            <v>#N/A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19/03/2020</v>
          </cell>
          <cell r="I385" t="e">
            <v>#N/A</v>
          </cell>
          <cell r="J385">
            <v>1062072</v>
          </cell>
          <cell r="K385">
            <v>10000</v>
          </cell>
          <cell r="L385" t="e">
            <v>#N/A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21/05/2020</v>
          </cell>
          <cell r="I386" t="e">
            <v>#N/A</v>
          </cell>
          <cell r="J386">
            <v>11000000</v>
          </cell>
          <cell r="K386">
            <v>2000</v>
          </cell>
          <cell r="L386" t="e">
            <v>#N/A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23/04/2020</v>
          </cell>
          <cell r="I387">
            <v>2353</v>
          </cell>
          <cell r="J387">
            <v>491777</v>
          </cell>
          <cell r="K387">
            <v>4000</v>
          </cell>
          <cell r="L387">
            <v>0.58825000000000005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>
            <v>45580.53</v>
          </cell>
          <cell r="K388">
            <v>5000</v>
          </cell>
          <cell r="L388" t="e">
            <v>#N/A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14/01/2020</v>
          </cell>
          <cell r="I389" t="e">
            <v>#N/A</v>
          </cell>
          <cell r="J389">
            <v>7292.8847999999998</v>
          </cell>
          <cell r="K389">
            <v>1000</v>
          </cell>
          <cell r="L389" t="e">
            <v>#N/A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13/06/2020</v>
          </cell>
          <cell r="I390">
            <v>3450</v>
          </cell>
          <cell r="J390">
            <v>11360850</v>
          </cell>
          <cell r="K390">
            <v>3000</v>
          </cell>
          <cell r="L390">
            <v>1.1499999999999999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10/06/2020</v>
          </cell>
          <cell r="I391" t="e">
            <v>#N/A</v>
          </cell>
          <cell r="J391">
            <v>65386.74</v>
          </cell>
          <cell r="K391">
            <v>1000</v>
          </cell>
          <cell r="L391" t="e">
            <v>#N/A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  <cell r="H392" t="str">
            <v>06/06/2020</v>
          </cell>
          <cell r="I392">
            <v>4000</v>
          </cell>
          <cell r="J392">
            <v>2368000</v>
          </cell>
          <cell r="K392">
            <v>3785</v>
          </cell>
          <cell r="L392">
            <v>1.0568031704095113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27/03/2020</v>
          </cell>
          <cell r="I393">
            <v>4415.5</v>
          </cell>
          <cell r="J393">
            <v>37748.471599999997</v>
          </cell>
          <cell r="K393">
            <v>1000</v>
          </cell>
          <cell r="L393">
            <v>4.4154999999999998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21/05/2020</v>
          </cell>
          <cell r="I394">
            <v>3398</v>
          </cell>
          <cell r="J394">
            <v>499506</v>
          </cell>
          <cell r="K394">
            <v>1000</v>
          </cell>
          <cell r="L394">
            <v>3.3980000000000001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15/06/2020</v>
          </cell>
          <cell r="I395" t="e">
            <v>#N/A</v>
          </cell>
          <cell r="J395">
            <v>86564.758000000002</v>
          </cell>
          <cell r="K395">
            <v>300</v>
          </cell>
          <cell r="L395" t="e">
            <v>#N/A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26/05/2020</v>
          </cell>
          <cell r="I396" t="e">
            <v>#N/A</v>
          </cell>
          <cell r="J396">
            <v>91375.902000000002</v>
          </cell>
          <cell r="K396">
            <v>1000</v>
          </cell>
          <cell r="L396" t="e">
            <v>#N/A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  <cell r="H397" t="str">
            <v>16/01/2020</v>
          </cell>
          <cell r="I397">
            <v>18503.636363599999</v>
          </cell>
          <cell r="J397">
            <v>342740</v>
          </cell>
          <cell r="K397">
            <v>18000</v>
          </cell>
          <cell r="L397">
            <v>1.0279797979777776</v>
          </cell>
          <cell r="M397" t="str">
            <v>Gramos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  <cell r="H398" t="str">
            <v>17/01/2020</v>
          </cell>
          <cell r="I398" t="e">
            <v>#N/A</v>
          </cell>
          <cell r="J398">
            <v>12080.88</v>
          </cell>
          <cell r="K398">
            <v>1000</v>
          </cell>
          <cell r="L398" t="e">
            <v>#N/A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  <cell r="H399" t="str">
            <v>15/06/2020</v>
          </cell>
          <cell r="I399">
            <v>4000.82</v>
          </cell>
          <cell r="J399">
            <v>2753865.9993500002</v>
          </cell>
          <cell r="K399">
            <v>1000</v>
          </cell>
          <cell r="L399">
            <v>4.00082</v>
          </cell>
          <cell r="M399" t="str">
            <v>Gramos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  <cell r="H400" t="str">
            <v>15/06/2020</v>
          </cell>
          <cell r="I400">
            <v>4000</v>
          </cell>
          <cell r="J400">
            <v>1642244</v>
          </cell>
          <cell r="K400">
            <v>1000</v>
          </cell>
          <cell r="L400">
            <v>4</v>
          </cell>
          <cell r="M400" t="str">
            <v>Gramos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  <cell r="H401" t="str">
            <v>15/06/2020</v>
          </cell>
          <cell r="I401" t="e">
            <v>#N/A</v>
          </cell>
          <cell r="J401">
            <v>6502696</v>
          </cell>
          <cell r="L401" t="e">
            <v>#N/A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  <cell r="H402" t="str">
            <v>13/06/2020</v>
          </cell>
          <cell r="I402">
            <v>11386.01</v>
          </cell>
          <cell r="J402">
            <v>314301.25</v>
          </cell>
          <cell r="K402">
            <v>25000</v>
          </cell>
          <cell r="L402">
            <v>0.45544040000000002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19/03/2020</v>
          </cell>
          <cell r="I403">
            <v>3211</v>
          </cell>
          <cell r="J403">
            <v>471043</v>
          </cell>
          <cell r="K403">
            <v>1000</v>
          </cell>
          <cell r="L403">
            <v>3.2109999999999999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  <cell r="H404" t="str">
            <v>18/04/2020</v>
          </cell>
          <cell r="I404">
            <v>1056</v>
          </cell>
          <cell r="J404">
            <v>1000032</v>
          </cell>
          <cell r="K404">
            <v>210</v>
          </cell>
          <cell r="L404">
            <v>5.0285714285714285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11/06/2020</v>
          </cell>
          <cell r="I405">
            <v>9809</v>
          </cell>
          <cell r="J405">
            <v>10866702.539999999</v>
          </cell>
          <cell r="K405">
            <v>3785</v>
          </cell>
          <cell r="L405">
            <v>2.591545574636724</v>
          </cell>
          <cell r="M405" t="str">
            <v>Mililitros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 t="e">
            <v>#N/A</v>
          </cell>
          <cell r="J406">
            <v>122648.158</v>
          </cell>
          <cell r="K406">
            <v>5000</v>
          </cell>
          <cell r="L406" t="e">
            <v>#N/A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18/04/2020</v>
          </cell>
          <cell r="I407">
            <v>9320.5400000000009</v>
          </cell>
          <cell r="J407">
            <v>203491.24</v>
          </cell>
          <cell r="L407" t="e">
            <v>#DIV/0!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  <cell r="H408" t="str">
            <v>06/04/2020</v>
          </cell>
          <cell r="I408">
            <v>2465</v>
          </cell>
          <cell r="J408">
            <v>105995</v>
          </cell>
          <cell r="K408">
            <v>1000</v>
          </cell>
          <cell r="L408">
            <v>2.4649999999999999</v>
          </cell>
          <cell r="M408" t="str">
            <v>Gramos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28/05/2020</v>
          </cell>
          <cell r="I409" t="e">
            <v>#N/A</v>
          </cell>
          <cell r="J409">
            <v>243405</v>
          </cell>
          <cell r="K409">
            <v>40</v>
          </cell>
          <cell r="L409" t="e">
            <v>#N/A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  <cell r="H410" t="str">
            <v>16/06/2020</v>
          </cell>
          <cell r="I410" t="e">
            <v>#N/A</v>
          </cell>
          <cell r="J410">
            <v>1093125</v>
          </cell>
          <cell r="K410">
            <v>2500</v>
          </cell>
          <cell r="L410" t="e">
            <v>#N/A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>
            <v>11616</v>
          </cell>
          <cell r="J411">
            <v>418176</v>
          </cell>
          <cell r="L411" t="e">
            <v>#DIV/0!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  <cell r="H412" t="str">
            <v>15/06/2020</v>
          </cell>
          <cell r="I412" t="e">
            <v>#N/A</v>
          </cell>
          <cell r="J412">
            <v>154715</v>
          </cell>
          <cell r="L412" t="e">
            <v>#N/A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22/02/2020</v>
          </cell>
          <cell r="I413">
            <v>2742</v>
          </cell>
          <cell r="J413">
            <v>228580</v>
          </cell>
          <cell r="K413">
            <v>1000</v>
          </cell>
          <cell r="L413">
            <v>2.742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  <cell r="H414" t="str">
            <v>17/01/2020</v>
          </cell>
          <cell r="I414" t="e">
            <v>#N/A</v>
          </cell>
          <cell r="J414">
            <v>30236.46</v>
          </cell>
          <cell r="K414">
            <v>1000</v>
          </cell>
          <cell r="L414" t="e">
            <v>#N/A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15/06/2020</v>
          </cell>
          <cell r="I415" t="e">
            <v>#N/A</v>
          </cell>
          <cell r="J415">
            <v>4881824.2538999999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  <cell r="H416" t="str">
            <v>04/06/2020</v>
          </cell>
          <cell r="I416" t="e">
            <v>#N/A</v>
          </cell>
          <cell r="J416">
            <v>11799520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  <cell r="H417" t="str">
            <v>25/05/2020</v>
          </cell>
          <cell r="I417" t="e">
            <v>#N/A</v>
          </cell>
          <cell r="J417">
            <v>1086785</v>
          </cell>
          <cell r="L417" t="e">
            <v>#N/A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23/01/2020</v>
          </cell>
          <cell r="I418" t="e">
            <v>#N/A</v>
          </cell>
          <cell r="J418">
            <v>180900</v>
          </cell>
          <cell r="K418">
            <v>3785</v>
          </cell>
          <cell r="L418" t="e">
            <v>#N/A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4995</v>
          </cell>
          <cell r="J419">
            <v>384291</v>
          </cell>
          <cell r="K419">
            <v>2300</v>
          </cell>
          <cell r="L419">
            <v>2.1717391304347826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  <cell r="H420" t="str">
            <v>30/05/2020</v>
          </cell>
          <cell r="I420" t="e">
            <v>#N/A</v>
          </cell>
          <cell r="J420">
            <v>103751</v>
          </cell>
          <cell r="K420">
            <v>3780</v>
          </cell>
          <cell r="L420" t="e">
            <v>#N/A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16/06/2020</v>
          </cell>
          <cell r="I421">
            <v>600</v>
          </cell>
          <cell r="J421">
            <v>445826</v>
          </cell>
          <cell r="K421">
            <v>1000</v>
          </cell>
          <cell r="L421">
            <v>0.6</v>
          </cell>
          <cell r="M421" t="str">
            <v>Gramos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  <cell r="H422" t="str">
            <v>28/05/2020</v>
          </cell>
          <cell r="I422">
            <v>8428</v>
          </cell>
          <cell r="J422">
            <v>225246</v>
          </cell>
          <cell r="K422">
            <v>3785</v>
          </cell>
          <cell r="L422">
            <v>2.2266842800528401</v>
          </cell>
          <cell r="M422" t="str">
            <v>Gramos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17/01/2020</v>
          </cell>
          <cell r="I423" t="e">
            <v>#N/A</v>
          </cell>
          <cell r="J423">
            <v>108692</v>
          </cell>
          <cell r="L423" t="e">
            <v>#N/A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02/05/2020</v>
          </cell>
          <cell r="I424">
            <v>7500</v>
          </cell>
          <cell r="J424">
            <v>690000</v>
          </cell>
          <cell r="K424">
            <v>1000</v>
          </cell>
          <cell r="L424">
            <v>7.5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  <cell r="H425" t="str">
            <v>13/05/2020</v>
          </cell>
          <cell r="I425">
            <v>41400</v>
          </cell>
          <cell r="J425">
            <v>703800</v>
          </cell>
          <cell r="L425" t="e">
            <v>#DIV/0!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08/06/2020</v>
          </cell>
          <cell r="I426">
            <v>1940</v>
          </cell>
          <cell r="J426">
            <v>3021599</v>
          </cell>
          <cell r="K426">
            <v>1000</v>
          </cell>
          <cell r="L426">
            <v>1.94</v>
          </cell>
          <cell r="M426" t="str">
            <v>Gramos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01/06/2020</v>
          </cell>
          <cell r="I427">
            <v>9356.44</v>
          </cell>
          <cell r="J427">
            <v>1944798.98</v>
          </cell>
          <cell r="K427">
            <v>2000</v>
          </cell>
          <cell r="L427">
            <v>4.6782200000000005</v>
          </cell>
          <cell r="M427" t="str">
            <v>Gramos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  <cell r="H428" t="str">
            <v>08/06/2020</v>
          </cell>
          <cell r="I428">
            <v>28976</v>
          </cell>
          <cell r="J428">
            <v>1766787</v>
          </cell>
          <cell r="L428" t="e">
            <v>#DIV/0!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  <cell r="H429" t="str">
            <v>10/06/2020</v>
          </cell>
          <cell r="I429">
            <v>30491</v>
          </cell>
          <cell r="J429">
            <v>779169</v>
          </cell>
          <cell r="K429">
            <v>10432</v>
          </cell>
          <cell r="L429">
            <v>2.9228335889570554</v>
          </cell>
          <cell r="M429" t="str">
            <v>Gramos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26/03/2020</v>
          </cell>
          <cell r="I430">
            <v>1100</v>
          </cell>
          <cell r="J430">
            <v>4104000</v>
          </cell>
          <cell r="K430">
            <v>1000</v>
          </cell>
          <cell r="L430">
            <v>1.1000000000000001</v>
          </cell>
          <cell r="M430" t="str">
            <v>Gramos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  <cell r="H431" t="str">
            <v>13/06/2020</v>
          </cell>
          <cell r="I431">
            <v>1000</v>
          </cell>
          <cell r="J431">
            <v>103500</v>
          </cell>
          <cell r="K431">
            <v>1000</v>
          </cell>
          <cell r="L431">
            <v>1</v>
          </cell>
          <cell r="M431" t="str">
            <v>Gramos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  <cell r="H432" t="str">
            <v>16/04/2020</v>
          </cell>
          <cell r="I432">
            <v>4419.3999999999996</v>
          </cell>
          <cell r="J432">
            <v>247151</v>
          </cell>
          <cell r="K432">
            <v>3785</v>
          </cell>
          <cell r="L432">
            <v>1.1676089828269485</v>
          </cell>
          <cell r="M432" t="str">
            <v>Mililitros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  <cell r="H433" t="str">
            <v>21/01/2020</v>
          </cell>
          <cell r="I433" t="e">
            <v>#N/A</v>
          </cell>
          <cell r="J433">
            <v>37850</v>
          </cell>
          <cell r="K433">
            <v>1000</v>
          </cell>
          <cell r="L433" t="e">
            <v>#N/A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25/05/2020</v>
          </cell>
          <cell r="I434" t="e">
            <v>#N/A</v>
          </cell>
          <cell r="J434">
            <v>637794</v>
          </cell>
          <cell r="K434">
            <v>25000</v>
          </cell>
          <cell r="L434" t="e">
            <v>#N/A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  <cell r="H435" t="str">
            <v>18/05/2020</v>
          </cell>
          <cell r="I435">
            <v>24010</v>
          </cell>
          <cell r="J435">
            <v>425191</v>
          </cell>
          <cell r="L435" t="e">
            <v>#DIV/0!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  <cell r="H436" t="str">
            <v>28/01/2020</v>
          </cell>
          <cell r="I436">
            <v>9429</v>
          </cell>
          <cell r="J436">
            <v>43700</v>
          </cell>
          <cell r="K436">
            <v>3700</v>
          </cell>
          <cell r="L436">
            <v>2.5483783783783784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30/12/2019</v>
          </cell>
          <cell r="I437">
            <v>5777.3329999999996</v>
          </cell>
          <cell r="J437">
            <v>86659.994999999995</v>
          </cell>
          <cell r="K437">
            <v>1000</v>
          </cell>
          <cell r="L437">
            <v>5.7773329999999996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26/02/2020</v>
          </cell>
          <cell r="I438">
            <v>6050</v>
          </cell>
          <cell r="J438">
            <v>18338.999999999902</v>
          </cell>
          <cell r="K438">
            <v>60</v>
          </cell>
          <cell r="L438">
            <v>100.83333333333333</v>
          </cell>
          <cell r="M438" t="str">
            <v>Unidad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  <cell r="H439" t="str">
            <v>29/04/2020</v>
          </cell>
          <cell r="I439">
            <v>1250</v>
          </cell>
          <cell r="J439">
            <v>5000</v>
          </cell>
          <cell r="K439">
            <v>1000</v>
          </cell>
          <cell r="L439">
            <v>1.25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  <cell r="H440" t="str">
            <v>19/12/2019</v>
          </cell>
          <cell r="I440">
            <v>19540</v>
          </cell>
          <cell r="J440">
            <v>19540</v>
          </cell>
          <cell r="K440">
            <v>10000</v>
          </cell>
          <cell r="L440">
            <v>1.954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09/06/2020</v>
          </cell>
          <cell r="I441" t="e">
            <v>#N/A</v>
          </cell>
          <cell r="J441">
            <v>22844268.359999999</v>
          </cell>
          <cell r="K441">
            <v>4000</v>
          </cell>
          <cell r="L441" t="e">
            <v>#N/A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16/06/2020</v>
          </cell>
          <cell r="I442" t="e">
            <v>#N/A</v>
          </cell>
          <cell r="J442">
            <v>1875300</v>
          </cell>
          <cell r="K442">
            <v>2000</v>
          </cell>
          <cell r="L442" t="e">
            <v>#N/A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  <cell r="H443" t="str">
            <v>09/05/2020</v>
          </cell>
          <cell r="I443">
            <v>6000</v>
          </cell>
          <cell r="J443">
            <v>610000</v>
          </cell>
          <cell r="K443">
            <v>1000</v>
          </cell>
          <cell r="L443">
            <v>6</v>
          </cell>
          <cell r="M443" t="str">
            <v>Gramos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15/06/2020</v>
          </cell>
          <cell r="I444" t="e">
            <v>#N/A</v>
          </cell>
          <cell r="J444">
            <v>75900</v>
          </cell>
          <cell r="K444">
            <v>1000</v>
          </cell>
          <cell r="L444" t="e">
            <v>#N/A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  <cell r="H445" t="str">
            <v>15/06/2020</v>
          </cell>
          <cell r="I445">
            <v>1167</v>
          </cell>
          <cell r="J445">
            <v>1303817.7250000001</v>
          </cell>
          <cell r="K445">
            <v>500</v>
          </cell>
          <cell r="L445">
            <v>2.3340000000000001</v>
          </cell>
          <cell r="M445" t="str">
            <v>Gramos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17/01/2020</v>
          </cell>
          <cell r="I446">
            <v>2295</v>
          </cell>
          <cell r="J446">
            <v>34425</v>
          </cell>
          <cell r="K446">
            <v>1000</v>
          </cell>
          <cell r="L446">
            <v>2.2949999999999999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  <cell r="H447" t="str">
            <v>21/04/2020</v>
          </cell>
          <cell r="I447">
            <v>4000</v>
          </cell>
          <cell r="J447">
            <v>132000</v>
          </cell>
          <cell r="K447">
            <v>3785</v>
          </cell>
          <cell r="L447">
            <v>1.0568031704095113</v>
          </cell>
          <cell r="M447" t="str">
            <v>Mililitros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18/05/2020</v>
          </cell>
          <cell r="I448">
            <v>3841</v>
          </cell>
          <cell r="J448">
            <v>26166</v>
          </cell>
          <cell r="L448" t="e">
            <v>#DIV/0!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  <cell r="H449" t="str">
            <v>05/06/2020</v>
          </cell>
          <cell r="I449" t="e">
            <v>#N/A</v>
          </cell>
          <cell r="J449">
            <v>765653.66</v>
          </cell>
          <cell r="K449">
            <v>1000</v>
          </cell>
          <cell r="L449" t="e">
            <v>#N/A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24/03/2020</v>
          </cell>
          <cell r="I450">
            <v>5625</v>
          </cell>
          <cell r="J450">
            <v>30594</v>
          </cell>
          <cell r="K450">
            <v>1</v>
          </cell>
          <cell r="L450">
            <v>5625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03/03/2020</v>
          </cell>
          <cell r="I451" t="e">
            <v>#N/A</v>
          </cell>
          <cell r="J451">
            <v>23007</v>
          </cell>
          <cell r="K451">
            <v>1</v>
          </cell>
          <cell r="L451" t="e">
            <v>#N/A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14/03/2020</v>
          </cell>
          <cell r="I452">
            <v>5099</v>
          </cell>
          <cell r="J452">
            <v>20396</v>
          </cell>
          <cell r="K452">
            <v>1</v>
          </cell>
          <cell r="L452">
            <v>5099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19/03/2020</v>
          </cell>
          <cell r="I453">
            <v>6334</v>
          </cell>
          <cell r="J453">
            <v>35583</v>
          </cell>
          <cell r="K453">
            <v>1</v>
          </cell>
          <cell r="L453">
            <v>6334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  <cell r="H454" t="str">
            <v>07/03/2020</v>
          </cell>
          <cell r="I454">
            <v>5626</v>
          </cell>
          <cell r="J454">
            <v>25495</v>
          </cell>
          <cell r="K454">
            <v>1</v>
          </cell>
          <cell r="L454">
            <v>5626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  <cell r="H455" t="str">
            <v>20/02/2020</v>
          </cell>
          <cell r="I455" t="e">
            <v>#N/A</v>
          </cell>
          <cell r="J455">
            <v>98364</v>
          </cell>
          <cell r="K455">
            <v>20000</v>
          </cell>
          <cell r="L455" t="e">
            <v>#N/A</v>
          </cell>
          <cell r="M455" t="str">
            <v>Gramos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  <cell r="H456" t="str">
            <v>16/04/2020</v>
          </cell>
          <cell r="I456">
            <v>1088.4614999999999</v>
          </cell>
          <cell r="J456">
            <v>9810</v>
          </cell>
          <cell r="K456">
            <v>400</v>
          </cell>
          <cell r="L456">
            <v>2.7211537499999996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  <cell r="H457" t="str">
            <v>03/06/2020</v>
          </cell>
          <cell r="I457" t="e">
            <v>#N/A</v>
          </cell>
          <cell r="J457">
            <v>28320</v>
          </cell>
          <cell r="K457">
            <v>106</v>
          </cell>
          <cell r="L457" t="e">
            <v>#N/A</v>
          </cell>
          <cell r="M457" t="str">
            <v>Gramos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  <cell r="H458" t="str">
            <v>15/06/2020</v>
          </cell>
          <cell r="I458">
            <v>2931</v>
          </cell>
          <cell r="J458">
            <v>990902.7</v>
          </cell>
          <cell r="K458">
            <v>3785</v>
          </cell>
          <cell r="L458">
            <v>0.77437252311756932</v>
          </cell>
          <cell r="M458" t="str">
            <v>Mililitros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24/03/2020</v>
          </cell>
          <cell r="I459">
            <v>4971.33</v>
          </cell>
          <cell r="J459">
            <v>1503938.67</v>
          </cell>
          <cell r="K459">
            <v>800</v>
          </cell>
          <cell r="L459">
            <v>6.2141624999999996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30/04/2020</v>
          </cell>
          <cell r="I460">
            <v>4680</v>
          </cell>
          <cell r="J460">
            <v>32760</v>
          </cell>
          <cell r="L460" t="e">
            <v>#DIV/0!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19/05/2020</v>
          </cell>
          <cell r="I461">
            <v>2142</v>
          </cell>
          <cell r="J461">
            <v>589050</v>
          </cell>
          <cell r="L461" t="e">
            <v>#DIV/0!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  <cell r="H462" t="str">
            <v>24/03/2020</v>
          </cell>
          <cell r="I462">
            <v>2142</v>
          </cell>
          <cell r="J462">
            <v>32130</v>
          </cell>
          <cell r="L462" t="e">
            <v>#DIV/0!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24/03/2020</v>
          </cell>
          <cell r="I463">
            <v>2142</v>
          </cell>
          <cell r="J463">
            <v>374850</v>
          </cell>
          <cell r="L463" t="e">
            <v>#DIV/0!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07/02/2020</v>
          </cell>
          <cell r="I464" t="e">
            <v>#N/A</v>
          </cell>
          <cell r="J464">
            <v>107100</v>
          </cell>
          <cell r="L464" t="e">
            <v>#N/A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12/06/2020</v>
          </cell>
          <cell r="I465">
            <v>2142</v>
          </cell>
          <cell r="J465">
            <v>569772</v>
          </cell>
          <cell r="L465" t="e">
            <v>#DIV/0!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2142</v>
          </cell>
          <cell r="J466">
            <v>240210</v>
          </cell>
          <cell r="L466" t="e">
            <v>#DIV/0!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28/01/2020</v>
          </cell>
          <cell r="I467">
            <v>2142</v>
          </cell>
          <cell r="J467">
            <v>158400</v>
          </cell>
          <cell r="L467" t="e">
            <v>#DIV/0!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24/03/2020</v>
          </cell>
          <cell r="I468">
            <v>5500</v>
          </cell>
          <cell r="J468">
            <v>2942500</v>
          </cell>
          <cell r="K468">
            <v>1000</v>
          </cell>
          <cell r="L468">
            <v>5.5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16/12/2019</v>
          </cell>
          <cell r="I469">
            <v>6500</v>
          </cell>
          <cell r="J469">
            <v>195000</v>
          </cell>
          <cell r="K469">
            <v>1000</v>
          </cell>
          <cell r="L469">
            <v>6.5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20/05/2020</v>
          </cell>
          <cell r="I470">
            <v>10200</v>
          </cell>
          <cell r="J470">
            <v>656880</v>
          </cell>
          <cell r="K470">
            <v>1000</v>
          </cell>
          <cell r="L470">
            <v>10.199999999999999</v>
          </cell>
          <cell r="M470" t="str">
            <v>Mililitros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02/12/2019</v>
          </cell>
          <cell r="I471" t="e">
            <v>#N/A</v>
          </cell>
          <cell r="J471">
            <v>207360</v>
          </cell>
          <cell r="K471">
            <v>350</v>
          </cell>
          <cell r="L471" t="e">
            <v>#N/A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  <cell r="H472" t="str">
            <v>13/06/2020</v>
          </cell>
          <cell r="I472">
            <v>859</v>
          </cell>
          <cell r="J472">
            <v>441354.2</v>
          </cell>
          <cell r="K472">
            <v>1000</v>
          </cell>
          <cell r="L472">
            <v>0.85899999999999999</v>
          </cell>
          <cell r="M472" t="str">
            <v>Gramos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  <cell r="H473" t="str">
            <v>13/06/2020</v>
          </cell>
          <cell r="I473">
            <v>8376.3906666599996</v>
          </cell>
          <cell r="J473">
            <v>5612132.9965679897</v>
          </cell>
          <cell r="K473">
            <v>3100</v>
          </cell>
          <cell r="L473">
            <v>2.7020615053741932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1950</v>
          </cell>
          <cell r="J474">
            <v>1047150</v>
          </cell>
          <cell r="K474">
            <v>500</v>
          </cell>
          <cell r="L474">
            <v>3.9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  <cell r="H475" t="str">
            <v>24/12/2019</v>
          </cell>
          <cell r="I475">
            <v>2800</v>
          </cell>
          <cell r="J475">
            <v>504560</v>
          </cell>
          <cell r="K475">
            <v>1000</v>
          </cell>
          <cell r="L475">
            <v>2.8</v>
          </cell>
          <cell r="M475" t="str">
            <v>Gramos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  <cell r="H476" t="str">
            <v>24/03/2020</v>
          </cell>
          <cell r="I476" t="e">
            <v>#N/A</v>
          </cell>
          <cell r="J476">
            <v>12367468.800000001</v>
          </cell>
          <cell r="K476">
            <v>13600</v>
          </cell>
          <cell r="L476" t="e">
            <v>#N/A</v>
          </cell>
          <cell r="M476" t="str">
            <v>Gramos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28/05/2020</v>
          </cell>
          <cell r="I477">
            <v>750</v>
          </cell>
          <cell r="J477">
            <v>1913044.8024500001</v>
          </cell>
          <cell r="K477">
            <v>250</v>
          </cell>
          <cell r="L477">
            <v>3</v>
          </cell>
          <cell r="M477" t="str">
            <v>Gramos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06/04/2020</v>
          </cell>
          <cell r="I478" t="e">
            <v>#N/A</v>
          </cell>
          <cell r="J478">
            <v>278906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13/06/2020</v>
          </cell>
          <cell r="I479">
            <v>9982</v>
          </cell>
          <cell r="J479">
            <v>4657651.1043894002</v>
          </cell>
          <cell r="K479">
            <v>2000</v>
          </cell>
          <cell r="L479">
            <v>4.9909999999999997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  <cell r="H480" t="str">
            <v>03/12/2019</v>
          </cell>
          <cell r="I480">
            <v>6455</v>
          </cell>
          <cell r="J480">
            <v>-508012.04220000003</v>
          </cell>
          <cell r="K480">
            <v>1000</v>
          </cell>
          <cell r="L480">
            <v>6.4550000000000001</v>
          </cell>
          <cell r="M480" t="str">
            <v>Gramos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  <cell r="H481" t="str">
            <v>11/06/2020</v>
          </cell>
          <cell r="I481">
            <v>3747.06</v>
          </cell>
          <cell r="J481">
            <v>26260116.5</v>
          </cell>
          <cell r="K481">
            <v>1000</v>
          </cell>
          <cell r="L481">
            <v>3.7470599999999998</v>
          </cell>
          <cell r="M481" t="str">
            <v>Gramos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05/03/2020</v>
          </cell>
          <cell r="I482">
            <v>4700</v>
          </cell>
          <cell r="J482">
            <v>40000</v>
          </cell>
          <cell r="K482">
            <v>1000</v>
          </cell>
          <cell r="L482">
            <v>4.7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  <cell r="H483" t="str">
            <v>01/04/2020</v>
          </cell>
          <cell r="I483" t="e">
            <v>#N/A</v>
          </cell>
          <cell r="J483">
            <v>6215817.5</v>
          </cell>
          <cell r="K483">
            <v>1000</v>
          </cell>
          <cell r="L483" t="e">
            <v>#N/A</v>
          </cell>
          <cell r="M483" t="str">
            <v>Gramos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  <cell r="H484" t="str">
            <v>20/05/2020</v>
          </cell>
          <cell r="I484">
            <v>2295</v>
          </cell>
          <cell r="J484">
            <v>523007.1</v>
          </cell>
          <cell r="K484">
            <v>1000</v>
          </cell>
          <cell r="L484">
            <v>2.2949999999999999</v>
          </cell>
          <cell r="M484" t="str">
            <v>Gramos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10/06/2020</v>
          </cell>
          <cell r="I485" t="e">
            <v>#N/A</v>
          </cell>
          <cell r="J485">
            <v>120794.4</v>
          </cell>
          <cell r="K485">
            <v>250</v>
          </cell>
          <cell r="L485" t="e">
            <v>#N/A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  <cell r="H486" t="str">
            <v>02/01/2020</v>
          </cell>
          <cell r="I486" t="e">
            <v>#N/A</v>
          </cell>
          <cell r="J486">
            <v>2211732.5</v>
          </cell>
          <cell r="K486">
            <v>1000</v>
          </cell>
          <cell r="L486" t="e">
            <v>#N/A</v>
          </cell>
          <cell r="M486" t="str">
            <v>Gramos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12/06/2020</v>
          </cell>
          <cell r="I487">
            <v>1294.6500000000001</v>
          </cell>
          <cell r="J487">
            <v>7145980.2000000002</v>
          </cell>
          <cell r="K487">
            <v>250</v>
          </cell>
          <cell r="L487">
            <v>5.1786000000000003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  <cell r="H488" t="str">
            <v>04/02/2020</v>
          </cell>
          <cell r="I488" t="e">
            <v>#N/A</v>
          </cell>
          <cell r="J488">
            <v>1769289.3504000001</v>
          </cell>
          <cell r="K488">
            <v>170</v>
          </cell>
          <cell r="L488" t="e">
            <v>#N/A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13/06/2020</v>
          </cell>
          <cell r="I489">
            <v>5835</v>
          </cell>
          <cell r="J489">
            <v>5227767.1780000003</v>
          </cell>
          <cell r="K489">
            <v>1000</v>
          </cell>
          <cell r="L489">
            <v>5.835</v>
          </cell>
          <cell r="M489" t="str">
            <v>Gramos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  <cell r="H490" t="str">
            <v>15/06/2020</v>
          </cell>
          <cell r="I490" t="e">
            <v>#N/A</v>
          </cell>
          <cell r="J490">
            <v>7926295</v>
          </cell>
          <cell r="K490">
            <v>1000</v>
          </cell>
          <cell r="L490" t="e">
            <v>#N/A</v>
          </cell>
          <cell r="M490" t="str">
            <v>Gramos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19/12/2019</v>
          </cell>
          <cell r="I491">
            <v>1042</v>
          </cell>
          <cell r="J491">
            <v>585604</v>
          </cell>
          <cell r="K491">
            <v>400</v>
          </cell>
          <cell r="L491">
            <v>2.605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18/01/2020</v>
          </cell>
          <cell r="I492">
            <v>2.968</v>
          </cell>
          <cell r="J492">
            <v>26710.2</v>
          </cell>
          <cell r="K492">
            <v>250</v>
          </cell>
          <cell r="L492">
            <v>1.1872000000000001E-2</v>
          </cell>
          <cell r="M492" t="str">
            <v>Gramos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04/06/2020</v>
          </cell>
          <cell r="I493">
            <v>1450</v>
          </cell>
          <cell r="J493">
            <v>404405</v>
          </cell>
          <cell r="K493">
            <v>1000</v>
          </cell>
          <cell r="L493">
            <v>1.45</v>
          </cell>
          <cell r="M493" t="str">
            <v>Gramos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  <cell r="H494" t="str">
            <v>13/06/2020</v>
          </cell>
          <cell r="I494" t="e">
            <v>#N/A</v>
          </cell>
          <cell r="J494">
            <v>1064960</v>
          </cell>
          <cell r="K494">
            <v>600</v>
          </cell>
          <cell r="L494" t="e">
            <v>#N/A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64800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13/05/2020</v>
          </cell>
          <cell r="I496">
            <v>2400</v>
          </cell>
          <cell r="J496">
            <v>98400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201600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31200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24/03/2020</v>
          </cell>
          <cell r="I499">
            <v>2400</v>
          </cell>
          <cell r="J499">
            <v>76800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93600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25/05/2020</v>
          </cell>
          <cell r="I501">
            <v>2400</v>
          </cell>
          <cell r="J501">
            <v>24000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03/06/2020</v>
          </cell>
          <cell r="I502">
            <v>2400</v>
          </cell>
          <cell r="J502">
            <v>93600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  <cell r="H503" t="str">
            <v>13/05/2020</v>
          </cell>
          <cell r="I503">
            <v>2400</v>
          </cell>
          <cell r="J503">
            <v>40800</v>
          </cell>
          <cell r="K503">
            <v>130</v>
          </cell>
          <cell r="L503">
            <v>18.46153846153846</v>
          </cell>
          <cell r="M503" t="str">
            <v>Mililitros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  <cell r="H504" t="str">
            <v>28/05/2020</v>
          </cell>
          <cell r="I504">
            <v>5935.78</v>
          </cell>
          <cell r="J504">
            <v>38501.17</v>
          </cell>
          <cell r="K504">
            <v>1000</v>
          </cell>
          <cell r="L504">
            <v>5.9357799999999994</v>
          </cell>
          <cell r="M504" t="str">
            <v>Mililitros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  <cell r="H505" t="str">
            <v>05/03/2020</v>
          </cell>
          <cell r="I505">
            <v>28940.63</v>
          </cell>
          <cell r="J505">
            <v>92610.016000000003</v>
          </cell>
          <cell r="K505">
            <v>1000</v>
          </cell>
          <cell r="L505">
            <v>28.940630000000002</v>
          </cell>
          <cell r="M505" t="str">
            <v>Gramos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  <cell r="H506" t="str">
            <v>25/05/2020</v>
          </cell>
          <cell r="I506">
            <v>2252</v>
          </cell>
          <cell r="J506">
            <v>107974</v>
          </cell>
          <cell r="K506">
            <v>43</v>
          </cell>
          <cell r="L506">
            <v>52.372093023255815</v>
          </cell>
          <cell r="M506" t="str">
            <v>Gramos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12/06/2020</v>
          </cell>
          <cell r="I507">
            <v>1810</v>
          </cell>
          <cell r="J507">
            <v>2296890</v>
          </cell>
          <cell r="K507">
            <v>680</v>
          </cell>
          <cell r="L507">
            <v>2.6617647058823528</v>
          </cell>
          <cell r="M507" t="str">
            <v>Gramos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25/05/2020</v>
          </cell>
          <cell r="I508">
            <v>5838</v>
          </cell>
          <cell r="J508">
            <v>344442</v>
          </cell>
          <cell r="K508">
            <v>100</v>
          </cell>
          <cell r="L508">
            <v>58.38</v>
          </cell>
          <cell r="M508" t="str">
            <v>Und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01/06/2020</v>
          </cell>
          <cell r="I509">
            <v>15265</v>
          </cell>
          <cell r="J509">
            <v>580070</v>
          </cell>
          <cell r="K509">
            <v>215</v>
          </cell>
          <cell r="L509">
            <v>71</v>
          </cell>
          <cell r="M509" t="str">
            <v>Und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03/12/2019</v>
          </cell>
          <cell r="I510" t="e">
            <v>#N/A</v>
          </cell>
          <cell r="J510">
            <v>-206593.5</v>
          </cell>
          <cell r="K510">
            <v>215</v>
          </cell>
          <cell r="L510" t="e">
            <v>#N/A</v>
          </cell>
          <cell r="M510" t="str">
            <v>Und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15/06/2020</v>
          </cell>
          <cell r="I511">
            <v>700</v>
          </cell>
          <cell r="J511">
            <v>471100</v>
          </cell>
          <cell r="L511" t="e">
            <v>#DIV/0!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11/02/2020</v>
          </cell>
          <cell r="I512">
            <v>8000</v>
          </cell>
          <cell r="J512">
            <v>2436.95999999998</v>
          </cell>
          <cell r="K512">
            <v>200</v>
          </cell>
          <cell r="L512">
            <v>40</v>
          </cell>
          <cell r="M512" t="str">
            <v>Und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  <cell r="H513" t="str">
            <v>01/02/2020</v>
          </cell>
          <cell r="I513" t="e">
            <v>#N/A</v>
          </cell>
          <cell r="J513">
            <v>128450</v>
          </cell>
          <cell r="K513">
            <v>2270</v>
          </cell>
          <cell r="L513" t="e">
            <v>#N/A</v>
          </cell>
          <cell r="M513" t="str">
            <v>Gramos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04/04/2020</v>
          </cell>
          <cell r="I514" t="e">
            <v>#N/A</v>
          </cell>
          <cell r="J514">
            <v>2721180</v>
          </cell>
          <cell r="K514">
            <v>996</v>
          </cell>
          <cell r="L514" t="e">
            <v>#N/A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31/01/2020</v>
          </cell>
          <cell r="I515" t="e">
            <v>#N/A</v>
          </cell>
          <cell r="J515">
            <v>237080</v>
          </cell>
          <cell r="K515">
            <v>312</v>
          </cell>
          <cell r="L515" t="e">
            <v>#N/A</v>
          </cell>
          <cell r="M515" t="str">
            <v>Und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16/06/2020</v>
          </cell>
          <cell r="I516" t="e">
            <v>#N/A</v>
          </cell>
          <cell r="J516">
            <v>758908</v>
          </cell>
          <cell r="K516">
            <v>650</v>
          </cell>
          <cell r="L516" t="e">
            <v>#N/A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11/02/2020</v>
          </cell>
          <cell r="I517" t="e">
            <v>#N/A</v>
          </cell>
          <cell r="J517">
            <v>88000</v>
          </cell>
          <cell r="K517">
            <v>1500</v>
          </cell>
          <cell r="L517" t="e">
            <v>#N/A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  <cell r="H518" t="str">
            <v>27/03/2020</v>
          </cell>
          <cell r="I518" t="e">
            <v>#N/A</v>
          </cell>
          <cell r="J518">
            <v>360351.12</v>
          </cell>
          <cell r="L518" t="e">
            <v>#N/A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16/03/2020</v>
          </cell>
          <cell r="I519" t="e">
            <v>#N/A</v>
          </cell>
          <cell r="J519">
            <v>585590.19999999995</v>
          </cell>
          <cell r="K519">
            <v>330</v>
          </cell>
          <cell r="L519" t="e">
            <v>#N/A</v>
          </cell>
          <cell r="M519" t="str">
            <v>Gramos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  <cell r="H520" t="str">
            <v>13/06/2020</v>
          </cell>
          <cell r="I520" t="e">
            <v>#N/A</v>
          </cell>
          <cell r="J520">
            <v>85000</v>
          </cell>
          <cell r="K520">
            <v>25</v>
          </cell>
          <cell r="L520" t="e">
            <v>#N/A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08/06/2020</v>
          </cell>
          <cell r="I521">
            <v>1900</v>
          </cell>
          <cell r="J521">
            <v>248000</v>
          </cell>
          <cell r="K521">
            <v>1000</v>
          </cell>
          <cell r="L521">
            <v>1.9</v>
          </cell>
          <cell r="M521" t="str">
            <v>Gramos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15/06/2020</v>
          </cell>
          <cell r="I522">
            <v>536.5</v>
          </cell>
          <cell r="J522">
            <v>303888</v>
          </cell>
          <cell r="K522">
            <v>100</v>
          </cell>
          <cell r="L522">
            <v>5.3650000000000002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30/05/2020</v>
          </cell>
          <cell r="I523">
            <v>2307</v>
          </cell>
          <cell r="J523">
            <v>536556</v>
          </cell>
          <cell r="K523">
            <v>2000</v>
          </cell>
          <cell r="L523">
            <v>1.1535</v>
          </cell>
          <cell r="M523" t="str">
            <v>Gramos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3241</v>
          </cell>
          <cell r="J524">
            <v>6158740</v>
          </cell>
          <cell r="K524">
            <v>2000</v>
          </cell>
          <cell r="L524">
            <v>1.6205000000000001</v>
          </cell>
          <cell r="M524" t="str">
            <v>Gramos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2518</v>
          </cell>
          <cell r="J525">
            <v>139685</v>
          </cell>
          <cell r="K525">
            <v>2000</v>
          </cell>
          <cell r="L525">
            <v>1.2589999999999999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13/06/2020</v>
          </cell>
          <cell r="I526">
            <v>3641</v>
          </cell>
          <cell r="J526">
            <v>7125201</v>
          </cell>
          <cell r="K526">
            <v>2000</v>
          </cell>
          <cell r="L526">
            <v>1.8205</v>
          </cell>
          <cell r="M526" t="str">
            <v>Gramos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3450</v>
          </cell>
          <cell r="J527">
            <v>289800</v>
          </cell>
          <cell r="K527">
            <v>2000</v>
          </cell>
          <cell r="L527">
            <v>1.7250000000000001</v>
          </cell>
          <cell r="M527" t="str">
            <v>Gramos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06/06/2020</v>
          </cell>
          <cell r="I528">
            <v>4150</v>
          </cell>
          <cell r="J528">
            <v>33200</v>
          </cell>
          <cell r="K528">
            <v>2000</v>
          </cell>
          <cell r="L528">
            <v>2.0750000000000002</v>
          </cell>
          <cell r="M528" t="str">
            <v>Gramos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06/06/2020</v>
          </cell>
          <cell r="I529">
            <v>3651</v>
          </cell>
          <cell r="J529">
            <v>65890</v>
          </cell>
          <cell r="K529">
            <v>2000</v>
          </cell>
          <cell r="L529">
            <v>1.8254999999999999</v>
          </cell>
          <cell r="M529" t="str">
            <v>Gramos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15/06/2020</v>
          </cell>
          <cell r="I530">
            <v>428</v>
          </cell>
          <cell r="J530">
            <v>1940724</v>
          </cell>
          <cell r="K530">
            <v>500</v>
          </cell>
          <cell r="L530">
            <v>0.85599999999999998</v>
          </cell>
          <cell r="M530" t="str">
            <v>Gramos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15/06/2020</v>
          </cell>
          <cell r="I531">
            <v>875</v>
          </cell>
          <cell r="J531">
            <v>3815000</v>
          </cell>
          <cell r="K531">
            <v>300</v>
          </cell>
          <cell r="L531">
            <v>2.9166666666666665</v>
          </cell>
          <cell r="M531" t="str">
            <v>Gramos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28/05/2020</v>
          </cell>
          <cell r="I532">
            <v>780</v>
          </cell>
          <cell r="J532">
            <v>149760</v>
          </cell>
          <cell r="K532">
            <v>200</v>
          </cell>
          <cell r="L532">
            <v>3.9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521.20000000000005</v>
          </cell>
          <cell r="J533">
            <v>986944.5</v>
          </cell>
          <cell r="K533">
            <v>100</v>
          </cell>
          <cell r="L533">
            <v>5.2120000000000006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1046.5</v>
          </cell>
          <cell r="J534">
            <v>8700228</v>
          </cell>
          <cell r="K534">
            <v>500</v>
          </cell>
          <cell r="L534">
            <v>2.093</v>
          </cell>
          <cell r="M534" t="str">
            <v>Gramos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30/05/2020</v>
          </cell>
          <cell r="I535">
            <v>580</v>
          </cell>
          <cell r="J535">
            <v>48140</v>
          </cell>
          <cell r="K535">
            <v>200</v>
          </cell>
          <cell r="L535">
            <v>2.9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308</v>
          </cell>
          <cell r="J536">
            <v>748292</v>
          </cell>
          <cell r="K536">
            <v>32</v>
          </cell>
          <cell r="L536">
            <v>9.625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449.1</v>
          </cell>
          <cell r="J537">
            <v>1627715</v>
          </cell>
          <cell r="K537">
            <v>250</v>
          </cell>
          <cell r="L537">
            <v>1.7964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15/06/2020</v>
          </cell>
          <cell r="I538">
            <v>907.8</v>
          </cell>
          <cell r="J538">
            <v>2752850</v>
          </cell>
          <cell r="K538">
            <v>100</v>
          </cell>
          <cell r="L538">
            <v>9.0779999999999994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450</v>
          </cell>
          <cell r="J539">
            <v>8591850</v>
          </cell>
          <cell r="K539">
            <v>200</v>
          </cell>
          <cell r="L539">
            <v>2.25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750</v>
          </cell>
          <cell r="J540">
            <v>3714750</v>
          </cell>
          <cell r="K540">
            <v>150</v>
          </cell>
          <cell r="L540">
            <v>5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  <cell r="H541" t="str">
            <v>15/06/2020</v>
          </cell>
          <cell r="I541">
            <v>2200</v>
          </cell>
          <cell r="J541">
            <v>46930219.75</v>
          </cell>
          <cell r="K541">
            <v>1000</v>
          </cell>
          <cell r="L541">
            <v>2.2000000000000002</v>
          </cell>
          <cell r="M541" t="str">
            <v>Gramos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  <cell r="H542" t="str">
            <v>16/06/2020</v>
          </cell>
          <cell r="I542">
            <v>400</v>
          </cell>
          <cell r="J542">
            <v>1774000</v>
          </cell>
          <cell r="K542">
            <v>200</v>
          </cell>
          <cell r="L542">
            <v>2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15/06/2020</v>
          </cell>
          <cell r="I543">
            <v>1149</v>
          </cell>
          <cell r="J543">
            <v>360673.03</v>
          </cell>
          <cell r="K543">
            <v>1000</v>
          </cell>
          <cell r="L543">
            <v>1.149</v>
          </cell>
          <cell r="M543" t="str">
            <v>Gramos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08/06/2020</v>
          </cell>
          <cell r="I544">
            <v>11277</v>
          </cell>
          <cell r="J544">
            <v>1762256</v>
          </cell>
          <cell r="K544">
            <v>3785</v>
          </cell>
          <cell r="L544">
            <v>2.9793923381770147</v>
          </cell>
          <cell r="M544" t="str">
            <v>Gramos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  <cell r="H545" t="str">
            <v>13/06/2020</v>
          </cell>
          <cell r="I545">
            <v>700</v>
          </cell>
          <cell r="J545">
            <v>4873295.5</v>
          </cell>
          <cell r="K545">
            <v>1000</v>
          </cell>
          <cell r="L545">
            <v>0.7</v>
          </cell>
          <cell r="M545" t="str">
            <v>Gramos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23/03/2020</v>
          </cell>
          <cell r="I546">
            <v>1950</v>
          </cell>
          <cell r="J546">
            <v>222300</v>
          </cell>
          <cell r="K546">
            <v>1000</v>
          </cell>
          <cell r="L546">
            <v>1.95</v>
          </cell>
          <cell r="M546" t="str">
            <v>Gramos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  <cell r="H547" t="str">
            <v>13/03/2020</v>
          </cell>
          <cell r="I547">
            <v>76</v>
          </cell>
          <cell r="J547">
            <v>103500</v>
          </cell>
          <cell r="K547">
            <v>1</v>
          </cell>
          <cell r="L547">
            <v>76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  <cell r="H548" t="str">
            <v>07/01/2020</v>
          </cell>
          <cell r="I548" t="e">
            <v>#N/A</v>
          </cell>
          <cell r="J548">
            <v>37282</v>
          </cell>
          <cell r="K548">
            <v>0</v>
          </cell>
          <cell r="L548" t="e">
            <v>#N/A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  <cell r="H549" t="str">
            <v>20/03/2020</v>
          </cell>
          <cell r="I549">
            <v>6880</v>
          </cell>
          <cell r="J549">
            <v>363436.83</v>
          </cell>
          <cell r="K549">
            <v>120</v>
          </cell>
          <cell r="L549">
            <v>57.333333333333336</v>
          </cell>
          <cell r="M549" t="str">
            <v>Und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12/06/2020</v>
          </cell>
          <cell r="I550">
            <v>2050</v>
          </cell>
          <cell r="J550">
            <v>811800</v>
          </cell>
          <cell r="K550">
            <v>10</v>
          </cell>
          <cell r="L550">
            <v>205</v>
          </cell>
          <cell r="M550" t="str">
            <v>Und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2400</v>
          </cell>
          <cell r="J551">
            <v>2815200</v>
          </cell>
          <cell r="K551">
            <v>20</v>
          </cell>
          <cell r="L551">
            <v>120</v>
          </cell>
          <cell r="M551" t="str">
            <v>Und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950</v>
          </cell>
          <cell r="J552">
            <v>27599400</v>
          </cell>
          <cell r="K552">
            <v>5</v>
          </cell>
          <cell r="L552">
            <v>190</v>
          </cell>
          <cell r="M552" t="str">
            <v>Und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15/06/2020</v>
          </cell>
          <cell r="I553">
            <v>845</v>
          </cell>
          <cell r="J553">
            <v>1928290</v>
          </cell>
          <cell r="K553">
            <v>5</v>
          </cell>
          <cell r="L553">
            <v>169</v>
          </cell>
          <cell r="M553" t="str">
            <v>Und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24875</v>
          </cell>
          <cell r="J554">
            <v>21460050</v>
          </cell>
          <cell r="K554">
            <v>25000</v>
          </cell>
          <cell r="L554">
            <v>0.995</v>
          </cell>
          <cell r="M554" t="str">
            <v>Gramos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  <cell r="H555" t="str">
            <v>13/06/2020</v>
          </cell>
          <cell r="I555">
            <v>25100</v>
          </cell>
          <cell r="J555">
            <v>11264000</v>
          </cell>
          <cell r="K555">
            <v>20000</v>
          </cell>
          <cell r="L555">
            <v>1.2549999999999999</v>
          </cell>
          <cell r="M555" t="str">
            <v>Gramos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15/06/2020</v>
          </cell>
          <cell r="I556">
            <v>910</v>
          </cell>
          <cell r="J556">
            <v>8372000</v>
          </cell>
          <cell r="K556">
            <v>5</v>
          </cell>
          <cell r="L556">
            <v>182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  <cell r="H557" t="str">
            <v>07/01/2020</v>
          </cell>
          <cell r="I557" t="e">
            <v>#N/A</v>
          </cell>
          <cell r="J557">
            <v>130200</v>
          </cell>
          <cell r="K557">
            <v>20</v>
          </cell>
          <cell r="L557" t="e">
            <v>#N/A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  <cell r="H558" t="str">
            <v>15/06/2020</v>
          </cell>
          <cell r="I558">
            <v>2200</v>
          </cell>
          <cell r="J558">
            <v>12086800</v>
          </cell>
          <cell r="K558">
            <v>10</v>
          </cell>
          <cell r="L558">
            <v>220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12/06/2020</v>
          </cell>
          <cell r="I559">
            <v>13486</v>
          </cell>
          <cell r="J559">
            <v>18096624</v>
          </cell>
          <cell r="K559">
            <v>25000</v>
          </cell>
          <cell r="L559">
            <v>0.53944000000000003</v>
          </cell>
          <cell r="M559" t="str">
            <v>Gramos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  <cell r="H560" t="str">
            <v>02/06/2020</v>
          </cell>
          <cell r="I560">
            <v>6480</v>
          </cell>
          <cell r="J560">
            <v>401920</v>
          </cell>
          <cell r="L560" t="e">
            <v>#DIV/0!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15/02/2020</v>
          </cell>
          <cell r="I561" t="e">
            <v>#N/A</v>
          </cell>
          <cell r="J561">
            <v>232500</v>
          </cell>
          <cell r="K561">
            <v>25000</v>
          </cell>
          <cell r="L561" t="e">
            <v>#N/A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  <cell r="H562" t="str">
            <v>11/05/2020</v>
          </cell>
          <cell r="I562">
            <v>27590</v>
          </cell>
          <cell r="J562">
            <v>277946</v>
          </cell>
          <cell r="K562">
            <v>22600</v>
          </cell>
          <cell r="L562">
            <v>1.2207964601769912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  <cell r="H563" t="str">
            <v>15/06/2020</v>
          </cell>
          <cell r="I563" t="e">
            <v>#N/A</v>
          </cell>
          <cell r="J563">
            <v>3106350</v>
          </cell>
          <cell r="K563">
            <v>10</v>
          </cell>
          <cell r="L563" t="e">
            <v>#N/A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  <cell r="H564" t="str">
            <v>15/06/2020</v>
          </cell>
          <cell r="I564" t="e">
            <v>#N/A</v>
          </cell>
          <cell r="J564">
            <v>1677715</v>
          </cell>
          <cell r="K564">
            <v>2267</v>
          </cell>
          <cell r="L564" t="e">
            <v>#N/A</v>
          </cell>
          <cell r="M564" t="str">
            <v>Gramos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  <cell r="H565" t="str">
            <v>15/06/2020</v>
          </cell>
          <cell r="I565">
            <v>2310.375</v>
          </cell>
          <cell r="J565">
            <v>36673958.286337502</v>
          </cell>
          <cell r="K565">
            <v>30</v>
          </cell>
          <cell r="L565">
            <v>77.012500000000003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  <cell r="H566" t="str">
            <v>21/02/2020</v>
          </cell>
          <cell r="I566">
            <v>9250</v>
          </cell>
          <cell r="J566">
            <v>86950</v>
          </cell>
          <cell r="K566">
            <v>5000</v>
          </cell>
          <cell r="L566">
            <v>1.85</v>
          </cell>
          <cell r="M566" t="str">
            <v>Gramos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680</v>
          </cell>
          <cell r="J567">
            <v>2934200</v>
          </cell>
          <cell r="K567">
            <v>4</v>
          </cell>
          <cell r="L567">
            <v>170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05/03/2020</v>
          </cell>
          <cell r="I568" t="e">
            <v>#N/A</v>
          </cell>
          <cell r="J568">
            <v>332766</v>
          </cell>
          <cell r="K568">
            <v>8340</v>
          </cell>
          <cell r="L568" t="e">
            <v>#N/A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  <cell r="H569" t="str">
            <v>05/05/2020</v>
          </cell>
          <cell r="I569" t="e">
            <v>#N/A</v>
          </cell>
          <cell r="J569">
            <v>104229.3</v>
          </cell>
          <cell r="K569">
            <v>500</v>
          </cell>
          <cell r="L569" t="e">
            <v>#N/A</v>
          </cell>
          <cell r="M569" t="str">
            <v>Gramos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2039</v>
          </cell>
          <cell r="J570">
            <v>1331693.257</v>
          </cell>
          <cell r="K570">
            <v>160</v>
          </cell>
          <cell r="L570">
            <v>12.74375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15/06/2020</v>
          </cell>
          <cell r="I571">
            <v>9124</v>
          </cell>
          <cell r="J571">
            <v>5706832.0599999996</v>
          </cell>
          <cell r="K571">
            <v>3000</v>
          </cell>
          <cell r="L571">
            <v>3.0413333333333332</v>
          </cell>
          <cell r="M571" t="str">
            <v>Gramos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9152</v>
          </cell>
          <cell r="J572">
            <v>17136970</v>
          </cell>
          <cell r="K572">
            <v>4000</v>
          </cell>
          <cell r="L572">
            <v>2.2879999999999998</v>
          </cell>
          <cell r="M572" t="str">
            <v>Gramos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9838</v>
          </cell>
          <cell r="J573">
            <v>17275874</v>
          </cell>
          <cell r="K573">
            <v>4000</v>
          </cell>
          <cell r="L573">
            <v>2.4594999999999998</v>
          </cell>
          <cell r="M573" t="str">
            <v>Gramos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  <cell r="H574" t="str">
            <v>15/06/2020</v>
          </cell>
          <cell r="I574">
            <v>6966</v>
          </cell>
          <cell r="J574">
            <v>49828274</v>
          </cell>
          <cell r="K574">
            <v>4000</v>
          </cell>
          <cell r="L574">
            <v>1.7415</v>
          </cell>
          <cell r="M574" t="str">
            <v>Gramos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9273</v>
          </cell>
          <cell r="J575">
            <v>24276714</v>
          </cell>
          <cell r="K575">
            <v>4500</v>
          </cell>
          <cell r="L575">
            <v>1.7515666666666665</v>
          </cell>
          <cell r="M575" t="str">
            <v>Gramos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  <cell r="H576" t="str">
            <v>12/06/2020</v>
          </cell>
          <cell r="I576">
            <v>2945</v>
          </cell>
          <cell r="J576">
            <v>1514352.35</v>
          </cell>
          <cell r="K576">
            <v>200</v>
          </cell>
          <cell r="L576">
            <v>14.725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  <cell r="H577" t="str">
            <v>15/06/2020</v>
          </cell>
          <cell r="I577">
            <v>43392</v>
          </cell>
          <cell r="J577">
            <v>139062184</v>
          </cell>
          <cell r="K577">
            <v>18960</v>
          </cell>
          <cell r="L577">
            <v>2.2886075949367091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  <cell r="H578" t="str">
            <v>03/06/2020</v>
          </cell>
          <cell r="I578">
            <v>1750</v>
          </cell>
          <cell r="J578">
            <v>2600500</v>
          </cell>
          <cell r="K578">
            <v>1000</v>
          </cell>
          <cell r="L578">
            <v>1.75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6825</v>
          </cell>
          <cell r="J579">
            <v>5919593.6299999999</v>
          </cell>
          <cell r="K579">
            <v>2000</v>
          </cell>
          <cell r="L579">
            <v>3.4125000000000001</v>
          </cell>
          <cell r="M579" t="str">
            <v>Gramos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15/06/2020</v>
          </cell>
          <cell r="I580">
            <v>21499</v>
          </cell>
          <cell r="J580">
            <v>78277859</v>
          </cell>
          <cell r="K580">
            <v>11000</v>
          </cell>
          <cell r="L580">
            <v>1.6612863636363635</v>
          </cell>
          <cell r="M580" t="str">
            <v>Gramos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15/06/2020</v>
          </cell>
          <cell r="I581">
            <v>2031</v>
          </cell>
          <cell r="J581">
            <v>11352679.880000001</v>
          </cell>
          <cell r="K581">
            <v>3785</v>
          </cell>
          <cell r="L581">
            <v>0.53659180977542931</v>
          </cell>
          <cell r="M581" t="str">
            <v>Mililitros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  <cell r="H582" t="str">
            <v>28/05/2020</v>
          </cell>
          <cell r="I582">
            <v>3705</v>
          </cell>
          <cell r="J582">
            <v>274351</v>
          </cell>
          <cell r="K582">
            <v>52</v>
          </cell>
          <cell r="L582">
            <v>71.25</v>
          </cell>
          <cell r="M582" t="str">
            <v>Und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12/06/2020</v>
          </cell>
          <cell r="I583">
            <v>2271.3333333333298</v>
          </cell>
          <cell r="J583">
            <v>547614</v>
          </cell>
          <cell r="K583">
            <v>1000</v>
          </cell>
          <cell r="L583">
            <v>2.2713333333333297</v>
          </cell>
          <cell r="M583" t="str">
            <v>Gramos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  <cell r="H584" t="str">
            <v>06/03/2020</v>
          </cell>
          <cell r="I584">
            <v>5805</v>
          </cell>
          <cell r="J584">
            <v>141960</v>
          </cell>
          <cell r="K584">
            <v>3030</v>
          </cell>
          <cell r="L584">
            <v>1.9158415841584158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14/05/2020</v>
          </cell>
          <cell r="I585" t="e">
            <v>#N/A</v>
          </cell>
          <cell r="J585">
            <v>917390</v>
          </cell>
          <cell r="K585">
            <v>250</v>
          </cell>
          <cell r="L585" t="e">
            <v>#N/A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  <cell r="H586" t="str">
            <v>19/05/2020</v>
          </cell>
          <cell r="I586" t="e">
            <v>#N/A</v>
          </cell>
          <cell r="J586">
            <v>6886797</v>
          </cell>
          <cell r="K586">
            <v>25000</v>
          </cell>
          <cell r="L586" t="e">
            <v>#N/A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  <cell r="H587" t="str">
            <v>02/03/2020</v>
          </cell>
          <cell r="I587" t="e">
            <v>#N/A</v>
          </cell>
          <cell r="J587">
            <v>43041.599999999999</v>
          </cell>
          <cell r="K587">
            <v>500</v>
          </cell>
          <cell r="L587" t="e">
            <v>#N/A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13/06/2020</v>
          </cell>
          <cell r="I588">
            <v>7365</v>
          </cell>
          <cell r="J588">
            <v>3317075</v>
          </cell>
          <cell r="K588">
            <v>5000</v>
          </cell>
          <cell r="L588">
            <v>1.4730000000000001</v>
          </cell>
          <cell r="M588" t="str">
            <v>Gramos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  <cell r="H589" t="str">
            <v>30/03/2020</v>
          </cell>
          <cell r="I589">
            <v>20686.18</v>
          </cell>
          <cell r="J589">
            <v>33022.788999999997</v>
          </cell>
          <cell r="K589">
            <v>1000</v>
          </cell>
          <cell r="L589">
            <v>20.68618</v>
          </cell>
          <cell r="M589" t="str">
            <v>Gramos</v>
          </cell>
        </row>
        <row r="590">
          <cell r="A590" t="str">
            <v>11900001</v>
          </cell>
          <cell r="B590">
            <v>9601</v>
          </cell>
          <cell r="C590" t="str">
            <v>NUEZ PECANA QUEBRADURA (CAJA:10 Kg)</v>
          </cell>
          <cell r="D590" t="str">
            <v>11900001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08/06/2020</v>
          </cell>
          <cell r="I590">
            <v>104876</v>
          </cell>
          <cell r="J590">
            <v>6504425.5999999996</v>
          </cell>
          <cell r="K590">
            <v>10000</v>
          </cell>
          <cell r="L590">
            <v>10.4876</v>
          </cell>
          <cell r="M590" t="str">
            <v>Gramos</v>
          </cell>
        </row>
        <row r="591">
          <cell r="A591" t="str">
            <v>11900010</v>
          </cell>
          <cell r="B591">
            <v>11431</v>
          </cell>
          <cell r="C591" t="str">
            <v>NUEZ PECANA PICADA (CAJA:13.6KG)</v>
          </cell>
          <cell r="D591" t="str">
            <v>11900010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05/05/2020</v>
          </cell>
          <cell r="I591" t="e">
            <v>#N/A</v>
          </cell>
          <cell r="J591">
            <v>132343.50399999999</v>
          </cell>
          <cell r="K591">
            <v>13600</v>
          </cell>
          <cell r="L591" t="e">
            <v>#N/A</v>
          </cell>
          <cell r="M591" t="str">
            <v>Gramos</v>
          </cell>
        </row>
        <row r="592">
          <cell r="A592" t="str">
            <v>11900016</v>
          </cell>
          <cell r="B592">
            <v>15551</v>
          </cell>
          <cell r="C592" t="str">
            <v>AJONJOLI NEGRO (UND:454 G)</v>
          </cell>
          <cell r="D592" t="str">
            <v>11900016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>
            <v>2893</v>
          </cell>
          <cell r="J592">
            <v>64249</v>
          </cell>
          <cell r="K592">
            <v>454</v>
          </cell>
          <cell r="L592">
            <v>6.3722466960352424</v>
          </cell>
          <cell r="M592" t="str">
            <v>Gramos</v>
          </cell>
        </row>
        <row r="593">
          <cell r="A593" t="str">
            <v>12000003</v>
          </cell>
          <cell r="B593">
            <v>9618</v>
          </cell>
          <cell r="C593" t="str">
            <v>CREMA VERSATIE (UND: L)</v>
          </cell>
          <cell r="D593" t="str">
            <v>12000003</v>
          </cell>
          <cell r="E593" t="str">
            <v>MATERIAS PRIMAS PLANTA</v>
          </cell>
          <cell r="F593" t="str">
            <v>1 UND</v>
          </cell>
          <cell r="G593">
            <v>500</v>
          </cell>
          <cell r="H593" t="str">
            <v>15/06/2020</v>
          </cell>
          <cell r="I593">
            <v>1780</v>
          </cell>
          <cell r="J593">
            <v>18113920</v>
          </cell>
          <cell r="K593">
            <v>1000</v>
          </cell>
          <cell r="L593">
            <v>1.78</v>
          </cell>
          <cell r="M593" t="str">
            <v>Mililitros</v>
          </cell>
        </row>
        <row r="594">
          <cell r="A594" t="str">
            <v>12100006</v>
          </cell>
          <cell r="B594">
            <v>8134</v>
          </cell>
          <cell r="C594" t="str">
            <v>CHOCOLATE GUAYABITA (PAQ=36 UND)</v>
          </cell>
          <cell r="D594" t="str">
            <v>12100006</v>
          </cell>
          <cell r="E594" t="str">
            <v>MATERIAS PRIMAS PLANTA</v>
          </cell>
          <cell r="F594" t="str">
            <v>1 PAQ</v>
          </cell>
          <cell r="G594">
            <v>500</v>
          </cell>
          <cell r="H594" t="str">
            <v>30/03/2020</v>
          </cell>
          <cell r="I594">
            <v>1809</v>
          </cell>
          <cell r="J594">
            <v>1131570</v>
          </cell>
          <cell r="L594" t="e">
            <v>#DIV/0!</v>
          </cell>
        </row>
        <row r="595">
          <cell r="A595" t="str">
            <v>12300004</v>
          </cell>
          <cell r="B595">
            <v>12690</v>
          </cell>
          <cell r="C595" t="str">
            <v>PURE PAPA KFC 24/22.05OZ (CAJA)</v>
          </cell>
          <cell r="D595" t="str">
            <v>12300004</v>
          </cell>
          <cell r="E595" t="str">
            <v>MATERIAS PRIMAS PLANTA</v>
          </cell>
          <cell r="F595" t="str">
            <v>1 CAJA</v>
          </cell>
          <cell r="G595">
            <v>500</v>
          </cell>
          <cell r="H595" t="str">
            <v>02/06/2020</v>
          </cell>
          <cell r="I595" t="e">
            <v>#N/A</v>
          </cell>
          <cell r="J595">
            <v>287388</v>
          </cell>
          <cell r="L595" t="e">
            <v>#N/A</v>
          </cell>
        </row>
        <row r="596">
          <cell r="A596" t="str">
            <v>12300005</v>
          </cell>
          <cell r="B596">
            <v>5280</v>
          </cell>
          <cell r="C596" t="str">
            <v>SALSA AJI AMARILLO (UND:160 ML)</v>
          </cell>
          <cell r="D596" t="str">
            <v>12300005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18/05/2020</v>
          </cell>
          <cell r="I596">
            <v>1206.1300000000001</v>
          </cell>
          <cell r="J596">
            <v>108016.1</v>
          </cell>
          <cell r="K596">
            <v>160</v>
          </cell>
          <cell r="L596">
            <v>7.5383125000000009</v>
          </cell>
        </row>
        <row r="597">
          <cell r="A597" t="str">
            <v>19508791</v>
          </cell>
          <cell r="B597">
            <v>12759</v>
          </cell>
          <cell r="C597" t="str">
            <v>BANDEJA PLAST 3 DIV (CAJA:250 UND)</v>
          </cell>
          <cell r="D597" t="str">
            <v>19508791</v>
          </cell>
          <cell r="E597" t="str">
            <v>EMPAQUES PLANTA</v>
          </cell>
          <cell r="F597" t="str">
            <v>1 CAJA</v>
          </cell>
          <cell r="G597">
            <v>500</v>
          </cell>
          <cell r="H597" t="str">
            <v>03/06/2020</v>
          </cell>
          <cell r="I597" t="e">
            <v>#N/A</v>
          </cell>
          <cell r="J597">
            <v>289872</v>
          </cell>
          <cell r="K597">
            <v>250</v>
          </cell>
          <cell r="L597" t="e">
            <v>#N/A</v>
          </cell>
        </row>
        <row r="598">
          <cell r="A598" t="str">
            <v>20200036</v>
          </cell>
          <cell r="B598">
            <v>12480</v>
          </cell>
          <cell r="C598" t="str">
            <v>GALLETA PARA DECORAR MENU INFANTIL</v>
          </cell>
          <cell r="D598" t="str">
            <v>20200036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15/06/2020</v>
          </cell>
          <cell r="I598">
            <v>625</v>
          </cell>
          <cell r="J598">
            <v>4748125</v>
          </cell>
          <cell r="L598" t="e">
            <v>#DIV/0!</v>
          </cell>
        </row>
        <row r="599">
          <cell r="A599" t="str">
            <v>20300005</v>
          </cell>
          <cell r="B599">
            <v>11503</v>
          </cell>
          <cell r="C599" t="str">
            <v>CUP CAKE FONDANT  (UND)</v>
          </cell>
          <cell r="D599" t="str">
            <v>20300005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>
            <v>500</v>
          </cell>
          <cell r="J599">
            <v>860715</v>
          </cell>
          <cell r="K599">
            <v>1</v>
          </cell>
          <cell r="L599">
            <v>500</v>
          </cell>
        </row>
        <row r="600">
          <cell r="A600" t="str">
            <v>20300007</v>
          </cell>
          <cell r="B600">
            <v>12615</v>
          </cell>
          <cell r="C600" t="str">
            <v>CUCHARA CHOCOLATE BELGA (CAJA:20 UND)</v>
          </cell>
          <cell r="D600" t="str">
            <v>20300007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12/06/2020</v>
          </cell>
          <cell r="I600">
            <v>13000</v>
          </cell>
          <cell r="J600">
            <v>715000</v>
          </cell>
          <cell r="K600">
            <v>20</v>
          </cell>
          <cell r="L600">
            <v>650</v>
          </cell>
        </row>
        <row r="601">
          <cell r="A601" t="str">
            <v>20300008</v>
          </cell>
          <cell r="B601">
            <v>12481</v>
          </cell>
          <cell r="C601" t="str">
            <v>GALLETA DE FIGURA BOLSA</v>
          </cell>
          <cell r="D601" t="str">
            <v>20300008</v>
          </cell>
          <cell r="E601" t="str">
            <v>MATERIAS PRIMAS PLANTA</v>
          </cell>
          <cell r="F601" t="str">
            <v>1 UND</v>
          </cell>
          <cell r="G601">
            <v>500</v>
          </cell>
          <cell r="H601" t="str">
            <v>13/06/2020</v>
          </cell>
          <cell r="I601" t="e">
            <v>#N/A</v>
          </cell>
          <cell r="J601">
            <v>1606060.5</v>
          </cell>
          <cell r="L601" t="e">
            <v>#N/A</v>
          </cell>
        </row>
        <row r="602">
          <cell r="A602" t="str">
            <v>20400022</v>
          </cell>
          <cell r="B602">
            <v>11409</v>
          </cell>
          <cell r="C602" t="str">
            <v>CAJETA GRANDE (CAJA:6 UND)</v>
          </cell>
          <cell r="D602" t="str">
            <v>20400022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16/06/2020</v>
          </cell>
          <cell r="I602" t="e">
            <v>#N/A</v>
          </cell>
          <cell r="J602">
            <v>9483060</v>
          </cell>
          <cell r="L602" t="e">
            <v>#N/A</v>
          </cell>
        </row>
        <row r="603">
          <cell r="A603" t="str">
            <v>20400051</v>
          </cell>
          <cell r="B603">
            <v>13081</v>
          </cell>
          <cell r="C603" t="str">
            <v>CROCANTE DE NUEZ (CAJA:6 UND)</v>
          </cell>
          <cell r="D603" t="str">
            <v>20400051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15/06/2020</v>
          </cell>
          <cell r="I603">
            <v>3510</v>
          </cell>
          <cell r="J603">
            <v>7371360</v>
          </cell>
          <cell r="L603" t="e">
            <v>#DIV/0!</v>
          </cell>
        </row>
        <row r="604">
          <cell r="A604" t="str">
            <v>20400118</v>
          </cell>
          <cell r="B604">
            <v>16622</v>
          </cell>
          <cell r="C604" t="str">
            <v>EMPANIZADOR DE POLLO (PAQ:KILO) COMEDOR</v>
          </cell>
          <cell r="D604" t="str">
            <v>20400118</v>
          </cell>
          <cell r="E604" t="str">
            <v>MATERIAS PRIMAS PLANTA</v>
          </cell>
          <cell r="F604" t="str">
            <v>1 PAQUETE</v>
          </cell>
          <cell r="G604">
            <v>500</v>
          </cell>
          <cell r="H604" t="str">
            <v>05/06/2020</v>
          </cell>
          <cell r="I604">
            <v>2057</v>
          </cell>
          <cell r="J604">
            <v>5715</v>
          </cell>
          <cell r="K604">
            <v>1000</v>
          </cell>
          <cell r="L604">
            <v>2.0569999999999999</v>
          </cell>
        </row>
        <row r="605">
          <cell r="A605" t="str">
            <v>20400120</v>
          </cell>
          <cell r="B605">
            <v>16632</v>
          </cell>
          <cell r="C605" t="str">
            <v>CHOCO SNICKERS ALMENDRA (CJ:24 Paq)COMED</v>
          </cell>
          <cell r="D605" t="str">
            <v>20400120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11216</v>
          </cell>
          <cell r="J605">
            <v>22567</v>
          </cell>
          <cell r="L605" t="e">
            <v>#DIV/0!</v>
          </cell>
        </row>
        <row r="606">
          <cell r="A606" t="str">
            <v>20400121</v>
          </cell>
          <cell r="B606">
            <v>16633</v>
          </cell>
          <cell r="C606" t="str">
            <v>CHOCOLATE SNICKERS (CAJA:48 PAQ) COMEDOR</v>
          </cell>
          <cell r="D606" t="str">
            <v>20400121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11216</v>
          </cell>
          <cell r="L606" t="e">
            <v>#DIV/0!</v>
          </cell>
        </row>
        <row r="607">
          <cell r="A607" t="str">
            <v>20400122</v>
          </cell>
          <cell r="B607">
            <v>16634</v>
          </cell>
          <cell r="C607" t="str">
            <v>CHOCOLATE M&amp;M ( CAJA:36 PAQ ) COMEDOR</v>
          </cell>
          <cell r="D607" t="str">
            <v>20400122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 t="e">
            <v>#N/A</v>
          </cell>
          <cell r="J607">
            <v>15322</v>
          </cell>
          <cell r="L607" t="e">
            <v>#N/A</v>
          </cell>
        </row>
        <row r="608">
          <cell r="A608" t="str">
            <v>20400123</v>
          </cell>
          <cell r="B608">
            <v>16635</v>
          </cell>
          <cell r="C608" t="str">
            <v>CHOCOLATE M&amp;M PEANUT (CJ:48 PAQ ) COMEDO</v>
          </cell>
          <cell r="D608" t="str">
            <v>20400123</v>
          </cell>
          <cell r="E608" t="str">
            <v>MATERIAS PRIMAS PLANTA</v>
          </cell>
          <cell r="F608" t="str">
            <v>1 CAJA</v>
          </cell>
          <cell r="G608">
            <v>500</v>
          </cell>
          <cell r="H608" t="str">
            <v>05/06/2020</v>
          </cell>
          <cell r="I608">
            <v>22567</v>
          </cell>
          <cell r="J608">
            <v>22567</v>
          </cell>
          <cell r="L608" t="e">
            <v>#DIV/0!</v>
          </cell>
        </row>
        <row r="609">
          <cell r="A609" t="str">
            <v>20400124</v>
          </cell>
          <cell r="B609">
            <v>16636</v>
          </cell>
          <cell r="C609" t="str">
            <v>MAYONESA ( UNIDAD ) COMEDOR</v>
          </cell>
          <cell r="D609" t="str">
            <v>20400124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8074</v>
          </cell>
          <cell r="J609">
            <v>72666</v>
          </cell>
          <cell r="L609" t="e">
            <v>#DIV/0!</v>
          </cell>
        </row>
        <row r="610">
          <cell r="A610" t="str">
            <v>20400125</v>
          </cell>
          <cell r="B610">
            <v>16637</v>
          </cell>
          <cell r="C610" t="str">
            <v>CHILERA ( UNIDAD ) COMEDOR</v>
          </cell>
          <cell r="D610" t="str">
            <v>20400125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15/06/2020</v>
          </cell>
          <cell r="I610">
            <v>2657</v>
          </cell>
          <cell r="J610">
            <v>5172</v>
          </cell>
          <cell r="L610" t="e">
            <v>#DIV/0!</v>
          </cell>
        </row>
        <row r="611">
          <cell r="A611" t="str">
            <v>20400134</v>
          </cell>
          <cell r="B611">
            <v>16646</v>
          </cell>
          <cell r="C611" t="str">
            <v>PLATANO VERDE LIMON PRO (PAQ:24 UND)COME</v>
          </cell>
          <cell r="D611" t="str">
            <v>20400134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09/06/2020</v>
          </cell>
          <cell r="I611" t="e">
            <v>#N/A</v>
          </cell>
          <cell r="J611">
            <v>11525</v>
          </cell>
          <cell r="K611">
            <v>24</v>
          </cell>
          <cell r="L611" t="e">
            <v>#N/A</v>
          </cell>
        </row>
        <row r="612">
          <cell r="A612" t="str">
            <v>20400135</v>
          </cell>
          <cell r="B612">
            <v>16647</v>
          </cell>
          <cell r="C612" t="str">
            <v>PLATANO MADURO NAT PRO (PAQ:24 UND)COMED</v>
          </cell>
          <cell r="D612" t="str">
            <v>20400135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>
            <v>11906</v>
          </cell>
          <cell r="K612">
            <v>24</v>
          </cell>
          <cell r="L612" t="e">
            <v>#N/A</v>
          </cell>
        </row>
        <row r="613">
          <cell r="A613" t="str">
            <v>20400136</v>
          </cell>
          <cell r="B613">
            <v>16648</v>
          </cell>
          <cell r="C613" t="str">
            <v>YUCA CREMA Y CEBOLLA (PAQ:24 UND)COMEDOR</v>
          </cell>
          <cell r="D613" t="str">
            <v>20400136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05/06/2020</v>
          </cell>
          <cell r="I613" t="e">
            <v>#N/A</v>
          </cell>
          <cell r="J613">
            <v>7557</v>
          </cell>
          <cell r="K613">
            <v>24</v>
          </cell>
          <cell r="L613" t="e">
            <v>#N/A</v>
          </cell>
        </row>
        <row r="614">
          <cell r="A614" t="str">
            <v>20400137</v>
          </cell>
          <cell r="B614">
            <v>16649</v>
          </cell>
          <cell r="C614" t="str">
            <v>YUCA CON SAL (PAQ: 24 UND) COMEDOR</v>
          </cell>
          <cell r="D614" t="str">
            <v>20400137</v>
          </cell>
          <cell r="E614" t="str">
            <v>MATERIAS PRIMAS PLANTA</v>
          </cell>
          <cell r="F614" t="str">
            <v>1 PAQUETE</v>
          </cell>
          <cell r="G614">
            <v>500</v>
          </cell>
          <cell r="H614" t="str">
            <v>08/06/2020</v>
          </cell>
          <cell r="I614" t="e">
            <v>#N/A</v>
          </cell>
          <cell r="J614">
            <v>7557</v>
          </cell>
          <cell r="K614">
            <v>24</v>
          </cell>
          <cell r="L614" t="e">
            <v>#N/A</v>
          </cell>
        </row>
        <row r="615">
          <cell r="A615" t="str">
            <v>50100028</v>
          </cell>
          <cell r="B615">
            <v>15349</v>
          </cell>
          <cell r="C615" t="str">
            <v>BANDEJA ALUM 34*25 108 ONZ 394 (CJ:100)</v>
          </cell>
          <cell r="D615" t="str">
            <v>50100028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30/05/2020</v>
          </cell>
          <cell r="I615">
            <v>38609</v>
          </cell>
          <cell r="J615">
            <v>419131</v>
          </cell>
          <cell r="K615">
            <v>100</v>
          </cell>
          <cell r="L615">
            <v>386.09</v>
          </cell>
        </row>
        <row r="616">
          <cell r="A616" t="str">
            <v>50100031</v>
          </cell>
          <cell r="B616">
            <v>15825</v>
          </cell>
          <cell r="C616" t="str">
            <v>RECIPIENTE DELI DARNEL 24OZ (CAJA:225 U)</v>
          </cell>
          <cell r="D616" t="str">
            <v>50100031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05/05/2020</v>
          </cell>
          <cell r="I616">
            <v>25300</v>
          </cell>
          <cell r="J616">
            <v>48070</v>
          </cell>
          <cell r="K616">
            <v>225</v>
          </cell>
          <cell r="L616">
            <v>112.44444444444444</v>
          </cell>
        </row>
        <row r="617">
          <cell r="A617" t="str">
            <v>50100035</v>
          </cell>
          <cell r="B617">
            <v>15893</v>
          </cell>
          <cell r="C617" t="str">
            <v>TAPA CONT ALUMINIO 16 ONZ (CAJA:500 UND)</v>
          </cell>
          <cell r="D617" t="str">
            <v>50100035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>
            <v>130948</v>
          </cell>
          <cell r="K617">
            <v>500</v>
          </cell>
          <cell r="L617" t="e">
            <v>#N/A</v>
          </cell>
        </row>
        <row r="618">
          <cell r="A618" t="str">
            <v>50100036</v>
          </cell>
          <cell r="B618">
            <v>15894</v>
          </cell>
          <cell r="C618" t="str">
            <v>MOLDE ALUMINIO 16 ONZ (CAJA:500 UND)</v>
          </cell>
          <cell r="D618" t="str">
            <v>50100036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23/03/2020</v>
          </cell>
          <cell r="I618" t="e">
            <v>#N/A</v>
          </cell>
          <cell r="J618">
            <v>180215</v>
          </cell>
          <cell r="K618">
            <v>500</v>
          </cell>
          <cell r="L618" t="e">
            <v>#N/A</v>
          </cell>
        </row>
        <row r="619">
          <cell r="A619" t="str">
            <v>50100037</v>
          </cell>
          <cell r="B619">
            <v>16462</v>
          </cell>
          <cell r="C619" t="str">
            <v>MOLDE ALUMINIO RED 2058 (CAJA:500 UND)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34500</v>
          </cell>
          <cell r="J619">
            <v>345000</v>
          </cell>
          <cell r="K619">
            <v>500</v>
          </cell>
          <cell r="L619">
            <v>69</v>
          </cell>
        </row>
        <row r="620">
          <cell r="A620" t="str">
            <v>50100038</v>
          </cell>
          <cell r="B620">
            <v>16465</v>
          </cell>
          <cell r="C620" t="str">
            <v>TAPA MOLDE ALUMINIO RED 2058 (CAJA:500u)</v>
          </cell>
          <cell r="E620" t="str">
            <v>EMPAQUES PLANTA</v>
          </cell>
          <cell r="F620" t="str">
            <v>1 CAJA</v>
          </cell>
          <cell r="H620" t="str">
            <v>15/06/2020</v>
          </cell>
          <cell r="I620">
            <v>15750</v>
          </cell>
          <cell r="J620">
            <v>50970.15</v>
          </cell>
          <cell r="K620">
            <v>500</v>
          </cell>
          <cell r="L620">
            <v>31.5</v>
          </cell>
        </row>
        <row r="621">
          <cell r="A621" t="str">
            <v>50100038</v>
          </cell>
          <cell r="B621">
            <v>16464</v>
          </cell>
          <cell r="C621" t="str">
            <v>TAPA MOLDE ALUMINIO RED 2058 (CAJA:500u)</v>
          </cell>
          <cell r="D621" t="str">
            <v>50100038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15750</v>
          </cell>
          <cell r="J621">
            <v>157500</v>
          </cell>
          <cell r="K621">
            <v>500</v>
          </cell>
          <cell r="L621">
            <v>31.5</v>
          </cell>
        </row>
        <row r="622">
          <cell r="A622" t="str">
            <v>50200002</v>
          </cell>
          <cell r="B622">
            <v>16480</v>
          </cell>
          <cell r="C622" t="str">
            <v>BANDEJA ALUMINIO 18X14 (CAJA: 600 UND)</v>
          </cell>
          <cell r="D622" t="str">
            <v>50200002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13/06/2020</v>
          </cell>
          <cell r="I622">
            <v>85</v>
          </cell>
          <cell r="J622">
            <v>102000</v>
          </cell>
          <cell r="K622">
            <v>600</v>
          </cell>
          <cell r="L622">
            <v>0.14166666666666666</v>
          </cell>
        </row>
        <row r="623">
          <cell r="A623" t="str">
            <v>50200003</v>
          </cell>
          <cell r="B623">
            <v>16482</v>
          </cell>
          <cell r="C623" t="str">
            <v>TAPA ALUMINIO 18X14 (CAJA: 600 UND)</v>
          </cell>
          <cell r="D623" t="str">
            <v>50200003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13/06/2020</v>
          </cell>
          <cell r="I623">
            <v>73</v>
          </cell>
          <cell r="J623">
            <v>87600</v>
          </cell>
          <cell r="K623">
            <v>600</v>
          </cell>
          <cell r="L623">
            <v>0.12166666666666667</v>
          </cell>
        </row>
        <row r="624">
          <cell r="A624" t="str">
            <v>50400003</v>
          </cell>
          <cell r="B624">
            <v>11379</v>
          </cell>
          <cell r="C624" t="str">
            <v>CAJA MUSMANNI #2 (UND)</v>
          </cell>
          <cell r="D624" t="str">
            <v>50400003</v>
          </cell>
          <cell r="E624" t="str">
            <v>EMPAQUES PLANTA</v>
          </cell>
          <cell r="F624" t="str">
            <v>1 UND</v>
          </cell>
          <cell r="G624">
            <v>500</v>
          </cell>
          <cell r="H624" t="str">
            <v>10/06/2020</v>
          </cell>
          <cell r="I624">
            <v>205</v>
          </cell>
          <cell r="J624">
            <v>1303185</v>
          </cell>
          <cell r="K624">
            <v>1</v>
          </cell>
          <cell r="L624">
            <v>205</v>
          </cell>
          <cell r="M624" t="str">
            <v>Und</v>
          </cell>
        </row>
        <row r="625">
          <cell r="A625" t="str">
            <v>50400014</v>
          </cell>
          <cell r="B625">
            <v>15527</v>
          </cell>
          <cell r="C625" t="str">
            <v>CAJA PEQUEÑA OFFICE BREAK (CAJA:625 UND)</v>
          </cell>
          <cell r="D625" t="str">
            <v>50400014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15/06/2020</v>
          </cell>
          <cell r="I625">
            <v>43437.5</v>
          </cell>
          <cell r="J625">
            <v>7175625</v>
          </cell>
          <cell r="K625">
            <v>625</v>
          </cell>
          <cell r="L625">
            <v>69.5</v>
          </cell>
        </row>
        <row r="626">
          <cell r="A626" t="str">
            <v>50400015</v>
          </cell>
          <cell r="B626">
            <v>15528</v>
          </cell>
          <cell r="C626" t="str">
            <v>CAJA MEDIANA OFFICE BREAK (CAJA:400 UND)</v>
          </cell>
          <cell r="D626" t="str">
            <v>50400015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15/06/2020</v>
          </cell>
          <cell r="I626">
            <v>34000</v>
          </cell>
          <cell r="J626">
            <v>3349600</v>
          </cell>
          <cell r="K626">
            <v>400</v>
          </cell>
          <cell r="L626">
            <v>85</v>
          </cell>
        </row>
        <row r="627">
          <cell r="A627" t="str">
            <v>50400016</v>
          </cell>
          <cell r="B627">
            <v>15529</v>
          </cell>
          <cell r="C627" t="str">
            <v>CAJA GRANDE OFFICE BREAK (CAJA:280 UND)</v>
          </cell>
          <cell r="D627" t="str">
            <v>50400016</v>
          </cell>
          <cell r="E627" t="str">
            <v>EMPAQUES PLANTA</v>
          </cell>
          <cell r="F627" t="str">
            <v>1 CAJA</v>
          </cell>
          <cell r="G627">
            <v>500</v>
          </cell>
          <cell r="H627" t="str">
            <v>08/05/2020</v>
          </cell>
          <cell r="I627">
            <v>32760</v>
          </cell>
          <cell r="J627">
            <v>2260440</v>
          </cell>
          <cell r="K627">
            <v>280</v>
          </cell>
          <cell r="L627">
            <v>117</v>
          </cell>
        </row>
        <row r="628">
          <cell r="A628" t="str">
            <v>50400017</v>
          </cell>
          <cell r="B628">
            <v>15530</v>
          </cell>
          <cell r="C628" t="str">
            <v>CAJA PORCION OFFICE BREAK (CAJA:950 UND)</v>
          </cell>
          <cell r="D628" t="str">
            <v>50400017</v>
          </cell>
          <cell r="E628" t="str">
            <v>EMPAQUES PLANTA</v>
          </cell>
          <cell r="F628" t="str">
            <v>1 CAJA</v>
          </cell>
          <cell r="G628">
            <v>500</v>
          </cell>
          <cell r="H628" t="str">
            <v>27/05/2020</v>
          </cell>
          <cell r="I628">
            <v>56050</v>
          </cell>
          <cell r="J628">
            <v>4253340</v>
          </cell>
          <cell r="K628">
            <v>950</v>
          </cell>
          <cell r="L628">
            <v>59</v>
          </cell>
        </row>
        <row r="629">
          <cell r="A629" t="str">
            <v>50500003</v>
          </cell>
          <cell r="B629">
            <v>12118</v>
          </cell>
          <cell r="C629" t="str">
            <v>CANDELA CARITAS COLORES (UND)</v>
          </cell>
          <cell r="D629" t="str">
            <v>50500003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23/05/2020</v>
          </cell>
          <cell r="I629">
            <v>765</v>
          </cell>
          <cell r="J629">
            <v>419624.5</v>
          </cell>
          <cell r="K629">
            <v>1</v>
          </cell>
          <cell r="L629">
            <v>765</v>
          </cell>
        </row>
        <row r="630">
          <cell r="A630" t="str">
            <v>50500004</v>
          </cell>
          <cell r="B630">
            <v>12119</v>
          </cell>
          <cell r="C630" t="str">
            <v>CANDELA GLOBOS SURTIDO COLORES (UND)</v>
          </cell>
          <cell r="D630" t="str">
            <v>50500004</v>
          </cell>
          <cell r="E630" t="str">
            <v>EMPAQUES PLANTA</v>
          </cell>
          <cell r="F630" t="str">
            <v>1 UND</v>
          </cell>
          <cell r="G630">
            <v>500</v>
          </cell>
          <cell r="H630" t="str">
            <v>08/06/2020</v>
          </cell>
          <cell r="I630">
            <v>725</v>
          </cell>
          <cell r="J630">
            <v>609187.5</v>
          </cell>
          <cell r="K630">
            <v>1</v>
          </cell>
          <cell r="L630">
            <v>725</v>
          </cell>
        </row>
        <row r="631">
          <cell r="A631" t="str">
            <v>50500005</v>
          </cell>
          <cell r="B631">
            <v>12120</v>
          </cell>
          <cell r="C631" t="str">
            <v>CANDELA FELIZ ESCARCHA SURTIDA (UND)</v>
          </cell>
          <cell r="D631" t="str">
            <v>50500005</v>
          </cell>
          <cell r="E631" t="str">
            <v>EMPAQUES PLANTA</v>
          </cell>
          <cell r="F631" t="str">
            <v>1 UND</v>
          </cell>
          <cell r="G631">
            <v>500</v>
          </cell>
          <cell r="H631" t="str">
            <v>08/06/2020</v>
          </cell>
          <cell r="I631">
            <v>750</v>
          </cell>
          <cell r="J631">
            <v>467827.5</v>
          </cell>
          <cell r="L631" t="e">
            <v>#DIV/0!</v>
          </cell>
        </row>
        <row r="632">
          <cell r="A632" t="str">
            <v>50600003</v>
          </cell>
          <cell r="B632">
            <v>15524</v>
          </cell>
          <cell r="C632" t="str">
            <v>CAPSULA # 5 BLANCA (PAQ:1000 UND)</v>
          </cell>
          <cell r="D632" t="str">
            <v>50600003</v>
          </cell>
          <cell r="E632" t="str">
            <v>EMPAQUES PLANTA</v>
          </cell>
          <cell r="F632" t="str">
            <v>1 PAQUETE</v>
          </cell>
          <cell r="G632">
            <v>500</v>
          </cell>
          <cell r="H632" t="str">
            <v>27/12/2019</v>
          </cell>
          <cell r="I632">
            <v>8600</v>
          </cell>
          <cell r="J632">
            <v>1462000</v>
          </cell>
          <cell r="K632">
            <v>1000</v>
          </cell>
          <cell r="L632">
            <v>8.6</v>
          </cell>
        </row>
        <row r="633">
          <cell r="A633" t="str">
            <v>50700006</v>
          </cell>
          <cell r="B633">
            <v>11250</v>
          </cell>
          <cell r="C633" t="str">
            <v xml:space="preserve">CONTENEDOR FOAM KFC 8OZ (CAJA:1000 UND) </v>
          </cell>
          <cell r="D633" t="str">
            <v>50700006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10/06/2020</v>
          </cell>
          <cell r="I633">
            <v>26392</v>
          </cell>
          <cell r="J633">
            <v>1395911</v>
          </cell>
          <cell r="K633">
            <v>1000</v>
          </cell>
          <cell r="L633">
            <v>26.391999999999999</v>
          </cell>
          <cell r="M633" t="str">
            <v>Und</v>
          </cell>
        </row>
        <row r="634">
          <cell r="A634" t="str">
            <v>50700007</v>
          </cell>
          <cell r="B634">
            <v>12723</v>
          </cell>
          <cell r="C634" t="str">
            <v>TAPA PLAST CONT KFC 4-8-16OZ (CAJA:1000)</v>
          </cell>
          <cell r="D634" t="str">
            <v>50700007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10/06/2020</v>
          </cell>
          <cell r="I634">
            <v>15140</v>
          </cell>
          <cell r="J634">
            <v>804095</v>
          </cell>
          <cell r="K634">
            <v>1000</v>
          </cell>
          <cell r="L634">
            <v>15.14</v>
          </cell>
          <cell r="M634" t="str">
            <v>Und</v>
          </cell>
        </row>
        <row r="635">
          <cell r="A635" t="str">
            <v>50700016</v>
          </cell>
          <cell r="B635">
            <v>5810</v>
          </cell>
          <cell r="C635" t="str">
            <v>CONT.24 ONZ.TAPA PLANA (CAJA:200 UND)</v>
          </cell>
          <cell r="D635" t="str">
            <v>50700016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14/02/2020</v>
          </cell>
          <cell r="I635" t="e">
            <v>#N/A</v>
          </cell>
          <cell r="J635">
            <v>137598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50700028</v>
          </cell>
          <cell r="B636">
            <v>13581</v>
          </cell>
          <cell r="C636" t="str">
            <v>CONTENEDOR PLAS SUFLE 1 OZ (PAQ:200 UND)</v>
          </cell>
          <cell r="D636" t="str">
            <v>50700028</v>
          </cell>
          <cell r="E636" t="str">
            <v>EMPAQUES PLANTA</v>
          </cell>
          <cell r="F636" t="str">
            <v>1 PAQUETE</v>
          </cell>
          <cell r="G636">
            <v>500</v>
          </cell>
          <cell r="H636" t="str">
            <v>15/06/2020</v>
          </cell>
          <cell r="I636">
            <v>1320.32</v>
          </cell>
          <cell r="J636">
            <v>481672</v>
          </cell>
          <cell r="K636">
            <v>200</v>
          </cell>
          <cell r="L636">
            <v>6.6015999999999995</v>
          </cell>
        </row>
        <row r="637">
          <cell r="A637" t="str">
            <v>50700029</v>
          </cell>
          <cell r="B637">
            <v>14055</v>
          </cell>
          <cell r="C637" t="str">
            <v>CONTENEDOR SUFLE 2 ONZ (PAQ:200 UND)</v>
          </cell>
          <cell r="D637" t="str">
            <v>50700029</v>
          </cell>
          <cell r="E637" t="str">
            <v>EMPAQUES PLANTA</v>
          </cell>
          <cell r="F637" t="str">
            <v>1 PAQUETE</v>
          </cell>
          <cell r="G637">
            <v>500</v>
          </cell>
          <cell r="H637" t="str">
            <v>21/05/2020</v>
          </cell>
          <cell r="I637">
            <v>1615.9166666666699</v>
          </cell>
          <cell r="J637">
            <v>723651.12919999904</v>
          </cell>
          <cell r="K637">
            <v>200</v>
          </cell>
          <cell r="L637">
            <v>8.0795833333333498</v>
          </cell>
        </row>
        <row r="638">
          <cell r="A638" t="str">
            <v>50700039</v>
          </cell>
          <cell r="B638">
            <v>15135</v>
          </cell>
          <cell r="C638" t="str">
            <v>TAPA UNIVERL POLI BOTE 16PP (CJ:500 UND)</v>
          </cell>
          <cell r="D638" t="str">
            <v>50700039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12/06/2020</v>
          </cell>
          <cell r="I638">
            <v>10825.22</v>
          </cell>
          <cell r="J638">
            <v>411358.36</v>
          </cell>
          <cell r="K638">
            <v>500</v>
          </cell>
          <cell r="L638">
            <v>21.65044</v>
          </cell>
        </row>
        <row r="639">
          <cell r="A639" t="str">
            <v>50700040</v>
          </cell>
          <cell r="B639">
            <v>15136</v>
          </cell>
          <cell r="C639" t="str">
            <v>CONTENEDOR PLAST 4 OZ (CAJA: 15 PAQ)</v>
          </cell>
          <cell r="D639" t="str">
            <v>50700040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19/03/2020</v>
          </cell>
          <cell r="I639">
            <v>51805</v>
          </cell>
          <cell r="J639">
            <v>490168</v>
          </cell>
          <cell r="L639" t="e">
            <v>#DIV/0!</v>
          </cell>
        </row>
        <row r="640">
          <cell r="A640" t="str">
            <v>50700042</v>
          </cell>
          <cell r="B640">
            <v>15147</v>
          </cell>
          <cell r="C640" t="str">
            <v>CONT COSTILLA BASE DOMO OP3 (CJ:250 UND)</v>
          </cell>
          <cell r="D640" t="str">
            <v>50700042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04/06/2020</v>
          </cell>
          <cell r="I640">
            <v>23825.1</v>
          </cell>
          <cell r="J640">
            <v>1834532.7</v>
          </cell>
          <cell r="K640">
            <v>250</v>
          </cell>
          <cell r="L640">
            <v>95.300399999999996</v>
          </cell>
        </row>
        <row r="641">
          <cell r="A641" t="str">
            <v>50700043</v>
          </cell>
          <cell r="B641">
            <v>15157</v>
          </cell>
          <cell r="C641" t="str">
            <v>BISAGRA P/PASTEL ROSCA (CAJA: 180 UND)</v>
          </cell>
          <cell r="D641" t="str">
            <v>50700043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21/05/2020</v>
          </cell>
          <cell r="I641">
            <v>39375.800000000003</v>
          </cell>
          <cell r="J641">
            <v>826891.8</v>
          </cell>
          <cell r="K641">
            <v>180</v>
          </cell>
          <cell r="L641">
            <v>218.75444444444446</v>
          </cell>
        </row>
        <row r="642">
          <cell r="A642" t="str">
            <v>50700044</v>
          </cell>
          <cell r="B642">
            <v>15311</v>
          </cell>
          <cell r="C642" t="str">
            <v>CONTENEDOR POLIPROP 8 ONZ (CJ:500 UND)</v>
          </cell>
          <cell r="D642" t="str">
            <v>50700044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12/06/2020</v>
          </cell>
          <cell r="I642">
            <v>16576.87</v>
          </cell>
          <cell r="J642">
            <v>580190.44999999995</v>
          </cell>
          <cell r="K642">
            <v>500</v>
          </cell>
          <cell r="L642">
            <v>33.153739999999999</v>
          </cell>
        </row>
        <row r="643">
          <cell r="A643" t="str">
            <v>50700045</v>
          </cell>
          <cell r="B643">
            <v>15390</v>
          </cell>
          <cell r="C643" t="str">
            <v>BISAGRA 6 MANTECADA 24*16*8 (CJ:250 UND)</v>
          </cell>
          <cell r="D643" t="str">
            <v>50700045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20/02/2020</v>
          </cell>
          <cell r="I643" t="e">
            <v>#N/A</v>
          </cell>
          <cell r="J643">
            <v>287699.59999999998</v>
          </cell>
          <cell r="K643">
            <v>250</v>
          </cell>
          <cell r="L643" t="e">
            <v>#N/A</v>
          </cell>
        </row>
        <row r="644">
          <cell r="A644" t="str">
            <v>51000003</v>
          </cell>
          <cell r="B644">
            <v>9473</v>
          </cell>
          <cell r="C644" t="str">
            <v>ORLA 14.5" (UND)</v>
          </cell>
          <cell r="D644" t="str">
            <v>51000003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20/03/2020</v>
          </cell>
          <cell r="I644">
            <v>305</v>
          </cell>
          <cell r="J644">
            <v>48800</v>
          </cell>
          <cell r="K644">
            <v>1</v>
          </cell>
          <cell r="L644">
            <v>305</v>
          </cell>
          <cell r="M644" t="str">
            <v>Und</v>
          </cell>
        </row>
        <row r="645">
          <cell r="A645" t="str">
            <v>51100018</v>
          </cell>
          <cell r="B645">
            <v>14562</v>
          </cell>
          <cell r="C645" t="str">
            <v>PAPEL ENCERADO 12X12 (PAQ:1000 UND)</v>
          </cell>
          <cell r="D645" t="str">
            <v>51100018</v>
          </cell>
          <cell r="E645" t="str">
            <v>EMPAQUES PLANTA</v>
          </cell>
          <cell r="F645" t="str">
            <v>1 PAQUETE</v>
          </cell>
          <cell r="G645">
            <v>500</v>
          </cell>
          <cell r="H645" t="str">
            <v>19/05/2020</v>
          </cell>
          <cell r="I645">
            <v>14092.2</v>
          </cell>
          <cell r="J645">
            <v>1556080.58</v>
          </cell>
          <cell r="K645">
            <v>1000</v>
          </cell>
          <cell r="L645">
            <v>14.0922</v>
          </cell>
        </row>
        <row r="646">
          <cell r="A646" t="str">
            <v>51400001</v>
          </cell>
          <cell r="B646">
            <v>10089</v>
          </cell>
          <cell r="C646" t="str">
            <v>QUEQUERA RECTANGULAR 1/2 (CAJA:35 UND)</v>
          </cell>
          <cell r="D646" t="str">
            <v>51400001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05/06/2020</v>
          </cell>
          <cell r="I646">
            <v>42933</v>
          </cell>
          <cell r="J646">
            <v>4768739</v>
          </cell>
          <cell r="K646">
            <v>35</v>
          </cell>
          <cell r="L646">
            <v>1226.6571428571428</v>
          </cell>
          <cell r="M646" t="str">
            <v>Und</v>
          </cell>
        </row>
        <row r="647">
          <cell r="A647" t="str">
            <v>51400015</v>
          </cell>
          <cell r="B647">
            <v>12720</v>
          </cell>
          <cell r="C647" t="str">
            <v>QUEQUERA CHILENA (CAJA:50 UND)</v>
          </cell>
          <cell r="D647" t="str">
            <v>51400015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25542</v>
          </cell>
          <cell r="J647">
            <v>11750797</v>
          </cell>
          <cell r="K647">
            <v>50</v>
          </cell>
          <cell r="L647">
            <v>510.84</v>
          </cell>
          <cell r="M647" t="str">
            <v>Und</v>
          </cell>
        </row>
        <row r="648">
          <cell r="A648" t="str">
            <v>51400016</v>
          </cell>
          <cell r="B648">
            <v>12721</v>
          </cell>
          <cell r="C648" t="str">
            <v>DOMO QUEQUERA 8" ALTA (CAJA:100 UND)</v>
          </cell>
          <cell r="D648" t="str">
            <v>51400016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18595</v>
          </cell>
          <cell r="J648">
            <v>17157345</v>
          </cell>
          <cell r="K648">
            <v>100</v>
          </cell>
          <cell r="L648">
            <v>185.95</v>
          </cell>
          <cell r="M648" t="str">
            <v>Und</v>
          </cell>
        </row>
        <row r="649">
          <cell r="A649" t="str">
            <v>51400017</v>
          </cell>
          <cell r="B649">
            <v>12722</v>
          </cell>
          <cell r="C649" t="str">
            <v>BASE QUEQUERA 8" ALTA (CAJA:200 UND)</v>
          </cell>
          <cell r="D649" t="str">
            <v>51400017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08/06/2020</v>
          </cell>
          <cell r="I649">
            <v>22127</v>
          </cell>
          <cell r="J649">
            <v>10305846</v>
          </cell>
          <cell r="K649">
            <v>200</v>
          </cell>
          <cell r="L649">
            <v>110.63500000000001</v>
          </cell>
          <cell r="M649" t="str">
            <v>Und</v>
          </cell>
        </row>
        <row r="650">
          <cell r="A650" t="str">
            <v>51400020</v>
          </cell>
          <cell r="B650">
            <v>14983</v>
          </cell>
          <cell r="C650" t="str">
            <v>BURBUJA I-3 ALTA (CAJA:250 UND)</v>
          </cell>
          <cell r="D650" t="str">
            <v>51400020</v>
          </cell>
          <cell r="E650" t="str">
            <v>EMPAQUES PLANTA</v>
          </cell>
          <cell r="F650" t="str">
            <v>1 CAJA</v>
          </cell>
          <cell r="G650">
            <v>500</v>
          </cell>
          <cell r="H650" t="str">
            <v>12/06/2020</v>
          </cell>
          <cell r="I650">
            <v>7528.32</v>
          </cell>
          <cell r="J650">
            <v>2731062.91</v>
          </cell>
          <cell r="K650">
            <v>250</v>
          </cell>
          <cell r="L650">
            <v>30.11328</v>
          </cell>
        </row>
        <row r="651">
          <cell r="A651" t="str">
            <v>51400021</v>
          </cell>
          <cell r="B651">
            <v>15022</v>
          </cell>
          <cell r="C651" t="str">
            <v>QUEQUERA RED C/BASE ALTA 9" (CAJA:100 U)</v>
          </cell>
          <cell r="D651" t="str">
            <v>51400021</v>
          </cell>
          <cell r="E651" t="str">
            <v>EMPAQUES PLANTA</v>
          </cell>
          <cell r="F651" t="str">
            <v>1 CAJA</v>
          </cell>
          <cell r="G651">
            <v>500</v>
          </cell>
          <cell r="H651" t="str">
            <v>12/06/2020</v>
          </cell>
          <cell r="I651">
            <v>36645</v>
          </cell>
          <cell r="J651">
            <v>5598080</v>
          </cell>
          <cell r="K651">
            <v>100</v>
          </cell>
          <cell r="L651">
            <v>366.45</v>
          </cell>
          <cell r="M651" t="str">
            <v>Und</v>
          </cell>
        </row>
        <row r="652">
          <cell r="A652" t="str">
            <v>51400022</v>
          </cell>
          <cell r="B652">
            <v>15028</v>
          </cell>
          <cell r="C652" t="str">
            <v>BOWL FIBRA 24 ONZ COMPOST (PAQ:125 UND)</v>
          </cell>
          <cell r="D652" t="str">
            <v>51400022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27/05/2020</v>
          </cell>
          <cell r="I652">
            <v>23.75</v>
          </cell>
          <cell r="J652">
            <v>2392240.3612500001</v>
          </cell>
          <cell r="K652">
            <v>125</v>
          </cell>
          <cell r="L652">
            <v>0.19</v>
          </cell>
        </row>
        <row r="653">
          <cell r="A653" t="str">
            <v>51400023</v>
          </cell>
          <cell r="B653">
            <v>15029</v>
          </cell>
          <cell r="C653" t="str">
            <v>BOWL FIBRA 32 ONZ COMPOST (PAQ:125 UND)</v>
          </cell>
          <cell r="D653" t="str">
            <v>51400023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29/05/2020</v>
          </cell>
          <cell r="I653">
            <v>25.5</v>
          </cell>
          <cell r="J653">
            <v>3410514.33</v>
          </cell>
          <cell r="K653">
            <v>125</v>
          </cell>
          <cell r="L653">
            <v>0.20399999999999999</v>
          </cell>
        </row>
        <row r="654">
          <cell r="A654" t="str">
            <v>51400024</v>
          </cell>
          <cell r="B654">
            <v>15030</v>
          </cell>
          <cell r="C654" t="str">
            <v>TAPA  BOWL 16/24/32 ONZ (PAQ:125 UND)</v>
          </cell>
          <cell r="D654" t="str">
            <v>51400024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08/06/2020</v>
          </cell>
          <cell r="I654">
            <v>17.125</v>
          </cell>
          <cell r="J654">
            <v>3564964.1575000002</v>
          </cell>
          <cell r="K654">
            <v>125</v>
          </cell>
          <cell r="L654">
            <v>0.13700000000000001</v>
          </cell>
        </row>
        <row r="655">
          <cell r="A655" t="str">
            <v>51400025</v>
          </cell>
          <cell r="B655">
            <v>15031</v>
          </cell>
          <cell r="C655" t="str">
            <v>BANDEJA FIBRA 2 DIVISIONES (PAQ:50 UND)</v>
          </cell>
          <cell r="D655" t="str">
            <v>51400025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11/06/2020</v>
          </cell>
          <cell r="I655">
            <v>9.4</v>
          </cell>
          <cell r="J655">
            <v>410722.1</v>
          </cell>
          <cell r="K655">
            <v>50</v>
          </cell>
          <cell r="L655">
            <v>0.188</v>
          </cell>
        </row>
        <row r="656">
          <cell r="A656" t="str">
            <v>51400026</v>
          </cell>
          <cell r="B656">
            <v>15032</v>
          </cell>
          <cell r="C656" t="str">
            <v>BANDEJA FIBRA 3 DIVISIONES (PAQ:50 UND)</v>
          </cell>
          <cell r="D656" t="str">
            <v>51400026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11/06/2020</v>
          </cell>
          <cell r="I656">
            <v>11.15</v>
          </cell>
          <cell r="J656">
            <v>3316155.06</v>
          </cell>
          <cell r="K656">
            <v>50</v>
          </cell>
          <cell r="L656">
            <v>0.223</v>
          </cell>
        </row>
        <row r="657">
          <cell r="A657" t="str">
            <v>51400027</v>
          </cell>
          <cell r="B657">
            <v>15033</v>
          </cell>
          <cell r="C657" t="str">
            <v>TAPA BOWL SOPA 8 ONZ (PAQ:50 UND)</v>
          </cell>
          <cell r="D657" t="str">
            <v>51400027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09/06/2020</v>
          </cell>
          <cell r="I657">
            <v>4.8499999999999996</v>
          </cell>
          <cell r="J657">
            <v>1387204.9750000001</v>
          </cell>
          <cell r="K657">
            <v>50</v>
          </cell>
          <cell r="L657">
            <v>9.6999999999999989E-2</v>
          </cell>
        </row>
        <row r="658">
          <cell r="A658" t="str">
            <v>51400028</v>
          </cell>
          <cell r="B658">
            <v>15034</v>
          </cell>
          <cell r="C658" t="str">
            <v>BOWL FIBRA SOPA 16 ONZ (PAQ:50 UND)</v>
          </cell>
          <cell r="D658" t="str">
            <v>51400028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27/03/2020</v>
          </cell>
          <cell r="I658">
            <v>7.65</v>
          </cell>
          <cell r="J658">
            <v>716800.41</v>
          </cell>
          <cell r="K658">
            <v>50</v>
          </cell>
          <cell r="L658">
            <v>0.153</v>
          </cell>
        </row>
        <row r="659">
          <cell r="A659" t="str">
            <v>51400029</v>
          </cell>
          <cell r="B659">
            <v>15035</v>
          </cell>
          <cell r="C659" t="str">
            <v>BOWL FIBRA 16 ONZ COMPOST (PAQ:125 UND)</v>
          </cell>
          <cell r="D659" t="str">
            <v>51400029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03/06/2020</v>
          </cell>
          <cell r="I659">
            <v>16.5</v>
          </cell>
          <cell r="J659">
            <v>457503.11</v>
          </cell>
          <cell r="K659">
            <v>125</v>
          </cell>
          <cell r="L659">
            <v>0.13200000000000001</v>
          </cell>
        </row>
        <row r="660">
          <cell r="A660" t="str">
            <v>51400030</v>
          </cell>
          <cell r="B660">
            <v>15036</v>
          </cell>
          <cell r="C660" t="str">
            <v>TAPA FIBRA BANDEJA 2 DIV (PAQ:50 UND)</v>
          </cell>
          <cell r="D660" t="str">
            <v>51400030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11/06/2020</v>
          </cell>
          <cell r="I660">
            <v>7.85</v>
          </cell>
          <cell r="J660">
            <v>310445.8</v>
          </cell>
          <cell r="K660">
            <v>50</v>
          </cell>
          <cell r="L660">
            <v>0.157</v>
          </cell>
        </row>
        <row r="661">
          <cell r="A661" t="str">
            <v>51400031</v>
          </cell>
          <cell r="B661">
            <v>15037</v>
          </cell>
          <cell r="C661" t="str">
            <v>TAPA FIBRA BANDEJA 3 DIV  (PAQ:50 UND)</v>
          </cell>
          <cell r="D661" t="str">
            <v>51400031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13/06/2020</v>
          </cell>
          <cell r="I661">
            <v>9.75</v>
          </cell>
          <cell r="J661">
            <v>2781826.4</v>
          </cell>
          <cell r="K661">
            <v>50</v>
          </cell>
          <cell r="L661">
            <v>0.19500000000000001</v>
          </cell>
        </row>
        <row r="662">
          <cell r="A662" t="str">
            <v>51400032</v>
          </cell>
          <cell r="B662">
            <v>15038</v>
          </cell>
          <cell r="C662" t="str">
            <v>BOWL FIBRA SOPA 12 ONZ (PAQ:50 UND)</v>
          </cell>
          <cell r="D662" t="str">
            <v>51400032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6.85</v>
          </cell>
          <cell r="J662">
            <v>387817.10200000001</v>
          </cell>
          <cell r="K662">
            <v>50</v>
          </cell>
          <cell r="L662">
            <v>0.13699999999999998</v>
          </cell>
        </row>
        <row r="663">
          <cell r="A663" t="str">
            <v>51400033</v>
          </cell>
          <cell r="B663">
            <v>15039</v>
          </cell>
          <cell r="C663" t="str">
            <v>TAPA BOWL SOPA 12/16/32 ONZ (PAQ:50 UND)</v>
          </cell>
          <cell r="D663" t="str">
            <v>51400033</v>
          </cell>
          <cell r="E663" t="str">
            <v>EMPAQUES PLANTA</v>
          </cell>
          <cell r="F663" t="str">
            <v>1 PAQUETE</v>
          </cell>
          <cell r="G663">
            <v>500</v>
          </cell>
          <cell r="H663" t="str">
            <v>09/06/2020</v>
          </cell>
          <cell r="I663">
            <v>94.147000000000006</v>
          </cell>
          <cell r="J663">
            <v>791423.76</v>
          </cell>
          <cell r="K663">
            <v>50</v>
          </cell>
          <cell r="L663">
            <v>1.8829400000000001</v>
          </cell>
        </row>
        <row r="664">
          <cell r="A664" t="str">
            <v>51400034</v>
          </cell>
          <cell r="B664">
            <v>15040</v>
          </cell>
          <cell r="C664" t="str">
            <v>BOWL FIBRA SOPA 8 ONZ (PAQ:50 UND)</v>
          </cell>
          <cell r="D664" t="str">
            <v>51400034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08/06/2020</v>
          </cell>
          <cell r="I664">
            <v>5.35</v>
          </cell>
          <cell r="J664">
            <v>1337529.96</v>
          </cell>
          <cell r="K664">
            <v>50</v>
          </cell>
          <cell r="L664">
            <v>0.107</v>
          </cell>
        </row>
        <row r="665">
          <cell r="A665" t="str">
            <v>51400035</v>
          </cell>
          <cell r="B665">
            <v>15369</v>
          </cell>
          <cell r="C665" t="str">
            <v>QUEQUERA PLAST RED 12" ALTA (CJ:50 UND)</v>
          </cell>
          <cell r="D665" t="str">
            <v>51400035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08/06/2020</v>
          </cell>
          <cell r="I665">
            <v>52578</v>
          </cell>
          <cell r="J665">
            <v>4879679</v>
          </cell>
          <cell r="K665">
            <v>50</v>
          </cell>
          <cell r="L665">
            <v>1051.56</v>
          </cell>
        </row>
        <row r="666">
          <cell r="A666" t="str">
            <v>51400036</v>
          </cell>
          <cell r="B666">
            <v>15383</v>
          </cell>
          <cell r="C666" t="str">
            <v>QUEQUERA PLAST RECT 48*13*11 (CJ:25 UND)</v>
          </cell>
          <cell r="D666" t="str">
            <v>51400036</v>
          </cell>
          <cell r="E666" t="str">
            <v>EMPAQUES PLANTA</v>
          </cell>
          <cell r="F666" t="str">
            <v>1 CAJA</v>
          </cell>
          <cell r="G666">
            <v>500</v>
          </cell>
          <cell r="H666" t="str">
            <v>21/03/2020</v>
          </cell>
          <cell r="I666">
            <v>34082</v>
          </cell>
          <cell r="J666">
            <v>537868</v>
          </cell>
          <cell r="K666">
            <v>25</v>
          </cell>
          <cell r="L666">
            <v>1363.28</v>
          </cell>
        </row>
        <row r="667">
          <cell r="A667" t="str">
            <v>51500012</v>
          </cell>
          <cell r="B667">
            <v>12129</v>
          </cell>
          <cell r="C667" t="str">
            <v>VASO BIODEGRADABLE 12 ONZ (PAQ:25 UND)</v>
          </cell>
          <cell r="D667" t="str">
            <v>51500012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10/06/2020</v>
          </cell>
          <cell r="I667">
            <v>1510.35</v>
          </cell>
          <cell r="J667">
            <v>1438464</v>
          </cell>
          <cell r="K667">
            <v>25</v>
          </cell>
          <cell r="L667">
            <v>60.413999999999994</v>
          </cell>
        </row>
        <row r="668">
          <cell r="A668" t="str">
            <v>51500013</v>
          </cell>
          <cell r="B668">
            <v>12130</v>
          </cell>
          <cell r="C668" t="str">
            <v>TAPA VASO BIODEGR 12,16 onz (PAQ:50 UND)</v>
          </cell>
          <cell r="D668" t="str">
            <v>51500013</v>
          </cell>
          <cell r="E668" t="str">
            <v>EMPAQUES PLANTA</v>
          </cell>
          <cell r="F668" t="str">
            <v>1 PAQ</v>
          </cell>
          <cell r="G668">
            <v>500</v>
          </cell>
          <cell r="H668" t="str">
            <v>21/05/2020</v>
          </cell>
          <cell r="I668">
            <v>924</v>
          </cell>
          <cell r="J668">
            <v>377774</v>
          </cell>
          <cell r="K668">
            <v>50</v>
          </cell>
          <cell r="L668">
            <v>18.48</v>
          </cell>
        </row>
        <row r="669">
          <cell r="A669" t="str">
            <v>51500014</v>
          </cell>
          <cell r="B669">
            <v>12131</v>
          </cell>
          <cell r="C669" t="str">
            <v>VASO BIODEGRADABLE 8 onz (PAQ:25 UND)</v>
          </cell>
          <cell r="D669" t="str">
            <v>51500014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15/06/2020</v>
          </cell>
          <cell r="I669">
            <v>1703.25</v>
          </cell>
          <cell r="J669">
            <v>2114002</v>
          </cell>
          <cell r="K669">
            <v>25</v>
          </cell>
          <cell r="L669">
            <v>68.13</v>
          </cell>
        </row>
        <row r="670">
          <cell r="A670" t="str">
            <v>51500015</v>
          </cell>
          <cell r="B670">
            <v>12132</v>
          </cell>
          <cell r="C670" t="str">
            <v>TAPA VASO BIO 8 ONZ (PAQ:50 UND)</v>
          </cell>
          <cell r="D670" t="str">
            <v>51500015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04/06/2020</v>
          </cell>
          <cell r="I670">
            <v>990.1</v>
          </cell>
          <cell r="J670">
            <v>478177</v>
          </cell>
          <cell r="K670">
            <v>50</v>
          </cell>
          <cell r="L670">
            <v>19.802</v>
          </cell>
        </row>
        <row r="671">
          <cell r="A671" t="str">
            <v>51500032</v>
          </cell>
          <cell r="B671">
            <v>14054</v>
          </cell>
          <cell r="C671" t="str">
            <v>TAPA SUFLE 1,5-2-2,5 (PAQ:100 UND)</v>
          </cell>
          <cell r="D671" t="str">
            <v>51500032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30/04/2020</v>
          </cell>
          <cell r="I671">
            <v>824.04166666666697</v>
          </cell>
          <cell r="J671">
            <v>1415119.5730000001</v>
          </cell>
          <cell r="K671">
            <v>100</v>
          </cell>
          <cell r="L671">
            <v>8.2404166666666701</v>
          </cell>
        </row>
        <row r="672">
          <cell r="A672" t="str">
            <v>51500033</v>
          </cell>
          <cell r="B672">
            <v>15232</v>
          </cell>
          <cell r="C672" t="str">
            <v>VASO PLASTICO FABRIK 9 ONZ (CAJA:20 PAQ)</v>
          </cell>
          <cell r="D672" t="str">
            <v>51500033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07/05/2020</v>
          </cell>
          <cell r="I672" t="e">
            <v>#N/A</v>
          </cell>
          <cell r="J672">
            <v>233143</v>
          </cell>
          <cell r="L672" t="e">
            <v>#N/A</v>
          </cell>
        </row>
        <row r="673">
          <cell r="A673" t="str">
            <v>51500034</v>
          </cell>
          <cell r="B673">
            <v>15233</v>
          </cell>
          <cell r="C673" t="str">
            <v>TAPA PLAST DOMO SUND POLAR 9 (CJ:10 PAQ)</v>
          </cell>
          <cell r="D673" t="str">
            <v>51500034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04/05/2020</v>
          </cell>
          <cell r="I673" t="e">
            <v>#N/A</v>
          </cell>
          <cell r="J673">
            <v>75615</v>
          </cell>
          <cell r="L673" t="e">
            <v>#N/A</v>
          </cell>
        </row>
        <row r="674">
          <cell r="A674" t="str">
            <v>51500035</v>
          </cell>
          <cell r="B674">
            <v>15350</v>
          </cell>
          <cell r="C674" t="str">
            <v>TAPA DOMO PLAST BAND ALUM 394 (CJ:100)</v>
          </cell>
          <cell r="D674" t="str">
            <v>51500035</v>
          </cell>
          <cell r="E674" t="str">
            <v>EMPAQUES PLANTA</v>
          </cell>
          <cell r="F674" t="str">
            <v>1 CAJA</v>
          </cell>
          <cell r="G674">
            <v>500</v>
          </cell>
          <cell r="H674" t="str">
            <v>27/04/2020</v>
          </cell>
          <cell r="I674">
            <v>25840</v>
          </cell>
          <cell r="J674">
            <v>304844</v>
          </cell>
          <cell r="K674">
            <v>100</v>
          </cell>
          <cell r="L674">
            <v>258.39999999999998</v>
          </cell>
        </row>
        <row r="675">
          <cell r="A675" t="str">
            <v>51500036</v>
          </cell>
          <cell r="B675">
            <v>15853</v>
          </cell>
          <cell r="C675" t="str">
            <v xml:space="preserve">TAPA PLAN S/HOYO 9/12/20 (CJ:10 PAQ ) </v>
          </cell>
          <cell r="D675" t="str">
            <v>51500036</v>
          </cell>
          <cell r="E675" t="str">
            <v>EMPAQUES PLANTA</v>
          </cell>
          <cell r="F675" t="str">
            <v>1 CAJA</v>
          </cell>
          <cell r="G675">
            <v>500</v>
          </cell>
          <cell r="H675" t="str">
            <v>30/04/2020</v>
          </cell>
          <cell r="I675" t="e">
            <v>#N/A</v>
          </cell>
          <cell r="J675">
            <v>174684</v>
          </cell>
          <cell r="L675" t="e">
            <v>#N/A</v>
          </cell>
        </row>
        <row r="676">
          <cell r="A676" t="str">
            <v>51600004</v>
          </cell>
          <cell r="B676">
            <v>9469</v>
          </cell>
          <cell r="C676" t="str">
            <v>LAZOS ROJOS (UND)</v>
          </cell>
          <cell r="D676" t="str">
            <v>51600004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03/06/2020</v>
          </cell>
          <cell r="I676">
            <v>20</v>
          </cell>
          <cell r="J676">
            <v>342800</v>
          </cell>
          <cell r="K676">
            <v>1</v>
          </cell>
          <cell r="L676">
            <v>20</v>
          </cell>
        </row>
        <row r="677">
          <cell r="A677" t="str">
            <v>51600006</v>
          </cell>
          <cell r="B677">
            <v>11828</v>
          </cell>
          <cell r="C677" t="str">
            <v>ROLLO CINTA RASO 45 MTS COLOR ORO (UND)</v>
          </cell>
          <cell r="D677" t="str">
            <v>51600006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06/01/2020</v>
          </cell>
          <cell r="I677" t="e">
            <v>#N/A</v>
          </cell>
          <cell r="J677">
            <v>11900</v>
          </cell>
          <cell r="L677" t="e">
            <v>#N/A</v>
          </cell>
        </row>
        <row r="678">
          <cell r="A678" t="str">
            <v>51600014</v>
          </cell>
          <cell r="B678">
            <v>9667</v>
          </cell>
          <cell r="C678" t="str">
            <v>ROLLO DE CINTA DE RASO DE 45MTS COLOR FU</v>
          </cell>
          <cell r="D678" t="str">
            <v>51600014</v>
          </cell>
          <cell r="E678" t="str">
            <v>EMPAQUES PLANTA</v>
          </cell>
          <cell r="F678" t="str">
            <v>1 ROLLO</v>
          </cell>
          <cell r="G678">
            <v>500</v>
          </cell>
          <cell r="H678" t="str">
            <v>23/03/2020</v>
          </cell>
          <cell r="I678" t="e">
            <v>#N/A</v>
          </cell>
          <cell r="J678">
            <v>17850</v>
          </cell>
          <cell r="K678">
            <v>45000</v>
          </cell>
          <cell r="L678" t="e">
            <v>#N/A</v>
          </cell>
        </row>
        <row r="679">
          <cell r="A679" t="str">
            <v>51600015</v>
          </cell>
          <cell r="B679">
            <v>13573</v>
          </cell>
          <cell r="C679" t="str">
            <v>CINTA TRANS 1X40 (DELGADA)</v>
          </cell>
          <cell r="D679" t="str">
            <v>51600015</v>
          </cell>
          <cell r="E679" t="str">
            <v>EMPAQUES PLANTA</v>
          </cell>
          <cell r="F679" t="str">
            <v>1 UND</v>
          </cell>
          <cell r="G679">
            <v>500</v>
          </cell>
          <cell r="H679" t="str">
            <v>07/02/2020</v>
          </cell>
          <cell r="I679" t="e">
            <v>#N/A</v>
          </cell>
          <cell r="J679">
            <v>54720</v>
          </cell>
          <cell r="L679" t="e">
            <v>#N/A</v>
          </cell>
        </row>
        <row r="680">
          <cell r="A680" t="str">
            <v>51600022</v>
          </cell>
          <cell r="B680">
            <v>15567</v>
          </cell>
          <cell r="C680" t="str">
            <v>ROLLO SELLO SEGURIDAD ROJO (ROLLO)</v>
          </cell>
          <cell r="D680" t="str">
            <v>51600022</v>
          </cell>
          <cell r="E680" t="str">
            <v>ETIQUETAS PLANTA</v>
          </cell>
          <cell r="F680" t="str">
            <v>1 ROLLO</v>
          </cell>
          <cell r="G680">
            <v>500</v>
          </cell>
          <cell r="H680" t="str">
            <v>12/06/2020</v>
          </cell>
          <cell r="I680">
            <v>12500</v>
          </cell>
          <cell r="J680">
            <v>883200</v>
          </cell>
          <cell r="L680" t="e">
            <v>#DIV/0!</v>
          </cell>
        </row>
        <row r="681">
          <cell r="A681" t="str">
            <v>51600026</v>
          </cell>
          <cell r="B681">
            <v>16289</v>
          </cell>
          <cell r="C681" t="str">
            <v>BANDEJA FIBRA 10X7.5X1.5 (PAQ:50 UND)</v>
          </cell>
          <cell r="D681" t="str">
            <v>51600026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01/06/2020</v>
          </cell>
          <cell r="I681">
            <v>10.75</v>
          </cell>
          <cell r="J681">
            <v>570299.19999999995</v>
          </cell>
          <cell r="K681">
            <v>50</v>
          </cell>
          <cell r="L681">
            <v>0.215</v>
          </cell>
        </row>
        <row r="682">
          <cell r="A682" t="str">
            <v>51600027</v>
          </cell>
          <cell r="B682">
            <v>16292</v>
          </cell>
          <cell r="C682" t="str">
            <v>TAPA TRANSPARENT 10X7.5X1.5 (PAQ:50 UND)</v>
          </cell>
          <cell r="D682" t="str">
            <v>51600027</v>
          </cell>
          <cell r="E682" t="str">
            <v>EMPAQUES PLANTA</v>
          </cell>
          <cell r="F682" t="str">
            <v>1 PAQUETE</v>
          </cell>
          <cell r="G682">
            <v>500</v>
          </cell>
          <cell r="H682" t="str">
            <v>17/03/2020</v>
          </cell>
          <cell r="I682">
            <v>16.149999999999999</v>
          </cell>
          <cell r="J682">
            <v>660677.12</v>
          </cell>
          <cell r="K682">
            <v>50</v>
          </cell>
          <cell r="L682">
            <v>0.32299999999999995</v>
          </cell>
        </row>
        <row r="683">
          <cell r="A683" t="str">
            <v>60100001</v>
          </cell>
          <cell r="B683">
            <v>10459</v>
          </cell>
          <cell r="C683" t="str">
            <v>ETIQUETA LOGO MUSMANNI (UND)</v>
          </cell>
          <cell r="D683" t="str">
            <v>60100001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21/05/2020</v>
          </cell>
          <cell r="I683">
            <v>5</v>
          </cell>
          <cell r="J683">
            <v>117500</v>
          </cell>
          <cell r="K683">
            <v>1</v>
          </cell>
          <cell r="L683">
            <v>5</v>
          </cell>
        </row>
        <row r="684">
          <cell r="A684" t="str">
            <v>60100007</v>
          </cell>
          <cell r="B684">
            <v>10898</v>
          </cell>
          <cell r="C684" t="str">
            <v>ETiQUETA BLANCA  R-17 (UND)</v>
          </cell>
          <cell r="D684" t="str">
            <v>60100007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02/01/2020</v>
          </cell>
          <cell r="I684">
            <v>3.2</v>
          </cell>
          <cell r="J684">
            <v>224000</v>
          </cell>
          <cell r="K684">
            <v>1</v>
          </cell>
          <cell r="L684">
            <v>3.2</v>
          </cell>
        </row>
        <row r="685">
          <cell r="A685" t="str">
            <v>60100010</v>
          </cell>
          <cell r="B685">
            <v>11570</v>
          </cell>
          <cell r="C685" t="str">
            <v>ETIQUETA ROJA LETRA ALERJENO (UND)</v>
          </cell>
          <cell r="D685" t="str">
            <v>60100010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02/06/2020</v>
          </cell>
          <cell r="I685">
            <v>3.6</v>
          </cell>
          <cell r="J685">
            <v>635328</v>
          </cell>
          <cell r="K685">
            <v>1</v>
          </cell>
          <cell r="L685">
            <v>3.6</v>
          </cell>
          <cell r="M685" t="str">
            <v>Und</v>
          </cell>
        </row>
        <row r="686">
          <cell r="A686" t="str">
            <v>60100011</v>
          </cell>
          <cell r="B686">
            <v>11571</v>
          </cell>
          <cell r="C686" t="str">
            <v>ETIQ TORTA GENERICA BUCCA GRANDE (UND)</v>
          </cell>
          <cell r="D686" t="str">
            <v>60100011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15/05/2020</v>
          </cell>
          <cell r="I686">
            <v>43.5</v>
          </cell>
          <cell r="J686">
            <v>1241820</v>
          </cell>
          <cell r="K686">
            <v>1</v>
          </cell>
          <cell r="L686">
            <v>43.5</v>
          </cell>
          <cell r="M686" t="str">
            <v>Und</v>
          </cell>
        </row>
        <row r="687">
          <cell r="A687" t="str">
            <v>60100013</v>
          </cell>
          <cell r="B687">
            <v>12920</v>
          </cell>
          <cell r="C687" t="str">
            <v>ETIQ CIRCULO BUCCA DULCE (UND)</v>
          </cell>
          <cell r="D687" t="str">
            <v>60100013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17/01/2020</v>
          </cell>
          <cell r="I687">
            <v>3.5</v>
          </cell>
          <cell r="J687">
            <v>17500</v>
          </cell>
          <cell r="K687">
            <v>1</v>
          </cell>
          <cell r="L687">
            <v>3.5</v>
          </cell>
          <cell r="M687" t="str">
            <v>Und</v>
          </cell>
        </row>
        <row r="688">
          <cell r="A688" t="str">
            <v>60100014</v>
          </cell>
          <cell r="B688">
            <v>9489</v>
          </cell>
          <cell r="C688" t="str">
            <v>ETIQUETA LOGO SPOON DORADO (ROLLO:1000)</v>
          </cell>
          <cell r="D688" t="str">
            <v>60100014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04/02/2020</v>
          </cell>
          <cell r="I688">
            <v>6000</v>
          </cell>
          <cell r="J688">
            <v>300000</v>
          </cell>
          <cell r="K688">
            <v>1000</v>
          </cell>
          <cell r="L688">
            <v>6</v>
          </cell>
        </row>
        <row r="689">
          <cell r="A689" t="str">
            <v>60100023</v>
          </cell>
          <cell r="B689">
            <v>9210</v>
          </cell>
          <cell r="C689" t="str">
            <v>ETIQ APP SPOONERS CARD CUADRADA (UND)</v>
          </cell>
          <cell r="D689" t="str">
            <v>60100023</v>
          </cell>
          <cell r="E689" t="str">
            <v>ETIQUETAS PLANTA</v>
          </cell>
          <cell r="F689" t="str">
            <v>1 UND</v>
          </cell>
          <cell r="G689">
            <v>500</v>
          </cell>
          <cell r="H689" t="str">
            <v>02/06/2020</v>
          </cell>
          <cell r="I689">
            <v>5.6</v>
          </cell>
          <cell r="J689">
            <v>738440</v>
          </cell>
          <cell r="K689">
            <v>1</v>
          </cell>
          <cell r="L689">
            <v>5.6</v>
          </cell>
        </row>
        <row r="690">
          <cell r="A690" t="str">
            <v>60100024</v>
          </cell>
          <cell r="B690">
            <v>9211</v>
          </cell>
          <cell r="C690" t="str">
            <v>ETIQ CIRCULO APP SPOONERS CARD (UND)</v>
          </cell>
          <cell r="D690" t="str">
            <v>60100024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02/06/2020</v>
          </cell>
          <cell r="I690">
            <v>4</v>
          </cell>
          <cell r="J690">
            <v>422040</v>
          </cell>
          <cell r="K690">
            <v>1</v>
          </cell>
          <cell r="L690">
            <v>4</v>
          </cell>
          <cell r="M690" t="str">
            <v>Und</v>
          </cell>
        </row>
        <row r="691">
          <cell r="A691" t="str">
            <v>60100026</v>
          </cell>
          <cell r="B691">
            <v>11509</v>
          </cell>
          <cell r="C691" t="str">
            <v>LOGO OVALADO SPOON GRANDE (ROLLO:1000 U)</v>
          </cell>
          <cell r="D691" t="str">
            <v>60100026</v>
          </cell>
          <cell r="E691" t="str">
            <v>ETIQUETAS PLANTA</v>
          </cell>
          <cell r="F691" t="str">
            <v>1 ROLLO</v>
          </cell>
          <cell r="G691">
            <v>500</v>
          </cell>
          <cell r="H691" t="str">
            <v>12/06/2020</v>
          </cell>
          <cell r="I691">
            <v>3961</v>
          </cell>
          <cell r="J691">
            <v>231784.2</v>
          </cell>
          <cell r="K691">
            <v>1000</v>
          </cell>
          <cell r="L691">
            <v>3.9609999999999999</v>
          </cell>
          <cell r="M691" t="str">
            <v>Und</v>
          </cell>
        </row>
        <row r="692">
          <cell r="A692" t="str">
            <v>60100027</v>
          </cell>
          <cell r="B692">
            <v>11511</v>
          </cell>
          <cell r="C692" t="str">
            <v>LOGO OVALADO SPOON PEQ  (ROLLO:1000 U)</v>
          </cell>
          <cell r="D692" t="str">
            <v>60100027</v>
          </cell>
          <cell r="E692" t="str">
            <v>ETIQUETAS PLANTA</v>
          </cell>
          <cell r="F692" t="str">
            <v>1 ROLLO</v>
          </cell>
          <cell r="G692">
            <v>500</v>
          </cell>
          <cell r="H692" t="str">
            <v>15/06/2020</v>
          </cell>
          <cell r="I692">
            <v>992</v>
          </cell>
          <cell r="J692">
            <v>11544</v>
          </cell>
          <cell r="K692">
            <v>1000</v>
          </cell>
          <cell r="L692">
            <v>0.99199999999999999</v>
          </cell>
          <cell r="M692" t="str">
            <v>Und</v>
          </cell>
        </row>
        <row r="693">
          <cell r="A693" t="str">
            <v>60100044</v>
          </cell>
          <cell r="B693">
            <v>15128</v>
          </cell>
          <cell r="C693" t="str">
            <v>ETIQUETA RP CIRCULO (UND)</v>
          </cell>
          <cell r="D693" t="str">
            <v>60100044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06/02/2020</v>
          </cell>
          <cell r="I693">
            <v>4.0179999999999998</v>
          </cell>
          <cell r="J693">
            <v>1615236</v>
          </cell>
          <cell r="K693">
            <v>1</v>
          </cell>
          <cell r="L693">
            <v>4.0179999999999998</v>
          </cell>
        </row>
        <row r="694">
          <cell r="A694" t="str">
            <v>60100046</v>
          </cell>
          <cell r="B694">
            <v>15481</v>
          </cell>
          <cell r="C694" t="str">
            <v>ETIQUETA ROMPOPE (UND)</v>
          </cell>
          <cell r="D694" t="str">
            <v>60100046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18/12/2019</v>
          </cell>
          <cell r="I694">
            <v>94</v>
          </cell>
          <cell r="J694">
            <v>45000</v>
          </cell>
          <cell r="K694">
            <v>1</v>
          </cell>
          <cell r="L694">
            <v>94</v>
          </cell>
        </row>
        <row r="695">
          <cell r="A695" t="str">
            <v>60100047</v>
          </cell>
          <cell r="B695">
            <v>15611</v>
          </cell>
          <cell r="C695" t="str">
            <v>ETIQUETA TE CHAI FRENTE (UND)</v>
          </cell>
          <cell r="D695" t="str">
            <v>60100047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09/12/2019</v>
          </cell>
          <cell r="I695">
            <v>42</v>
          </cell>
          <cell r="J695">
            <v>440580</v>
          </cell>
          <cell r="K695">
            <v>1</v>
          </cell>
          <cell r="L695">
            <v>42</v>
          </cell>
        </row>
        <row r="696">
          <cell r="A696" t="str">
            <v>60100048</v>
          </cell>
          <cell r="B696">
            <v>15612</v>
          </cell>
          <cell r="C696" t="str">
            <v>ETIQUETA TE CHAI REVERSO (UND)</v>
          </cell>
          <cell r="D696" t="str">
            <v>60100048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09/12/2019</v>
          </cell>
          <cell r="I696">
            <v>39</v>
          </cell>
          <cell r="J696">
            <v>428220</v>
          </cell>
          <cell r="K696">
            <v>1</v>
          </cell>
          <cell r="L696">
            <v>39</v>
          </cell>
        </row>
        <row r="697">
          <cell r="A697" t="str">
            <v>60100049</v>
          </cell>
          <cell r="B697">
            <v>16178</v>
          </cell>
          <cell r="C697" t="str">
            <v>ETIQUETA DATA VARIABLE (UND)</v>
          </cell>
          <cell r="D697" t="str">
            <v>60100049</v>
          </cell>
          <cell r="E697" t="str">
            <v>ETIQUETAS PLANTA</v>
          </cell>
          <cell r="F697" t="str">
            <v>1 UND</v>
          </cell>
          <cell r="G697">
            <v>500</v>
          </cell>
          <cell r="H697" t="str">
            <v>28/02/2020</v>
          </cell>
          <cell r="I697">
            <v>7.0144399999999996</v>
          </cell>
          <cell r="J697">
            <v>265075.6876</v>
          </cell>
          <cell r="K697">
            <v>1</v>
          </cell>
          <cell r="L697">
            <v>7.0144399999999996</v>
          </cell>
        </row>
        <row r="698">
          <cell r="A698" t="str">
            <v>60100050</v>
          </cell>
          <cell r="B698">
            <v>16179</v>
          </cell>
          <cell r="C698" t="str">
            <v>ETIQUETA TE LLEVA A LA PLAYA (UND)</v>
          </cell>
          <cell r="D698" t="str">
            <v>60100050</v>
          </cell>
          <cell r="E698" t="str">
            <v>ETIQUETAS PLANTA</v>
          </cell>
          <cell r="F698" t="str">
            <v>1 UND</v>
          </cell>
          <cell r="G698">
            <v>500</v>
          </cell>
          <cell r="H698" t="str">
            <v>28/02/2020</v>
          </cell>
          <cell r="I698">
            <v>5.8</v>
          </cell>
          <cell r="J698">
            <v>219240</v>
          </cell>
          <cell r="K698">
            <v>1</v>
          </cell>
          <cell r="L698">
            <v>5.8</v>
          </cell>
        </row>
        <row r="699">
          <cell r="A699" t="str">
            <v>60100051</v>
          </cell>
          <cell r="B699">
            <v>16441</v>
          </cell>
          <cell r="C699" t="str">
            <v xml:space="preserve">ETIQ. JUNTOS A LA DISTANCIA(ROLLO:500 U </v>
          </cell>
          <cell r="D699" t="str">
            <v>60100051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02/06/2020</v>
          </cell>
          <cell r="I699">
            <v>8800</v>
          </cell>
          <cell r="J699">
            <v>712617.4</v>
          </cell>
          <cell r="K699">
            <v>500</v>
          </cell>
          <cell r="L699">
            <v>17.600000000000001</v>
          </cell>
        </row>
        <row r="700">
          <cell r="A700" t="str">
            <v>60100052</v>
          </cell>
          <cell r="B700">
            <v>16442</v>
          </cell>
          <cell r="C700" t="str">
            <v>ETIQ. PRONTO VOLVEREMOS JUNTOS (ROLLO)</v>
          </cell>
          <cell r="D700" t="str">
            <v>60100052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12/05/2020</v>
          </cell>
          <cell r="I700">
            <v>3000</v>
          </cell>
          <cell r="J700">
            <v>735617.4</v>
          </cell>
          <cell r="L700" t="e">
            <v>#DIV/0!</v>
          </cell>
        </row>
        <row r="701">
          <cell r="A701" t="str">
            <v>60100053</v>
          </cell>
          <cell r="B701">
            <v>16443</v>
          </cell>
          <cell r="C701" t="str">
            <v>ETIQ. DESINFECTAR CELULAR (ROLLO: 500 U)</v>
          </cell>
          <cell r="D701" t="str">
            <v>60100053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11/05/2020</v>
          </cell>
          <cell r="I701">
            <v>5.8</v>
          </cell>
          <cell r="J701">
            <v>693817.4</v>
          </cell>
          <cell r="K701">
            <v>500</v>
          </cell>
          <cell r="L701">
            <v>1.1599999999999999E-2</v>
          </cell>
        </row>
        <row r="702">
          <cell r="A702" t="str">
            <v>60100054</v>
          </cell>
          <cell r="B702">
            <v>16444</v>
          </cell>
          <cell r="C702" t="str">
            <v>ETIQ. RECUERDE LAVAR MANOS (ROLLO:500 U)</v>
          </cell>
          <cell r="D702" t="str">
            <v>60100054</v>
          </cell>
          <cell r="E702" t="str">
            <v>ETIQUETAS PLANTA</v>
          </cell>
          <cell r="F702" t="str">
            <v>1 ROLLO</v>
          </cell>
          <cell r="G702">
            <v>500</v>
          </cell>
          <cell r="H702" t="str">
            <v>11/05/2020</v>
          </cell>
          <cell r="I702">
            <v>5.8</v>
          </cell>
          <cell r="J702">
            <v>713377.4</v>
          </cell>
          <cell r="K702">
            <v>500</v>
          </cell>
          <cell r="L702">
            <v>1.1599999999999999E-2</v>
          </cell>
        </row>
        <row r="703">
          <cell r="A703" t="str">
            <v>60100055</v>
          </cell>
          <cell r="B703">
            <v>16500</v>
          </cell>
          <cell r="C703" t="str">
            <v>STICKER TORTA KAHLUA (ROLLO: 1000 UND)</v>
          </cell>
          <cell r="D703" t="str">
            <v>60100055</v>
          </cell>
          <cell r="E703" t="str">
            <v>ETIQUETAS PLANTA</v>
          </cell>
          <cell r="F703" t="str">
            <v>1 ROLLO</v>
          </cell>
          <cell r="G703">
            <v>500</v>
          </cell>
          <cell r="H703" t="str">
            <v>08/05/2020</v>
          </cell>
          <cell r="I703">
            <v>16000</v>
          </cell>
          <cell r="J703">
            <v>80000</v>
          </cell>
          <cell r="K703">
            <v>1000</v>
          </cell>
          <cell r="L703">
            <v>16</v>
          </cell>
        </row>
        <row r="704">
          <cell r="A704" t="str">
            <v>101000015</v>
          </cell>
          <cell r="B704">
            <v>5245</v>
          </cell>
          <cell r="C704" t="str">
            <v>AZUCAR REFINADA VICTORIA (PAQ:1 K)</v>
          </cell>
          <cell r="D704" t="str">
            <v>101000015</v>
          </cell>
          <cell r="E704" t="str">
            <v>MATERIAS PRIMAS PLANTA</v>
          </cell>
          <cell r="F704" t="str">
            <v>1 PAQUETE</v>
          </cell>
          <cell r="G704">
            <v>500</v>
          </cell>
          <cell r="H704" t="str">
            <v>09/06/2020</v>
          </cell>
          <cell r="I704">
            <v>691.16666666666697</v>
          </cell>
          <cell r="J704">
            <v>11736010</v>
          </cell>
          <cell r="K704">
            <v>1000</v>
          </cell>
          <cell r="L704">
            <v>0.69116666666666693</v>
          </cell>
          <cell r="M704" t="str">
            <v>Gramos</v>
          </cell>
        </row>
        <row r="705">
          <cell r="A705" t="str">
            <v>101000073</v>
          </cell>
          <cell r="B705">
            <v>5303</v>
          </cell>
          <cell r="C705" t="str">
            <v>AZUCAR GLASS MOLIDA (PAQ: 4 K)</v>
          </cell>
          <cell r="D705" t="str">
            <v>101000073</v>
          </cell>
          <cell r="E705" t="str">
            <v>MATERIAS PRIMAS PLANTA</v>
          </cell>
          <cell r="F705" t="str">
            <v>1 PAQUETE</v>
          </cell>
          <cell r="G705">
            <v>500</v>
          </cell>
          <cell r="H705" t="str">
            <v>15/06/2020</v>
          </cell>
          <cell r="I705">
            <v>6526</v>
          </cell>
          <cell r="J705">
            <v>8519676</v>
          </cell>
          <cell r="K705">
            <v>4000</v>
          </cell>
          <cell r="L705">
            <v>1.6315</v>
          </cell>
          <cell r="M705" t="str">
            <v>Gramos</v>
          </cell>
        </row>
        <row r="706">
          <cell r="A706" t="str">
            <v>101000104</v>
          </cell>
          <cell r="B706">
            <v>7077</v>
          </cell>
          <cell r="C706" t="str">
            <v>SALSA OSTION PANDA (UND:5LBS)</v>
          </cell>
          <cell r="D706" t="str">
            <v>101000104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24/03/2020</v>
          </cell>
          <cell r="I706">
            <v>4995</v>
          </cell>
          <cell r="J706">
            <v>375030</v>
          </cell>
          <cell r="K706">
            <v>2268</v>
          </cell>
          <cell r="L706">
            <v>2.2023809523809526</v>
          </cell>
          <cell r="M706" t="str">
            <v>Mililitros</v>
          </cell>
        </row>
        <row r="707">
          <cell r="A707" t="str">
            <v>101000114</v>
          </cell>
          <cell r="B707">
            <v>7087</v>
          </cell>
          <cell r="C707" t="str">
            <v>MAIZ DULCE GALON MONACO (UND:2.5K)</v>
          </cell>
          <cell r="D707" t="str">
            <v>101000114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28/01/2020</v>
          </cell>
          <cell r="I707" t="e">
            <v>#N/A</v>
          </cell>
          <cell r="J707">
            <v>239416</v>
          </cell>
          <cell r="K707">
            <v>2500</v>
          </cell>
          <cell r="L707" t="e">
            <v>#N/A</v>
          </cell>
        </row>
        <row r="708">
          <cell r="A708" t="str">
            <v>102000024</v>
          </cell>
          <cell r="B708">
            <v>5353</v>
          </cell>
          <cell r="C708" t="str">
            <v>MEZCLA BEBIDA MARACUYA (UND:946ML)</v>
          </cell>
          <cell r="D708" t="str">
            <v>102000024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04/02/2020</v>
          </cell>
          <cell r="I708">
            <v>3164</v>
          </cell>
          <cell r="J708">
            <v>6070</v>
          </cell>
          <cell r="K708">
            <v>946</v>
          </cell>
          <cell r="L708">
            <v>3.3446088794926006</v>
          </cell>
          <cell r="M708" t="str">
            <v>Mililitros</v>
          </cell>
        </row>
        <row r="709">
          <cell r="A709" t="str">
            <v>102000028</v>
          </cell>
          <cell r="B709">
            <v>5357</v>
          </cell>
          <cell r="C709" t="str">
            <v>JUGO DE NARANJA NATURAL (UND:3.785 L)</v>
          </cell>
          <cell r="D709" t="str">
            <v>102000028</v>
          </cell>
          <cell r="E709" t="str">
            <v>MATERIAS PRIMAS PLANTA</v>
          </cell>
          <cell r="F709" t="str">
            <v>1 UND</v>
          </cell>
          <cell r="G709">
            <v>500</v>
          </cell>
          <cell r="H709" t="str">
            <v>15/06/2020</v>
          </cell>
          <cell r="I709">
            <v>4170</v>
          </cell>
          <cell r="J709">
            <v>16182647.199999999</v>
          </cell>
          <cell r="K709">
            <v>3785</v>
          </cell>
          <cell r="L709">
            <v>1.1017173051519153</v>
          </cell>
        </row>
        <row r="710">
          <cell r="A710" t="str">
            <v>102000035</v>
          </cell>
          <cell r="B710">
            <v>12925</v>
          </cell>
          <cell r="C710" t="str">
            <v>JUGO LIMON (UND=930 ml)</v>
          </cell>
          <cell r="D710" t="str">
            <v>102000035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10/06/2020</v>
          </cell>
          <cell r="I710">
            <v>1495.44</v>
          </cell>
          <cell r="J710">
            <v>3010892</v>
          </cell>
          <cell r="K710">
            <v>930</v>
          </cell>
          <cell r="L710">
            <v>1.6080000000000001</v>
          </cell>
        </row>
        <row r="711">
          <cell r="A711" t="str">
            <v>102000037</v>
          </cell>
          <cell r="B711">
            <v>15159</v>
          </cell>
          <cell r="C711" t="str">
            <v xml:space="preserve">TE FRIO MELOCOTON (CAJA: 6 PAQ) </v>
          </cell>
          <cell r="D711" t="str">
            <v>102000037</v>
          </cell>
          <cell r="E711" t="str">
            <v>MATERIAS PRIMAS PLANTA</v>
          </cell>
          <cell r="F711" t="str">
            <v>1 CAJA</v>
          </cell>
          <cell r="G711">
            <v>500</v>
          </cell>
          <cell r="H711" t="str">
            <v>15/06/2020</v>
          </cell>
          <cell r="I711">
            <v>9553</v>
          </cell>
          <cell r="J711">
            <v>983959</v>
          </cell>
          <cell r="L711" t="e">
            <v>#DIV/0!</v>
          </cell>
        </row>
        <row r="712">
          <cell r="A712" t="str">
            <v>102000038</v>
          </cell>
          <cell r="B712">
            <v>15160</v>
          </cell>
          <cell r="C712" t="str">
            <v>TE VERDE DE MANZANA (CAJA: 8 PAQ)</v>
          </cell>
          <cell r="D712" t="str">
            <v>102000038</v>
          </cell>
          <cell r="E712" t="str">
            <v>MATERIAS PRIMAS PLANTA</v>
          </cell>
          <cell r="F712" t="str">
            <v>1 CAJA</v>
          </cell>
          <cell r="G712">
            <v>500</v>
          </cell>
          <cell r="H712" t="str">
            <v>15/06/2020</v>
          </cell>
          <cell r="I712" t="e">
            <v>#N/A</v>
          </cell>
          <cell r="J712">
            <v>720959</v>
          </cell>
          <cell r="L712" t="e">
            <v>#N/A</v>
          </cell>
        </row>
        <row r="713">
          <cell r="A713" t="str">
            <v>102000039</v>
          </cell>
          <cell r="B713">
            <v>15504</v>
          </cell>
          <cell r="C713" t="str">
            <v>ROMPOPE SPOON (UND:510 G)</v>
          </cell>
          <cell r="D713" t="str">
            <v>102000039</v>
          </cell>
          <cell r="E713" t="str">
            <v>MATERIAS PRIMAS PLANTA</v>
          </cell>
          <cell r="F713" t="str">
            <v>1 UND</v>
          </cell>
          <cell r="G713">
            <v>500</v>
          </cell>
          <cell r="H713" t="str">
            <v>20/12/2019</v>
          </cell>
          <cell r="I713">
            <v>2460</v>
          </cell>
          <cell r="J713">
            <v>2063940</v>
          </cell>
          <cell r="K713">
            <v>510</v>
          </cell>
          <cell r="L713">
            <v>4.8235294117647056</v>
          </cell>
        </row>
        <row r="714">
          <cell r="A714" t="str">
            <v>102000040</v>
          </cell>
          <cell r="B714">
            <v>15624</v>
          </cell>
          <cell r="C714" t="str">
            <v>TE MATCHA NARANJA (PAQ: 20/50 G)</v>
          </cell>
          <cell r="D714" t="str">
            <v>102000040</v>
          </cell>
          <cell r="E714" t="str">
            <v>MATERIAS PRIMAS PLANTA</v>
          </cell>
          <cell r="F714" t="str">
            <v>1 PAQ</v>
          </cell>
          <cell r="G714">
            <v>500</v>
          </cell>
          <cell r="H714" t="str">
            <v>18/03/2020</v>
          </cell>
          <cell r="I714" t="e">
            <v>#N/A</v>
          </cell>
          <cell r="J714">
            <v>303600</v>
          </cell>
          <cell r="L714" t="e">
            <v>#N/A</v>
          </cell>
        </row>
        <row r="715">
          <cell r="A715" t="str">
            <v>102000041</v>
          </cell>
          <cell r="B715">
            <v>15625</v>
          </cell>
          <cell r="C715" t="str">
            <v>TE FRIO LIMON (PAQ:500 G)</v>
          </cell>
          <cell r="D715" t="str">
            <v>102000041</v>
          </cell>
          <cell r="E715" t="str">
            <v>MATERIAS PRIMAS PLANTA</v>
          </cell>
          <cell r="F715" t="str">
            <v>1 PAQUETE</v>
          </cell>
          <cell r="G715">
            <v>500</v>
          </cell>
          <cell r="H715" t="str">
            <v>19/05/2020</v>
          </cell>
          <cell r="I715">
            <v>1650</v>
          </cell>
          <cell r="J715">
            <v>1689600</v>
          </cell>
          <cell r="K715">
            <v>500</v>
          </cell>
          <cell r="L715">
            <v>3.3</v>
          </cell>
        </row>
        <row r="716">
          <cell r="A716" t="str">
            <v>102000046</v>
          </cell>
          <cell r="B716">
            <v>15630</v>
          </cell>
          <cell r="C716" t="str">
            <v>BEBIDA TE CHAI (PAQ: 300 G)</v>
          </cell>
          <cell r="D716" t="str">
            <v>102000046</v>
          </cell>
          <cell r="E716" t="str">
            <v>MATERIAS PRIMAS PLANTA</v>
          </cell>
          <cell r="F716" t="str">
            <v>1 PAQUETE</v>
          </cell>
          <cell r="G716">
            <v>500</v>
          </cell>
          <cell r="H716" t="str">
            <v>05/06/2020</v>
          </cell>
          <cell r="I716">
            <v>2445</v>
          </cell>
          <cell r="J716">
            <v>738390</v>
          </cell>
          <cell r="K716">
            <v>300</v>
          </cell>
          <cell r="L716">
            <v>8.15</v>
          </cell>
        </row>
        <row r="717">
          <cell r="A717" t="str">
            <v>102000048</v>
          </cell>
          <cell r="B717">
            <v>15881</v>
          </cell>
          <cell r="C717" t="str">
            <v>PIPA (UND)</v>
          </cell>
          <cell r="D717" t="str">
            <v>102000048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19/03/2020</v>
          </cell>
          <cell r="I717" t="e">
            <v>#N/A</v>
          </cell>
          <cell r="J717">
            <v>557550</v>
          </cell>
          <cell r="L717" t="e">
            <v>#N/A</v>
          </cell>
        </row>
        <row r="718">
          <cell r="A718" t="str">
            <v>102000049</v>
          </cell>
          <cell r="B718">
            <v>16321</v>
          </cell>
          <cell r="C718" t="str">
            <v>KAHLUA LICOR DE CAFÉ (UND: 750 ML)</v>
          </cell>
          <cell r="D718" t="str">
            <v>102000049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01/06/2020</v>
          </cell>
          <cell r="I718">
            <v>7457</v>
          </cell>
          <cell r="J718">
            <v>5891030</v>
          </cell>
          <cell r="K718">
            <v>750</v>
          </cell>
          <cell r="L718">
            <v>9.9426666666666659</v>
          </cell>
          <cell r="M718" t="str">
            <v>Mililitros</v>
          </cell>
        </row>
        <row r="719">
          <cell r="A719" t="str">
            <v>102000051</v>
          </cell>
          <cell r="B719">
            <v>16466</v>
          </cell>
          <cell r="C719" t="str">
            <v>SIROPE CHOCOLATE HERSHEYS (UND:7.5 LBS)</v>
          </cell>
          <cell r="D719" t="str">
            <v>102000051</v>
          </cell>
          <cell r="E719" t="str">
            <v>MATERIAS PRIMAS PLANTA</v>
          </cell>
          <cell r="F719" t="str">
            <v>1 UND</v>
          </cell>
          <cell r="G719">
            <v>500</v>
          </cell>
          <cell r="H719" t="str">
            <v>05/05/2020</v>
          </cell>
          <cell r="I719" t="e">
            <v>#N/A</v>
          </cell>
          <cell r="J719">
            <v>323645</v>
          </cell>
          <cell r="L719" t="e">
            <v>#N/A</v>
          </cell>
        </row>
        <row r="720">
          <cell r="A720" t="str">
            <v>102000052</v>
          </cell>
          <cell r="B720">
            <v>16488</v>
          </cell>
          <cell r="C720" t="str">
            <v>JUGO DE NARANJA 100% NATURAL (UND)</v>
          </cell>
          <cell r="D720" t="str">
            <v>102000052</v>
          </cell>
          <cell r="E720" t="str">
            <v>MATERIAS PRIMAS PLANTA</v>
          </cell>
          <cell r="F720" t="str">
            <v>1 UND</v>
          </cell>
          <cell r="G720">
            <v>500</v>
          </cell>
          <cell r="H720" t="str">
            <v>04/05/2020</v>
          </cell>
          <cell r="I720" t="e">
            <v>#N/A</v>
          </cell>
          <cell r="J720">
            <v>105173.28</v>
          </cell>
          <cell r="L720" t="e">
            <v>#N/A</v>
          </cell>
        </row>
        <row r="721">
          <cell r="A721" t="str">
            <v>103000001</v>
          </cell>
          <cell r="B721">
            <v>5358</v>
          </cell>
          <cell r="C721" t="str">
            <v>SALMON EN MEDALLON KILO</v>
          </cell>
          <cell r="D721" t="str">
            <v>103000001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15/06/2020</v>
          </cell>
          <cell r="I721">
            <v>7189.56</v>
          </cell>
          <cell r="J721">
            <v>7082615.2949999999</v>
          </cell>
          <cell r="K721">
            <v>1000</v>
          </cell>
          <cell r="L721">
            <v>7.1895600000000002</v>
          </cell>
          <cell r="M721" t="str">
            <v>Gramos</v>
          </cell>
        </row>
        <row r="722">
          <cell r="A722" t="str">
            <v>103000021</v>
          </cell>
          <cell r="B722">
            <v>5378</v>
          </cell>
          <cell r="C722" t="str">
            <v>CARNE OSOBUCO PICADO (KILO)</v>
          </cell>
          <cell r="D722" t="str">
            <v>103000021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06/06/2020</v>
          </cell>
          <cell r="I722">
            <v>2995</v>
          </cell>
          <cell r="J722">
            <v>32925</v>
          </cell>
          <cell r="K722">
            <v>1000</v>
          </cell>
          <cell r="L722">
            <v>2.9950000000000001</v>
          </cell>
          <cell r="M722" t="str">
            <v>Gramos</v>
          </cell>
        </row>
        <row r="723">
          <cell r="A723" t="str">
            <v>103000027</v>
          </cell>
          <cell r="B723">
            <v>13164</v>
          </cell>
          <cell r="C723" t="str">
            <v>CHORIZO PASTA KILO</v>
          </cell>
          <cell r="D723" t="str">
            <v>103000027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13/06/2020</v>
          </cell>
          <cell r="I723">
            <v>2050</v>
          </cell>
          <cell r="J723">
            <v>2145735</v>
          </cell>
          <cell r="K723">
            <v>1000</v>
          </cell>
          <cell r="L723">
            <v>2.0499999999999998</v>
          </cell>
          <cell r="M723" t="str">
            <v>Gramos</v>
          </cell>
        </row>
        <row r="724">
          <cell r="A724" t="str">
            <v>103000035</v>
          </cell>
          <cell r="B724">
            <v>14621</v>
          </cell>
          <cell r="C724" t="str">
            <v>ALBONDIGA ITAL COC 1.5 ONZ (1/4.53K)</v>
          </cell>
          <cell r="D724" t="str">
            <v>103000035</v>
          </cell>
          <cell r="E724" t="str">
            <v>MATERIAS PRIMAS PLANTA</v>
          </cell>
          <cell r="F724" t="str">
            <v>1 KILO</v>
          </cell>
          <cell r="G724">
            <v>500</v>
          </cell>
          <cell r="H724" t="str">
            <v>11/02/2020</v>
          </cell>
          <cell r="I724" t="e">
            <v>#N/A</v>
          </cell>
          <cell r="J724">
            <v>55223.88</v>
          </cell>
          <cell r="K724">
            <v>1000</v>
          </cell>
          <cell r="L724" t="e">
            <v>#N/A</v>
          </cell>
          <cell r="M724" t="str">
            <v>Gramos</v>
          </cell>
        </row>
        <row r="725">
          <cell r="A725" t="str">
            <v>103000036</v>
          </cell>
          <cell r="B725">
            <v>5393</v>
          </cell>
          <cell r="C725" t="str">
            <v>FILET TILAPIA (5-7 ONZ P/KILO)</v>
          </cell>
          <cell r="D725" t="str">
            <v>103000036</v>
          </cell>
          <cell r="E725" t="str">
            <v>MATERIAS PRIMAS PLANTA</v>
          </cell>
          <cell r="F725" t="str">
            <v>1 KILO</v>
          </cell>
          <cell r="G725">
            <v>500</v>
          </cell>
          <cell r="H725" t="str">
            <v>30/04/2020</v>
          </cell>
          <cell r="I725" t="e">
            <v>#N/A</v>
          </cell>
          <cell r="J725">
            <v>329971.48000000103</v>
          </cell>
          <cell r="K725">
            <v>1000</v>
          </cell>
          <cell r="L725" t="e">
            <v>#N/A</v>
          </cell>
          <cell r="M725" t="str">
            <v>Gramos</v>
          </cell>
        </row>
        <row r="726">
          <cell r="A726" t="str">
            <v>105000001</v>
          </cell>
          <cell r="B726">
            <v>5405</v>
          </cell>
          <cell r="C726" t="str">
            <v>CURRY POLVO (UND:454 G)</v>
          </cell>
          <cell r="D726" t="str">
            <v>105000001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28/04/2020</v>
          </cell>
          <cell r="I726">
            <v>2763</v>
          </cell>
          <cell r="J726">
            <v>39395</v>
          </cell>
          <cell r="K726">
            <v>454</v>
          </cell>
          <cell r="L726">
            <v>6.0859030837004404</v>
          </cell>
          <cell r="M726" t="str">
            <v>Gramos</v>
          </cell>
        </row>
        <row r="727">
          <cell r="A727" t="str">
            <v>105000002</v>
          </cell>
          <cell r="B727">
            <v>5399</v>
          </cell>
          <cell r="C727" t="str">
            <v>OREGANO (UND: 156 G)</v>
          </cell>
          <cell r="D727" t="str">
            <v>105000002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28/05/2020</v>
          </cell>
          <cell r="I727">
            <v>1879</v>
          </cell>
          <cell r="J727">
            <v>181144</v>
          </cell>
          <cell r="K727">
            <v>156</v>
          </cell>
          <cell r="L727">
            <v>12.044871794871796</v>
          </cell>
          <cell r="M727" t="str">
            <v>Gramos</v>
          </cell>
        </row>
        <row r="728">
          <cell r="A728" t="str">
            <v>105000003</v>
          </cell>
          <cell r="B728">
            <v>5400</v>
          </cell>
          <cell r="C728" t="str">
            <v>PEREJIL SECO (UND:57 G)</v>
          </cell>
          <cell r="D728" t="str">
            <v>105000003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01/06/2020</v>
          </cell>
          <cell r="I728">
            <v>1411.53</v>
          </cell>
          <cell r="J728">
            <v>108901</v>
          </cell>
          <cell r="K728">
            <v>57</v>
          </cell>
          <cell r="L728">
            <v>24.763684210526314</v>
          </cell>
          <cell r="M728" t="str">
            <v>Gramos</v>
          </cell>
        </row>
        <row r="729">
          <cell r="A729" t="str">
            <v>105000007</v>
          </cell>
          <cell r="B729">
            <v>5407</v>
          </cell>
          <cell r="C729" t="str">
            <v>PIMIENTA NEGRA MOLIDA (UND:510 G)</v>
          </cell>
          <cell r="D729" t="str">
            <v>105000007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19/03/2020</v>
          </cell>
          <cell r="I729">
            <v>7486</v>
          </cell>
          <cell r="J729">
            <v>118355</v>
          </cell>
          <cell r="K729">
            <v>510</v>
          </cell>
          <cell r="L729">
            <v>14.678431372549019</v>
          </cell>
          <cell r="M729" t="str">
            <v>Gramos</v>
          </cell>
        </row>
        <row r="730">
          <cell r="A730" t="str">
            <v>105000008</v>
          </cell>
          <cell r="B730">
            <v>7070</v>
          </cell>
          <cell r="C730" t="str">
            <v>CANELA ASTILLA (PAQ:500g)</v>
          </cell>
          <cell r="D730" t="str">
            <v>105000008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05/06/2020</v>
          </cell>
          <cell r="I730">
            <v>4836.3</v>
          </cell>
          <cell r="J730">
            <v>76450</v>
          </cell>
          <cell r="K730">
            <v>500</v>
          </cell>
          <cell r="L730">
            <v>9.672600000000001</v>
          </cell>
          <cell r="M730" t="str">
            <v>Gramos</v>
          </cell>
        </row>
        <row r="731">
          <cell r="A731" t="str">
            <v>105000009</v>
          </cell>
          <cell r="B731">
            <v>5412</v>
          </cell>
          <cell r="C731" t="str">
            <v>ACHIOTE (UND:850g)</v>
          </cell>
          <cell r="D731" t="str">
            <v>105000009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05/06/2020</v>
          </cell>
          <cell r="I731">
            <v>3137</v>
          </cell>
          <cell r="J731">
            <v>884634</v>
          </cell>
          <cell r="K731">
            <v>850</v>
          </cell>
          <cell r="L731">
            <v>3.6905882352941175</v>
          </cell>
          <cell r="M731" t="str">
            <v>Gramos</v>
          </cell>
        </row>
        <row r="732">
          <cell r="A732" t="str">
            <v>105000029</v>
          </cell>
          <cell r="B732">
            <v>10237</v>
          </cell>
          <cell r="C732" t="str">
            <v>CONSOME CONCEN. DE RES (UND:2 K)</v>
          </cell>
          <cell r="D732" t="str">
            <v>105000029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28/05/2020</v>
          </cell>
          <cell r="I732">
            <v>5988</v>
          </cell>
          <cell r="J732">
            <v>497922</v>
          </cell>
          <cell r="K732">
            <v>2000</v>
          </cell>
          <cell r="L732">
            <v>2.9940000000000002</v>
          </cell>
          <cell r="M732" t="str">
            <v>Gramos</v>
          </cell>
        </row>
        <row r="733">
          <cell r="A733" t="str">
            <v>105000046</v>
          </cell>
          <cell r="B733">
            <v>15114</v>
          </cell>
          <cell r="C733" t="str">
            <v>JENGIBRE MOLIDO (UND:354 G)</v>
          </cell>
          <cell r="D733" t="str">
            <v>105000046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07/05/2020</v>
          </cell>
          <cell r="I733">
            <v>6125</v>
          </cell>
          <cell r="J733">
            <v>89150</v>
          </cell>
          <cell r="K733">
            <v>354</v>
          </cell>
          <cell r="L733">
            <v>17.302259887005651</v>
          </cell>
          <cell r="M733" t="str">
            <v>Gramos</v>
          </cell>
        </row>
        <row r="734">
          <cell r="A734" t="str">
            <v>105000047</v>
          </cell>
          <cell r="B734">
            <v>15115</v>
          </cell>
          <cell r="C734" t="str">
            <v>CLAVOS DE OLOR MOLIDO (UND:453G)</v>
          </cell>
          <cell r="D734" t="str">
            <v>105000047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10/12/2019</v>
          </cell>
          <cell r="I734" t="e">
            <v>#N/A</v>
          </cell>
          <cell r="J734">
            <v>66145</v>
          </cell>
          <cell r="K734">
            <v>453</v>
          </cell>
          <cell r="L734" t="e">
            <v>#N/A</v>
          </cell>
          <cell r="M734" t="str">
            <v>Gramos</v>
          </cell>
        </row>
        <row r="735">
          <cell r="A735" t="str">
            <v>105000048</v>
          </cell>
          <cell r="B735">
            <v>16318</v>
          </cell>
          <cell r="C735" t="str">
            <v>AJO EN POLVO BADIA (UND:1.8 K)</v>
          </cell>
          <cell r="D735" t="str">
            <v>105000048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24/03/2020</v>
          </cell>
          <cell r="I735" t="e">
            <v>#N/A</v>
          </cell>
          <cell r="J735">
            <v>11521</v>
          </cell>
          <cell r="K735">
            <v>1800</v>
          </cell>
          <cell r="L735" t="e">
            <v>#N/A</v>
          </cell>
        </row>
        <row r="736">
          <cell r="A736" t="str">
            <v>105000049</v>
          </cell>
          <cell r="B736">
            <v>16484</v>
          </cell>
          <cell r="C736" t="str">
            <v>PIMIENTA EN SOBRES (PAQ:1000 UND)</v>
          </cell>
          <cell r="D736" t="str">
            <v>105000049</v>
          </cell>
          <cell r="E736" t="str">
            <v>MATERIAS PRIMAS PLANTA</v>
          </cell>
          <cell r="F736" t="str">
            <v>1 PAQUETE</v>
          </cell>
          <cell r="G736">
            <v>500</v>
          </cell>
          <cell r="H736" t="str">
            <v>06/05/2020</v>
          </cell>
          <cell r="I736" t="e">
            <v>#N/A</v>
          </cell>
          <cell r="J736">
            <v>109940</v>
          </cell>
          <cell r="K736">
            <v>1000</v>
          </cell>
          <cell r="L736" t="e">
            <v>#N/A</v>
          </cell>
        </row>
        <row r="737">
          <cell r="A737" t="str">
            <v>105000050</v>
          </cell>
          <cell r="B737">
            <v>16486</v>
          </cell>
          <cell r="C737" t="str">
            <v>SAL EN SOBRES (PAQ:1000 UND)</v>
          </cell>
          <cell r="D737" t="str">
            <v>105000050</v>
          </cell>
          <cell r="E737" t="str">
            <v>MATERIAS PRIMAS PLANTA</v>
          </cell>
          <cell r="F737" t="str">
            <v>1 PAQUETE</v>
          </cell>
          <cell r="G737">
            <v>500</v>
          </cell>
          <cell r="H737" t="str">
            <v>12/06/2020</v>
          </cell>
          <cell r="I737" t="e">
            <v>#N/A</v>
          </cell>
          <cell r="J737">
            <v>106008</v>
          </cell>
          <cell r="K737">
            <v>1000</v>
          </cell>
          <cell r="L737" t="e">
            <v>#N/A</v>
          </cell>
        </row>
        <row r="738">
          <cell r="A738" t="str">
            <v>106000001</v>
          </cell>
          <cell r="B738">
            <v>5415</v>
          </cell>
          <cell r="C738" t="str">
            <v>HIGOS EN ALMIBAR (UND:23 K)</v>
          </cell>
          <cell r="D738" t="str">
            <v>106000001</v>
          </cell>
          <cell r="E738" t="str">
            <v>MATERIAS PRIMAS PLANTA</v>
          </cell>
          <cell r="F738" t="str">
            <v>1 UND</v>
          </cell>
          <cell r="G738">
            <v>500</v>
          </cell>
          <cell r="H738" t="str">
            <v>11/12/2019</v>
          </cell>
          <cell r="I738">
            <v>48300</v>
          </cell>
          <cell r="J738">
            <v>2991744</v>
          </cell>
          <cell r="K738">
            <v>23000</v>
          </cell>
          <cell r="L738">
            <v>2.1</v>
          </cell>
        </row>
        <row r="739">
          <cell r="A739" t="str">
            <v>106000007</v>
          </cell>
          <cell r="B739">
            <v>16293</v>
          </cell>
          <cell r="C739" t="str">
            <v>CHIVERRE CONSERVA (UND:25 K)</v>
          </cell>
          <cell r="D739" t="str">
            <v>106000007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12/03/2020</v>
          </cell>
          <cell r="I739">
            <v>55000</v>
          </cell>
          <cell r="J739">
            <v>62150</v>
          </cell>
          <cell r="K739">
            <v>25000</v>
          </cell>
          <cell r="L739">
            <v>2.2000000000000002</v>
          </cell>
        </row>
        <row r="740">
          <cell r="A740" t="str">
            <v>107000012</v>
          </cell>
          <cell r="B740">
            <v>8693</v>
          </cell>
          <cell r="C740" t="str">
            <v>CONFITILLO CORAZON MAVALERIO (PAQ:150G)</v>
          </cell>
          <cell r="D740" t="str">
            <v>107000012</v>
          </cell>
          <cell r="E740" t="str">
            <v>MATERIAS PRIMAS PLANTA</v>
          </cell>
          <cell r="F740" t="str">
            <v>1 PAQ</v>
          </cell>
          <cell r="G740">
            <v>500</v>
          </cell>
          <cell r="H740" t="str">
            <v>13/02/2020</v>
          </cell>
          <cell r="I740">
            <v>875.5</v>
          </cell>
          <cell r="J740">
            <v>40798.300000000003</v>
          </cell>
          <cell r="K740">
            <v>150</v>
          </cell>
          <cell r="L740">
            <v>5.8366666666666669</v>
          </cell>
          <cell r="M740" t="str">
            <v>Gramos</v>
          </cell>
        </row>
        <row r="741">
          <cell r="A741" t="str">
            <v>109000106</v>
          </cell>
          <cell r="B741">
            <v>9364</v>
          </cell>
          <cell r="C741" t="str">
            <v>FRESAS CONGEL  BEGRO (PAQ: 1 K)</v>
          </cell>
          <cell r="D741" t="str">
            <v>109000106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12/06/2020</v>
          </cell>
          <cell r="I741">
            <v>1940</v>
          </cell>
          <cell r="J741">
            <v>1606500</v>
          </cell>
          <cell r="K741">
            <v>1000</v>
          </cell>
          <cell r="L741">
            <v>1.94</v>
          </cell>
        </row>
        <row r="742">
          <cell r="A742" t="str">
            <v>109000121</v>
          </cell>
          <cell r="B742">
            <v>15410</v>
          </cell>
          <cell r="C742" t="str">
            <v>TOMATE DESHIDRATADO SECO (UND: 800 G)</v>
          </cell>
          <cell r="D742" t="str">
            <v>109000121</v>
          </cell>
          <cell r="E742" t="str">
            <v>MATERIAS PRIMAS PLANTA</v>
          </cell>
          <cell r="F742" t="str">
            <v>1 UND</v>
          </cell>
          <cell r="G742">
            <v>500</v>
          </cell>
          <cell r="H742" t="str">
            <v>14/01/2020</v>
          </cell>
          <cell r="I742" t="e">
            <v>#N/A</v>
          </cell>
          <cell r="J742">
            <v>318232.65600000002</v>
          </cell>
          <cell r="K742">
            <v>800</v>
          </cell>
          <cell r="L742" t="e">
            <v>#N/A</v>
          </cell>
        </row>
        <row r="743">
          <cell r="A743" t="str">
            <v>109000122</v>
          </cell>
          <cell r="B743">
            <v>15868</v>
          </cell>
          <cell r="C743" t="str">
            <v>RELLENO PULPA DE PIÑA (KILO)</v>
          </cell>
          <cell r="D743" t="str">
            <v>109000122</v>
          </cell>
          <cell r="E743" t="str">
            <v>MATERIAS PRIMAS PLANTA</v>
          </cell>
          <cell r="F743" t="str">
            <v>1 KILOGramos</v>
          </cell>
          <cell r="G743">
            <v>500</v>
          </cell>
          <cell r="H743" t="str">
            <v>27/05/2020</v>
          </cell>
          <cell r="I743" t="e">
            <v>#N/A</v>
          </cell>
          <cell r="J743">
            <v>334641</v>
          </cell>
          <cell r="K743">
            <v>1000</v>
          </cell>
          <cell r="L743" t="e">
            <v>#N/A</v>
          </cell>
          <cell r="M743" t="str">
            <v>Gramos</v>
          </cell>
        </row>
        <row r="744">
          <cell r="A744" t="str">
            <v>109000123</v>
          </cell>
          <cell r="B744">
            <v>15869</v>
          </cell>
          <cell r="C744" t="str">
            <v>RELLENO PULPA DE GUANABANA (KILO)</v>
          </cell>
          <cell r="D744" t="str">
            <v>109000123</v>
          </cell>
          <cell r="E744" t="str">
            <v>MATERIAS PRIMAS PLANTA</v>
          </cell>
          <cell r="F744" t="str">
            <v>1 KILOGramos</v>
          </cell>
          <cell r="G744">
            <v>500</v>
          </cell>
          <cell r="H744" t="str">
            <v>20/05/2020</v>
          </cell>
          <cell r="I744" t="e">
            <v>#N/A</v>
          </cell>
          <cell r="J744">
            <v>802540.2</v>
          </cell>
          <cell r="K744">
            <v>1000</v>
          </cell>
          <cell r="L744" t="e">
            <v>#N/A</v>
          </cell>
          <cell r="M744" t="str">
            <v>Gramos</v>
          </cell>
        </row>
        <row r="745">
          <cell r="A745" t="str">
            <v>109000124</v>
          </cell>
          <cell r="B745">
            <v>15927</v>
          </cell>
          <cell r="C745" t="str">
            <v>PITAHAYA INPAK (PAQ: 3 KILOS)</v>
          </cell>
          <cell r="D745" t="str">
            <v>109000124</v>
          </cell>
          <cell r="E745" t="str">
            <v>MATERIAS PRIMAS PLANTA</v>
          </cell>
          <cell r="F745" t="str">
            <v>1 PAQUETE</v>
          </cell>
          <cell r="G745">
            <v>500</v>
          </cell>
          <cell r="H745" t="str">
            <v>30/01/2020</v>
          </cell>
          <cell r="I745" t="e">
            <v>#N/A</v>
          </cell>
          <cell r="J745">
            <v>291030</v>
          </cell>
          <cell r="K745">
            <v>3000</v>
          </cell>
          <cell r="L745" t="e">
            <v>#N/A</v>
          </cell>
        </row>
        <row r="746">
          <cell r="A746" t="str">
            <v>109000125</v>
          </cell>
          <cell r="B746">
            <v>15928</v>
          </cell>
          <cell r="C746" t="str">
            <v>MARACUYA ( PAQ: 3 KILOS)</v>
          </cell>
          <cell r="D746" t="str">
            <v>0159281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30/01/2020</v>
          </cell>
          <cell r="I746" t="e">
            <v>#N/A</v>
          </cell>
          <cell r="J746">
            <v>203600</v>
          </cell>
          <cell r="K746">
            <v>3000</v>
          </cell>
          <cell r="L746" t="e">
            <v>#N/A</v>
          </cell>
        </row>
        <row r="747">
          <cell r="A747" t="str">
            <v>109000127</v>
          </cell>
          <cell r="B747">
            <v>16666</v>
          </cell>
          <cell r="C747" t="str">
            <v>MELOCOTON EN CUBOS COUNTREE (UND:3 K)</v>
          </cell>
          <cell r="D747" t="str">
            <v>109000127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15/06/2020</v>
          </cell>
          <cell r="I747">
            <v>3338</v>
          </cell>
          <cell r="J747">
            <v>1301476</v>
          </cell>
          <cell r="K747">
            <v>1800</v>
          </cell>
          <cell r="L747">
            <v>1.8544444444444443</v>
          </cell>
          <cell r="M747" t="str">
            <v>Gramos</v>
          </cell>
        </row>
        <row r="748">
          <cell r="A748" t="str">
            <v>111000002</v>
          </cell>
          <cell r="B748">
            <v>5522</v>
          </cell>
          <cell r="C748" t="str">
            <v xml:space="preserve">ACEITE DE SESAMO (UND:1656 ml) </v>
          </cell>
          <cell r="D748" t="str">
            <v>111000002</v>
          </cell>
          <cell r="E748" t="str">
            <v>MATERIAS PRIMAS PLANTA</v>
          </cell>
          <cell r="F748" t="str">
            <v>1 UND</v>
          </cell>
          <cell r="G748">
            <v>500</v>
          </cell>
          <cell r="H748" t="str">
            <v>10/06/2020</v>
          </cell>
          <cell r="I748">
            <v>13178.8</v>
          </cell>
          <cell r="J748">
            <v>-273635</v>
          </cell>
          <cell r="K748">
            <v>1656</v>
          </cell>
          <cell r="L748">
            <v>7.9582125603864728</v>
          </cell>
          <cell r="M748" t="str">
            <v>Gramos</v>
          </cell>
        </row>
        <row r="749">
          <cell r="A749" t="str">
            <v>112000004</v>
          </cell>
          <cell r="B749">
            <v>5537</v>
          </cell>
          <cell r="C749" t="str">
            <v>GALLETA OREO TROZOS (PAQ:1.13 K)</v>
          </cell>
          <cell r="D749" t="str">
            <v>112000004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12/05/2020</v>
          </cell>
          <cell r="I749" t="e">
            <v>#N/A</v>
          </cell>
          <cell r="J749">
            <v>59600</v>
          </cell>
          <cell r="K749">
            <v>1130</v>
          </cell>
          <cell r="L749" t="e">
            <v>#N/A</v>
          </cell>
        </row>
        <row r="750">
          <cell r="A750" t="str">
            <v>112000009</v>
          </cell>
          <cell r="B750">
            <v>5542</v>
          </cell>
          <cell r="C750" t="str">
            <v>MASECA GRANEL (SACO:20 K)</v>
          </cell>
          <cell r="D750" t="str">
            <v>112000009</v>
          </cell>
          <cell r="E750" t="str">
            <v>MATERIAS PRIMAS PLANTA</v>
          </cell>
          <cell r="F750" t="str">
            <v xml:space="preserve">1 SACO </v>
          </cell>
          <cell r="G750">
            <v>500</v>
          </cell>
          <cell r="H750" t="str">
            <v>15/01/2020</v>
          </cell>
          <cell r="I750">
            <v>30890</v>
          </cell>
          <cell r="J750">
            <v>451374</v>
          </cell>
          <cell r="K750">
            <v>20000</v>
          </cell>
          <cell r="L750">
            <v>1.5445</v>
          </cell>
          <cell r="M750" t="str">
            <v>Gramos</v>
          </cell>
        </row>
        <row r="751">
          <cell r="A751" t="str">
            <v>112000047</v>
          </cell>
          <cell r="B751">
            <v>7074</v>
          </cell>
          <cell r="C751" t="str">
            <v>EMPANIZADOR PANKO (PAQ: 3 K)</v>
          </cell>
          <cell r="D751" t="str">
            <v>112000047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28/02/2020</v>
          </cell>
          <cell r="I751">
            <v>15946.32</v>
          </cell>
          <cell r="J751">
            <v>908925</v>
          </cell>
          <cell r="K751">
            <v>3000</v>
          </cell>
          <cell r="L751">
            <v>5.3154399999999997</v>
          </cell>
        </row>
        <row r="752">
          <cell r="A752" t="str">
            <v>112000061</v>
          </cell>
          <cell r="B752">
            <v>14101</v>
          </cell>
          <cell r="C752" t="str">
            <v>PAN MUFFIN 70G (PAQ:6 UND)</v>
          </cell>
          <cell r="D752" t="str">
            <v>112000061</v>
          </cell>
          <cell r="E752" t="str">
            <v>MATERIAS PRIMAS PLANTA</v>
          </cell>
          <cell r="F752" t="str">
            <v>1 PAQUETE</v>
          </cell>
          <cell r="G752">
            <v>500</v>
          </cell>
          <cell r="H752" t="str">
            <v>15/06/2020</v>
          </cell>
          <cell r="I752">
            <v>1140</v>
          </cell>
          <cell r="J752">
            <v>247380</v>
          </cell>
          <cell r="K752">
            <v>6</v>
          </cell>
          <cell r="L752">
            <v>190</v>
          </cell>
        </row>
        <row r="753">
          <cell r="A753" t="str">
            <v>112000065</v>
          </cell>
          <cell r="B753">
            <v>15821</v>
          </cell>
          <cell r="C753" t="str">
            <v>PANINI PARRILADA 8" (PAQ:10 UND)</v>
          </cell>
          <cell r="D753" t="str">
            <v>112000065</v>
          </cell>
          <cell r="E753" t="str">
            <v>MATERIAS PRIMAS PLANTA</v>
          </cell>
          <cell r="F753" t="str">
            <v>1 PAQUETE</v>
          </cell>
          <cell r="G753">
            <v>500</v>
          </cell>
          <cell r="H753" t="str">
            <v>13/01/2020</v>
          </cell>
          <cell r="I753" t="e">
            <v>#N/A</v>
          </cell>
          <cell r="J753">
            <v>406200</v>
          </cell>
          <cell r="K753">
            <v>10</v>
          </cell>
          <cell r="L753" t="e">
            <v>#N/A</v>
          </cell>
        </row>
        <row r="754">
          <cell r="A754" t="str">
            <v>114000002</v>
          </cell>
          <cell r="B754">
            <v>5584</v>
          </cell>
          <cell r="C754" t="str">
            <v>LECHE HOMOGENIZ TB 3.5%  (CAJA:12 UND)</v>
          </cell>
          <cell r="D754" t="str">
            <v>0310108</v>
          </cell>
          <cell r="E754" t="str">
            <v>MATERIAS PRIMAS PLANTA</v>
          </cell>
          <cell r="F754" t="str">
            <v>1 CAJA</v>
          </cell>
          <cell r="G754">
            <v>500</v>
          </cell>
          <cell r="H754" t="str">
            <v>08/06/2020</v>
          </cell>
          <cell r="I754">
            <v>7867</v>
          </cell>
          <cell r="J754">
            <v>1165972.02</v>
          </cell>
          <cell r="K754">
            <v>12000</v>
          </cell>
          <cell r="L754">
            <v>0.6555833333333333</v>
          </cell>
          <cell r="M754" t="str">
            <v>Mililitros</v>
          </cell>
        </row>
        <row r="755">
          <cell r="A755" t="str">
            <v>114000017</v>
          </cell>
          <cell r="B755">
            <v>5599</v>
          </cell>
          <cell r="C755" t="str">
            <v>BETTERCREAM CHOCOLATE (UND:4 Kg)</v>
          </cell>
          <cell r="D755" t="str">
            <v>114000017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12/06/2020</v>
          </cell>
          <cell r="I755">
            <v>8906</v>
          </cell>
          <cell r="J755">
            <v>2293166</v>
          </cell>
          <cell r="K755">
            <v>4000</v>
          </cell>
          <cell r="L755">
            <v>2.2265000000000001</v>
          </cell>
          <cell r="M755" t="str">
            <v>Gramos</v>
          </cell>
        </row>
        <row r="756">
          <cell r="A756" t="str">
            <v>116000009</v>
          </cell>
          <cell r="B756">
            <v>9534</v>
          </cell>
          <cell r="C756" t="str">
            <v>PRESERVANTE OPTIFORM PD4 (UND:25K)</v>
          </cell>
          <cell r="D756" t="str">
            <v>116000009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05/06/2020</v>
          </cell>
          <cell r="I756">
            <v>80</v>
          </cell>
          <cell r="J756">
            <v>92339.199999999997</v>
          </cell>
          <cell r="K756">
            <v>25000</v>
          </cell>
          <cell r="L756">
            <v>3.2000000000000002E-3</v>
          </cell>
          <cell r="M756" t="str">
            <v>Gramos</v>
          </cell>
        </row>
        <row r="757">
          <cell r="A757" t="str">
            <v>118000004</v>
          </cell>
          <cell r="B757">
            <v>5655</v>
          </cell>
          <cell r="C757" t="str">
            <v>VAINILLA OSCURA (UND: 3.78 L)</v>
          </cell>
          <cell r="D757" t="str">
            <v>118000004</v>
          </cell>
          <cell r="E757" t="str">
            <v>MATERIAS PRIMAS PLANTA</v>
          </cell>
          <cell r="F757" t="str">
            <v>1 UND</v>
          </cell>
          <cell r="G757">
            <v>500</v>
          </cell>
          <cell r="H757" t="str">
            <v>03/06/2020</v>
          </cell>
          <cell r="I757">
            <v>3900</v>
          </cell>
          <cell r="J757">
            <v>42900</v>
          </cell>
          <cell r="K757">
            <v>3780</v>
          </cell>
          <cell r="L757">
            <v>1.0317460317460319</v>
          </cell>
          <cell r="M757" t="str">
            <v>Mililitros</v>
          </cell>
        </row>
        <row r="758">
          <cell r="A758" t="str">
            <v>118000007</v>
          </cell>
          <cell r="B758">
            <v>7062</v>
          </cell>
          <cell r="C758" t="str">
            <v>SABORIZANTE MELO (KILO)</v>
          </cell>
          <cell r="D758" t="str">
            <v>118000007</v>
          </cell>
          <cell r="E758" t="str">
            <v>MATERIAS PRIMAS PLANTA</v>
          </cell>
          <cell r="F758" t="str">
            <v xml:space="preserve">1 KILO </v>
          </cell>
          <cell r="G758">
            <v>500</v>
          </cell>
          <cell r="H758" t="str">
            <v>07/02/2020</v>
          </cell>
          <cell r="I758">
            <v>7795</v>
          </cell>
          <cell r="J758">
            <v>7795.36</v>
          </cell>
          <cell r="K758">
            <v>1000</v>
          </cell>
          <cell r="L758">
            <v>7.7949999999999999</v>
          </cell>
          <cell r="M758" t="str">
            <v>Gramos</v>
          </cell>
        </row>
        <row r="759">
          <cell r="A759" t="str">
            <v>118000014</v>
          </cell>
          <cell r="B759">
            <v>9606</v>
          </cell>
          <cell r="C759" t="str">
            <v>SABORIZANTE MENTA (KILO)</v>
          </cell>
          <cell r="D759" t="str">
            <v>118000014</v>
          </cell>
          <cell r="E759" t="str">
            <v>MATERIAS PRIMAS PLANTA</v>
          </cell>
          <cell r="F759" t="str">
            <v xml:space="preserve">1 KILO </v>
          </cell>
          <cell r="G759">
            <v>500</v>
          </cell>
          <cell r="H759" t="str">
            <v>07/02/2020</v>
          </cell>
          <cell r="I759">
            <v>20470.53</v>
          </cell>
          <cell r="J759">
            <v>38317.14</v>
          </cell>
          <cell r="K759">
            <v>1000</v>
          </cell>
          <cell r="L759">
            <v>20.47053</v>
          </cell>
          <cell r="M759" t="str">
            <v>Gramos</v>
          </cell>
        </row>
        <row r="760">
          <cell r="A760" t="str">
            <v>118000017</v>
          </cell>
          <cell r="B760">
            <v>16320</v>
          </cell>
          <cell r="C760" t="str">
            <v>SABORIZANTE RON (UND)</v>
          </cell>
          <cell r="D760" t="str">
            <v>118000017</v>
          </cell>
          <cell r="E760" t="str">
            <v>MATERIAS PRIMAS PLANTA</v>
          </cell>
          <cell r="F760" t="str">
            <v>1 UNIDAD</v>
          </cell>
          <cell r="G760">
            <v>500</v>
          </cell>
          <cell r="H760" t="str">
            <v>29/05/2020</v>
          </cell>
          <cell r="I760">
            <v>8372.98</v>
          </cell>
          <cell r="J760">
            <v>16368.96</v>
          </cell>
          <cell r="L760" t="e">
            <v>#DIV/0!</v>
          </cell>
        </row>
        <row r="761">
          <cell r="A761" t="str">
            <v>119000012</v>
          </cell>
          <cell r="B761">
            <v>5668</v>
          </cell>
          <cell r="C761" t="str">
            <v>MACADAMIA ENTERA (PAQ=1 KILO)</v>
          </cell>
          <cell r="D761" t="str">
            <v>119000012</v>
          </cell>
          <cell r="E761" t="str">
            <v>MATERIAS PRIMAS PLANTA</v>
          </cell>
          <cell r="F761" t="str">
            <v>1 PAQUETE</v>
          </cell>
          <cell r="G761">
            <v>500</v>
          </cell>
          <cell r="H761" t="str">
            <v>15/06/2020</v>
          </cell>
          <cell r="I761" t="e">
            <v>#N/A</v>
          </cell>
          <cell r="J761">
            <v>12423172.800000001</v>
          </cell>
          <cell r="K761">
            <v>1000</v>
          </cell>
          <cell r="L761" t="e">
            <v>#N/A</v>
          </cell>
        </row>
        <row r="762">
          <cell r="A762" t="str">
            <v>119000026</v>
          </cell>
          <cell r="B762">
            <v>14850</v>
          </cell>
          <cell r="C762" t="str">
            <v>SEMILLA DE AMAPOLA (UND: 566 G)</v>
          </cell>
          <cell r="D762" t="str">
            <v>119000026</v>
          </cell>
          <cell r="E762" t="str">
            <v>MATERIAS PRIMAS PLANTA</v>
          </cell>
          <cell r="F762" t="str">
            <v>1 Uds.</v>
          </cell>
          <cell r="G762">
            <v>500</v>
          </cell>
          <cell r="H762" t="str">
            <v>15/06/2020</v>
          </cell>
          <cell r="I762">
            <v>5188</v>
          </cell>
          <cell r="J762">
            <v>51068</v>
          </cell>
          <cell r="K762">
            <v>566</v>
          </cell>
          <cell r="L762">
            <v>9.1660777385159005</v>
          </cell>
          <cell r="M762" t="str">
            <v>Gramos</v>
          </cell>
        </row>
        <row r="763">
          <cell r="A763" t="str">
            <v>120000012</v>
          </cell>
          <cell r="B763">
            <v>10290</v>
          </cell>
          <cell r="C763" t="str">
            <v>ARO CHOCOLATE BLANCO (CAJA:150 UND)</v>
          </cell>
          <cell r="D763" t="str">
            <v>120000012</v>
          </cell>
          <cell r="E763" t="str">
            <v>MATERIAS PRIMAS PLANTA</v>
          </cell>
          <cell r="F763" t="str">
            <v>1 CAJA</v>
          </cell>
          <cell r="G763">
            <v>500</v>
          </cell>
          <cell r="H763" t="str">
            <v>03/12/2019</v>
          </cell>
          <cell r="I763" t="e">
            <v>#N/A</v>
          </cell>
          <cell r="J763">
            <v>-12951</v>
          </cell>
          <cell r="K763">
            <v>150</v>
          </cell>
          <cell r="L763" t="e">
            <v>#N/A</v>
          </cell>
        </row>
        <row r="764">
          <cell r="A764" t="str">
            <v>120000017</v>
          </cell>
          <cell r="B764">
            <v>14824</v>
          </cell>
          <cell r="C764" t="str">
            <v>GALLETA DE CHOCOLATE (PAQ:3 UND)</v>
          </cell>
          <cell r="D764" t="str">
            <v>120000017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13/05/2020</v>
          </cell>
          <cell r="I764" t="e">
            <v>#N/A</v>
          </cell>
          <cell r="J764">
            <v>165121.5</v>
          </cell>
          <cell r="L764" t="e">
            <v>#N/A</v>
          </cell>
        </row>
        <row r="765">
          <cell r="A765" t="str">
            <v>120000018</v>
          </cell>
          <cell r="B765">
            <v>14825</v>
          </cell>
          <cell r="C765" t="str">
            <v>GALLETA DE CRAMBERRY (PAQ:5 UND)</v>
          </cell>
          <cell r="D765" t="str">
            <v>120000018</v>
          </cell>
          <cell r="E765" t="str">
            <v>MATERIAS PRIMAS PLANTA</v>
          </cell>
          <cell r="F765" t="str">
            <v>1 PAQ</v>
          </cell>
          <cell r="G765">
            <v>500</v>
          </cell>
          <cell r="H765" t="str">
            <v>13/05/2020</v>
          </cell>
          <cell r="I765" t="e">
            <v>#N/A</v>
          </cell>
          <cell r="J765">
            <v>130093.7</v>
          </cell>
          <cell r="L765" t="e">
            <v>#N/A</v>
          </cell>
        </row>
        <row r="766">
          <cell r="A766" t="str">
            <v>120000019</v>
          </cell>
          <cell r="B766">
            <v>14826</v>
          </cell>
          <cell r="C766" t="str">
            <v>GALLETA DE CANELA (PAQ:4 UND)</v>
          </cell>
          <cell r="D766" t="str">
            <v>120000019</v>
          </cell>
          <cell r="E766" t="str">
            <v>MATERIAS PRIMAS PLANTA</v>
          </cell>
          <cell r="F766" t="str">
            <v>1 PAQ</v>
          </cell>
          <cell r="G766">
            <v>500</v>
          </cell>
          <cell r="H766" t="str">
            <v>05/06/2020</v>
          </cell>
          <cell r="I766" t="e">
            <v>#N/A</v>
          </cell>
          <cell r="J766">
            <v>126655.1</v>
          </cell>
          <cell r="L766" t="e">
            <v>#N/A</v>
          </cell>
        </row>
        <row r="767">
          <cell r="A767" t="str">
            <v>120000022</v>
          </cell>
          <cell r="B767">
            <v>15912</v>
          </cell>
          <cell r="C767" t="str">
            <v>GALLETA OREO ( PAQ: 126 G)</v>
          </cell>
          <cell r="D767" t="str">
            <v>120000022</v>
          </cell>
          <cell r="E767" t="str">
            <v>MATERIAS PRIMAS PLANTA</v>
          </cell>
          <cell r="F767" t="str">
            <v>1 PAQUETE</v>
          </cell>
          <cell r="G767">
            <v>500</v>
          </cell>
          <cell r="H767" t="str">
            <v>21/05/2020</v>
          </cell>
          <cell r="I767" t="e">
            <v>#N/A</v>
          </cell>
          <cell r="J767">
            <v>85170</v>
          </cell>
          <cell r="K767">
            <v>126</v>
          </cell>
          <cell r="L767" t="e">
            <v>#N/A</v>
          </cell>
        </row>
        <row r="768">
          <cell r="A768" t="str">
            <v>120000023</v>
          </cell>
          <cell r="B768">
            <v>16424</v>
          </cell>
          <cell r="C768" t="str">
            <v>HELADO VAINILLA CARAMELO 1/4 GALON</v>
          </cell>
          <cell r="D768" t="str">
            <v>120000023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16/04/2020</v>
          </cell>
          <cell r="I768" t="e">
            <v>#N/A</v>
          </cell>
          <cell r="J768">
            <v>2297434.79</v>
          </cell>
          <cell r="L768" t="e">
            <v>#N/A</v>
          </cell>
        </row>
        <row r="769">
          <cell r="A769" t="str">
            <v>203000096</v>
          </cell>
          <cell r="B769">
            <v>12763</v>
          </cell>
          <cell r="C769" t="str">
            <v>TARJETA CARTULINA CUCHARA BELGA</v>
          </cell>
          <cell r="D769" t="str">
            <v>203000096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03/02/2020</v>
          </cell>
          <cell r="I769" t="e">
            <v>#N/A</v>
          </cell>
          <cell r="J769">
            <v>150567.25999799999</v>
          </cell>
          <cell r="L769" t="e">
            <v>#N/A</v>
          </cell>
        </row>
        <row r="770">
          <cell r="A770" t="str">
            <v>207000001</v>
          </cell>
          <cell r="B770">
            <v>11323</v>
          </cell>
          <cell r="C770" t="str">
            <v>BATIDO DE PIÑA,PEPINO Y ALBAHACA (UND)</v>
          </cell>
          <cell r="D770" t="str">
            <v>207000001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05/06/2020</v>
          </cell>
          <cell r="I770">
            <v>515</v>
          </cell>
          <cell r="J770">
            <v>798250</v>
          </cell>
          <cell r="L770" t="e">
            <v>#DIV/0!</v>
          </cell>
        </row>
        <row r="771">
          <cell r="A771" t="str">
            <v>207000002</v>
          </cell>
          <cell r="B771">
            <v>11324</v>
          </cell>
          <cell r="C771" t="str">
            <v>BATIDO DE MORA Y JENJIBRE (UND)</v>
          </cell>
          <cell r="D771" t="str">
            <v>207000002</v>
          </cell>
          <cell r="E771" t="str">
            <v>MATERIAS PRIMAS PLANTA</v>
          </cell>
          <cell r="F771" t="str">
            <v>1 UND</v>
          </cell>
          <cell r="G771">
            <v>500</v>
          </cell>
          <cell r="H771" t="str">
            <v>05/06/2020</v>
          </cell>
          <cell r="I771">
            <v>515</v>
          </cell>
          <cell r="J771">
            <v>857990</v>
          </cell>
          <cell r="L771" t="e">
            <v>#DIV/0!</v>
          </cell>
        </row>
        <row r="772">
          <cell r="A772" t="str">
            <v>207000003</v>
          </cell>
          <cell r="B772">
            <v>11325</v>
          </cell>
          <cell r="C772" t="str">
            <v>BATIDO MANGO, NARANJA Y MARACUYA (UND)</v>
          </cell>
          <cell r="D772" t="str">
            <v>207000003</v>
          </cell>
          <cell r="E772" t="str">
            <v>MATERIAS PRIMAS PLANTA</v>
          </cell>
          <cell r="F772" t="str">
            <v>1 UND</v>
          </cell>
          <cell r="G772">
            <v>500</v>
          </cell>
          <cell r="H772" t="str">
            <v>13/06/2020</v>
          </cell>
          <cell r="I772">
            <v>515</v>
          </cell>
          <cell r="J772">
            <v>1121670</v>
          </cell>
          <cell r="L772" t="e">
            <v>#DIV/0!</v>
          </cell>
        </row>
        <row r="773">
          <cell r="A773" t="str">
            <v>401000002</v>
          </cell>
          <cell r="B773">
            <v>5679</v>
          </cell>
          <cell r="C773" t="str">
            <v>BOLSA TRANSPARENTE 6X6X4 KILO</v>
          </cell>
          <cell r="D773" t="str">
            <v>401000002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04/05/2020</v>
          </cell>
          <cell r="I773">
            <v>1400</v>
          </cell>
          <cell r="J773">
            <v>439600</v>
          </cell>
          <cell r="K773">
            <v>430</v>
          </cell>
          <cell r="L773">
            <v>3.2558139534883721</v>
          </cell>
          <cell r="M773" t="str">
            <v>Gramos</v>
          </cell>
        </row>
        <row r="774">
          <cell r="A774" t="str">
            <v>401000003</v>
          </cell>
          <cell r="B774">
            <v>5680</v>
          </cell>
          <cell r="C774" t="str">
            <v>BOLSA TRANSPARENTE 6X8X4 KILO</v>
          </cell>
          <cell r="D774" t="str">
            <v>401000003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23/03/2020</v>
          </cell>
          <cell r="I774">
            <v>1400</v>
          </cell>
          <cell r="J774">
            <v>175000</v>
          </cell>
          <cell r="K774">
            <v>340</v>
          </cell>
          <cell r="L774">
            <v>4.117647058823529</v>
          </cell>
          <cell r="M774" t="str">
            <v>Und</v>
          </cell>
        </row>
        <row r="775">
          <cell r="A775" t="str">
            <v>401000004</v>
          </cell>
          <cell r="B775">
            <v>5681</v>
          </cell>
          <cell r="C775" t="str">
            <v>BOLSA TRANSPARENTE 7X9X4 KILO</v>
          </cell>
          <cell r="D775" t="str">
            <v>401000004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105000</v>
          </cell>
          <cell r="K775">
            <v>250</v>
          </cell>
          <cell r="L775">
            <v>5.6</v>
          </cell>
          <cell r="M775" t="str">
            <v>Gramos</v>
          </cell>
        </row>
        <row r="776">
          <cell r="A776" t="str">
            <v>401000005</v>
          </cell>
          <cell r="B776">
            <v>5682</v>
          </cell>
          <cell r="C776" t="str">
            <v>BOLSA TRANSPARENTE 8X10X4 KILO</v>
          </cell>
          <cell r="D776" t="str">
            <v>401000005</v>
          </cell>
          <cell r="E776" t="str">
            <v>EMPAQUES PLANTA</v>
          </cell>
          <cell r="F776" t="str">
            <v>1 KILO</v>
          </cell>
          <cell r="G776">
            <v>500</v>
          </cell>
          <cell r="H776" t="str">
            <v>07/02/2020</v>
          </cell>
          <cell r="I776" t="e">
            <v>#N/A</v>
          </cell>
          <cell r="J776">
            <v>114940</v>
          </cell>
          <cell r="K776">
            <v>196</v>
          </cell>
          <cell r="L776" t="e">
            <v>#N/A</v>
          </cell>
          <cell r="M776" t="str">
            <v>Gramos</v>
          </cell>
        </row>
        <row r="777">
          <cell r="A777" t="str">
            <v>401000006</v>
          </cell>
          <cell r="B777">
            <v>5683</v>
          </cell>
          <cell r="C777" t="str">
            <v>BOLSA TRANSPARENTE 10X12X4 KILO</v>
          </cell>
          <cell r="D777" t="str">
            <v>401000006</v>
          </cell>
          <cell r="E777" t="str">
            <v>EMPAQUES PLANTA</v>
          </cell>
          <cell r="F777" t="str">
            <v>1 KILO</v>
          </cell>
          <cell r="G777">
            <v>500</v>
          </cell>
          <cell r="H777" t="str">
            <v>27/01/2020</v>
          </cell>
          <cell r="I777">
            <v>1400</v>
          </cell>
          <cell r="J777">
            <v>70000</v>
          </cell>
          <cell r="K777">
            <v>126</v>
          </cell>
          <cell r="L777">
            <v>11.111111111111111</v>
          </cell>
          <cell r="M777" t="str">
            <v>Gramos</v>
          </cell>
        </row>
        <row r="778">
          <cell r="A778" t="str">
            <v>503000036</v>
          </cell>
          <cell r="B778">
            <v>14741</v>
          </cell>
          <cell r="C778" t="str">
            <v>BICARBONATO DE SODIO (PAQ:2.5 K)</v>
          </cell>
          <cell r="D778" t="str">
            <v>503000036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21/03/2020</v>
          </cell>
          <cell r="I778">
            <v>1766.45</v>
          </cell>
          <cell r="J778">
            <v>14131.6</v>
          </cell>
          <cell r="K778">
            <v>2500</v>
          </cell>
          <cell r="L778">
            <v>0.70657999999999999</v>
          </cell>
          <cell r="M778" t="str">
            <v>Gramos</v>
          </cell>
        </row>
        <row r="779">
          <cell r="A779" t="str">
            <v>510000013</v>
          </cell>
          <cell r="B779">
            <v>8045</v>
          </cell>
          <cell r="C779" t="str">
            <v>ORLA 13" C163 (UND)</v>
          </cell>
          <cell r="D779" t="str">
            <v>510000013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17/03/2020</v>
          </cell>
          <cell r="I779">
            <v>230</v>
          </cell>
          <cell r="J779">
            <v>52750</v>
          </cell>
          <cell r="K779">
            <v>1</v>
          </cell>
          <cell r="L779">
            <v>230</v>
          </cell>
        </row>
        <row r="780">
          <cell r="A780" t="str">
            <v>510000014</v>
          </cell>
          <cell r="B780">
            <v>15367</v>
          </cell>
          <cell r="C780" t="str">
            <v>BASE CARTON ALUMINIO REDONDA # 12 (UND)</v>
          </cell>
          <cell r="D780" t="str">
            <v>510000014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 t="e">
            <v>#N/A</v>
          </cell>
          <cell r="J780">
            <v>825000</v>
          </cell>
          <cell r="K780">
            <v>1</v>
          </cell>
          <cell r="L780" t="e">
            <v>#N/A</v>
          </cell>
        </row>
        <row r="781">
          <cell r="A781" t="str">
            <v>510000015</v>
          </cell>
          <cell r="B781">
            <v>15384</v>
          </cell>
          <cell r="C781" t="str">
            <v>BASE RECTAGULAR GRANDE (UND)</v>
          </cell>
          <cell r="D781" t="str">
            <v>510000015</v>
          </cell>
          <cell r="E781" t="str">
            <v>EMPAQUES PLANTA</v>
          </cell>
          <cell r="F781" t="str">
            <v xml:space="preserve">1 UND </v>
          </cell>
          <cell r="G781">
            <v>500</v>
          </cell>
          <cell r="H781" t="str">
            <v>28/01/2020</v>
          </cell>
          <cell r="I781" t="e">
            <v>#N/A</v>
          </cell>
          <cell r="J781">
            <v>330000</v>
          </cell>
          <cell r="K781">
            <v>1</v>
          </cell>
          <cell r="L781" t="e">
            <v>#N/A</v>
          </cell>
        </row>
        <row r="782">
          <cell r="A782" t="str">
            <v>510000016</v>
          </cell>
          <cell r="B782">
            <v>15385</v>
          </cell>
          <cell r="C782" t="str">
            <v>CARTON RECTA PEQ 1/2 QUEQUE CRISTAL(UND)</v>
          </cell>
          <cell r="D782" t="str">
            <v>510000016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28/01/2020</v>
          </cell>
          <cell r="I782">
            <v>180</v>
          </cell>
          <cell r="J782">
            <v>1080000</v>
          </cell>
          <cell r="L782" t="e">
            <v>#DIV/0!</v>
          </cell>
        </row>
        <row r="783">
          <cell r="A783" t="str">
            <v>512000001</v>
          </cell>
          <cell r="B783">
            <v>5845</v>
          </cell>
          <cell r="C783" t="str">
            <v>PLASTICO P PALETIZAR 18X1500</v>
          </cell>
          <cell r="D783" t="str">
            <v>512000001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12/06/2020</v>
          </cell>
          <cell r="I783">
            <v>4800</v>
          </cell>
          <cell r="J783">
            <v>609600</v>
          </cell>
          <cell r="K783">
            <v>15000</v>
          </cell>
          <cell r="L783">
            <v>0.32</v>
          </cell>
          <cell r="M783" t="str">
            <v>Centimetros</v>
          </cell>
        </row>
        <row r="784">
          <cell r="A784" t="str">
            <v>512000002</v>
          </cell>
          <cell r="B784">
            <v>5846</v>
          </cell>
          <cell r="C784" t="str">
            <v>PLASTICO  AUTOAD (UND: 18 * 2000 M)</v>
          </cell>
          <cell r="D784" t="str">
            <v>51200002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12/06/2020</v>
          </cell>
          <cell r="I784">
            <v>10972</v>
          </cell>
          <cell r="J784">
            <v>3275242</v>
          </cell>
          <cell r="K784">
            <v>20000</v>
          </cell>
          <cell r="L784">
            <v>0.54859999999999998</v>
          </cell>
          <cell r="M784" t="str">
            <v>Centimetros</v>
          </cell>
        </row>
        <row r="785">
          <cell r="A785" t="str">
            <v>515000012</v>
          </cell>
          <cell r="B785">
            <v>5874</v>
          </cell>
          <cell r="C785" t="str">
            <v>VASO CARTON NESCAFE 8OZ (PAQ:50 UND)</v>
          </cell>
          <cell r="D785" t="str">
            <v>515000012</v>
          </cell>
          <cell r="E785" t="str">
            <v>EMPAQUES PLANTA</v>
          </cell>
          <cell r="F785" t="str">
            <v>1 PAQUETE</v>
          </cell>
          <cell r="G785">
            <v>500</v>
          </cell>
          <cell r="H785" t="str">
            <v>22/02/2020</v>
          </cell>
          <cell r="I785" t="e">
            <v>#N/A</v>
          </cell>
          <cell r="J785">
            <v>6664</v>
          </cell>
          <cell r="K785">
            <v>50</v>
          </cell>
          <cell r="L785" t="e">
            <v>#N/A</v>
          </cell>
        </row>
        <row r="786">
          <cell r="A786" t="str">
            <v>516000002</v>
          </cell>
          <cell r="B786">
            <v>8074</v>
          </cell>
          <cell r="C786" t="str">
            <v>LAMINA ACETATO (UND)</v>
          </cell>
          <cell r="D786" t="str">
            <v>516000002</v>
          </cell>
          <cell r="E786" t="str">
            <v>EMPAQUES PLANTA</v>
          </cell>
          <cell r="F786" t="str">
            <v>1 UND</v>
          </cell>
          <cell r="G786">
            <v>500</v>
          </cell>
          <cell r="H786" t="str">
            <v>26/12/2019</v>
          </cell>
          <cell r="I786">
            <v>100</v>
          </cell>
          <cell r="J786">
            <v>930000</v>
          </cell>
          <cell r="K786">
            <v>1</v>
          </cell>
          <cell r="L786">
            <v>100</v>
          </cell>
        </row>
        <row r="787">
          <cell r="A787" t="str">
            <v>906000010</v>
          </cell>
          <cell r="B787">
            <v>11228</v>
          </cell>
          <cell r="C787" t="str">
            <v>PREMEZCLA CHOCOMIX (SACO:25k)</v>
          </cell>
          <cell r="D787" t="str">
            <v>906000010</v>
          </cell>
          <cell r="E787" t="str">
            <v>MATERIAS PRIMAS PLANTA</v>
          </cell>
          <cell r="F787" t="str">
            <v>1 SACO</v>
          </cell>
          <cell r="G787">
            <v>500</v>
          </cell>
          <cell r="H787" t="str">
            <v>13/06/2020</v>
          </cell>
          <cell r="I787">
            <v>35505</v>
          </cell>
          <cell r="J787">
            <v>21326625</v>
          </cell>
          <cell r="K787">
            <v>25000</v>
          </cell>
          <cell r="L787">
            <v>1.4201999999999999</v>
          </cell>
          <cell r="M787" t="str">
            <v>Gramos</v>
          </cell>
        </row>
        <row r="788">
          <cell r="A788" t="str">
            <v>403000007</v>
          </cell>
          <cell r="B788">
            <v>5717</v>
          </cell>
          <cell r="C788" t="str">
            <v>GUANTE LATEX CORRIENTE (CAJA:100 UND)</v>
          </cell>
          <cell r="E788" t="str">
            <v>ASEO</v>
          </cell>
          <cell r="F788" t="str">
            <v>1 CAJA</v>
          </cell>
          <cell r="G788">
            <v>500</v>
          </cell>
          <cell r="I788">
            <v>4295</v>
          </cell>
          <cell r="K788">
            <v>100</v>
          </cell>
          <cell r="L788">
            <v>42.95</v>
          </cell>
          <cell r="M788" t="str">
            <v>Und</v>
          </cell>
        </row>
        <row r="789">
          <cell r="A789" t="str">
            <v>10415</v>
          </cell>
          <cell r="C789" t="str">
            <v>AGUA PLANTA</v>
          </cell>
          <cell r="E789" t="str">
            <v>MATERIAS PRIMAS PLANTA</v>
          </cell>
          <cell r="F789" t="str">
            <v>LITRO</v>
          </cell>
          <cell r="I789">
            <v>100</v>
          </cell>
          <cell r="K789">
            <v>1000</v>
          </cell>
          <cell r="L789">
            <v>0.1</v>
          </cell>
          <cell r="M789" t="str">
            <v>Mililitros</v>
          </cell>
        </row>
        <row r="790">
          <cell r="A790" t="str">
            <v>10416</v>
          </cell>
          <cell r="C790" t="str">
            <v>MANO OBRA</v>
          </cell>
          <cell r="E790" t="str">
            <v>MANO OBRA</v>
          </cell>
          <cell r="F790" t="str">
            <v>Minuto</v>
          </cell>
          <cell r="I790">
            <v>56</v>
          </cell>
          <cell r="K790">
            <v>1</v>
          </cell>
          <cell r="L790">
            <v>56</v>
          </cell>
          <cell r="M790" t="str">
            <v>Minutos</v>
          </cell>
        </row>
        <row r="791">
          <cell r="A791" t="str">
            <v>1210415</v>
          </cell>
          <cell r="B791">
            <v>11830</v>
          </cell>
          <cell r="C791" t="str">
            <v>PABILO ROJO</v>
          </cell>
          <cell r="E791" t="str">
            <v>EMPAQUES PLANTA</v>
          </cell>
          <cell r="F791" t="str">
            <v>UND</v>
          </cell>
          <cell r="I791">
            <v>8990</v>
          </cell>
          <cell r="K791">
            <v>14000</v>
          </cell>
          <cell r="L791">
            <v>0.64214285714285713</v>
          </cell>
          <cell r="M791" t="str">
            <v>Centimetros</v>
          </cell>
        </row>
        <row r="792">
          <cell r="A792" t="str">
            <v>18406411</v>
          </cell>
          <cell r="C792" t="str">
            <v>CLORO 5% MFS (UND:GL)</v>
          </cell>
          <cell r="E792" t="str">
            <v>MATERIAS PRIMAS PLANTA</v>
          </cell>
          <cell r="I792" t="e">
            <v>#N/A</v>
          </cell>
          <cell r="K792">
            <v>3785</v>
          </cell>
          <cell r="L792" t="e">
            <v>#N/A</v>
          </cell>
          <cell r="M792" t="str">
            <v>Mililitros</v>
          </cell>
        </row>
        <row r="793">
          <cell r="A793" t="str">
            <v>1010339</v>
          </cell>
          <cell r="C793" t="str">
            <v xml:space="preserve">TRIPLE SEC </v>
          </cell>
          <cell r="E793" t="str">
            <v>MATERIAS PRIMAS PLANTA</v>
          </cell>
          <cell r="F793" t="str">
            <v>UND</v>
          </cell>
          <cell r="I793">
            <v>5600</v>
          </cell>
          <cell r="K793">
            <v>750</v>
          </cell>
          <cell r="L793">
            <v>7.4666666666666668</v>
          </cell>
          <cell r="M793" t="str">
            <v>Mililitros</v>
          </cell>
        </row>
        <row r="794">
          <cell r="A794" t="str">
            <v>10100285</v>
          </cell>
          <cell r="C794" t="str">
            <v>MERMELADA DE NARANJA SMUCKER (UND:361 G)</v>
          </cell>
          <cell r="E794" t="str">
            <v>MATERIAS PRIMAS PLANTA</v>
          </cell>
          <cell r="F794" t="str">
            <v>UND</v>
          </cell>
          <cell r="G794">
            <v>500</v>
          </cell>
          <cell r="I794">
            <v>2323</v>
          </cell>
          <cell r="K794">
            <v>361</v>
          </cell>
          <cell r="L794">
            <v>6.4349030470914128</v>
          </cell>
          <cell r="M794" t="str">
            <v>Gramos</v>
          </cell>
        </row>
        <row r="795">
          <cell r="A795" t="str">
            <v>512316</v>
          </cell>
          <cell r="C795" t="str">
            <v>CAFÉ INSTANTANEO (PAQ: 500 G)</v>
          </cell>
          <cell r="E795" t="str">
            <v>MATERIAS PRIMAS PLANTA</v>
          </cell>
          <cell r="F795" t="str">
            <v>PAQUETE</v>
          </cell>
          <cell r="I795">
            <v>8555</v>
          </cell>
          <cell r="K795">
            <v>500</v>
          </cell>
          <cell r="L795">
            <v>17.11</v>
          </cell>
          <cell r="M795" t="str">
            <v>Gramos</v>
          </cell>
        </row>
      </sheetData>
      <sheetData sheetId="1"/>
      <sheetData sheetId="2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25491.79</v>
          </cell>
          <cell r="H2">
            <v>25.491790000000002</v>
          </cell>
          <cell r="I2">
            <v>69.567999999999998</v>
          </cell>
          <cell r="J2">
            <v>6.9567999999999991E-2</v>
          </cell>
          <cell r="K2">
            <v>4601.0444399999997</v>
          </cell>
          <cell r="L2">
            <v>4.6010444399999999</v>
          </cell>
          <cell r="M2">
            <v>30162.402439999998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1465.41766084135</v>
          </cell>
          <cell r="H3">
            <v>1.4654176608413501</v>
          </cell>
          <cell r="I3">
            <v>7.8611839999999988E-2</v>
          </cell>
          <cell r="J3">
            <v>7.8611839999999988E-5</v>
          </cell>
          <cell r="K3">
            <v>263.78932908264295</v>
          </cell>
          <cell r="L3">
            <v>0.26378932908264296</v>
          </cell>
          <cell r="M3">
            <v>1729.2856017639929</v>
          </cell>
        </row>
        <row r="4">
          <cell r="A4" t="str">
            <v>902000019</v>
          </cell>
          <cell r="B4" t="str">
            <v>MEZCLA P/ENGRASE MOLDES KILO</v>
          </cell>
          <cell r="C4" t="str">
            <v>ESP-RE-BAS-006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858.80201342281885</v>
          </cell>
          <cell r="H4">
            <v>0.85880201342281881</v>
          </cell>
          <cell r="I4">
            <v>14.72991</v>
          </cell>
          <cell r="J4">
            <v>1.4729910000000001E-2</v>
          </cell>
          <cell r="K4">
            <v>157.2357462161074</v>
          </cell>
          <cell r="L4">
            <v>0.15723574621610739</v>
          </cell>
          <cell r="M4">
            <v>1030.7676696389262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795.11509615197895</v>
          </cell>
          <cell r="H5">
            <v>795.11509615197895</v>
          </cell>
          <cell r="I5">
            <v>5.2503956865037704</v>
          </cell>
          <cell r="J5">
            <v>5.2503956865037704</v>
          </cell>
          <cell r="K5">
            <v>144.06578853092688</v>
          </cell>
          <cell r="L5">
            <v>144.06578853092688</v>
          </cell>
          <cell r="M5">
            <v>944.43128036940959</v>
          </cell>
        </row>
        <row r="6">
          <cell r="A6" t="str">
            <v>95555</v>
          </cell>
          <cell r="B6" t="str">
            <v>BASE PREMEZCLA PASTA CHILENA KILO</v>
          </cell>
          <cell r="C6" t="str">
            <v>ESP-RE-PRES-014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906.64104428000019</v>
          </cell>
          <cell r="H6">
            <v>0.90664104428000014</v>
          </cell>
          <cell r="I6">
            <v>3.0527142857142859</v>
          </cell>
          <cell r="J6">
            <v>3.0527142857142858E-3</v>
          </cell>
          <cell r="K6">
            <v>163.7448765418286</v>
          </cell>
          <cell r="L6">
            <v>0.16374487654182859</v>
          </cell>
          <cell r="M6">
            <v>1073.4386351075432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>ESP-RE-PAPS-020</v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915.3538647155309</v>
          </cell>
          <cell r="H7">
            <v>0.91535386471553093</v>
          </cell>
          <cell r="I7">
            <v>3.0820508700000002</v>
          </cell>
          <cell r="J7">
            <v>3.0820508700000002E-3</v>
          </cell>
          <cell r="K7">
            <v>165.31846480539556</v>
          </cell>
          <cell r="L7">
            <v>0.16531846480539555</v>
          </cell>
          <cell r="M7">
            <v>1083.7543803909264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>ESP-RE-PAPS-003</v>
          </cell>
          <cell r="D8" t="str">
            <v>03</v>
          </cell>
          <cell r="E8" t="str">
            <v>Und</v>
          </cell>
          <cell r="F8" t="str">
            <v>Und</v>
          </cell>
          <cell r="G8">
            <v>132.24313527432093</v>
          </cell>
          <cell r="H8">
            <v>132.24313527432093</v>
          </cell>
          <cell r="I8">
            <v>0.4623563564671429</v>
          </cell>
          <cell r="J8">
            <v>0.4623563564671429</v>
          </cell>
          <cell r="K8">
            <v>23.886988493541857</v>
          </cell>
          <cell r="L8">
            <v>23.886988493541857</v>
          </cell>
          <cell r="M8">
            <v>156.59248012432994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>ESP-RE-BAS-033</v>
          </cell>
          <cell r="D9" t="str">
            <v>03</v>
          </cell>
          <cell r="E9" t="str">
            <v>Und</v>
          </cell>
          <cell r="F9" t="str">
            <v>Und</v>
          </cell>
          <cell r="G9">
            <v>418.43896389269946</v>
          </cell>
          <cell r="H9">
            <v>418.43896389269946</v>
          </cell>
          <cell r="I9">
            <v>0.1830292121696</v>
          </cell>
          <cell r="J9">
            <v>0.1830292121696</v>
          </cell>
          <cell r="K9">
            <v>75.351958758876421</v>
          </cell>
          <cell r="L9">
            <v>75.351958758876421</v>
          </cell>
          <cell r="M9">
            <v>493.97395186374547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>ESP-RE-PRES-105</v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25.354331428571431</v>
          </cell>
          <cell r="J10">
            <v>2.5354331428571433E-2</v>
          </cell>
          <cell r="K10">
            <v>74.824979657142862</v>
          </cell>
          <cell r="L10">
            <v>7.4824979657142868E-2</v>
          </cell>
          <cell r="M10">
            <v>490.51931108571432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>ESP-RE-PRES-015</v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1688.2704241249573</v>
          </cell>
          <cell r="H11">
            <v>1.6882704241249573</v>
          </cell>
          <cell r="I11">
            <v>1.3420000000000001</v>
          </cell>
          <cell r="J11">
            <v>1.3420000000000001E-3</v>
          </cell>
          <cell r="K11">
            <v>304.13023634249231</v>
          </cell>
          <cell r="L11">
            <v>0.30413023634249231</v>
          </cell>
          <cell r="M11">
            <v>1993.7426604674497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 xml:space="preserve">ESP-RE-DES-037 </v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2171.9948418848167</v>
          </cell>
          <cell r="H12">
            <v>2.1719948418848167</v>
          </cell>
          <cell r="I12">
            <v>8.5120000000000001E-2</v>
          </cell>
          <cell r="J12">
            <v>8.5119999999999998E-5</v>
          </cell>
          <cell r="K12">
            <v>390.97439313926702</v>
          </cell>
          <cell r="L12">
            <v>0.39097439313926702</v>
          </cell>
          <cell r="M12">
            <v>2563.0543550240836</v>
          </cell>
        </row>
        <row r="13">
          <cell r="A13" t="str">
            <v>908000036</v>
          </cell>
          <cell r="B13" t="str">
            <v>JUGO LIMON LITRO</v>
          </cell>
          <cell r="C13" t="str">
            <v>ESP-RE-COFS-071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420.53139764999997</v>
          </cell>
          <cell r="H13">
            <v>0.42053139764999997</v>
          </cell>
          <cell r="I13">
            <v>4.1554479999999998</v>
          </cell>
          <cell r="J13">
            <v>4.155448E-3</v>
          </cell>
          <cell r="K13">
            <v>76.443632216999987</v>
          </cell>
          <cell r="L13">
            <v>7.6443632216999985E-2</v>
          </cell>
          <cell r="M13">
            <v>501.13047786699997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1345.1395457777778</v>
          </cell>
          <cell r="H14">
            <v>1.3451395457777777</v>
          </cell>
          <cell r="I14">
            <v>1.0462828444444445</v>
          </cell>
          <cell r="J14">
            <v>1.0462828444444444E-3</v>
          </cell>
          <cell r="K14">
            <v>242.313449152</v>
          </cell>
          <cell r="L14">
            <v>0.24231344915200001</v>
          </cell>
          <cell r="M14">
            <v>1588.4992777742223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1571.4991453974792</v>
          </cell>
          <cell r="H15">
            <v>1.5714991453974791</v>
          </cell>
          <cell r="I15">
            <v>5.9616853161485732</v>
          </cell>
          <cell r="J15">
            <v>5.961685316148573E-3</v>
          </cell>
          <cell r="K15">
            <v>283.94294952845297</v>
          </cell>
          <cell r="L15">
            <v>0.28394294952845295</v>
          </cell>
          <cell r="M15">
            <v>1861.4037802420808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1432.8666661481855</v>
          </cell>
          <cell r="H16">
            <v>1.4328666661481855</v>
          </cell>
          <cell r="I16">
            <v>1.5906555290622222</v>
          </cell>
          <cell r="J16">
            <v>1.5906555290622223E-3</v>
          </cell>
          <cell r="K16">
            <v>258.20231790190456</v>
          </cell>
          <cell r="L16">
            <v>0.25820231790190457</v>
          </cell>
          <cell r="M16">
            <v>1692.6596395791521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1432.8666661481855</v>
          </cell>
          <cell r="H17">
            <v>1.4328666661481855</v>
          </cell>
          <cell r="I17">
            <v>10.970724100490793</v>
          </cell>
          <cell r="J17">
            <v>1.0970724100490794E-2</v>
          </cell>
          <cell r="K17">
            <v>259.8907302447617</v>
          </cell>
          <cell r="L17">
            <v>0.25989073024476173</v>
          </cell>
          <cell r="M17">
            <v>1703.7281204934379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1571.4991453974792</v>
          </cell>
          <cell r="H18">
            <v>1.5714991453974791</v>
          </cell>
          <cell r="I18">
            <v>13.260542459005716</v>
          </cell>
          <cell r="J18">
            <v>1.3260542459005716E-2</v>
          </cell>
          <cell r="K18">
            <v>285.25674381416729</v>
          </cell>
          <cell r="L18">
            <v>0.28525674381416727</v>
          </cell>
          <cell r="M18">
            <v>1870.0164316706523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1678.4986433954573</v>
          </cell>
          <cell r="H19">
            <v>1.6784986433954574</v>
          </cell>
          <cell r="I19">
            <v>13.958444808623188</v>
          </cell>
          <cell r="J19">
            <v>1.3958444808623188E-2</v>
          </cell>
          <cell r="K19">
            <v>304.64227587673446</v>
          </cell>
          <cell r="L19">
            <v>0.30464227587673448</v>
          </cell>
          <cell r="M19">
            <v>1997.0993640808149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1432.8666661481855</v>
          </cell>
          <cell r="H20">
            <v>1.4328666661481855</v>
          </cell>
          <cell r="I20">
            <v>10.970724100490793</v>
          </cell>
          <cell r="J20">
            <v>1.0970724100490794E-2</v>
          </cell>
          <cell r="K20">
            <v>259.8907302447617</v>
          </cell>
          <cell r="L20">
            <v>0.25989073024476173</v>
          </cell>
          <cell r="M20">
            <v>1703.7281204934379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600.85074301071529</v>
          </cell>
          <cell r="H21">
            <v>600.85074301071529</v>
          </cell>
          <cell r="I21">
            <v>0.27907903046479998</v>
          </cell>
          <cell r="J21">
            <v>0.27907903046479998</v>
          </cell>
          <cell r="K21">
            <v>108.20336796741242</v>
          </cell>
          <cell r="L21">
            <v>108.20336796741242</v>
          </cell>
          <cell r="M21">
            <v>709.33319000859251</v>
          </cell>
        </row>
        <row r="22">
          <cell r="A22" t="str">
            <v>907000259</v>
          </cell>
          <cell r="B22" t="str">
            <v>ROSQUETE CHOCOLATE PASTELERO REAL 600 g</v>
          </cell>
          <cell r="C22">
            <v>0</v>
          </cell>
          <cell r="D22" t="str">
            <v>01</v>
          </cell>
          <cell r="E22" t="str">
            <v>Und</v>
          </cell>
          <cell r="F22" t="str">
            <v>Und</v>
          </cell>
          <cell r="G22">
            <v>691.92587364348947</v>
          </cell>
          <cell r="H22">
            <v>691.92587364348947</v>
          </cell>
          <cell r="I22">
            <v>12.859545896989289</v>
          </cell>
          <cell r="J22">
            <v>12.859545896989289</v>
          </cell>
          <cell r="K22">
            <v>126.86137551728618</v>
          </cell>
          <cell r="L22">
            <v>126.86137551728618</v>
          </cell>
          <cell r="M22">
            <v>831.64679505776496</v>
          </cell>
        </row>
        <row r="23">
          <cell r="A23" t="str">
            <v>905000001</v>
          </cell>
          <cell r="B23" t="str">
            <v>BATIDO RELL P/TORTA CHOCOFRESA KILO</v>
          </cell>
          <cell r="C23" t="str">
            <v>ESP-RE-BAS-003</v>
          </cell>
          <cell r="D23" t="str">
            <v>09</v>
          </cell>
          <cell r="E23" t="str">
            <v>Kilo</v>
          </cell>
          <cell r="F23" t="str">
            <v>Gramo</v>
          </cell>
          <cell r="G23">
            <v>2564.6508015602835</v>
          </cell>
          <cell r="H23">
            <v>2.5646508015602834</v>
          </cell>
          <cell r="I23">
            <v>9.2376534954407283</v>
          </cell>
          <cell r="J23">
            <v>9.2376534954407286E-3</v>
          </cell>
          <cell r="K23">
            <v>463.29992191003032</v>
          </cell>
          <cell r="L23">
            <v>0.46329992191003033</v>
          </cell>
          <cell r="M23">
            <v>3037.1883769657543</v>
          </cell>
        </row>
        <row r="24">
          <cell r="A24" t="str">
            <v>95453</v>
          </cell>
          <cell r="B24" t="str">
            <v>COCCION SALSA BLANCA SPOON KILO</v>
          </cell>
          <cell r="C24" t="str">
            <v>ESP-RE-COCS-024</v>
          </cell>
          <cell r="D24" t="str">
            <v>13</v>
          </cell>
          <cell r="E24" t="str">
            <v>Kilo</v>
          </cell>
          <cell r="F24" t="str">
            <v>Gramo</v>
          </cell>
          <cell r="G24">
            <v>1528.6816502565746</v>
          </cell>
          <cell r="H24">
            <v>1.5286816502565745</v>
          </cell>
          <cell r="I24">
            <v>0.57668800000000009</v>
          </cell>
          <cell r="J24">
            <v>5.7668800000000011E-4</v>
          </cell>
          <cell r="K24">
            <v>275.26650088618345</v>
          </cell>
          <cell r="L24">
            <v>0.27526650088618343</v>
          </cell>
          <cell r="M24">
            <v>1804.5248391427581</v>
          </cell>
        </row>
        <row r="25">
          <cell r="A25" t="str">
            <v>901000199</v>
          </cell>
          <cell r="B25" t="str">
            <v>EMPAQUE SALSA BLANCA SPOON KILO</v>
          </cell>
          <cell r="C25" t="str">
            <v xml:space="preserve">ESP-RE-EMPS-013 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1528.6816502565746</v>
          </cell>
          <cell r="H25">
            <v>1.5286816502565745</v>
          </cell>
          <cell r="I25">
            <v>8.1851451428571416</v>
          </cell>
          <cell r="J25">
            <v>8.1851451428571424E-3</v>
          </cell>
          <cell r="K25">
            <v>276.6360231718977</v>
          </cell>
          <cell r="L25">
            <v>0.27663602317189773</v>
          </cell>
          <cell r="M25">
            <v>1813.5028185713295</v>
          </cell>
        </row>
        <row r="26">
          <cell r="A26" t="str">
            <v>901000167</v>
          </cell>
          <cell r="B26" t="str">
            <v>POLLO RECORTE COCCION KILO</v>
          </cell>
          <cell r="C26" t="str">
            <v>ESP-RE-COCS-069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4036.5767299578056</v>
          </cell>
          <cell r="H26">
            <v>4.0365767299578055</v>
          </cell>
          <cell r="I26">
            <v>16.606962025316456</v>
          </cell>
          <cell r="J26">
            <v>1.6606962025316457E-2</v>
          </cell>
          <cell r="K26">
            <v>729.57306455696198</v>
          </cell>
          <cell r="L26">
            <v>0.72957306455696203</v>
          </cell>
          <cell r="M26">
            <v>4782.7567565400841</v>
          </cell>
        </row>
        <row r="27">
          <cell r="A27" t="str">
            <v>909000020</v>
          </cell>
          <cell r="B27" t="str">
            <v>EMPAQ POLLO RECORTE KILO</v>
          </cell>
          <cell r="C27" t="str">
            <v xml:space="preserve">ESP-RE-EMPS-066 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4036.5767299578056</v>
          </cell>
          <cell r="H27">
            <v>4.0365767299578055</v>
          </cell>
          <cell r="I27">
            <v>32.8054191681736</v>
          </cell>
          <cell r="J27">
            <v>3.2805419168173602E-2</v>
          </cell>
          <cell r="K27">
            <v>732.48878684267618</v>
          </cell>
          <cell r="L27">
            <v>0.73248878684267615</v>
          </cell>
          <cell r="M27">
            <v>4801.8709359686554</v>
          </cell>
        </row>
        <row r="28">
          <cell r="A28" t="str">
            <v>90100129</v>
          </cell>
          <cell r="B28" t="str">
            <v>EMPAQUE ALMIDON MODIFICADO KILO</v>
          </cell>
          <cell r="C28" t="str">
            <v>ESP-RE-PRES-096</v>
          </cell>
          <cell r="D28" t="str">
            <v>01</v>
          </cell>
          <cell r="E28" t="str">
            <v>Kilo</v>
          </cell>
          <cell r="F28" t="str">
            <v>Gramo</v>
          </cell>
          <cell r="G28">
            <v>1232.1200000000001</v>
          </cell>
          <cell r="H28">
            <v>1.2321200000000001</v>
          </cell>
          <cell r="I28">
            <v>7.5684571428571434</v>
          </cell>
          <cell r="J28">
            <v>7.5684571428571434E-3</v>
          </cell>
          <cell r="K28">
            <v>223.1439222857143</v>
          </cell>
          <cell r="L28">
            <v>0.22314392228571431</v>
          </cell>
          <cell r="M28">
            <v>1462.8323794285716</v>
          </cell>
        </row>
        <row r="29">
          <cell r="A29" t="str">
            <v>95717</v>
          </cell>
          <cell r="B29" t="str">
            <v>CREMA CHANTILLY BLANCA SPOON-IND KILO</v>
          </cell>
          <cell r="C29" t="str">
            <v xml:space="preserve">ESP-RE-DES-036 </v>
          </cell>
          <cell r="D29" t="str">
            <v>08</v>
          </cell>
          <cell r="E29" t="str">
            <v>Kilo</v>
          </cell>
          <cell r="F29" t="str">
            <v>Gramo</v>
          </cell>
          <cell r="G29">
            <v>1875.402733173077</v>
          </cell>
          <cell r="H29">
            <v>1.8754027331730769</v>
          </cell>
          <cell r="I29">
            <v>2.7884615384615379E-2</v>
          </cell>
          <cell r="J29">
            <v>2.7884615384615379E-5</v>
          </cell>
          <cell r="K29">
            <v>337.57751120192307</v>
          </cell>
          <cell r="L29">
            <v>0.33757751120192309</v>
          </cell>
          <cell r="M29">
            <v>2213.0081289903846</v>
          </cell>
        </row>
        <row r="30">
          <cell r="A30" t="str">
            <v>90100286</v>
          </cell>
          <cell r="B30" t="str">
            <v>TOPPING MELOCOTON PLANTA KILO</v>
          </cell>
          <cell r="C30" t="str">
            <v>ESP-RE-COCS-304</v>
          </cell>
          <cell r="D30" t="str">
            <v>02</v>
          </cell>
          <cell r="E30" t="str">
            <v>Kilo</v>
          </cell>
          <cell r="F30" t="str">
            <v>Gramo</v>
          </cell>
          <cell r="G30">
            <v>1592.3250680738313</v>
          </cell>
          <cell r="H30">
            <v>1.5923250680738312</v>
          </cell>
          <cell r="I30">
            <v>7.4431822897142874</v>
          </cell>
          <cell r="J30">
            <v>7.4431822897142877E-3</v>
          </cell>
          <cell r="K30">
            <v>287.95828506543819</v>
          </cell>
          <cell r="L30">
            <v>0.28795828506543819</v>
          </cell>
          <cell r="M30">
            <v>1887.7265354289839</v>
          </cell>
        </row>
        <row r="31">
          <cell r="A31" t="str">
            <v>90100319</v>
          </cell>
          <cell r="B31" t="str">
            <v>RAGU A LA BOLOGNESA</v>
          </cell>
          <cell r="C31">
            <v>0</v>
          </cell>
          <cell r="D31" t="str">
            <v>01</v>
          </cell>
          <cell r="E31" t="str">
            <v>Kilo</v>
          </cell>
          <cell r="F31" t="str">
            <v>Gramo</v>
          </cell>
          <cell r="G31">
            <v>3923.1276843199998</v>
          </cell>
          <cell r="H31">
            <v>3.9231276843199998</v>
          </cell>
          <cell r="I31">
            <v>1.9750944000000006E-2</v>
          </cell>
          <cell r="J31">
            <v>1.9750944000000008E-5</v>
          </cell>
          <cell r="K31">
            <v>706.16653834751992</v>
          </cell>
          <cell r="L31">
            <v>0.70616653834751997</v>
          </cell>
          <cell r="M31">
            <v>4629.3139736115199</v>
          </cell>
        </row>
        <row r="32">
          <cell r="A32" t="str">
            <v>20100117</v>
          </cell>
          <cell r="B32" t="str">
            <v>EMPAQUE TOPING MELO KILO</v>
          </cell>
          <cell r="C32" t="str">
            <v>ESP-RE-EMPS-197</v>
          </cell>
          <cell r="D32" t="str">
            <v>01</v>
          </cell>
          <cell r="E32" t="str">
            <v>Kilo</v>
          </cell>
          <cell r="F32" t="str">
            <v>Gramo</v>
          </cell>
          <cell r="G32">
            <v>1592.3250680738313</v>
          </cell>
          <cell r="H32">
            <v>1.5923250680738312</v>
          </cell>
          <cell r="I32">
            <v>13.833182289714285</v>
          </cell>
          <cell r="J32">
            <v>1.3833182289714285E-2</v>
          </cell>
          <cell r="K32">
            <v>289.10848506543823</v>
          </cell>
          <cell r="L32">
            <v>0.28910848506543824</v>
          </cell>
          <cell r="M32">
            <v>1895.2667354289838</v>
          </cell>
        </row>
        <row r="33">
          <cell r="A33" t="str">
            <v>20500039</v>
          </cell>
          <cell r="B33" t="str">
            <v>EMPAQUE RELLENO MELO CON TOPING KILO</v>
          </cell>
          <cell r="C33" t="str">
            <v xml:space="preserve">ESP-RE-POS-199  </v>
          </cell>
          <cell r="D33" t="str">
            <v>02</v>
          </cell>
          <cell r="E33" t="str">
            <v>Kilo</v>
          </cell>
          <cell r="F33" t="str">
            <v>Gramo</v>
          </cell>
          <cell r="G33">
            <v>2863.9670389399498</v>
          </cell>
          <cell r="H33">
            <v>2.8639670389399496</v>
          </cell>
          <cell r="I33">
            <v>2.9821618449499545</v>
          </cell>
          <cell r="J33">
            <v>2.9821618449499547E-3</v>
          </cell>
          <cell r="K33">
            <v>516.050856141282</v>
          </cell>
          <cell r="L33">
            <v>0.51605085614128199</v>
          </cell>
          <cell r="M33">
            <v>3383.000056926182</v>
          </cell>
        </row>
        <row r="34">
          <cell r="A34" t="str">
            <v>908000021</v>
          </cell>
          <cell r="B34" t="str">
            <v>ALMIBAR KILO</v>
          </cell>
          <cell r="C34" t="str">
            <v>ESP-RE-COCS-034</v>
          </cell>
          <cell r="D34" t="str">
            <v>09</v>
          </cell>
          <cell r="E34" t="str">
            <v>Kilo</v>
          </cell>
          <cell r="F34" t="str">
            <v>Gramo</v>
          </cell>
          <cell r="G34">
            <v>330.31513790000002</v>
          </cell>
          <cell r="H34">
            <v>0.3303151379</v>
          </cell>
          <cell r="I34">
            <v>7.0111079999999992</v>
          </cell>
          <cell r="J34">
            <v>7.0111079999999994E-3</v>
          </cell>
          <cell r="K34">
            <v>60.718724261999995</v>
          </cell>
          <cell r="L34">
            <v>6.0718724261999993E-2</v>
          </cell>
          <cell r="M34">
            <v>398.04497016200003</v>
          </cell>
        </row>
        <row r="35">
          <cell r="A35" t="str">
            <v>902000009</v>
          </cell>
          <cell r="B35" t="str">
            <v>BATIDO MELOCOTON FROM SCRATCH KILO</v>
          </cell>
          <cell r="C35" t="str">
            <v>ESP-RE-BAS-014</v>
          </cell>
          <cell r="D35" t="str">
            <v>04</v>
          </cell>
          <cell r="E35" t="str">
            <v>Kilo</v>
          </cell>
          <cell r="F35" t="str">
            <v>Gramo</v>
          </cell>
          <cell r="G35">
            <v>1187.2471031323023</v>
          </cell>
          <cell r="H35">
            <v>1.1872471031323022</v>
          </cell>
          <cell r="I35">
            <v>0</v>
          </cell>
          <cell r="J35">
            <v>0</v>
          </cell>
          <cell r="K35">
            <v>213.7044785638144</v>
          </cell>
          <cell r="L35">
            <v>0.21370447856381442</v>
          </cell>
          <cell r="M35">
            <v>1400.9515816961166</v>
          </cell>
        </row>
        <row r="36">
          <cell r="A36" t="str">
            <v>901000020</v>
          </cell>
          <cell r="B36" t="str">
            <v>PREMEZCLA P/GALLETA FIGURA</v>
          </cell>
          <cell r="C36" t="str">
            <v xml:space="preserve">ESP-RE-PRES-020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951.92384247258633</v>
          </cell>
          <cell r="H36">
            <v>0.95192384247258632</v>
          </cell>
          <cell r="I36">
            <v>1.9885999999999999</v>
          </cell>
          <cell r="J36">
            <v>1.9886000000000001E-3</v>
          </cell>
          <cell r="K36">
            <v>171.70423964506554</v>
          </cell>
          <cell r="L36">
            <v>0.17170423964506554</v>
          </cell>
          <cell r="M36">
            <v>1125.6166821176519</v>
          </cell>
        </row>
        <row r="37">
          <cell r="A37" t="str">
            <v>95613</v>
          </cell>
          <cell r="B37" t="str">
            <v>BASE PREMEZCLA P/PASTA ALFAJOR KILO</v>
          </cell>
          <cell r="C37" t="str">
            <v xml:space="preserve">ESP-RE-PRES-003 </v>
          </cell>
          <cell r="D37" t="str">
            <v>09</v>
          </cell>
          <cell r="E37" t="str">
            <v>Kilo</v>
          </cell>
          <cell r="F37" t="str">
            <v>Gramo</v>
          </cell>
          <cell r="G37">
            <v>947.14392800000019</v>
          </cell>
          <cell r="H37">
            <v>0.94714392800000013</v>
          </cell>
          <cell r="I37">
            <v>3.7022857142857144</v>
          </cell>
          <cell r="J37">
            <v>3.7022857142857144E-3</v>
          </cell>
          <cell r="K37">
            <v>171.15231846857145</v>
          </cell>
          <cell r="L37">
            <v>0.17115231846857146</v>
          </cell>
          <cell r="M37">
            <v>1121.9985321828574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1704.4453783636359</v>
          </cell>
          <cell r="H38">
            <v>1.704445378363636</v>
          </cell>
          <cell r="I38">
            <v>0</v>
          </cell>
          <cell r="J38">
            <v>0</v>
          </cell>
          <cell r="K38">
            <v>306.80016810545447</v>
          </cell>
          <cell r="L38">
            <v>0.30680016810545446</v>
          </cell>
          <cell r="M38">
            <v>2011.2455464690904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1796.7696766666666</v>
          </cell>
          <cell r="H39">
            <v>1.7967696766666665</v>
          </cell>
          <cell r="I39">
            <v>2.5266999999999999</v>
          </cell>
          <cell r="J39">
            <v>2.5266999999999998E-3</v>
          </cell>
          <cell r="K39">
            <v>323.87334779999998</v>
          </cell>
          <cell r="L39">
            <v>0.32387334779999999</v>
          </cell>
          <cell r="M39">
            <v>2123.1697244666666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944.10736731150814</v>
          </cell>
          <cell r="H40">
            <v>0.94410736731150813</v>
          </cell>
          <cell r="I40">
            <v>3.6862744453574363</v>
          </cell>
          <cell r="J40">
            <v>3.6862744453574365E-3</v>
          </cell>
          <cell r="K40">
            <v>170.60285551623579</v>
          </cell>
          <cell r="L40">
            <v>0.1706028555162358</v>
          </cell>
          <cell r="M40">
            <v>1118.3964972731014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1677.6568960071461</v>
          </cell>
          <cell r="H41">
            <v>1.6776568960071461</v>
          </cell>
          <cell r="I41">
            <v>13.108924675039248</v>
          </cell>
          <cell r="J41">
            <v>1.3108924675039248E-2</v>
          </cell>
          <cell r="K41">
            <v>304.33784772279336</v>
          </cell>
          <cell r="L41">
            <v>0.30433784772279338</v>
          </cell>
          <cell r="M41">
            <v>1995.1036684049786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12.061747160938911</v>
          </cell>
          <cell r="H42">
            <v>12.061747160938911</v>
          </cell>
          <cell r="I42">
            <v>9.1762472725274741E-2</v>
          </cell>
          <cell r="J42">
            <v>9.1762472725274741E-2</v>
          </cell>
          <cell r="K42">
            <v>2.1876317340595532</v>
          </cell>
          <cell r="L42">
            <v>2.1876317340595532</v>
          </cell>
          <cell r="M42">
            <v>14.34114136772374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15.15777460262346</v>
          </cell>
          <cell r="H43">
            <v>15.15777460262346</v>
          </cell>
          <cell r="I43">
            <v>6.4910504070639488E-2</v>
          </cell>
          <cell r="J43">
            <v>6.4910504070639488E-2</v>
          </cell>
          <cell r="K43">
            <v>2.7400833192049379</v>
          </cell>
          <cell r="L43">
            <v>2.7400833192049379</v>
          </cell>
          <cell r="M43">
            <v>17.962768425899036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2165.9031032403282</v>
          </cell>
          <cell r="H44">
            <v>2.165903103240328</v>
          </cell>
          <cell r="I44">
            <v>1.2093006606132826</v>
          </cell>
          <cell r="J44">
            <v>1.2093006606132826E-3</v>
          </cell>
          <cell r="K44">
            <v>390.08023270216944</v>
          </cell>
          <cell r="L44">
            <v>0.39008023270216946</v>
          </cell>
          <cell r="M44">
            <v>2557.1926366031107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3131.6250376155754</v>
          </cell>
          <cell r="H45">
            <v>3.1316250376155752</v>
          </cell>
          <cell r="I45">
            <v>6.1641011561397097</v>
          </cell>
          <cell r="J45">
            <v>6.1641011561397096E-3</v>
          </cell>
          <cell r="K45">
            <v>564.80204497890873</v>
          </cell>
          <cell r="L45">
            <v>0.56480204497890873</v>
          </cell>
          <cell r="M45">
            <v>3702.5911837506237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1117.4242277551789</v>
          </cell>
          <cell r="H46">
            <v>1.1174242277551789</v>
          </cell>
          <cell r="I46">
            <v>0</v>
          </cell>
          <cell r="J46">
            <v>0</v>
          </cell>
          <cell r="K46">
            <v>201.13636099593219</v>
          </cell>
          <cell r="L46">
            <v>0.20113636099593218</v>
          </cell>
          <cell r="M46">
            <v>1318.560588751111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 t="e">
            <v>#N/A</v>
          </cell>
          <cell r="H47" t="e">
            <v>#N/A</v>
          </cell>
          <cell r="I47">
            <v>0</v>
          </cell>
          <cell r="J47">
            <v>0</v>
          </cell>
          <cell r="K47" t="e">
            <v>#N/A</v>
          </cell>
          <cell r="L47" t="e">
            <v>#N/A</v>
          </cell>
          <cell r="M47" t="e">
            <v>#N/A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2201.8293624489793</v>
          </cell>
          <cell r="H48">
            <v>2.2018293624489793</v>
          </cell>
          <cell r="I48">
            <v>8.5120000000000001E-2</v>
          </cell>
          <cell r="J48">
            <v>8.5119999999999998E-5</v>
          </cell>
          <cell r="K48">
            <v>396.34460684081631</v>
          </cell>
          <cell r="L48">
            <v>0.39634460684081629</v>
          </cell>
          <cell r="M48">
            <v>2598.2590892897956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1848.9667657884854</v>
          </cell>
          <cell r="H49">
            <v>1.8489667657884854</v>
          </cell>
          <cell r="I49">
            <v>40.56089606010751</v>
          </cell>
          <cell r="J49">
            <v>4.0560896060107508E-2</v>
          </cell>
          <cell r="K49">
            <v>340.11497913274673</v>
          </cell>
          <cell r="L49">
            <v>0.34011497913274674</v>
          </cell>
          <cell r="M49">
            <v>2229.6426409813398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1775.535966142515</v>
          </cell>
          <cell r="H50">
            <v>1.775535966142515</v>
          </cell>
          <cell r="I50">
            <v>0</v>
          </cell>
          <cell r="J50">
            <v>0</v>
          </cell>
          <cell r="K50">
            <v>319.59647390565272</v>
          </cell>
          <cell r="L50">
            <v>0.31959647390565271</v>
          </cell>
          <cell r="M50">
            <v>2095.1324400481676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843.81152078101411</v>
          </cell>
          <cell r="H51">
            <v>843.81152078101411</v>
          </cell>
          <cell r="I51">
            <v>0.1903076391304348</v>
          </cell>
          <cell r="J51">
            <v>0.1903076391304348</v>
          </cell>
          <cell r="K51">
            <v>151.920329115626</v>
          </cell>
          <cell r="L51">
            <v>151.920329115626</v>
          </cell>
          <cell r="M51">
            <v>995.92215753577057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228.58490834464379</v>
          </cell>
          <cell r="H52">
            <v>228.58490834464379</v>
          </cell>
          <cell r="I52">
            <v>0.18629910000000002</v>
          </cell>
          <cell r="J52">
            <v>0.18629910000000002</v>
          </cell>
          <cell r="K52">
            <v>41.178817340035884</v>
          </cell>
          <cell r="L52">
            <v>41.178817340035884</v>
          </cell>
          <cell r="M52">
            <v>269.95002478467967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1137.8974332250955</v>
          </cell>
          <cell r="H53">
            <v>1137.8974332250955</v>
          </cell>
          <cell r="I53">
            <v>3.9377967648778278</v>
          </cell>
          <cell r="J53">
            <v>3.9377967648778278</v>
          </cell>
          <cell r="K53">
            <v>205.53034139819522</v>
          </cell>
          <cell r="L53">
            <v>205.53034139819522</v>
          </cell>
          <cell r="M53">
            <v>1347.3655713881685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1165.6204702531015</v>
          </cell>
          <cell r="H54">
            <v>1165.6204702531015</v>
          </cell>
          <cell r="I54">
            <v>5.033799369984469</v>
          </cell>
          <cell r="J54">
            <v>5.033799369984469</v>
          </cell>
          <cell r="K54">
            <v>210.71776853215547</v>
          </cell>
          <cell r="L54">
            <v>210.71776853215547</v>
          </cell>
          <cell r="M54">
            <v>1381.3720381552416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7.8250000000000002</v>
          </cell>
          <cell r="H55">
            <v>7.8250000000000004E-3</v>
          </cell>
          <cell r="I55">
            <v>36.582167664670656</v>
          </cell>
          <cell r="J55">
            <v>3.6582167664670658E-2</v>
          </cell>
          <cell r="K55">
            <v>7.9932901796407183</v>
          </cell>
          <cell r="L55">
            <v>7.9932901796407191E-3</v>
          </cell>
          <cell r="M55">
            <v>52.400457844311376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1666.6491776035218</v>
          </cell>
          <cell r="H56">
            <v>1.6666491776035217</v>
          </cell>
          <cell r="I56">
            <v>0.59836222171428588</v>
          </cell>
          <cell r="J56">
            <v>5.9836222171428589E-4</v>
          </cell>
          <cell r="K56">
            <v>300.1045571685425</v>
          </cell>
          <cell r="L56">
            <v>0.30010455716854251</v>
          </cell>
          <cell r="M56">
            <v>1967.3520969937786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2175.9960904761901</v>
          </cell>
          <cell r="H57">
            <v>2.1759960904761901</v>
          </cell>
          <cell r="I57">
            <v>2.726E-2</v>
          </cell>
          <cell r="J57">
            <v>2.726E-5</v>
          </cell>
          <cell r="K57">
            <v>391.68420308571416</v>
          </cell>
          <cell r="L57">
            <v>0.39168420308571417</v>
          </cell>
          <cell r="M57">
            <v>2567.7075535619042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1524.8770477866603</v>
          </cell>
          <cell r="H58">
            <v>1.5248770477866604</v>
          </cell>
          <cell r="I58">
            <v>0.11130476977080322</v>
          </cell>
          <cell r="J58">
            <v>1.1130476977080323E-4</v>
          </cell>
          <cell r="K58">
            <v>274.4979034601576</v>
          </cell>
          <cell r="L58">
            <v>0.27449790346015762</v>
          </cell>
          <cell r="M58">
            <v>1799.4862560165889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594.31702215033408</v>
          </cell>
          <cell r="H59">
            <v>594.31702215033408</v>
          </cell>
          <cell r="I59">
            <v>0.28924104485204349</v>
          </cell>
          <cell r="J59">
            <v>0.28924104485204349</v>
          </cell>
          <cell r="K59">
            <v>107.0291273751335</v>
          </cell>
          <cell r="L59">
            <v>107.0291273751335</v>
          </cell>
          <cell r="M59">
            <v>701.6353905703196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672.31435921803939</v>
          </cell>
          <cell r="H60">
            <v>0.67231435921803939</v>
          </cell>
          <cell r="I60">
            <v>10.44936</v>
          </cell>
          <cell r="J60">
            <v>1.0449360000000001E-2</v>
          </cell>
          <cell r="K60">
            <v>122.89746945924708</v>
          </cell>
          <cell r="L60">
            <v>0.12289746945924708</v>
          </cell>
          <cell r="M60">
            <v>805.66118867728642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2229.2376678921564</v>
          </cell>
          <cell r="H61">
            <v>2.2292376678921566</v>
          </cell>
          <cell r="I61">
            <v>57.145833333333336</v>
          </cell>
          <cell r="J61">
            <v>5.7145833333333333E-2</v>
          </cell>
          <cell r="K61">
            <v>411.54903022058818</v>
          </cell>
          <cell r="L61">
            <v>0.4115490302205882</v>
          </cell>
          <cell r="M61">
            <v>2697.932531446078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2361.5784008307373</v>
          </cell>
          <cell r="H62">
            <v>2.3615784008307372</v>
          </cell>
          <cell r="I62">
            <v>3.4900934579439253</v>
          </cell>
          <cell r="J62">
            <v>3.4900934579439255E-3</v>
          </cell>
          <cell r="K62">
            <v>425.71232897196262</v>
          </cell>
          <cell r="L62">
            <v>0.42571232897196259</v>
          </cell>
          <cell r="M62">
            <v>2790.780823260644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343.03251701537437</v>
          </cell>
          <cell r="H63">
            <v>343.03251701537437</v>
          </cell>
          <cell r="I63">
            <v>2.8205168851981419</v>
          </cell>
          <cell r="J63">
            <v>2.8205168851981419</v>
          </cell>
          <cell r="K63">
            <v>62.253546102103044</v>
          </cell>
          <cell r="L63">
            <v>62.253546102103044</v>
          </cell>
          <cell r="M63">
            <v>408.10658000267551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 t="e">
            <v>#N/A</v>
          </cell>
          <cell r="H64" t="e">
            <v>#N/A</v>
          </cell>
          <cell r="I64">
            <v>6.0650267298289666</v>
          </cell>
          <cell r="J64">
            <v>6.0650267298289666E-3</v>
          </cell>
          <cell r="K64" t="e">
            <v>#N/A</v>
          </cell>
          <cell r="L64" t="e">
            <v>#N/A</v>
          </cell>
          <cell r="M64" t="e">
            <v>#N/A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6.265279091769159</v>
          </cell>
          <cell r="J65">
            <v>6.2652790917691586E-3</v>
          </cell>
          <cell r="K65">
            <v>218.77129328287606</v>
          </cell>
          <cell r="L65">
            <v>0.21877129328287606</v>
          </cell>
          <cell r="M65">
            <v>1434.167367076632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22.229225867562217</v>
          </cell>
          <cell r="J66">
            <v>2.2229225867562218E-2</v>
          </cell>
          <cell r="K66">
            <v>170.46050766616119</v>
          </cell>
          <cell r="L66">
            <v>0.17046050766616119</v>
          </cell>
          <cell r="M66">
            <v>1117.4633280337234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 t="e">
            <v>#N/A</v>
          </cell>
          <cell r="H67" t="e">
            <v>#N/A</v>
          </cell>
          <cell r="I67">
            <v>4.1705677345826038</v>
          </cell>
          <cell r="J67">
            <v>4.170567734582604E-3</v>
          </cell>
          <cell r="K67" t="e">
            <v>#N/A</v>
          </cell>
          <cell r="L67" t="e">
            <v>#N/A</v>
          </cell>
          <cell r="M67" t="e">
            <v>#N/A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14.128</v>
          </cell>
          <cell r="J68">
            <v>1.4128E-2</v>
          </cell>
          <cell r="K68">
            <v>81.678239999999988</v>
          </cell>
          <cell r="L68">
            <v>8.1678239999999985E-2</v>
          </cell>
          <cell r="M68">
            <v>535.44623999999999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2056.5356337055641</v>
          </cell>
          <cell r="H69">
            <v>2.0565356337055642</v>
          </cell>
          <cell r="I69">
            <v>5.6339777882352946</v>
          </cell>
          <cell r="J69">
            <v>5.6339777882352948E-3</v>
          </cell>
          <cell r="K69">
            <v>371.1905300688839</v>
          </cell>
          <cell r="L69">
            <v>0.37119053006888392</v>
          </cell>
          <cell r="M69">
            <v>2433.3601415626836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2056.5356337055641</v>
          </cell>
          <cell r="H70">
            <v>2.0565356337055642</v>
          </cell>
          <cell r="I70">
            <v>12.631477788235294</v>
          </cell>
          <cell r="J70">
            <v>1.2631477788235295E-2</v>
          </cell>
          <cell r="K70">
            <v>372.45008006888389</v>
          </cell>
          <cell r="L70">
            <v>0.37245008006888392</v>
          </cell>
          <cell r="M70">
            <v>2441.6171915626833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744.93295423400127</v>
          </cell>
          <cell r="H71">
            <v>0.7449329542340013</v>
          </cell>
          <cell r="I71">
            <v>5.3676773406593403</v>
          </cell>
          <cell r="J71">
            <v>5.3676773406593405E-3</v>
          </cell>
          <cell r="K71">
            <v>135.05411368343891</v>
          </cell>
          <cell r="L71">
            <v>0.13505411368343892</v>
          </cell>
          <cell r="M71">
            <v>885.35474525809957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592.81284050420163</v>
          </cell>
          <cell r="H72">
            <v>0.59281284050420158</v>
          </cell>
          <cell r="I72">
            <v>7.5781862857142865</v>
          </cell>
          <cell r="J72">
            <v>7.5781862857142862E-3</v>
          </cell>
          <cell r="K72">
            <v>108.07038482218486</v>
          </cell>
          <cell r="L72">
            <v>0.10807038482218487</v>
          </cell>
          <cell r="M72">
            <v>708.46141161210085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188</v>
          </cell>
          <cell r="H73">
            <v>0.188</v>
          </cell>
          <cell r="I73">
            <v>2.8256000000000006</v>
          </cell>
          <cell r="J73">
            <v>2.8256000000000006E-3</v>
          </cell>
          <cell r="K73">
            <v>34.348607999999999</v>
          </cell>
          <cell r="L73">
            <v>3.4348607999999996E-2</v>
          </cell>
          <cell r="M73">
            <v>225.17420800000002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592.81284050420163</v>
          </cell>
          <cell r="H74">
            <v>0.59281284050420158</v>
          </cell>
          <cell r="I74">
            <v>3.6329142857142865E-2</v>
          </cell>
          <cell r="J74">
            <v>3.6329142857142867E-5</v>
          </cell>
          <cell r="K74">
            <v>106.71285053647058</v>
          </cell>
          <cell r="L74">
            <v>0.10671285053647059</v>
          </cell>
          <cell r="M74">
            <v>699.5620201835294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3902.9989467043297</v>
          </cell>
          <cell r="H75">
            <v>3.9029989467043298</v>
          </cell>
          <cell r="I75">
            <v>30.810299912816642</v>
          </cell>
          <cell r="J75">
            <v>3.0810299912816641E-2</v>
          </cell>
          <cell r="K75">
            <v>708.08566439108631</v>
          </cell>
          <cell r="L75">
            <v>0.70808566439108633</v>
          </cell>
          <cell r="M75">
            <v>4641.8949110082331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3902.9989467043297</v>
          </cell>
          <cell r="H76">
            <v>3.9029989467043298</v>
          </cell>
          <cell r="I76">
            <v>34.80887134138807</v>
          </cell>
          <cell r="J76">
            <v>3.4808871341388069E-2</v>
          </cell>
          <cell r="K76">
            <v>708.80540724822913</v>
          </cell>
          <cell r="L76">
            <v>0.70880540724822916</v>
          </cell>
          <cell r="M76">
            <v>4646.6132252939469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 t="e">
            <v>#N/A</v>
          </cell>
          <cell r="H77" t="e">
            <v>#N/A</v>
          </cell>
          <cell r="I77">
            <v>51.078958051680715</v>
          </cell>
          <cell r="J77">
            <v>51.078958051680715</v>
          </cell>
          <cell r="K77" t="e">
            <v>#N/A</v>
          </cell>
          <cell r="L77" t="e">
            <v>#N/A</v>
          </cell>
          <cell r="M77" t="e">
            <v>#N/A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332.74768695652176</v>
          </cell>
          <cell r="L78">
            <v>0.33274768695652174</v>
          </cell>
          <cell r="M78">
            <v>2181.345947826087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5.815480447204969</v>
          </cell>
          <cell r="J79">
            <v>5.8154804472049688E-3</v>
          </cell>
          <cell r="K79">
            <v>333.733743002236</v>
          </cell>
          <cell r="L79">
            <v>0.33373374300223602</v>
          </cell>
          <cell r="M79">
            <v>2187.8100930146584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 t="e">
            <v>#N/A</v>
          </cell>
          <cell r="H80" t="e">
            <v>#N/A</v>
          </cell>
          <cell r="I80">
            <v>5.3730012514655989</v>
          </cell>
          <cell r="J80">
            <v>5.3730012514655989E-3</v>
          </cell>
          <cell r="K80" t="e">
            <v>#N/A</v>
          </cell>
          <cell r="L80" t="e">
            <v>#N/A</v>
          </cell>
          <cell r="M80" t="e">
            <v>#N/A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4036.5767299578056</v>
          </cell>
          <cell r="H81">
            <v>4.0365767299578055</v>
          </cell>
          <cell r="I81">
            <v>21.225312025316455</v>
          </cell>
          <cell r="J81">
            <v>2.1225312025316457E-2</v>
          </cell>
          <cell r="K81">
            <v>730.40436755696192</v>
          </cell>
          <cell r="L81">
            <v>0.73040436755696192</v>
          </cell>
          <cell r="M81">
            <v>4788.2064095400838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 t="e">
            <v>#N/A</v>
          </cell>
          <cell r="H82" t="e">
            <v>#N/A</v>
          </cell>
          <cell r="I82">
            <v>50.943782766649022</v>
          </cell>
          <cell r="J82">
            <v>50.943782766649022</v>
          </cell>
          <cell r="K82" t="e">
            <v>#N/A</v>
          </cell>
          <cell r="L82" t="e">
            <v>#N/A</v>
          </cell>
          <cell r="M82" t="e">
            <v>#N/A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 t="e">
            <v>#N/A</v>
          </cell>
          <cell r="H83" t="e">
            <v>#N/A</v>
          </cell>
          <cell r="I83">
            <v>0</v>
          </cell>
          <cell r="J83">
            <v>0</v>
          </cell>
          <cell r="K83" t="e">
            <v>#N/A</v>
          </cell>
          <cell r="L83" t="e">
            <v>#N/A</v>
          </cell>
          <cell r="M83" t="e">
            <v>#N/A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4.9822401614530776</v>
          </cell>
          <cell r="J84">
            <v>4.9822401614530772E-3</v>
          </cell>
          <cell r="K84">
            <v>125.23257517658929</v>
          </cell>
          <cell r="L84">
            <v>0.12523257517658928</v>
          </cell>
          <cell r="M84">
            <v>820.96910393541873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1327.7561799621078</v>
          </cell>
          <cell r="H85">
            <v>1.3277561799621078</v>
          </cell>
          <cell r="I85">
            <v>17.484740253981336</v>
          </cell>
          <cell r="J85">
            <v>1.7484740253981335E-2</v>
          </cell>
          <cell r="K85">
            <v>242.14336563889603</v>
          </cell>
          <cell r="L85">
            <v>0.24214336563889602</v>
          </cell>
          <cell r="M85">
            <v>1587.3842858549851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2155.6856089619828</v>
          </cell>
          <cell r="H86">
            <v>2.1556856089619827</v>
          </cell>
          <cell r="I86">
            <v>0.26374999999999998</v>
          </cell>
          <cell r="J86">
            <v>2.6374999999999999E-4</v>
          </cell>
          <cell r="K86">
            <v>388.07088461315692</v>
          </cell>
          <cell r="L86">
            <v>0.38807088461315692</v>
          </cell>
          <cell r="M86">
            <v>2544.0202435751398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5966.0416666666661</v>
          </cell>
          <cell r="H87">
            <v>5.9660416666666665</v>
          </cell>
          <cell r="I87">
            <v>26.347272727272728</v>
          </cell>
          <cell r="J87">
            <v>2.6347272727272726E-2</v>
          </cell>
          <cell r="K87">
            <v>1078.630009090909</v>
          </cell>
          <cell r="L87">
            <v>1.0786300090909089</v>
          </cell>
          <cell r="M87">
            <v>7071.0189484848479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631.13184308841858</v>
          </cell>
          <cell r="H88">
            <v>0.63113184308841863</v>
          </cell>
          <cell r="I88">
            <v>7.8277886497064575</v>
          </cell>
          <cell r="J88">
            <v>7.8277886497064575E-3</v>
          </cell>
          <cell r="K88">
            <v>115.0127337128625</v>
          </cell>
          <cell r="L88">
            <v>0.1150127337128625</v>
          </cell>
          <cell r="M88">
            <v>753.97236545098758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948.38656582858721</v>
          </cell>
          <cell r="H89">
            <v>0.94838656582858716</v>
          </cell>
          <cell r="I89">
            <v>4.1217798594847777</v>
          </cell>
          <cell r="J89">
            <v>4.1217798594847775E-3</v>
          </cell>
          <cell r="K89">
            <v>171.45150222385297</v>
          </cell>
          <cell r="L89">
            <v>0.17145150222385297</v>
          </cell>
          <cell r="M89">
            <v>1123.959847911925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157.51098149020183</v>
          </cell>
          <cell r="H90">
            <v>157.51098149020183</v>
          </cell>
          <cell r="I90">
            <v>2.4619962690476189</v>
          </cell>
          <cell r="J90">
            <v>2.4619962690476189</v>
          </cell>
          <cell r="K90">
            <v>28.7951359966649</v>
          </cell>
          <cell r="L90">
            <v>28.7951359966649</v>
          </cell>
          <cell r="M90">
            <v>188.76811375591436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1140.9567980570034</v>
          </cell>
          <cell r="H91">
            <v>1140.9567980570034</v>
          </cell>
          <cell r="I91">
            <v>33.868000000000002</v>
          </cell>
          <cell r="J91">
            <v>33.868000000000002</v>
          </cell>
          <cell r="K91">
            <v>211.46846365026059</v>
          </cell>
          <cell r="L91">
            <v>211.46846365026059</v>
          </cell>
          <cell r="M91">
            <v>1386.293261707264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138.23333333333338</v>
          </cell>
          <cell r="L92">
            <v>0.13823333333333337</v>
          </cell>
          <cell r="M92">
            <v>906.19629629629662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1940.1640707990157</v>
          </cell>
          <cell r="H93">
            <v>1.9401640707990158</v>
          </cell>
          <cell r="I93">
            <v>7.4358974358974348E-3</v>
          </cell>
          <cell r="J93">
            <v>7.4358974358974352E-6</v>
          </cell>
          <cell r="K93">
            <v>349.23087120536127</v>
          </cell>
          <cell r="L93">
            <v>0.34923087120536128</v>
          </cell>
          <cell r="M93">
            <v>2289.402377901813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10763.6526908</v>
          </cell>
          <cell r="H94">
            <v>10.763652690799999</v>
          </cell>
          <cell r="I94">
            <v>8.1353726000650841</v>
          </cell>
          <cell r="J94">
            <v>8.1353726000650845E-3</v>
          </cell>
          <cell r="K94">
            <v>1938.9218514120116</v>
          </cell>
          <cell r="L94">
            <v>1.9389218514120117</v>
          </cell>
          <cell r="M94">
            <v>12710.709914812076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195.61736198581562</v>
          </cell>
          <cell r="H95">
            <v>0.19561736198581561</v>
          </cell>
          <cell r="I95">
            <v>5.451063829787234</v>
          </cell>
          <cell r="J95">
            <v>5.4510638297872336E-3</v>
          </cell>
          <cell r="K95">
            <v>36.192316646808514</v>
          </cell>
          <cell r="L95">
            <v>3.6192316646808512E-2</v>
          </cell>
          <cell r="M95">
            <v>237.26074246241137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195.61736198581562</v>
          </cell>
          <cell r="H96">
            <v>0.19561736198581561</v>
          </cell>
          <cell r="I96">
            <v>13.059520972644375</v>
          </cell>
          <cell r="J96">
            <v>1.3059520972644375E-2</v>
          </cell>
          <cell r="K96">
            <v>37.561838932522797</v>
          </cell>
          <cell r="L96">
            <v>3.7561838932522795E-2</v>
          </cell>
          <cell r="M96">
            <v>246.23872189098279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1459.6859251786045</v>
          </cell>
          <cell r="H97">
            <v>1.4596859251786045</v>
          </cell>
          <cell r="I97">
            <v>4.1683297840175833</v>
          </cell>
          <cell r="J97">
            <v>4.1683297840175836E-3</v>
          </cell>
          <cell r="K97">
            <v>263.49376589327193</v>
          </cell>
          <cell r="L97">
            <v>0.26349376589327195</v>
          </cell>
          <cell r="M97">
            <v>1727.348020855894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1230.4962302455524</v>
          </cell>
          <cell r="H98">
            <v>1.2304962302455524</v>
          </cell>
          <cell r="I98">
            <v>1.5550866141732282</v>
          </cell>
          <cell r="J98">
            <v>1.5550866141732283E-3</v>
          </cell>
          <cell r="K98">
            <v>221.7692370347506</v>
          </cell>
          <cell r="L98">
            <v>0.2217692370347506</v>
          </cell>
          <cell r="M98">
            <v>1453.8205538944762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1230.4962302455524</v>
          </cell>
          <cell r="H99">
            <v>1.2304962302455524</v>
          </cell>
          <cell r="I99">
            <v>10.331086614173229</v>
          </cell>
          <cell r="J99">
            <v>1.0331086614173229E-2</v>
          </cell>
          <cell r="K99">
            <v>223.3489170347506</v>
          </cell>
          <cell r="L99">
            <v>0.2233489170347506</v>
          </cell>
          <cell r="M99">
            <v>1464.1762338944764</v>
          </cell>
        </row>
        <row r="100">
          <cell r="A100" t="str">
            <v>905000013</v>
          </cell>
          <cell r="B100" t="str">
            <v/>
          </cell>
          <cell r="C100" t="str">
            <v/>
          </cell>
          <cell r="D100" t="str">
            <v/>
          </cell>
          <cell r="E100" t="str">
            <v>Kilo</v>
          </cell>
          <cell r="F100" t="str">
            <v>Gramo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1334.4017254674804</v>
          </cell>
          <cell r="H101">
            <v>1.3344017254674805</v>
          </cell>
          <cell r="I101">
            <v>1.542376898395722</v>
          </cell>
          <cell r="J101">
            <v>1.542376898395722E-3</v>
          </cell>
          <cell r="K101">
            <v>240.46993842585772</v>
          </cell>
          <cell r="L101">
            <v>0.24046993842585773</v>
          </cell>
          <cell r="M101">
            <v>1576.4140407917339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1698.1339172953496</v>
          </cell>
          <cell r="H102">
            <v>1.6981339172953496</v>
          </cell>
          <cell r="I102">
            <v>1.4339261433542019</v>
          </cell>
          <cell r="J102">
            <v>1.4339261433542019E-3</v>
          </cell>
          <cell r="K102">
            <v>305.92221181896667</v>
          </cell>
          <cell r="L102">
            <v>0.30592221181896667</v>
          </cell>
          <cell r="M102">
            <v>2005.4900552576705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3510.3584051830749</v>
          </cell>
          <cell r="H103">
            <v>3.5103584051830747</v>
          </cell>
          <cell r="I103">
            <v>31.33897016479424</v>
          </cell>
          <cell r="J103">
            <v>3.1338970164794241E-2</v>
          </cell>
          <cell r="K103">
            <v>637.50552756261641</v>
          </cell>
          <cell r="L103">
            <v>0.63750552756261636</v>
          </cell>
          <cell r="M103">
            <v>4179.2029029104851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4397.9077662337659</v>
          </cell>
          <cell r="H104">
            <v>4.3979077662337662</v>
          </cell>
          <cell r="I104">
            <v>64.122077922077921</v>
          </cell>
          <cell r="J104">
            <v>6.4122077922077927E-2</v>
          </cell>
          <cell r="K104">
            <v>803.16537194805176</v>
          </cell>
          <cell r="L104">
            <v>0.80316537194805171</v>
          </cell>
          <cell r="M104">
            <v>5265.1952161038953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660.11384080707785</v>
          </cell>
          <cell r="H105">
            <v>0.6601138408070778</v>
          </cell>
          <cell r="I105">
            <v>25.120817189151108</v>
          </cell>
          <cell r="J105">
            <v>2.5120817189151108E-2</v>
          </cell>
          <cell r="K105">
            <v>123.34223843932121</v>
          </cell>
          <cell r="L105">
            <v>0.12334223843932121</v>
          </cell>
          <cell r="M105">
            <v>808.57689643555022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808.44808726601639</v>
          </cell>
          <cell r="H106">
            <v>0.80844808726601636</v>
          </cell>
          <cell r="I106">
            <v>3.9490038039998492</v>
          </cell>
          <cell r="J106">
            <v>3.9490038039998489E-3</v>
          </cell>
          <cell r="K106">
            <v>146.23147639260293</v>
          </cell>
          <cell r="L106">
            <v>0.14623147639260292</v>
          </cell>
          <cell r="M106">
            <v>958.62856746261923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660.65756764705895</v>
          </cell>
          <cell r="H107">
            <v>0.66065756764705896</v>
          </cell>
          <cell r="I107">
            <v>3.1456022408963582</v>
          </cell>
          <cell r="J107">
            <v>3.1456022408963584E-3</v>
          </cell>
          <cell r="K107">
            <v>119.48457057983194</v>
          </cell>
          <cell r="L107">
            <v>0.11948457057983194</v>
          </cell>
          <cell r="M107">
            <v>783.28774046778722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79.977150113122192</v>
          </cell>
          <cell r="H108">
            <v>79.977150113122192</v>
          </cell>
          <cell r="I108">
            <v>1.5937233354880413</v>
          </cell>
          <cell r="J108">
            <v>1.5937233354880413</v>
          </cell>
          <cell r="K108">
            <v>14.68275722074984</v>
          </cell>
          <cell r="L108">
            <v>14.68275722074984</v>
          </cell>
          <cell r="M108">
            <v>96.253630669360064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911.19318800247379</v>
          </cell>
          <cell r="H109">
            <v>0.91119318800247384</v>
          </cell>
          <cell r="I109">
            <v>4.4447389345348531</v>
          </cell>
          <cell r="J109">
            <v>4.4447389345348533E-3</v>
          </cell>
          <cell r="K109">
            <v>164.81482684866154</v>
          </cell>
          <cell r="L109">
            <v>0.16481482684866153</v>
          </cell>
          <cell r="M109">
            <v>1080.4527537856702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4392.3695208333329</v>
          </cell>
          <cell r="H110">
            <v>4.3923695208333333</v>
          </cell>
          <cell r="I110">
            <v>0.75</v>
          </cell>
          <cell r="J110">
            <v>7.5000000000000002E-4</v>
          </cell>
          <cell r="K110">
            <v>790.76151374999995</v>
          </cell>
          <cell r="L110">
            <v>0.79076151374999992</v>
          </cell>
          <cell r="M110">
            <v>5183.8810345833326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3237.7850737741919</v>
          </cell>
          <cell r="H111">
            <v>3.2377850737741918</v>
          </cell>
          <cell r="I111">
            <v>5.62880488339247</v>
          </cell>
          <cell r="J111">
            <v>5.6288048833924697E-3</v>
          </cell>
          <cell r="K111">
            <v>583.81449815836515</v>
          </cell>
          <cell r="L111">
            <v>0.58381449815836517</v>
          </cell>
          <cell r="M111">
            <v>3827.2283768159496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834.4211309299817</v>
          </cell>
          <cell r="H112">
            <v>0.83442113092998171</v>
          </cell>
          <cell r="I112">
            <v>3.6061026352288486</v>
          </cell>
          <cell r="J112">
            <v>3.6061026352288486E-3</v>
          </cell>
          <cell r="K112">
            <v>150.8449020417379</v>
          </cell>
          <cell r="L112">
            <v>0.15084490204173789</v>
          </cell>
          <cell r="M112">
            <v>988.8721356069484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2891.2931043524918</v>
          </cell>
          <cell r="H113">
            <v>2.8912931043524916</v>
          </cell>
          <cell r="I113">
            <v>29.305404784220034</v>
          </cell>
          <cell r="J113">
            <v>2.9305404784220033E-2</v>
          </cell>
          <cell r="K113">
            <v>525.70773164460809</v>
          </cell>
          <cell r="L113">
            <v>0.52570773164460805</v>
          </cell>
          <cell r="M113">
            <v>3446.30624078132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2843.6173195823785</v>
          </cell>
          <cell r="H114">
            <v>2.8436173195823784</v>
          </cell>
          <cell r="I114">
            <v>25.648831168831165</v>
          </cell>
          <cell r="J114">
            <v>2.5648831168831165E-2</v>
          </cell>
          <cell r="K114">
            <v>516.46790713521773</v>
          </cell>
          <cell r="L114">
            <v>0.51646790713521773</v>
          </cell>
          <cell r="M114">
            <v>3385.7340578864278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1781.7662381932223</v>
          </cell>
          <cell r="H115">
            <v>1.7817662381932222</v>
          </cell>
          <cell r="I115">
            <v>0</v>
          </cell>
          <cell r="J115">
            <v>0</v>
          </cell>
          <cell r="K115">
            <v>320.71792287478002</v>
          </cell>
          <cell r="L115">
            <v>0.32071792287478001</v>
          </cell>
          <cell r="M115">
            <v>2102.4841610680023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7723.166824230856</v>
          </cell>
          <cell r="H116">
            <v>7723.166824230856</v>
          </cell>
          <cell r="I116">
            <v>32</v>
          </cell>
          <cell r="J116">
            <v>32</v>
          </cell>
          <cell r="K116">
            <v>1395.9300283615539</v>
          </cell>
          <cell r="L116">
            <v>1395.9300283615539</v>
          </cell>
          <cell r="M116">
            <v>9151.0968525924109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2457.40219241879</v>
          </cell>
          <cell r="H117">
            <v>2.4574021924187899</v>
          </cell>
          <cell r="I117">
            <v>0.31463414634146342</v>
          </cell>
          <cell r="J117">
            <v>3.1463414634146341E-4</v>
          </cell>
          <cell r="K117">
            <v>442.38902878172371</v>
          </cell>
          <cell r="L117">
            <v>0.4423890287817237</v>
          </cell>
          <cell r="M117">
            <v>2900.1058553468556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2457.40219241879</v>
          </cell>
          <cell r="H118">
            <v>2.4574021924187899</v>
          </cell>
          <cell r="I118">
            <v>5.0858581463414643</v>
          </cell>
          <cell r="J118">
            <v>5.0858581463414645E-3</v>
          </cell>
          <cell r="K118">
            <v>443.2478491017236</v>
          </cell>
          <cell r="L118">
            <v>0.4432478491017236</v>
          </cell>
          <cell r="M118">
            <v>2905.7358996668549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169.27995819744862</v>
          </cell>
          <cell r="H119">
            <v>169.27995819744862</v>
          </cell>
          <cell r="I119">
            <v>1.7511840693018672</v>
          </cell>
          <cell r="J119">
            <v>1.7511840693018672</v>
          </cell>
          <cell r="K119">
            <v>30.785605608015089</v>
          </cell>
          <cell r="L119">
            <v>30.785605608015089</v>
          </cell>
          <cell r="M119">
            <v>201.81674787476558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62.3530659810354</v>
          </cell>
          <cell r="H120">
            <v>62.3530659810354</v>
          </cell>
          <cell r="I120">
            <v>0.20547005800000004</v>
          </cell>
          <cell r="J120">
            <v>0.20547005800000004</v>
          </cell>
          <cell r="K120">
            <v>11.260536487026371</v>
          </cell>
          <cell r="L120">
            <v>11.260536487026371</v>
          </cell>
          <cell r="M120">
            <v>73.819072526061774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 t="e">
            <v>#N/A</v>
          </cell>
          <cell r="H121" t="e">
            <v>#N/A</v>
          </cell>
          <cell r="I121">
            <v>0</v>
          </cell>
          <cell r="J121">
            <v>0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20.37985214231956</v>
          </cell>
          <cell r="H122">
            <v>20.37985214231956</v>
          </cell>
          <cell r="I122">
            <v>8.6546463245492367E-2</v>
          </cell>
          <cell r="J122">
            <v>8.6546463245492367E-2</v>
          </cell>
          <cell r="K122">
            <v>3.6839517490017095</v>
          </cell>
          <cell r="L122">
            <v>3.6839517490017095</v>
          </cell>
          <cell r="M122">
            <v>24.150350354566765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471.66</v>
          </cell>
          <cell r="H123">
            <v>0.47166000000000002</v>
          </cell>
          <cell r="I123">
            <v>7.5684571428571434</v>
          </cell>
          <cell r="J123">
            <v>7.5684571428571434E-3</v>
          </cell>
          <cell r="K123">
            <v>86.261122285714293</v>
          </cell>
          <cell r="L123">
            <v>8.6261122285714295E-2</v>
          </cell>
          <cell r="M123">
            <v>565.48957942857146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4185.0966740121567</v>
          </cell>
          <cell r="H124">
            <v>4.1850966740121569</v>
          </cell>
          <cell r="I124">
            <v>7.9973721757240481</v>
          </cell>
          <cell r="J124">
            <v>7.9973721757240473E-3</v>
          </cell>
          <cell r="K124">
            <v>754.75692831381855</v>
          </cell>
          <cell r="L124">
            <v>0.75475692831381858</v>
          </cell>
          <cell r="M124">
            <v>4947.8509745016991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96.780541938967914</v>
          </cell>
          <cell r="H125">
            <v>96.780541938967914</v>
          </cell>
          <cell r="I125">
            <v>0.24103637556566809</v>
          </cell>
          <cell r="J125">
            <v>0.24103637556566809</v>
          </cell>
          <cell r="K125">
            <v>17.463884096616045</v>
          </cell>
          <cell r="L125">
            <v>17.463884096616045</v>
          </cell>
          <cell r="M125">
            <v>114.48546241114963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1775.1662017647063</v>
          </cell>
          <cell r="H126">
            <v>1.7751662017647063</v>
          </cell>
          <cell r="I126">
            <v>0</v>
          </cell>
          <cell r="J126">
            <v>0</v>
          </cell>
          <cell r="K126">
            <v>319.52991631764712</v>
          </cell>
          <cell r="L126">
            <v>0.3195299163176471</v>
          </cell>
          <cell r="M126">
            <v>2094.6961180823537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3182.7906976744189</v>
          </cell>
          <cell r="H127">
            <v>3.1827906976744189</v>
          </cell>
          <cell r="I127">
            <v>1.3665116279069769</v>
          </cell>
          <cell r="J127">
            <v>1.3665116279069768E-3</v>
          </cell>
          <cell r="K127">
            <v>573.1482976744187</v>
          </cell>
          <cell r="L127">
            <v>0.57314829767441866</v>
          </cell>
          <cell r="M127">
            <v>3757.3055069767447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55.504331965344278</v>
          </cell>
          <cell r="H128">
            <v>55.504331965344278</v>
          </cell>
          <cell r="I128">
            <v>1.0122308354866496E-2</v>
          </cell>
          <cell r="J128">
            <v>1.0122308354866496E-2</v>
          </cell>
          <cell r="K128">
            <v>9.9926017692658462</v>
          </cell>
          <cell r="L128">
            <v>9.9926017692658462</v>
          </cell>
          <cell r="M128">
            <v>65.50705604296499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1851.2152868207231</v>
          </cell>
          <cell r="H129">
            <v>1.8512152868207232</v>
          </cell>
          <cell r="I129">
            <v>0</v>
          </cell>
          <cell r="J129">
            <v>0</v>
          </cell>
          <cell r="K129">
            <v>333.21875162773017</v>
          </cell>
          <cell r="L129">
            <v>0.33321875162773018</v>
          </cell>
          <cell r="M129">
            <v>2184.4340384484531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1738.6705622585159</v>
          </cell>
          <cell r="H130">
            <v>1.7386705622585159</v>
          </cell>
          <cell r="I130">
            <v>15.485056330699075</v>
          </cell>
          <cell r="J130">
            <v>1.5485056330699075E-2</v>
          </cell>
          <cell r="K130">
            <v>315.74801134605872</v>
          </cell>
          <cell r="L130">
            <v>0.31574801134605873</v>
          </cell>
          <cell r="M130">
            <v>2069.9036299352738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79.434869964803099</v>
          </cell>
          <cell r="H131">
            <v>79.434869964803099</v>
          </cell>
          <cell r="I131">
            <v>1.0771822741528214</v>
          </cell>
          <cell r="J131">
            <v>1.0771822741528214</v>
          </cell>
          <cell r="K131">
            <v>14.492169403012065</v>
          </cell>
          <cell r="L131">
            <v>14.492169403012065</v>
          </cell>
          <cell r="M131">
            <v>95.004221641967987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430.4016153794837</v>
          </cell>
          <cell r="H132">
            <v>430.4016153794837</v>
          </cell>
          <cell r="I132">
            <v>219.63802677142857</v>
          </cell>
          <cell r="J132">
            <v>219.63802677142857</v>
          </cell>
          <cell r="K132">
            <v>117.00713558716421</v>
          </cell>
          <cell r="L132">
            <v>117.00713558716421</v>
          </cell>
          <cell r="M132">
            <v>767.04677773807657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16.870184191176474</v>
          </cell>
          <cell r="H133">
            <v>16.870184191176474</v>
          </cell>
          <cell r="I133">
            <v>7.8640056022408963E-2</v>
          </cell>
          <cell r="J133">
            <v>7.8640056022408963E-2</v>
          </cell>
          <cell r="K133">
            <v>3.0507883644957987</v>
          </cell>
          <cell r="L133">
            <v>3.0507883644957987</v>
          </cell>
          <cell r="M133">
            <v>19.99961261169468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55.59532374412499</v>
          </cell>
          <cell r="H134">
            <v>55.59532374412499</v>
          </cell>
          <cell r="I134">
            <v>1.4062768996461026</v>
          </cell>
          <cell r="J134">
            <v>1.4062768996461026</v>
          </cell>
          <cell r="K134">
            <v>10.260288115878796</v>
          </cell>
          <cell r="L134">
            <v>10.260288115878796</v>
          </cell>
          <cell r="M134">
            <v>67.261888759649892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1061.5295089053998</v>
          </cell>
          <cell r="H135">
            <v>1.0615295089053998</v>
          </cell>
          <cell r="I135">
            <v>0</v>
          </cell>
          <cell r="J135">
            <v>0</v>
          </cell>
          <cell r="K135">
            <v>191.07531160297196</v>
          </cell>
          <cell r="L135">
            <v>0.19107531160297198</v>
          </cell>
          <cell r="M135">
            <v>1252.6048205083716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26.922222705882358</v>
          </cell>
          <cell r="H136">
            <v>26.922222705882358</v>
          </cell>
          <cell r="I136">
            <v>0.12582408963585434</v>
          </cell>
          <cell r="J136">
            <v>0.12582408963585434</v>
          </cell>
          <cell r="K136">
            <v>4.8686484231932781</v>
          </cell>
          <cell r="L136">
            <v>4.8686484231932781</v>
          </cell>
          <cell r="M136">
            <v>31.916695218711492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6736.1386309523805</v>
          </cell>
          <cell r="H137">
            <v>6.7361386309523805</v>
          </cell>
          <cell r="I137">
            <v>14.144761904761904</v>
          </cell>
          <cell r="J137">
            <v>1.4144761904761903E-2</v>
          </cell>
          <cell r="K137">
            <v>1215.0510107142857</v>
          </cell>
          <cell r="L137">
            <v>1.2150510107142856</v>
          </cell>
          <cell r="M137">
            <v>7965.3344035714281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2391.3247404528474</v>
          </cell>
          <cell r="H138">
            <v>2.3913247404528475</v>
          </cell>
          <cell r="I138">
            <v>2.3574603174603173</v>
          </cell>
          <cell r="J138">
            <v>2.3574603174603172E-3</v>
          </cell>
          <cell r="K138">
            <v>430.86279613865537</v>
          </cell>
          <cell r="L138">
            <v>0.43086279613865536</v>
          </cell>
          <cell r="M138">
            <v>2824.5449969089632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2391.3247404528474</v>
          </cell>
          <cell r="H139">
            <v>2.3913247404528475</v>
          </cell>
          <cell r="I139">
            <v>8.734682539682538</v>
          </cell>
          <cell r="J139">
            <v>8.7346825396825388E-3</v>
          </cell>
          <cell r="K139">
            <v>432.01069613865536</v>
          </cell>
          <cell r="L139">
            <v>0.43201069613865534</v>
          </cell>
          <cell r="M139">
            <v>2832.0701191311855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123.26855043734452</v>
          </cell>
          <cell r="H140">
            <v>123.26855043734452</v>
          </cell>
          <cell r="I140">
            <v>0.9896663762231559</v>
          </cell>
          <cell r="J140">
            <v>0.9896663762231559</v>
          </cell>
          <cell r="K140">
            <v>22.366479026442178</v>
          </cell>
          <cell r="L140">
            <v>22.366479026442178</v>
          </cell>
          <cell r="M140">
            <v>146.62469584000985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1708.8583333333333</v>
          </cell>
          <cell r="H141">
            <v>1.7088583333333334</v>
          </cell>
          <cell r="I141">
            <v>2.1280000000000001</v>
          </cell>
          <cell r="J141">
            <v>2.1280000000000001E-3</v>
          </cell>
          <cell r="K141">
            <v>307.97753999999998</v>
          </cell>
          <cell r="L141">
            <v>0.30797753999999999</v>
          </cell>
          <cell r="M141">
            <v>2018.9638733333331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1524.2537651787704</v>
          </cell>
          <cell r="H142">
            <v>1.5242537651787704</v>
          </cell>
          <cell r="I142">
            <v>6.9123456790123461</v>
          </cell>
          <cell r="J142">
            <v>6.9123456790123458E-3</v>
          </cell>
          <cell r="K142">
            <v>275.60989995440087</v>
          </cell>
          <cell r="L142">
            <v>0.27560989995440088</v>
          </cell>
          <cell r="M142">
            <v>1806.7760108121836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187.56952190468286</v>
          </cell>
          <cell r="H143">
            <v>187.56952190468286</v>
          </cell>
          <cell r="I143">
            <v>1.3815713816651758</v>
          </cell>
          <cell r="J143">
            <v>1.3815713816651758</v>
          </cell>
          <cell r="K143">
            <v>34.011196791542645</v>
          </cell>
          <cell r="L143">
            <v>34.011196791542645</v>
          </cell>
          <cell r="M143">
            <v>222.96229007789066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1186.7601363636361</v>
          </cell>
          <cell r="H144">
            <v>1.1867601363636362</v>
          </cell>
          <cell r="I144">
            <v>14.268916712030483</v>
          </cell>
          <cell r="J144">
            <v>1.4268916712030483E-2</v>
          </cell>
          <cell r="K144">
            <v>216.18522955361996</v>
          </cell>
          <cell r="L144">
            <v>0.21618522955361996</v>
          </cell>
          <cell r="M144">
            <v>1417.2142826292866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1599.2307268214713</v>
          </cell>
          <cell r="H145">
            <v>1599.2307268214713</v>
          </cell>
          <cell r="I145">
            <v>11.065724881701531</v>
          </cell>
          <cell r="J145">
            <v>11.065724881701531</v>
          </cell>
          <cell r="K145">
            <v>289.85336130657112</v>
          </cell>
          <cell r="L145">
            <v>289.85336130657112</v>
          </cell>
          <cell r="M145">
            <v>1900.1498130097439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297.36336996337002</v>
          </cell>
          <cell r="H146">
            <v>0.29736336996337004</v>
          </cell>
          <cell r="I146">
            <v>0</v>
          </cell>
          <cell r="J146">
            <v>0</v>
          </cell>
          <cell r="K146">
            <v>53.525406593406601</v>
          </cell>
          <cell r="L146">
            <v>5.3525406593406599E-2</v>
          </cell>
          <cell r="M146">
            <v>350.88877655677663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1449.1490526776913</v>
          </cell>
          <cell r="H147">
            <v>1.4491490526776913</v>
          </cell>
          <cell r="I147">
            <v>0</v>
          </cell>
          <cell r="J147">
            <v>0</v>
          </cell>
          <cell r="K147">
            <v>260.8468294819844</v>
          </cell>
          <cell r="L147">
            <v>0.2608468294819844</v>
          </cell>
          <cell r="M147">
            <v>1709.9958821596756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950.97690992018261</v>
          </cell>
          <cell r="H148">
            <v>0.95097690992018258</v>
          </cell>
          <cell r="I148">
            <v>5.2831622957050559</v>
          </cell>
          <cell r="J148">
            <v>5.283162295705056E-3</v>
          </cell>
          <cell r="K148">
            <v>172.12681299885978</v>
          </cell>
          <cell r="L148">
            <v>0.17212681299885976</v>
          </cell>
          <cell r="M148">
            <v>1128.3868852147475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1232.6494765720099</v>
          </cell>
          <cell r="H149">
            <v>1.23264947657201</v>
          </cell>
          <cell r="I149">
            <v>10.647894104882459</v>
          </cell>
          <cell r="J149">
            <v>1.0647894104882458E-2</v>
          </cell>
          <cell r="K149">
            <v>223.79352672184061</v>
          </cell>
          <cell r="L149">
            <v>0.22379352672184061</v>
          </cell>
          <cell r="M149">
            <v>1467.090897398733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2036.2703360275962</v>
          </cell>
          <cell r="H150">
            <v>2.036270336027596</v>
          </cell>
          <cell r="I150">
            <v>3.4466157714285717</v>
          </cell>
          <cell r="J150">
            <v>3.4466157714285717E-3</v>
          </cell>
          <cell r="K150">
            <v>367.14905132382444</v>
          </cell>
          <cell r="L150">
            <v>0.36714905132382442</v>
          </cell>
          <cell r="M150">
            <v>2406.8660031228492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229.25564983665876</v>
          </cell>
          <cell r="H151">
            <v>229.25564983665876</v>
          </cell>
          <cell r="I151">
            <v>0.94155955915009049</v>
          </cell>
          <cell r="J151">
            <v>0.94155955915009049</v>
          </cell>
          <cell r="K151">
            <v>41.435497691245587</v>
          </cell>
          <cell r="L151">
            <v>41.435497691245587</v>
          </cell>
          <cell r="M151">
            <v>271.63270708705443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576.68437652811735</v>
          </cell>
          <cell r="H152">
            <v>0.57668437652811733</v>
          </cell>
          <cell r="I152">
            <v>17.277913610431948</v>
          </cell>
          <cell r="J152">
            <v>1.7277913610431947E-2</v>
          </cell>
          <cell r="K152">
            <v>106.91321222493887</v>
          </cell>
          <cell r="L152">
            <v>0.10691321222493888</v>
          </cell>
          <cell r="M152">
            <v>700.87550236348818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1452.5305766666668</v>
          </cell>
          <cell r="H153">
            <v>1.4525305766666667</v>
          </cell>
          <cell r="I153">
            <v>7.0666666666666664</v>
          </cell>
          <cell r="J153">
            <v>7.0666666666666664E-3</v>
          </cell>
          <cell r="K153">
            <v>262.72750380000002</v>
          </cell>
          <cell r="L153">
            <v>0.26272750380000004</v>
          </cell>
          <cell r="M153">
            <v>1722.3247471333334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1462.8362008277406</v>
          </cell>
          <cell r="H154">
            <v>1462.8362008277406</v>
          </cell>
          <cell r="I154">
            <v>92.81485415809523</v>
          </cell>
          <cell r="J154">
            <v>92.81485415809523</v>
          </cell>
          <cell r="K154">
            <v>280.01718989745041</v>
          </cell>
          <cell r="L154">
            <v>280.01718989745041</v>
          </cell>
          <cell r="M154">
            <v>1835.6682448832862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 t="e">
            <v>#N/A</v>
          </cell>
          <cell r="H155" t="e">
            <v>#N/A</v>
          </cell>
          <cell r="I155">
            <v>5.7258119658119657</v>
          </cell>
          <cell r="J155">
            <v>5.7258119658119659E-3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 t="e">
            <v>#N/A</v>
          </cell>
          <cell r="H156" t="e">
            <v>#N/A</v>
          </cell>
          <cell r="I156">
            <v>24.654285714285713</v>
          </cell>
          <cell r="J156">
            <v>2.4654285714285712E-2</v>
          </cell>
          <cell r="K156" t="e">
            <v>#N/A</v>
          </cell>
          <cell r="L156" t="e">
            <v>#N/A</v>
          </cell>
          <cell r="M156" t="e">
            <v>#N/A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365.01847575057747</v>
          </cell>
          <cell r="H157">
            <v>0.36501847575057744</v>
          </cell>
          <cell r="I157">
            <v>12.579106805434751</v>
          </cell>
          <cell r="J157">
            <v>1.2579106805434752E-2</v>
          </cell>
          <cell r="K157">
            <v>67.967564860082206</v>
          </cell>
          <cell r="L157">
            <v>6.7967564860082208E-2</v>
          </cell>
          <cell r="M157">
            <v>445.56514741609442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759.18299276377229</v>
          </cell>
          <cell r="H158">
            <v>0.75918299276377232</v>
          </cell>
          <cell r="I158">
            <v>14.451714285714285</v>
          </cell>
          <cell r="J158">
            <v>1.4451714285714285E-2</v>
          </cell>
          <cell r="K158">
            <v>139.25424726890756</v>
          </cell>
          <cell r="L158">
            <v>0.13925424726890756</v>
          </cell>
          <cell r="M158">
            <v>912.8889543183941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1582.6969972922504</v>
          </cell>
          <cell r="H159">
            <v>1582.6969972922504</v>
          </cell>
          <cell r="I159">
            <v>58.686285714285717</v>
          </cell>
          <cell r="J159">
            <v>58.686285714285717</v>
          </cell>
          <cell r="K159">
            <v>295.44899094117653</v>
          </cell>
          <cell r="L159">
            <v>295.44899094117653</v>
          </cell>
          <cell r="M159">
            <v>1936.8322739477128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1648.2287467331519</v>
          </cell>
          <cell r="H160">
            <v>1.6482287467331518</v>
          </cell>
          <cell r="I160">
            <v>10.4420793</v>
          </cell>
          <cell r="J160">
            <v>1.04420793E-2</v>
          </cell>
          <cell r="K160">
            <v>298.56074868596733</v>
          </cell>
          <cell r="L160">
            <v>0.29856074868596733</v>
          </cell>
          <cell r="M160">
            <v>1957.2315747191192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1083.3376208243944</v>
          </cell>
          <cell r="H161">
            <v>1.0833376208243943</v>
          </cell>
          <cell r="I161">
            <v>22.402080999999999</v>
          </cell>
          <cell r="J161">
            <v>2.2402080999999997E-2</v>
          </cell>
          <cell r="K161">
            <v>199.03314632839098</v>
          </cell>
          <cell r="L161">
            <v>0.19903314632839098</v>
          </cell>
          <cell r="M161">
            <v>1304.7728481527854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1751.9241142691646</v>
          </cell>
          <cell r="H162">
            <v>1.7519241142691646</v>
          </cell>
          <cell r="I162">
            <v>16.855160311688312</v>
          </cell>
          <cell r="J162">
            <v>1.6855160311688312E-2</v>
          </cell>
          <cell r="K162">
            <v>318.38026942455349</v>
          </cell>
          <cell r="L162">
            <v>0.3183802694245535</v>
          </cell>
          <cell r="M162">
            <v>2087.1595440054061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1334.4017254674804</v>
          </cell>
          <cell r="H163">
            <v>1.3344017254674805</v>
          </cell>
          <cell r="I163">
            <v>20.635043565062389</v>
          </cell>
          <cell r="J163">
            <v>2.0635043565062388E-2</v>
          </cell>
          <cell r="K163">
            <v>243.90661842585772</v>
          </cell>
          <cell r="L163">
            <v>0.2439066184258577</v>
          </cell>
          <cell r="M163">
            <v>1598.9433874584006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188</v>
          </cell>
          <cell r="H164">
            <v>0.188</v>
          </cell>
          <cell r="I164">
            <v>2.8256000000000006</v>
          </cell>
          <cell r="J164">
            <v>2.8256000000000006E-3</v>
          </cell>
          <cell r="K164">
            <v>34.348607999999999</v>
          </cell>
          <cell r="L164">
            <v>3.4348607999999996E-2</v>
          </cell>
          <cell r="M164">
            <v>225.17420800000002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912.09173894990397</v>
          </cell>
          <cell r="H165">
            <v>0.91209173894990392</v>
          </cell>
          <cell r="I165">
            <v>9.4019047855746329</v>
          </cell>
          <cell r="J165">
            <v>9.4019047855746322E-3</v>
          </cell>
          <cell r="K165">
            <v>165.86885587238615</v>
          </cell>
          <cell r="L165">
            <v>0.16586885587238615</v>
          </cell>
          <cell r="M165">
            <v>1087.3624996078647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14.607320283712447</v>
          </cell>
          <cell r="H166">
            <v>14.607320283712447</v>
          </cell>
          <cell r="I166">
            <v>5.6610643267989202E-2</v>
          </cell>
          <cell r="J166">
            <v>5.6610643267989202E-2</v>
          </cell>
          <cell r="K166">
            <v>2.6395075668564782</v>
          </cell>
          <cell r="L166">
            <v>2.6395075668564782</v>
          </cell>
          <cell r="M166">
            <v>17.303438493836914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1121.007213420761</v>
          </cell>
          <cell r="H167">
            <v>1.1210072134207609</v>
          </cell>
          <cell r="I167">
            <v>3.4538553191489361</v>
          </cell>
          <cell r="J167">
            <v>3.453855319148936E-3</v>
          </cell>
          <cell r="K167">
            <v>202.40299237318379</v>
          </cell>
          <cell r="L167">
            <v>0.20240299237318379</v>
          </cell>
          <cell r="M167">
            <v>1326.8640611130936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2055.3354175664022</v>
          </cell>
          <cell r="H168">
            <v>2.0553354175664023</v>
          </cell>
          <cell r="I168">
            <v>12.687077552673797</v>
          </cell>
          <cell r="J168">
            <v>1.2687077552673797E-2</v>
          </cell>
          <cell r="K168">
            <v>372.24404912143365</v>
          </cell>
          <cell r="L168">
            <v>0.37224404912143366</v>
          </cell>
          <cell r="M168">
            <v>2440.2665442405096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1146.0535814128564</v>
          </cell>
          <cell r="H169">
            <v>1.1460535814128563</v>
          </cell>
          <cell r="I169">
            <v>3.8523219617713358</v>
          </cell>
          <cell r="J169">
            <v>3.8523219617713359E-3</v>
          </cell>
          <cell r="K169">
            <v>206.983062607433</v>
          </cell>
          <cell r="L169">
            <v>0.20698306260743299</v>
          </cell>
          <cell r="M169">
            <v>1356.8889659820607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3543.2747029841298</v>
          </cell>
          <cell r="H170">
            <v>3.5432747029841298</v>
          </cell>
          <cell r="I170">
            <v>7.8262973840810126</v>
          </cell>
          <cell r="J170">
            <v>7.8262973840810129E-3</v>
          </cell>
          <cell r="K170">
            <v>639.19818006627793</v>
          </cell>
          <cell r="L170">
            <v>0.63919818006627793</v>
          </cell>
          <cell r="M170">
            <v>4190.2991804344892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56.847809833333336</v>
          </cell>
          <cell r="H171">
            <v>56.847809833333336</v>
          </cell>
          <cell r="I171">
            <v>0.23957142857142857</v>
          </cell>
          <cell r="J171">
            <v>0.23957142857142857</v>
          </cell>
          <cell r="K171">
            <v>10.275728627142858</v>
          </cell>
          <cell r="L171">
            <v>10.275728627142858</v>
          </cell>
          <cell r="M171">
            <v>67.363109889047621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3543.2747029841298</v>
          </cell>
          <cell r="H172">
            <v>3.5432747029841298</v>
          </cell>
          <cell r="I172">
            <v>12.602297384081012</v>
          </cell>
          <cell r="J172">
            <v>1.2602297384081012E-2</v>
          </cell>
          <cell r="K172">
            <v>640.05786006627795</v>
          </cell>
          <cell r="L172">
            <v>0.64005786006627796</v>
          </cell>
          <cell r="M172">
            <v>4195.9348604344887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292.50069486650881</v>
          </cell>
          <cell r="H173">
            <v>292.50069486650881</v>
          </cell>
          <cell r="I173">
            <v>2.4466140918700274</v>
          </cell>
          <cell r="J173">
            <v>2.4466140918700274</v>
          </cell>
          <cell r="K173">
            <v>53.090515612508185</v>
          </cell>
          <cell r="L173">
            <v>53.090515612508185</v>
          </cell>
          <cell r="M173">
            <v>348.03782457088698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803.64453915337049</v>
          </cell>
          <cell r="H174">
            <v>0.80364453915337053</v>
          </cell>
          <cell r="I174">
            <v>3.3775132275132278</v>
          </cell>
          <cell r="J174">
            <v>3.3775132275132278E-3</v>
          </cell>
          <cell r="K174">
            <v>145.26396942855905</v>
          </cell>
          <cell r="L174">
            <v>0.14526396942855904</v>
          </cell>
          <cell r="M174">
            <v>952.28602180944267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3031.9489472678761</v>
          </cell>
          <cell r="H175">
            <v>3.031948947267876</v>
          </cell>
          <cell r="I175">
            <v>2.0223145400593467</v>
          </cell>
          <cell r="J175">
            <v>2.022314540059347E-3</v>
          </cell>
          <cell r="K175">
            <v>546.11482712542829</v>
          </cell>
          <cell r="L175">
            <v>0.54611482712542825</v>
          </cell>
          <cell r="M175">
            <v>3580.0860889333635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4113.7815126050427</v>
          </cell>
          <cell r="H176">
            <v>4.1137815126050423</v>
          </cell>
          <cell r="I176">
            <v>0</v>
          </cell>
          <cell r="J176">
            <v>0</v>
          </cell>
          <cell r="K176">
            <v>740.48067226890771</v>
          </cell>
          <cell r="L176">
            <v>0.74048067226890768</v>
          </cell>
          <cell r="M176">
            <v>4854.2621848739509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740.94438050409963</v>
          </cell>
          <cell r="H177">
            <v>0.74094438050409961</v>
          </cell>
          <cell r="I177">
            <v>4.5486096047893803</v>
          </cell>
          <cell r="J177">
            <v>4.5486096047893804E-3</v>
          </cell>
          <cell r="K177">
            <v>134.18873821960003</v>
          </cell>
          <cell r="L177">
            <v>0.13418873821960003</v>
          </cell>
          <cell r="M177">
            <v>879.68172832848904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588.27664235924942</v>
          </cell>
          <cell r="H178">
            <v>0.58827664235924937</v>
          </cell>
          <cell r="I178">
            <v>3.4407659900421304</v>
          </cell>
          <cell r="J178">
            <v>3.4407659900421305E-3</v>
          </cell>
          <cell r="K178">
            <v>106.50913350287247</v>
          </cell>
          <cell r="L178">
            <v>0.10650913350287247</v>
          </cell>
          <cell r="M178">
            <v>698.22654185216402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707.15772939441297</v>
          </cell>
          <cell r="H179">
            <v>707.15772939441297</v>
          </cell>
          <cell r="I179">
            <v>33.189083391191119</v>
          </cell>
          <cell r="J179">
            <v>33.189083391191119</v>
          </cell>
          <cell r="K179">
            <v>133.26242630140874</v>
          </cell>
          <cell r="L179">
            <v>133.26242630140874</v>
          </cell>
          <cell r="M179">
            <v>873.60923908701284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61.49197646907939</v>
          </cell>
          <cell r="H180">
            <v>61.49197646907939</v>
          </cell>
          <cell r="I180">
            <v>2.8860072514079231</v>
          </cell>
          <cell r="J180">
            <v>2.8860072514079231</v>
          </cell>
          <cell r="K180">
            <v>11.588037069687715</v>
          </cell>
          <cell r="L180">
            <v>11.588037069687715</v>
          </cell>
          <cell r="M180">
            <v>75.966020790175023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2072.7839970162045</v>
          </cell>
          <cell r="H181">
            <v>2.0727839970162045</v>
          </cell>
          <cell r="I181">
            <v>10.697192969504911</v>
          </cell>
          <cell r="J181">
            <v>1.0697192969504912E-2</v>
          </cell>
          <cell r="K181">
            <v>375.0266141974277</v>
          </cell>
          <cell r="L181">
            <v>0.37502661419742772</v>
          </cell>
          <cell r="M181">
            <v>2458.5078041831371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528.59558783539524</v>
          </cell>
          <cell r="H182">
            <v>0.52859558783539529</v>
          </cell>
          <cell r="I182">
            <v>1.0465185185185187E-2</v>
          </cell>
          <cell r="J182">
            <v>1.0465185185185187E-5</v>
          </cell>
          <cell r="K182">
            <v>95.149089543704477</v>
          </cell>
          <cell r="L182">
            <v>9.5149089543704476E-2</v>
          </cell>
          <cell r="M182">
            <v>623.75514256428494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4103.8530087904355</v>
          </cell>
          <cell r="H183">
            <v>4.1038530087904359</v>
          </cell>
          <cell r="I183">
            <v>45.517078059071729</v>
          </cell>
          <cell r="J183">
            <v>4.5517078059071729E-2</v>
          </cell>
          <cell r="K183">
            <v>746.88661563291123</v>
          </cell>
          <cell r="L183">
            <v>0.74688661563291125</v>
          </cell>
          <cell r="M183">
            <v>4896.2567024824184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1913.0413291736654</v>
          </cell>
          <cell r="H184">
            <v>1.9130413291736654</v>
          </cell>
          <cell r="I184">
            <v>13.609863255115824</v>
          </cell>
          <cell r="J184">
            <v>1.3609863255115824E-2</v>
          </cell>
          <cell r="K184">
            <v>346.79721463718062</v>
          </cell>
          <cell r="L184">
            <v>0.34679721463718061</v>
          </cell>
          <cell r="M184">
            <v>2273.4484070659619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20.114514529411771</v>
          </cell>
          <cell r="H185">
            <v>20.114514529411771</v>
          </cell>
          <cell r="I185">
            <v>9.4368067226890756E-2</v>
          </cell>
          <cell r="J185">
            <v>9.4368067226890756E-2</v>
          </cell>
          <cell r="K185">
            <v>3.6375988673949591</v>
          </cell>
          <cell r="L185">
            <v>3.6375988673949591</v>
          </cell>
          <cell r="M185">
            <v>23.846481464033623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21.313640997532577</v>
          </cell>
          <cell r="H186">
            <v>21.313640997532577</v>
          </cell>
          <cell r="I186">
            <v>0.10510862660189076</v>
          </cell>
          <cell r="J186">
            <v>0.10510862660189076</v>
          </cell>
          <cell r="K186">
            <v>3.8553749323442039</v>
          </cell>
          <cell r="L186">
            <v>3.8553749323442039</v>
          </cell>
          <cell r="M186">
            <v>25.274124556478672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3316.0496144444446</v>
          </cell>
          <cell r="H187">
            <v>3.3160496144444447</v>
          </cell>
          <cell r="I187">
            <v>0</v>
          </cell>
          <cell r="J187">
            <v>0</v>
          </cell>
          <cell r="K187">
            <v>596.88893059999998</v>
          </cell>
          <cell r="L187">
            <v>0.59688893060000003</v>
          </cell>
          <cell r="M187">
            <v>3912.9385450444447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2812.5260091552227</v>
          </cell>
          <cell r="H188">
            <v>2.8125260091552229</v>
          </cell>
          <cell r="I188">
            <v>0</v>
          </cell>
          <cell r="J188">
            <v>0</v>
          </cell>
          <cell r="K188">
            <v>506.25468164794006</v>
          </cell>
          <cell r="L188">
            <v>0.50625468164794007</v>
          </cell>
          <cell r="M188">
            <v>3318.7806908031625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823.51400452847815</v>
          </cell>
          <cell r="H189">
            <v>823.51400452847815</v>
          </cell>
          <cell r="I189">
            <v>57.337428571428568</v>
          </cell>
          <cell r="J189">
            <v>57.337428571428568</v>
          </cell>
          <cell r="K189">
            <v>158.55325795798319</v>
          </cell>
          <cell r="L189">
            <v>158.55325795798319</v>
          </cell>
          <cell r="M189">
            <v>1039.40469105789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4139.563618972923</v>
          </cell>
          <cell r="H190">
            <v>4139.563618972923</v>
          </cell>
          <cell r="I190">
            <v>57.337428571428568</v>
          </cell>
          <cell r="J190">
            <v>57.337428571428568</v>
          </cell>
          <cell r="K190">
            <v>755.44218855798329</v>
          </cell>
          <cell r="L190">
            <v>755.44218855798329</v>
          </cell>
          <cell r="M190">
            <v>4952.3432361023351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1098.0263802302725</v>
          </cell>
          <cell r="H191">
            <v>1.0980263802302725</v>
          </cell>
          <cell r="I191">
            <v>8.239114213503429</v>
          </cell>
          <cell r="J191">
            <v>8.239114213503429E-3</v>
          </cell>
          <cell r="K191">
            <v>199.12778899987964</v>
          </cell>
          <cell r="L191">
            <v>0.19912778899987965</v>
          </cell>
          <cell r="M191">
            <v>1305.3932834436555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1803.9857623093683</v>
          </cell>
          <cell r="H192">
            <v>1.8039857623093682</v>
          </cell>
          <cell r="I192">
            <v>5.433238095238095</v>
          </cell>
          <cell r="J192">
            <v>5.4332380952380951E-3</v>
          </cell>
          <cell r="K192">
            <v>325.69542007282911</v>
          </cell>
          <cell r="L192">
            <v>0.32569542007282909</v>
          </cell>
          <cell r="M192">
            <v>2135.1144204774355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3672.5816736383445</v>
          </cell>
          <cell r="H193">
            <v>3672.5816736383445</v>
          </cell>
          <cell r="I193">
            <v>58.517269841269844</v>
          </cell>
          <cell r="J193">
            <v>58.517269841269844</v>
          </cell>
          <cell r="K193">
            <v>671.59780982633049</v>
          </cell>
          <cell r="L193">
            <v>671.59780982633049</v>
          </cell>
          <cell r="M193">
            <v>4402.6967533059451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10976.918536655012</v>
          </cell>
          <cell r="H194">
            <v>10.976918536655011</v>
          </cell>
          <cell r="I194">
            <v>3.9039627039627041</v>
          </cell>
          <cell r="J194">
            <v>3.9039627039627041E-3</v>
          </cell>
          <cell r="K194">
            <v>1976.5480498846152</v>
          </cell>
          <cell r="L194">
            <v>1.9765480498846153</v>
          </cell>
          <cell r="M194">
            <v>12957.370549243589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666.88618064516129</v>
          </cell>
          <cell r="H195">
            <v>0.66688618064516125</v>
          </cell>
          <cell r="I195">
            <v>6.2967741935483872</v>
          </cell>
          <cell r="J195">
            <v>6.2967741935483872E-3</v>
          </cell>
          <cell r="K195">
            <v>121.17293187096773</v>
          </cell>
          <cell r="L195">
            <v>0.12117293187096773</v>
          </cell>
          <cell r="M195">
            <v>794.35588670967741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4714.0084658791829</v>
          </cell>
          <cell r="H196">
            <v>4.714008465879183</v>
          </cell>
          <cell r="I196">
            <v>4.5395334193548385</v>
          </cell>
          <cell r="J196">
            <v>4.5395334193548383E-3</v>
          </cell>
          <cell r="K196">
            <v>849.33863987373672</v>
          </cell>
          <cell r="L196">
            <v>0.8493386398737367</v>
          </cell>
          <cell r="M196">
            <v>5567.886639172274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2975.1309180918556</v>
          </cell>
          <cell r="H197">
            <v>2.9751309180918555</v>
          </cell>
          <cell r="I197">
            <v>0.60572609692513368</v>
          </cell>
          <cell r="J197">
            <v>6.0572609692513373E-4</v>
          </cell>
          <cell r="K197">
            <v>535.63259595398051</v>
          </cell>
          <cell r="L197">
            <v>0.53563259595398049</v>
          </cell>
          <cell r="M197">
            <v>3511.3692401427611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1002.8525921300857</v>
          </cell>
          <cell r="H198">
            <v>1.0028525921300857</v>
          </cell>
          <cell r="I198">
            <v>1.2200174857142856</v>
          </cell>
          <cell r="J198">
            <v>1.2200174857142855E-3</v>
          </cell>
          <cell r="K198">
            <v>180.73306973084399</v>
          </cell>
          <cell r="L198">
            <v>0.18073306973084399</v>
          </cell>
          <cell r="M198">
            <v>1184.805679346644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819.33004881295778</v>
          </cell>
          <cell r="H199">
            <v>0.81933004881295779</v>
          </cell>
          <cell r="I199">
            <v>13.287936578373678</v>
          </cell>
          <cell r="J199">
            <v>1.3287936578373677E-2</v>
          </cell>
          <cell r="K199">
            <v>149.87123737043964</v>
          </cell>
          <cell r="L199">
            <v>0.14987123737043964</v>
          </cell>
          <cell r="M199">
            <v>982.48922276177109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1391.2031059679146</v>
          </cell>
          <cell r="H200">
            <v>1.3912031059679146</v>
          </cell>
          <cell r="I200">
            <v>10.030880230880232</v>
          </cell>
          <cell r="J200">
            <v>1.0030880230880232E-2</v>
          </cell>
          <cell r="K200">
            <v>252.22211751578305</v>
          </cell>
          <cell r="L200">
            <v>0.25222211751578305</v>
          </cell>
          <cell r="M200">
            <v>1653.4561037145779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25.041655907422463</v>
          </cell>
          <cell r="H201">
            <v>25.041655907422463</v>
          </cell>
          <cell r="I201">
            <v>0.18055584415584419</v>
          </cell>
          <cell r="J201">
            <v>0.18055584415584419</v>
          </cell>
          <cell r="K201">
            <v>4.5399981152840949</v>
          </cell>
          <cell r="L201">
            <v>4.5399981152840949</v>
          </cell>
          <cell r="M201">
            <v>29.762209866862403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3270.8350077097502</v>
          </cell>
          <cell r="H202">
            <v>3.2708350077097501</v>
          </cell>
          <cell r="I202">
            <v>17.044706705539362</v>
          </cell>
          <cell r="J202">
            <v>1.7044706705539363E-2</v>
          </cell>
          <cell r="K202">
            <v>591.81834859475214</v>
          </cell>
          <cell r="L202">
            <v>0.59181834859475213</v>
          </cell>
          <cell r="M202">
            <v>3879.6980630100416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107.43563709692329</v>
          </cell>
          <cell r="H203">
            <v>107.43563709692329</v>
          </cell>
          <cell r="I203">
            <v>1.5198763361544341</v>
          </cell>
          <cell r="J203">
            <v>1.5198763361544341</v>
          </cell>
          <cell r="K203">
            <v>19.611992417953989</v>
          </cell>
          <cell r="L203">
            <v>19.611992417953989</v>
          </cell>
          <cell r="M203">
            <v>128.56750585103171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1469.1530060438579</v>
          </cell>
          <cell r="H204">
            <v>1.4691530060438578</v>
          </cell>
          <cell r="I204">
            <v>0</v>
          </cell>
          <cell r="J204">
            <v>0</v>
          </cell>
          <cell r="K204">
            <v>264.44754108789442</v>
          </cell>
          <cell r="L204">
            <v>0.26444754108789442</v>
          </cell>
          <cell r="M204">
            <v>1733.6005471317524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1595.3646328920349</v>
          </cell>
          <cell r="H205">
            <v>1.595364632892035</v>
          </cell>
          <cell r="I205">
            <v>3.886251885714286</v>
          </cell>
          <cell r="J205">
            <v>3.8862518857142861E-3</v>
          </cell>
          <cell r="K205">
            <v>287.86515925999487</v>
          </cell>
          <cell r="L205">
            <v>0.2878651592599949</v>
          </cell>
          <cell r="M205">
            <v>1887.1160440377441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1575.6693473069802</v>
          </cell>
          <cell r="H206">
            <v>1.5756693473069803</v>
          </cell>
          <cell r="I206">
            <v>7.0306436666666663</v>
          </cell>
          <cell r="J206">
            <v>7.0306436666666659E-3</v>
          </cell>
          <cell r="K206">
            <v>284.88599837525641</v>
          </cell>
          <cell r="L206">
            <v>0.28488599837525641</v>
          </cell>
          <cell r="M206">
            <v>1867.5859893489032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1440.1729322128851</v>
          </cell>
          <cell r="H207">
            <v>1.4401729322128851</v>
          </cell>
          <cell r="I207">
            <v>0</v>
          </cell>
          <cell r="J207">
            <v>0</v>
          </cell>
          <cell r="K207">
            <v>259.23112779831933</v>
          </cell>
          <cell r="L207">
            <v>0.25923112779831936</v>
          </cell>
          <cell r="M207">
            <v>1699.4040600112044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1875.397432828519</v>
          </cell>
          <cell r="H208">
            <v>1.875397432828519</v>
          </cell>
          <cell r="I208">
            <v>30.152380952380952</v>
          </cell>
          <cell r="J208">
            <v>3.0152380952380951E-2</v>
          </cell>
          <cell r="K208">
            <v>342.99896648056199</v>
          </cell>
          <cell r="L208">
            <v>0.342998966480562</v>
          </cell>
          <cell r="M208">
            <v>2248.5487802614621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2948.8991611299116</v>
          </cell>
          <cell r="H209">
            <v>2.9488991611299116</v>
          </cell>
          <cell r="I209">
            <v>19.447834159999999</v>
          </cell>
          <cell r="J209">
            <v>1.944783416E-2</v>
          </cell>
          <cell r="K209">
            <v>534.30245915218416</v>
          </cell>
          <cell r="L209">
            <v>0.53430245915218411</v>
          </cell>
          <cell r="M209">
            <v>3502.6494544420957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1875.397432828519</v>
          </cell>
          <cell r="H210">
            <v>1.875397432828519</v>
          </cell>
          <cell r="I210">
            <v>30.152380952380952</v>
          </cell>
          <cell r="J210">
            <v>3.0152380952380951E-2</v>
          </cell>
          <cell r="K210">
            <v>342.99896648056199</v>
          </cell>
          <cell r="L210">
            <v>0.342998966480562</v>
          </cell>
          <cell r="M210">
            <v>2248.5487802614621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102.0365251187084</v>
          </cell>
          <cell r="H211">
            <v>102.0365251187084</v>
          </cell>
          <cell r="I211">
            <v>0.33902559570000002</v>
          </cell>
          <cell r="J211">
            <v>0.33902559570000002</v>
          </cell>
          <cell r="K211">
            <v>18.42759912859351</v>
          </cell>
          <cell r="L211">
            <v>18.42759912859351</v>
          </cell>
          <cell r="M211">
            <v>120.8031498430019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9.2835349768223274</v>
          </cell>
          <cell r="H212">
            <v>9.2835349768223274</v>
          </cell>
          <cell r="I212">
            <v>3.5370680987596353E-2</v>
          </cell>
          <cell r="J212">
            <v>3.5370680987596353E-2</v>
          </cell>
          <cell r="K212">
            <v>1.677403018405786</v>
          </cell>
          <cell r="L212">
            <v>1.677403018405786</v>
          </cell>
          <cell r="M212">
            <v>10.996308676215708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2909.3325075641374</v>
          </cell>
          <cell r="H213">
            <v>2.9093325075641374</v>
          </cell>
          <cell r="I213">
            <v>2.1135839245037422</v>
          </cell>
          <cell r="J213">
            <v>2.1135839245037423E-3</v>
          </cell>
          <cell r="K213">
            <v>524.06029646795537</v>
          </cell>
          <cell r="L213">
            <v>0.52406029646795538</v>
          </cell>
          <cell r="M213">
            <v>3435.5063879565969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378.32497490214217</v>
          </cell>
          <cell r="H214">
            <v>0.37832497490214217</v>
          </cell>
          <cell r="I214">
            <v>13.532409861533264</v>
          </cell>
          <cell r="J214">
            <v>1.3532409861533264E-2</v>
          </cell>
          <cell r="K214">
            <v>70.534329257461579</v>
          </cell>
          <cell r="L214">
            <v>7.0534329257461573E-2</v>
          </cell>
          <cell r="M214">
            <v>462.39171402113703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933.84688730661048</v>
          </cell>
          <cell r="H215">
            <v>0.93384688730661047</v>
          </cell>
          <cell r="I215">
            <v>5.2667269439421336</v>
          </cell>
          <cell r="J215">
            <v>5.2667269439421339E-3</v>
          </cell>
          <cell r="K215">
            <v>169.04045056509946</v>
          </cell>
          <cell r="L215">
            <v>0.16904045056509948</v>
          </cell>
          <cell r="M215">
            <v>1108.154064815652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925.7080165217393</v>
          </cell>
          <cell r="H216">
            <v>0.92570801652173929</v>
          </cell>
          <cell r="I216">
            <v>5.2099378881987581</v>
          </cell>
          <cell r="J216">
            <v>5.209937888198758E-3</v>
          </cell>
          <cell r="K216">
            <v>167.56523179378885</v>
          </cell>
          <cell r="L216">
            <v>0.16756523179378885</v>
          </cell>
          <cell r="M216">
            <v>1098.483186203727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14.324758825155282</v>
          </cell>
          <cell r="H217">
            <v>14.324758825155282</v>
          </cell>
          <cell r="I217">
            <v>8.0009760425909501E-2</v>
          </cell>
          <cell r="J217">
            <v>8.0009760425909501E-2</v>
          </cell>
          <cell r="K217">
            <v>2.5928583454046144</v>
          </cell>
          <cell r="L217">
            <v>2.5928583454046144</v>
          </cell>
          <cell r="M217">
            <v>16.997626930985806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2369.0549766769868</v>
          </cell>
          <cell r="H218">
            <v>2.3690549766769866</v>
          </cell>
          <cell r="I218">
            <v>57.747368421052634</v>
          </cell>
          <cell r="J218">
            <v>5.7747368421052638E-2</v>
          </cell>
          <cell r="K218">
            <v>436.82442211764709</v>
          </cell>
          <cell r="L218">
            <v>0.4368244221176471</v>
          </cell>
          <cell r="M218">
            <v>2863.6267672156864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2223.2541812525146</v>
          </cell>
          <cell r="H219">
            <v>2.2232541812525146</v>
          </cell>
          <cell r="I219">
            <v>1.4186666666666667</v>
          </cell>
          <cell r="J219">
            <v>1.4186666666666668E-3</v>
          </cell>
          <cell r="K219">
            <v>400.4411126254526</v>
          </cell>
          <cell r="L219">
            <v>0.40044111262545262</v>
          </cell>
          <cell r="M219">
            <v>2625.1139605446338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4821.2242066666668</v>
          </cell>
          <cell r="H220">
            <v>4.8212242066666668</v>
          </cell>
          <cell r="I220">
            <v>0</v>
          </cell>
          <cell r="J220">
            <v>0</v>
          </cell>
          <cell r="K220">
            <v>867.82035719999999</v>
          </cell>
          <cell r="L220">
            <v>0.86782035719999995</v>
          </cell>
          <cell r="M220">
            <v>5689.044563866667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5114.035317460316</v>
          </cell>
          <cell r="H221">
            <v>5.1140353174603161</v>
          </cell>
          <cell r="I221">
            <v>15.674285714285713</v>
          </cell>
          <cell r="J221">
            <v>1.5674285714285714E-2</v>
          </cell>
          <cell r="K221">
            <v>923.34772857142821</v>
          </cell>
          <cell r="L221">
            <v>0.92334772857142822</v>
          </cell>
          <cell r="M221">
            <v>6053.0573317460294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1113.2977777777778</v>
          </cell>
          <cell r="H222">
            <v>1.1132977777777777</v>
          </cell>
          <cell r="I222">
            <v>18.286666666666669</v>
          </cell>
          <cell r="J222">
            <v>1.828666666666667E-2</v>
          </cell>
          <cell r="K222">
            <v>203.68519999999998</v>
          </cell>
          <cell r="L222">
            <v>0.20368519999999998</v>
          </cell>
          <cell r="M222">
            <v>1335.2696444444443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1870.4677991382166</v>
          </cell>
          <cell r="H223">
            <v>1.8704677991382166</v>
          </cell>
          <cell r="I223">
            <v>2.0218760357971495</v>
          </cell>
          <cell r="J223">
            <v>2.0218760357971497E-3</v>
          </cell>
          <cell r="K223">
            <v>337.04814153132247</v>
          </cell>
          <cell r="L223">
            <v>0.33704814153132245</v>
          </cell>
          <cell r="M223">
            <v>2209.5378167053359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1649.942214626391</v>
          </cell>
          <cell r="H224">
            <v>1.6499422146263909</v>
          </cell>
          <cell r="I224">
            <v>1.0990990990990992</v>
          </cell>
          <cell r="J224">
            <v>1.0990990990990992E-3</v>
          </cell>
          <cell r="K224">
            <v>297.18743647058818</v>
          </cell>
          <cell r="L224">
            <v>0.29718743647058821</v>
          </cell>
          <cell r="M224">
            <v>1948.2287501960782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76.153169339098881</v>
          </cell>
          <cell r="H225">
            <v>76.153169339098881</v>
          </cell>
          <cell r="I225">
            <v>1.1883233168247767</v>
          </cell>
          <cell r="J225">
            <v>1.1883233168247767</v>
          </cell>
          <cell r="K225">
            <v>13.921468678066258</v>
          </cell>
          <cell r="L225">
            <v>13.921468678066258</v>
          </cell>
          <cell r="M225">
            <v>91.262961333989921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309.67296033669504</v>
          </cell>
          <cell r="H226">
            <v>309.67296033669504</v>
          </cell>
          <cell r="I226">
            <v>43.500741586055547</v>
          </cell>
          <cell r="J226">
            <v>43.500741586055547</v>
          </cell>
          <cell r="K226">
            <v>63.571266346095101</v>
          </cell>
          <cell r="L226">
            <v>63.571266346095101</v>
          </cell>
          <cell r="M226">
            <v>416.7449682688457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25491.79</v>
          </cell>
          <cell r="H227">
            <v>25.491790000000002</v>
          </cell>
          <cell r="I227">
            <v>128</v>
          </cell>
          <cell r="J227">
            <v>0.128</v>
          </cell>
          <cell r="K227">
            <v>4611.5622000000003</v>
          </cell>
          <cell r="L227">
            <v>4.6115622000000007</v>
          </cell>
          <cell r="M227">
            <v>30231.352200000001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1205.8903152134035</v>
          </cell>
          <cell r="H228">
            <v>1.2058903152134035</v>
          </cell>
          <cell r="I228">
            <v>6.6528066528066532E-2</v>
          </cell>
          <cell r="J228">
            <v>6.6528066528066527E-5</v>
          </cell>
          <cell r="K228">
            <v>217.07223179038766</v>
          </cell>
          <cell r="L228">
            <v>0.21707223179038765</v>
          </cell>
          <cell r="M228">
            <v>1423.0290750703191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1678.4986433954573</v>
          </cell>
          <cell r="H229">
            <v>1.6784986433954574</v>
          </cell>
          <cell r="I229">
            <v>13.958444808623188</v>
          </cell>
          <cell r="J229">
            <v>1.3958444808623188E-2</v>
          </cell>
          <cell r="K229">
            <v>304.64227587673446</v>
          </cell>
          <cell r="L229">
            <v>0.30464227587673448</v>
          </cell>
          <cell r="M229">
            <v>1997.0993640808149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532.99735927824781</v>
          </cell>
          <cell r="H230">
            <v>532.99735927824781</v>
          </cell>
          <cell r="I230">
            <v>5.0864834613899612</v>
          </cell>
          <cell r="J230">
            <v>5.0864834613899612</v>
          </cell>
          <cell r="K230">
            <v>96.85509169313481</v>
          </cell>
          <cell r="L230">
            <v>96.85509169313481</v>
          </cell>
          <cell r="M230">
            <v>634.93893443277261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8706.0947017792441</v>
          </cell>
          <cell r="H231">
            <v>8.7060947017792447</v>
          </cell>
          <cell r="I231">
            <v>3.4582064812698414</v>
          </cell>
          <cell r="J231">
            <v>3.4582064812698414E-3</v>
          </cell>
          <cell r="K231">
            <v>1567.7195234868923</v>
          </cell>
          <cell r="L231">
            <v>1.5677195234868924</v>
          </cell>
          <cell r="M231">
            <v>10277.272431747406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4329.4891243851862</v>
          </cell>
          <cell r="H232">
            <v>4.3294891243851863</v>
          </cell>
          <cell r="I232">
            <v>0.46210825629629632</v>
          </cell>
          <cell r="J232">
            <v>4.6210825629629633E-4</v>
          </cell>
          <cell r="K232">
            <v>779.39122187546684</v>
          </cell>
          <cell r="L232">
            <v>0.77939122187546683</v>
          </cell>
          <cell r="M232">
            <v>5109.3424545169491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17.708220000000001</v>
          </cell>
          <cell r="H233">
            <v>1.770822E-2</v>
          </cell>
          <cell r="I233">
            <v>34.287500000000001</v>
          </cell>
          <cell r="J233">
            <v>3.4287499999999999E-2</v>
          </cell>
          <cell r="K233">
            <v>9.3592296000000008</v>
          </cell>
          <cell r="L233">
            <v>9.3592296000000012E-3</v>
          </cell>
          <cell r="M233">
            <v>61.354949600000005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2222.1345345999998</v>
          </cell>
          <cell r="H234">
            <v>2.2221345345999999</v>
          </cell>
          <cell r="I234">
            <v>38.743625000000002</v>
          </cell>
          <cell r="J234">
            <v>3.8743625000000004E-2</v>
          </cell>
          <cell r="K234">
            <v>406.95806872799994</v>
          </cell>
          <cell r="L234">
            <v>0.40695806872799994</v>
          </cell>
          <cell r="M234">
            <v>2667.8362283279998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3539.4594594594591</v>
          </cell>
          <cell r="H235">
            <v>3.5394594594594593</v>
          </cell>
          <cell r="I235">
            <v>1.4250614250614248E-2</v>
          </cell>
          <cell r="J235">
            <v>1.4250614250614247E-5</v>
          </cell>
          <cell r="K235">
            <v>637.10526781326769</v>
          </cell>
          <cell r="L235">
            <v>0.63710526781326771</v>
          </cell>
          <cell r="M235">
            <v>4176.5789778869776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747.19121282013668</v>
          </cell>
          <cell r="H236">
            <v>747.19121282013668</v>
          </cell>
          <cell r="I236">
            <v>8.0445803371428575</v>
          </cell>
          <cell r="J236">
            <v>8.0445803371428575</v>
          </cell>
          <cell r="K236">
            <v>135.94244276831031</v>
          </cell>
          <cell r="L236">
            <v>135.94244276831031</v>
          </cell>
          <cell r="M236">
            <v>891.17823592558989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1871.9433726851848</v>
          </cell>
          <cell r="H237">
            <v>1.8719433726851848</v>
          </cell>
          <cell r="I237">
            <v>9.8518518518518519E-2</v>
          </cell>
          <cell r="J237">
            <v>9.8518518518518521E-5</v>
          </cell>
          <cell r="K237">
            <v>336.96754041666662</v>
          </cell>
          <cell r="L237">
            <v>0.3369675404166666</v>
          </cell>
          <cell r="M237">
            <v>2209.0094316203699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855.59668085106352</v>
          </cell>
          <cell r="L238">
            <v>0.85559668085106355</v>
          </cell>
          <cell r="M238">
            <v>5608.9115744680839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698.27992406388944</v>
          </cell>
          <cell r="H239">
            <v>698.27992406388944</v>
          </cell>
          <cell r="I239">
            <v>4.7844706084006559</v>
          </cell>
          <cell r="J239">
            <v>4.7844706084006559</v>
          </cell>
          <cell r="K239">
            <v>126.5515910410122</v>
          </cell>
          <cell r="L239">
            <v>126.5515910410122</v>
          </cell>
          <cell r="M239">
            <v>829.61598571330228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106.26710252997221</v>
          </cell>
          <cell r="H240">
            <v>106.26710252997221</v>
          </cell>
          <cell r="I240">
            <v>1.5024040028610839</v>
          </cell>
          <cell r="J240">
            <v>1.5024040028610839</v>
          </cell>
          <cell r="K240">
            <v>19.398511175909992</v>
          </cell>
          <cell r="L240">
            <v>19.398511175909992</v>
          </cell>
          <cell r="M240">
            <v>127.16801770874328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7.8250000000000002</v>
          </cell>
          <cell r="H241">
            <v>7.8250000000000004E-3</v>
          </cell>
          <cell r="I241">
            <v>62.538922155688617</v>
          </cell>
          <cell r="J241">
            <v>6.2538922155688612E-2</v>
          </cell>
          <cell r="K241">
            <v>12.66550598802395</v>
          </cell>
          <cell r="L241">
            <v>1.266550598802395E-2</v>
          </cell>
          <cell r="M241">
            <v>83.029428143712565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999.45525621758384</v>
          </cell>
          <cell r="H242">
            <v>0.9994552562175838</v>
          </cell>
          <cell r="I242">
            <v>0.18021968965295213</v>
          </cell>
          <cell r="J242">
            <v>1.8021968965295211E-4</v>
          </cell>
          <cell r="K242">
            <v>179.93438566330261</v>
          </cell>
          <cell r="L242">
            <v>0.17993438566330261</v>
          </cell>
          <cell r="M242">
            <v>1179.5698615705394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358.03679908622723</v>
          </cell>
          <cell r="H243">
            <v>358.03679908622723</v>
          </cell>
          <cell r="I243">
            <v>4.0402951302202048</v>
          </cell>
          <cell r="J243">
            <v>4.0402951302202048</v>
          </cell>
          <cell r="K243">
            <v>65.173876958960534</v>
          </cell>
          <cell r="L243">
            <v>65.173876958960534</v>
          </cell>
          <cell r="M243">
            <v>427.25097117540798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1745.9342598431697</v>
          </cell>
          <cell r="H244">
            <v>1.7459342598431697</v>
          </cell>
          <cell r="I244">
            <v>1.7517259995428573</v>
          </cell>
          <cell r="J244">
            <v>1.7517259995428573E-3</v>
          </cell>
          <cell r="K244">
            <v>314.58347745168828</v>
          </cell>
          <cell r="L244">
            <v>0.3145834774516883</v>
          </cell>
          <cell r="M244">
            <v>2062.2694632944008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1068.2179601230246</v>
          </cell>
          <cell r="H245">
            <v>1.0682179601230246</v>
          </cell>
          <cell r="I245">
            <v>3.5967533652900001</v>
          </cell>
          <cell r="J245">
            <v>3.5967533652899999E-3</v>
          </cell>
          <cell r="K245">
            <v>192.92664842789659</v>
          </cell>
          <cell r="L245">
            <v>0.19292664842789659</v>
          </cell>
          <cell r="M245">
            <v>1264.7413619162112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572.35427692579628</v>
          </cell>
          <cell r="H246">
            <v>572.35427692579628</v>
          </cell>
          <cell r="I246">
            <v>1.0790260095869999</v>
          </cell>
          <cell r="J246">
            <v>1.0790260095869999</v>
          </cell>
          <cell r="K246">
            <v>103.21799452836899</v>
          </cell>
          <cell r="L246">
            <v>103.21799452836899</v>
          </cell>
          <cell r="M246">
            <v>676.65129746375226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1151.2463848039217</v>
          </cell>
          <cell r="H247">
            <v>1.1512463848039218</v>
          </cell>
          <cell r="I247">
            <v>6.3061377245508989</v>
          </cell>
          <cell r="J247">
            <v>6.3061377245508992E-3</v>
          </cell>
          <cell r="K247">
            <v>208.35945405512504</v>
          </cell>
          <cell r="L247">
            <v>0.20835945405512504</v>
          </cell>
          <cell r="M247">
            <v>1365.9119765835976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 t="e">
            <v>#N/A</v>
          </cell>
          <cell r="H248" t="e">
            <v>#N/A</v>
          </cell>
          <cell r="I248">
            <v>0.57017267404249672</v>
          </cell>
          <cell r="J248">
            <v>5.7017267404249671E-4</v>
          </cell>
          <cell r="K248" t="e">
            <v>#N/A</v>
          </cell>
          <cell r="L248" t="e">
            <v>#N/A</v>
          </cell>
          <cell r="M248" t="e">
            <v>#N/A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465.28805282625916</v>
          </cell>
          <cell r="H249">
            <v>465.28805282625916</v>
          </cell>
          <cell r="I249">
            <v>5.0211537743488694</v>
          </cell>
          <cell r="J249">
            <v>5.0211537743488694</v>
          </cell>
          <cell r="K249">
            <v>84.655657188109444</v>
          </cell>
          <cell r="L249">
            <v>84.655657188109444</v>
          </cell>
          <cell r="M249">
            <v>554.96486378871748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468.99021940495868</v>
          </cell>
          <cell r="H250">
            <v>0.46899021940495866</v>
          </cell>
          <cell r="I250">
            <v>9.7693633057851237</v>
          </cell>
          <cell r="J250">
            <v>9.7693633057851243E-3</v>
          </cell>
          <cell r="K250">
            <v>86.176724887933887</v>
          </cell>
          <cell r="L250">
            <v>8.6176724887933889E-2</v>
          </cell>
          <cell r="M250">
            <v>564.93630759867767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2639.8721574115998</v>
          </cell>
          <cell r="H251">
            <v>2.6398721574115998</v>
          </cell>
          <cell r="I251">
            <v>2.3875190384061249E-2</v>
          </cell>
          <cell r="J251">
            <v>2.3875190384061249E-5</v>
          </cell>
          <cell r="K251">
            <v>475.18128586835707</v>
          </cell>
          <cell r="L251">
            <v>0.47518128586835706</v>
          </cell>
          <cell r="M251">
            <v>3115.0773184703407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1227.1462143224653</v>
          </cell>
          <cell r="H252">
            <v>1.2271462143224654</v>
          </cell>
          <cell r="I252">
            <v>3.4518535552</v>
          </cell>
          <cell r="J252">
            <v>3.4518535552000001E-3</v>
          </cell>
          <cell r="K252">
            <v>221.50765221797974</v>
          </cell>
          <cell r="L252">
            <v>0.22150765221797974</v>
          </cell>
          <cell r="M252">
            <v>1452.105720095645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2422.650843697761</v>
          </cell>
          <cell r="H253">
            <v>2.422650843697761</v>
          </cell>
          <cell r="I253">
            <v>2.3980769230769225E-3</v>
          </cell>
          <cell r="J253">
            <v>2.3980769230769227E-6</v>
          </cell>
          <cell r="K253">
            <v>436.07758351944307</v>
          </cell>
          <cell r="L253">
            <v>0.43607758351944309</v>
          </cell>
          <cell r="M253">
            <v>2858.730825294127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3235.5777777777776</v>
          </cell>
          <cell r="H254">
            <v>3.2355777777777774</v>
          </cell>
          <cell r="I254">
            <v>0</v>
          </cell>
          <cell r="J254">
            <v>0</v>
          </cell>
          <cell r="K254">
            <v>582.40399999999988</v>
          </cell>
          <cell r="L254">
            <v>0.58240399999999992</v>
          </cell>
          <cell r="M254">
            <v>3817.9817777777776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3812.765276627219</v>
          </cell>
          <cell r="H255">
            <v>3.8127652766272191</v>
          </cell>
          <cell r="I255">
            <v>5.5769230769230758E-2</v>
          </cell>
          <cell r="J255">
            <v>5.5769230769230759E-5</v>
          </cell>
          <cell r="K255">
            <v>686.30778825443792</v>
          </cell>
          <cell r="L255">
            <v>0.68630778825443794</v>
          </cell>
          <cell r="M255">
            <v>4499.1288341124264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2346.6666666666665</v>
          </cell>
          <cell r="H256">
            <v>2.3466666666666667</v>
          </cell>
          <cell r="I256">
            <v>50</v>
          </cell>
          <cell r="J256">
            <v>0.05</v>
          </cell>
          <cell r="K256">
            <v>431.4</v>
          </cell>
          <cell r="L256">
            <v>0.43139999999999995</v>
          </cell>
          <cell r="M256">
            <v>2828.0666666666666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1434.612214030225</v>
          </cell>
          <cell r="H257">
            <v>1.4346122140302251</v>
          </cell>
          <cell r="I257">
            <v>4.8078107388294944</v>
          </cell>
          <cell r="J257">
            <v>4.8078107388294941E-3</v>
          </cell>
          <cell r="K257">
            <v>259.09560445842976</v>
          </cell>
          <cell r="L257">
            <v>0.25909560445842977</v>
          </cell>
          <cell r="M257">
            <v>1698.5156292274842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6052.8856575000009</v>
          </cell>
          <cell r="H258">
            <v>6.052885657500001</v>
          </cell>
          <cell r="I258">
            <v>0</v>
          </cell>
          <cell r="J258">
            <v>0</v>
          </cell>
          <cell r="K258">
            <v>1089.51941835</v>
          </cell>
          <cell r="L258">
            <v>1.0895194183500001</v>
          </cell>
          <cell r="M258">
            <v>7142.4050758500007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17.89471</v>
          </cell>
          <cell r="H259">
            <v>1.7894710000000001E-2</v>
          </cell>
          <cell r="I259">
            <v>0</v>
          </cell>
          <cell r="J259">
            <v>0</v>
          </cell>
          <cell r="K259">
            <v>3.2210478</v>
          </cell>
          <cell r="L259">
            <v>3.2210478000000002E-3</v>
          </cell>
          <cell r="M259">
            <v>21.115757800000001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1572.8363636363633</v>
          </cell>
          <cell r="H260">
            <v>1.5728363636363634</v>
          </cell>
          <cell r="I260">
            <v>0</v>
          </cell>
          <cell r="J260">
            <v>0</v>
          </cell>
          <cell r="K260">
            <v>283.11054545454539</v>
          </cell>
          <cell r="L260">
            <v>0.28311054545454539</v>
          </cell>
          <cell r="M260">
            <v>1855.9469090909088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372.06646312500004</v>
          </cell>
          <cell r="L261">
            <v>0.37206646312500002</v>
          </cell>
          <cell r="M261">
            <v>2439.1023693750003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3739.4799054373516</v>
          </cell>
          <cell r="H262">
            <v>3.7394799054373515</v>
          </cell>
          <cell r="I262">
            <v>0.45276595744680853</v>
          </cell>
          <cell r="J262">
            <v>4.5276595744680851E-4</v>
          </cell>
          <cell r="K262">
            <v>673.18788085106371</v>
          </cell>
          <cell r="L262">
            <v>0.67318788085106374</v>
          </cell>
          <cell r="M262">
            <v>4413.1205522458622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4.6391400000000003</v>
          </cell>
          <cell r="H263">
            <v>4.6391399999999999E-3</v>
          </cell>
          <cell r="I263">
            <v>0</v>
          </cell>
          <cell r="J263">
            <v>0</v>
          </cell>
          <cell r="K263">
            <v>0.83504520000000004</v>
          </cell>
          <cell r="L263">
            <v>8.3504520000000004E-4</v>
          </cell>
          <cell r="M263">
            <v>5.4741852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1708.6364542060608</v>
          </cell>
          <cell r="H264">
            <v>1.7086364542060608</v>
          </cell>
          <cell r="I264">
            <v>0</v>
          </cell>
          <cell r="J264">
            <v>0</v>
          </cell>
          <cell r="K264">
            <v>307.55456175709094</v>
          </cell>
          <cell r="L264">
            <v>0.30755456175709095</v>
          </cell>
          <cell r="M264">
            <v>2016.1910159631516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1021.78137</v>
          </cell>
          <cell r="H265">
            <v>1.02178137</v>
          </cell>
          <cell r="I265">
            <v>4.2287497142857147</v>
          </cell>
          <cell r="J265">
            <v>4.2287497142857143E-3</v>
          </cell>
          <cell r="K265">
            <v>184.68182154857143</v>
          </cell>
          <cell r="L265">
            <v>0.18468182154857143</v>
          </cell>
          <cell r="M265">
            <v>1210.6919412628572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509.71164095831966</v>
          </cell>
          <cell r="H266">
            <v>0.50971164095831967</v>
          </cell>
          <cell r="I266">
            <v>10.476862487692811</v>
          </cell>
          <cell r="J266">
            <v>1.0476862487692811E-2</v>
          </cell>
          <cell r="K266">
            <v>93.633930620282229</v>
          </cell>
          <cell r="L266">
            <v>9.3633930620282232E-2</v>
          </cell>
          <cell r="M266">
            <v>613.82243406629459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905.106801923077</v>
          </cell>
          <cell r="H267">
            <v>0.90510680192307702</v>
          </cell>
          <cell r="I267">
            <v>6.139038461538461</v>
          </cell>
          <cell r="J267">
            <v>6.1390384615384614E-3</v>
          </cell>
          <cell r="K267">
            <v>164.02425126923077</v>
          </cell>
          <cell r="L267">
            <v>0.16402425126923079</v>
          </cell>
          <cell r="M267">
            <v>1075.2700916538463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387.80678117191536</v>
          </cell>
          <cell r="H268">
            <v>387.80678117191536</v>
          </cell>
          <cell r="I268">
            <v>17.21246872857143</v>
          </cell>
          <cell r="J268">
            <v>17.21246872857143</v>
          </cell>
          <cell r="K268">
            <v>72.903464982087613</v>
          </cell>
          <cell r="L268">
            <v>72.903464982087613</v>
          </cell>
          <cell r="M268">
            <v>477.92271488257438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7.8250000000000002</v>
          </cell>
          <cell r="H269">
            <v>7.8250000000000004E-3</v>
          </cell>
          <cell r="I269">
            <v>79.08323353293413</v>
          </cell>
          <cell r="J269">
            <v>7.908323353293413E-2</v>
          </cell>
          <cell r="K269">
            <v>15.643482035928143</v>
          </cell>
          <cell r="L269">
            <v>1.5643482035928143E-2</v>
          </cell>
          <cell r="M269">
            <v>102.55171556886228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1117.8879267027862</v>
          </cell>
          <cell r="H270">
            <v>1.1178879267027861</v>
          </cell>
          <cell r="I270">
            <v>0.22060059880239519</v>
          </cell>
          <cell r="J270">
            <v>2.206005988023952E-4</v>
          </cell>
          <cell r="K270">
            <v>201.25953491428592</v>
          </cell>
          <cell r="L270">
            <v>0.20125953491428591</v>
          </cell>
          <cell r="M270">
            <v>1319.3680622158745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465.28805282625916</v>
          </cell>
          <cell r="H271">
            <v>465.28805282625916</v>
          </cell>
          <cell r="I271">
            <v>5.0211537743488694</v>
          </cell>
          <cell r="J271">
            <v>5.0211537743488694</v>
          </cell>
          <cell r="K271">
            <v>84.655657188109444</v>
          </cell>
          <cell r="L271">
            <v>84.655657188109444</v>
          </cell>
          <cell r="M271">
            <v>554.96486378871748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2639.8721574115998</v>
          </cell>
          <cell r="H272">
            <v>2.6398721574115998</v>
          </cell>
          <cell r="I272">
            <v>2.3875190384061249E-2</v>
          </cell>
          <cell r="J272">
            <v>2.3875190384061249E-5</v>
          </cell>
          <cell r="K272">
            <v>475.18128586835707</v>
          </cell>
          <cell r="L272">
            <v>0.47518128586835706</v>
          </cell>
          <cell r="M272">
            <v>3115.0773184703407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417.81974211429815</v>
          </cell>
          <cell r="H273">
            <v>417.81974211429815</v>
          </cell>
          <cell r="I273">
            <v>5.031816807120733</v>
          </cell>
          <cell r="J273">
            <v>5.031816807120733</v>
          </cell>
          <cell r="K273">
            <v>76.113280605855394</v>
          </cell>
          <cell r="L273">
            <v>76.113280605855394</v>
          </cell>
          <cell r="M273">
            <v>498.96483952727425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5947.1840094062318</v>
          </cell>
          <cell r="H274">
            <v>5.9471840094062314</v>
          </cell>
          <cell r="I274">
            <v>16.559999999999999</v>
          </cell>
          <cell r="J274">
            <v>1.6559999999999998E-2</v>
          </cell>
          <cell r="K274">
            <v>1073.4739216931218</v>
          </cell>
          <cell r="L274">
            <v>1.0734739216931219</v>
          </cell>
          <cell r="M274">
            <v>7037.2179310993542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1939.0229254807693</v>
          </cell>
          <cell r="H275">
            <v>1.9390229254807694</v>
          </cell>
          <cell r="I275">
            <v>0.10230769230769231</v>
          </cell>
          <cell r="J275">
            <v>1.023076923076923E-4</v>
          </cell>
          <cell r="K275">
            <v>349.04254197115387</v>
          </cell>
          <cell r="L275">
            <v>0.34904254197115386</v>
          </cell>
          <cell r="M275">
            <v>2288.1677751442307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678.61926502538324</v>
          </cell>
          <cell r="H276">
            <v>678.61926502538324</v>
          </cell>
          <cell r="I276">
            <v>27.840802689219387</v>
          </cell>
          <cell r="J276">
            <v>27.840802689219387</v>
          </cell>
          <cell r="K276">
            <v>127.16281218862846</v>
          </cell>
          <cell r="L276">
            <v>127.16281218862846</v>
          </cell>
          <cell r="M276">
            <v>833.62287990323102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2093.0492785714282</v>
          </cell>
          <cell r="H277">
            <v>2.0930492785714283</v>
          </cell>
          <cell r="I277">
            <v>0</v>
          </cell>
          <cell r="J277">
            <v>0</v>
          </cell>
          <cell r="K277">
            <v>376.74887014285707</v>
          </cell>
          <cell r="L277">
            <v>0.37674887014285707</v>
          </cell>
          <cell r="M277">
            <v>2469.7981487142852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7.8250000000000002</v>
          </cell>
          <cell r="H278">
            <v>7.8250000000000004E-3</v>
          </cell>
          <cell r="I278">
            <v>36.582167664670656</v>
          </cell>
          <cell r="J278">
            <v>3.6582167664670658E-2</v>
          </cell>
          <cell r="K278">
            <v>7.9932901796407183</v>
          </cell>
          <cell r="L278">
            <v>7.9932901796407191E-3</v>
          </cell>
          <cell r="M278">
            <v>52.400457844311376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1524.8770477866603</v>
          </cell>
          <cell r="H279">
            <v>1.5248770477866604</v>
          </cell>
          <cell r="I279">
            <v>0.11130476977080322</v>
          </cell>
          <cell r="J279">
            <v>1.1130476977080323E-4</v>
          </cell>
          <cell r="K279">
            <v>274.4979034601576</v>
          </cell>
          <cell r="L279">
            <v>0.27449790346015762</v>
          </cell>
          <cell r="M279">
            <v>1799.4862560165889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594.31702215033408</v>
          </cell>
          <cell r="H280">
            <v>594.31702215033408</v>
          </cell>
          <cell r="I280">
            <v>4.9705349976953173</v>
          </cell>
          <cell r="J280">
            <v>4.9705349976953173</v>
          </cell>
          <cell r="K280">
            <v>107.87176028664528</v>
          </cell>
          <cell r="L280">
            <v>107.87176028664528</v>
          </cell>
          <cell r="M280">
            <v>707.15931743467468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2088.451749529042</v>
          </cell>
          <cell r="H281">
            <v>2.088451749529042</v>
          </cell>
          <cell r="I281">
            <v>0</v>
          </cell>
          <cell r="J281">
            <v>0</v>
          </cell>
          <cell r="K281">
            <v>375.92131491522753</v>
          </cell>
          <cell r="L281">
            <v>0.37592131491522751</v>
          </cell>
          <cell r="M281">
            <v>2464.3730644442694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2106.4737275510201</v>
          </cell>
          <cell r="H282">
            <v>2.1064737275510201</v>
          </cell>
          <cell r="I282">
            <v>0</v>
          </cell>
          <cell r="J282">
            <v>0</v>
          </cell>
          <cell r="K282">
            <v>379.1652709591836</v>
          </cell>
          <cell r="L282">
            <v>0.37916527095918362</v>
          </cell>
          <cell r="M282">
            <v>2485.6389985102037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1895.6035409803922</v>
          </cell>
          <cell r="H283">
            <v>1.8956035409803922</v>
          </cell>
          <cell r="I283">
            <v>0</v>
          </cell>
          <cell r="J283">
            <v>0</v>
          </cell>
          <cell r="K283">
            <v>341.20863737647056</v>
          </cell>
          <cell r="L283">
            <v>0.34120863737647056</v>
          </cell>
          <cell r="M283">
            <v>2236.8121783568627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2947.0803114705886</v>
          </cell>
          <cell r="H284">
            <v>2947.0803114705886</v>
          </cell>
          <cell r="I284">
            <v>264.07400000000001</v>
          </cell>
          <cell r="J284">
            <v>264.07400000000001</v>
          </cell>
          <cell r="K284">
            <v>578.00777606470592</v>
          </cell>
          <cell r="L284">
            <v>578.00777606470592</v>
          </cell>
          <cell r="M284">
            <v>3789.1620875352946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7.5987841945288759</v>
          </cell>
          <cell r="J285">
            <v>7.5987841945288756E-3</v>
          </cell>
          <cell r="K285">
            <v>857.02374711246182</v>
          </cell>
          <cell r="L285">
            <v>0.85702374711246176</v>
          </cell>
          <cell r="M285">
            <v>5618.266786626139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749.58537155648878</v>
          </cell>
          <cell r="H286">
            <v>749.58537155648878</v>
          </cell>
          <cell r="I286">
            <v>13.93209514404295</v>
          </cell>
          <cell r="J286">
            <v>13.93209514404295</v>
          </cell>
          <cell r="K286">
            <v>137.43314400609572</v>
          </cell>
          <cell r="L286">
            <v>137.43314400609572</v>
          </cell>
          <cell r="M286">
            <v>900.95061070662746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1403.1267052848862</v>
          </cell>
          <cell r="H287">
            <v>1.4031267052848861</v>
          </cell>
          <cell r="I287">
            <v>5.1399965120000006</v>
          </cell>
          <cell r="J287">
            <v>5.1399965120000005E-3</v>
          </cell>
          <cell r="K287">
            <v>253.48800632343949</v>
          </cell>
          <cell r="L287">
            <v>0.25348800632343949</v>
          </cell>
          <cell r="M287">
            <v>1661.7547081203256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1911.374784950179</v>
          </cell>
          <cell r="H288">
            <v>1.911374784950179</v>
          </cell>
          <cell r="I288">
            <v>2.7884615384615379E-2</v>
          </cell>
          <cell r="J288">
            <v>2.7884615384615379E-5</v>
          </cell>
          <cell r="K288">
            <v>344.05248052180144</v>
          </cell>
          <cell r="L288">
            <v>0.34405248052180143</v>
          </cell>
          <cell r="M288">
            <v>2255.4551500873649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359.50836666666663</v>
          </cell>
          <cell r="L289">
            <v>0.35950836666666663</v>
          </cell>
          <cell r="M289">
            <v>2356.77707037037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1360.6472252544154</v>
          </cell>
          <cell r="H290">
            <v>1.3606472252544153</v>
          </cell>
          <cell r="I290">
            <v>0.5211723682539684</v>
          </cell>
          <cell r="J290">
            <v>5.2117236825396842E-4</v>
          </cell>
          <cell r="K290">
            <v>245.01031157208047</v>
          </cell>
          <cell r="L290">
            <v>0.24501031157208047</v>
          </cell>
          <cell r="M290">
            <v>1606.1787091947499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1107.8456548076924</v>
          </cell>
          <cell r="H291">
            <v>1.1078456548076925</v>
          </cell>
          <cell r="I291">
            <v>0</v>
          </cell>
          <cell r="J291">
            <v>0</v>
          </cell>
          <cell r="K291">
            <v>199.41221786538463</v>
          </cell>
          <cell r="L291">
            <v>0.19941221786538463</v>
          </cell>
          <cell r="M291">
            <v>1307.2578726730771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1107.8456548076924</v>
          </cell>
          <cell r="H292">
            <v>1.1078456548076925</v>
          </cell>
          <cell r="I292">
            <v>3.1949999999999998</v>
          </cell>
          <cell r="J292">
            <v>3.1949999999999999E-3</v>
          </cell>
          <cell r="K292">
            <v>199.98731786538463</v>
          </cell>
          <cell r="L292">
            <v>0.19998731786538462</v>
          </cell>
          <cell r="M292">
            <v>1311.0279726730769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227.57080872868772</v>
          </cell>
          <cell r="H293">
            <v>227.57080872868772</v>
          </cell>
          <cell r="I293">
            <v>7.1362826194139197</v>
          </cell>
          <cell r="J293">
            <v>7.1362826194139197</v>
          </cell>
          <cell r="K293">
            <v>42.247276442658297</v>
          </cell>
          <cell r="L293">
            <v>42.247276442658297</v>
          </cell>
          <cell r="M293">
            <v>276.95436779075993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368.30606222166847</v>
          </cell>
          <cell r="H294">
            <v>368.30606222166847</v>
          </cell>
          <cell r="I294">
            <v>4.8457582757763973</v>
          </cell>
          <cell r="J294">
            <v>4.8457582757763973</v>
          </cell>
          <cell r="K294">
            <v>67.167327689540073</v>
          </cell>
          <cell r="L294">
            <v>67.167327689540073</v>
          </cell>
          <cell r="M294">
            <v>440.31914818698493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1884.7508369673906</v>
          </cell>
          <cell r="H295">
            <v>1884.7508369673906</v>
          </cell>
          <cell r="I295">
            <v>13.821448779897347</v>
          </cell>
          <cell r="J295">
            <v>13.821448779897347</v>
          </cell>
          <cell r="K295">
            <v>341.7430114345118</v>
          </cell>
          <cell r="L295">
            <v>341.7430114345118</v>
          </cell>
          <cell r="M295">
            <v>2240.3152971817999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85.211807824397781</v>
          </cell>
          <cell r="H296">
            <v>85.211807824397781</v>
          </cell>
          <cell r="I296">
            <v>0.27738457830000002</v>
          </cell>
          <cell r="J296">
            <v>0.27738457830000002</v>
          </cell>
          <cell r="K296">
            <v>15.3880546324856</v>
          </cell>
          <cell r="L296">
            <v>15.3880546324856</v>
          </cell>
          <cell r="M296">
            <v>100.87724703518339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1785.5263333333332</v>
          </cell>
          <cell r="H297">
            <v>1.7855263333333333</v>
          </cell>
          <cell r="I297">
            <v>1.8771333333333331</v>
          </cell>
          <cell r="J297">
            <v>1.8771333333333332E-3</v>
          </cell>
          <cell r="K297">
            <v>321.73262399999999</v>
          </cell>
          <cell r="L297">
            <v>0.32173262399999997</v>
          </cell>
          <cell r="M297">
            <v>2109.1360906666669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988.19211969831554</v>
          </cell>
          <cell r="H298">
            <v>988.19211969831554</v>
          </cell>
          <cell r="I298">
            <v>14.396438226190476</v>
          </cell>
          <cell r="J298">
            <v>14.396438226190476</v>
          </cell>
          <cell r="K298">
            <v>180.46594042641109</v>
          </cell>
          <cell r="L298">
            <v>180.46594042641109</v>
          </cell>
          <cell r="M298">
            <v>1183.0544983509171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315.02196298040366</v>
          </cell>
          <cell r="H299">
            <v>315.02196298040366</v>
          </cell>
          <cell r="I299">
            <v>1.6990401571428571</v>
          </cell>
          <cell r="J299">
            <v>1.6990401571428571</v>
          </cell>
          <cell r="K299">
            <v>57.009780564758373</v>
          </cell>
          <cell r="L299">
            <v>57.009780564758373</v>
          </cell>
          <cell r="M299">
            <v>373.7307837023049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346.10629783755019</v>
          </cell>
          <cell r="H300">
            <v>346.10629783755019</v>
          </cell>
          <cell r="I300">
            <v>2.7523336539264829</v>
          </cell>
          <cell r="J300">
            <v>2.7523336539264829</v>
          </cell>
          <cell r="K300">
            <v>62.794553668465795</v>
          </cell>
          <cell r="L300">
            <v>62.794553668465795</v>
          </cell>
          <cell r="M300">
            <v>411.6531851599425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2730.6412536688458</v>
          </cell>
          <cell r="H301">
            <v>2730.6412536688458</v>
          </cell>
          <cell r="I301">
            <v>0</v>
          </cell>
          <cell r="J301">
            <v>0</v>
          </cell>
          <cell r="K301">
            <v>491.51542566039222</v>
          </cell>
          <cell r="L301">
            <v>491.51542566039222</v>
          </cell>
          <cell r="M301">
            <v>3222.1566793292382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1585.8038857112167</v>
          </cell>
          <cell r="H302">
            <v>1.5858038857112167</v>
          </cell>
          <cell r="I302">
            <v>5.9657314774988599</v>
          </cell>
          <cell r="J302">
            <v>5.9657314774988601E-3</v>
          </cell>
          <cell r="K302">
            <v>286.51853109396876</v>
          </cell>
          <cell r="L302">
            <v>0.28651853109396874</v>
          </cell>
          <cell r="M302">
            <v>1878.2881482826842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1585.8038857112167</v>
          </cell>
          <cell r="H303">
            <v>1.5858038857112167</v>
          </cell>
          <cell r="I303">
            <v>13.264588620356001</v>
          </cell>
          <cell r="J303">
            <v>1.3264588620356002E-2</v>
          </cell>
          <cell r="K303">
            <v>287.83232537968308</v>
          </cell>
          <cell r="L303">
            <v>0.28783232537968306</v>
          </cell>
          <cell r="M303">
            <v>1886.9007997112558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12</v>
          </cell>
          <cell r="J304">
            <v>1.2E-2</v>
          </cell>
          <cell r="K304">
            <v>139.01100000000005</v>
          </cell>
          <cell r="L304">
            <v>0.13901100000000005</v>
          </cell>
          <cell r="M304">
            <v>911.29433333333373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2137.6972222222221</v>
          </cell>
          <cell r="H305">
            <v>2.1376972222222221</v>
          </cell>
          <cell r="I305">
            <v>26.092199999999998</v>
          </cell>
          <cell r="J305">
            <v>2.6092199999999999E-2</v>
          </cell>
          <cell r="K305">
            <v>389.48209599999996</v>
          </cell>
          <cell r="L305">
            <v>0.38948209599999994</v>
          </cell>
          <cell r="M305">
            <v>2553.2715182222219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1999.6630882026627</v>
          </cell>
          <cell r="H306">
            <v>1.9996630882026627</v>
          </cell>
          <cell r="I306">
            <v>0.10230769230769231</v>
          </cell>
          <cell r="J306">
            <v>1.023076923076923E-4</v>
          </cell>
          <cell r="K306">
            <v>359.95777126109465</v>
          </cell>
          <cell r="L306">
            <v>0.35995777126109463</v>
          </cell>
          <cell r="M306">
            <v>2359.7231671560648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2017.4145674926037</v>
          </cell>
          <cell r="H307">
            <v>2.0174145674926036</v>
          </cell>
          <cell r="I307">
            <v>0.10230769230769231</v>
          </cell>
          <cell r="J307">
            <v>1.023076923076923E-4</v>
          </cell>
          <cell r="K307">
            <v>363.15303753328402</v>
          </cell>
          <cell r="L307">
            <v>0.36315303753328404</v>
          </cell>
          <cell r="M307">
            <v>2380.6699127181955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6259.4444444444443</v>
          </cell>
          <cell r="H308">
            <v>6.2594444444444441</v>
          </cell>
          <cell r="I308">
            <v>3.61</v>
          </cell>
          <cell r="J308">
            <v>3.6099999999999999E-3</v>
          </cell>
          <cell r="K308">
            <v>1127.3498</v>
          </cell>
          <cell r="L308">
            <v>1.1273498</v>
          </cell>
          <cell r="M308">
            <v>7390.404244444444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143.75226104420139</v>
          </cell>
          <cell r="H309">
            <v>143.75226104420139</v>
          </cell>
          <cell r="I309">
            <v>0.22831198744716519</v>
          </cell>
          <cell r="J309">
            <v>0.22831198744716519</v>
          </cell>
          <cell r="K309">
            <v>25.916503145696741</v>
          </cell>
          <cell r="L309">
            <v>25.916503145696741</v>
          </cell>
          <cell r="M309">
            <v>169.8970761773453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1958.6111627906973</v>
          </cell>
          <cell r="H310">
            <v>1.9586111627906972</v>
          </cell>
          <cell r="I310">
            <v>0.10203788060417167</v>
          </cell>
          <cell r="J310">
            <v>1.0203788060417167E-4</v>
          </cell>
          <cell r="K310">
            <v>352.56837612083427</v>
          </cell>
          <cell r="L310">
            <v>0.35256837612083425</v>
          </cell>
          <cell r="M310">
            <v>2311.2815767921356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4180.7610017049992</v>
          </cell>
          <cell r="H311">
            <v>4.1807610017049992</v>
          </cell>
          <cell r="I311">
            <v>8.0475165999999998</v>
          </cell>
          <cell r="J311">
            <v>8.0475166000000004E-3</v>
          </cell>
          <cell r="K311">
            <v>753.98553329489982</v>
          </cell>
          <cell r="L311">
            <v>0.75398553329489981</v>
          </cell>
          <cell r="M311">
            <v>4942.7940515998989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 t="e">
            <v>#N/A</v>
          </cell>
          <cell r="H312" t="e">
            <v>#N/A</v>
          </cell>
          <cell r="I312">
            <v>3.2909935272744768</v>
          </cell>
          <cell r="J312">
            <v>3.290993527274477E-3</v>
          </cell>
          <cell r="K312" t="e">
            <v>#N/A</v>
          </cell>
          <cell r="L312" t="e">
            <v>#N/A</v>
          </cell>
          <cell r="M312" t="e">
            <v>#N/A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2297.7560275610131</v>
          </cell>
          <cell r="H313">
            <v>2.2977560275610132</v>
          </cell>
          <cell r="I313">
            <v>8.0785692928773436</v>
          </cell>
          <cell r="J313">
            <v>8.0785692928773429E-3</v>
          </cell>
          <cell r="K313">
            <v>415.05022743370029</v>
          </cell>
          <cell r="L313">
            <v>0.41505022743370029</v>
          </cell>
          <cell r="M313">
            <v>2720.8848242875911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1693.6419468824568</v>
          </cell>
          <cell r="H314">
            <v>1.6936419468824568</v>
          </cell>
          <cell r="I314">
            <v>3.4239729739442946</v>
          </cell>
          <cell r="J314">
            <v>3.4239729739442945E-3</v>
          </cell>
          <cell r="K314">
            <v>305.47186557415216</v>
          </cell>
          <cell r="L314">
            <v>0.30547186557415218</v>
          </cell>
          <cell r="M314">
            <v>2002.5377854305532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2349.4092006711408</v>
          </cell>
          <cell r="H315">
            <v>2.3494092006711407</v>
          </cell>
          <cell r="I315">
            <v>40.736495499999997</v>
          </cell>
          <cell r="J315">
            <v>4.0736495499999997E-2</v>
          </cell>
          <cell r="K315">
            <v>430.22622531080526</v>
          </cell>
          <cell r="L315">
            <v>0.43022622531080529</v>
          </cell>
          <cell r="M315">
            <v>2820.3719214819457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2264.7143988367725</v>
          </cell>
          <cell r="H316">
            <v>2264.7143988367725</v>
          </cell>
          <cell r="I316">
            <v>18.965297119676549</v>
          </cell>
          <cell r="J316">
            <v>18.965297119676549</v>
          </cell>
          <cell r="K316">
            <v>411.06234527216083</v>
          </cell>
          <cell r="L316">
            <v>411.06234527216083</v>
          </cell>
          <cell r="M316">
            <v>2694.7420412286097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1480.4822099935559</v>
          </cell>
          <cell r="H317">
            <v>1.480482209993556</v>
          </cell>
          <cell r="I317">
            <v>8.8886066612174144</v>
          </cell>
          <cell r="J317">
            <v>8.8886066612174144E-3</v>
          </cell>
          <cell r="K317">
            <v>268.08674699785917</v>
          </cell>
          <cell r="L317">
            <v>0.26808674699785917</v>
          </cell>
          <cell r="M317">
            <v>1757.4575636526324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2048.6088801505834</v>
          </cell>
          <cell r="H318">
            <v>2048.6088801505834</v>
          </cell>
          <cell r="I318">
            <v>27.45985484613222</v>
          </cell>
          <cell r="J318">
            <v>27.45985484613222</v>
          </cell>
          <cell r="K318">
            <v>373.69237229940882</v>
          </cell>
          <cell r="L318">
            <v>373.69237229940882</v>
          </cell>
          <cell r="M318">
            <v>2449.7611072961245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90.048681871248903</v>
          </cell>
          <cell r="H319">
            <v>90.048681871248903</v>
          </cell>
          <cell r="I319">
            <v>7.391531301034294</v>
          </cell>
          <cell r="J319">
            <v>7.391531301034294</v>
          </cell>
          <cell r="K319">
            <v>17.539238371010974</v>
          </cell>
          <cell r="L319">
            <v>17.539238371010974</v>
          </cell>
          <cell r="M319">
            <v>114.97945154329418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1491.4711388547039</v>
          </cell>
          <cell r="H320">
            <v>1491.4711388547039</v>
          </cell>
          <cell r="I320">
            <v>16.166730011238602</v>
          </cell>
          <cell r="J320">
            <v>16.166730011238602</v>
          </cell>
          <cell r="K320">
            <v>271.37481639586963</v>
          </cell>
          <cell r="L320">
            <v>271.37481639586963</v>
          </cell>
          <cell r="M320">
            <v>1779.0126852618121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1940.9139784946237</v>
          </cell>
          <cell r="H321">
            <v>1.9409139784946237</v>
          </cell>
          <cell r="I321">
            <v>14.919636456733231</v>
          </cell>
          <cell r="J321">
            <v>1.4919636456733231E-2</v>
          </cell>
          <cell r="K321">
            <v>352.05005069124428</v>
          </cell>
          <cell r="L321">
            <v>0.35205005069124429</v>
          </cell>
          <cell r="M321">
            <v>2307.8836656426015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1160.4519913930706</v>
          </cell>
          <cell r="H322">
            <v>1.1604519913930706</v>
          </cell>
          <cell r="I322">
            <v>1.4375859649122806</v>
          </cell>
          <cell r="J322">
            <v>1.4375859649122806E-3</v>
          </cell>
          <cell r="K322">
            <v>209.14012392443692</v>
          </cell>
          <cell r="L322">
            <v>0.20914012392443693</v>
          </cell>
          <cell r="M322">
            <v>1371.0297012824199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1686.069824987336</v>
          </cell>
          <cell r="H323">
            <v>1686.069824987336</v>
          </cell>
          <cell r="I323">
            <v>2.0126203508771927</v>
          </cell>
          <cell r="J323">
            <v>2.0126203508771927</v>
          </cell>
          <cell r="K323">
            <v>303.85484016087833</v>
          </cell>
          <cell r="L323">
            <v>303.85484016087833</v>
          </cell>
          <cell r="M323">
            <v>1991.9372854990916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 t="e">
            <v>#N/A</v>
          </cell>
          <cell r="H324" t="e">
            <v>#N/A</v>
          </cell>
          <cell r="I324">
            <v>0.15318582857142859</v>
          </cell>
          <cell r="J324">
            <v>1.5318582857142858E-4</v>
          </cell>
          <cell r="K324" t="e">
            <v>#N/A</v>
          </cell>
          <cell r="L324" t="e">
            <v>#N/A</v>
          </cell>
          <cell r="M324" t="e">
            <v>#N/A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 t="e">
            <v>#N/A</v>
          </cell>
          <cell r="H325" t="e">
            <v>#N/A</v>
          </cell>
          <cell r="I325">
            <v>4.3705858285714285</v>
          </cell>
          <cell r="J325">
            <v>4.3705858285714282E-3</v>
          </cell>
          <cell r="K325" t="e">
            <v>#N/A</v>
          </cell>
          <cell r="L325" t="e">
            <v>#N/A</v>
          </cell>
          <cell r="M325" t="e">
            <v>#N/A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 t="e">
            <v>#N/A</v>
          </cell>
          <cell r="H326" t="e">
            <v>#N/A</v>
          </cell>
          <cell r="I326">
            <v>3.135088152380952</v>
          </cell>
          <cell r="J326">
            <v>3.1350881523809519E-3</v>
          </cell>
          <cell r="K326" t="e">
            <v>#N/A</v>
          </cell>
          <cell r="L326" t="e">
            <v>#N/A</v>
          </cell>
          <cell r="M326" t="e">
            <v>#N/A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1975.5029585798816</v>
          </cell>
          <cell r="H327">
            <v>1.9755029585798816</v>
          </cell>
          <cell r="I327">
            <v>15.384615384615387</v>
          </cell>
          <cell r="J327">
            <v>1.5384615384615387E-2</v>
          </cell>
          <cell r="K327">
            <v>358.35976331360945</v>
          </cell>
          <cell r="L327">
            <v>0.35835976331360947</v>
          </cell>
          <cell r="M327">
            <v>2349.2473372781064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2059.276014985609</v>
          </cell>
          <cell r="H328">
            <v>2059.276014985609</v>
          </cell>
          <cell r="I328">
            <v>0.24534570904573341</v>
          </cell>
          <cell r="J328">
            <v>0.24534570904573341</v>
          </cell>
          <cell r="K328">
            <v>370.71384492503779</v>
          </cell>
          <cell r="L328">
            <v>370.71384492503779</v>
          </cell>
          <cell r="M328">
            <v>2430.2352056196924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2223.0524896004658</v>
          </cell>
          <cell r="H329">
            <v>2.223052489600466</v>
          </cell>
          <cell r="I329">
            <v>15.039097569340143</v>
          </cell>
          <cell r="J329">
            <v>1.5039097569340142E-2</v>
          </cell>
          <cell r="K329">
            <v>402.85648569056508</v>
          </cell>
          <cell r="L329">
            <v>0.40285648569056509</v>
          </cell>
          <cell r="M329">
            <v>2640.9480728603712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3063.3018039628805</v>
          </cell>
          <cell r="H330">
            <v>3.0633018039628803</v>
          </cell>
          <cell r="I330">
            <v>18.498265823892091</v>
          </cell>
          <cell r="J330">
            <v>1.849826582389209E-2</v>
          </cell>
          <cell r="K330">
            <v>554.72401256161902</v>
          </cell>
          <cell r="L330">
            <v>0.55472401256161907</v>
          </cell>
          <cell r="M330">
            <v>3636.5240823483914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811.42293346774204</v>
          </cell>
          <cell r="H331">
            <v>0.81142293346774208</v>
          </cell>
          <cell r="I331">
            <v>7.3911290322580649</v>
          </cell>
          <cell r="J331">
            <v>7.3911290322580649E-3</v>
          </cell>
          <cell r="K331">
            <v>147.38653125000002</v>
          </cell>
          <cell r="L331">
            <v>0.14738653125000001</v>
          </cell>
          <cell r="M331">
            <v>966.20059375000005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918.63911545524559</v>
          </cell>
          <cell r="H332">
            <v>0.91863911545524557</v>
          </cell>
          <cell r="I332">
            <v>0.59069486404833838</v>
          </cell>
          <cell r="J332">
            <v>5.9069486404833842E-4</v>
          </cell>
          <cell r="K332">
            <v>165.46136585747291</v>
          </cell>
          <cell r="L332">
            <v>0.16546136585747293</v>
          </cell>
          <cell r="M332">
            <v>1084.6911761767669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190.83885527902652</v>
          </cell>
          <cell r="H333">
            <v>190.83885527902652</v>
          </cell>
          <cell r="I333">
            <v>2.9418587211981566</v>
          </cell>
          <cell r="J333">
            <v>2.9418587211981566</v>
          </cell>
          <cell r="K333">
            <v>34.880528520040436</v>
          </cell>
          <cell r="L333">
            <v>34.880528520040436</v>
          </cell>
          <cell r="M333">
            <v>228.66124252026509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1442.6753961162353</v>
          </cell>
          <cell r="H334">
            <v>1442.6753961162353</v>
          </cell>
          <cell r="I334">
            <v>15.508077391264223</v>
          </cell>
          <cell r="J334">
            <v>15.508077391264223</v>
          </cell>
          <cell r="K334">
            <v>262.47302523134988</v>
          </cell>
          <cell r="L334">
            <v>262.47302523134988</v>
          </cell>
          <cell r="M334">
            <v>1720.6564987388492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12.065953872050022</v>
          </cell>
          <cell r="H335">
            <v>12.065953872050022</v>
          </cell>
          <cell r="I335">
            <v>0.10596089832527475</v>
          </cell>
          <cell r="J335">
            <v>0.10596089832527475</v>
          </cell>
          <cell r="K335">
            <v>2.1909446586675534</v>
          </cell>
          <cell r="L335">
            <v>2.1909446586675534</v>
          </cell>
          <cell r="M335">
            <v>14.36285942904285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3934.2303589895837</v>
          </cell>
          <cell r="H336">
            <v>3.9342303589895837</v>
          </cell>
          <cell r="I336">
            <v>47.645967033859819</v>
          </cell>
          <cell r="J336">
            <v>4.7645967033859822E-2</v>
          </cell>
          <cell r="K336">
            <v>716.73773868421983</v>
          </cell>
          <cell r="L336">
            <v>0.71673773868421986</v>
          </cell>
          <cell r="M336">
            <v>4698.6140647076636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3393.2715647058826</v>
          </cell>
          <cell r="H337">
            <v>3.3932715647058824</v>
          </cell>
          <cell r="I337">
            <v>3.6276891428571432</v>
          </cell>
          <cell r="J337">
            <v>3.6276891428571431E-3</v>
          </cell>
          <cell r="K337">
            <v>611.44186569277315</v>
          </cell>
          <cell r="L337">
            <v>0.61144186569277315</v>
          </cell>
          <cell r="M337">
            <v>4008.3411195415129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37.941843671849171</v>
          </cell>
          <cell r="H338">
            <v>37.941843671849171</v>
          </cell>
          <cell r="I338">
            <v>0.16227461858529818</v>
          </cell>
          <cell r="J338">
            <v>0.16227461858529818</v>
          </cell>
          <cell r="K338">
            <v>6.8587412922782045</v>
          </cell>
          <cell r="L338">
            <v>6.8587412922782045</v>
          </cell>
          <cell r="M338">
            <v>44.962859582712674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197.30196503366963</v>
          </cell>
          <cell r="H339">
            <v>197.30196503366963</v>
          </cell>
          <cell r="I339">
            <v>2.6089472563682623</v>
          </cell>
          <cell r="J339">
            <v>2.6089472563682623</v>
          </cell>
          <cell r="K339">
            <v>35.983964212206821</v>
          </cell>
          <cell r="L339">
            <v>35.983964212206821</v>
          </cell>
          <cell r="M339">
            <v>235.8948765022447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439.83688977132806</v>
          </cell>
          <cell r="H340">
            <v>0.43983688977132807</v>
          </cell>
          <cell r="I340">
            <v>13.166399999999999</v>
          </cell>
          <cell r="J340">
            <v>1.31664E-2</v>
          </cell>
          <cell r="K340">
            <v>81.540592158839047</v>
          </cell>
          <cell r="L340">
            <v>8.1540592158839048E-2</v>
          </cell>
          <cell r="M340">
            <v>534.54388193016712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914.14699193299998</v>
          </cell>
          <cell r="H341">
            <v>0.91414699193299997</v>
          </cell>
          <cell r="I341">
            <v>18.894061840609524</v>
          </cell>
          <cell r="J341">
            <v>1.8894061840609523E-2</v>
          </cell>
          <cell r="K341">
            <v>167.94738967924971</v>
          </cell>
          <cell r="L341">
            <v>0.16794738967924971</v>
          </cell>
          <cell r="M341">
            <v>1100.9884434528592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7.1556288249320259</v>
          </cell>
          <cell r="H342">
            <v>7.1556288249320259</v>
          </cell>
          <cell r="I342">
            <v>0.25552795010840007</v>
          </cell>
          <cell r="J342">
            <v>0.25552795010840007</v>
          </cell>
          <cell r="K342">
            <v>1.3340082195072767</v>
          </cell>
          <cell r="L342">
            <v>1.3340082195072767</v>
          </cell>
          <cell r="M342">
            <v>8.7451649945477019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20.903321132624335</v>
          </cell>
          <cell r="H343">
            <v>20.903321132624335</v>
          </cell>
          <cell r="I343">
            <v>0.61686641164686162</v>
          </cell>
          <cell r="J343">
            <v>0.61686641164686162</v>
          </cell>
          <cell r="K343">
            <v>3.8736337579688152</v>
          </cell>
          <cell r="L343">
            <v>3.8736337579688152</v>
          </cell>
          <cell r="M343">
            <v>25.39382130224001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1078.8173987133332</v>
          </cell>
          <cell r="H344">
            <v>1.0788173987133332</v>
          </cell>
          <cell r="I344">
            <v>33.578024633873987</v>
          </cell>
          <cell r="J344">
            <v>3.3578024633873986E-2</v>
          </cell>
          <cell r="K344">
            <v>200.23117620249729</v>
          </cell>
          <cell r="L344">
            <v>0.20023117620249731</v>
          </cell>
          <cell r="M344">
            <v>1312.6265995497047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1180.0272041553376</v>
          </cell>
          <cell r="H345">
            <v>1.1800272041553377</v>
          </cell>
          <cell r="I345">
            <v>42.386166160923828</v>
          </cell>
          <cell r="J345">
            <v>4.2386166160923826E-2</v>
          </cell>
          <cell r="K345">
            <v>220.03440665692702</v>
          </cell>
          <cell r="L345">
            <v>0.22003440665692703</v>
          </cell>
          <cell r="M345">
            <v>1442.4477769731884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1966.1017132324157</v>
          </cell>
          <cell r="H346">
            <v>1.9661017132324157</v>
          </cell>
          <cell r="I346">
            <v>2.9174395764195298</v>
          </cell>
          <cell r="J346">
            <v>2.9174395764195297E-3</v>
          </cell>
          <cell r="K346">
            <v>354.42344750559033</v>
          </cell>
          <cell r="L346">
            <v>0.35442344750559035</v>
          </cell>
          <cell r="M346">
            <v>2323.4426003144258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481.74185992647062</v>
          </cell>
          <cell r="H347">
            <v>0.48174185992647062</v>
          </cell>
          <cell r="I347">
            <v>0.1650681142857143</v>
          </cell>
          <cell r="J347">
            <v>1.6506811428571431E-4</v>
          </cell>
          <cell r="K347">
            <v>86.743247047336141</v>
          </cell>
          <cell r="L347">
            <v>8.6743247047336144E-2</v>
          </cell>
          <cell r="M347">
            <v>568.65017508809251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650.69049368106619</v>
          </cell>
          <cell r="H348">
            <v>0.65069049368106624</v>
          </cell>
          <cell r="I348">
            <v>0.68675135714285718</v>
          </cell>
          <cell r="J348">
            <v>6.8675135714285716E-4</v>
          </cell>
          <cell r="K348">
            <v>117.24790410687763</v>
          </cell>
          <cell r="L348">
            <v>0.11724790410687763</v>
          </cell>
          <cell r="M348">
            <v>768.62514914508665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24.779186077656252</v>
          </cell>
          <cell r="H350">
            <v>24.779186077656252</v>
          </cell>
          <cell r="I350">
            <v>0.10152099372358259</v>
          </cell>
          <cell r="J350">
            <v>0.10152099372358259</v>
          </cell>
          <cell r="K350">
            <v>4.4785272728483703</v>
          </cell>
          <cell r="L350">
            <v>4.4785272728483703</v>
          </cell>
          <cell r="M350">
            <v>29.359234344228206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855.65584367999986</v>
          </cell>
          <cell r="L351">
            <v>0.85565584367999992</v>
          </cell>
          <cell r="M351">
            <v>5609.2994196799991</v>
          </cell>
        </row>
        <row r="352">
          <cell r="A352" t="str">
            <v>907000245</v>
          </cell>
          <cell r="B352" t="str">
            <v>ROSQUETE MELOCOTON 320G (UND)</v>
          </cell>
          <cell r="C352">
            <v>0</v>
          </cell>
          <cell r="D352">
            <v>0</v>
          </cell>
          <cell r="E352" t="str">
            <v>Und</v>
          </cell>
          <cell r="F352" t="str">
            <v>Und</v>
          </cell>
          <cell r="G352">
            <v>405.72963765720976</v>
          </cell>
          <cell r="H352">
            <v>405.72963765720976</v>
          </cell>
          <cell r="I352">
            <v>5.3763644337662342</v>
          </cell>
          <cell r="J352">
            <v>5.3763644337662342</v>
          </cell>
          <cell r="K352">
            <v>73.999080376375673</v>
          </cell>
          <cell r="L352">
            <v>73.999080376375673</v>
          </cell>
          <cell r="M352">
            <v>485.10508246735168</v>
          </cell>
        </row>
        <row r="353">
          <cell r="A353" t="str">
            <v>96270</v>
          </cell>
          <cell r="B353" t="str">
            <v>ROSQUETE MELOCOTON PURATOS (360g)</v>
          </cell>
          <cell r="C353" t="str">
            <v>ESP-RE-BAS-013</v>
          </cell>
          <cell r="D353" t="str">
            <v>06</v>
          </cell>
          <cell r="E353" t="str">
            <v>Und</v>
          </cell>
          <cell r="F353" t="str">
            <v>Und</v>
          </cell>
          <cell r="G353">
            <v>440.23018233059173</v>
          </cell>
          <cell r="H353">
            <v>440.23018233059173</v>
          </cell>
          <cell r="I353">
            <v>4.8654427561576359</v>
          </cell>
          <cell r="J353">
            <v>4.8654427561576359</v>
          </cell>
          <cell r="K353">
            <v>80.117212515614881</v>
          </cell>
          <cell r="L353">
            <v>80.117212515614881</v>
          </cell>
          <cell r="M353">
            <v>525.21283760236429</v>
          </cell>
        </row>
        <row r="354">
          <cell r="A354" t="str">
            <v>908000051</v>
          </cell>
          <cell r="B354" t="str">
            <v>COCCION PICADILLO PAPA C/CHORIZO (KILO)</v>
          </cell>
          <cell r="C354" t="str">
            <v>ESP-RE-COCS-122</v>
          </cell>
          <cell r="D354" t="str">
            <v>02</v>
          </cell>
          <cell r="E354" t="str">
            <v>Kilo</v>
          </cell>
          <cell r="F354" t="str">
            <v>Gramo</v>
          </cell>
          <cell r="G354">
            <v>2109.4999672090071</v>
          </cell>
          <cell r="H354">
            <v>2.1094999672090071</v>
          </cell>
          <cell r="I354">
            <v>2.0603333333333342E-2</v>
          </cell>
          <cell r="J354">
            <v>2.060333333333334E-5</v>
          </cell>
          <cell r="K354">
            <v>379.71370269762127</v>
          </cell>
          <cell r="L354">
            <v>0.37971370269762128</v>
          </cell>
          <cell r="M354">
            <v>2489.2342732399616</v>
          </cell>
        </row>
        <row r="355">
          <cell r="A355" t="str">
            <v>901000142</v>
          </cell>
          <cell r="B355" t="str">
            <v>SALSA BLANCA DE HONGOS PARA LOMO FAS</v>
          </cell>
          <cell r="C355" t="str">
            <v xml:space="preserve">ESP-RE-COCS-167 </v>
          </cell>
          <cell r="D355" t="str">
            <v>02</v>
          </cell>
          <cell r="E355" t="str">
            <v>Kilo</v>
          </cell>
          <cell r="F355" t="str">
            <v>Gramo</v>
          </cell>
          <cell r="G355">
            <v>1507.7822846113199</v>
          </cell>
          <cell r="H355">
            <v>1.50778228461132</v>
          </cell>
          <cell r="I355">
            <v>5.6512000000000012E-3</v>
          </cell>
          <cell r="J355">
            <v>5.6512000000000011E-6</v>
          </cell>
          <cell r="K355">
            <v>271.4018284460376</v>
          </cell>
          <cell r="L355">
            <v>0.27140182844603761</v>
          </cell>
          <cell r="M355">
            <v>1779.1897642573576</v>
          </cell>
        </row>
        <row r="356">
          <cell r="A356" t="str">
            <v>901000147</v>
          </cell>
          <cell r="B356" t="str">
            <v>ARROZ CANTONES FAS KILO</v>
          </cell>
          <cell r="C356" t="str">
            <v xml:space="preserve">ESP-RE-COCS-174 </v>
          </cell>
          <cell r="D356" t="str">
            <v>05</v>
          </cell>
          <cell r="E356" t="str">
            <v>Kilo</v>
          </cell>
          <cell r="F356" t="str">
            <v>Gramo</v>
          </cell>
          <cell r="G356">
            <v>1374.2167617717832</v>
          </cell>
          <cell r="H356">
            <v>1.3742167617717833</v>
          </cell>
          <cell r="I356">
            <v>17.961384290243043</v>
          </cell>
          <cell r="J356">
            <v>1.7961384290243042E-2</v>
          </cell>
          <cell r="K356">
            <v>250.59206629116474</v>
          </cell>
          <cell r="L356">
            <v>0.25059206629116476</v>
          </cell>
          <cell r="M356">
            <v>1642.770212353191</v>
          </cell>
        </row>
        <row r="357">
          <cell r="A357" t="str">
            <v>20400102</v>
          </cell>
          <cell r="B357" t="str">
            <v>OLLA DE CARNE FAS</v>
          </cell>
          <cell r="C357" t="str">
            <v xml:space="preserve">ESP-RE-COCS-176 </v>
          </cell>
          <cell r="D357" t="str">
            <v>03</v>
          </cell>
          <cell r="E357" t="str">
            <v>Kilo</v>
          </cell>
          <cell r="F357" t="str">
            <v>Gramo</v>
          </cell>
          <cell r="G357">
            <v>1718.8959475000001</v>
          </cell>
          <cell r="H357">
            <v>1.7188959475000001</v>
          </cell>
          <cell r="I357">
            <v>9.8896000000000019E-3</v>
          </cell>
          <cell r="J357">
            <v>9.8896000000000027E-6</v>
          </cell>
          <cell r="K357">
            <v>309.403050678</v>
          </cell>
          <cell r="L357">
            <v>0.309403050678</v>
          </cell>
          <cell r="M357">
            <v>2028.3088877780001</v>
          </cell>
        </row>
        <row r="358">
          <cell r="A358" t="str">
            <v>90100304</v>
          </cell>
          <cell r="B358" t="str">
            <v>COCCION COSTILLA CERDO (KILO)</v>
          </cell>
          <cell r="C358" t="str">
            <v xml:space="preserve">ESP-RE-COCS-133 </v>
          </cell>
          <cell r="D358" t="str">
            <v>01</v>
          </cell>
          <cell r="E358" t="str">
            <v>Kilo</v>
          </cell>
          <cell r="F358" t="str">
            <v>Gramo</v>
          </cell>
          <cell r="G358">
            <v>6449.2658823529409</v>
          </cell>
          <cell r="H358">
            <v>6.4492658823529405</v>
          </cell>
          <cell r="I358">
            <v>2.2604800000000005E-2</v>
          </cell>
          <cell r="J358">
            <v>2.2604800000000004E-5</v>
          </cell>
          <cell r="K358">
            <v>1160.8719276875295</v>
          </cell>
          <cell r="L358">
            <v>1.1608719276875294</v>
          </cell>
          <cell r="M358">
            <v>7610.1604148404713</v>
          </cell>
        </row>
        <row r="359">
          <cell r="A359" t="str">
            <v>906000124</v>
          </cell>
          <cell r="B359" t="str">
            <v>PREMEZCLA BROWNIE DAWN (KILO)</v>
          </cell>
          <cell r="C359" t="str">
            <v xml:space="preserve">ESP-RE-PRES-090 </v>
          </cell>
          <cell r="D359" t="str">
            <v>03</v>
          </cell>
          <cell r="E359" t="str">
            <v>Kilo</v>
          </cell>
          <cell r="F359" t="str">
            <v>Gramo</v>
          </cell>
          <cell r="G359">
            <v>25491.79</v>
          </cell>
          <cell r="H359">
            <v>25.491790000000002</v>
          </cell>
          <cell r="I359">
            <v>59.257600000000004</v>
          </cell>
          <cell r="J359">
            <v>5.9257600000000001E-2</v>
          </cell>
          <cell r="K359">
            <v>4599.1885680000005</v>
          </cell>
          <cell r="L359">
            <v>4.5991885680000006</v>
          </cell>
          <cell r="M359">
            <v>30150.236168000003</v>
          </cell>
        </row>
        <row r="360">
          <cell r="A360" t="str">
            <v>907000202</v>
          </cell>
          <cell r="B360" t="str">
            <v>BATIDO BROWNIE DAWN KILO</v>
          </cell>
          <cell r="C360" t="str">
            <v xml:space="preserve">ESP-RE-BAF-028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2079.5331062499999</v>
          </cell>
          <cell r="H360">
            <v>2.07953310625</v>
          </cell>
          <cell r="I360">
            <v>0.111108</v>
          </cell>
          <cell r="J360">
            <v>1.1110799999999999E-4</v>
          </cell>
          <cell r="K360">
            <v>374.335958565</v>
          </cell>
          <cell r="L360">
            <v>0.37433595856500002</v>
          </cell>
          <cell r="M360">
            <v>2453.9801728150001</v>
          </cell>
        </row>
        <row r="361">
          <cell r="A361" t="str">
            <v>906000050</v>
          </cell>
          <cell r="B361" t="str">
            <v>CORTE CANASTA RED AUTOMERCADO</v>
          </cell>
          <cell r="C361" t="str">
            <v>ESP-RE-PAPS-052</v>
          </cell>
          <cell r="D361" t="str">
            <v>04</v>
          </cell>
          <cell r="E361" t="str">
            <v>Und</v>
          </cell>
          <cell r="F361" t="str">
            <v>Und</v>
          </cell>
          <cell r="G361">
            <v>62.924116482928774</v>
          </cell>
          <cell r="H361">
            <v>62.924116482928774</v>
          </cell>
          <cell r="I361">
            <v>0.4536967128427129</v>
          </cell>
          <cell r="J361">
            <v>0.4536967128427129</v>
          </cell>
          <cell r="K361">
            <v>11.408006375238868</v>
          </cell>
          <cell r="L361">
            <v>11.408006375238868</v>
          </cell>
          <cell r="M361">
            <v>74.78581957101035</v>
          </cell>
        </row>
        <row r="362">
          <cell r="A362" t="str">
            <v>910000008</v>
          </cell>
          <cell r="B362" t="str">
            <v>CHOCOLATE BLANCO RALLADO (KILO)</v>
          </cell>
          <cell r="C362">
            <v>0</v>
          </cell>
          <cell r="D362">
            <v>0</v>
          </cell>
          <cell r="E362" t="str">
            <v>Kilo</v>
          </cell>
          <cell r="F362" t="str">
            <v>Gramo</v>
          </cell>
          <cell r="G362">
            <v>3739.4799054373516</v>
          </cell>
          <cell r="H362">
            <v>3.7394799054373515</v>
          </cell>
          <cell r="I362">
            <v>0.12340425531914893</v>
          </cell>
          <cell r="J362">
            <v>1.2340425531914893E-4</v>
          </cell>
          <cell r="K362">
            <v>673.12859574468075</v>
          </cell>
          <cell r="L362">
            <v>0.67312859574468076</v>
          </cell>
          <cell r="M362">
            <v>4412.7319054373511</v>
          </cell>
        </row>
        <row r="363">
          <cell r="A363" t="str">
            <v>904000018</v>
          </cell>
          <cell r="B363" t="str">
            <v>ADEREZO TEJANO (KILO)</v>
          </cell>
          <cell r="C363">
            <v>0</v>
          </cell>
          <cell r="D363">
            <v>0</v>
          </cell>
          <cell r="E363" t="str">
            <v>Kilo</v>
          </cell>
          <cell r="F363" t="str">
            <v>Gramo</v>
          </cell>
          <cell r="G363">
            <v>1788.4446555550537</v>
          </cell>
          <cell r="H363">
            <v>1.7884446555550537</v>
          </cell>
          <cell r="I363">
            <v>52.748588621269498</v>
          </cell>
          <cell r="J363">
            <v>5.27485886212695E-2</v>
          </cell>
          <cell r="K363">
            <v>321.40784587973815</v>
          </cell>
          <cell r="L363">
            <v>0.32140784587973814</v>
          </cell>
          <cell r="M363">
            <v>2162.6010900560614</v>
          </cell>
        </row>
        <row r="364">
          <cell r="A364" t="str">
            <v>907000255</v>
          </cell>
          <cell r="B364" t="str">
            <v xml:space="preserve">Rosquete Vainilla Puratos 700g </v>
          </cell>
          <cell r="C364">
            <v>0</v>
          </cell>
          <cell r="D364">
            <v>0</v>
          </cell>
          <cell r="E364" t="str">
            <v>Und</v>
          </cell>
          <cell r="F364" t="str">
            <v>Und</v>
          </cell>
          <cell r="G364">
            <v>669.49123416679333</v>
          </cell>
          <cell r="H364">
            <v>669.49123416679333</v>
          </cell>
          <cell r="I364">
            <v>10.917717961890375</v>
          </cell>
          <cell r="J364">
            <v>10.917717961890375</v>
          </cell>
          <cell r="K364">
            <v>130.5184698974488</v>
          </cell>
          <cell r="L364">
            <v>130.5184698974488</v>
          </cell>
          <cell r="M364">
            <v>810.92742202613249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MP LOCALES"/>
      <sheetName val="EMP LOCALES"/>
      <sheetName val="ARTICULOS MP PLANTA"/>
      <sheetName val="EMPAQUE PLANTA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1210393</v>
          </cell>
          <cell r="B210">
            <v>5526</v>
          </cell>
          <cell r="C210" t="str">
            <v>MARGARINA MULTIUSO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D449" t="str">
            <v>10100273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1">
        <row r="2">
          <cell r="A2" t="str">
            <v>1212410</v>
          </cell>
        </row>
      </sheetData>
      <sheetData sheetId="2">
        <row r="2">
          <cell r="A2" t="str">
            <v>906000102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>
        <row r="2">
          <cell r="A2" t="str">
            <v>42</v>
          </cell>
        </row>
      </sheetData>
      <sheetData sheetId="7">
        <row r="2">
          <cell r="A2" t="str">
            <v>54</v>
          </cell>
        </row>
      </sheetData>
      <sheetData sheetId="8">
        <row r="2">
          <cell r="A2" t="str">
            <v>0512334</v>
          </cell>
        </row>
      </sheetData>
      <sheetData sheetId="9">
        <row r="2">
          <cell r="A2" t="str">
            <v>10261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83A2-20D8-4487-8B73-3AAF8181906C}">
  <sheetPr>
    <pageSetUpPr fitToPage="1"/>
  </sheetPr>
  <dimension ref="A1:M42"/>
  <sheetViews>
    <sheetView tabSelected="1" zoomScale="80" zoomScaleNormal="80" zoomScaleSheetLayoutView="100" workbookViewId="0">
      <selection activeCell="C1" sqref="C1:G1"/>
    </sheetView>
  </sheetViews>
  <sheetFormatPr baseColWidth="10" defaultColWidth="11.42578125" defaultRowHeight="12.75" x14ac:dyDescent="0.2"/>
  <cols>
    <col min="1" max="1" width="16.85546875" style="1" bestFit="1" customWidth="1"/>
    <col min="2" max="2" width="18.7109375" style="1" bestFit="1" customWidth="1"/>
    <col min="3" max="3" width="66.85546875" style="1" customWidth="1"/>
    <col min="4" max="4" width="20.7109375" style="1" bestFit="1" customWidth="1"/>
    <col min="5" max="5" width="13.42578125" style="1" customWidth="1"/>
    <col min="6" max="6" width="14.5703125" style="1" customWidth="1"/>
    <col min="7" max="7" width="12.5703125" style="1" customWidth="1"/>
    <col min="8" max="8" width="15.5703125" style="1" customWidth="1"/>
    <col min="9" max="9" width="18.85546875" style="1" customWidth="1"/>
    <col min="10" max="16384" width="11.42578125" style="1"/>
  </cols>
  <sheetData>
    <row r="1" spans="1:9" ht="18" x14ac:dyDescent="0.25">
      <c r="A1" s="172"/>
      <c r="B1" s="173"/>
      <c r="C1" s="167" t="s">
        <v>27</v>
      </c>
      <c r="D1" s="167"/>
      <c r="E1" s="167"/>
      <c r="F1" s="167"/>
      <c r="G1" s="167"/>
      <c r="H1" s="15" t="s">
        <v>26</v>
      </c>
      <c r="I1" s="14" t="s">
        <v>107</v>
      </c>
    </row>
    <row r="2" spans="1:9" ht="18" x14ac:dyDescent="0.25">
      <c r="A2" s="174"/>
      <c r="B2" s="175"/>
      <c r="C2" s="168" t="s">
        <v>25</v>
      </c>
      <c r="D2" s="168"/>
      <c r="E2" s="168"/>
      <c r="F2" s="168"/>
      <c r="G2" s="168"/>
      <c r="H2" s="13" t="s">
        <v>24</v>
      </c>
      <c r="I2" s="12" t="s">
        <v>106</v>
      </c>
    </row>
    <row r="3" spans="1:9" ht="31.5" customHeight="1" x14ac:dyDescent="0.2">
      <c r="A3" s="174"/>
      <c r="B3" s="175"/>
      <c r="C3" s="169" t="s">
        <v>101</v>
      </c>
      <c r="D3" s="169"/>
      <c r="E3" s="169"/>
      <c r="F3" s="169"/>
      <c r="G3" s="169"/>
      <c r="H3" s="170" t="s">
        <v>23</v>
      </c>
      <c r="I3" s="163">
        <v>45945</v>
      </c>
    </row>
    <row r="4" spans="1:9" ht="14.45" customHeight="1" x14ac:dyDescent="0.2">
      <c r="A4" s="174"/>
      <c r="B4" s="175"/>
      <c r="C4" s="11" t="s">
        <v>22</v>
      </c>
      <c r="D4" s="165" t="s">
        <v>33</v>
      </c>
      <c r="E4" s="165"/>
      <c r="F4" s="165"/>
      <c r="G4" s="165"/>
      <c r="H4" s="170"/>
      <c r="I4" s="163"/>
    </row>
    <row r="5" spans="1:9" ht="15" customHeight="1" thickBot="1" x14ac:dyDescent="0.25">
      <c r="A5" s="176"/>
      <c r="B5" s="177"/>
      <c r="C5" s="10" t="s">
        <v>21</v>
      </c>
      <c r="D5" s="166" t="s">
        <v>96</v>
      </c>
      <c r="E5" s="166"/>
      <c r="F5" s="166"/>
      <c r="G5" s="166"/>
      <c r="H5" s="171"/>
      <c r="I5" s="164"/>
    </row>
    <row r="6" spans="1:9" ht="0.75" customHeight="1" x14ac:dyDescent="0.2">
      <c r="A6" s="9"/>
      <c r="B6" s="9"/>
      <c r="C6" s="8"/>
      <c r="D6" s="7"/>
      <c r="E6" s="7"/>
      <c r="F6" s="7"/>
      <c r="G6" s="7"/>
      <c r="H6" s="6"/>
      <c r="I6" s="5"/>
    </row>
    <row r="7" spans="1:9" ht="18.75" thickBot="1" x14ac:dyDescent="0.3">
      <c r="A7" s="184" t="s">
        <v>20</v>
      </c>
      <c r="B7" s="184"/>
      <c r="C7" s="184"/>
      <c r="D7" s="185" t="s">
        <v>34</v>
      </c>
      <c r="E7" s="185"/>
      <c r="F7" s="185"/>
      <c r="G7" s="186" t="s">
        <v>19</v>
      </c>
      <c r="H7" s="186"/>
      <c r="I7" s="116" t="s">
        <v>35</v>
      </c>
    </row>
    <row r="8" spans="1:9" ht="36.75" customHeight="1" x14ac:dyDescent="0.2">
      <c r="A8" s="187" t="s">
        <v>18</v>
      </c>
      <c r="B8" s="161" t="s">
        <v>102</v>
      </c>
      <c r="C8" s="189" t="s">
        <v>17</v>
      </c>
      <c r="D8" s="189" t="s">
        <v>16</v>
      </c>
      <c r="E8" s="189" t="s">
        <v>15</v>
      </c>
      <c r="F8" s="189"/>
      <c r="G8" s="189" t="s">
        <v>14</v>
      </c>
      <c r="H8" s="189"/>
      <c r="I8" s="4" t="s">
        <v>13</v>
      </c>
    </row>
    <row r="9" spans="1:9" ht="26.25" thickBot="1" x14ac:dyDescent="0.25">
      <c r="A9" s="188"/>
      <c r="B9" s="162"/>
      <c r="C9" s="190"/>
      <c r="D9" s="190"/>
      <c r="E9" s="16" t="s">
        <v>10</v>
      </c>
      <c r="F9" s="17" t="s">
        <v>12</v>
      </c>
      <c r="G9" s="16" t="s">
        <v>10</v>
      </c>
      <c r="H9" s="17" t="s">
        <v>12</v>
      </c>
      <c r="I9" s="18" t="s">
        <v>11</v>
      </c>
    </row>
    <row r="10" spans="1:9" ht="20.25" x14ac:dyDescent="0.3">
      <c r="A10" s="117">
        <v>901000167</v>
      </c>
      <c r="B10" s="117" t="s">
        <v>97</v>
      </c>
      <c r="C10" s="118" t="s">
        <v>103</v>
      </c>
      <c r="D10" s="117" t="s">
        <v>36</v>
      </c>
      <c r="E10" s="117">
        <v>6600</v>
      </c>
      <c r="F10" s="117" t="s">
        <v>1</v>
      </c>
      <c r="G10" s="119"/>
      <c r="H10" s="120"/>
      <c r="I10" s="121"/>
    </row>
    <row r="11" spans="1:9" ht="20.25" x14ac:dyDescent="0.3">
      <c r="A11" s="117">
        <v>10100050</v>
      </c>
      <c r="B11" s="117" t="s">
        <v>98</v>
      </c>
      <c r="C11" s="118" t="s">
        <v>104</v>
      </c>
      <c r="D11" s="117" t="s">
        <v>38</v>
      </c>
      <c r="E11" s="117">
        <v>140</v>
      </c>
      <c r="F11" s="117" t="s">
        <v>1</v>
      </c>
      <c r="G11" s="119"/>
      <c r="H11" s="120"/>
      <c r="I11" s="121"/>
    </row>
    <row r="12" spans="1:9" ht="20.25" x14ac:dyDescent="0.3">
      <c r="A12" s="117">
        <v>105000009</v>
      </c>
      <c r="B12" s="117" t="s">
        <v>99</v>
      </c>
      <c r="C12" s="118" t="s">
        <v>105</v>
      </c>
      <c r="D12" s="117" t="s">
        <v>40</v>
      </c>
      <c r="E12" s="117">
        <v>85</v>
      </c>
      <c r="F12" s="117" t="s">
        <v>1</v>
      </c>
      <c r="G12" s="119"/>
      <c r="H12" s="120"/>
      <c r="I12" s="121"/>
    </row>
    <row r="13" spans="1:9" ht="20.25" x14ac:dyDescent="0.3">
      <c r="A13" s="117">
        <v>90100257</v>
      </c>
      <c r="B13" s="117"/>
      <c r="C13" s="118" t="s">
        <v>42</v>
      </c>
      <c r="D13" s="117" t="s">
        <v>36</v>
      </c>
      <c r="E13" s="117">
        <v>1200</v>
      </c>
      <c r="F13" s="117" t="s">
        <v>1</v>
      </c>
      <c r="G13" s="119"/>
      <c r="H13" s="120"/>
      <c r="I13" s="121"/>
    </row>
    <row r="14" spans="1:9" ht="20.25" x14ac:dyDescent="0.3">
      <c r="A14" s="117"/>
      <c r="B14" s="117"/>
      <c r="C14" s="117"/>
      <c r="D14" s="117"/>
      <c r="E14" s="117"/>
      <c r="F14" s="117"/>
      <c r="G14" s="119"/>
      <c r="H14" s="120"/>
      <c r="I14" s="121"/>
    </row>
    <row r="15" spans="1:9" ht="20.25" x14ac:dyDescent="0.3">
      <c r="A15" s="117"/>
      <c r="B15" s="117"/>
      <c r="C15" s="117"/>
      <c r="D15" s="117"/>
      <c r="E15" s="117"/>
      <c r="F15" s="117"/>
      <c r="G15" s="119"/>
      <c r="H15" s="120"/>
      <c r="I15" s="121"/>
    </row>
    <row r="16" spans="1:9" ht="20.25" x14ac:dyDescent="0.3">
      <c r="A16" s="122"/>
      <c r="B16" s="117"/>
      <c r="C16" s="123"/>
      <c r="D16" s="124"/>
      <c r="E16" s="125"/>
      <c r="F16" s="126"/>
      <c r="G16" s="119"/>
      <c r="H16" s="120"/>
      <c r="I16" s="121"/>
    </row>
    <row r="17" spans="1:13" ht="20.25" x14ac:dyDescent="0.3">
      <c r="A17" s="122"/>
      <c r="B17" s="117"/>
      <c r="C17" s="127" t="s">
        <v>31</v>
      </c>
      <c r="D17" s="124"/>
      <c r="E17" s="125"/>
      <c r="F17" s="126"/>
      <c r="G17" s="119"/>
      <c r="H17" s="120"/>
      <c r="I17" s="121"/>
    </row>
    <row r="18" spans="1:13" ht="20.25" x14ac:dyDescent="0.3">
      <c r="A18" s="128">
        <v>702123</v>
      </c>
      <c r="B18" s="117" t="s">
        <v>100</v>
      </c>
      <c r="C18" s="129" t="s">
        <v>29</v>
      </c>
      <c r="D18" s="124" t="s">
        <v>28</v>
      </c>
      <c r="E18" s="125">
        <v>2</v>
      </c>
      <c r="F18" s="126" t="s">
        <v>32</v>
      </c>
      <c r="G18" s="119"/>
      <c r="H18" s="120"/>
      <c r="I18" s="121"/>
    </row>
    <row r="19" spans="1:13" ht="20.25" x14ac:dyDescent="0.3">
      <c r="A19" s="122"/>
      <c r="B19" s="130"/>
      <c r="C19" s="123"/>
      <c r="D19" s="124"/>
      <c r="E19" s="125"/>
      <c r="F19" s="126"/>
      <c r="G19" s="119"/>
      <c r="H19" s="120"/>
      <c r="I19" s="121"/>
    </row>
    <row r="20" spans="1:13" ht="20.25" x14ac:dyDescent="0.3">
      <c r="A20" s="122"/>
      <c r="B20" s="130"/>
      <c r="C20" s="123"/>
      <c r="D20" s="124"/>
      <c r="E20" s="125"/>
      <c r="F20" s="126"/>
      <c r="G20" s="119"/>
      <c r="H20" s="120"/>
      <c r="I20" s="121"/>
    </row>
    <row r="21" spans="1:13" ht="20.25" x14ac:dyDescent="0.3">
      <c r="A21" s="122"/>
      <c r="B21" s="130"/>
      <c r="C21" s="123"/>
      <c r="D21" s="124"/>
      <c r="E21" s="125"/>
      <c r="F21" s="126"/>
      <c r="G21" s="119"/>
      <c r="H21" s="120"/>
      <c r="I21" s="121"/>
    </row>
    <row r="22" spans="1:13" ht="20.25" x14ac:dyDescent="0.3">
      <c r="A22" s="131"/>
      <c r="B22" s="132"/>
      <c r="C22" s="133"/>
      <c r="D22" s="134"/>
      <c r="E22" s="120"/>
      <c r="F22" s="120"/>
      <c r="G22" s="119"/>
      <c r="H22" s="120"/>
      <c r="I22" s="135"/>
    </row>
    <row r="23" spans="1:13" ht="20.25" x14ac:dyDescent="0.3">
      <c r="A23" s="136"/>
      <c r="B23" s="137"/>
      <c r="C23" s="138"/>
      <c r="D23" s="134"/>
      <c r="E23" s="139"/>
      <c r="F23" s="139"/>
      <c r="G23" s="139"/>
      <c r="H23" s="139"/>
      <c r="I23" s="135"/>
    </row>
    <row r="24" spans="1:13" ht="21" thickBot="1" x14ac:dyDescent="0.35">
      <c r="A24" s="140"/>
      <c r="B24" s="141"/>
      <c r="C24" s="142"/>
      <c r="D24" s="142"/>
      <c r="E24" s="143"/>
      <c r="F24" s="144"/>
      <c r="G24" s="142"/>
      <c r="H24" s="142"/>
      <c r="I24" s="145"/>
      <c r="L24" s="2"/>
    </row>
    <row r="25" spans="1:13" ht="21" thickBot="1" x14ac:dyDescent="0.35">
      <c r="A25" s="146"/>
      <c r="B25" s="147"/>
      <c r="C25" s="148"/>
      <c r="D25" s="149" t="s">
        <v>10</v>
      </c>
      <c r="E25" s="150" t="s">
        <v>9</v>
      </c>
      <c r="F25" s="151"/>
      <c r="G25" s="148"/>
      <c r="H25" s="148"/>
      <c r="I25" s="152"/>
      <c r="L25" s="2"/>
    </row>
    <row r="26" spans="1:13" ht="20.25" x14ac:dyDescent="0.3">
      <c r="A26" s="199" t="s">
        <v>8</v>
      </c>
      <c r="B26" s="200"/>
      <c r="C26" s="201"/>
      <c r="D26" s="153">
        <v>7000</v>
      </c>
      <c r="E26" s="154" t="s">
        <v>1</v>
      </c>
      <c r="F26" s="202"/>
      <c r="G26" s="202"/>
      <c r="H26" s="203"/>
      <c r="I26" s="204"/>
      <c r="L26" s="2"/>
    </row>
    <row r="27" spans="1:13" ht="20.25" x14ac:dyDescent="0.3">
      <c r="A27" s="205" t="s">
        <v>7</v>
      </c>
      <c r="B27" s="206"/>
      <c r="C27" s="207"/>
      <c r="D27" s="155">
        <v>5</v>
      </c>
      <c r="E27" s="120" t="s">
        <v>6</v>
      </c>
      <c r="F27" s="208"/>
      <c r="G27" s="208"/>
      <c r="H27" s="209"/>
      <c r="I27" s="210"/>
      <c r="L27" s="2"/>
    </row>
    <row r="28" spans="1:13" ht="20.25" x14ac:dyDescent="0.3">
      <c r="A28" s="205" t="s">
        <v>5</v>
      </c>
      <c r="B28" s="206"/>
      <c r="C28" s="207"/>
      <c r="D28" s="156">
        <v>1</v>
      </c>
      <c r="E28" s="120" t="s">
        <v>4</v>
      </c>
      <c r="F28" s="208"/>
      <c r="G28" s="208"/>
      <c r="H28" s="209"/>
      <c r="I28" s="210"/>
      <c r="L28" s="2"/>
    </row>
    <row r="29" spans="1:13" ht="20.25" x14ac:dyDescent="0.3">
      <c r="A29" s="205" t="s">
        <v>3</v>
      </c>
      <c r="B29" s="206"/>
      <c r="C29" s="207"/>
      <c r="D29" s="157">
        <v>7000</v>
      </c>
      <c r="E29" s="120" t="s">
        <v>1</v>
      </c>
      <c r="F29" s="211"/>
      <c r="G29" s="212"/>
      <c r="H29" s="209"/>
      <c r="I29" s="210"/>
      <c r="L29" s="2"/>
      <c r="M29" s="3"/>
    </row>
    <row r="30" spans="1:13" ht="21" thickBot="1" x14ac:dyDescent="0.35">
      <c r="A30" s="216" t="s">
        <v>2</v>
      </c>
      <c r="B30" s="217"/>
      <c r="C30" s="218"/>
      <c r="D30" s="158">
        <f>SUM(E10:E13)-D29</f>
        <v>1025</v>
      </c>
      <c r="E30" s="159" t="s">
        <v>1</v>
      </c>
      <c r="F30" s="219"/>
      <c r="G30" s="219"/>
      <c r="H30" s="191"/>
      <c r="I30" s="192"/>
      <c r="L30" s="2"/>
    </row>
    <row r="31" spans="1:13" ht="21" thickBot="1" x14ac:dyDescent="0.35">
      <c r="A31" s="193" t="s">
        <v>0</v>
      </c>
      <c r="B31" s="194"/>
      <c r="C31" s="194"/>
      <c r="D31" s="194"/>
      <c r="E31" s="194"/>
      <c r="F31" s="194"/>
      <c r="G31" s="194"/>
      <c r="H31" s="194"/>
      <c r="I31" s="195"/>
    </row>
    <row r="32" spans="1:13" ht="20.25" x14ac:dyDescent="0.3">
      <c r="A32" s="181" t="s">
        <v>44</v>
      </c>
      <c r="B32" s="182"/>
      <c r="C32" s="182"/>
      <c r="D32" s="182"/>
      <c r="E32" s="182"/>
      <c r="F32" s="182"/>
      <c r="G32" s="182"/>
      <c r="H32" s="182"/>
      <c r="I32" s="183"/>
    </row>
    <row r="33" spans="1:9" ht="20.25" x14ac:dyDescent="0.3">
      <c r="A33" s="181" t="s">
        <v>41</v>
      </c>
      <c r="B33" s="182"/>
      <c r="C33" s="182"/>
      <c r="D33" s="182"/>
      <c r="E33" s="182"/>
      <c r="F33" s="182"/>
      <c r="G33" s="182"/>
      <c r="H33" s="182"/>
      <c r="I33" s="183"/>
    </row>
    <row r="34" spans="1:9" ht="20.25" x14ac:dyDescent="0.3">
      <c r="A34" s="181" t="s">
        <v>43</v>
      </c>
      <c r="B34" s="182"/>
      <c r="C34" s="182"/>
      <c r="D34" s="182"/>
      <c r="E34" s="182"/>
      <c r="F34" s="182"/>
      <c r="G34" s="182"/>
      <c r="H34" s="182"/>
      <c r="I34" s="183"/>
    </row>
    <row r="35" spans="1:9" ht="20.25" x14ac:dyDescent="0.3">
      <c r="A35" s="178" t="s">
        <v>45</v>
      </c>
      <c r="B35" s="179"/>
      <c r="C35" s="179"/>
      <c r="D35" s="179"/>
      <c r="E35" s="179"/>
      <c r="F35" s="179"/>
      <c r="G35" s="179"/>
      <c r="H35" s="179"/>
      <c r="I35" s="180"/>
    </row>
    <row r="36" spans="1:9" ht="20.25" x14ac:dyDescent="0.3">
      <c r="A36" s="181"/>
      <c r="B36" s="182"/>
      <c r="C36" s="182"/>
      <c r="D36" s="182"/>
      <c r="E36" s="182"/>
      <c r="F36" s="182"/>
      <c r="G36" s="182"/>
      <c r="H36" s="182"/>
      <c r="I36" s="183"/>
    </row>
    <row r="37" spans="1:9" ht="20.25" x14ac:dyDescent="0.3">
      <c r="A37" s="181"/>
      <c r="B37" s="182"/>
      <c r="C37" s="182"/>
      <c r="D37" s="182"/>
      <c r="E37" s="182"/>
      <c r="F37" s="182"/>
      <c r="G37" s="182"/>
      <c r="H37" s="182"/>
      <c r="I37" s="183"/>
    </row>
    <row r="38" spans="1:9" ht="21" thickBot="1" x14ac:dyDescent="0.35">
      <c r="A38" s="213"/>
      <c r="B38" s="214"/>
      <c r="C38" s="214"/>
      <c r="D38" s="214"/>
      <c r="E38" s="214"/>
      <c r="F38" s="214"/>
      <c r="G38" s="214"/>
      <c r="H38" s="214"/>
      <c r="I38" s="215"/>
    </row>
    <row r="39" spans="1:9" ht="20.25" x14ac:dyDescent="0.2">
      <c r="A39" s="196" t="s">
        <v>46</v>
      </c>
      <c r="B39" s="197"/>
      <c r="C39" s="197"/>
      <c r="D39" s="197"/>
      <c r="E39" s="197"/>
      <c r="F39" s="197"/>
      <c r="G39" s="197"/>
      <c r="H39" s="197"/>
      <c r="I39" s="198"/>
    </row>
    <row r="40" spans="1:9" ht="20.25" x14ac:dyDescent="0.2">
      <c r="A40" s="160"/>
      <c r="B40" s="160"/>
      <c r="C40" s="160"/>
      <c r="D40" s="160"/>
      <c r="E40" s="160"/>
      <c r="F40" s="160"/>
      <c r="G40" s="160"/>
      <c r="H40" s="160"/>
      <c r="I40" s="160"/>
    </row>
    <row r="41" spans="1:9" ht="20.25" x14ac:dyDescent="0.2">
      <c r="A41" s="160"/>
      <c r="B41" s="160"/>
      <c r="C41" s="160"/>
      <c r="D41" s="160"/>
      <c r="E41" s="160"/>
      <c r="F41" s="160"/>
      <c r="G41" s="160"/>
      <c r="H41" s="160"/>
      <c r="I41" s="160"/>
    </row>
    <row r="42" spans="1:9" ht="20.25" x14ac:dyDescent="0.2">
      <c r="A42" s="160"/>
      <c r="B42" s="160"/>
      <c r="C42" s="160"/>
      <c r="D42" s="160"/>
      <c r="E42" s="160"/>
      <c r="F42" s="160"/>
      <c r="G42" s="160"/>
      <c r="H42" s="160"/>
      <c r="I42" s="160"/>
    </row>
  </sheetData>
  <mergeCells count="44">
    <mergeCell ref="A33:I33"/>
    <mergeCell ref="A34:I34"/>
    <mergeCell ref="A39:I39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9:C29"/>
    <mergeCell ref="F29:G29"/>
    <mergeCell ref="H29:I29"/>
    <mergeCell ref="A38:I38"/>
    <mergeCell ref="E8:F8"/>
    <mergeCell ref="G8:H8"/>
    <mergeCell ref="H30:I30"/>
    <mergeCell ref="A31:I31"/>
    <mergeCell ref="A32:I32"/>
    <mergeCell ref="A30:C30"/>
    <mergeCell ref="F30:G30"/>
    <mergeCell ref="C1:G1"/>
    <mergeCell ref="C2:G2"/>
    <mergeCell ref="C3:G3"/>
    <mergeCell ref="H3:H5"/>
    <mergeCell ref="A1:B5"/>
    <mergeCell ref="A40:I40"/>
    <mergeCell ref="A41:I41"/>
    <mergeCell ref="A42:I42"/>
    <mergeCell ref="B8:B9"/>
    <mergeCell ref="I3:I5"/>
    <mergeCell ref="D4:G4"/>
    <mergeCell ref="D5:G5"/>
    <mergeCell ref="A35:I35"/>
    <mergeCell ref="A36:I36"/>
    <mergeCell ref="A37:I37"/>
    <mergeCell ref="A7:C7"/>
    <mergeCell ref="D7:F7"/>
    <mergeCell ref="G7:H7"/>
    <mergeCell ref="A8:A9"/>
    <mergeCell ref="C8:C9"/>
    <mergeCell ref="D8:D9"/>
  </mergeCells>
  <printOptions horizontalCentered="1"/>
  <pageMargins left="0.25" right="0.25" top="0.75" bottom="0.75" header="0.3" footer="0.3"/>
  <pageSetup scale="51" orientation="portrait" r:id="rId1"/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5F465-DC5A-473E-93B7-31FF5B19F5FF}">
  <dimension ref="A1:Q91"/>
  <sheetViews>
    <sheetView workbookViewId="0">
      <selection activeCell="L15" sqref="L15"/>
    </sheetView>
  </sheetViews>
  <sheetFormatPr baseColWidth="10" defaultColWidth="8.42578125" defaultRowHeight="12.75" x14ac:dyDescent="0.25"/>
  <cols>
    <col min="1" max="1" width="10" style="24" bestFit="1" customWidth="1"/>
    <col min="2" max="2" width="44.28515625" style="24" bestFit="1" customWidth="1"/>
    <col min="3" max="3" width="10.42578125" style="24" bestFit="1" customWidth="1"/>
    <col min="4" max="4" width="10.42578125" style="24" customWidth="1"/>
    <col min="5" max="5" width="9.7109375" style="24" bestFit="1" customWidth="1"/>
    <col min="6" max="6" width="9.5703125" style="24" bestFit="1" customWidth="1"/>
    <col min="7" max="7" width="9.5703125" style="105" bestFit="1" customWidth="1"/>
    <col min="8" max="8" width="10.42578125" style="106" bestFit="1" customWidth="1"/>
    <col min="9" max="9" width="4.5703125" style="106" customWidth="1"/>
    <col min="10" max="10" width="1.85546875" style="23" customWidth="1"/>
    <col min="11" max="11" width="7" style="24" bestFit="1" customWidth="1"/>
    <col min="12" max="12" width="6.28515625" style="24" customWidth="1"/>
    <col min="13" max="13" width="20.42578125" style="24" customWidth="1"/>
    <col min="14" max="14" width="6.42578125" style="24" bestFit="1" customWidth="1"/>
    <col min="15" max="16" width="8.42578125" style="24"/>
    <col min="17" max="17" width="3.28515625" style="24" customWidth="1"/>
    <col min="18" max="256" width="8.42578125" style="24"/>
    <col min="257" max="257" width="10" style="24" bestFit="1" customWidth="1"/>
    <col min="258" max="258" width="44.28515625" style="24" bestFit="1" customWidth="1"/>
    <col min="259" max="259" width="10.42578125" style="24" bestFit="1" customWidth="1"/>
    <col min="260" max="260" width="10.42578125" style="24" customWidth="1"/>
    <col min="261" max="261" width="9.7109375" style="24" bestFit="1" customWidth="1"/>
    <col min="262" max="263" width="9.5703125" style="24" bestFit="1" customWidth="1"/>
    <col min="264" max="264" width="10.42578125" style="24" bestFit="1" customWidth="1"/>
    <col min="265" max="265" width="4.5703125" style="24" customWidth="1"/>
    <col min="266" max="266" width="1.85546875" style="24" customWidth="1"/>
    <col min="267" max="267" width="7" style="24" bestFit="1" customWidth="1"/>
    <col min="268" max="268" width="6.28515625" style="24" customWidth="1"/>
    <col min="269" max="269" width="20.42578125" style="24" customWidth="1"/>
    <col min="270" max="270" width="6.42578125" style="24" bestFit="1" customWidth="1"/>
    <col min="271" max="272" width="8.42578125" style="24"/>
    <col min="273" max="273" width="3.28515625" style="24" customWidth="1"/>
    <col min="274" max="512" width="8.42578125" style="24"/>
    <col min="513" max="513" width="10" style="24" bestFit="1" customWidth="1"/>
    <col min="514" max="514" width="44.28515625" style="24" bestFit="1" customWidth="1"/>
    <col min="515" max="515" width="10.42578125" style="24" bestFit="1" customWidth="1"/>
    <col min="516" max="516" width="10.42578125" style="24" customWidth="1"/>
    <col min="517" max="517" width="9.7109375" style="24" bestFit="1" customWidth="1"/>
    <col min="518" max="519" width="9.5703125" style="24" bestFit="1" customWidth="1"/>
    <col min="520" max="520" width="10.42578125" style="24" bestFit="1" customWidth="1"/>
    <col min="521" max="521" width="4.5703125" style="24" customWidth="1"/>
    <col min="522" max="522" width="1.85546875" style="24" customWidth="1"/>
    <col min="523" max="523" width="7" style="24" bestFit="1" customWidth="1"/>
    <col min="524" max="524" width="6.28515625" style="24" customWidth="1"/>
    <col min="525" max="525" width="20.42578125" style="24" customWidth="1"/>
    <col min="526" max="526" width="6.42578125" style="24" bestFit="1" customWidth="1"/>
    <col min="527" max="528" width="8.42578125" style="24"/>
    <col min="529" max="529" width="3.28515625" style="24" customWidth="1"/>
    <col min="530" max="768" width="8.42578125" style="24"/>
    <col min="769" max="769" width="10" style="24" bestFit="1" customWidth="1"/>
    <col min="770" max="770" width="44.28515625" style="24" bestFit="1" customWidth="1"/>
    <col min="771" max="771" width="10.42578125" style="24" bestFit="1" customWidth="1"/>
    <col min="772" max="772" width="10.42578125" style="24" customWidth="1"/>
    <col min="773" max="773" width="9.7109375" style="24" bestFit="1" customWidth="1"/>
    <col min="774" max="775" width="9.5703125" style="24" bestFit="1" customWidth="1"/>
    <col min="776" max="776" width="10.42578125" style="24" bestFit="1" customWidth="1"/>
    <col min="777" max="777" width="4.5703125" style="24" customWidth="1"/>
    <col min="778" max="778" width="1.85546875" style="24" customWidth="1"/>
    <col min="779" max="779" width="7" style="24" bestFit="1" customWidth="1"/>
    <col min="780" max="780" width="6.28515625" style="24" customWidth="1"/>
    <col min="781" max="781" width="20.42578125" style="24" customWidth="1"/>
    <col min="782" max="782" width="6.42578125" style="24" bestFit="1" customWidth="1"/>
    <col min="783" max="784" width="8.42578125" style="24"/>
    <col min="785" max="785" width="3.28515625" style="24" customWidth="1"/>
    <col min="786" max="1024" width="8.42578125" style="24"/>
    <col min="1025" max="1025" width="10" style="24" bestFit="1" customWidth="1"/>
    <col min="1026" max="1026" width="44.28515625" style="24" bestFit="1" customWidth="1"/>
    <col min="1027" max="1027" width="10.42578125" style="24" bestFit="1" customWidth="1"/>
    <col min="1028" max="1028" width="10.42578125" style="24" customWidth="1"/>
    <col min="1029" max="1029" width="9.7109375" style="24" bestFit="1" customWidth="1"/>
    <col min="1030" max="1031" width="9.5703125" style="24" bestFit="1" customWidth="1"/>
    <col min="1032" max="1032" width="10.42578125" style="24" bestFit="1" customWidth="1"/>
    <col min="1033" max="1033" width="4.5703125" style="24" customWidth="1"/>
    <col min="1034" max="1034" width="1.85546875" style="24" customWidth="1"/>
    <col min="1035" max="1035" width="7" style="24" bestFit="1" customWidth="1"/>
    <col min="1036" max="1036" width="6.28515625" style="24" customWidth="1"/>
    <col min="1037" max="1037" width="20.42578125" style="24" customWidth="1"/>
    <col min="1038" max="1038" width="6.42578125" style="24" bestFit="1" customWidth="1"/>
    <col min="1039" max="1040" width="8.42578125" style="24"/>
    <col min="1041" max="1041" width="3.28515625" style="24" customWidth="1"/>
    <col min="1042" max="1280" width="8.42578125" style="24"/>
    <col min="1281" max="1281" width="10" style="24" bestFit="1" customWidth="1"/>
    <col min="1282" max="1282" width="44.28515625" style="24" bestFit="1" customWidth="1"/>
    <col min="1283" max="1283" width="10.42578125" style="24" bestFit="1" customWidth="1"/>
    <col min="1284" max="1284" width="10.42578125" style="24" customWidth="1"/>
    <col min="1285" max="1285" width="9.7109375" style="24" bestFit="1" customWidth="1"/>
    <col min="1286" max="1287" width="9.5703125" style="24" bestFit="1" customWidth="1"/>
    <col min="1288" max="1288" width="10.42578125" style="24" bestFit="1" customWidth="1"/>
    <col min="1289" max="1289" width="4.5703125" style="24" customWidth="1"/>
    <col min="1290" max="1290" width="1.85546875" style="24" customWidth="1"/>
    <col min="1291" max="1291" width="7" style="24" bestFit="1" customWidth="1"/>
    <col min="1292" max="1292" width="6.28515625" style="24" customWidth="1"/>
    <col min="1293" max="1293" width="20.42578125" style="24" customWidth="1"/>
    <col min="1294" max="1294" width="6.42578125" style="24" bestFit="1" customWidth="1"/>
    <col min="1295" max="1296" width="8.42578125" style="24"/>
    <col min="1297" max="1297" width="3.28515625" style="24" customWidth="1"/>
    <col min="1298" max="1536" width="8.42578125" style="24"/>
    <col min="1537" max="1537" width="10" style="24" bestFit="1" customWidth="1"/>
    <col min="1538" max="1538" width="44.28515625" style="24" bestFit="1" customWidth="1"/>
    <col min="1539" max="1539" width="10.42578125" style="24" bestFit="1" customWidth="1"/>
    <col min="1540" max="1540" width="10.42578125" style="24" customWidth="1"/>
    <col min="1541" max="1541" width="9.7109375" style="24" bestFit="1" customWidth="1"/>
    <col min="1542" max="1543" width="9.5703125" style="24" bestFit="1" customWidth="1"/>
    <col min="1544" max="1544" width="10.42578125" style="24" bestFit="1" customWidth="1"/>
    <col min="1545" max="1545" width="4.5703125" style="24" customWidth="1"/>
    <col min="1546" max="1546" width="1.85546875" style="24" customWidth="1"/>
    <col min="1547" max="1547" width="7" style="24" bestFit="1" customWidth="1"/>
    <col min="1548" max="1548" width="6.28515625" style="24" customWidth="1"/>
    <col min="1549" max="1549" width="20.42578125" style="24" customWidth="1"/>
    <col min="1550" max="1550" width="6.42578125" style="24" bestFit="1" customWidth="1"/>
    <col min="1551" max="1552" width="8.42578125" style="24"/>
    <col min="1553" max="1553" width="3.28515625" style="24" customWidth="1"/>
    <col min="1554" max="1792" width="8.42578125" style="24"/>
    <col min="1793" max="1793" width="10" style="24" bestFit="1" customWidth="1"/>
    <col min="1794" max="1794" width="44.28515625" style="24" bestFit="1" customWidth="1"/>
    <col min="1795" max="1795" width="10.42578125" style="24" bestFit="1" customWidth="1"/>
    <col min="1796" max="1796" width="10.42578125" style="24" customWidth="1"/>
    <col min="1797" max="1797" width="9.7109375" style="24" bestFit="1" customWidth="1"/>
    <col min="1798" max="1799" width="9.5703125" style="24" bestFit="1" customWidth="1"/>
    <col min="1800" max="1800" width="10.42578125" style="24" bestFit="1" customWidth="1"/>
    <col min="1801" max="1801" width="4.5703125" style="24" customWidth="1"/>
    <col min="1802" max="1802" width="1.85546875" style="24" customWidth="1"/>
    <col min="1803" max="1803" width="7" style="24" bestFit="1" customWidth="1"/>
    <col min="1804" max="1804" width="6.28515625" style="24" customWidth="1"/>
    <col min="1805" max="1805" width="20.42578125" style="24" customWidth="1"/>
    <col min="1806" max="1806" width="6.42578125" style="24" bestFit="1" customWidth="1"/>
    <col min="1807" max="1808" width="8.42578125" style="24"/>
    <col min="1809" max="1809" width="3.28515625" style="24" customWidth="1"/>
    <col min="1810" max="2048" width="8.42578125" style="24"/>
    <col min="2049" max="2049" width="10" style="24" bestFit="1" customWidth="1"/>
    <col min="2050" max="2050" width="44.28515625" style="24" bestFit="1" customWidth="1"/>
    <col min="2051" max="2051" width="10.42578125" style="24" bestFit="1" customWidth="1"/>
    <col min="2052" max="2052" width="10.42578125" style="24" customWidth="1"/>
    <col min="2053" max="2053" width="9.7109375" style="24" bestFit="1" customWidth="1"/>
    <col min="2054" max="2055" width="9.5703125" style="24" bestFit="1" customWidth="1"/>
    <col min="2056" max="2056" width="10.42578125" style="24" bestFit="1" customWidth="1"/>
    <col min="2057" max="2057" width="4.5703125" style="24" customWidth="1"/>
    <col min="2058" max="2058" width="1.85546875" style="24" customWidth="1"/>
    <col min="2059" max="2059" width="7" style="24" bestFit="1" customWidth="1"/>
    <col min="2060" max="2060" width="6.28515625" style="24" customWidth="1"/>
    <col min="2061" max="2061" width="20.42578125" style="24" customWidth="1"/>
    <col min="2062" max="2062" width="6.42578125" style="24" bestFit="1" customWidth="1"/>
    <col min="2063" max="2064" width="8.42578125" style="24"/>
    <col min="2065" max="2065" width="3.28515625" style="24" customWidth="1"/>
    <col min="2066" max="2304" width="8.42578125" style="24"/>
    <col min="2305" max="2305" width="10" style="24" bestFit="1" customWidth="1"/>
    <col min="2306" max="2306" width="44.28515625" style="24" bestFit="1" customWidth="1"/>
    <col min="2307" max="2307" width="10.42578125" style="24" bestFit="1" customWidth="1"/>
    <col min="2308" max="2308" width="10.42578125" style="24" customWidth="1"/>
    <col min="2309" max="2309" width="9.7109375" style="24" bestFit="1" customWidth="1"/>
    <col min="2310" max="2311" width="9.5703125" style="24" bestFit="1" customWidth="1"/>
    <col min="2312" max="2312" width="10.42578125" style="24" bestFit="1" customWidth="1"/>
    <col min="2313" max="2313" width="4.5703125" style="24" customWidth="1"/>
    <col min="2314" max="2314" width="1.85546875" style="24" customWidth="1"/>
    <col min="2315" max="2315" width="7" style="24" bestFit="1" customWidth="1"/>
    <col min="2316" max="2316" width="6.28515625" style="24" customWidth="1"/>
    <col min="2317" max="2317" width="20.42578125" style="24" customWidth="1"/>
    <col min="2318" max="2318" width="6.42578125" style="24" bestFit="1" customWidth="1"/>
    <col min="2319" max="2320" width="8.42578125" style="24"/>
    <col min="2321" max="2321" width="3.28515625" style="24" customWidth="1"/>
    <col min="2322" max="2560" width="8.42578125" style="24"/>
    <col min="2561" max="2561" width="10" style="24" bestFit="1" customWidth="1"/>
    <col min="2562" max="2562" width="44.28515625" style="24" bestFit="1" customWidth="1"/>
    <col min="2563" max="2563" width="10.42578125" style="24" bestFit="1" customWidth="1"/>
    <col min="2564" max="2564" width="10.42578125" style="24" customWidth="1"/>
    <col min="2565" max="2565" width="9.7109375" style="24" bestFit="1" customWidth="1"/>
    <col min="2566" max="2567" width="9.5703125" style="24" bestFit="1" customWidth="1"/>
    <col min="2568" max="2568" width="10.42578125" style="24" bestFit="1" customWidth="1"/>
    <col min="2569" max="2569" width="4.5703125" style="24" customWidth="1"/>
    <col min="2570" max="2570" width="1.85546875" style="24" customWidth="1"/>
    <col min="2571" max="2571" width="7" style="24" bestFit="1" customWidth="1"/>
    <col min="2572" max="2572" width="6.28515625" style="24" customWidth="1"/>
    <col min="2573" max="2573" width="20.42578125" style="24" customWidth="1"/>
    <col min="2574" max="2574" width="6.42578125" style="24" bestFit="1" customWidth="1"/>
    <col min="2575" max="2576" width="8.42578125" style="24"/>
    <col min="2577" max="2577" width="3.28515625" style="24" customWidth="1"/>
    <col min="2578" max="2816" width="8.42578125" style="24"/>
    <col min="2817" max="2817" width="10" style="24" bestFit="1" customWidth="1"/>
    <col min="2818" max="2818" width="44.28515625" style="24" bestFit="1" customWidth="1"/>
    <col min="2819" max="2819" width="10.42578125" style="24" bestFit="1" customWidth="1"/>
    <col min="2820" max="2820" width="10.42578125" style="24" customWidth="1"/>
    <col min="2821" max="2821" width="9.7109375" style="24" bestFit="1" customWidth="1"/>
    <col min="2822" max="2823" width="9.5703125" style="24" bestFit="1" customWidth="1"/>
    <col min="2824" max="2824" width="10.42578125" style="24" bestFit="1" customWidth="1"/>
    <col min="2825" max="2825" width="4.5703125" style="24" customWidth="1"/>
    <col min="2826" max="2826" width="1.85546875" style="24" customWidth="1"/>
    <col min="2827" max="2827" width="7" style="24" bestFit="1" customWidth="1"/>
    <col min="2828" max="2828" width="6.28515625" style="24" customWidth="1"/>
    <col min="2829" max="2829" width="20.42578125" style="24" customWidth="1"/>
    <col min="2830" max="2830" width="6.42578125" style="24" bestFit="1" customWidth="1"/>
    <col min="2831" max="2832" width="8.42578125" style="24"/>
    <col min="2833" max="2833" width="3.28515625" style="24" customWidth="1"/>
    <col min="2834" max="3072" width="8.42578125" style="24"/>
    <col min="3073" max="3073" width="10" style="24" bestFit="1" customWidth="1"/>
    <col min="3074" max="3074" width="44.28515625" style="24" bestFit="1" customWidth="1"/>
    <col min="3075" max="3075" width="10.42578125" style="24" bestFit="1" customWidth="1"/>
    <col min="3076" max="3076" width="10.42578125" style="24" customWidth="1"/>
    <col min="3077" max="3077" width="9.7109375" style="24" bestFit="1" customWidth="1"/>
    <col min="3078" max="3079" width="9.5703125" style="24" bestFit="1" customWidth="1"/>
    <col min="3080" max="3080" width="10.42578125" style="24" bestFit="1" customWidth="1"/>
    <col min="3081" max="3081" width="4.5703125" style="24" customWidth="1"/>
    <col min="3082" max="3082" width="1.85546875" style="24" customWidth="1"/>
    <col min="3083" max="3083" width="7" style="24" bestFit="1" customWidth="1"/>
    <col min="3084" max="3084" width="6.28515625" style="24" customWidth="1"/>
    <col min="3085" max="3085" width="20.42578125" style="24" customWidth="1"/>
    <col min="3086" max="3086" width="6.42578125" style="24" bestFit="1" customWidth="1"/>
    <col min="3087" max="3088" width="8.42578125" style="24"/>
    <col min="3089" max="3089" width="3.28515625" style="24" customWidth="1"/>
    <col min="3090" max="3328" width="8.42578125" style="24"/>
    <col min="3329" max="3329" width="10" style="24" bestFit="1" customWidth="1"/>
    <col min="3330" max="3330" width="44.28515625" style="24" bestFit="1" customWidth="1"/>
    <col min="3331" max="3331" width="10.42578125" style="24" bestFit="1" customWidth="1"/>
    <col min="3332" max="3332" width="10.42578125" style="24" customWidth="1"/>
    <col min="3333" max="3333" width="9.7109375" style="24" bestFit="1" customWidth="1"/>
    <col min="3334" max="3335" width="9.5703125" style="24" bestFit="1" customWidth="1"/>
    <col min="3336" max="3336" width="10.42578125" style="24" bestFit="1" customWidth="1"/>
    <col min="3337" max="3337" width="4.5703125" style="24" customWidth="1"/>
    <col min="3338" max="3338" width="1.85546875" style="24" customWidth="1"/>
    <col min="3339" max="3339" width="7" style="24" bestFit="1" customWidth="1"/>
    <col min="3340" max="3340" width="6.28515625" style="24" customWidth="1"/>
    <col min="3341" max="3341" width="20.42578125" style="24" customWidth="1"/>
    <col min="3342" max="3342" width="6.42578125" style="24" bestFit="1" customWidth="1"/>
    <col min="3343" max="3344" width="8.42578125" style="24"/>
    <col min="3345" max="3345" width="3.28515625" style="24" customWidth="1"/>
    <col min="3346" max="3584" width="8.42578125" style="24"/>
    <col min="3585" max="3585" width="10" style="24" bestFit="1" customWidth="1"/>
    <col min="3586" max="3586" width="44.28515625" style="24" bestFit="1" customWidth="1"/>
    <col min="3587" max="3587" width="10.42578125" style="24" bestFit="1" customWidth="1"/>
    <col min="3588" max="3588" width="10.42578125" style="24" customWidth="1"/>
    <col min="3589" max="3589" width="9.7109375" style="24" bestFit="1" customWidth="1"/>
    <col min="3590" max="3591" width="9.5703125" style="24" bestFit="1" customWidth="1"/>
    <col min="3592" max="3592" width="10.42578125" style="24" bestFit="1" customWidth="1"/>
    <col min="3593" max="3593" width="4.5703125" style="24" customWidth="1"/>
    <col min="3594" max="3594" width="1.85546875" style="24" customWidth="1"/>
    <col min="3595" max="3595" width="7" style="24" bestFit="1" customWidth="1"/>
    <col min="3596" max="3596" width="6.28515625" style="24" customWidth="1"/>
    <col min="3597" max="3597" width="20.42578125" style="24" customWidth="1"/>
    <col min="3598" max="3598" width="6.42578125" style="24" bestFit="1" customWidth="1"/>
    <col min="3599" max="3600" width="8.42578125" style="24"/>
    <col min="3601" max="3601" width="3.28515625" style="24" customWidth="1"/>
    <col min="3602" max="3840" width="8.42578125" style="24"/>
    <col min="3841" max="3841" width="10" style="24" bestFit="1" customWidth="1"/>
    <col min="3842" max="3842" width="44.28515625" style="24" bestFit="1" customWidth="1"/>
    <col min="3843" max="3843" width="10.42578125" style="24" bestFit="1" customWidth="1"/>
    <col min="3844" max="3844" width="10.42578125" style="24" customWidth="1"/>
    <col min="3845" max="3845" width="9.7109375" style="24" bestFit="1" customWidth="1"/>
    <col min="3846" max="3847" width="9.5703125" style="24" bestFit="1" customWidth="1"/>
    <col min="3848" max="3848" width="10.42578125" style="24" bestFit="1" customWidth="1"/>
    <col min="3849" max="3849" width="4.5703125" style="24" customWidth="1"/>
    <col min="3850" max="3850" width="1.85546875" style="24" customWidth="1"/>
    <col min="3851" max="3851" width="7" style="24" bestFit="1" customWidth="1"/>
    <col min="3852" max="3852" width="6.28515625" style="24" customWidth="1"/>
    <col min="3853" max="3853" width="20.42578125" style="24" customWidth="1"/>
    <col min="3854" max="3854" width="6.42578125" style="24" bestFit="1" customWidth="1"/>
    <col min="3855" max="3856" width="8.42578125" style="24"/>
    <col min="3857" max="3857" width="3.28515625" style="24" customWidth="1"/>
    <col min="3858" max="4096" width="8.42578125" style="24"/>
    <col min="4097" max="4097" width="10" style="24" bestFit="1" customWidth="1"/>
    <col min="4098" max="4098" width="44.28515625" style="24" bestFit="1" customWidth="1"/>
    <col min="4099" max="4099" width="10.42578125" style="24" bestFit="1" customWidth="1"/>
    <col min="4100" max="4100" width="10.42578125" style="24" customWidth="1"/>
    <col min="4101" max="4101" width="9.7109375" style="24" bestFit="1" customWidth="1"/>
    <col min="4102" max="4103" width="9.5703125" style="24" bestFit="1" customWidth="1"/>
    <col min="4104" max="4104" width="10.42578125" style="24" bestFit="1" customWidth="1"/>
    <col min="4105" max="4105" width="4.5703125" style="24" customWidth="1"/>
    <col min="4106" max="4106" width="1.85546875" style="24" customWidth="1"/>
    <col min="4107" max="4107" width="7" style="24" bestFit="1" customWidth="1"/>
    <col min="4108" max="4108" width="6.28515625" style="24" customWidth="1"/>
    <col min="4109" max="4109" width="20.42578125" style="24" customWidth="1"/>
    <col min="4110" max="4110" width="6.42578125" style="24" bestFit="1" customWidth="1"/>
    <col min="4111" max="4112" width="8.42578125" style="24"/>
    <col min="4113" max="4113" width="3.28515625" style="24" customWidth="1"/>
    <col min="4114" max="4352" width="8.42578125" style="24"/>
    <col min="4353" max="4353" width="10" style="24" bestFit="1" customWidth="1"/>
    <col min="4354" max="4354" width="44.28515625" style="24" bestFit="1" customWidth="1"/>
    <col min="4355" max="4355" width="10.42578125" style="24" bestFit="1" customWidth="1"/>
    <col min="4356" max="4356" width="10.42578125" style="24" customWidth="1"/>
    <col min="4357" max="4357" width="9.7109375" style="24" bestFit="1" customWidth="1"/>
    <col min="4358" max="4359" width="9.5703125" style="24" bestFit="1" customWidth="1"/>
    <col min="4360" max="4360" width="10.42578125" style="24" bestFit="1" customWidth="1"/>
    <col min="4361" max="4361" width="4.5703125" style="24" customWidth="1"/>
    <col min="4362" max="4362" width="1.85546875" style="24" customWidth="1"/>
    <col min="4363" max="4363" width="7" style="24" bestFit="1" customWidth="1"/>
    <col min="4364" max="4364" width="6.28515625" style="24" customWidth="1"/>
    <col min="4365" max="4365" width="20.42578125" style="24" customWidth="1"/>
    <col min="4366" max="4366" width="6.42578125" style="24" bestFit="1" customWidth="1"/>
    <col min="4367" max="4368" width="8.42578125" style="24"/>
    <col min="4369" max="4369" width="3.28515625" style="24" customWidth="1"/>
    <col min="4370" max="4608" width="8.42578125" style="24"/>
    <col min="4609" max="4609" width="10" style="24" bestFit="1" customWidth="1"/>
    <col min="4610" max="4610" width="44.28515625" style="24" bestFit="1" customWidth="1"/>
    <col min="4611" max="4611" width="10.42578125" style="24" bestFit="1" customWidth="1"/>
    <col min="4612" max="4612" width="10.42578125" style="24" customWidth="1"/>
    <col min="4613" max="4613" width="9.7109375" style="24" bestFit="1" customWidth="1"/>
    <col min="4614" max="4615" width="9.5703125" style="24" bestFit="1" customWidth="1"/>
    <col min="4616" max="4616" width="10.42578125" style="24" bestFit="1" customWidth="1"/>
    <col min="4617" max="4617" width="4.5703125" style="24" customWidth="1"/>
    <col min="4618" max="4618" width="1.85546875" style="24" customWidth="1"/>
    <col min="4619" max="4619" width="7" style="24" bestFit="1" customWidth="1"/>
    <col min="4620" max="4620" width="6.28515625" style="24" customWidth="1"/>
    <col min="4621" max="4621" width="20.42578125" style="24" customWidth="1"/>
    <col min="4622" max="4622" width="6.42578125" style="24" bestFit="1" customWidth="1"/>
    <col min="4623" max="4624" width="8.42578125" style="24"/>
    <col min="4625" max="4625" width="3.28515625" style="24" customWidth="1"/>
    <col min="4626" max="4864" width="8.42578125" style="24"/>
    <col min="4865" max="4865" width="10" style="24" bestFit="1" customWidth="1"/>
    <col min="4866" max="4866" width="44.28515625" style="24" bestFit="1" customWidth="1"/>
    <col min="4867" max="4867" width="10.42578125" style="24" bestFit="1" customWidth="1"/>
    <col min="4868" max="4868" width="10.42578125" style="24" customWidth="1"/>
    <col min="4869" max="4869" width="9.7109375" style="24" bestFit="1" customWidth="1"/>
    <col min="4870" max="4871" width="9.5703125" style="24" bestFit="1" customWidth="1"/>
    <col min="4872" max="4872" width="10.42578125" style="24" bestFit="1" customWidth="1"/>
    <col min="4873" max="4873" width="4.5703125" style="24" customWidth="1"/>
    <col min="4874" max="4874" width="1.85546875" style="24" customWidth="1"/>
    <col min="4875" max="4875" width="7" style="24" bestFit="1" customWidth="1"/>
    <col min="4876" max="4876" width="6.28515625" style="24" customWidth="1"/>
    <col min="4877" max="4877" width="20.42578125" style="24" customWidth="1"/>
    <col min="4878" max="4878" width="6.42578125" style="24" bestFit="1" customWidth="1"/>
    <col min="4879" max="4880" width="8.42578125" style="24"/>
    <col min="4881" max="4881" width="3.28515625" style="24" customWidth="1"/>
    <col min="4882" max="5120" width="8.42578125" style="24"/>
    <col min="5121" max="5121" width="10" style="24" bestFit="1" customWidth="1"/>
    <col min="5122" max="5122" width="44.28515625" style="24" bestFit="1" customWidth="1"/>
    <col min="5123" max="5123" width="10.42578125" style="24" bestFit="1" customWidth="1"/>
    <col min="5124" max="5124" width="10.42578125" style="24" customWidth="1"/>
    <col min="5125" max="5125" width="9.7109375" style="24" bestFit="1" customWidth="1"/>
    <col min="5126" max="5127" width="9.5703125" style="24" bestFit="1" customWidth="1"/>
    <col min="5128" max="5128" width="10.42578125" style="24" bestFit="1" customWidth="1"/>
    <col min="5129" max="5129" width="4.5703125" style="24" customWidth="1"/>
    <col min="5130" max="5130" width="1.85546875" style="24" customWidth="1"/>
    <col min="5131" max="5131" width="7" style="24" bestFit="1" customWidth="1"/>
    <col min="5132" max="5132" width="6.28515625" style="24" customWidth="1"/>
    <col min="5133" max="5133" width="20.42578125" style="24" customWidth="1"/>
    <col min="5134" max="5134" width="6.42578125" style="24" bestFit="1" customWidth="1"/>
    <col min="5135" max="5136" width="8.42578125" style="24"/>
    <col min="5137" max="5137" width="3.28515625" style="24" customWidth="1"/>
    <col min="5138" max="5376" width="8.42578125" style="24"/>
    <col min="5377" max="5377" width="10" style="24" bestFit="1" customWidth="1"/>
    <col min="5378" max="5378" width="44.28515625" style="24" bestFit="1" customWidth="1"/>
    <col min="5379" max="5379" width="10.42578125" style="24" bestFit="1" customWidth="1"/>
    <col min="5380" max="5380" width="10.42578125" style="24" customWidth="1"/>
    <col min="5381" max="5381" width="9.7109375" style="24" bestFit="1" customWidth="1"/>
    <col min="5382" max="5383" width="9.5703125" style="24" bestFit="1" customWidth="1"/>
    <col min="5384" max="5384" width="10.42578125" style="24" bestFit="1" customWidth="1"/>
    <col min="5385" max="5385" width="4.5703125" style="24" customWidth="1"/>
    <col min="5386" max="5386" width="1.85546875" style="24" customWidth="1"/>
    <col min="5387" max="5387" width="7" style="24" bestFit="1" customWidth="1"/>
    <col min="5388" max="5388" width="6.28515625" style="24" customWidth="1"/>
    <col min="5389" max="5389" width="20.42578125" style="24" customWidth="1"/>
    <col min="5390" max="5390" width="6.42578125" style="24" bestFit="1" customWidth="1"/>
    <col min="5391" max="5392" width="8.42578125" style="24"/>
    <col min="5393" max="5393" width="3.28515625" style="24" customWidth="1"/>
    <col min="5394" max="5632" width="8.42578125" style="24"/>
    <col min="5633" max="5633" width="10" style="24" bestFit="1" customWidth="1"/>
    <col min="5634" max="5634" width="44.28515625" style="24" bestFit="1" customWidth="1"/>
    <col min="5635" max="5635" width="10.42578125" style="24" bestFit="1" customWidth="1"/>
    <col min="5636" max="5636" width="10.42578125" style="24" customWidth="1"/>
    <col min="5637" max="5637" width="9.7109375" style="24" bestFit="1" customWidth="1"/>
    <col min="5638" max="5639" width="9.5703125" style="24" bestFit="1" customWidth="1"/>
    <col min="5640" max="5640" width="10.42578125" style="24" bestFit="1" customWidth="1"/>
    <col min="5641" max="5641" width="4.5703125" style="24" customWidth="1"/>
    <col min="5642" max="5642" width="1.85546875" style="24" customWidth="1"/>
    <col min="5643" max="5643" width="7" style="24" bestFit="1" customWidth="1"/>
    <col min="5644" max="5644" width="6.28515625" style="24" customWidth="1"/>
    <col min="5645" max="5645" width="20.42578125" style="24" customWidth="1"/>
    <col min="5646" max="5646" width="6.42578125" style="24" bestFit="1" customWidth="1"/>
    <col min="5647" max="5648" width="8.42578125" style="24"/>
    <col min="5649" max="5649" width="3.28515625" style="24" customWidth="1"/>
    <col min="5650" max="5888" width="8.42578125" style="24"/>
    <col min="5889" max="5889" width="10" style="24" bestFit="1" customWidth="1"/>
    <col min="5890" max="5890" width="44.28515625" style="24" bestFit="1" customWidth="1"/>
    <col min="5891" max="5891" width="10.42578125" style="24" bestFit="1" customWidth="1"/>
    <col min="5892" max="5892" width="10.42578125" style="24" customWidth="1"/>
    <col min="5893" max="5893" width="9.7109375" style="24" bestFit="1" customWidth="1"/>
    <col min="5894" max="5895" width="9.5703125" style="24" bestFit="1" customWidth="1"/>
    <col min="5896" max="5896" width="10.42578125" style="24" bestFit="1" customWidth="1"/>
    <col min="5897" max="5897" width="4.5703125" style="24" customWidth="1"/>
    <col min="5898" max="5898" width="1.85546875" style="24" customWidth="1"/>
    <col min="5899" max="5899" width="7" style="24" bestFit="1" customWidth="1"/>
    <col min="5900" max="5900" width="6.28515625" style="24" customWidth="1"/>
    <col min="5901" max="5901" width="20.42578125" style="24" customWidth="1"/>
    <col min="5902" max="5902" width="6.42578125" style="24" bestFit="1" customWidth="1"/>
    <col min="5903" max="5904" width="8.42578125" style="24"/>
    <col min="5905" max="5905" width="3.28515625" style="24" customWidth="1"/>
    <col min="5906" max="6144" width="8.42578125" style="24"/>
    <col min="6145" max="6145" width="10" style="24" bestFit="1" customWidth="1"/>
    <col min="6146" max="6146" width="44.28515625" style="24" bestFit="1" customWidth="1"/>
    <col min="6147" max="6147" width="10.42578125" style="24" bestFit="1" customWidth="1"/>
    <col min="6148" max="6148" width="10.42578125" style="24" customWidth="1"/>
    <col min="6149" max="6149" width="9.7109375" style="24" bestFit="1" customWidth="1"/>
    <col min="6150" max="6151" width="9.5703125" style="24" bestFit="1" customWidth="1"/>
    <col min="6152" max="6152" width="10.42578125" style="24" bestFit="1" customWidth="1"/>
    <col min="6153" max="6153" width="4.5703125" style="24" customWidth="1"/>
    <col min="6154" max="6154" width="1.85546875" style="24" customWidth="1"/>
    <col min="6155" max="6155" width="7" style="24" bestFit="1" customWidth="1"/>
    <col min="6156" max="6156" width="6.28515625" style="24" customWidth="1"/>
    <col min="6157" max="6157" width="20.42578125" style="24" customWidth="1"/>
    <col min="6158" max="6158" width="6.42578125" style="24" bestFit="1" customWidth="1"/>
    <col min="6159" max="6160" width="8.42578125" style="24"/>
    <col min="6161" max="6161" width="3.28515625" style="24" customWidth="1"/>
    <col min="6162" max="6400" width="8.42578125" style="24"/>
    <col min="6401" max="6401" width="10" style="24" bestFit="1" customWidth="1"/>
    <col min="6402" max="6402" width="44.28515625" style="24" bestFit="1" customWidth="1"/>
    <col min="6403" max="6403" width="10.42578125" style="24" bestFit="1" customWidth="1"/>
    <col min="6404" max="6404" width="10.42578125" style="24" customWidth="1"/>
    <col min="6405" max="6405" width="9.7109375" style="24" bestFit="1" customWidth="1"/>
    <col min="6406" max="6407" width="9.5703125" style="24" bestFit="1" customWidth="1"/>
    <col min="6408" max="6408" width="10.42578125" style="24" bestFit="1" customWidth="1"/>
    <col min="6409" max="6409" width="4.5703125" style="24" customWidth="1"/>
    <col min="6410" max="6410" width="1.85546875" style="24" customWidth="1"/>
    <col min="6411" max="6411" width="7" style="24" bestFit="1" customWidth="1"/>
    <col min="6412" max="6412" width="6.28515625" style="24" customWidth="1"/>
    <col min="6413" max="6413" width="20.42578125" style="24" customWidth="1"/>
    <col min="6414" max="6414" width="6.42578125" style="24" bestFit="1" customWidth="1"/>
    <col min="6415" max="6416" width="8.42578125" style="24"/>
    <col min="6417" max="6417" width="3.28515625" style="24" customWidth="1"/>
    <col min="6418" max="6656" width="8.42578125" style="24"/>
    <col min="6657" max="6657" width="10" style="24" bestFit="1" customWidth="1"/>
    <col min="6658" max="6658" width="44.28515625" style="24" bestFit="1" customWidth="1"/>
    <col min="6659" max="6659" width="10.42578125" style="24" bestFit="1" customWidth="1"/>
    <col min="6660" max="6660" width="10.42578125" style="24" customWidth="1"/>
    <col min="6661" max="6661" width="9.7109375" style="24" bestFit="1" customWidth="1"/>
    <col min="6662" max="6663" width="9.5703125" style="24" bestFit="1" customWidth="1"/>
    <col min="6664" max="6664" width="10.42578125" style="24" bestFit="1" customWidth="1"/>
    <col min="6665" max="6665" width="4.5703125" style="24" customWidth="1"/>
    <col min="6666" max="6666" width="1.85546875" style="24" customWidth="1"/>
    <col min="6667" max="6667" width="7" style="24" bestFit="1" customWidth="1"/>
    <col min="6668" max="6668" width="6.28515625" style="24" customWidth="1"/>
    <col min="6669" max="6669" width="20.42578125" style="24" customWidth="1"/>
    <col min="6670" max="6670" width="6.42578125" style="24" bestFit="1" customWidth="1"/>
    <col min="6671" max="6672" width="8.42578125" style="24"/>
    <col min="6673" max="6673" width="3.28515625" style="24" customWidth="1"/>
    <col min="6674" max="6912" width="8.42578125" style="24"/>
    <col min="6913" max="6913" width="10" style="24" bestFit="1" customWidth="1"/>
    <col min="6914" max="6914" width="44.28515625" style="24" bestFit="1" customWidth="1"/>
    <col min="6915" max="6915" width="10.42578125" style="24" bestFit="1" customWidth="1"/>
    <col min="6916" max="6916" width="10.42578125" style="24" customWidth="1"/>
    <col min="6917" max="6917" width="9.7109375" style="24" bestFit="1" customWidth="1"/>
    <col min="6918" max="6919" width="9.5703125" style="24" bestFit="1" customWidth="1"/>
    <col min="6920" max="6920" width="10.42578125" style="24" bestFit="1" customWidth="1"/>
    <col min="6921" max="6921" width="4.5703125" style="24" customWidth="1"/>
    <col min="6922" max="6922" width="1.85546875" style="24" customWidth="1"/>
    <col min="6923" max="6923" width="7" style="24" bestFit="1" customWidth="1"/>
    <col min="6924" max="6924" width="6.28515625" style="24" customWidth="1"/>
    <col min="6925" max="6925" width="20.42578125" style="24" customWidth="1"/>
    <col min="6926" max="6926" width="6.42578125" style="24" bestFit="1" customWidth="1"/>
    <col min="6927" max="6928" width="8.42578125" style="24"/>
    <col min="6929" max="6929" width="3.28515625" style="24" customWidth="1"/>
    <col min="6930" max="7168" width="8.42578125" style="24"/>
    <col min="7169" max="7169" width="10" style="24" bestFit="1" customWidth="1"/>
    <col min="7170" max="7170" width="44.28515625" style="24" bestFit="1" customWidth="1"/>
    <col min="7171" max="7171" width="10.42578125" style="24" bestFit="1" customWidth="1"/>
    <col min="7172" max="7172" width="10.42578125" style="24" customWidth="1"/>
    <col min="7173" max="7173" width="9.7109375" style="24" bestFit="1" customWidth="1"/>
    <col min="7174" max="7175" width="9.5703125" style="24" bestFit="1" customWidth="1"/>
    <col min="7176" max="7176" width="10.42578125" style="24" bestFit="1" customWidth="1"/>
    <col min="7177" max="7177" width="4.5703125" style="24" customWidth="1"/>
    <col min="7178" max="7178" width="1.85546875" style="24" customWidth="1"/>
    <col min="7179" max="7179" width="7" style="24" bestFit="1" customWidth="1"/>
    <col min="7180" max="7180" width="6.28515625" style="24" customWidth="1"/>
    <col min="7181" max="7181" width="20.42578125" style="24" customWidth="1"/>
    <col min="7182" max="7182" width="6.42578125" style="24" bestFit="1" customWidth="1"/>
    <col min="7183" max="7184" width="8.42578125" style="24"/>
    <col min="7185" max="7185" width="3.28515625" style="24" customWidth="1"/>
    <col min="7186" max="7424" width="8.42578125" style="24"/>
    <col min="7425" max="7425" width="10" style="24" bestFit="1" customWidth="1"/>
    <col min="7426" max="7426" width="44.28515625" style="24" bestFit="1" customWidth="1"/>
    <col min="7427" max="7427" width="10.42578125" style="24" bestFit="1" customWidth="1"/>
    <col min="7428" max="7428" width="10.42578125" style="24" customWidth="1"/>
    <col min="7429" max="7429" width="9.7109375" style="24" bestFit="1" customWidth="1"/>
    <col min="7430" max="7431" width="9.5703125" style="24" bestFit="1" customWidth="1"/>
    <col min="7432" max="7432" width="10.42578125" style="24" bestFit="1" customWidth="1"/>
    <col min="7433" max="7433" width="4.5703125" style="24" customWidth="1"/>
    <col min="7434" max="7434" width="1.85546875" style="24" customWidth="1"/>
    <col min="7435" max="7435" width="7" style="24" bestFit="1" customWidth="1"/>
    <col min="7436" max="7436" width="6.28515625" style="24" customWidth="1"/>
    <col min="7437" max="7437" width="20.42578125" style="24" customWidth="1"/>
    <col min="7438" max="7438" width="6.42578125" style="24" bestFit="1" customWidth="1"/>
    <col min="7439" max="7440" width="8.42578125" style="24"/>
    <col min="7441" max="7441" width="3.28515625" style="24" customWidth="1"/>
    <col min="7442" max="7680" width="8.42578125" style="24"/>
    <col min="7681" max="7681" width="10" style="24" bestFit="1" customWidth="1"/>
    <col min="7682" max="7682" width="44.28515625" style="24" bestFit="1" customWidth="1"/>
    <col min="7683" max="7683" width="10.42578125" style="24" bestFit="1" customWidth="1"/>
    <col min="7684" max="7684" width="10.42578125" style="24" customWidth="1"/>
    <col min="7685" max="7685" width="9.7109375" style="24" bestFit="1" customWidth="1"/>
    <col min="7686" max="7687" width="9.5703125" style="24" bestFit="1" customWidth="1"/>
    <col min="7688" max="7688" width="10.42578125" style="24" bestFit="1" customWidth="1"/>
    <col min="7689" max="7689" width="4.5703125" style="24" customWidth="1"/>
    <col min="7690" max="7690" width="1.85546875" style="24" customWidth="1"/>
    <col min="7691" max="7691" width="7" style="24" bestFit="1" customWidth="1"/>
    <col min="7692" max="7692" width="6.28515625" style="24" customWidth="1"/>
    <col min="7693" max="7693" width="20.42578125" style="24" customWidth="1"/>
    <col min="7694" max="7694" width="6.42578125" style="24" bestFit="1" customWidth="1"/>
    <col min="7695" max="7696" width="8.42578125" style="24"/>
    <col min="7697" max="7697" width="3.28515625" style="24" customWidth="1"/>
    <col min="7698" max="7936" width="8.42578125" style="24"/>
    <col min="7937" max="7937" width="10" style="24" bestFit="1" customWidth="1"/>
    <col min="7938" max="7938" width="44.28515625" style="24" bestFit="1" customWidth="1"/>
    <col min="7939" max="7939" width="10.42578125" style="24" bestFit="1" customWidth="1"/>
    <col min="7940" max="7940" width="10.42578125" style="24" customWidth="1"/>
    <col min="7941" max="7941" width="9.7109375" style="24" bestFit="1" customWidth="1"/>
    <col min="7942" max="7943" width="9.5703125" style="24" bestFit="1" customWidth="1"/>
    <col min="7944" max="7944" width="10.42578125" style="24" bestFit="1" customWidth="1"/>
    <col min="7945" max="7945" width="4.5703125" style="24" customWidth="1"/>
    <col min="7946" max="7946" width="1.85546875" style="24" customWidth="1"/>
    <col min="7947" max="7947" width="7" style="24" bestFit="1" customWidth="1"/>
    <col min="7948" max="7948" width="6.28515625" style="24" customWidth="1"/>
    <col min="7949" max="7949" width="20.42578125" style="24" customWidth="1"/>
    <col min="7950" max="7950" width="6.42578125" style="24" bestFit="1" customWidth="1"/>
    <col min="7951" max="7952" width="8.42578125" style="24"/>
    <col min="7953" max="7953" width="3.28515625" style="24" customWidth="1"/>
    <col min="7954" max="8192" width="8.42578125" style="24"/>
    <col min="8193" max="8193" width="10" style="24" bestFit="1" customWidth="1"/>
    <col min="8194" max="8194" width="44.28515625" style="24" bestFit="1" customWidth="1"/>
    <col min="8195" max="8195" width="10.42578125" style="24" bestFit="1" customWidth="1"/>
    <col min="8196" max="8196" width="10.42578125" style="24" customWidth="1"/>
    <col min="8197" max="8197" width="9.7109375" style="24" bestFit="1" customWidth="1"/>
    <col min="8198" max="8199" width="9.5703125" style="24" bestFit="1" customWidth="1"/>
    <col min="8200" max="8200" width="10.42578125" style="24" bestFit="1" customWidth="1"/>
    <col min="8201" max="8201" width="4.5703125" style="24" customWidth="1"/>
    <col min="8202" max="8202" width="1.85546875" style="24" customWidth="1"/>
    <col min="8203" max="8203" width="7" style="24" bestFit="1" customWidth="1"/>
    <col min="8204" max="8204" width="6.28515625" style="24" customWidth="1"/>
    <col min="8205" max="8205" width="20.42578125" style="24" customWidth="1"/>
    <col min="8206" max="8206" width="6.42578125" style="24" bestFit="1" customWidth="1"/>
    <col min="8207" max="8208" width="8.42578125" style="24"/>
    <col min="8209" max="8209" width="3.28515625" style="24" customWidth="1"/>
    <col min="8210" max="8448" width="8.42578125" style="24"/>
    <col min="8449" max="8449" width="10" style="24" bestFit="1" customWidth="1"/>
    <col min="8450" max="8450" width="44.28515625" style="24" bestFit="1" customWidth="1"/>
    <col min="8451" max="8451" width="10.42578125" style="24" bestFit="1" customWidth="1"/>
    <col min="8452" max="8452" width="10.42578125" style="24" customWidth="1"/>
    <col min="8453" max="8453" width="9.7109375" style="24" bestFit="1" customWidth="1"/>
    <col min="8454" max="8455" width="9.5703125" style="24" bestFit="1" customWidth="1"/>
    <col min="8456" max="8456" width="10.42578125" style="24" bestFit="1" customWidth="1"/>
    <col min="8457" max="8457" width="4.5703125" style="24" customWidth="1"/>
    <col min="8458" max="8458" width="1.85546875" style="24" customWidth="1"/>
    <col min="8459" max="8459" width="7" style="24" bestFit="1" customWidth="1"/>
    <col min="8460" max="8460" width="6.28515625" style="24" customWidth="1"/>
    <col min="8461" max="8461" width="20.42578125" style="24" customWidth="1"/>
    <col min="8462" max="8462" width="6.42578125" style="24" bestFit="1" customWidth="1"/>
    <col min="8463" max="8464" width="8.42578125" style="24"/>
    <col min="8465" max="8465" width="3.28515625" style="24" customWidth="1"/>
    <col min="8466" max="8704" width="8.42578125" style="24"/>
    <col min="8705" max="8705" width="10" style="24" bestFit="1" customWidth="1"/>
    <col min="8706" max="8706" width="44.28515625" style="24" bestFit="1" customWidth="1"/>
    <col min="8707" max="8707" width="10.42578125" style="24" bestFit="1" customWidth="1"/>
    <col min="8708" max="8708" width="10.42578125" style="24" customWidth="1"/>
    <col min="8709" max="8709" width="9.7109375" style="24" bestFit="1" customWidth="1"/>
    <col min="8710" max="8711" width="9.5703125" style="24" bestFit="1" customWidth="1"/>
    <col min="8712" max="8712" width="10.42578125" style="24" bestFit="1" customWidth="1"/>
    <col min="8713" max="8713" width="4.5703125" style="24" customWidth="1"/>
    <col min="8714" max="8714" width="1.85546875" style="24" customWidth="1"/>
    <col min="8715" max="8715" width="7" style="24" bestFit="1" customWidth="1"/>
    <col min="8716" max="8716" width="6.28515625" style="24" customWidth="1"/>
    <col min="8717" max="8717" width="20.42578125" style="24" customWidth="1"/>
    <col min="8718" max="8718" width="6.42578125" style="24" bestFit="1" customWidth="1"/>
    <col min="8719" max="8720" width="8.42578125" style="24"/>
    <col min="8721" max="8721" width="3.28515625" style="24" customWidth="1"/>
    <col min="8722" max="8960" width="8.42578125" style="24"/>
    <col min="8961" max="8961" width="10" style="24" bestFit="1" customWidth="1"/>
    <col min="8962" max="8962" width="44.28515625" style="24" bestFit="1" customWidth="1"/>
    <col min="8963" max="8963" width="10.42578125" style="24" bestFit="1" customWidth="1"/>
    <col min="8964" max="8964" width="10.42578125" style="24" customWidth="1"/>
    <col min="8965" max="8965" width="9.7109375" style="24" bestFit="1" customWidth="1"/>
    <col min="8966" max="8967" width="9.5703125" style="24" bestFit="1" customWidth="1"/>
    <col min="8968" max="8968" width="10.42578125" style="24" bestFit="1" customWidth="1"/>
    <col min="8969" max="8969" width="4.5703125" style="24" customWidth="1"/>
    <col min="8970" max="8970" width="1.85546875" style="24" customWidth="1"/>
    <col min="8971" max="8971" width="7" style="24" bestFit="1" customWidth="1"/>
    <col min="8972" max="8972" width="6.28515625" style="24" customWidth="1"/>
    <col min="8973" max="8973" width="20.42578125" style="24" customWidth="1"/>
    <col min="8974" max="8974" width="6.42578125" style="24" bestFit="1" customWidth="1"/>
    <col min="8975" max="8976" width="8.42578125" style="24"/>
    <col min="8977" max="8977" width="3.28515625" style="24" customWidth="1"/>
    <col min="8978" max="9216" width="8.42578125" style="24"/>
    <col min="9217" max="9217" width="10" style="24" bestFit="1" customWidth="1"/>
    <col min="9218" max="9218" width="44.28515625" style="24" bestFit="1" customWidth="1"/>
    <col min="9219" max="9219" width="10.42578125" style="24" bestFit="1" customWidth="1"/>
    <col min="9220" max="9220" width="10.42578125" style="24" customWidth="1"/>
    <col min="9221" max="9221" width="9.7109375" style="24" bestFit="1" customWidth="1"/>
    <col min="9222" max="9223" width="9.5703125" style="24" bestFit="1" customWidth="1"/>
    <col min="9224" max="9224" width="10.42578125" style="24" bestFit="1" customWidth="1"/>
    <col min="9225" max="9225" width="4.5703125" style="24" customWidth="1"/>
    <col min="9226" max="9226" width="1.85546875" style="24" customWidth="1"/>
    <col min="9227" max="9227" width="7" style="24" bestFit="1" customWidth="1"/>
    <col min="9228" max="9228" width="6.28515625" style="24" customWidth="1"/>
    <col min="9229" max="9229" width="20.42578125" style="24" customWidth="1"/>
    <col min="9230" max="9230" width="6.42578125" style="24" bestFit="1" customWidth="1"/>
    <col min="9231" max="9232" width="8.42578125" style="24"/>
    <col min="9233" max="9233" width="3.28515625" style="24" customWidth="1"/>
    <col min="9234" max="9472" width="8.42578125" style="24"/>
    <col min="9473" max="9473" width="10" style="24" bestFit="1" customWidth="1"/>
    <col min="9474" max="9474" width="44.28515625" style="24" bestFit="1" customWidth="1"/>
    <col min="9475" max="9475" width="10.42578125" style="24" bestFit="1" customWidth="1"/>
    <col min="9476" max="9476" width="10.42578125" style="24" customWidth="1"/>
    <col min="9477" max="9477" width="9.7109375" style="24" bestFit="1" customWidth="1"/>
    <col min="9478" max="9479" width="9.5703125" style="24" bestFit="1" customWidth="1"/>
    <col min="9480" max="9480" width="10.42578125" style="24" bestFit="1" customWidth="1"/>
    <col min="9481" max="9481" width="4.5703125" style="24" customWidth="1"/>
    <col min="9482" max="9482" width="1.85546875" style="24" customWidth="1"/>
    <col min="9483" max="9483" width="7" style="24" bestFit="1" customWidth="1"/>
    <col min="9484" max="9484" width="6.28515625" style="24" customWidth="1"/>
    <col min="9485" max="9485" width="20.42578125" style="24" customWidth="1"/>
    <col min="9486" max="9486" width="6.42578125" style="24" bestFit="1" customWidth="1"/>
    <col min="9487" max="9488" width="8.42578125" style="24"/>
    <col min="9489" max="9489" width="3.28515625" style="24" customWidth="1"/>
    <col min="9490" max="9728" width="8.42578125" style="24"/>
    <col min="9729" max="9729" width="10" style="24" bestFit="1" customWidth="1"/>
    <col min="9730" max="9730" width="44.28515625" style="24" bestFit="1" customWidth="1"/>
    <col min="9731" max="9731" width="10.42578125" style="24" bestFit="1" customWidth="1"/>
    <col min="9732" max="9732" width="10.42578125" style="24" customWidth="1"/>
    <col min="9733" max="9733" width="9.7109375" style="24" bestFit="1" customWidth="1"/>
    <col min="9734" max="9735" width="9.5703125" style="24" bestFit="1" customWidth="1"/>
    <col min="9736" max="9736" width="10.42578125" style="24" bestFit="1" customWidth="1"/>
    <col min="9737" max="9737" width="4.5703125" style="24" customWidth="1"/>
    <col min="9738" max="9738" width="1.85546875" style="24" customWidth="1"/>
    <col min="9739" max="9739" width="7" style="24" bestFit="1" customWidth="1"/>
    <col min="9740" max="9740" width="6.28515625" style="24" customWidth="1"/>
    <col min="9741" max="9741" width="20.42578125" style="24" customWidth="1"/>
    <col min="9742" max="9742" width="6.42578125" style="24" bestFit="1" customWidth="1"/>
    <col min="9743" max="9744" width="8.42578125" style="24"/>
    <col min="9745" max="9745" width="3.28515625" style="24" customWidth="1"/>
    <col min="9746" max="9984" width="8.42578125" style="24"/>
    <col min="9985" max="9985" width="10" style="24" bestFit="1" customWidth="1"/>
    <col min="9986" max="9986" width="44.28515625" style="24" bestFit="1" customWidth="1"/>
    <col min="9987" max="9987" width="10.42578125" style="24" bestFit="1" customWidth="1"/>
    <col min="9988" max="9988" width="10.42578125" style="24" customWidth="1"/>
    <col min="9989" max="9989" width="9.7109375" style="24" bestFit="1" customWidth="1"/>
    <col min="9990" max="9991" width="9.5703125" style="24" bestFit="1" customWidth="1"/>
    <col min="9992" max="9992" width="10.42578125" style="24" bestFit="1" customWidth="1"/>
    <col min="9993" max="9993" width="4.5703125" style="24" customWidth="1"/>
    <col min="9994" max="9994" width="1.85546875" style="24" customWidth="1"/>
    <col min="9995" max="9995" width="7" style="24" bestFit="1" customWidth="1"/>
    <col min="9996" max="9996" width="6.28515625" style="24" customWidth="1"/>
    <col min="9997" max="9997" width="20.42578125" style="24" customWidth="1"/>
    <col min="9998" max="9998" width="6.42578125" style="24" bestFit="1" customWidth="1"/>
    <col min="9999" max="10000" width="8.42578125" style="24"/>
    <col min="10001" max="10001" width="3.28515625" style="24" customWidth="1"/>
    <col min="10002" max="10240" width="8.42578125" style="24"/>
    <col min="10241" max="10241" width="10" style="24" bestFit="1" customWidth="1"/>
    <col min="10242" max="10242" width="44.28515625" style="24" bestFit="1" customWidth="1"/>
    <col min="10243" max="10243" width="10.42578125" style="24" bestFit="1" customWidth="1"/>
    <col min="10244" max="10244" width="10.42578125" style="24" customWidth="1"/>
    <col min="10245" max="10245" width="9.7109375" style="24" bestFit="1" customWidth="1"/>
    <col min="10246" max="10247" width="9.5703125" style="24" bestFit="1" customWidth="1"/>
    <col min="10248" max="10248" width="10.42578125" style="24" bestFit="1" customWidth="1"/>
    <col min="10249" max="10249" width="4.5703125" style="24" customWidth="1"/>
    <col min="10250" max="10250" width="1.85546875" style="24" customWidth="1"/>
    <col min="10251" max="10251" width="7" style="24" bestFit="1" customWidth="1"/>
    <col min="10252" max="10252" width="6.28515625" style="24" customWidth="1"/>
    <col min="10253" max="10253" width="20.42578125" style="24" customWidth="1"/>
    <col min="10254" max="10254" width="6.42578125" style="24" bestFit="1" customWidth="1"/>
    <col min="10255" max="10256" width="8.42578125" style="24"/>
    <col min="10257" max="10257" width="3.28515625" style="24" customWidth="1"/>
    <col min="10258" max="10496" width="8.42578125" style="24"/>
    <col min="10497" max="10497" width="10" style="24" bestFit="1" customWidth="1"/>
    <col min="10498" max="10498" width="44.28515625" style="24" bestFit="1" customWidth="1"/>
    <col min="10499" max="10499" width="10.42578125" style="24" bestFit="1" customWidth="1"/>
    <col min="10500" max="10500" width="10.42578125" style="24" customWidth="1"/>
    <col min="10501" max="10501" width="9.7109375" style="24" bestFit="1" customWidth="1"/>
    <col min="10502" max="10503" width="9.5703125" style="24" bestFit="1" customWidth="1"/>
    <col min="10504" max="10504" width="10.42578125" style="24" bestFit="1" customWidth="1"/>
    <col min="10505" max="10505" width="4.5703125" style="24" customWidth="1"/>
    <col min="10506" max="10506" width="1.85546875" style="24" customWidth="1"/>
    <col min="10507" max="10507" width="7" style="24" bestFit="1" customWidth="1"/>
    <col min="10508" max="10508" width="6.28515625" style="24" customWidth="1"/>
    <col min="10509" max="10509" width="20.42578125" style="24" customWidth="1"/>
    <col min="10510" max="10510" width="6.42578125" style="24" bestFit="1" customWidth="1"/>
    <col min="10511" max="10512" width="8.42578125" style="24"/>
    <col min="10513" max="10513" width="3.28515625" style="24" customWidth="1"/>
    <col min="10514" max="10752" width="8.42578125" style="24"/>
    <col min="10753" max="10753" width="10" style="24" bestFit="1" customWidth="1"/>
    <col min="10754" max="10754" width="44.28515625" style="24" bestFit="1" customWidth="1"/>
    <col min="10755" max="10755" width="10.42578125" style="24" bestFit="1" customWidth="1"/>
    <col min="10756" max="10756" width="10.42578125" style="24" customWidth="1"/>
    <col min="10757" max="10757" width="9.7109375" style="24" bestFit="1" customWidth="1"/>
    <col min="10758" max="10759" width="9.5703125" style="24" bestFit="1" customWidth="1"/>
    <col min="10760" max="10760" width="10.42578125" style="24" bestFit="1" customWidth="1"/>
    <col min="10761" max="10761" width="4.5703125" style="24" customWidth="1"/>
    <col min="10762" max="10762" width="1.85546875" style="24" customWidth="1"/>
    <col min="10763" max="10763" width="7" style="24" bestFit="1" customWidth="1"/>
    <col min="10764" max="10764" width="6.28515625" style="24" customWidth="1"/>
    <col min="10765" max="10765" width="20.42578125" style="24" customWidth="1"/>
    <col min="10766" max="10766" width="6.42578125" style="24" bestFit="1" customWidth="1"/>
    <col min="10767" max="10768" width="8.42578125" style="24"/>
    <col min="10769" max="10769" width="3.28515625" style="24" customWidth="1"/>
    <col min="10770" max="11008" width="8.42578125" style="24"/>
    <col min="11009" max="11009" width="10" style="24" bestFit="1" customWidth="1"/>
    <col min="11010" max="11010" width="44.28515625" style="24" bestFit="1" customWidth="1"/>
    <col min="11011" max="11011" width="10.42578125" style="24" bestFit="1" customWidth="1"/>
    <col min="11012" max="11012" width="10.42578125" style="24" customWidth="1"/>
    <col min="11013" max="11013" width="9.7109375" style="24" bestFit="1" customWidth="1"/>
    <col min="11014" max="11015" width="9.5703125" style="24" bestFit="1" customWidth="1"/>
    <col min="11016" max="11016" width="10.42578125" style="24" bestFit="1" customWidth="1"/>
    <col min="11017" max="11017" width="4.5703125" style="24" customWidth="1"/>
    <col min="11018" max="11018" width="1.85546875" style="24" customWidth="1"/>
    <col min="11019" max="11019" width="7" style="24" bestFit="1" customWidth="1"/>
    <col min="11020" max="11020" width="6.28515625" style="24" customWidth="1"/>
    <col min="11021" max="11021" width="20.42578125" style="24" customWidth="1"/>
    <col min="11022" max="11022" width="6.42578125" style="24" bestFit="1" customWidth="1"/>
    <col min="11023" max="11024" width="8.42578125" style="24"/>
    <col min="11025" max="11025" width="3.28515625" style="24" customWidth="1"/>
    <col min="11026" max="11264" width="8.42578125" style="24"/>
    <col min="11265" max="11265" width="10" style="24" bestFit="1" customWidth="1"/>
    <col min="11266" max="11266" width="44.28515625" style="24" bestFit="1" customWidth="1"/>
    <col min="11267" max="11267" width="10.42578125" style="24" bestFit="1" customWidth="1"/>
    <col min="11268" max="11268" width="10.42578125" style="24" customWidth="1"/>
    <col min="11269" max="11269" width="9.7109375" style="24" bestFit="1" customWidth="1"/>
    <col min="11270" max="11271" width="9.5703125" style="24" bestFit="1" customWidth="1"/>
    <col min="11272" max="11272" width="10.42578125" style="24" bestFit="1" customWidth="1"/>
    <col min="11273" max="11273" width="4.5703125" style="24" customWidth="1"/>
    <col min="11274" max="11274" width="1.85546875" style="24" customWidth="1"/>
    <col min="11275" max="11275" width="7" style="24" bestFit="1" customWidth="1"/>
    <col min="11276" max="11276" width="6.28515625" style="24" customWidth="1"/>
    <col min="11277" max="11277" width="20.42578125" style="24" customWidth="1"/>
    <col min="11278" max="11278" width="6.42578125" style="24" bestFit="1" customWidth="1"/>
    <col min="11279" max="11280" width="8.42578125" style="24"/>
    <col min="11281" max="11281" width="3.28515625" style="24" customWidth="1"/>
    <col min="11282" max="11520" width="8.42578125" style="24"/>
    <col min="11521" max="11521" width="10" style="24" bestFit="1" customWidth="1"/>
    <col min="11522" max="11522" width="44.28515625" style="24" bestFit="1" customWidth="1"/>
    <col min="11523" max="11523" width="10.42578125" style="24" bestFit="1" customWidth="1"/>
    <col min="11524" max="11524" width="10.42578125" style="24" customWidth="1"/>
    <col min="11525" max="11525" width="9.7109375" style="24" bestFit="1" customWidth="1"/>
    <col min="11526" max="11527" width="9.5703125" style="24" bestFit="1" customWidth="1"/>
    <col min="11528" max="11528" width="10.42578125" style="24" bestFit="1" customWidth="1"/>
    <col min="11529" max="11529" width="4.5703125" style="24" customWidth="1"/>
    <col min="11530" max="11530" width="1.85546875" style="24" customWidth="1"/>
    <col min="11531" max="11531" width="7" style="24" bestFit="1" customWidth="1"/>
    <col min="11532" max="11532" width="6.28515625" style="24" customWidth="1"/>
    <col min="11533" max="11533" width="20.42578125" style="24" customWidth="1"/>
    <col min="11534" max="11534" width="6.42578125" style="24" bestFit="1" customWidth="1"/>
    <col min="11535" max="11536" width="8.42578125" style="24"/>
    <col min="11537" max="11537" width="3.28515625" style="24" customWidth="1"/>
    <col min="11538" max="11776" width="8.42578125" style="24"/>
    <col min="11777" max="11777" width="10" style="24" bestFit="1" customWidth="1"/>
    <col min="11778" max="11778" width="44.28515625" style="24" bestFit="1" customWidth="1"/>
    <col min="11779" max="11779" width="10.42578125" style="24" bestFit="1" customWidth="1"/>
    <col min="11780" max="11780" width="10.42578125" style="24" customWidth="1"/>
    <col min="11781" max="11781" width="9.7109375" style="24" bestFit="1" customWidth="1"/>
    <col min="11782" max="11783" width="9.5703125" style="24" bestFit="1" customWidth="1"/>
    <col min="11784" max="11784" width="10.42578125" style="24" bestFit="1" customWidth="1"/>
    <col min="11785" max="11785" width="4.5703125" style="24" customWidth="1"/>
    <col min="11786" max="11786" width="1.85546875" style="24" customWidth="1"/>
    <col min="11787" max="11787" width="7" style="24" bestFit="1" customWidth="1"/>
    <col min="11788" max="11788" width="6.28515625" style="24" customWidth="1"/>
    <col min="11789" max="11789" width="20.42578125" style="24" customWidth="1"/>
    <col min="11790" max="11790" width="6.42578125" style="24" bestFit="1" customWidth="1"/>
    <col min="11791" max="11792" width="8.42578125" style="24"/>
    <col min="11793" max="11793" width="3.28515625" style="24" customWidth="1"/>
    <col min="11794" max="12032" width="8.42578125" style="24"/>
    <col min="12033" max="12033" width="10" style="24" bestFit="1" customWidth="1"/>
    <col min="12034" max="12034" width="44.28515625" style="24" bestFit="1" customWidth="1"/>
    <col min="12035" max="12035" width="10.42578125" style="24" bestFit="1" customWidth="1"/>
    <col min="12036" max="12036" width="10.42578125" style="24" customWidth="1"/>
    <col min="12037" max="12037" width="9.7109375" style="24" bestFit="1" customWidth="1"/>
    <col min="12038" max="12039" width="9.5703125" style="24" bestFit="1" customWidth="1"/>
    <col min="12040" max="12040" width="10.42578125" style="24" bestFit="1" customWidth="1"/>
    <col min="12041" max="12041" width="4.5703125" style="24" customWidth="1"/>
    <col min="12042" max="12042" width="1.85546875" style="24" customWidth="1"/>
    <col min="12043" max="12043" width="7" style="24" bestFit="1" customWidth="1"/>
    <col min="12044" max="12044" width="6.28515625" style="24" customWidth="1"/>
    <col min="12045" max="12045" width="20.42578125" style="24" customWidth="1"/>
    <col min="12046" max="12046" width="6.42578125" style="24" bestFit="1" customWidth="1"/>
    <col min="12047" max="12048" width="8.42578125" style="24"/>
    <col min="12049" max="12049" width="3.28515625" style="24" customWidth="1"/>
    <col min="12050" max="12288" width="8.42578125" style="24"/>
    <col min="12289" max="12289" width="10" style="24" bestFit="1" customWidth="1"/>
    <col min="12290" max="12290" width="44.28515625" style="24" bestFit="1" customWidth="1"/>
    <col min="12291" max="12291" width="10.42578125" style="24" bestFit="1" customWidth="1"/>
    <col min="12292" max="12292" width="10.42578125" style="24" customWidth="1"/>
    <col min="12293" max="12293" width="9.7109375" style="24" bestFit="1" customWidth="1"/>
    <col min="12294" max="12295" width="9.5703125" style="24" bestFit="1" customWidth="1"/>
    <col min="12296" max="12296" width="10.42578125" style="24" bestFit="1" customWidth="1"/>
    <col min="12297" max="12297" width="4.5703125" style="24" customWidth="1"/>
    <col min="12298" max="12298" width="1.85546875" style="24" customWidth="1"/>
    <col min="12299" max="12299" width="7" style="24" bestFit="1" customWidth="1"/>
    <col min="12300" max="12300" width="6.28515625" style="24" customWidth="1"/>
    <col min="12301" max="12301" width="20.42578125" style="24" customWidth="1"/>
    <col min="12302" max="12302" width="6.42578125" style="24" bestFit="1" customWidth="1"/>
    <col min="12303" max="12304" width="8.42578125" style="24"/>
    <col min="12305" max="12305" width="3.28515625" style="24" customWidth="1"/>
    <col min="12306" max="12544" width="8.42578125" style="24"/>
    <col min="12545" max="12545" width="10" style="24" bestFit="1" customWidth="1"/>
    <col min="12546" max="12546" width="44.28515625" style="24" bestFit="1" customWidth="1"/>
    <col min="12547" max="12547" width="10.42578125" style="24" bestFit="1" customWidth="1"/>
    <col min="12548" max="12548" width="10.42578125" style="24" customWidth="1"/>
    <col min="12549" max="12549" width="9.7109375" style="24" bestFit="1" customWidth="1"/>
    <col min="12550" max="12551" width="9.5703125" style="24" bestFit="1" customWidth="1"/>
    <col min="12552" max="12552" width="10.42578125" style="24" bestFit="1" customWidth="1"/>
    <col min="12553" max="12553" width="4.5703125" style="24" customWidth="1"/>
    <col min="12554" max="12554" width="1.85546875" style="24" customWidth="1"/>
    <col min="12555" max="12555" width="7" style="24" bestFit="1" customWidth="1"/>
    <col min="12556" max="12556" width="6.28515625" style="24" customWidth="1"/>
    <col min="12557" max="12557" width="20.42578125" style="24" customWidth="1"/>
    <col min="12558" max="12558" width="6.42578125" style="24" bestFit="1" customWidth="1"/>
    <col min="12559" max="12560" width="8.42578125" style="24"/>
    <col min="12561" max="12561" width="3.28515625" style="24" customWidth="1"/>
    <col min="12562" max="12800" width="8.42578125" style="24"/>
    <col min="12801" max="12801" width="10" style="24" bestFit="1" customWidth="1"/>
    <col min="12802" max="12802" width="44.28515625" style="24" bestFit="1" customWidth="1"/>
    <col min="12803" max="12803" width="10.42578125" style="24" bestFit="1" customWidth="1"/>
    <col min="12804" max="12804" width="10.42578125" style="24" customWidth="1"/>
    <col min="12805" max="12805" width="9.7109375" style="24" bestFit="1" customWidth="1"/>
    <col min="12806" max="12807" width="9.5703125" style="24" bestFit="1" customWidth="1"/>
    <col min="12808" max="12808" width="10.42578125" style="24" bestFit="1" customWidth="1"/>
    <col min="12809" max="12809" width="4.5703125" style="24" customWidth="1"/>
    <col min="12810" max="12810" width="1.85546875" style="24" customWidth="1"/>
    <col min="12811" max="12811" width="7" style="24" bestFit="1" customWidth="1"/>
    <col min="12812" max="12812" width="6.28515625" style="24" customWidth="1"/>
    <col min="12813" max="12813" width="20.42578125" style="24" customWidth="1"/>
    <col min="12814" max="12814" width="6.42578125" style="24" bestFit="1" customWidth="1"/>
    <col min="12815" max="12816" width="8.42578125" style="24"/>
    <col min="12817" max="12817" width="3.28515625" style="24" customWidth="1"/>
    <col min="12818" max="13056" width="8.42578125" style="24"/>
    <col min="13057" max="13057" width="10" style="24" bestFit="1" customWidth="1"/>
    <col min="13058" max="13058" width="44.28515625" style="24" bestFit="1" customWidth="1"/>
    <col min="13059" max="13059" width="10.42578125" style="24" bestFit="1" customWidth="1"/>
    <col min="13060" max="13060" width="10.42578125" style="24" customWidth="1"/>
    <col min="13061" max="13061" width="9.7109375" style="24" bestFit="1" customWidth="1"/>
    <col min="13062" max="13063" width="9.5703125" style="24" bestFit="1" customWidth="1"/>
    <col min="13064" max="13064" width="10.42578125" style="24" bestFit="1" customWidth="1"/>
    <col min="13065" max="13065" width="4.5703125" style="24" customWidth="1"/>
    <col min="13066" max="13066" width="1.85546875" style="24" customWidth="1"/>
    <col min="13067" max="13067" width="7" style="24" bestFit="1" customWidth="1"/>
    <col min="13068" max="13068" width="6.28515625" style="24" customWidth="1"/>
    <col min="13069" max="13069" width="20.42578125" style="24" customWidth="1"/>
    <col min="13070" max="13070" width="6.42578125" style="24" bestFit="1" customWidth="1"/>
    <col min="13071" max="13072" width="8.42578125" style="24"/>
    <col min="13073" max="13073" width="3.28515625" style="24" customWidth="1"/>
    <col min="13074" max="13312" width="8.42578125" style="24"/>
    <col min="13313" max="13313" width="10" style="24" bestFit="1" customWidth="1"/>
    <col min="13314" max="13314" width="44.28515625" style="24" bestFit="1" customWidth="1"/>
    <col min="13315" max="13315" width="10.42578125" style="24" bestFit="1" customWidth="1"/>
    <col min="13316" max="13316" width="10.42578125" style="24" customWidth="1"/>
    <col min="13317" max="13317" width="9.7109375" style="24" bestFit="1" customWidth="1"/>
    <col min="13318" max="13319" width="9.5703125" style="24" bestFit="1" customWidth="1"/>
    <col min="13320" max="13320" width="10.42578125" style="24" bestFit="1" customWidth="1"/>
    <col min="13321" max="13321" width="4.5703125" style="24" customWidth="1"/>
    <col min="13322" max="13322" width="1.85546875" style="24" customWidth="1"/>
    <col min="13323" max="13323" width="7" style="24" bestFit="1" customWidth="1"/>
    <col min="13324" max="13324" width="6.28515625" style="24" customWidth="1"/>
    <col min="13325" max="13325" width="20.42578125" style="24" customWidth="1"/>
    <col min="13326" max="13326" width="6.42578125" style="24" bestFit="1" customWidth="1"/>
    <col min="13327" max="13328" width="8.42578125" style="24"/>
    <col min="13329" max="13329" width="3.28515625" style="24" customWidth="1"/>
    <col min="13330" max="13568" width="8.42578125" style="24"/>
    <col min="13569" max="13569" width="10" style="24" bestFit="1" customWidth="1"/>
    <col min="13570" max="13570" width="44.28515625" style="24" bestFit="1" customWidth="1"/>
    <col min="13571" max="13571" width="10.42578125" style="24" bestFit="1" customWidth="1"/>
    <col min="13572" max="13572" width="10.42578125" style="24" customWidth="1"/>
    <col min="13573" max="13573" width="9.7109375" style="24" bestFit="1" customWidth="1"/>
    <col min="13574" max="13575" width="9.5703125" style="24" bestFit="1" customWidth="1"/>
    <col min="13576" max="13576" width="10.42578125" style="24" bestFit="1" customWidth="1"/>
    <col min="13577" max="13577" width="4.5703125" style="24" customWidth="1"/>
    <col min="13578" max="13578" width="1.85546875" style="24" customWidth="1"/>
    <col min="13579" max="13579" width="7" style="24" bestFit="1" customWidth="1"/>
    <col min="13580" max="13580" width="6.28515625" style="24" customWidth="1"/>
    <col min="13581" max="13581" width="20.42578125" style="24" customWidth="1"/>
    <col min="13582" max="13582" width="6.42578125" style="24" bestFit="1" customWidth="1"/>
    <col min="13583" max="13584" width="8.42578125" style="24"/>
    <col min="13585" max="13585" width="3.28515625" style="24" customWidth="1"/>
    <col min="13586" max="13824" width="8.42578125" style="24"/>
    <col min="13825" max="13825" width="10" style="24" bestFit="1" customWidth="1"/>
    <col min="13826" max="13826" width="44.28515625" style="24" bestFit="1" customWidth="1"/>
    <col min="13827" max="13827" width="10.42578125" style="24" bestFit="1" customWidth="1"/>
    <col min="13828" max="13828" width="10.42578125" style="24" customWidth="1"/>
    <col min="13829" max="13829" width="9.7109375" style="24" bestFit="1" customWidth="1"/>
    <col min="13830" max="13831" width="9.5703125" style="24" bestFit="1" customWidth="1"/>
    <col min="13832" max="13832" width="10.42578125" style="24" bestFit="1" customWidth="1"/>
    <col min="13833" max="13833" width="4.5703125" style="24" customWidth="1"/>
    <col min="13834" max="13834" width="1.85546875" style="24" customWidth="1"/>
    <col min="13835" max="13835" width="7" style="24" bestFit="1" customWidth="1"/>
    <col min="13836" max="13836" width="6.28515625" style="24" customWidth="1"/>
    <col min="13837" max="13837" width="20.42578125" style="24" customWidth="1"/>
    <col min="13838" max="13838" width="6.42578125" style="24" bestFit="1" customWidth="1"/>
    <col min="13839" max="13840" width="8.42578125" style="24"/>
    <col min="13841" max="13841" width="3.28515625" style="24" customWidth="1"/>
    <col min="13842" max="14080" width="8.42578125" style="24"/>
    <col min="14081" max="14081" width="10" style="24" bestFit="1" customWidth="1"/>
    <col min="14082" max="14082" width="44.28515625" style="24" bestFit="1" customWidth="1"/>
    <col min="14083" max="14083" width="10.42578125" style="24" bestFit="1" customWidth="1"/>
    <col min="14084" max="14084" width="10.42578125" style="24" customWidth="1"/>
    <col min="14085" max="14085" width="9.7109375" style="24" bestFit="1" customWidth="1"/>
    <col min="14086" max="14087" width="9.5703125" style="24" bestFit="1" customWidth="1"/>
    <col min="14088" max="14088" width="10.42578125" style="24" bestFit="1" customWidth="1"/>
    <col min="14089" max="14089" width="4.5703125" style="24" customWidth="1"/>
    <col min="14090" max="14090" width="1.85546875" style="24" customWidth="1"/>
    <col min="14091" max="14091" width="7" style="24" bestFit="1" customWidth="1"/>
    <col min="14092" max="14092" width="6.28515625" style="24" customWidth="1"/>
    <col min="14093" max="14093" width="20.42578125" style="24" customWidth="1"/>
    <col min="14094" max="14094" width="6.42578125" style="24" bestFit="1" customWidth="1"/>
    <col min="14095" max="14096" width="8.42578125" style="24"/>
    <col min="14097" max="14097" width="3.28515625" style="24" customWidth="1"/>
    <col min="14098" max="14336" width="8.42578125" style="24"/>
    <col min="14337" max="14337" width="10" style="24" bestFit="1" customWidth="1"/>
    <col min="14338" max="14338" width="44.28515625" style="24" bestFit="1" customWidth="1"/>
    <col min="14339" max="14339" width="10.42578125" style="24" bestFit="1" customWidth="1"/>
    <col min="14340" max="14340" width="10.42578125" style="24" customWidth="1"/>
    <col min="14341" max="14341" width="9.7109375" style="24" bestFit="1" customWidth="1"/>
    <col min="14342" max="14343" width="9.5703125" style="24" bestFit="1" customWidth="1"/>
    <col min="14344" max="14344" width="10.42578125" style="24" bestFit="1" customWidth="1"/>
    <col min="14345" max="14345" width="4.5703125" style="24" customWidth="1"/>
    <col min="14346" max="14346" width="1.85546875" style="24" customWidth="1"/>
    <col min="14347" max="14347" width="7" style="24" bestFit="1" customWidth="1"/>
    <col min="14348" max="14348" width="6.28515625" style="24" customWidth="1"/>
    <col min="14349" max="14349" width="20.42578125" style="24" customWidth="1"/>
    <col min="14350" max="14350" width="6.42578125" style="24" bestFit="1" customWidth="1"/>
    <col min="14351" max="14352" width="8.42578125" style="24"/>
    <col min="14353" max="14353" width="3.28515625" style="24" customWidth="1"/>
    <col min="14354" max="14592" width="8.42578125" style="24"/>
    <col min="14593" max="14593" width="10" style="24" bestFit="1" customWidth="1"/>
    <col min="14594" max="14594" width="44.28515625" style="24" bestFit="1" customWidth="1"/>
    <col min="14595" max="14595" width="10.42578125" style="24" bestFit="1" customWidth="1"/>
    <col min="14596" max="14596" width="10.42578125" style="24" customWidth="1"/>
    <col min="14597" max="14597" width="9.7109375" style="24" bestFit="1" customWidth="1"/>
    <col min="14598" max="14599" width="9.5703125" style="24" bestFit="1" customWidth="1"/>
    <col min="14600" max="14600" width="10.42578125" style="24" bestFit="1" customWidth="1"/>
    <col min="14601" max="14601" width="4.5703125" style="24" customWidth="1"/>
    <col min="14602" max="14602" width="1.85546875" style="24" customWidth="1"/>
    <col min="14603" max="14603" width="7" style="24" bestFit="1" customWidth="1"/>
    <col min="14604" max="14604" width="6.28515625" style="24" customWidth="1"/>
    <col min="14605" max="14605" width="20.42578125" style="24" customWidth="1"/>
    <col min="14606" max="14606" width="6.42578125" style="24" bestFit="1" customWidth="1"/>
    <col min="14607" max="14608" width="8.42578125" style="24"/>
    <col min="14609" max="14609" width="3.28515625" style="24" customWidth="1"/>
    <col min="14610" max="14848" width="8.42578125" style="24"/>
    <col min="14849" max="14849" width="10" style="24" bestFit="1" customWidth="1"/>
    <col min="14850" max="14850" width="44.28515625" style="24" bestFit="1" customWidth="1"/>
    <col min="14851" max="14851" width="10.42578125" style="24" bestFit="1" customWidth="1"/>
    <col min="14852" max="14852" width="10.42578125" style="24" customWidth="1"/>
    <col min="14853" max="14853" width="9.7109375" style="24" bestFit="1" customWidth="1"/>
    <col min="14854" max="14855" width="9.5703125" style="24" bestFit="1" customWidth="1"/>
    <col min="14856" max="14856" width="10.42578125" style="24" bestFit="1" customWidth="1"/>
    <col min="14857" max="14857" width="4.5703125" style="24" customWidth="1"/>
    <col min="14858" max="14858" width="1.85546875" style="24" customWidth="1"/>
    <col min="14859" max="14859" width="7" style="24" bestFit="1" customWidth="1"/>
    <col min="14860" max="14860" width="6.28515625" style="24" customWidth="1"/>
    <col min="14861" max="14861" width="20.42578125" style="24" customWidth="1"/>
    <col min="14862" max="14862" width="6.42578125" style="24" bestFit="1" customWidth="1"/>
    <col min="14863" max="14864" width="8.42578125" style="24"/>
    <col min="14865" max="14865" width="3.28515625" style="24" customWidth="1"/>
    <col min="14866" max="15104" width="8.42578125" style="24"/>
    <col min="15105" max="15105" width="10" style="24" bestFit="1" customWidth="1"/>
    <col min="15106" max="15106" width="44.28515625" style="24" bestFit="1" customWidth="1"/>
    <col min="15107" max="15107" width="10.42578125" style="24" bestFit="1" customWidth="1"/>
    <col min="15108" max="15108" width="10.42578125" style="24" customWidth="1"/>
    <col min="15109" max="15109" width="9.7109375" style="24" bestFit="1" customWidth="1"/>
    <col min="15110" max="15111" width="9.5703125" style="24" bestFit="1" customWidth="1"/>
    <col min="15112" max="15112" width="10.42578125" style="24" bestFit="1" customWidth="1"/>
    <col min="15113" max="15113" width="4.5703125" style="24" customWidth="1"/>
    <col min="15114" max="15114" width="1.85546875" style="24" customWidth="1"/>
    <col min="15115" max="15115" width="7" style="24" bestFit="1" customWidth="1"/>
    <col min="15116" max="15116" width="6.28515625" style="24" customWidth="1"/>
    <col min="15117" max="15117" width="20.42578125" style="24" customWidth="1"/>
    <col min="15118" max="15118" width="6.42578125" style="24" bestFit="1" customWidth="1"/>
    <col min="15119" max="15120" width="8.42578125" style="24"/>
    <col min="15121" max="15121" width="3.28515625" style="24" customWidth="1"/>
    <col min="15122" max="15360" width="8.42578125" style="24"/>
    <col min="15361" max="15361" width="10" style="24" bestFit="1" customWidth="1"/>
    <col min="15362" max="15362" width="44.28515625" style="24" bestFit="1" customWidth="1"/>
    <col min="15363" max="15363" width="10.42578125" style="24" bestFit="1" customWidth="1"/>
    <col min="15364" max="15364" width="10.42578125" style="24" customWidth="1"/>
    <col min="15365" max="15365" width="9.7109375" style="24" bestFit="1" customWidth="1"/>
    <col min="15366" max="15367" width="9.5703125" style="24" bestFit="1" customWidth="1"/>
    <col min="15368" max="15368" width="10.42578125" style="24" bestFit="1" customWidth="1"/>
    <col min="15369" max="15369" width="4.5703125" style="24" customWidth="1"/>
    <col min="15370" max="15370" width="1.85546875" style="24" customWidth="1"/>
    <col min="15371" max="15371" width="7" style="24" bestFit="1" customWidth="1"/>
    <col min="15372" max="15372" width="6.28515625" style="24" customWidth="1"/>
    <col min="15373" max="15373" width="20.42578125" style="24" customWidth="1"/>
    <col min="15374" max="15374" width="6.42578125" style="24" bestFit="1" customWidth="1"/>
    <col min="15375" max="15376" width="8.42578125" style="24"/>
    <col min="15377" max="15377" width="3.28515625" style="24" customWidth="1"/>
    <col min="15378" max="15616" width="8.42578125" style="24"/>
    <col min="15617" max="15617" width="10" style="24" bestFit="1" customWidth="1"/>
    <col min="15618" max="15618" width="44.28515625" style="24" bestFit="1" customWidth="1"/>
    <col min="15619" max="15619" width="10.42578125" style="24" bestFit="1" customWidth="1"/>
    <col min="15620" max="15620" width="10.42578125" style="24" customWidth="1"/>
    <col min="15621" max="15621" width="9.7109375" style="24" bestFit="1" customWidth="1"/>
    <col min="15622" max="15623" width="9.5703125" style="24" bestFit="1" customWidth="1"/>
    <col min="15624" max="15624" width="10.42578125" style="24" bestFit="1" customWidth="1"/>
    <col min="15625" max="15625" width="4.5703125" style="24" customWidth="1"/>
    <col min="15626" max="15626" width="1.85546875" style="24" customWidth="1"/>
    <col min="15627" max="15627" width="7" style="24" bestFit="1" customWidth="1"/>
    <col min="15628" max="15628" width="6.28515625" style="24" customWidth="1"/>
    <col min="15629" max="15629" width="20.42578125" style="24" customWidth="1"/>
    <col min="15630" max="15630" width="6.42578125" style="24" bestFit="1" customWidth="1"/>
    <col min="15631" max="15632" width="8.42578125" style="24"/>
    <col min="15633" max="15633" width="3.28515625" style="24" customWidth="1"/>
    <col min="15634" max="15872" width="8.42578125" style="24"/>
    <col min="15873" max="15873" width="10" style="24" bestFit="1" customWidth="1"/>
    <col min="15874" max="15874" width="44.28515625" style="24" bestFit="1" customWidth="1"/>
    <col min="15875" max="15875" width="10.42578125" style="24" bestFit="1" customWidth="1"/>
    <col min="15876" max="15876" width="10.42578125" style="24" customWidth="1"/>
    <col min="15877" max="15877" width="9.7109375" style="24" bestFit="1" customWidth="1"/>
    <col min="15878" max="15879" width="9.5703125" style="24" bestFit="1" customWidth="1"/>
    <col min="15880" max="15880" width="10.42578125" style="24" bestFit="1" customWidth="1"/>
    <col min="15881" max="15881" width="4.5703125" style="24" customWidth="1"/>
    <col min="15882" max="15882" width="1.85546875" style="24" customWidth="1"/>
    <col min="15883" max="15883" width="7" style="24" bestFit="1" customWidth="1"/>
    <col min="15884" max="15884" width="6.28515625" style="24" customWidth="1"/>
    <col min="15885" max="15885" width="20.42578125" style="24" customWidth="1"/>
    <col min="15886" max="15886" width="6.42578125" style="24" bestFit="1" customWidth="1"/>
    <col min="15887" max="15888" width="8.42578125" style="24"/>
    <col min="15889" max="15889" width="3.28515625" style="24" customWidth="1"/>
    <col min="15890" max="16128" width="8.42578125" style="24"/>
    <col min="16129" max="16129" width="10" style="24" bestFit="1" customWidth="1"/>
    <col min="16130" max="16130" width="44.28515625" style="24" bestFit="1" customWidth="1"/>
    <col min="16131" max="16131" width="10.42578125" style="24" bestFit="1" customWidth="1"/>
    <col min="16132" max="16132" width="10.42578125" style="24" customWidth="1"/>
    <col min="16133" max="16133" width="9.7109375" style="24" bestFit="1" customWidth="1"/>
    <col min="16134" max="16135" width="9.5703125" style="24" bestFit="1" customWidth="1"/>
    <col min="16136" max="16136" width="10.42578125" style="24" bestFit="1" customWidth="1"/>
    <col min="16137" max="16137" width="4.5703125" style="24" customWidth="1"/>
    <col min="16138" max="16138" width="1.85546875" style="24" customWidth="1"/>
    <col min="16139" max="16139" width="7" style="24" bestFit="1" customWidth="1"/>
    <col min="16140" max="16140" width="6.28515625" style="24" customWidth="1"/>
    <col min="16141" max="16141" width="20.42578125" style="24" customWidth="1"/>
    <col min="16142" max="16142" width="6.42578125" style="24" bestFit="1" customWidth="1"/>
    <col min="16143" max="16144" width="8.42578125" style="24"/>
    <col min="16145" max="16145" width="3.28515625" style="24" customWidth="1"/>
    <col min="16146" max="16384" width="8.42578125" style="24"/>
  </cols>
  <sheetData>
    <row r="1" spans="1:10" ht="27.75" customHeight="1" x14ac:dyDescent="0.25">
      <c r="A1" s="19"/>
      <c r="B1" s="19"/>
      <c r="C1" s="19"/>
      <c r="D1" s="19"/>
      <c r="E1" s="20" t="s">
        <v>47</v>
      </c>
      <c r="F1" s="21" t="s">
        <v>48</v>
      </c>
      <c r="G1" s="21" t="s">
        <v>49</v>
      </c>
      <c r="H1" s="21" t="s">
        <v>50</v>
      </c>
      <c r="I1" s="22"/>
    </row>
    <row r="2" spans="1:10" ht="30.75" customHeight="1" x14ac:dyDescent="0.25">
      <c r="A2" s="19"/>
      <c r="B2" s="19"/>
      <c r="C2" s="19"/>
      <c r="D2" s="19"/>
      <c r="E2" s="25">
        <f>IFERROR(O62,"")</f>
        <v>36235.617034110197</v>
      </c>
      <c r="F2" s="25">
        <f>IFERROR(H53,"")</f>
        <v>27130.96288830975</v>
      </c>
      <c r="G2" s="25">
        <f>IFERROR(H54,"")</f>
        <v>113.86194936708861</v>
      </c>
      <c r="H2" s="25">
        <f>IFERROR(H56,"")</f>
        <v>5090.1822260759491</v>
      </c>
      <c r="I2" s="26"/>
    </row>
    <row r="3" spans="1:10" ht="15" customHeight="1" x14ac:dyDescent="0.25">
      <c r="A3" s="19"/>
      <c r="B3" s="19"/>
      <c r="C3" s="19"/>
      <c r="D3" s="19"/>
      <c r="E3" s="19"/>
      <c r="F3" s="27"/>
      <c r="G3" s="27"/>
      <c r="H3" s="27"/>
      <c r="I3" s="27"/>
    </row>
    <row r="4" spans="1:10" ht="24.75" customHeight="1" thickBot="1" x14ac:dyDescent="0.3">
      <c r="A4" s="221"/>
      <c r="B4" s="221"/>
      <c r="C4" s="221"/>
      <c r="D4" s="221"/>
      <c r="E4" s="221"/>
      <c r="F4" s="221"/>
      <c r="G4" s="221"/>
      <c r="H4" s="221"/>
      <c r="I4" s="28"/>
    </row>
    <row r="5" spans="1:10" ht="19.5" customHeight="1" thickBot="1" x14ac:dyDescent="0.3">
      <c r="A5" s="222" t="s">
        <v>51</v>
      </c>
      <c r="B5" s="223"/>
      <c r="C5" s="223"/>
      <c r="D5" s="223"/>
      <c r="E5" s="223"/>
      <c r="F5" s="223"/>
      <c r="G5" s="223"/>
      <c r="H5" s="224"/>
      <c r="I5" s="29"/>
    </row>
    <row r="6" spans="1:10" ht="19.5" thickBot="1" x14ac:dyDescent="0.3">
      <c r="A6" s="29"/>
      <c r="B6" s="29"/>
      <c r="C6" s="29"/>
      <c r="D6" s="29"/>
      <c r="E6" s="29"/>
      <c r="F6" s="225" t="s">
        <v>52</v>
      </c>
      <c r="G6" s="225"/>
      <c r="H6" s="30">
        <f ca="1">TODAY()</f>
        <v>46104</v>
      </c>
      <c r="I6" s="30"/>
    </row>
    <row r="7" spans="1:10" ht="26.25" thickBot="1" x14ac:dyDescent="0.3">
      <c r="A7" s="31" t="s">
        <v>53</v>
      </c>
      <c r="B7" s="32" t="s">
        <v>54</v>
      </c>
      <c r="C7" s="32" t="s">
        <v>53</v>
      </c>
      <c r="D7" s="33" t="s">
        <v>55</v>
      </c>
      <c r="E7" s="33" t="s">
        <v>56</v>
      </c>
      <c r="F7" s="33" t="s">
        <v>57</v>
      </c>
      <c r="G7" s="33" t="s">
        <v>58</v>
      </c>
      <c r="H7" s="34" t="s">
        <v>59</v>
      </c>
      <c r="I7" s="35"/>
    </row>
    <row r="8" spans="1:10" ht="13.5" x14ac:dyDescent="0.25">
      <c r="A8" s="36">
        <v>140</v>
      </c>
      <c r="B8" s="24" t="str">
        <f>IFERROR(VLOOKUP(H8,'[1]Consolidado MP Planta'!$A$2:$M$823,3,0),"")</f>
        <v>ACEITE CAPULLO RBD (UND:17  L)</v>
      </c>
      <c r="C8" s="37">
        <f>+A8</f>
        <v>140</v>
      </c>
      <c r="D8" s="38" t="str">
        <f>IFERROR(VLOOKUP(H8,'[1]Consolidado MP Planta'!$A$2:$M$823,13,0),"")</f>
        <v>Mililitros</v>
      </c>
      <c r="E8" s="38">
        <f>IFERROR(VLOOKUP(H8,'[1]Consolidado MP Planta'!$A$2:$M$823,12,0),"")</f>
        <v>1.2561176470588236</v>
      </c>
      <c r="F8" s="38">
        <f>IFERROR(C8*E8,"")</f>
        <v>175.85647058823531</v>
      </c>
      <c r="G8" s="39">
        <f t="shared" ref="G8:G14" si="0">IFERROR(F8/$F$66,"")</f>
        <v>6.2666127722207938E-3</v>
      </c>
      <c r="H8" s="40" t="s">
        <v>37</v>
      </c>
      <c r="I8" s="40"/>
      <c r="J8" s="41"/>
    </row>
    <row r="9" spans="1:10" ht="13.5" x14ac:dyDescent="0.25">
      <c r="A9" s="36">
        <v>85</v>
      </c>
      <c r="B9" s="24" t="str">
        <f>IFERROR(VLOOKUP(H9,'[1]Consolidado MP Planta'!$A$2:$M$823,3,0),"")</f>
        <v>ACHIOTE (UND:850g)</v>
      </c>
      <c r="C9" s="37">
        <f t="shared" ref="C9:C14" si="1">+A9</f>
        <v>85</v>
      </c>
      <c r="D9" s="38" t="str">
        <f>IFERROR(VLOOKUP(H9,'[1]Consolidado MP Planta'!$A$2:$M$823,13,0),"")</f>
        <v>Gramos</v>
      </c>
      <c r="E9" s="38">
        <f>IFERROR(VLOOKUP(H9,'[1]Consolidado MP Planta'!$A$2:$M$823,12,0),"")</f>
        <v>3.6905882352941175</v>
      </c>
      <c r="F9" s="38">
        <f t="shared" ref="F9:F14" si="2">IFERROR(C9*E9,"")</f>
        <v>313.7</v>
      </c>
      <c r="G9" s="39">
        <f t="shared" si="0"/>
        <v>1.1178641423144633E-2</v>
      </c>
      <c r="H9" s="40" t="s">
        <v>39</v>
      </c>
      <c r="I9" s="40"/>
      <c r="J9" s="41"/>
    </row>
    <row r="10" spans="1:10" ht="13.5" hidden="1" x14ac:dyDescent="0.25">
      <c r="A10" s="36"/>
      <c r="B10" s="24" t="str">
        <f>IFERROR(VLOOKUP(H10,'[1]Consolidado MP Planta'!$A$2:$M$823,3,0),"")</f>
        <v/>
      </c>
      <c r="C10" s="37">
        <f t="shared" si="1"/>
        <v>0</v>
      </c>
      <c r="D10" s="38" t="str">
        <f>IFERROR(VLOOKUP(H10,'[1]Consolidado MP Planta'!$A$2:$M$823,13,0),"")</f>
        <v/>
      </c>
      <c r="E10" s="38" t="str">
        <f>IFERROR(VLOOKUP(H10,'[1]Consolidado MP Planta'!$A$2:$M$823,12,0),"")</f>
        <v/>
      </c>
      <c r="F10" s="38" t="str">
        <f t="shared" si="2"/>
        <v/>
      </c>
      <c r="G10" s="39" t="str">
        <f t="shared" si="0"/>
        <v/>
      </c>
      <c r="H10" s="40"/>
      <c r="I10" s="40"/>
      <c r="J10" s="41"/>
    </row>
    <row r="11" spans="1:10" ht="13.5" hidden="1" x14ac:dyDescent="0.25">
      <c r="A11" s="36"/>
      <c r="B11" s="24" t="str">
        <f>IFERROR(VLOOKUP(H11,'[1]Consolidado MP Planta'!$A$2:$M$823,3,0),"")</f>
        <v/>
      </c>
      <c r="C11" s="37">
        <f t="shared" si="1"/>
        <v>0</v>
      </c>
      <c r="D11" s="38" t="str">
        <f>IFERROR(VLOOKUP(H11,'[1]Consolidado MP Planta'!$A$2:$M$823,13,0),"")</f>
        <v/>
      </c>
      <c r="E11" s="38" t="str">
        <f>IFERROR(VLOOKUP(H11,'[1]Consolidado MP Planta'!$A$2:$M$823,12,0),"")</f>
        <v/>
      </c>
      <c r="F11" s="38" t="str">
        <f t="shared" si="2"/>
        <v/>
      </c>
      <c r="G11" s="39" t="str">
        <f t="shared" si="0"/>
        <v/>
      </c>
      <c r="H11" s="40"/>
      <c r="I11" s="40"/>
      <c r="J11" s="41"/>
    </row>
    <row r="12" spans="1:10" ht="13.5" hidden="1" x14ac:dyDescent="0.25">
      <c r="A12" s="36"/>
      <c r="B12" s="24" t="str">
        <f>IFERROR(VLOOKUP(H12,'[1]Consolidado MP Planta'!$A$2:$M$823,3,0),"")</f>
        <v/>
      </c>
      <c r="C12" s="37">
        <f t="shared" si="1"/>
        <v>0</v>
      </c>
      <c r="D12" s="38" t="str">
        <f>IFERROR(VLOOKUP(H12,'[1]Consolidado MP Planta'!$A$2:$M$823,13,0),"")</f>
        <v/>
      </c>
      <c r="E12" s="38" t="str">
        <f>IFERROR(VLOOKUP(H12,'[1]Consolidado MP Planta'!$A$2:$M$823,12,0),"")</f>
        <v/>
      </c>
      <c r="F12" s="38" t="str">
        <f t="shared" si="2"/>
        <v/>
      </c>
      <c r="G12" s="39" t="str">
        <f t="shared" si="0"/>
        <v/>
      </c>
      <c r="H12" s="40"/>
      <c r="I12" s="40"/>
      <c r="J12" s="41"/>
    </row>
    <row r="13" spans="1:10" ht="13.5" hidden="1" x14ac:dyDescent="0.25">
      <c r="A13" s="36"/>
      <c r="B13" s="24" t="str">
        <f>IFERROR(VLOOKUP(H13,'[1]Consolidado MP Planta'!$A$2:$M$823,3,0),"")</f>
        <v/>
      </c>
      <c r="C13" s="37">
        <f t="shared" si="1"/>
        <v>0</v>
      </c>
      <c r="D13" s="38" t="str">
        <f>IFERROR(VLOOKUP(H13,'[1]Consolidado MP Planta'!$A$2:$M$823,13,0),"")</f>
        <v/>
      </c>
      <c r="E13" s="38" t="str">
        <f>IFERROR(VLOOKUP(H13,'[1]Consolidado MP Planta'!$A$2:$M$823,12,0),"")</f>
        <v/>
      </c>
      <c r="F13" s="38" t="str">
        <f t="shared" si="2"/>
        <v/>
      </c>
      <c r="G13" s="39" t="str">
        <f t="shared" si="0"/>
        <v/>
      </c>
      <c r="H13" s="40"/>
      <c r="I13" s="40"/>
      <c r="J13" s="41"/>
    </row>
    <row r="14" spans="1:10" ht="13.5" hidden="1" x14ac:dyDescent="0.25">
      <c r="A14" s="36"/>
      <c r="B14" s="24" t="str">
        <f>IFERROR(VLOOKUP(H14,'[1]Consolidado MP Planta'!$A$2:$M$823,3,0),"")</f>
        <v/>
      </c>
      <c r="C14" s="37">
        <f t="shared" si="1"/>
        <v>0</v>
      </c>
      <c r="D14" s="38" t="str">
        <f>IFERROR(VLOOKUP(H14,'[1]Consolidado MP Planta'!$A$2:$M$823,13,0),"")</f>
        <v/>
      </c>
      <c r="E14" s="38" t="str">
        <f>IFERROR(VLOOKUP(H14,'[1]Consolidado MP Planta'!$A$2:$M$823,12,0),"")</f>
        <v/>
      </c>
      <c r="F14" s="38" t="str">
        <f t="shared" si="2"/>
        <v/>
      </c>
      <c r="G14" s="39" t="str">
        <f t="shared" si="0"/>
        <v/>
      </c>
      <c r="H14" s="40"/>
      <c r="I14" s="40"/>
      <c r="J14" s="41"/>
    </row>
    <row r="15" spans="1:10" ht="14.25" thickBot="1" x14ac:dyDescent="0.3">
      <c r="A15" s="36"/>
      <c r="B15" s="24" t="str">
        <f>IFERROR(VLOOKUP(H15,'[2]Consolidado MP Planta'!$A$2:$G$589,2,0),"")</f>
        <v/>
      </c>
      <c r="C15" s="37"/>
      <c r="D15" s="38"/>
      <c r="E15" s="38"/>
      <c r="F15" s="38"/>
      <c r="G15" s="39"/>
      <c r="H15" s="40"/>
      <c r="I15" s="40"/>
      <c r="J15" s="41"/>
    </row>
    <row r="16" spans="1:10" ht="26.25" thickBot="1" x14ac:dyDescent="0.3">
      <c r="A16" s="31" t="s">
        <v>53</v>
      </c>
      <c r="B16" s="32" t="s">
        <v>60</v>
      </c>
      <c r="C16" s="32" t="s">
        <v>53</v>
      </c>
      <c r="D16" s="33" t="s">
        <v>55</v>
      </c>
      <c r="E16" s="33" t="s">
        <v>56</v>
      </c>
      <c r="F16" s="33" t="s">
        <v>57</v>
      </c>
      <c r="G16" s="33" t="s">
        <v>58</v>
      </c>
      <c r="H16" s="34" t="s">
        <v>59</v>
      </c>
      <c r="I16" s="35"/>
      <c r="J16" s="41"/>
    </row>
    <row r="17" spans="1:12" ht="13.5" x14ac:dyDescent="0.25">
      <c r="A17" s="36">
        <v>6600</v>
      </c>
      <c r="B17" s="24" t="str">
        <f>IFERROR(VLOOKUP(H17,[1]SEMIELABORADOS!$A$2:$M$6000,2,0),"")</f>
        <v>POLLO RECORTE COCCION KILO</v>
      </c>
      <c r="C17" s="37">
        <f>+A17</f>
        <v>6600</v>
      </c>
      <c r="D17" s="37" t="str">
        <f>IFERROR(VLOOKUP(H17,[1]SEMIELABORADOS!$A$2:$M$6000,6,0),"")</f>
        <v>Gramo</v>
      </c>
      <c r="E17" s="38">
        <f>IFERROR(VLOOKUP(H17,[1]SEMIELABORADOS!$A$2:$H$65536,8,0),"")</f>
        <v>4.0365767299578055</v>
      </c>
      <c r="F17" s="38">
        <f>IFERROR(E17*C17,"")</f>
        <v>26641.406417721515</v>
      </c>
      <c r="G17" s="39">
        <f t="shared" ref="G17:G24" si="3">IFERROR(F17/$F$66,"")</f>
        <v>0.94936158543823079</v>
      </c>
      <c r="H17" s="40" t="s">
        <v>95</v>
      </c>
      <c r="I17" s="40"/>
      <c r="J17" s="41"/>
    </row>
    <row r="18" spans="1:12" ht="13.5" hidden="1" x14ac:dyDescent="0.25">
      <c r="A18" s="36"/>
      <c r="B18" s="24" t="str">
        <f>IFERROR(VLOOKUP(H18,[1]SEMIELABORADOS!$A$2:$M$6000,2,0),"")</f>
        <v/>
      </c>
      <c r="C18" s="37">
        <f t="shared" ref="C18:C24" si="4">+A18</f>
        <v>0</v>
      </c>
      <c r="D18" s="37" t="str">
        <f>IFERROR(VLOOKUP(H18,[1]SEMIELABORADOS!$A$2:$M$6000,6,0),"")</f>
        <v/>
      </c>
      <c r="E18" s="38" t="str">
        <f>IFERROR(VLOOKUP(H18,[1]SEMIELABORADOS!$A$2:$H$65536,8,0),"")</f>
        <v/>
      </c>
      <c r="F18" s="38" t="str">
        <f t="shared" ref="F18:F24" si="5">IFERROR(E18*C18,"")</f>
        <v/>
      </c>
      <c r="G18" s="39" t="str">
        <f t="shared" si="3"/>
        <v/>
      </c>
      <c r="H18" s="40"/>
      <c r="I18" s="40"/>
      <c r="J18" s="41"/>
    </row>
    <row r="19" spans="1:12" ht="13.5" hidden="1" x14ac:dyDescent="0.25">
      <c r="A19" s="36"/>
      <c r="B19" s="24" t="str">
        <f>IFERROR(VLOOKUP(H19,[1]SEMIELABORADOS!$A$2:$M$6000,2,0),"")</f>
        <v/>
      </c>
      <c r="C19" s="37">
        <f>+A19</f>
        <v>0</v>
      </c>
      <c r="D19" s="37" t="str">
        <f>IFERROR(VLOOKUP(H19,[1]SEMIELABORADOS!$A$2:$M$6000,6,0),"")</f>
        <v/>
      </c>
      <c r="E19" s="38" t="str">
        <f>IFERROR(VLOOKUP(H19,[1]SEMIELABORADOS!$A$2:$H$65536,8,0),"")</f>
        <v/>
      </c>
      <c r="F19" s="38" t="str">
        <f>IFERROR(E19*C19,"")</f>
        <v/>
      </c>
      <c r="G19" s="39" t="str">
        <f t="shared" si="3"/>
        <v/>
      </c>
      <c r="H19" s="40"/>
      <c r="I19" s="40"/>
      <c r="J19" s="41"/>
    </row>
    <row r="20" spans="1:12" ht="13.5" hidden="1" x14ac:dyDescent="0.25">
      <c r="A20" s="36"/>
      <c r="B20" s="24" t="str">
        <f>IFERROR(VLOOKUP(H20,[1]SEMIELABORADOS!$A$2:$M$6000,2,0),"")</f>
        <v/>
      </c>
      <c r="C20" s="37">
        <f>+A20</f>
        <v>0</v>
      </c>
      <c r="D20" s="37" t="str">
        <f>IFERROR(VLOOKUP(H20,[1]SEMIELABORADOS!$A$2:$M$6000,6,0),"")</f>
        <v/>
      </c>
      <c r="E20" s="38" t="str">
        <f>IFERROR(VLOOKUP(H20,[1]SEMIELABORADOS!$A$2:$H$65536,8,0),"")</f>
        <v/>
      </c>
      <c r="F20" s="38" t="str">
        <f>IFERROR(E20*C20,"")</f>
        <v/>
      </c>
      <c r="G20" s="39" t="str">
        <f t="shared" si="3"/>
        <v/>
      </c>
      <c r="H20" s="40"/>
      <c r="I20" s="40"/>
      <c r="J20" s="41"/>
    </row>
    <row r="21" spans="1:12" ht="13.5" hidden="1" x14ac:dyDescent="0.25">
      <c r="A21" s="36"/>
      <c r="B21" s="24" t="str">
        <f>IFERROR(VLOOKUP(H21,[1]SEMIELABORADOS!$A$2:$M$6000,2,0),"")</f>
        <v/>
      </c>
      <c r="C21" s="37">
        <f>+A21</f>
        <v>0</v>
      </c>
      <c r="D21" s="37" t="str">
        <f>IFERROR(VLOOKUP(H21,[1]SEMIELABORADOS!$A$2:$M$6000,6,0),"")</f>
        <v/>
      </c>
      <c r="E21" s="38" t="str">
        <f>IFERROR(VLOOKUP(H21,[1]SEMIELABORADOS!$A$2:$H$65536,8,0),"")</f>
        <v/>
      </c>
      <c r="F21" s="38" t="str">
        <f>IFERROR(E21*C21,"")</f>
        <v/>
      </c>
      <c r="G21" s="39" t="str">
        <f t="shared" si="3"/>
        <v/>
      </c>
      <c r="H21" s="40"/>
      <c r="I21" s="40"/>
      <c r="J21" s="41"/>
    </row>
    <row r="22" spans="1:12" ht="13.5" hidden="1" x14ac:dyDescent="0.25">
      <c r="A22" s="36"/>
      <c r="B22" s="24" t="str">
        <f>IFERROR(VLOOKUP(H22,[1]SEMIELABORADOS!$A$2:$M$6000,2,0),"")</f>
        <v/>
      </c>
      <c r="C22" s="37">
        <f t="shared" si="4"/>
        <v>0</v>
      </c>
      <c r="D22" s="37" t="str">
        <f>IFERROR(VLOOKUP(H22,[1]SEMIELABORADOS!$A$2:$M$6000,6,0),"")</f>
        <v/>
      </c>
      <c r="E22" s="38" t="str">
        <f>IFERROR(VLOOKUP(H22,[1]SEMIELABORADOS!$A$2:$H$65536,8,0),"")</f>
        <v/>
      </c>
      <c r="F22" s="38" t="str">
        <f t="shared" si="5"/>
        <v/>
      </c>
      <c r="G22" s="39" t="str">
        <f t="shared" si="3"/>
        <v/>
      </c>
      <c r="H22" s="40"/>
      <c r="I22" s="40"/>
      <c r="J22" s="41"/>
    </row>
    <row r="23" spans="1:12" ht="13.5" hidden="1" x14ac:dyDescent="0.25">
      <c r="A23" s="36"/>
      <c r="B23" s="24" t="str">
        <f>IFERROR(VLOOKUP(H23,[1]SEMIELABORADOS!$A$2:$M$6000,2,0),"")</f>
        <v/>
      </c>
      <c r="C23" s="37">
        <f t="shared" si="4"/>
        <v>0</v>
      </c>
      <c r="D23" s="37" t="str">
        <f>IFERROR(VLOOKUP(H23,[1]SEMIELABORADOS!$A$2:$M$6000,6,0),"")</f>
        <v/>
      </c>
      <c r="E23" s="38" t="str">
        <f>IFERROR(VLOOKUP(H23,[1]SEMIELABORADOS!$A$2:$H$65536,8,0),"")</f>
        <v/>
      </c>
      <c r="F23" s="38" t="str">
        <f t="shared" si="5"/>
        <v/>
      </c>
      <c r="G23" s="39" t="str">
        <f t="shared" si="3"/>
        <v/>
      </c>
      <c r="H23" s="40"/>
      <c r="I23" s="40"/>
      <c r="J23" s="41"/>
    </row>
    <row r="24" spans="1:12" ht="13.5" hidden="1" x14ac:dyDescent="0.25">
      <c r="A24" s="36"/>
      <c r="B24" s="24" t="str">
        <f>IFERROR(VLOOKUP(H24,[1]SEMIELABORADOS!$A$2:$M$6000,2,0),"")</f>
        <v/>
      </c>
      <c r="C24" s="37">
        <f t="shared" si="4"/>
        <v>0</v>
      </c>
      <c r="D24" s="37" t="str">
        <f>IFERROR(VLOOKUP(H24,[1]SEMIELABORADOS!$A$2:$M$6000,6,0),"")</f>
        <v/>
      </c>
      <c r="E24" s="38" t="str">
        <f>IFERROR(VLOOKUP(H24,[1]SEMIELABORADOS!$A$2:$H$65536,8,0),"")</f>
        <v/>
      </c>
      <c r="F24" s="38" t="str">
        <f t="shared" si="5"/>
        <v/>
      </c>
      <c r="G24" s="39" t="str">
        <f t="shared" si="3"/>
        <v/>
      </c>
      <c r="H24" s="40"/>
      <c r="I24" s="40"/>
      <c r="J24" s="41"/>
    </row>
    <row r="25" spans="1:12" ht="14.25" thickBot="1" x14ac:dyDescent="0.3">
      <c r="A25" s="36"/>
      <c r="C25" s="37"/>
      <c r="D25" s="37"/>
      <c r="E25" s="38"/>
      <c r="F25" s="38"/>
      <c r="G25" s="39"/>
      <c r="H25" s="40"/>
      <c r="I25" s="40"/>
      <c r="J25" s="41"/>
    </row>
    <row r="26" spans="1:12" ht="26.25" thickBot="1" x14ac:dyDescent="0.3">
      <c r="A26" s="31" t="s">
        <v>53</v>
      </c>
      <c r="B26" s="32" t="s">
        <v>31</v>
      </c>
      <c r="C26" s="32" t="s">
        <v>53</v>
      </c>
      <c r="D26" s="33" t="s">
        <v>55</v>
      </c>
      <c r="E26" s="33" t="s">
        <v>56</v>
      </c>
      <c r="F26" s="33" t="s">
        <v>57</v>
      </c>
      <c r="G26" s="33" t="s">
        <v>58</v>
      </c>
      <c r="H26" s="34" t="s">
        <v>59</v>
      </c>
      <c r="I26" s="35"/>
    </row>
    <row r="27" spans="1:12" ht="13.5" x14ac:dyDescent="0.25">
      <c r="A27" s="36">
        <v>2</v>
      </c>
      <c r="B27" s="42" t="str">
        <f>IFERROR(VLOOKUP(H27,'[1]Consolidado MP Planta'!$A$2:$M$823,3,0),"")</f>
        <v>ETIQUETA BLANCA 2 5/8X1 15/16 (UND)</v>
      </c>
      <c r="C27" s="37">
        <f t="shared" ref="C27:C32" si="6">+A27</f>
        <v>2</v>
      </c>
      <c r="D27" s="38" t="str">
        <f>IFERROR(VLOOKUP(H27,'[1]Consolidado MP Planta'!$A$2:$M$823,13,0),"")</f>
        <v>Und</v>
      </c>
      <c r="E27" s="38">
        <f>IFERROR(VLOOKUP(H27,'[1]Consolidado MP Planta'!$A$2:$M$823,12,0),"")</f>
        <v>2.1280000000000001</v>
      </c>
      <c r="F27" s="38">
        <f t="shared" ref="F27:F32" si="7">IFERROR(C27*E27,"")</f>
        <v>4.2560000000000002</v>
      </c>
      <c r="G27" s="39">
        <f t="shared" ref="G27:G32" si="8">IFERROR(F27/$F$66,"")</f>
        <v>1.5166177206536041E-4</v>
      </c>
      <c r="H27" s="43" t="s">
        <v>30</v>
      </c>
      <c r="I27" s="43"/>
      <c r="J27" s="41"/>
      <c r="K27" s="220"/>
      <c r="L27" s="220"/>
    </row>
    <row r="28" spans="1:12" ht="13.5" hidden="1" x14ac:dyDescent="0.25">
      <c r="A28" s="36"/>
      <c r="B28" s="42" t="str">
        <f>IFERROR(VLOOKUP(H28,'[1]Consolidado MP Planta'!$A$2:$M$823,3,0),"")</f>
        <v/>
      </c>
      <c r="C28" s="37">
        <f t="shared" si="6"/>
        <v>0</v>
      </c>
      <c r="D28" s="38" t="str">
        <f>IFERROR(VLOOKUP(H28,'[1]Consolidado MP Planta'!$A$2:$M$823,13,0),"")</f>
        <v/>
      </c>
      <c r="E28" s="38" t="str">
        <f>IFERROR(VLOOKUP(H28,'[1]Consolidado MP Planta'!$A$2:$M$823,12,0),"")</f>
        <v/>
      </c>
      <c r="F28" s="38" t="str">
        <f t="shared" si="7"/>
        <v/>
      </c>
      <c r="G28" s="39" t="str">
        <f t="shared" si="8"/>
        <v/>
      </c>
      <c r="H28" s="43"/>
      <c r="I28" s="43"/>
      <c r="J28" s="41"/>
      <c r="K28" s="220"/>
      <c r="L28" s="220"/>
    </row>
    <row r="29" spans="1:12" ht="13.5" hidden="1" x14ac:dyDescent="0.25">
      <c r="A29" s="36"/>
      <c r="B29" s="42" t="str">
        <f>IFERROR(VLOOKUP(H29,'[1]Consolidado MP Planta'!$A$2:$M$823,3,0),"")</f>
        <v/>
      </c>
      <c r="C29" s="37">
        <f t="shared" si="6"/>
        <v>0</v>
      </c>
      <c r="D29" s="38" t="str">
        <f>IFERROR(VLOOKUP(H29,'[1]Consolidado MP Planta'!$A$2:$M$823,13,0),"")</f>
        <v/>
      </c>
      <c r="E29" s="38" t="str">
        <f>IFERROR(VLOOKUP(H29,'[1]Consolidado MP Planta'!$A$2:$M$823,12,0),"")</f>
        <v/>
      </c>
      <c r="F29" s="38" t="str">
        <f t="shared" si="7"/>
        <v/>
      </c>
      <c r="G29" s="39" t="str">
        <f t="shared" si="8"/>
        <v/>
      </c>
      <c r="H29" s="43"/>
      <c r="I29" s="43"/>
      <c r="J29" s="41"/>
      <c r="K29" s="220"/>
      <c r="L29" s="220"/>
    </row>
    <row r="30" spans="1:12" ht="13.5" hidden="1" x14ac:dyDescent="0.25">
      <c r="A30" s="36"/>
      <c r="B30" s="42" t="str">
        <f>IFERROR(VLOOKUP(H30,'[1]Consolidado MP Planta'!$A$2:$M$823,3,0),"")</f>
        <v/>
      </c>
      <c r="C30" s="37">
        <f t="shared" si="6"/>
        <v>0</v>
      </c>
      <c r="D30" s="38" t="str">
        <f>IFERROR(VLOOKUP(H30,'[1]Consolidado MP Planta'!$A$2:$M$823,13,0),"")</f>
        <v/>
      </c>
      <c r="E30" s="38" t="str">
        <f>IFERROR(VLOOKUP(H30,'[1]Consolidado MP Planta'!$A$2:$M$823,12,0),"")</f>
        <v/>
      </c>
      <c r="F30" s="38" t="str">
        <f t="shared" si="7"/>
        <v/>
      </c>
      <c r="G30" s="39" t="str">
        <f t="shared" si="8"/>
        <v/>
      </c>
      <c r="H30" s="43"/>
      <c r="I30" s="43"/>
      <c r="J30" s="41"/>
      <c r="K30" s="220"/>
      <c r="L30" s="220"/>
    </row>
    <row r="31" spans="1:12" ht="13.5" hidden="1" x14ac:dyDescent="0.25">
      <c r="A31" s="36"/>
      <c r="B31" s="42" t="str">
        <f>IFERROR(VLOOKUP(H31,'[1]Consolidado MP Planta'!$A$2:$M$823,3,0),"")</f>
        <v/>
      </c>
      <c r="C31" s="37">
        <f t="shared" si="6"/>
        <v>0</v>
      </c>
      <c r="D31" s="38" t="str">
        <f>IFERROR(VLOOKUP(H31,'[1]Consolidado MP Planta'!$A$2:$M$823,13,0),"")</f>
        <v/>
      </c>
      <c r="E31" s="38" t="str">
        <f>IFERROR(VLOOKUP(H31,'[1]Consolidado MP Planta'!$A$2:$M$823,12,0),"")</f>
        <v/>
      </c>
      <c r="F31" s="38" t="str">
        <f t="shared" si="7"/>
        <v/>
      </c>
      <c r="G31" s="39" t="str">
        <f t="shared" si="8"/>
        <v/>
      </c>
      <c r="H31" s="43"/>
      <c r="I31" s="43"/>
      <c r="J31" s="41"/>
      <c r="K31" s="44"/>
      <c r="L31" s="45"/>
    </row>
    <row r="32" spans="1:12" ht="13.5" hidden="1" x14ac:dyDescent="0.25">
      <c r="A32" s="36"/>
      <c r="B32" s="42" t="str">
        <f>IFERROR(VLOOKUP(H32,'[1]Consolidado MP Planta'!$A$2:$M$823,3,0),"")</f>
        <v/>
      </c>
      <c r="C32" s="37">
        <f t="shared" si="6"/>
        <v>0</v>
      </c>
      <c r="D32" s="38" t="str">
        <f>IFERROR(VLOOKUP(H32,'[1]Consolidado MP Planta'!$A$2:$M$823,13,0),"")</f>
        <v/>
      </c>
      <c r="E32" s="38" t="str">
        <f>IFERROR(VLOOKUP(H32,'[1]Consolidado MP Planta'!$A$2:$M$823,12,0),"")</f>
        <v/>
      </c>
      <c r="F32" s="38" t="str">
        <f t="shared" si="7"/>
        <v/>
      </c>
      <c r="G32" s="39" t="str">
        <f t="shared" si="8"/>
        <v/>
      </c>
      <c r="H32" s="43"/>
      <c r="I32" s="43"/>
      <c r="J32" s="41"/>
    </row>
    <row r="33" spans="1:13" ht="14.25" thickBot="1" x14ac:dyDescent="0.3">
      <c r="A33" s="36"/>
      <c r="B33" s="42"/>
      <c r="C33" s="37"/>
      <c r="D33" s="38"/>
      <c r="E33" s="38"/>
      <c r="F33" s="38"/>
      <c r="G33" s="39"/>
      <c r="H33" s="43"/>
      <c r="I33" s="43"/>
      <c r="J33" s="41"/>
    </row>
    <row r="34" spans="1:13" ht="26.25" thickBot="1" x14ac:dyDescent="0.25">
      <c r="A34" s="31" t="s">
        <v>53</v>
      </c>
      <c r="B34" s="32" t="s">
        <v>61</v>
      </c>
      <c r="C34" s="32" t="s">
        <v>53</v>
      </c>
      <c r="D34" s="33" t="s">
        <v>55</v>
      </c>
      <c r="E34" s="33" t="s">
        <v>56</v>
      </c>
      <c r="F34" s="33" t="s">
        <v>57</v>
      </c>
      <c r="G34" s="33" t="s">
        <v>58</v>
      </c>
      <c r="H34" s="34" t="s">
        <v>59</v>
      </c>
      <c r="I34" s="43"/>
      <c r="J34" s="41"/>
    </row>
    <row r="35" spans="1:13" ht="13.5" x14ac:dyDescent="0.25">
      <c r="A35" s="36">
        <f>+A17</f>
        <v>6600</v>
      </c>
      <c r="B35" s="42" t="str">
        <f>IFERROR(VLOOKUP(H35,[1]SEMIELABORADOS!$A$2:$M$6000,2,0),"")</f>
        <v>POLLO RECORTE COCCION KILO</v>
      </c>
      <c r="C35" s="37">
        <f>+A35</f>
        <v>6600</v>
      </c>
      <c r="D35" s="38" t="str">
        <f>IFERROR(VLOOKUP(H35,[1]SEMIELABORADOS!$A$2:$M$6000,6,0),"")</f>
        <v>Gramo</v>
      </c>
      <c r="E35" s="38">
        <f>IFERROR(VLOOKUP(H35,[1]SEMIELABORADOS!$A$2:$M$65536,10,0),"")</f>
        <v>1.6606962025316457E-2</v>
      </c>
      <c r="F35" s="38">
        <f>IFERROR(E35*C35,"")</f>
        <v>109.60594936708861</v>
      </c>
      <c r="G35" s="39">
        <f t="shared" ref="G35:G41" si="9">IFERROR(F35/$F$66,"")</f>
        <v>3.9057877137967166E-3</v>
      </c>
      <c r="H35" s="43" t="s">
        <v>95</v>
      </c>
      <c r="I35" s="43"/>
      <c r="J35" s="41"/>
    </row>
    <row r="36" spans="1:13" ht="13.5" hidden="1" x14ac:dyDescent="0.25">
      <c r="A36" s="36">
        <f t="shared" ref="A36:A41" si="10">+A18</f>
        <v>0</v>
      </c>
      <c r="B36" s="42" t="str">
        <f>IFERROR(VLOOKUP(H36,[1]SEMIELABORADOS!$A$2:$M$6000,2,0),"")</f>
        <v/>
      </c>
      <c r="C36" s="37">
        <f t="shared" ref="C36:C41" si="11">+A36</f>
        <v>0</v>
      </c>
      <c r="D36" s="38" t="str">
        <f>IFERROR(VLOOKUP(H36,[1]SEMIELABORADOS!$A$2:$M$6000,6,0),"")</f>
        <v/>
      </c>
      <c r="E36" s="38" t="str">
        <f>IFERROR(VLOOKUP(H36,[1]SEMIELABORADOS!$A$2:$M$65536,10,0),"")</f>
        <v/>
      </c>
      <c r="F36" s="38" t="str">
        <f t="shared" ref="F36:F41" si="12">IFERROR(E36*C36,"")</f>
        <v/>
      </c>
      <c r="G36" s="39" t="str">
        <f t="shared" si="9"/>
        <v/>
      </c>
      <c r="H36" s="43"/>
      <c r="I36" s="43"/>
      <c r="J36" s="41"/>
    </row>
    <row r="37" spans="1:13" ht="13.5" hidden="1" x14ac:dyDescent="0.25">
      <c r="A37" s="36">
        <f t="shared" si="10"/>
        <v>0</v>
      </c>
      <c r="B37" s="42" t="str">
        <f>IFERROR(VLOOKUP(H37,[1]SEMIELABORADOS!$A$2:$M$6000,2,0),"")</f>
        <v/>
      </c>
      <c r="C37" s="37">
        <f t="shared" si="11"/>
        <v>0</v>
      </c>
      <c r="D37" s="38" t="str">
        <f>IFERROR(VLOOKUP(H37,[1]SEMIELABORADOS!$A$2:$M$6000,6,0),"")</f>
        <v/>
      </c>
      <c r="E37" s="38" t="str">
        <f>IFERROR(VLOOKUP(H37,[1]SEMIELABORADOS!$A$2:$M$65536,10,0),"")</f>
        <v/>
      </c>
      <c r="F37" s="38" t="str">
        <f t="shared" si="12"/>
        <v/>
      </c>
      <c r="G37" s="39" t="str">
        <f t="shared" si="9"/>
        <v/>
      </c>
      <c r="H37" s="43"/>
      <c r="I37" s="43"/>
      <c r="J37" s="41"/>
    </row>
    <row r="38" spans="1:13" ht="13.5" hidden="1" x14ac:dyDescent="0.25">
      <c r="A38" s="36">
        <f t="shared" si="10"/>
        <v>0</v>
      </c>
      <c r="B38" s="42" t="str">
        <f>IFERROR(VLOOKUP(H38,[1]SEMIELABORADOS!$A$2:$M$6000,2,0),"")</f>
        <v/>
      </c>
      <c r="C38" s="37">
        <f>+A38</f>
        <v>0</v>
      </c>
      <c r="D38" s="38" t="str">
        <f>IFERROR(VLOOKUP(H38,[1]SEMIELABORADOS!$A$2:$M$6000,6,0),"")</f>
        <v/>
      </c>
      <c r="E38" s="38" t="str">
        <f>IFERROR(VLOOKUP(H38,[1]SEMIELABORADOS!$A$2:$M$65536,10,0),"")</f>
        <v/>
      </c>
      <c r="F38" s="38" t="str">
        <f>IFERROR(E38*C38,"")</f>
        <v/>
      </c>
      <c r="G38" s="39" t="str">
        <f t="shared" si="9"/>
        <v/>
      </c>
      <c r="H38" s="43"/>
      <c r="I38" s="43"/>
      <c r="J38" s="41"/>
    </row>
    <row r="39" spans="1:13" ht="13.5" hidden="1" x14ac:dyDescent="0.25">
      <c r="A39" s="36">
        <f t="shared" si="10"/>
        <v>0</v>
      </c>
      <c r="B39" s="42" t="str">
        <f>IFERROR(VLOOKUP(H39,[1]SEMIELABORADOS!$A$2:$M$6000,2,0),"")</f>
        <v/>
      </c>
      <c r="C39" s="37">
        <f>+A39</f>
        <v>0</v>
      </c>
      <c r="D39" s="38" t="str">
        <f>IFERROR(VLOOKUP(H39,[1]SEMIELABORADOS!$A$2:$M$6000,6,0),"")</f>
        <v/>
      </c>
      <c r="E39" s="38" t="str">
        <f>IFERROR(VLOOKUP(H39,[1]SEMIELABORADOS!$A$2:$M$65536,10,0),"")</f>
        <v/>
      </c>
      <c r="F39" s="38" t="str">
        <f>IFERROR(E39*C39,"")</f>
        <v/>
      </c>
      <c r="G39" s="39" t="str">
        <f t="shared" si="9"/>
        <v/>
      </c>
      <c r="H39" s="43"/>
      <c r="I39" s="43"/>
      <c r="J39" s="41"/>
    </row>
    <row r="40" spans="1:13" ht="13.5" hidden="1" x14ac:dyDescent="0.25">
      <c r="A40" s="36">
        <f t="shared" si="10"/>
        <v>0</v>
      </c>
      <c r="B40" s="42" t="str">
        <f>IFERROR(VLOOKUP(H40,[1]SEMIELABORADOS!$A$2:$M$6000,2,0),"")</f>
        <v/>
      </c>
      <c r="C40" s="37">
        <f t="shared" si="11"/>
        <v>0</v>
      </c>
      <c r="D40" s="38" t="str">
        <f>IFERROR(VLOOKUP(H40,[1]SEMIELABORADOS!$A$2:$M$6000,6,0),"")</f>
        <v/>
      </c>
      <c r="E40" s="38" t="str">
        <f>IFERROR(VLOOKUP(H40,[1]SEMIELABORADOS!$A$2:$M$65536,10,0),"")</f>
        <v/>
      </c>
      <c r="F40" s="38" t="str">
        <f t="shared" si="12"/>
        <v/>
      </c>
      <c r="G40" s="39" t="str">
        <f t="shared" si="9"/>
        <v/>
      </c>
      <c r="H40" s="43"/>
      <c r="I40" s="43"/>
      <c r="J40" s="41"/>
    </row>
    <row r="41" spans="1:13" ht="13.5" hidden="1" x14ac:dyDescent="0.25">
      <c r="A41" s="36">
        <f t="shared" si="10"/>
        <v>0</v>
      </c>
      <c r="B41" s="42" t="str">
        <f>IFERROR(VLOOKUP(H41,[1]SEMIELABORADOS!$A$2:$M$6000,2,0),"")</f>
        <v/>
      </c>
      <c r="C41" s="37">
        <f t="shared" si="11"/>
        <v>0</v>
      </c>
      <c r="D41" s="38" t="str">
        <f>IFERROR(VLOOKUP(H41,[1]SEMIELABORADOS!$A$2:$M$6000,6,0),"")</f>
        <v/>
      </c>
      <c r="E41" s="38" t="str">
        <f>IFERROR(VLOOKUP(H41,[1]SEMIELABORADOS!$A$2:$M$65536,10,0),"")</f>
        <v/>
      </c>
      <c r="F41" s="38" t="str">
        <f t="shared" si="12"/>
        <v/>
      </c>
      <c r="G41" s="39" t="str">
        <f t="shared" si="9"/>
        <v/>
      </c>
      <c r="H41" s="43"/>
      <c r="I41" s="43"/>
      <c r="J41" s="41"/>
    </row>
    <row r="42" spans="1:13" ht="14.25" thickBot="1" x14ac:dyDescent="0.3">
      <c r="A42" s="36"/>
      <c r="B42" s="42"/>
      <c r="C42" s="37"/>
      <c r="D42" s="38"/>
      <c r="E42" s="38"/>
      <c r="F42" s="38"/>
      <c r="G42" s="39"/>
      <c r="H42" s="43"/>
      <c r="I42" s="43"/>
      <c r="J42" s="41"/>
    </row>
    <row r="43" spans="1:13" ht="26.25" thickBot="1" x14ac:dyDescent="0.3">
      <c r="A43" s="31" t="s">
        <v>53</v>
      </c>
      <c r="B43" s="32" t="s">
        <v>62</v>
      </c>
      <c r="C43" s="32" t="s">
        <v>53</v>
      </c>
      <c r="D43" s="33" t="s">
        <v>55</v>
      </c>
      <c r="E43" s="33" t="s">
        <v>56</v>
      </c>
      <c r="F43" s="33" t="s">
        <v>57</v>
      </c>
      <c r="G43" s="33" t="s">
        <v>58</v>
      </c>
      <c r="H43" s="34" t="s">
        <v>59</v>
      </c>
      <c r="I43" s="35"/>
      <c r="J43" s="41"/>
    </row>
    <row r="44" spans="1:13" ht="13.5" x14ac:dyDescent="0.25">
      <c r="A44" s="36">
        <f>+A35</f>
        <v>6600</v>
      </c>
      <c r="B44" s="42" t="str">
        <f>IFERROR(VLOOKUP(H44,[1]SEMIELABORADOS!$A$2:$M$6000,2,0),"")</f>
        <v>POLLO RECORTE COCCION KILO</v>
      </c>
      <c r="C44" s="37">
        <f>+A44</f>
        <v>6600</v>
      </c>
      <c r="D44" s="38" t="str">
        <f>IFERROR(VLOOKUP(H44,[1]SEMIELABORADOS!$A$2:$M$6000,6,0),"")</f>
        <v>Gramo</v>
      </c>
      <c r="E44" s="38">
        <f>IFERROR(VLOOKUP(H44,[1]SEMIELABORADOS!$A$2:$M$65536,12,0),"")</f>
        <v>0.72957306455696203</v>
      </c>
      <c r="F44" s="38">
        <f>IFERROR(E44*C44,"")</f>
        <v>4815.1822260759491</v>
      </c>
      <c r="G44" s="39">
        <f>IFERROR(F44/$F$66,"")</f>
        <v>0.17158812716736496</v>
      </c>
      <c r="H44" s="43" t="s">
        <v>95</v>
      </c>
      <c r="I44" s="35"/>
      <c r="J44" s="41"/>
    </row>
    <row r="45" spans="1:13" ht="13.5" hidden="1" x14ac:dyDescent="0.25">
      <c r="A45" s="36">
        <f t="shared" ref="A45:A50" si="13">+A36</f>
        <v>0</v>
      </c>
      <c r="B45" s="42" t="str">
        <f>IFERROR(VLOOKUP(H45,[1]SEMIELABORADOS!$A$2:$M$6000,2,0),"")</f>
        <v/>
      </c>
      <c r="C45" s="37">
        <f t="shared" ref="C45:C50" si="14">+A45</f>
        <v>0</v>
      </c>
      <c r="D45" s="38" t="str">
        <f>IFERROR(VLOOKUP(H45,[1]SEMIELABORADOS!$A$2:$M$6000,6,0),"")</f>
        <v/>
      </c>
      <c r="E45" s="38" t="str">
        <f>IFERROR(VLOOKUP(H45,[1]SEMIELABORADOS!$A$2:$M$65536,12,0),"")</f>
        <v/>
      </c>
      <c r="F45" s="38" t="str">
        <f t="shared" ref="F45:F50" si="15">IFERROR(E45*C45,"")</f>
        <v/>
      </c>
      <c r="G45" s="39" t="str">
        <f t="shared" ref="G45:G50" si="16">IFERROR(F45/$F$66,"")</f>
        <v/>
      </c>
      <c r="H45" s="43"/>
      <c r="I45" s="35"/>
      <c r="J45" s="41"/>
      <c r="M45" s="46"/>
    </row>
    <row r="46" spans="1:13" ht="13.5" hidden="1" x14ac:dyDescent="0.25">
      <c r="A46" s="36">
        <f t="shared" si="13"/>
        <v>0</v>
      </c>
      <c r="B46" s="42" t="str">
        <f>IFERROR(VLOOKUP(H46,[1]SEMIELABORADOS!$A$2:$M$6000,2,0),"")</f>
        <v/>
      </c>
      <c r="C46" s="37">
        <f t="shared" si="14"/>
        <v>0</v>
      </c>
      <c r="D46" s="38" t="str">
        <f>IFERROR(VLOOKUP(H46,[1]SEMIELABORADOS!$A$2:$M$6000,6,0),"")</f>
        <v/>
      </c>
      <c r="E46" s="38" t="str">
        <f>IFERROR(VLOOKUP(H46,[1]SEMIELABORADOS!$A$2:$M$65536,12,0),"")</f>
        <v/>
      </c>
      <c r="F46" s="38" t="str">
        <f t="shared" si="15"/>
        <v/>
      </c>
      <c r="G46" s="39" t="str">
        <f t="shared" si="16"/>
        <v/>
      </c>
      <c r="H46" s="43"/>
      <c r="I46" s="35"/>
      <c r="J46" s="41"/>
    </row>
    <row r="47" spans="1:13" ht="13.5" hidden="1" x14ac:dyDescent="0.25">
      <c r="A47" s="36">
        <f t="shared" si="13"/>
        <v>0</v>
      </c>
      <c r="B47" s="42" t="str">
        <f>IFERROR(VLOOKUP(H47,[1]SEMIELABORADOS!$A$2:$M$6000,2,0),"")</f>
        <v/>
      </c>
      <c r="C47" s="37">
        <f t="shared" si="14"/>
        <v>0</v>
      </c>
      <c r="D47" s="38" t="str">
        <f>IFERROR(VLOOKUP(H47,[1]SEMIELABORADOS!$A$2:$M$6000,6,0),"")</f>
        <v/>
      </c>
      <c r="E47" s="38" t="str">
        <f>IFERROR(VLOOKUP(H47,[1]SEMIELABORADOS!$A$2:$M$65536,12,0),"")</f>
        <v/>
      </c>
      <c r="F47" s="38" t="str">
        <f t="shared" si="15"/>
        <v/>
      </c>
      <c r="G47" s="39" t="str">
        <f t="shared" si="16"/>
        <v/>
      </c>
      <c r="H47" s="43"/>
      <c r="I47" s="35"/>
      <c r="J47" s="41"/>
    </row>
    <row r="48" spans="1:13" ht="13.5" hidden="1" x14ac:dyDescent="0.25">
      <c r="A48" s="36">
        <f t="shared" si="13"/>
        <v>0</v>
      </c>
      <c r="B48" s="42" t="str">
        <f>IFERROR(VLOOKUP(H48,[1]SEMIELABORADOS!$A$2:$M$6000,2,0),"")</f>
        <v/>
      </c>
      <c r="C48" s="37">
        <f t="shared" si="14"/>
        <v>0</v>
      </c>
      <c r="D48" s="38" t="str">
        <f>IFERROR(VLOOKUP(H48,[1]SEMIELABORADOS!$A$2:$M$6000,6,0),"")</f>
        <v/>
      </c>
      <c r="E48" s="38" t="str">
        <f>IFERROR(VLOOKUP(H48,[1]SEMIELABORADOS!$A$2:$M$65536,12,0),"")</f>
        <v/>
      </c>
      <c r="F48" s="38" t="str">
        <f t="shared" si="15"/>
        <v/>
      </c>
      <c r="G48" s="39" t="str">
        <f t="shared" si="16"/>
        <v/>
      </c>
      <c r="H48" s="43"/>
      <c r="I48" s="35"/>
      <c r="J48" s="41"/>
    </row>
    <row r="49" spans="1:17" ht="13.5" hidden="1" x14ac:dyDescent="0.25">
      <c r="A49" s="36">
        <f t="shared" si="13"/>
        <v>0</v>
      </c>
      <c r="B49" s="42" t="str">
        <f>IFERROR(VLOOKUP(H49,[1]SEMIELABORADOS!$A$2:$M$6000,2,0),"")</f>
        <v/>
      </c>
      <c r="C49" s="37">
        <f t="shared" si="14"/>
        <v>0</v>
      </c>
      <c r="D49" s="38" t="str">
        <f>IFERROR(VLOOKUP(H49,[1]SEMIELABORADOS!$A$2:$M$6000,6,0),"")</f>
        <v/>
      </c>
      <c r="E49" s="38" t="str">
        <f>IFERROR(VLOOKUP(H49,[1]SEMIELABORADOS!$A$2:$M$65536,12,0),"")</f>
        <v/>
      </c>
      <c r="F49" s="38" t="str">
        <f t="shared" si="15"/>
        <v/>
      </c>
      <c r="G49" s="39" t="str">
        <f t="shared" si="16"/>
        <v/>
      </c>
      <c r="H49" s="43"/>
      <c r="I49" s="35"/>
      <c r="J49" s="41"/>
    </row>
    <row r="50" spans="1:17" ht="13.5" hidden="1" x14ac:dyDescent="0.25">
      <c r="A50" s="36">
        <f t="shared" si="13"/>
        <v>0</v>
      </c>
      <c r="B50" s="42" t="str">
        <f>IFERROR(VLOOKUP(H50,[1]SEMIELABORADOS!$A$2:$M$6000,2,0),"")</f>
        <v/>
      </c>
      <c r="C50" s="37">
        <f t="shared" si="14"/>
        <v>0</v>
      </c>
      <c r="D50" s="38" t="str">
        <f>IFERROR(VLOOKUP(H50,[1]SEMIELABORADOS!$A$2:$M$6000,6,0),"")</f>
        <v/>
      </c>
      <c r="E50" s="38" t="str">
        <f>IFERROR(VLOOKUP(H50,[1]SEMIELABORADOS!$A$2:$M$65536,12,0),"")</f>
        <v/>
      </c>
      <c r="F50" s="38" t="str">
        <f t="shared" si="15"/>
        <v/>
      </c>
      <c r="G50" s="39" t="str">
        <f t="shared" si="16"/>
        <v/>
      </c>
      <c r="H50" s="42"/>
      <c r="I50" s="35"/>
      <c r="J50" s="41"/>
    </row>
    <row r="51" spans="1:17" ht="13.5" x14ac:dyDescent="0.25">
      <c r="A51" s="36">
        <v>1</v>
      </c>
      <c r="B51" s="42" t="s">
        <v>63</v>
      </c>
      <c r="C51" s="37">
        <f>+A51</f>
        <v>1</v>
      </c>
      <c r="D51" s="37" t="s">
        <v>64</v>
      </c>
      <c r="E51" s="38">
        <f>+F65</f>
        <v>275</v>
      </c>
      <c r="F51" s="38">
        <f>IFERROR(C51*E51,"")</f>
        <v>275</v>
      </c>
      <c r="G51" s="39">
        <f>IFERROR(F51/$F$66,"")</f>
        <v>9.7995740878698574E-3</v>
      </c>
      <c r="H51" s="47"/>
      <c r="I51" s="47"/>
      <c r="J51" s="41"/>
    </row>
    <row r="52" spans="1:17" ht="14.25" thickBot="1" x14ac:dyDescent="0.3">
      <c r="A52" s="36"/>
      <c r="B52" s="42"/>
      <c r="C52" s="37"/>
      <c r="D52" s="37"/>
      <c r="E52" s="38"/>
      <c r="F52" s="38"/>
      <c r="G52" s="39"/>
      <c r="H52" s="47"/>
      <c r="I52" s="47"/>
      <c r="J52" s="41"/>
    </row>
    <row r="53" spans="1:17" ht="13.5" thickBot="1" x14ac:dyDescent="0.3">
      <c r="A53" s="48"/>
      <c r="B53" s="230" t="s">
        <v>65</v>
      </c>
      <c r="C53" s="230"/>
      <c r="D53" s="230"/>
      <c r="E53" s="230"/>
      <c r="F53" s="49">
        <f>SUM(F8:F14,F17:F24)</f>
        <v>27130.96288830975</v>
      </c>
      <c r="G53" s="39">
        <f>+F53/$F$66</f>
        <v>0.96680683963359626</v>
      </c>
      <c r="H53" s="50">
        <f>+F53/$D$60</f>
        <v>27130.96288830975</v>
      </c>
      <c r="I53" s="50"/>
      <c r="J53" s="51"/>
      <c r="K53" s="52"/>
      <c r="L53" s="52"/>
      <c r="M53" s="52"/>
      <c r="N53" s="52"/>
      <c r="O53" s="52"/>
      <c r="P53" s="52"/>
      <c r="Q53" s="53"/>
    </row>
    <row r="54" spans="1:17" x14ac:dyDescent="0.2">
      <c r="A54" s="48"/>
      <c r="B54" s="230" t="s">
        <v>66</v>
      </c>
      <c r="C54" s="230"/>
      <c r="D54" s="230"/>
      <c r="E54" s="230"/>
      <c r="F54" s="49">
        <f>SUM(F27:F32,F35:F41)</f>
        <v>113.86194936708861</v>
      </c>
      <c r="G54" s="39">
        <f>+F54/$F$66</f>
        <v>4.0574494858620774E-3</v>
      </c>
      <c r="H54" s="50">
        <f>+F54/$D$60</f>
        <v>113.86194936708861</v>
      </c>
      <c r="I54" s="50"/>
      <c r="J54" s="54"/>
      <c r="K54" s="231" t="s">
        <v>67</v>
      </c>
      <c r="L54" s="232"/>
      <c r="M54" s="232"/>
      <c r="N54" s="232"/>
      <c r="O54" s="55">
        <f>+F55</f>
        <v>27244.824837676839</v>
      </c>
      <c r="P54" s="55"/>
      <c r="Q54" s="56"/>
    </row>
    <row r="55" spans="1:17" x14ac:dyDescent="0.2">
      <c r="A55" s="48"/>
      <c r="B55" s="230" t="s">
        <v>68</v>
      </c>
      <c r="C55" s="230"/>
      <c r="D55" s="230"/>
      <c r="E55" s="230"/>
      <c r="F55" s="49">
        <f>+F53+F54</f>
        <v>27244.824837676839</v>
      </c>
      <c r="G55" s="39">
        <f>+F55/$F$66</f>
        <v>0.97086428911945832</v>
      </c>
      <c r="H55" s="50">
        <f>+F55/$D$60</f>
        <v>27244.824837676839</v>
      </c>
      <c r="I55" s="50"/>
      <c r="J55" s="57"/>
      <c r="K55" s="58"/>
      <c r="L55" s="59" t="s">
        <v>69</v>
      </c>
      <c r="M55" s="59"/>
      <c r="N55" s="60">
        <v>0.18</v>
      </c>
      <c r="O55" s="55">
        <f>+O54*N55</f>
        <v>4904.0684707818309</v>
      </c>
      <c r="P55" s="55"/>
      <c r="Q55" s="56"/>
    </row>
    <row r="56" spans="1:17" ht="13.5" thickBot="1" x14ac:dyDescent="0.25">
      <c r="A56" s="48"/>
      <c r="B56" s="61"/>
      <c r="C56" s="230" t="s">
        <v>70</v>
      </c>
      <c r="D56" s="230"/>
      <c r="E56" s="230"/>
      <c r="F56" s="49">
        <f>SUM(F44:F51)</f>
        <v>5090.1822260759491</v>
      </c>
      <c r="G56" s="39">
        <f>+F56/$F$66</f>
        <v>0.18138770125523482</v>
      </c>
      <c r="H56" s="50">
        <f>+F56/$D$60</f>
        <v>5090.1822260759491</v>
      </c>
      <c r="I56" s="50"/>
      <c r="J56" s="57"/>
      <c r="K56" s="58"/>
      <c r="L56" s="58"/>
      <c r="M56" s="58" t="s">
        <v>71</v>
      </c>
      <c r="N56" s="62"/>
      <c r="O56" s="55">
        <f>O54*N56</f>
        <v>0</v>
      </c>
      <c r="P56" s="55"/>
      <c r="Q56" s="56"/>
    </row>
    <row r="57" spans="1:17" ht="13.5" thickBot="1" x14ac:dyDescent="0.25">
      <c r="A57" s="48"/>
      <c r="B57" s="63"/>
      <c r="C57" s="63"/>
      <c r="D57" s="63"/>
      <c r="E57" s="63"/>
      <c r="F57" s="64"/>
      <c r="G57" s="39"/>
      <c r="H57" s="65"/>
      <c r="I57" s="50"/>
      <c r="J57" s="57"/>
      <c r="K57" s="66"/>
      <c r="M57" s="67" t="s">
        <v>72</v>
      </c>
      <c r="N57" s="68"/>
      <c r="O57" s="69">
        <f>SUM(O54:O56)</f>
        <v>32148.893308458668</v>
      </c>
      <c r="P57" s="70"/>
      <c r="Q57" s="56"/>
    </row>
    <row r="58" spans="1:17" x14ac:dyDescent="0.2">
      <c r="B58" s="233" t="s">
        <v>73</v>
      </c>
      <c r="C58" s="233"/>
      <c r="D58" s="71">
        <v>7000</v>
      </c>
      <c r="E58" s="72"/>
      <c r="G58" s="39"/>
      <c r="H58" s="65"/>
      <c r="I58" s="73"/>
      <c r="J58" s="57"/>
      <c r="K58" s="66"/>
      <c r="L58" s="58"/>
      <c r="M58" s="58" t="s">
        <v>74</v>
      </c>
      <c r="N58" s="74">
        <v>0.15</v>
      </c>
      <c r="O58" s="55">
        <f>+O54*N58</f>
        <v>4086.7237256515255</v>
      </c>
      <c r="P58" s="55"/>
      <c r="Q58" s="56"/>
    </row>
    <row r="59" spans="1:17" x14ac:dyDescent="0.2">
      <c r="B59" s="233" t="s">
        <v>75</v>
      </c>
      <c r="C59" s="233"/>
      <c r="D59" s="75">
        <v>7000</v>
      </c>
      <c r="E59" s="72"/>
      <c r="G59" s="39"/>
      <c r="H59" s="65"/>
      <c r="I59" s="73"/>
      <c r="J59" s="57"/>
      <c r="K59" s="66"/>
      <c r="L59" s="58"/>
      <c r="M59" s="234" t="s">
        <v>72</v>
      </c>
      <c r="N59" s="234"/>
      <c r="O59" s="55">
        <f>SUM(O57:O58)</f>
        <v>36235.617034110197</v>
      </c>
      <c r="P59" s="55"/>
      <c r="Q59" s="56"/>
    </row>
    <row r="60" spans="1:17" ht="13.5" thickBot="1" x14ac:dyDescent="0.25">
      <c r="B60" s="226" t="s">
        <v>76</v>
      </c>
      <c r="C60" s="226"/>
      <c r="D60" s="71">
        <f>+D58/D59</f>
        <v>1</v>
      </c>
      <c r="E60" s="72"/>
      <c r="F60" s="76"/>
      <c r="G60" s="39"/>
      <c r="H60" s="65"/>
      <c r="I60" s="73"/>
      <c r="J60" s="57"/>
      <c r="K60" s="66"/>
      <c r="L60" s="234"/>
      <c r="M60" s="234"/>
      <c r="N60" s="74"/>
      <c r="O60" s="55">
        <f>+O59*N60</f>
        <v>0</v>
      </c>
      <c r="P60" s="55"/>
      <c r="Q60" s="56"/>
    </row>
    <row r="61" spans="1:17" ht="13.5" thickBot="1" x14ac:dyDescent="0.25">
      <c r="B61" s="226" t="s">
        <v>77</v>
      </c>
      <c r="C61" s="226"/>
      <c r="D61" s="77"/>
      <c r="E61" s="72"/>
      <c r="F61" s="76"/>
      <c r="G61" s="39"/>
      <c r="H61" s="65"/>
      <c r="I61" s="73"/>
      <c r="J61" s="57"/>
      <c r="K61" s="227" t="s">
        <v>78</v>
      </c>
      <c r="L61" s="228"/>
      <c r="M61" s="228"/>
      <c r="N61" s="229"/>
      <c r="O61" s="69">
        <f>SUM(O59:O60)</f>
        <v>36235.617034110197</v>
      </c>
      <c r="P61" s="78" t="s">
        <v>79</v>
      </c>
      <c r="Q61" s="56"/>
    </row>
    <row r="62" spans="1:17" ht="13.5" thickBot="1" x14ac:dyDescent="0.25">
      <c r="C62" s="48" t="s">
        <v>80</v>
      </c>
      <c r="D62" s="79"/>
      <c r="E62" s="22" t="s">
        <v>81</v>
      </c>
      <c r="F62" s="80" t="s">
        <v>82</v>
      </c>
      <c r="G62" s="39"/>
      <c r="H62" s="65"/>
      <c r="I62" s="73"/>
      <c r="J62" s="81"/>
      <c r="K62" s="82"/>
      <c r="L62" s="240" t="s">
        <v>83</v>
      </c>
      <c r="M62" s="240"/>
      <c r="N62" s="240"/>
      <c r="O62" s="83">
        <f>+O61/D60</f>
        <v>36235.617034110197</v>
      </c>
      <c r="P62" s="84">
        <f>+O62/D59</f>
        <v>5.1765167191585997</v>
      </c>
      <c r="Q62" s="85"/>
    </row>
    <row r="63" spans="1:17" ht="13.5" thickBot="1" x14ac:dyDescent="0.25">
      <c r="B63" s="241" t="s">
        <v>68</v>
      </c>
      <c r="C63" s="241"/>
      <c r="D63" s="241"/>
      <c r="E63" s="86">
        <f>+F63/F63</f>
        <v>1</v>
      </c>
      <c r="F63" s="87">
        <f>SUM(F55)</f>
        <v>27244.824837676839</v>
      </c>
      <c r="G63" s="39">
        <f>+F63/$F$66</f>
        <v>0.97086428911945832</v>
      </c>
      <c r="H63" s="65"/>
      <c r="I63" s="73"/>
      <c r="K63" s="242"/>
      <c r="L63" s="243"/>
      <c r="M63" s="243"/>
      <c r="N63" s="243"/>
      <c r="O63" s="88"/>
      <c r="P63" s="89"/>
    </row>
    <row r="64" spans="1:17" ht="13.5" thickBot="1" x14ac:dyDescent="0.3">
      <c r="B64" s="244" t="s">
        <v>84</v>
      </c>
      <c r="C64" s="244"/>
      <c r="D64" s="244"/>
      <c r="E64" s="90">
        <v>0.02</v>
      </c>
      <c r="F64" s="87">
        <f>+F53*E64</f>
        <v>542.61925776619501</v>
      </c>
      <c r="G64" s="39">
        <f>+F64/$F$66</f>
        <v>1.9336136792671925E-2</v>
      </c>
      <c r="H64" s="50"/>
      <c r="I64" s="73"/>
      <c r="J64" s="91"/>
      <c r="O64" s="92"/>
      <c r="P64" s="61"/>
    </row>
    <row r="65" spans="2:10" ht="13.5" thickBot="1" x14ac:dyDescent="0.3">
      <c r="B65" s="245" t="s">
        <v>85</v>
      </c>
      <c r="C65" s="246"/>
      <c r="D65" s="93">
        <v>5</v>
      </c>
      <c r="E65" s="94">
        <v>55</v>
      </c>
      <c r="F65" s="87">
        <f>+E65*D65</f>
        <v>275</v>
      </c>
      <c r="G65" s="39">
        <f>+F65/$F$66</f>
        <v>9.7995740878698574E-3</v>
      </c>
      <c r="H65" s="50"/>
      <c r="I65" s="50"/>
      <c r="J65" s="41"/>
    </row>
    <row r="66" spans="2:10" ht="13.5" thickBot="1" x14ac:dyDescent="0.3">
      <c r="B66" s="247" t="s">
        <v>86</v>
      </c>
      <c r="C66" s="248"/>
      <c r="D66" s="248"/>
      <c r="E66" s="249"/>
      <c r="F66" s="64">
        <f>SUM(F63:F65)</f>
        <v>28062.444095443032</v>
      </c>
      <c r="G66" s="39">
        <f>+F66/$F$66</f>
        <v>1</v>
      </c>
      <c r="H66" s="250"/>
      <c r="I66" s="50"/>
      <c r="J66" s="41"/>
    </row>
    <row r="67" spans="2:10" x14ac:dyDescent="0.25">
      <c r="C67" s="46"/>
      <c r="D67" s="46"/>
      <c r="E67" s="95"/>
      <c r="F67" s="87"/>
      <c r="G67" s="39"/>
      <c r="H67" s="250"/>
      <c r="I67" s="96"/>
      <c r="J67" s="24"/>
    </row>
    <row r="68" spans="2:10" ht="13.5" thickBot="1" x14ac:dyDescent="0.3">
      <c r="B68" s="235" t="s">
        <v>87</v>
      </c>
      <c r="C68" s="235"/>
      <c r="D68" s="235"/>
      <c r="E68" s="235"/>
      <c r="F68" s="235"/>
      <c r="G68" s="39"/>
      <c r="H68" s="97"/>
      <c r="I68" s="96"/>
      <c r="J68" s="24"/>
    </row>
    <row r="69" spans="2:10" ht="13.5" thickBot="1" x14ac:dyDescent="0.3">
      <c r="B69" s="98" t="s">
        <v>88</v>
      </c>
      <c r="C69" s="99">
        <f>+F53</f>
        <v>27130.96288830975</v>
      </c>
      <c r="D69" s="99">
        <f>+D58</f>
        <v>7000</v>
      </c>
      <c r="E69" s="100">
        <f>+C69/D69</f>
        <v>3.875851841187107</v>
      </c>
      <c r="F69" s="39"/>
      <c r="G69" s="97"/>
      <c r="H69" s="41"/>
      <c r="I69" s="97"/>
      <c r="J69" s="24"/>
    </row>
    <row r="70" spans="2:10" x14ac:dyDescent="0.25">
      <c r="B70" s="101"/>
      <c r="C70" s="102"/>
      <c r="D70" s="103"/>
      <c r="E70" s="87"/>
      <c r="F70" s="39"/>
      <c r="G70" s="97"/>
      <c r="H70" s="41"/>
      <c r="I70" s="41"/>
      <c r="J70" s="24"/>
    </row>
    <row r="71" spans="2:10" x14ac:dyDescent="0.25">
      <c r="B71" s="98" t="s">
        <v>89</v>
      </c>
      <c r="C71" s="99">
        <f>SUM(F63:F64)</f>
        <v>27787.444095443032</v>
      </c>
      <c r="D71" s="99">
        <f>+D58</f>
        <v>7000</v>
      </c>
      <c r="E71" s="104">
        <f>+C71/D71</f>
        <v>3.9696348707775759</v>
      </c>
      <c r="F71" s="39"/>
      <c r="G71" s="97"/>
      <c r="H71" s="41"/>
      <c r="I71" s="41"/>
      <c r="J71" s="24"/>
    </row>
    <row r="72" spans="2:10" x14ac:dyDescent="0.25">
      <c r="B72" s="98"/>
      <c r="C72" s="99"/>
      <c r="D72" s="99"/>
      <c r="E72" s="104"/>
      <c r="F72" s="39"/>
      <c r="G72" s="97"/>
      <c r="H72" s="41"/>
      <c r="I72" s="41"/>
      <c r="J72" s="24"/>
    </row>
    <row r="73" spans="2:10" ht="13.5" thickBot="1" x14ac:dyDescent="0.3">
      <c r="B73" s="98" t="s">
        <v>90</v>
      </c>
      <c r="C73" s="99">
        <f>+F65</f>
        <v>275</v>
      </c>
      <c r="D73" s="99">
        <f>+D58</f>
        <v>7000</v>
      </c>
      <c r="E73" s="104">
        <f>+C73/D73</f>
        <v>3.9285714285714285E-2</v>
      </c>
      <c r="F73" s="39"/>
      <c r="G73" s="97"/>
      <c r="H73" s="41"/>
      <c r="I73" s="41"/>
      <c r="J73" s="24"/>
    </row>
    <row r="74" spans="2:10" ht="13.5" thickBot="1" x14ac:dyDescent="0.3">
      <c r="B74" s="98" t="s">
        <v>91</v>
      </c>
      <c r="C74" s="99">
        <f>+F56</f>
        <v>5090.1822260759491</v>
      </c>
      <c r="D74" s="99">
        <f>+D73</f>
        <v>7000</v>
      </c>
      <c r="E74" s="100">
        <f>+C74/D74</f>
        <v>0.72716888943942126</v>
      </c>
      <c r="F74" s="39"/>
      <c r="G74" s="97"/>
      <c r="H74" s="41"/>
      <c r="I74" s="41"/>
      <c r="J74" s="24"/>
    </row>
    <row r="75" spans="2:10" ht="13.5" thickBot="1" x14ac:dyDescent="0.3">
      <c r="B75" s="63"/>
      <c r="C75" s="64"/>
      <c r="D75" s="64"/>
      <c r="E75" s="104"/>
      <c r="F75" s="39"/>
      <c r="G75" s="97"/>
      <c r="H75" s="41"/>
      <c r="I75" s="41"/>
      <c r="J75" s="24"/>
    </row>
    <row r="76" spans="2:10" ht="13.5" thickBot="1" x14ac:dyDescent="0.3">
      <c r="B76" s="98" t="s">
        <v>92</v>
      </c>
      <c r="C76" s="99">
        <f>+F54</f>
        <v>113.86194936708861</v>
      </c>
      <c r="D76" s="99">
        <f>+D74</f>
        <v>7000</v>
      </c>
      <c r="E76" s="100">
        <f>+C76/D76</f>
        <v>1.6265992766726946E-2</v>
      </c>
      <c r="F76" s="39"/>
      <c r="G76" s="97"/>
      <c r="H76" s="41"/>
      <c r="I76" s="41"/>
      <c r="J76" s="41"/>
    </row>
    <row r="77" spans="2:10" ht="13.5" thickBot="1" x14ac:dyDescent="0.3">
      <c r="B77" s="63"/>
      <c r="C77" s="64"/>
      <c r="D77" s="64"/>
      <c r="E77" s="104"/>
      <c r="F77" s="39"/>
      <c r="G77" s="97"/>
      <c r="H77" s="41"/>
      <c r="I77" s="41"/>
    </row>
    <row r="78" spans="2:10" ht="13.5" thickBot="1" x14ac:dyDescent="0.3">
      <c r="B78" s="236" t="s">
        <v>93</v>
      </c>
      <c r="C78" s="237"/>
      <c r="D78" s="238"/>
      <c r="E78" s="100">
        <f>+E69+E74</f>
        <v>4.6030207306265281</v>
      </c>
      <c r="G78" s="39"/>
      <c r="H78" s="97"/>
      <c r="I78" s="41"/>
      <c r="J78" s="104"/>
    </row>
    <row r="79" spans="2:10" x14ac:dyDescent="0.25">
      <c r="I79" s="97"/>
      <c r="J79" s="24"/>
    </row>
    <row r="80" spans="2:10" ht="13.5" thickBot="1" x14ac:dyDescent="0.3">
      <c r="B80" s="235" t="s">
        <v>94</v>
      </c>
      <c r="C80" s="235"/>
      <c r="D80" s="235"/>
      <c r="E80" s="235"/>
      <c r="F80" s="235"/>
      <c r="G80" s="39"/>
      <c r="H80" s="97"/>
      <c r="J80" s="24"/>
    </row>
    <row r="81" spans="1:10" ht="13.5" thickBot="1" x14ac:dyDescent="0.3">
      <c r="B81" s="98" t="s">
        <v>88</v>
      </c>
      <c r="C81" s="99">
        <f>+C69</f>
        <v>27130.96288830975</v>
      </c>
      <c r="D81" s="99">
        <f>+D60</f>
        <v>1</v>
      </c>
      <c r="E81" s="100">
        <f>+C81/D81</f>
        <v>27130.96288830975</v>
      </c>
      <c r="F81" s="39"/>
      <c r="G81" s="97"/>
      <c r="H81" s="41"/>
      <c r="I81" s="97"/>
      <c r="J81" s="24"/>
    </row>
    <row r="82" spans="1:10" x14ac:dyDescent="0.25">
      <c r="B82" s="101"/>
      <c r="C82" s="102"/>
      <c r="D82" s="103"/>
      <c r="E82" s="87"/>
      <c r="F82" s="39"/>
      <c r="G82" s="97"/>
      <c r="H82" s="41"/>
      <c r="I82" s="41"/>
      <c r="J82" s="24"/>
    </row>
    <row r="83" spans="1:10" x14ac:dyDescent="0.25">
      <c r="B83" s="98" t="s">
        <v>89</v>
      </c>
      <c r="C83" s="99">
        <f>+C71</f>
        <v>27787.444095443032</v>
      </c>
      <c r="D83" s="99">
        <f>+D60</f>
        <v>1</v>
      </c>
      <c r="E83" s="104">
        <f>+C83/D83</f>
        <v>27787.444095443032</v>
      </c>
      <c r="F83" s="39"/>
      <c r="G83" s="97"/>
      <c r="H83" s="41"/>
      <c r="I83" s="41"/>
      <c r="J83" s="24"/>
    </row>
    <row r="84" spans="1:10" x14ac:dyDescent="0.25">
      <c r="B84" s="98"/>
      <c r="C84" s="99"/>
      <c r="D84" s="99"/>
      <c r="E84" s="104"/>
      <c r="F84" s="39"/>
      <c r="G84" s="97"/>
      <c r="H84" s="41"/>
      <c r="I84" s="41"/>
      <c r="J84" s="24"/>
    </row>
    <row r="85" spans="1:10" ht="13.5" thickBot="1" x14ac:dyDescent="0.3">
      <c r="B85" s="98" t="s">
        <v>91</v>
      </c>
      <c r="C85" s="99">
        <f>+C73</f>
        <v>275</v>
      </c>
      <c r="D85" s="99">
        <f>+D60</f>
        <v>1</v>
      </c>
      <c r="E85" s="104">
        <f>+C85/D85</f>
        <v>275</v>
      </c>
      <c r="F85" s="107"/>
      <c r="G85" s="106"/>
      <c r="H85" s="23"/>
      <c r="I85" s="41"/>
    </row>
    <row r="86" spans="1:10" ht="13.5" thickBot="1" x14ac:dyDescent="0.3">
      <c r="B86" s="98" t="s">
        <v>91</v>
      </c>
      <c r="C86" s="99">
        <f>+C74</f>
        <v>5090.1822260759491</v>
      </c>
      <c r="D86" s="99">
        <f>+D85</f>
        <v>1</v>
      </c>
      <c r="E86" s="100">
        <f>+C86/D86</f>
        <v>5090.1822260759491</v>
      </c>
      <c r="F86" s="105"/>
      <c r="G86" s="106"/>
      <c r="H86" s="23"/>
      <c r="I86" s="23"/>
    </row>
    <row r="87" spans="1:10" x14ac:dyDescent="0.25">
      <c r="I87" s="23"/>
    </row>
    <row r="88" spans="1:10" x14ac:dyDescent="0.2">
      <c r="A88" s="239"/>
      <c r="B88" s="239"/>
      <c r="C88" s="108"/>
      <c r="D88" s="108"/>
      <c r="E88" s="109"/>
      <c r="G88" s="110"/>
    </row>
    <row r="89" spans="1:10" x14ac:dyDescent="0.2">
      <c r="A89" s="42"/>
      <c r="B89" s="111"/>
      <c r="C89" s="112"/>
      <c r="D89" s="112"/>
      <c r="E89" s="113"/>
      <c r="G89" s="110"/>
    </row>
    <row r="90" spans="1:10" x14ac:dyDescent="0.2">
      <c r="A90" s="42"/>
      <c r="B90" s="111"/>
      <c r="C90" s="114"/>
      <c r="D90" s="114"/>
      <c r="E90" s="42"/>
      <c r="G90" s="110"/>
    </row>
    <row r="91" spans="1:10" x14ac:dyDescent="0.2">
      <c r="A91" s="42"/>
      <c r="B91" s="111"/>
      <c r="C91" s="115"/>
      <c r="D91" s="115"/>
      <c r="E91" s="42"/>
      <c r="G91" s="110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8353A0-89EF-472C-9A96-098EDAB9F112}"/>
</file>

<file path=customXml/itemProps2.xml><?xml version="1.0" encoding="utf-8"?>
<ds:datastoreItem xmlns:ds="http://schemas.openxmlformats.org/officeDocument/2006/customXml" ds:itemID="{8D688C63-67B2-48EC-BAAB-13CB02ABE74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49828EC-6BC0-4BFD-AF3A-2147F27164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Liseth Lopez</dc:creator>
  <cp:lastModifiedBy>Allan Brenes</cp:lastModifiedBy>
  <cp:lastPrinted>2026-03-23T14:46:21Z</cp:lastPrinted>
  <dcterms:created xsi:type="dcterms:W3CDTF">2019-04-03T17:28:37Z</dcterms:created>
  <dcterms:modified xsi:type="dcterms:W3CDTF">2026-03-23T14:46:26Z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139600</vt:r8>
  </property>
  <property fmtid="{D5CDD505-2E9C-101B-9397-08002B2CF9AE}" pid="4" name="MediaServiceImageTags">
    <vt:lpwstr/>
  </property>
</Properties>
</file>
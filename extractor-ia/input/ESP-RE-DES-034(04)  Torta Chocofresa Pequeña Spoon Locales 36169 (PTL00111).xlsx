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189B9B12-4BE9-4F09-96B1-592CA6FA4B5B}" xr6:coauthVersionLast="47" xr6:coauthVersionMax="47" xr10:uidLastSave="{00000000-0000-0000-0000-000000000000}"/>
  <bookViews>
    <workbookView xWindow="-120" yWindow="-120" windowWidth="20730" windowHeight="11040" xr2:uid="{F79E3D71-E0A0-4E34-9A36-3FCEAEFF8C7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" l="1"/>
</calcChain>
</file>

<file path=xl/sharedStrings.xml><?xml version="1.0" encoding="utf-8"?>
<sst xmlns="http://schemas.openxmlformats.org/spreadsheetml/2006/main" count="137" uniqueCount="106">
  <si>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</si>
  <si>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</si>
  <si>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</si>
  <si>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</si>
  <si>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</si>
  <si>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</si>
  <si>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</si>
  <si>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</si>
  <si>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Decoración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</si>
  <si>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</si>
  <si>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</si>
  <si>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</si>
  <si>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</si>
  <si>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</si>
  <si>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</si>
  <si>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</si>
  <si>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</si>
  <si>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</si>
  <si>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</si>
  <si>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</si>
  <si>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SE00463</t>
  </si>
  <si>
    <t>ROSQUETE CHOCOLATE DAWN 220g</t>
  </si>
  <si>
    <t>FAS</t>
  </si>
  <si>
    <t>g</t>
  </si>
  <si>
    <t>SE00337</t>
  </si>
  <si>
    <t>EMPAQUE RELLENO DE FUDGE CHOCOLATE SPOON</t>
  </si>
  <si>
    <t>905000001</t>
  </si>
  <si>
    <t>SE00018</t>
  </si>
  <si>
    <t>BATIDO RELL P/TORTA CHOCOFRESA KILO</t>
  </si>
  <si>
    <t>SE00504</t>
  </si>
  <si>
    <t>EMPAQ RELLENO DE FRESA NATURAL</t>
  </si>
  <si>
    <t>SE00019</t>
  </si>
  <si>
    <t>SUSPIRO QUEBRADO 7650 g</t>
  </si>
  <si>
    <t>SE00024</t>
  </si>
  <si>
    <t>CREMA CHANTILLY CHOCO (SPOON-IND)(24875g</t>
  </si>
  <si>
    <t>SE00025</t>
  </si>
  <si>
    <t>SE00506</t>
  </si>
  <si>
    <t>PROCESADO BORONA CHOCOLATE</t>
  </si>
  <si>
    <t>EM10025</t>
  </si>
  <si>
    <t>RAPIBOX</t>
  </si>
  <si>
    <t>ud</t>
  </si>
  <si>
    <t>703020</t>
  </si>
  <si>
    <t>EM10248</t>
  </si>
  <si>
    <t>CINTA ADHESIVA TRANSPARENTE 2*100</t>
  </si>
  <si>
    <t>MAYCA</t>
  </si>
  <si>
    <t>EM10021</t>
  </si>
  <si>
    <t>0702123</t>
  </si>
  <si>
    <t>EM10011</t>
  </si>
  <si>
    <t>ETIQUETA BLANCA 2 5/8X1 15/16</t>
  </si>
  <si>
    <t xml:space="preserve">CEMUSA </t>
  </si>
  <si>
    <t>º701096</t>
  </si>
  <si>
    <t>EM10124</t>
  </si>
  <si>
    <t>0702069</t>
  </si>
  <si>
    <t>EM1002</t>
  </si>
  <si>
    <t>ETIQ.BLANCA 1 1/4 * 3/4</t>
  </si>
  <si>
    <t>CEMUSA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</si>
  <si>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</si>
  <si>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</si>
  <si>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</si>
  <si>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</si>
  <si>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</si>
  <si>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</si>
  <si>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</si>
  <si>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</si>
  <si>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</si>
  <si>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</si>
  <si>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</si>
  <si>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</si>
  <si>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Partir el rosquete por la mitad, usaremos uno y medio, rellenar dos con relleno de fudge. Esparcir bien con ayuda de una espatula.</t>
  </si>
  <si>
    <t>2.- Colocar encima del fudge el relleno de chocofresa y esparcir bien con espatula, colocar el relleno de fresa y solamente en uno de los rellenos agregar encima el suspiro triturado. Tapar con la otra tapa del rosquete.</t>
  </si>
  <si>
    <t>3.- Encremar la torta con la crema chantilly de chocolate,y marmolear con crema liquida los bordes.</t>
  </si>
  <si>
    <t>5.- Decorar con virtuta de chocolate. Acrode a la fotografia.</t>
  </si>
  <si>
    <t>CONTROL DE CAMBIOS</t>
  </si>
  <si>
    <t>MP10006</t>
  </si>
  <si>
    <t>RICH</t>
  </si>
  <si>
    <t>Javier Tong, Chef</t>
  </si>
  <si>
    <t>Esteban Cartin, Gte Manufactura</t>
  </si>
  <si>
    <t>Decoracion</t>
  </si>
  <si>
    <t>Ensamble</t>
  </si>
  <si>
    <t>1,5 UND</t>
  </si>
  <si>
    <t>1/3 TAZA (90G) X 2 RELLENOS</t>
  </si>
  <si>
    <t>1/4 TAZA (2DO RELLENO SOLAMENTE)</t>
  </si>
  <si>
    <t>ENCREMAR</t>
  </si>
  <si>
    <t>COLOCHO BOQUILLA 127</t>
  </si>
  <si>
    <t>CREMA BETTERCREAM DOBLE CHOCOLATE</t>
  </si>
  <si>
    <t>BORDES</t>
  </si>
  <si>
    <t>Empaque</t>
  </si>
  <si>
    <t>ORLA CARTON  8" DORADA</t>
  </si>
  <si>
    <t>QUEQUERA RED C/BASE ALTA 9"</t>
  </si>
  <si>
    <t>GRACOPACK</t>
  </si>
  <si>
    <t>ETIQUETA BLANCA R-153</t>
  </si>
  <si>
    <t>ETIPLAST</t>
  </si>
  <si>
    <t>ESP-RE-DES-034</t>
  </si>
  <si>
    <t>1/4 TAZA (75G) X 2 RELLENOS</t>
  </si>
  <si>
    <t>1/4 TAZA (45G) X 2 RELLENOS</t>
  </si>
  <si>
    <t>6.- Colocar en el domo. Tapar y Etiquetar con nombre, ingredientes, lote y fecha</t>
  </si>
  <si>
    <t xml:space="preserve">2, Se actualizan datos de receta y procedimiento </t>
  </si>
  <si>
    <t xml:space="preserve">1/4 TAZA </t>
  </si>
  <si>
    <t>TOPPIN DE SALSA DE FRESA</t>
  </si>
  <si>
    <t>4. Decorar con la boquilla #127 colocho de crema chantilly  todo el borde, Colocar en el centro el toppin de salsa de fresa.</t>
  </si>
  <si>
    <t>SE00703</t>
  </si>
  <si>
    <t>3, Se cambio dato de receta a Toppin de salsa de Fresa</t>
  </si>
  <si>
    <t>4, Se actualiza dato medida borona</t>
  </si>
  <si>
    <t>1 CUCHARADITA</t>
  </si>
  <si>
    <t>04</t>
  </si>
  <si>
    <t xml:space="preserve"> Torta Chocofresa Pequeña Spoon Locales 36169 (PTL00111)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</si>
</sst>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43" fontId="5" fillId="0" borderId="0" applyFont="0" applyFill="0" applyBorder="0" applyAlignment="0" applyProtection="0"/>
  </cellStyleXfs>
  <cellXfs count="192">
    <xf numFmtId="0" fontId="0" fillId="0" borderId="0" xfId="0"/>
    <xf numFmtId="0" fontId="2" fillId="2" borderId="3" xfId="1" applyFont="1" applyFill="1" applyBorder="1" applyAlignment="1">
      <alignment horizontal="right"/>
    </xf>
    <xf numFmtId="0" fontId="6" fillId="2" borderId="4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right"/>
    </xf>
    <xf numFmtId="49" fontId="6" fillId="2" borderId="8" xfId="1" applyNumberFormat="1" applyFont="1" applyFill="1" applyBorder="1" applyAlignment="1">
      <alignment horizontal="center"/>
    </xf>
    <xf numFmtId="0" fontId="6" fillId="2" borderId="14" xfId="1" applyFont="1" applyFill="1" applyBorder="1" applyAlignment="1">
      <alignment horizontal="right"/>
    </xf>
    <xf numFmtId="0" fontId="6" fillId="2" borderId="7" xfId="1" applyFont="1" applyFill="1" applyBorder="1" applyAlignment="1">
      <alignment horizontal="right"/>
    </xf>
    <xf numFmtId="14" fontId="7" fillId="2" borderId="0" xfId="2" applyNumberFormat="1" applyFont="1" applyFill="1" applyAlignment="1">
      <alignment horizontal="center" vertical="center" wrapText="1"/>
    </xf>
    <xf numFmtId="0" fontId="2" fillId="4" borderId="4" xfId="3" applyFont="1" applyFill="1" applyBorder="1" applyAlignment="1">
      <alignment horizontal="center" vertical="center" wrapText="1"/>
    </xf>
    <xf numFmtId="1" fontId="2" fillId="4" borderId="21" xfId="3" applyNumberFormat="1" applyFont="1" applyFill="1" applyBorder="1" applyAlignment="1">
      <alignment horizontal="center"/>
    </xf>
    <xf numFmtId="1" fontId="2" fillId="4" borderId="21" xfId="3" applyNumberFormat="1" applyFont="1" applyFill="1" applyBorder="1" applyAlignment="1">
      <alignment horizontal="center" wrapText="1"/>
    </xf>
    <xf numFmtId="0" fontId="2" fillId="4" borderId="28" xfId="3" applyFont="1" applyFill="1" applyBorder="1" applyAlignment="1">
      <alignment horizontal="center"/>
    </xf>
    <xf numFmtId="0" fontId="8" fillId="0" borderId="29" xfId="3" applyFont="1" applyBorder="1" applyAlignment="1">
      <alignment horizontal="center" vertical="center"/>
    </xf>
    <xf numFmtId="0" fontId="8" fillId="0" borderId="30" xfId="3" applyFont="1" applyBorder="1" applyAlignment="1">
      <alignment horizontal="center" vertical="center"/>
    </xf>
    <xf numFmtId="0" fontId="9" fillId="0" borderId="7" xfId="3" applyFont="1" applyBorder="1" applyAlignment="1">
      <alignment vertical="center"/>
    </xf>
    <xf numFmtId="0" fontId="8" fillId="0" borderId="7" xfId="3" applyFont="1" applyBorder="1" applyAlignment="1">
      <alignment horizontal="center" vertical="center"/>
    </xf>
    <xf numFmtId="1" fontId="8" fillId="0" borderId="7" xfId="3" applyNumberFormat="1" applyFont="1" applyBorder="1" applyAlignment="1">
      <alignment horizontal="center"/>
    </xf>
    <xf numFmtId="1" fontId="8" fillId="0" borderId="7" xfId="3" applyNumberFormat="1" applyFont="1" applyBorder="1" applyAlignment="1">
      <alignment horizontal="center" wrapText="1"/>
    </xf>
    <xf numFmtId="0" fontId="10" fillId="0" borderId="8" xfId="3" applyFont="1" applyBorder="1" applyAlignment="1">
      <alignment horizontal="center"/>
    </xf>
    <xf numFmtId="0" fontId="11" fillId="5" borderId="29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14" xfId="0" applyFont="1" applyFill="1" applyBorder="1"/>
    <xf numFmtId="0" fontId="6" fillId="5" borderId="30" xfId="0" applyFont="1" applyFill="1" applyBorder="1" applyAlignment="1">
      <alignment horizontal="center"/>
    </xf>
    <xf numFmtId="1" fontId="6" fillId="5" borderId="7" xfId="0" applyNumberFormat="1" applyFont="1" applyFill="1" applyBorder="1" applyAlignment="1">
      <alignment horizontal="center"/>
    </xf>
    <xf numFmtId="1" fontId="6" fillId="5" borderId="7" xfId="0" applyNumberFormat="1" applyFont="1" applyFill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12" fontId="6" fillId="0" borderId="14" xfId="0" applyNumberFormat="1" applyFont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1" fillId="5" borderId="7" xfId="0" applyFont="1" applyFill="1" applyBorder="1"/>
    <xf numFmtId="1" fontId="6" fillId="5" borderId="14" xfId="0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2" fillId="6" borderId="7" xfId="0" applyFont="1" applyFill="1" applyBorder="1"/>
    <xf numFmtId="0" fontId="6" fillId="0" borderId="7" xfId="0" applyFont="1" applyBorder="1" applyAlignment="1">
      <alignment horizontal="center" wrapText="1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2" fillId="6" borderId="7" xfId="0" applyFont="1" applyFill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12" fillId="6" borderId="7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/>
    <xf numFmtId="16" fontId="10" fillId="0" borderId="30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 wrapText="1"/>
    </xf>
    <xf numFmtId="49" fontId="10" fillId="0" borderId="29" xfId="3" applyNumberFormat="1" applyFont="1" applyBorder="1" applyAlignment="1">
      <alignment horizontal="center"/>
    </xf>
    <xf numFmtId="49" fontId="10" fillId="0" borderId="30" xfId="3" applyNumberFormat="1" applyFont="1" applyBorder="1" applyAlignment="1">
      <alignment horizontal="center"/>
    </xf>
    <xf numFmtId="0" fontId="8" fillId="5" borderId="7" xfId="3" applyFont="1" applyFill="1" applyBorder="1" applyAlignment="1">
      <alignment horizontal="left"/>
    </xf>
    <xf numFmtId="0" fontId="10" fillId="0" borderId="7" xfId="3" applyFont="1" applyBorder="1" applyAlignment="1">
      <alignment horizontal="center"/>
    </xf>
    <xf numFmtId="165" fontId="10" fillId="0" borderId="7" xfId="3" applyNumberFormat="1" applyFont="1" applyBorder="1" applyAlignment="1">
      <alignment horizontal="center"/>
    </xf>
    <xf numFmtId="1" fontId="10" fillId="0" borderId="7" xfId="3" applyNumberFormat="1" applyFont="1" applyBorder="1" applyAlignment="1">
      <alignment horizontal="center" wrapText="1"/>
    </xf>
    <xf numFmtId="0" fontId="11" fillId="5" borderId="40" xfId="0" applyFont="1" applyFill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6" fillId="5" borderId="7" xfId="3" applyNumberFormat="1" applyFont="1" applyFill="1" applyBorder="1" applyAlignment="1">
      <alignment horizontal="center"/>
    </xf>
    <xf numFmtId="1" fontId="6" fillId="5" borderId="7" xfId="3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16" fontId="6" fillId="5" borderId="7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16" fontId="6" fillId="0" borderId="7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 wrapText="1"/>
    </xf>
    <xf numFmtId="49" fontId="8" fillId="0" borderId="43" xfId="3" applyNumberFormat="1" applyFont="1" applyBorder="1" applyAlignment="1">
      <alignment horizontal="center"/>
    </xf>
    <xf numFmtId="49" fontId="8" fillId="0" borderId="32" xfId="3" applyNumberFormat="1" applyFont="1" applyBorder="1" applyAlignment="1">
      <alignment horizontal="center"/>
    </xf>
    <xf numFmtId="0" fontId="9" fillId="5" borderId="7" xfId="3" applyFont="1" applyFill="1" applyBorder="1" applyAlignment="1">
      <alignment vertical="center"/>
    </xf>
    <xf numFmtId="0" fontId="8" fillId="0" borderId="30" xfId="3" applyFont="1" applyBorder="1" applyAlignment="1">
      <alignment horizontal="center"/>
    </xf>
    <xf numFmtId="165" fontId="8" fillId="0" borderId="7" xfId="3" applyNumberFormat="1" applyFont="1" applyBorder="1" applyAlignment="1">
      <alignment horizontal="center"/>
    </xf>
    <xf numFmtId="49" fontId="10" fillId="0" borderId="7" xfId="3" applyNumberFormat="1" applyFont="1" applyBorder="1"/>
    <xf numFmtId="49" fontId="10" fillId="0" borderId="7" xfId="3" applyNumberFormat="1" applyFont="1" applyBorder="1" applyAlignment="1">
      <alignment horizontal="center"/>
    </xf>
    <xf numFmtId="1" fontId="10" fillId="0" borderId="7" xfId="3" applyNumberFormat="1" applyFont="1" applyBorder="1" applyAlignment="1">
      <alignment horizontal="center"/>
    </xf>
    <xf numFmtId="166" fontId="2" fillId="5" borderId="7" xfId="4" applyNumberFormat="1" applyFont="1" applyFill="1" applyBorder="1" applyAlignment="1">
      <alignment horizontal="center"/>
    </xf>
    <xf numFmtId="16" fontId="10" fillId="0" borderId="7" xfId="3" applyNumberFormat="1" applyFont="1" applyBorder="1" applyAlignment="1">
      <alignment horizontal="center"/>
    </xf>
    <xf numFmtId="1" fontId="6" fillId="0" borderId="14" xfId="3" applyNumberFormat="1" applyFont="1" applyBorder="1" applyAlignment="1">
      <alignment horizontal="center"/>
    </xf>
    <xf numFmtId="0" fontId="6" fillId="0" borderId="14" xfId="3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wrapText="1"/>
    </xf>
    <xf numFmtId="1" fontId="14" fillId="0" borderId="7" xfId="0" applyNumberFormat="1" applyFont="1" applyBorder="1" applyAlignment="1">
      <alignment horizontal="left" vertical="center"/>
    </xf>
    <xf numFmtId="12" fontId="10" fillId="0" borderId="7" xfId="3" applyNumberFormat="1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1" fontId="10" fillId="5" borderId="7" xfId="0" applyNumberFormat="1" applyFont="1" applyFill="1" applyBorder="1"/>
    <xf numFmtId="0" fontId="10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 wrapText="1"/>
    </xf>
    <xf numFmtId="49" fontId="16" fillId="2" borderId="5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6" fillId="2" borderId="0" xfId="3" applyFont="1" applyFill="1"/>
    <xf numFmtId="1" fontId="6" fillId="2" borderId="0" xfId="3" applyNumberFormat="1" applyFont="1" applyFill="1" applyAlignment="1">
      <alignment horizontal="center"/>
    </xf>
    <xf numFmtId="164" fontId="6" fillId="2" borderId="0" xfId="3" applyNumberFormat="1" applyFont="1" applyFill="1" applyAlignment="1">
      <alignment horizontal="center" wrapText="1"/>
    </xf>
    <xf numFmtId="0" fontId="6" fillId="2" borderId="34" xfId="3" applyFont="1" applyFill="1" applyBorder="1" applyAlignment="1">
      <alignment horizontal="center"/>
    </xf>
    <xf numFmtId="0" fontId="6" fillId="4" borderId="35" xfId="3" applyFont="1" applyFill="1" applyBorder="1" applyAlignment="1">
      <alignment horizontal="center"/>
    </xf>
    <xf numFmtId="0" fontId="6" fillId="4" borderId="36" xfId="3" applyFont="1" applyFill="1" applyBorder="1" applyAlignment="1">
      <alignment horizontal="center"/>
    </xf>
    <xf numFmtId="0" fontId="6" fillId="4" borderId="36" xfId="3" applyFont="1" applyFill="1" applyBorder="1"/>
    <xf numFmtId="0" fontId="2" fillId="4" borderId="36" xfId="3" applyFont="1" applyFill="1" applyBorder="1" applyAlignment="1">
      <alignment horizontal="center"/>
    </xf>
    <xf numFmtId="1" fontId="2" fillId="4" borderId="36" xfId="3" applyNumberFormat="1" applyFont="1" applyFill="1" applyBorder="1" applyAlignment="1">
      <alignment horizontal="center"/>
    </xf>
    <xf numFmtId="164" fontId="6" fillId="4" borderId="36" xfId="3" applyNumberFormat="1" applyFont="1" applyFill="1" applyBorder="1" applyAlignment="1">
      <alignment horizontal="center" wrapText="1"/>
    </xf>
    <xf numFmtId="0" fontId="6" fillId="4" borderId="37" xfId="3" applyFont="1" applyFill="1" applyBorder="1" applyAlignment="1">
      <alignment horizontal="center"/>
    </xf>
    <xf numFmtId="0" fontId="6" fillId="0" borderId="41" xfId="0" applyFont="1" applyBorder="1" applyAlignment="1">
      <alignment horizontal="center"/>
    </xf>
    <xf numFmtId="1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11" fillId="8" borderId="14" xfId="0" applyFont="1" applyFill="1" applyBorder="1"/>
    <xf numFmtId="0" fontId="11" fillId="8" borderId="40" xfId="0" applyFont="1" applyFill="1" applyBorder="1" applyAlignment="1">
      <alignment horizontal="center"/>
    </xf>
    <xf numFmtId="14" fontId="6" fillId="2" borderId="13" xfId="1" applyNumberFormat="1" applyFont="1" applyFill="1" applyBorder="1" applyAlignment="1">
      <alignment horizontal="center" vertical="center" wrapText="1"/>
    </xf>
    <xf numFmtId="14" fontId="6" fillId="2" borderId="19" xfId="1" applyNumberFormat="1" applyFont="1" applyFill="1" applyBorder="1" applyAlignment="1">
      <alignment horizontal="center" vertical="center" wrapText="1"/>
    </xf>
    <xf numFmtId="14" fontId="6" fillId="2" borderId="46" xfId="1" applyNumberFormat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17" xfId="1" applyFont="1" applyFill="1" applyBorder="1" applyAlignment="1">
      <alignment horizontal="left"/>
    </xf>
    <xf numFmtId="0" fontId="6" fillId="2" borderId="31" xfId="1" applyFont="1" applyFill="1" applyBorder="1" applyAlignment="1">
      <alignment horizontal="left"/>
    </xf>
    <xf numFmtId="0" fontId="6" fillId="2" borderId="32" xfId="1" applyFont="1" applyFill="1" applyBorder="1" applyAlignment="1">
      <alignment horizontal="left"/>
    </xf>
    <xf numFmtId="0" fontId="6" fillId="2" borderId="30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right" vertical="top" wrapText="1"/>
    </xf>
    <xf numFmtId="0" fontId="2" fillId="2" borderId="18" xfId="1" applyFont="1" applyFill="1" applyBorder="1" applyAlignment="1">
      <alignment horizontal="right" vertical="top" wrapText="1"/>
    </xf>
    <xf numFmtId="0" fontId="2" fillId="2" borderId="25" xfId="1" applyFont="1" applyFill="1" applyBorder="1" applyAlignment="1">
      <alignment horizontal="right" vertical="top" wrapText="1"/>
    </xf>
    <xf numFmtId="0" fontId="3" fillId="2" borderId="0" xfId="2" applyFont="1" applyFill="1" applyAlignment="1">
      <alignment horizontal="right"/>
    </xf>
    <xf numFmtId="0" fontId="7" fillId="2" borderId="20" xfId="2" applyFont="1" applyFill="1" applyBorder="1" applyAlignment="1">
      <alignment horizontal="center"/>
    </xf>
    <xf numFmtId="0" fontId="3" fillId="2" borderId="0" xfId="2" applyFont="1" applyFill="1"/>
    <xf numFmtId="0" fontId="2" fillId="4" borderId="26" xfId="3" applyFont="1" applyFill="1" applyBorder="1" applyAlignment="1">
      <alignment horizontal="center" vertical="center"/>
    </xf>
    <xf numFmtId="0" fontId="2" fillId="4" borderId="27" xfId="3" applyFont="1" applyFill="1" applyBorder="1" applyAlignment="1">
      <alignment horizontal="center" vertical="center"/>
    </xf>
    <xf numFmtId="0" fontId="2" fillId="4" borderId="26" xfId="3" applyFont="1" applyFill="1" applyBorder="1" applyAlignment="1">
      <alignment horizontal="center" vertical="center" wrapText="1"/>
    </xf>
    <xf numFmtId="0" fontId="2" fillId="4" borderId="27" xfId="3" applyFont="1" applyFill="1" applyBorder="1" applyAlignment="1">
      <alignment horizontal="center" vertical="center" wrapText="1"/>
    </xf>
    <xf numFmtId="0" fontId="2" fillId="4" borderId="3" xfId="3" applyFont="1" applyFill="1" applyBorder="1" applyAlignment="1">
      <alignment horizontal="center" vertical="center"/>
    </xf>
    <xf numFmtId="0" fontId="2" fillId="4" borderId="21" xfId="3" applyFont="1" applyFill="1" applyBorder="1" applyAlignment="1">
      <alignment horizontal="center" vertical="center"/>
    </xf>
    <xf numFmtId="0" fontId="2" fillId="0" borderId="38" xfId="3" applyFont="1" applyBorder="1" applyAlignment="1">
      <alignment horizontal="right"/>
    </xf>
    <xf numFmtId="0" fontId="2" fillId="0" borderId="39" xfId="3" applyFont="1" applyBorder="1" applyAlignment="1">
      <alignment horizontal="right"/>
    </xf>
    <xf numFmtId="0" fontId="2" fillId="0" borderId="40" xfId="3" applyFont="1" applyBorder="1" applyAlignment="1">
      <alignment horizontal="right"/>
    </xf>
    <xf numFmtId="164" fontId="6" fillId="0" borderId="14" xfId="3" applyNumberFormat="1" applyFont="1" applyBorder="1" applyAlignment="1">
      <alignment horizontal="right"/>
    </xf>
    <xf numFmtId="0" fontId="6" fillId="2" borderId="41" xfId="3" applyFont="1" applyFill="1" applyBorder="1" applyAlignment="1">
      <alignment horizontal="center"/>
    </xf>
    <xf numFmtId="0" fontId="6" fillId="2" borderId="42" xfId="3" applyFont="1" applyFill="1" applyBorder="1" applyAlignment="1">
      <alignment horizontal="center"/>
    </xf>
    <xf numFmtId="0" fontId="2" fillId="0" borderId="43" xfId="3" applyFont="1" applyBorder="1" applyAlignment="1">
      <alignment horizontal="right"/>
    </xf>
    <xf numFmtId="0" fontId="2" fillId="0" borderId="32" xfId="3" applyFont="1" applyBorder="1" applyAlignment="1">
      <alignment horizontal="right"/>
    </xf>
    <xf numFmtId="0" fontId="2" fillId="0" borderId="30" xfId="3" applyFont="1" applyBorder="1" applyAlignment="1">
      <alignment horizontal="right"/>
    </xf>
    <xf numFmtId="0" fontId="6" fillId="0" borderId="7" xfId="3" applyFont="1" applyBorder="1" applyAlignment="1">
      <alignment horizontal="right"/>
    </xf>
    <xf numFmtId="164" fontId="6" fillId="0" borderId="31" xfId="3" applyNumberFormat="1" applyFont="1" applyBorder="1" applyAlignment="1">
      <alignment horizontal="center"/>
    </xf>
    <xf numFmtId="164" fontId="6" fillId="0" borderId="33" xfId="3" applyNumberFormat="1" applyFont="1" applyBorder="1" applyAlignment="1">
      <alignment horizontal="center"/>
    </xf>
    <xf numFmtId="0" fontId="6" fillId="0" borderId="45" xfId="0" applyFont="1" applyBorder="1" applyAlignment="1">
      <alignment horizontal="left" wrapText="1"/>
    </xf>
    <xf numFmtId="0" fontId="6" fillId="0" borderId="40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46" xfId="0" applyFont="1" applyBorder="1" applyAlignment="1">
      <alignment horizontal="left" wrapText="1"/>
    </xf>
    <xf numFmtId="164" fontId="6" fillId="0" borderId="31" xfId="3" applyNumberFormat="1" applyFont="1" applyBorder="1" applyAlignment="1">
      <alignment horizontal="right" wrapText="1"/>
    </xf>
    <xf numFmtId="164" fontId="6" fillId="0" borderId="30" xfId="3" applyNumberFormat="1" applyFont="1" applyBorder="1" applyAlignment="1">
      <alignment horizontal="right" wrapText="1"/>
    </xf>
    <xf numFmtId="164" fontId="6" fillId="0" borderId="31" xfId="0" applyNumberFormat="1" applyFont="1" applyBorder="1" applyAlignment="1">
      <alignment horizontal="center" wrapText="1"/>
    </xf>
    <xf numFmtId="164" fontId="6" fillId="0" borderId="33" xfId="0" applyNumberFormat="1" applyFont="1" applyBorder="1" applyAlignment="1">
      <alignment horizontal="center" wrapText="1"/>
    </xf>
    <xf numFmtId="0" fontId="2" fillId="0" borderId="27" xfId="3" applyFont="1" applyBorder="1" applyAlignment="1">
      <alignment horizontal="right"/>
    </xf>
    <xf numFmtId="0" fontId="2" fillId="0" borderId="24" xfId="3" applyFont="1" applyBorder="1" applyAlignment="1">
      <alignment horizontal="right"/>
    </xf>
    <xf numFmtId="0" fontId="2" fillId="0" borderId="21" xfId="3" applyFont="1" applyBorder="1" applyAlignment="1">
      <alignment horizontal="right"/>
    </xf>
    <xf numFmtId="0" fontId="6" fillId="0" borderId="21" xfId="3" applyFont="1" applyBorder="1" applyAlignment="1">
      <alignment horizontal="right"/>
    </xf>
    <xf numFmtId="0" fontId="2" fillId="4" borderId="35" xfId="3" applyFont="1" applyFill="1" applyBorder="1" applyAlignment="1">
      <alignment horizontal="left"/>
    </xf>
    <xf numFmtId="0" fontId="2" fillId="4" borderId="36" xfId="3" applyFont="1" applyFill="1" applyBorder="1" applyAlignment="1">
      <alignment horizontal="left"/>
    </xf>
    <xf numFmtId="0" fontId="2" fillId="4" borderId="37" xfId="3" applyFont="1" applyFill="1" applyBorder="1" applyAlignment="1">
      <alignment horizontal="left"/>
    </xf>
    <xf numFmtId="0" fontId="6" fillId="0" borderId="45" xfId="0" applyFont="1" applyBorder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6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2" fillId="7" borderId="47" xfId="1" applyFont="1" applyFill="1" applyBorder="1" applyAlignment="1">
      <alignment horizontal="center"/>
    </xf>
    <xf numFmtId="0" fontId="2" fillId="7" borderId="2" xfId="1" applyFont="1" applyFill="1" applyBorder="1" applyAlignment="1">
      <alignment horizontal="center"/>
    </xf>
    <xf numFmtId="0" fontId="6" fillId="2" borderId="49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45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43" xfId="0" applyFont="1" applyBorder="1" applyAlignment="1">
      <alignment horizontal="left" wrapText="1"/>
    </xf>
    <xf numFmtId="0" fontId="6" fillId="0" borderId="32" xfId="0" applyFont="1" applyBorder="1" applyAlignment="1">
      <alignment horizontal="left" wrapText="1"/>
    </xf>
    <xf numFmtId="0" fontId="6" fillId="0" borderId="30" xfId="0" applyFont="1" applyBorder="1" applyAlignment="1">
      <alignment horizontal="left" wrapText="1"/>
    </xf>
    <xf numFmtId="0" fontId="6" fillId="0" borderId="48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44" xfId="0" applyFont="1" applyBorder="1" applyAlignment="1">
      <alignment horizontal="left"/>
    </xf>
  </cellXfs>
  <cellStyles count="5">
    <cellStyle name="Millares" xfId="4" builtinId="3"/>
    <cellStyle name="Normal" xfId="0" builtinId="0"/>
    <cellStyle name="Normal 2" xfId="3" xr:uid="{DAB45E9D-6FDC-442A-A2E4-EEA95ED5DD43}"/>
    <cellStyle name="Normal_CRITERIOS DE EVALUACION PT DE GB" xfId="1" xr:uid="{5236B2E5-360A-4195-9430-89D7AF8C58C3}"/>
    <cellStyle name="Normal_CRITERIOS DE EVALUACION PT DE GB 2" xfId="2" xr:uid="{F8D7A103-DC64-4620-86C2-5FF91AEA30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130629</xdr:colOff>
      <xdr:row>0</xdr:row>
      <xdr:rowOff>141515</xdr:rowOff>
    </xdr:from>
    <xdr:to>
      <xdr:col>1</xdr:col>
      <xdr:colOff>499655</xdr:colOff>
      <xdr:row>3</xdr:row>
      <xdr:rowOff>72935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EADFD4E-C2DD-4D9F-A920-4A21DD339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29" y="141515"/>
          <a:ext cx="14249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8298-FF7E-4F72-9E17-B0262432F75C}">
  <dimension ref="A1:I58"/>
  <sheetViews>
    <sheetView tabSelected="1" zoomScale="70" zoomScaleNormal="70" zoomScaleSheetLayoutView="85" workbookViewId="0">
      <selection sqref="A1:B5"/>
    </sheetView>
  </sheetViews>
  <sheetFormatPr baseColWidth="10" defaultRowHeight="15" x14ac:dyDescent="0.25"/>
  <cols>
    <col min="1" max="1" width="15.42578125" bestFit="1" customWidth="1"/>
    <col min="3" max="3" width="49" customWidth="1"/>
    <col min="4" max="4" width="34.42578125" bestFit="1" customWidth="1"/>
    <col min="5" max="5" width="11.5703125" bestFit="1" customWidth="1"/>
    <col min="8" max="8" width="33.7109375" bestFit="1" customWidth="1"/>
    <col min="9" max="9" width="21.28515625" bestFit="1" customWidth="1"/>
  </cols>
  <sheetData>
    <row r="1" spans="1:9" ht="18" x14ac:dyDescent="0.25">
      <c r="A1" s="115"/>
      <c r="B1" s="116"/>
      <c r="C1" s="121" t="s">
        <v>0</v>
      </c>
      <c r="D1" s="121"/>
      <c r="E1" s="121"/>
      <c r="F1" s="121"/>
      <c r="G1" s="121"/>
      <c r="H1" s="1" t="s">
        <v>1</v>
      </c>
      <c r="I1" s="2" t="s">
        <v>92</v>
      </c>
    </row>
    <row r="2" spans="1:9" ht="18" customHeight="1" thickBot="1" x14ac:dyDescent="0.3">
      <c r="A2" s="117"/>
      <c r="B2" s="118"/>
      <c r="C2" s="122" t="s">
        <v>2</v>
      </c>
      <c r="D2" s="123"/>
      <c r="E2" s="123"/>
      <c r="F2" s="123"/>
      <c r="G2" s="124"/>
      <c r="H2" s="3" t="s">
        <v>3</v>
      </c>
      <c r="I2" s="4" t="s">
        <v>104</v>
      </c>
    </row>
    <row r="3" spans="1:9" ht="31.5" customHeight="1" thickBot="1" x14ac:dyDescent="0.3">
      <c r="A3" s="117"/>
      <c r="B3" s="118"/>
      <c r="C3" s="125" t="s">
        <v>105</v>
      </c>
      <c r="D3" s="126"/>
      <c r="E3" s="126"/>
      <c r="F3" s="126"/>
      <c r="G3" s="127"/>
      <c r="H3" s="128" t="s">
        <v>4</v>
      </c>
      <c r="I3" s="106">
        <v>45613</v>
      </c>
    </row>
    <row r="4" spans="1:9" ht="18" customHeight="1" x14ac:dyDescent="0.25">
      <c r="A4" s="117"/>
      <c r="B4" s="118"/>
      <c r="C4" s="5" t="s">
        <v>5</v>
      </c>
      <c r="D4" s="109" t="s">
        <v>75</v>
      </c>
      <c r="E4" s="110"/>
      <c r="F4" s="110"/>
      <c r="G4" s="111"/>
      <c r="H4" s="129"/>
      <c r="I4" s="107"/>
    </row>
    <row r="5" spans="1:9" ht="18.75" thickBot="1" x14ac:dyDescent="0.3">
      <c r="A5" s="119"/>
      <c r="B5" s="120"/>
      <c r="C5" s="6" t="s">
        <v>6</v>
      </c>
      <c r="D5" s="112" t="s">
        <v>76</v>
      </c>
      <c r="E5" s="113"/>
      <c r="F5" s="113"/>
      <c r="G5" s="114"/>
      <c r="H5" s="130"/>
      <c r="I5" s="108"/>
    </row>
    <row r="6" spans="1:9" ht="18.75" thickBot="1" x14ac:dyDescent="0.3">
      <c r="A6" s="131" t="s">
        <v>7</v>
      </c>
      <c r="B6" s="131"/>
      <c r="C6" s="131"/>
      <c r="D6" s="132" t="s">
        <v>8</v>
      </c>
      <c r="E6" s="132"/>
      <c r="F6" s="132"/>
      <c r="G6" s="133" t="s">
        <v>9</v>
      </c>
      <c r="H6" s="133"/>
      <c r="I6" s="7" t="s">
        <v>77</v>
      </c>
    </row>
    <row r="7" spans="1:9" ht="36" x14ac:dyDescent="0.25">
      <c r="A7" s="134" t="s">
        <v>10</v>
      </c>
      <c r="B7" s="136" t="s">
        <v>11</v>
      </c>
      <c r="C7" s="138" t="s">
        <v>12</v>
      </c>
      <c r="D7" s="138" t="s">
        <v>13</v>
      </c>
      <c r="E7" s="138" t="s">
        <v>14</v>
      </c>
      <c r="F7" s="138"/>
      <c r="G7" s="138" t="s">
        <v>15</v>
      </c>
      <c r="H7" s="138"/>
      <c r="I7" s="8" t="s">
        <v>16</v>
      </c>
    </row>
    <row r="8" spans="1:9" ht="54.75" thickBot="1" x14ac:dyDescent="0.3">
      <c r="A8" s="135"/>
      <c r="B8" s="137"/>
      <c r="C8" s="139"/>
      <c r="D8" s="139"/>
      <c r="E8" s="9" t="s">
        <v>17</v>
      </c>
      <c r="F8" s="10" t="s">
        <v>18</v>
      </c>
      <c r="G8" s="9" t="s">
        <v>17</v>
      </c>
      <c r="H8" s="10" t="s">
        <v>18</v>
      </c>
      <c r="I8" s="11" t="s">
        <v>19</v>
      </c>
    </row>
    <row r="9" spans="1:9" ht="18.75" x14ac:dyDescent="0.3">
      <c r="A9" s="12"/>
      <c r="B9" s="13"/>
      <c r="C9" s="14" t="s">
        <v>78</v>
      </c>
      <c r="D9" s="15"/>
      <c r="E9" s="16"/>
      <c r="F9" s="17"/>
      <c r="G9" s="16"/>
      <c r="H9" s="17"/>
      <c r="I9" s="18"/>
    </row>
    <row r="10" spans="1:9" ht="18" customHeight="1" x14ac:dyDescent="0.3">
      <c r="A10" s="19">
        <v>907000317</v>
      </c>
      <c r="B10" s="20" t="s">
        <v>20</v>
      </c>
      <c r="C10" s="21" t="s">
        <v>21</v>
      </c>
      <c r="D10" s="22" t="s">
        <v>22</v>
      </c>
      <c r="E10" s="23">
        <v>281</v>
      </c>
      <c r="F10" s="24" t="s">
        <v>23</v>
      </c>
      <c r="G10" s="25"/>
      <c r="H10" s="26" t="s">
        <v>79</v>
      </c>
      <c r="I10" s="18"/>
    </row>
    <row r="11" spans="1:9" ht="18.75" x14ac:dyDescent="0.3">
      <c r="A11" s="19">
        <v>20100163</v>
      </c>
      <c r="B11" s="27" t="s">
        <v>24</v>
      </c>
      <c r="C11" s="28" t="s">
        <v>25</v>
      </c>
      <c r="D11" s="22" t="s">
        <v>22</v>
      </c>
      <c r="E11" s="29">
        <v>150</v>
      </c>
      <c r="F11" s="30" t="s">
        <v>23</v>
      </c>
      <c r="G11" s="25"/>
      <c r="H11" s="26" t="s">
        <v>93</v>
      </c>
      <c r="I11" s="18"/>
    </row>
    <row r="12" spans="1:9" ht="18.75" x14ac:dyDescent="0.3">
      <c r="A12" s="19" t="s">
        <v>26</v>
      </c>
      <c r="B12" s="27" t="s">
        <v>27</v>
      </c>
      <c r="C12" s="28" t="s">
        <v>28</v>
      </c>
      <c r="D12" s="22" t="s">
        <v>22</v>
      </c>
      <c r="E12" s="29">
        <v>90</v>
      </c>
      <c r="F12" s="30" t="s">
        <v>23</v>
      </c>
      <c r="G12" s="31"/>
      <c r="H12" s="26" t="s">
        <v>94</v>
      </c>
      <c r="I12" s="18"/>
    </row>
    <row r="13" spans="1:9" ht="18.75" x14ac:dyDescent="0.3">
      <c r="A13" s="19">
        <v>90100401</v>
      </c>
      <c r="B13" s="27" t="s">
        <v>29</v>
      </c>
      <c r="C13" s="28" t="s">
        <v>30</v>
      </c>
      <c r="D13" s="22" t="s">
        <v>22</v>
      </c>
      <c r="E13" s="29">
        <v>180</v>
      </c>
      <c r="F13" s="30" t="s">
        <v>23</v>
      </c>
      <c r="G13" s="31"/>
      <c r="H13" s="26" t="s">
        <v>80</v>
      </c>
      <c r="I13" s="18"/>
    </row>
    <row r="14" spans="1:9" ht="18.75" x14ac:dyDescent="0.3">
      <c r="A14" s="32">
        <v>902000066</v>
      </c>
      <c r="B14" s="33" t="s">
        <v>31</v>
      </c>
      <c r="C14" s="34" t="s">
        <v>32</v>
      </c>
      <c r="D14" s="31" t="s">
        <v>22</v>
      </c>
      <c r="E14" s="31">
        <v>20</v>
      </c>
      <c r="F14" s="35" t="s">
        <v>23</v>
      </c>
      <c r="G14" s="31"/>
      <c r="H14" s="26" t="s">
        <v>81</v>
      </c>
      <c r="I14" s="18"/>
    </row>
    <row r="15" spans="1:9" ht="18.75" x14ac:dyDescent="0.3">
      <c r="A15" s="36"/>
      <c r="B15" s="33"/>
      <c r="C15" s="37"/>
      <c r="D15" s="31"/>
      <c r="E15" s="31"/>
      <c r="F15" s="35"/>
      <c r="G15" s="31"/>
      <c r="H15" s="26"/>
      <c r="I15" s="18"/>
    </row>
    <row r="16" spans="1:9" ht="18.75" x14ac:dyDescent="0.3">
      <c r="A16" s="31"/>
      <c r="B16" s="31"/>
      <c r="C16" s="38"/>
      <c r="D16" s="39"/>
      <c r="E16" s="39"/>
      <c r="F16" s="25"/>
      <c r="G16" s="31"/>
      <c r="H16" s="26"/>
      <c r="I16" s="18"/>
    </row>
    <row r="17" spans="1:9" ht="18.75" x14ac:dyDescent="0.3">
      <c r="A17" s="33"/>
      <c r="B17" s="33"/>
      <c r="C17" s="40"/>
      <c r="D17" s="31"/>
      <c r="E17" s="31"/>
      <c r="F17" s="35"/>
      <c r="G17" s="31"/>
      <c r="H17" s="26"/>
      <c r="I17" s="18"/>
    </row>
    <row r="18" spans="1:9" ht="18.75" x14ac:dyDescent="0.3">
      <c r="A18" s="32"/>
      <c r="B18" s="33"/>
      <c r="C18" s="34"/>
      <c r="D18" s="31"/>
      <c r="E18" s="31"/>
      <c r="F18" s="35"/>
      <c r="G18" s="31"/>
      <c r="H18" s="26"/>
      <c r="I18" s="18"/>
    </row>
    <row r="19" spans="1:9" ht="18.75" x14ac:dyDescent="0.3">
      <c r="A19" s="41"/>
      <c r="B19" s="41"/>
      <c r="C19" s="42"/>
      <c r="D19" s="43"/>
      <c r="E19" s="44"/>
      <c r="F19" s="45"/>
      <c r="G19" s="16"/>
      <c r="H19" s="26"/>
      <c r="I19" s="18"/>
    </row>
    <row r="20" spans="1:9" ht="18.75" x14ac:dyDescent="0.3">
      <c r="A20" s="46"/>
      <c r="B20" s="47"/>
      <c r="C20" s="48" t="s">
        <v>8</v>
      </c>
      <c r="D20" s="49"/>
      <c r="E20" s="50"/>
      <c r="F20" s="51"/>
      <c r="G20" s="16"/>
      <c r="H20" s="17"/>
      <c r="I20" s="18"/>
    </row>
    <row r="21" spans="1:9" ht="18.75" x14ac:dyDescent="0.3">
      <c r="A21" s="19">
        <v>95718</v>
      </c>
      <c r="B21" s="52" t="s">
        <v>33</v>
      </c>
      <c r="C21" s="21" t="s">
        <v>34</v>
      </c>
      <c r="D21" s="22" t="s">
        <v>22</v>
      </c>
      <c r="E21" s="29">
        <v>100</v>
      </c>
      <c r="F21" s="30" t="s">
        <v>23</v>
      </c>
      <c r="G21" s="16"/>
      <c r="H21" s="17" t="s">
        <v>82</v>
      </c>
      <c r="I21" s="18"/>
    </row>
    <row r="22" spans="1:9" ht="37.5" x14ac:dyDescent="0.3">
      <c r="A22" s="19">
        <v>95718</v>
      </c>
      <c r="B22" s="52" t="s">
        <v>35</v>
      </c>
      <c r="C22" s="21" t="s">
        <v>34</v>
      </c>
      <c r="D22" s="22" t="s">
        <v>22</v>
      </c>
      <c r="E22" s="53">
        <v>40</v>
      </c>
      <c r="F22" s="30" t="s">
        <v>23</v>
      </c>
      <c r="G22" s="16"/>
      <c r="H22" s="17" t="s">
        <v>83</v>
      </c>
      <c r="I22" s="18"/>
    </row>
    <row r="23" spans="1:9" ht="18.75" x14ac:dyDescent="0.3">
      <c r="A23" s="19">
        <v>907000335</v>
      </c>
      <c r="B23" s="52" t="s">
        <v>36</v>
      </c>
      <c r="C23" s="21" t="s">
        <v>37</v>
      </c>
      <c r="D23" s="22" t="s">
        <v>22</v>
      </c>
      <c r="E23" s="54">
        <v>5</v>
      </c>
      <c r="F23" s="55" t="s">
        <v>23</v>
      </c>
      <c r="G23" s="16"/>
      <c r="H23" s="17" t="s">
        <v>103</v>
      </c>
      <c r="I23" s="18"/>
    </row>
    <row r="24" spans="1:9" ht="18.75" x14ac:dyDescent="0.3">
      <c r="A24" s="19"/>
      <c r="B24" s="105" t="s">
        <v>100</v>
      </c>
      <c r="C24" s="104" t="s">
        <v>98</v>
      </c>
      <c r="D24" s="22" t="s">
        <v>22</v>
      </c>
      <c r="E24" s="23">
        <v>60</v>
      </c>
      <c r="F24" s="55" t="s">
        <v>23</v>
      </c>
      <c r="G24" s="16"/>
      <c r="H24" s="17" t="s">
        <v>97</v>
      </c>
      <c r="I24" s="18"/>
    </row>
    <row r="25" spans="1:9" ht="18.75" x14ac:dyDescent="0.3">
      <c r="A25" s="56">
        <v>11400027</v>
      </c>
      <c r="B25" s="56" t="s">
        <v>73</v>
      </c>
      <c r="C25" s="57" t="s">
        <v>84</v>
      </c>
      <c r="D25" s="58" t="s">
        <v>74</v>
      </c>
      <c r="E25" s="59">
        <v>3</v>
      </c>
      <c r="F25" s="60" t="s">
        <v>23</v>
      </c>
      <c r="G25" s="16"/>
      <c r="H25" s="17" t="s">
        <v>85</v>
      </c>
      <c r="I25" s="18"/>
    </row>
    <row r="26" spans="1:9" ht="18.75" x14ac:dyDescent="0.3">
      <c r="A26" s="41"/>
      <c r="B26" s="41"/>
      <c r="C26" s="42"/>
      <c r="D26" s="61"/>
      <c r="E26" s="62"/>
      <c r="F26" s="60"/>
      <c r="G26" s="16"/>
      <c r="H26" s="17"/>
      <c r="I26" s="18"/>
    </row>
    <row r="27" spans="1:9" ht="18.75" x14ac:dyDescent="0.3">
      <c r="A27" s="41"/>
      <c r="B27" s="41"/>
      <c r="C27" s="42"/>
      <c r="D27" s="61"/>
      <c r="E27" s="53"/>
      <c r="F27" s="63"/>
      <c r="G27" s="16"/>
      <c r="H27" s="17"/>
      <c r="I27" s="18"/>
    </row>
    <row r="28" spans="1:9" ht="18.75" x14ac:dyDescent="0.3">
      <c r="A28" s="64"/>
      <c r="B28" s="65"/>
      <c r="C28" s="66" t="s">
        <v>86</v>
      </c>
      <c r="D28" s="67"/>
      <c r="E28" s="68"/>
      <c r="F28" s="17"/>
      <c r="G28" s="16"/>
      <c r="H28" s="57"/>
      <c r="I28" s="18"/>
    </row>
    <row r="29" spans="1:9" ht="18.75" x14ac:dyDescent="0.3">
      <c r="A29" s="46">
        <v>1950808</v>
      </c>
      <c r="B29" s="47" t="s">
        <v>38</v>
      </c>
      <c r="C29" s="69" t="s">
        <v>87</v>
      </c>
      <c r="D29" s="70" t="s">
        <v>39</v>
      </c>
      <c r="E29" s="71">
        <v>1</v>
      </c>
      <c r="F29" s="70" t="s">
        <v>40</v>
      </c>
      <c r="G29" s="72"/>
      <c r="H29" s="17"/>
      <c r="I29" s="18"/>
    </row>
    <row r="30" spans="1:9" ht="18.75" x14ac:dyDescent="0.3">
      <c r="A30" s="70" t="s">
        <v>41</v>
      </c>
      <c r="B30" s="70" t="s">
        <v>42</v>
      </c>
      <c r="C30" s="69" t="s">
        <v>43</v>
      </c>
      <c r="D30" s="73" t="s">
        <v>44</v>
      </c>
      <c r="E30" s="74">
        <v>1</v>
      </c>
      <c r="F30" s="75" t="s">
        <v>40</v>
      </c>
      <c r="G30" s="72"/>
      <c r="H30" s="17"/>
      <c r="I30" s="18"/>
    </row>
    <row r="31" spans="1:9" ht="18.75" x14ac:dyDescent="0.3">
      <c r="A31" s="70">
        <v>51400021</v>
      </c>
      <c r="B31" s="70" t="s">
        <v>45</v>
      </c>
      <c r="C31" s="69" t="s">
        <v>88</v>
      </c>
      <c r="D31" s="73" t="s">
        <v>89</v>
      </c>
      <c r="E31" s="74">
        <v>1</v>
      </c>
      <c r="F31" s="75" t="s">
        <v>40</v>
      </c>
      <c r="G31" s="72"/>
      <c r="H31" s="17"/>
      <c r="I31" s="18"/>
    </row>
    <row r="32" spans="1:9" ht="18.75" x14ac:dyDescent="0.3">
      <c r="A32" s="76" t="s">
        <v>46</v>
      </c>
      <c r="B32" s="76" t="s">
        <v>47</v>
      </c>
      <c r="C32" s="77" t="s">
        <v>48</v>
      </c>
      <c r="D32" s="78" t="s">
        <v>49</v>
      </c>
      <c r="E32" s="79">
        <v>1</v>
      </c>
      <c r="F32" s="80" t="s">
        <v>40</v>
      </c>
      <c r="G32" s="16"/>
      <c r="H32" s="17"/>
      <c r="I32" s="18"/>
    </row>
    <row r="33" spans="1:9" ht="18.75" x14ac:dyDescent="0.3">
      <c r="A33" s="76" t="s">
        <v>50</v>
      </c>
      <c r="B33" s="76" t="s">
        <v>51</v>
      </c>
      <c r="C33" s="81" t="s">
        <v>90</v>
      </c>
      <c r="D33" s="78" t="s">
        <v>91</v>
      </c>
      <c r="E33" s="78">
        <v>1</v>
      </c>
      <c r="F33" s="80" t="s">
        <v>40</v>
      </c>
      <c r="G33" s="16"/>
      <c r="H33" s="17"/>
      <c r="I33" s="18"/>
    </row>
    <row r="34" spans="1:9" ht="18.75" x14ac:dyDescent="0.3">
      <c r="A34" s="76" t="s">
        <v>52</v>
      </c>
      <c r="B34" s="76" t="s">
        <v>53</v>
      </c>
      <c r="C34" s="81" t="s">
        <v>54</v>
      </c>
      <c r="D34" s="78" t="s">
        <v>55</v>
      </c>
      <c r="E34" s="78">
        <v>1</v>
      </c>
      <c r="F34" s="80" t="s">
        <v>40</v>
      </c>
      <c r="G34" s="82"/>
      <c r="H34" s="17"/>
      <c r="I34" s="18"/>
    </row>
    <row r="35" spans="1:9" ht="18.75" x14ac:dyDescent="0.3">
      <c r="A35" s="83"/>
      <c r="B35" s="84"/>
      <c r="C35" s="85"/>
      <c r="D35" s="86"/>
      <c r="E35" s="86"/>
      <c r="F35" s="87"/>
      <c r="G35" s="71"/>
      <c r="H35" s="17"/>
      <c r="I35" s="18"/>
    </row>
    <row r="36" spans="1:9" ht="18.75" x14ac:dyDescent="0.3">
      <c r="A36" s="46"/>
      <c r="B36" s="47"/>
      <c r="C36" s="69"/>
      <c r="D36" s="78"/>
      <c r="E36" s="71"/>
      <c r="F36" s="51"/>
      <c r="G36" s="71"/>
      <c r="H36" s="17"/>
      <c r="I36" s="18"/>
    </row>
    <row r="37" spans="1:9" ht="18.75" x14ac:dyDescent="0.3">
      <c r="A37" s="46"/>
      <c r="B37" s="47"/>
      <c r="C37" s="69"/>
      <c r="D37" s="49"/>
      <c r="E37" s="49"/>
      <c r="F37" s="51"/>
      <c r="G37" s="49"/>
      <c r="H37" s="49"/>
      <c r="I37" s="18"/>
    </row>
    <row r="38" spans="1:9" ht="18.75" thickBot="1" x14ac:dyDescent="0.3">
      <c r="A38" s="88"/>
      <c r="B38" s="89"/>
      <c r="C38" s="90"/>
      <c r="D38" s="90"/>
      <c r="E38" s="91"/>
      <c r="F38" s="92"/>
      <c r="G38" s="90"/>
      <c r="H38" s="90"/>
      <c r="I38" s="93"/>
    </row>
    <row r="39" spans="1:9" ht="18.75" thickBot="1" x14ac:dyDescent="0.3">
      <c r="A39" s="94"/>
      <c r="B39" s="95"/>
      <c r="C39" s="96"/>
      <c r="D39" s="97" t="s">
        <v>17</v>
      </c>
      <c r="E39" s="98" t="s">
        <v>56</v>
      </c>
      <c r="F39" s="99"/>
      <c r="G39" s="96"/>
      <c r="H39" s="96"/>
      <c r="I39" s="100"/>
    </row>
    <row r="40" spans="1:9" ht="18" x14ac:dyDescent="0.25">
      <c r="A40" s="140" t="s">
        <v>57</v>
      </c>
      <c r="B40" s="141"/>
      <c r="C40" s="142"/>
      <c r="D40" s="62">
        <v>911</v>
      </c>
      <c r="E40" s="101" t="s">
        <v>23</v>
      </c>
      <c r="F40" s="143" t="s">
        <v>58</v>
      </c>
      <c r="G40" s="143"/>
      <c r="H40" s="144"/>
      <c r="I40" s="145"/>
    </row>
    <row r="41" spans="1:9" ht="18" x14ac:dyDescent="0.25">
      <c r="A41" s="146" t="s">
        <v>59</v>
      </c>
      <c r="B41" s="147"/>
      <c r="C41" s="148"/>
      <c r="D41" s="31">
        <v>5</v>
      </c>
      <c r="E41" s="31" t="s">
        <v>60</v>
      </c>
      <c r="F41" s="149" t="s">
        <v>61</v>
      </c>
      <c r="G41" s="149"/>
      <c r="H41" s="150"/>
      <c r="I41" s="151"/>
    </row>
    <row r="42" spans="1:9" ht="18" x14ac:dyDescent="0.25">
      <c r="A42" s="146" t="s">
        <v>62</v>
      </c>
      <c r="B42" s="147"/>
      <c r="C42" s="148"/>
      <c r="D42" s="31">
        <v>1</v>
      </c>
      <c r="E42" s="31" t="s">
        <v>40</v>
      </c>
      <c r="F42" s="149" t="s">
        <v>63</v>
      </c>
      <c r="G42" s="149"/>
      <c r="H42" s="150"/>
      <c r="I42" s="151"/>
    </row>
    <row r="43" spans="1:9" ht="18" x14ac:dyDescent="0.25">
      <c r="A43" s="146" t="s">
        <v>64</v>
      </c>
      <c r="B43" s="147"/>
      <c r="C43" s="148"/>
      <c r="D43" s="53">
        <v>911</v>
      </c>
      <c r="E43" s="31" t="s">
        <v>23</v>
      </c>
      <c r="F43" s="156" t="s">
        <v>65</v>
      </c>
      <c r="G43" s="157"/>
      <c r="H43" s="158"/>
      <c r="I43" s="159"/>
    </row>
    <row r="44" spans="1:9" ht="18.75" thickBot="1" x14ac:dyDescent="0.3">
      <c r="A44" s="160" t="s">
        <v>66</v>
      </c>
      <c r="B44" s="161"/>
      <c r="C44" s="162"/>
      <c r="D44" s="102">
        <f>SUM(E10:E25)-D40</f>
        <v>18</v>
      </c>
      <c r="E44" s="103" t="s">
        <v>23</v>
      </c>
      <c r="F44" s="163"/>
      <c r="G44" s="163"/>
      <c r="H44" s="150"/>
      <c r="I44" s="151"/>
    </row>
    <row r="45" spans="1:9" ht="18.75" thickBot="1" x14ac:dyDescent="0.3">
      <c r="A45" s="164" t="s">
        <v>67</v>
      </c>
      <c r="B45" s="165"/>
      <c r="C45" s="165"/>
      <c r="D45" s="165"/>
      <c r="E45" s="165"/>
      <c r="F45" s="165"/>
      <c r="G45" s="165"/>
      <c r="H45" s="165"/>
      <c r="I45" s="166"/>
    </row>
    <row r="46" spans="1:9" ht="18.399999999999999" customHeight="1" x14ac:dyDescent="0.25">
      <c r="A46" s="167" t="s">
        <v>68</v>
      </c>
      <c r="B46" s="168"/>
      <c r="C46" s="169"/>
      <c r="D46" s="169"/>
      <c r="E46" s="169"/>
      <c r="F46" s="169"/>
      <c r="G46" s="169"/>
      <c r="H46" s="169"/>
      <c r="I46" s="170"/>
    </row>
    <row r="47" spans="1:9" ht="34.9" customHeight="1" x14ac:dyDescent="0.25">
      <c r="A47" s="152" t="s">
        <v>69</v>
      </c>
      <c r="B47" s="153"/>
      <c r="C47" s="154"/>
      <c r="D47" s="154"/>
      <c r="E47" s="154"/>
      <c r="F47" s="154"/>
      <c r="G47" s="154"/>
      <c r="H47" s="154"/>
      <c r="I47" s="155"/>
    </row>
    <row r="48" spans="1:9" ht="20.25" customHeight="1" x14ac:dyDescent="0.25">
      <c r="A48" s="178" t="s">
        <v>70</v>
      </c>
      <c r="B48" s="179"/>
      <c r="C48" s="180"/>
      <c r="D48" s="180"/>
      <c r="E48" s="180"/>
      <c r="F48" s="180"/>
      <c r="G48" s="180"/>
      <c r="H48" s="180"/>
      <c r="I48" s="181"/>
    </row>
    <row r="49" spans="1:9" ht="19.5" customHeight="1" x14ac:dyDescent="0.25">
      <c r="A49" s="182" t="s">
        <v>99</v>
      </c>
      <c r="B49" s="183"/>
      <c r="C49" s="184"/>
      <c r="D49" s="184"/>
      <c r="E49" s="184"/>
      <c r="F49" s="184"/>
      <c r="G49" s="184"/>
      <c r="H49" s="184"/>
      <c r="I49" s="185"/>
    </row>
    <row r="50" spans="1:9" ht="21.75" customHeight="1" x14ac:dyDescent="0.25">
      <c r="A50" s="182" t="s">
        <v>71</v>
      </c>
      <c r="B50" s="183"/>
      <c r="C50" s="184"/>
      <c r="D50" s="184"/>
      <c r="E50" s="184"/>
      <c r="F50" s="184"/>
      <c r="G50" s="184"/>
      <c r="H50" s="184"/>
      <c r="I50" s="185"/>
    </row>
    <row r="51" spans="1:9" ht="18" customHeight="1" x14ac:dyDescent="0.25">
      <c r="A51" s="178" t="s">
        <v>95</v>
      </c>
      <c r="B51" s="179"/>
      <c r="C51" s="180"/>
      <c r="D51" s="180"/>
      <c r="E51" s="180"/>
      <c r="F51" s="180"/>
      <c r="G51" s="180"/>
      <c r="H51" s="180"/>
      <c r="I51" s="181"/>
    </row>
    <row r="52" spans="1:9" ht="18" customHeight="1" x14ac:dyDescent="0.25">
      <c r="A52" s="186"/>
      <c r="B52" s="187"/>
      <c r="C52" s="187"/>
      <c r="D52" s="187"/>
      <c r="E52" s="187"/>
      <c r="F52" s="187"/>
      <c r="G52" s="187"/>
      <c r="H52" s="187"/>
      <c r="I52" s="188"/>
    </row>
    <row r="53" spans="1:9" ht="18.75" thickBot="1" x14ac:dyDescent="0.3">
      <c r="A53" s="189"/>
      <c r="B53" s="190"/>
      <c r="C53" s="190"/>
      <c r="D53" s="190"/>
      <c r="E53" s="190"/>
      <c r="F53" s="190"/>
      <c r="G53" s="190"/>
      <c r="H53" s="190"/>
      <c r="I53" s="191"/>
    </row>
    <row r="54" spans="1:9" ht="19.5" thickBot="1" x14ac:dyDescent="0.35">
      <c r="A54" s="171"/>
      <c r="B54" s="172"/>
      <c r="C54" s="172"/>
      <c r="D54" s="172"/>
      <c r="E54" s="172"/>
      <c r="F54" s="172"/>
      <c r="G54" s="172"/>
      <c r="H54" s="172"/>
      <c r="I54" s="173"/>
    </row>
    <row r="55" spans="1:9" ht="18" x14ac:dyDescent="0.25">
      <c r="A55" s="174" t="s">
        <v>72</v>
      </c>
      <c r="B55" s="175"/>
      <c r="C55" s="175"/>
      <c r="D55" s="175"/>
      <c r="E55" s="175"/>
      <c r="F55" s="175"/>
      <c r="G55" s="175"/>
      <c r="H55" s="175"/>
      <c r="I55" s="175"/>
    </row>
    <row r="56" spans="1:9" ht="18" x14ac:dyDescent="0.25">
      <c r="A56" s="112" t="s">
        <v>96</v>
      </c>
      <c r="B56" s="113"/>
      <c r="C56" s="113"/>
      <c r="D56" s="113"/>
      <c r="E56" s="113"/>
      <c r="F56" s="113"/>
      <c r="G56" s="113"/>
      <c r="H56" s="113"/>
      <c r="I56" s="114"/>
    </row>
    <row r="57" spans="1:9" ht="18" x14ac:dyDescent="0.25">
      <c r="A57" s="176" t="s">
        <v>101</v>
      </c>
      <c r="B57" s="177"/>
      <c r="C57" s="177"/>
      <c r="D57" s="177"/>
      <c r="E57" s="177"/>
      <c r="F57" s="177"/>
      <c r="G57" s="177"/>
      <c r="H57" s="177"/>
      <c r="I57" s="177"/>
    </row>
    <row r="58" spans="1:9" ht="18.75" x14ac:dyDescent="0.3">
      <c r="A58" s="57" t="s">
        <v>102</v>
      </c>
      <c r="B58" s="57"/>
      <c r="C58" s="57"/>
    </row>
  </sheetData>
  <mergeCells count="45"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53:I53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C2D0143-EF5B-47D5-A3F2-3417DE3C44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03CA55-33B7-401B-BDE3-3049B6DF40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2278F8-5EC9-4043-88DE-C092ECCABFF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2025-02-17T20:05:59Z</cp:lastPrinted>
  <dcterms:created xsi:type="dcterms:W3CDTF">2023-11-13T20:23:29Z</dcterms:created>
  <dcterms:modified xsi:type="dcterms:W3CDTF">2025-04-23T20:21:01Z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
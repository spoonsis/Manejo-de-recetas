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C269DB70-9CB1-4D65-B64B-F006B182DE01}" xr6:coauthVersionLast="47" xr6:coauthVersionMax="47" xr10:uidLastSave="{F349A736-B4F1-4AE3-BC4C-22E2031F66A3}"/>
  <bookViews>
    <workbookView xWindow="-120" yWindow="-120" windowWidth="20730" windowHeight="11040" tabRatio="808" firstSheet="3" activeTab="3" xr2:uid="{86A95AF8-34C1-4DB7-AE30-E3F9DEB6557E}"/>
  </bookViews>
  <sheets>
    <sheet name="Costo Torta Cacique" sheetId="13" state="hidden" r:id="rId1"/>
    <sheet name="Pelado " sheetId="8" state="hidden" r:id="rId2"/>
    <sheet name="Costo pelado copetin" sheetId="12" state="hidden" r:id="rId3"/>
    <sheet name="Almibar Ron Centenario" sheetId="10" r:id="rId4"/>
    <sheet name="Costo Almibar de cacique" sheetId="11" state="hidden" r:id="rId5"/>
  </sheets>
  <externalReferences>
    <externalReference r:id="rId6"/>
    <externalReference r:id="rId7"/>
  </externalReferences>
  <definedNames>
    <definedName name="_xlnm.Print_Area" localSheetId="3">'Almibar Ron Centenario'!$A$1:$I$31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0" l="1"/>
  <c r="J20" i="10"/>
  <c r="K7" i="12"/>
  <c r="D31" i="13"/>
  <c r="C31" i="13"/>
  <c r="B31" i="13"/>
  <c r="C30" i="13"/>
  <c r="B30" i="13"/>
  <c r="D75" i="13"/>
  <c r="D76" i="13" s="1"/>
  <c r="D78" i="13" s="1"/>
  <c r="C75" i="13"/>
  <c r="C87" i="13" s="1"/>
  <c r="D73" i="13"/>
  <c r="D71" i="13"/>
  <c r="F67" i="13"/>
  <c r="E53" i="13" s="1"/>
  <c r="D62" i="13"/>
  <c r="D87" i="13" s="1"/>
  <c r="D88" i="13" s="1"/>
  <c r="C53" i="13"/>
  <c r="F53" i="13" s="1"/>
  <c r="A43" i="13"/>
  <c r="A52" i="13" s="1"/>
  <c r="C52" i="13" s="1"/>
  <c r="A42" i="13"/>
  <c r="A51" i="13" s="1"/>
  <c r="C51" i="13" s="1"/>
  <c r="A41" i="13"/>
  <c r="C41" i="13" s="1"/>
  <c r="A40" i="13"/>
  <c r="C40" i="13" s="1"/>
  <c r="A39" i="13"/>
  <c r="C39" i="13" s="1"/>
  <c r="A38" i="13"/>
  <c r="A47" i="13" s="1"/>
  <c r="C47" i="13" s="1"/>
  <c r="A37" i="13"/>
  <c r="C37" i="13" s="1"/>
  <c r="F37" i="13" s="1"/>
  <c r="E34" i="13"/>
  <c r="D34" i="13"/>
  <c r="C34" i="13"/>
  <c r="B34" i="13"/>
  <c r="C33" i="13"/>
  <c r="D32" i="13"/>
  <c r="C32" i="13"/>
  <c r="B32" i="13"/>
  <c r="D29" i="13"/>
  <c r="C29" i="13"/>
  <c r="B29" i="13"/>
  <c r="C28" i="13"/>
  <c r="B28" i="13"/>
  <c r="D27" i="13"/>
  <c r="C27" i="13"/>
  <c r="B27" i="13"/>
  <c r="E24" i="13"/>
  <c r="F24" i="13" s="1"/>
  <c r="D24" i="13"/>
  <c r="C24" i="13"/>
  <c r="B24" i="13"/>
  <c r="C23" i="13"/>
  <c r="C22" i="13"/>
  <c r="C21" i="13"/>
  <c r="C20" i="13"/>
  <c r="C19" i="13"/>
  <c r="F19" i="13" s="1"/>
  <c r="C18" i="13"/>
  <c r="C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C8" i="13"/>
  <c r="H6" i="13"/>
  <c r="D73" i="12"/>
  <c r="D74" i="12" s="1"/>
  <c r="D76" i="12" s="1"/>
  <c r="D71" i="12"/>
  <c r="D69" i="12"/>
  <c r="F65" i="12"/>
  <c r="C73" i="12" s="1"/>
  <c r="E73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4" i="12"/>
  <c r="D44" i="12"/>
  <c r="B44" i="12"/>
  <c r="E41" i="12"/>
  <c r="D41" i="12"/>
  <c r="C41" i="12"/>
  <c r="B41" i="12"/>
  <c r="A41" i="12"/>
  <c r="A50" i="12" s="1"/>
  <c r="C50" i="12" s="1"/>
  <c r="E40" i="12"/>
  <c r="D40" i="12"/>
  <c r="B40" i="12"/>
  <c r="A40" i="12"/>
  <c r="A49" i="12" s="1"/>
  <c r="C49" i="12" s="1"/>
  <c r="E39" i="12"/>
  <c r="D39" i="12"/>
  <c r="B39" i="12"/>
  <c r="A39" i="12"/>
  <c r="C39" i="12" s="1"/>
  <c r="E38" i="12"/>
  <c r="D38" i="12"/>
  <c r="B38" i="12"/>
  <c r="A38" i="12"/>
  <c r="A47" i="12" s="1"/>
  <c r="C47" i="12" s="1"/>
  <c r="E37" i="12"/>
  <c r="D37" i="12"/>
  <c r="B37" i="12"/>
  <c r="A37" i="12"/>
  <c r="C37" i="12" s="1"/>
  <c r="E36" i="12"/>
  <c r="D36" i="12"/>
  <c r="B36" i="12"/>
  <c r="A36" i="12"/>
  <c r="A45" i="12" s="1"/>
  <c r="C45" i="12" s="1"/>
  <c r="E35" i="12"/>
  <c r="D35" i="12"/>
  <c r="B35" i="12"/>
  <c r="A35" i="12"/>
  <c r="C35" i="12" s="1"/>
  <c r="E32" i="12"/>
  <c r="F32" i="12" s="1"/>
  <c r="D32" i="12"/>
  <c r="C32" i="12"/>
  <c r="B32" i="12"/>
  <c r="E31" i="12"/>
  <c r="D31" i="12"/>
  <c r="C31" i="12"/>
  <c r="B31" i="12"/>
  <c r="E30" i="12"/>
  <c r="F30" i="12" s="1"/>
  <c r="D30" i="12"/>
  <c r="C30" i="12"/>
  <c r="B30" i="12"/>
  <c r="E29" i="12"/>
  <c r="D29" i="12"/>
  <c r="C29" i="12"/>
  <c r="B29" i="12"/>
  <c r="D28" i="12"/>
  <c r="C28" i="12"/>
  <c r="B28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E17" i="12"/>
  <c r="F17" i="12" s="1"/>
  <c r="D17" i="12"/>
  <c r="C17" i="12"/>
  <c r="B17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D9" i="12"/>
  <c r="C9" i="12"/>
  <c r="B9" i="12"/>
  <c r="C8" i="12"/>
  <c r="H6" i="12"/>
  <c r="D73" i="11"/>
  <c r="D74" i="11" s="1"/>
  <c r="D76" i="11" s="1"/>
  <c r="D71" i="11"/>
  <c r="D69" i="11"/>
  <c r="F65" i="11"/>
  <c r="E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A45" i="11"/>
  <c r="C45" i="11" s="1"/>
  <c r="E44" i="11"/>
  <c r="D44" i="11"/>
  <c r="B44" i="1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A47" i="11" s="1"/>
  <c r="C47" i="11" s="1"/>
  <c r="E37" i="11"/>
  <c r="D37" i="11"/>
  <c r="B37" i="11"/>
  <c r="A37" i="11"/>
  <c r="A46" i="11" s="1"/>
  <c r="C46" i="11" s="1"/>
  <c r="E36" i="11"/>
  <c r="D36" i="11"/>
  <c r="B36" i="11"/>
  <c r="A36" i="11"/>
  <c r="C36" i="11" s="1"/>
  <c r="E35" i="11"/>
  <c r="D35" i="11"/>
  <c r="B35" i="11"/>
  <c r="A35" i="11"/>
  <c r="A44" i="11" s="1"/>
  <c r="C44" i="11" s="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F28" i="11" s="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D17" i="11"/>
  <c r="C17" i="11"/>
  <c r="B17" i="11"/>
  <c r="B15" i="11"/>
  <c r="E14" i="11"/>
  <c r="F14" i="11" s="1"/>
  <c r="D14" i="11"/>
  <c r="C14" i="11"/>
  <c r="B14" i="11"/>
  <c r="E13" i="11"/>
  <c r="F13" i="11" s="1"/>
  <c r="D13" i="11"/>
  <c r="C13" i="11"/>
  <c r="B13" i="11"/>
  <c r="E12" i="1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D9" i="11"/>
  <c r="C9" i="11"/>
  <c r="B9" i="11"/>
  <c r="C8" i="11"/>
  <c r="H6" i="11"/>
  <c r="D24" i="10"/>
  <c r="D42" i="8"/>
  <c r="J11" i="8"/>
  <c r="J38" i="8"/>
  <c r="F44" i="11" l="1"/>
  <c r="F27" i="11"/>
  <c r="F30" i="11"/>
  <c r="F9" i="12"/>
  <c r="F46" i="11"/>
  <c r="F11" i="12"/>
  <c r="F29" i="11"/>
  <c r="F32" i="11"/>
  <c r="D83" i="13"/>
  <c r="F31" i="13"/>
  <c r="F30" i="13"/>
  <c r="F12" i="13"/>
  <c r="D85" i="13"/>
  <c r="F13" i="13"/>
  <c r="F33" i="13"/>
  <c r="F27" i="13"/>
  <c r="F11" i="13"/>
  <c r="F29" i="13"/>
  <c r="F32" i="13"/>
  <c r="C38" i="13"/>
  <c r="F10" i="13"/>
  <c r="F34" i="13"/>
  <c r="F28" i="13"/>
  <c r="F14" i="13"/>
  <c r="F9" i="13"/>
  <c r="C43" i="13"/>
  <c r="F43" i="13" s="1"/>
  <c r="F23" i="13"/>
  <c r="F8" i="13"/>
  <c r="F21" i="13"/>
  <c r="F20" i="13"/>
  <c r="F17" i="13"/>
  <c r="F49" i="12"/>
  <c r="F47" i="12"/>
  <c r="F35" i="12"/>
  <c r="F37" i="12"/>
  <c r="F50" i="12"/>
  <c r="F31" i="12"/>
  <c r="F29" i="12"/>
  <c r="F22" i="12"/>
  <c r="F41" i="12"/>
  <c r="C36" i="12"/>
  <c r="A48" i="12"/>
  <c r="C48" i="12" s="1"/>
  <c r="F48" i="12" s="1"/>
  <c r="F36" i="12"/>
  <c r="F12" i="12"/>
  <c r="F13" i="12"/>
  <c r="F14" i="12"/>
  <c r="D81" i="12"/>
  <c r="D83" i="12"/>
  <c r="F28" i="12"/>
  <c r="F27" i="12"/>
  <c r="F8" i="12"/>
  <c r="C73" i="11"/>
  <c r="C85" i="11" s="1"/>
  <c r="F51" i="11"/>
  <c r="F31" i="11"/>
  <c r="F23" i="11"/>
  <c r="C38" i="11"/>
  <c r="F38" i="11" s="1"/>
  <c r="F40" i="11"/>
  <c r="C41" i="11"/>
  <c r="F41" i="11" s="1"/>
  <c r="F36" i="11"/>
  <c r="F12" i="11"/>
  <c r="F9" i="11"/>
  <c r="F8" i="11"/>
  <c r="F17" i="11"/>
  <c r="C35" i="11"/>
  <c r="F35" i="11" s="1"/>
  <c r="F40" i="13"/>
  <c r="F52" i="13"/>
  <c r="E87" i="13"/>
  <c r="F41" i="13"/>
  <c r="F39" i="13"/>
  <c r="C42" i="13"/>
  <c r="A46" i="13"/>
  <c r="C46" i="13" s="1"/>
  <c r="F46" i="13" s="1"/>
  <c r="E75" i="13"/>
  <c r="A50" i="13"/>
  <c r="C50" i="13" s="1"/>
  <c r="F50" i="13" s="1"/>
  <c r="A49" i="13"/>
  <c r="C49" i="13" s="1"/>
  <c r="F49" i="13" s="1"/>
  <c r="A48" i="13"/>
  <c r="C48" i="13" s="1"/>
  <c r="F48" i="13" s="1"/>
  <c r="F39" i="12"/>
  <c r="F45" i="12"/>
  <c r="C38" i="12"/>
  <c r="F38" i="12" s="1"/>
  <c r="C85" i="12"/>
  <c r="E85" i="12" s="1"/>
  <c r="A46" i="12"/>
  <c r="C46" i="12" s="1"/>
  <c r="F46" i="12" s="1"/>
  <c r="E51" i="12"/>
  <c r="F51" i="12" s="1"/>
  <c r="C40" i="12"/>
  <c r="F40" i="12" s="1"/>
  <c r="A44" i="12"/>
  <c r="C44" i="12" s="1"/>
  <c r="F44" i="12" s="1"/>
  <c r="F47" i="11"/>
  <c r="F39" i="11"/>
  <c r="E85" i="11"/>
  <c r="F50" i="11"/>
  <c r="F45" i="11"/>
  <c r="D81" i="11"/>
  <c r="D83" i="11"/>
  <c r="A49" i="11"/>
  <c r="C49" i="11" s="1"/>
  <c r="F49" i="11" s="1"/>
  <c r="C37" i="11"/>
  <c r="F37" i="11" s="1"/>
  <c r="A48" i="11"/>
  <c r="C48" i="11" s="1"/>
  <c r="F48" i="11" s="1"/>
  <c r="F53" i="12" l="1"/>
  <c r="F64" i="12" s="1"/>
  <c r="E73" i="11"/>
  <c r="F53" i="11"/>
  <c r="C69" i="11" s="1"/>
  <c r="F54" i="12"/>
  <c r="F56" i="12"/>
  <c r="F54" i="11"/>
  <c r="F56" i="11"/>
  <c r="F55" i="11" l="1"/>
  <c r="F64" i="11"/>
  <c r="H53" i="11"/>
  <c r="F2" i="11" s="1"/>
  <c r="H53" i="12"/>
  <c r="F2" i="12" s="1"/>
  <c r="C69" i="12"/>
  <c r="E69" i="12" s="1"/>
  <c r="E22" i="13" s="1"/>
  <c r="F22" i="13" s="1"/>
  <c r="F55" i="12"/>
  <c r="O54" i="12" s="1"/>
  <c r="H56" i="12"/>
  <c r="C74" i="12"/>
  <c r="C76" i="12"/>
  <c r="E76" i="12" s="1"/>
  <c r="E42" i="13" s="1"/>
  <c r="F42" i="13" s="1"/>
  <c r="H54" i="12"/>
  <c r="G2" i="12" s="1"/>
  <c r="E69" i="11"/>
  <c r="E18" i="13" s="1"/>
  <c r="F18" i="13" s="1"/>
  <c r="C81" i="11"/>
  <c r="E81" i="11" s="1"/>
  <c r="C76" i="11"/>
  <c r="E76" i="11" s="1"/>
  <c r="E38" i="13" s="1"/>
  <c r="F38" i="13" s="1"/>
  <c r="H54" i="11"/>
  <c r="G2" i="11" s="1"/>
  <c r="H56" i="11"/>
  <c r="C74" i="11"/>
  <c r="O54" i="11" l="1"/>
  <c r="O56" i="11" s="1"/>
  <c r="F63" i="11"/>
  <c r="H55" i="11"/>
  <c r="F63" i="12"/>
  <c r="E63" i="12" s="1"/>
  <c r="H55" i="12"/>
  <c r="F56" i="13"/>
  <c r="F55" i="13"/>
  <c r="C81" i="12"/>
  <c r="E81" i="12" s="1"/>
  <c r="H58" i="12"/>
  <c r="H59" i="12" s="1"/>
  <c r="O58" i="12" s="1"/>
  <c r="O55" i="12"/>
  <c r="H2" i="12"/>
  <c r="F66" i="12"/>
  <c r="O56" i="12"/>
  <c r="C86" i="12"/>
  <c r="E86" i="12" s="1"/>
  <c r="E74" i="12"/>
  <c r="O55" i="11"/>
  <c r="H2" i="11"/>
  <c r="H58" i="11"/>
  <c r="H59" i="11" s="1"/>
  <c r="O58" i="11" s="1"/>
  <c r="E74" i="11"/>
  <c r="C86" i="11"/>
  <c r="E86" i="11" s="1"/>
  <c r="C71" i="11" l="1"/>
  <c r="F66" i="11"/>
  <c r="E63" i="11"/>
  <c r="C71" i="12"/>
  <c r="O57" i="11"/>
  <c r="O59" i="11" s="1"/>
  <c r="O60" i="11" s="1"/>
  <c r="O61" i="11" s="1"/>
  <c r="O62" i="11" s="1"/>
  <c r="O57" i="12"/>
  <c r="O59" i="12" s="1"/>
  <c r="O60" i="12" s="1"/>
  <c r="O61" i="12" s="1"/>
  <c r="O62" i="12" s="1"/>
  <c r="E78" i="12"/>
  <c r="E51" i="13"/>
  <c r="F51" i="13" s="1"/>
  <c r="H55" i="13"/>
  <c r="F2" i="13" s="1"/>
  <c r="F57" i="13"/>
  <c r="F66" i="13"/>
  <c r="C71" i="13"/>
  <c r="C78" i="13"/>
  <c r="E78" i="13" s="1"/>
  <c r="H56" i="13"/>
  <c r="G2" i="13" s="1"/>
  <c r="E78" i="11"/>
  <c r="E47" i="13"/>
  <c r="F47" i="13" s="1"/>
  <c r="G66" i="12"/>
  <c r="G19" i="12"/>
  <c r="G12" i="12"/>
  <c r="G37" i="12"/>
  <c r="G27" i="12"/>
  <c r="G47" i="12"/>
  <c r="G49" i="12"/>
  <c r="G9" i="12"/>
  <c r="G17" i="12"/>
  <c r="G10" i="12"/>
  <c r="G20" i="12"/>
  <c r="G23" i="12"/>
  <c r="G18" i="12"/>
  <c r="G11" i="12"/>
  <c r="G29" i="12"/>
  <c r="G32" i="12"/>
  <c r="G30" i="12"/>
  <c r="G36" i="12"/>
  <c r="G50" i="12"/>
  <c r="G35" i="12"/>
  <c r="G31" i="12"/>
  <c r="G41" i="12"/>
  <c r="G8" i="12"/>
  <c r="G28" i="12"/>
  <c r="G21" i="12"/>
  <c r="G14" i="12"/>
  <c r="G65" i="12"/>
  <c r="G24" i="12"/>
  <c r="G22" i="12"/>
  <c r="G13" i="12"/>
  <c r="G38" i="12"/>
  <c r="G51" i="12"/>
  <c r="G44" i="12"/>
  <c r="G40" i="12"/>
  <c r="G48" i="12"/>
  <c r="G39" i="12"/>
  <c r="G46" i="12"/>
  <c r="G53" i="12"/>
  <c r="G45" i="12"/>
  <c r="G56" i="12"/>
  <c r="G55" i="12"/>
  <c r="G54" i="12"/>
  <c r="G64" i="12"/>
  <c r="G63" i="12"/>
  <c r="C83" i="12"/>
  <c r="E83" i="12" s="1"/>
  <c r="E71" i="12"/>
  <c r="C83" i="11" l="1"/>
  <c r="E83" i="11" s="1"/>
  <c r="E71" i="11"/>
  <c r="G63" i="11"/>
  <c r="G13" i="11"/>
  <c r="G66" i="11"/>
  <c r="G8" i="11"/>
  <c r="G30" i="11"/>
  <c r="G65" i="11"/>
  <c r="G51" i="11"/>
  <c r="G17" i="11"/>
  <c r="G28" i="11"/>
  <c r="G21" i="11"/>
  <c r="G37" i="11"/>
  <c r="G39" i="11"/>
  <c r="G9" i="11"/>
  <c r="G40" i="11"/>
  <c r="G14" i="11"/>
  <c r="G12" i="11"/>
  <c r="G31" i="11"/>
  <c r="G36" i="11"/>
  <c r="G38" i="11"/>
  <c r="G23" i="11"/>
  <c r="G10" i="11"/>
  <c r="G11" i="11"/>
  <c r="G35" i="11"/>
  <c r="G18" i="11"/>
  <c r="G29" i="11"/>
  <c r="G41" i="11"/>
  <c r="G24" i="11"/>
  <c r="G22" i="11"/>
  <c r="G32" i="11"/>
  <c r="G27" i="11"/>
  <c r="G46" i="11"/>
  <c r="G45" i="11"/>
  <c r="G53" i="11"/>
  <c r="G44" i="11"/>
  <c r="G20" i="11"/>
  <c r="G49" i="11"/>
  <c r="G48" i="11"/>
  <c r="G50" i="11"/>
  <c r="G19" i="11"/>
  <c r="G64" i="11"/>
  <c r="G55" i="11"/>
  <c r="G56" i="11"/>
  <c r="G54" i="11"/>
  <c r="G47" i="11"/>
  <c r="F58" i="13"/>
  <c r="H58" i="13" s="1"/>
  <c r="F65" i="13"/>
  <c r="H57" i="13"/>
  <c r="O56" i="13"/>
  <c r="O58" i="13" s="1"/>
  <c r="C83" i="13"/>
  <c r="E83" i="13" s="1"/>
  <c r="E71" i="13"/>
  <c r="P62" i="12"/>
  <c r="E2" i="12"/>
  <c r="P62" i="11"/>
  <c r="E2" i="11"/>
  <c r="C76" i="13" l="1"/>
  <c r="E76" i="13" s="1"/>
  <c r="E80" i="13" s="1"/>
  <c r="H60" i="13"/>
  <c r="H61" i="13" s="1"/>
  <c r="O60" i="13" s="1"/>
  <c r="H2" i="13"/>
  <c r="O57" i="13"/>
  <c r="O59" i="13" s="1"/>
  <c r="C73" i="13"/>
  <c r="E65" i="13"/>
  <c r="F68" i="13"/>
  <c r="C88" i="13" l="1"/>
  <c r="E88" i="13" s="1"/>
  <c r="O61" i="13"/>
  <c r="O62" i="13" s="1"/>
  <c r="O63" i="13" s="1"/>
  <c r="O64" i="13" s="1"/>
  <c r="G65" i="13"/>
  <c r="G12" i="13"/>
  <c r="G38" i="13"/>
  <c r="G40" i="13"/>
  <c r="G31" i="13"/>
  <c r="G32" i="13"/>
  <c r="G13" i="13"/>
  <c r="G48" i="13"/>
  <c r="G67" i="13"/>
  <c r="G47" i="13"/>
  <c r="G23" i="13"/>
  <c r="G29" i="13"/>
  <c r="G30" i="13"/>
  <c r="G68" i="13"/>
  <c r="G14" i="13"/>
  <c r="G11" i="13"/>
  <c r="G41" i="13"/>
  <c r="G49" i="13"/>
  <c r="G19" i="13"/>
  <c r="G21" i="13"/>
  <c r="G10" i="13"/>
  <c r="G52" i="13"/>
  <c r="G56" i="13"/>
  <c r="G34" i="13"/>
  <c r="G9" i="13"/>
  <c r="G22" i="13"/>
  <c r="G28" i="13"/>
  <c r="G18" i="13"/>
  <c r="G55" i="13"/>
  <c r="G24" i="13"/>
  <c r="G46" i="13"/>
  <c r="G66" i="13"/>
  <c r="G33" i="13"/>
  <c r="G42" i="13"/>
  <c r="G43" i="13"/>
  <c r="G58" i="13"/>
  <c r="G39" i="13"/>
  <c r="G8" i="13"/>
  <c r="G51" i="13"/>
  <c r="G53" i="13"/>
  <c r="G27" i="13"/>
  <c r="G37" i="13"/>
  <c r="G20" i="13"/>
  <c r="G57" i="13"/>
  <c r="G17" i="13"/>
  <c r="G50" i="13"/>
  <c r="C85" i="13"/>
  <c r="E85" i="13" s="1"/>
  <c r="E73" i="13"/>
  <c r="P64" i="13" l="1"/>
  <c r="E2" i="13"/>
</calcChain>
</file>

<file path=xl/sharedStrings.xml><?xml version="1.0" encoding="utf-8"?>
<sst xmlns="http://schemas.openxmlformats.org/spreadsheetml/2006/main" count="467" uniqueCount="144">
  <si>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</si>
  <si>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</si>
  <si>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</si>
  <si>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</si>
  <si>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</si>
  <si>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</si>
  <si>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</si>
  <si>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</si>
  <si>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</si>
  <si>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</si>
  <si>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</si>
  <si>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</si>
  <si>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</si>
  <si>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</si>
  <si>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</si>
  <si>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</si>
  <si>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</si>
  <si>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</si>
  <si>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</si>
  <si>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</si>
  <si>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</si>
  <si>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</si>
  <si>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</si>
  <si>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</si>
  <si>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</si>
  <si>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</si>
  <si>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</si>
  <si>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</si>
  <si>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</si>
  <si>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</si>
  <si>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</si>
  <si>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</si>
  <si>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</si>
  <si>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</si>
  <si>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</si>
  <si>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</si>
  <si>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</si>
  <si>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ud</t>
  </si>
  <si>
    <t>Sebastian Díaz, Gte Manufactura</t>
  </si>
  <si>
    <t>Decoración</t>
  </si>
  <si>
    <t>0702069</t>
  </si>
  <si>
    <t>SE00454</t>
  </si>
  <si>
    <t>ROSQUETE EASY VAINILLA BC 310 G</t>
  </si>
  <si>
    <t xml:space="preserve">Almibar de Cacique </t>
  </si>
  <si>
    <t>SE00024</t>
  </si>
  <si>
    <t>Crema Chocolate Spoon</t>
  </si>
  <si>
    <t>SE00392</t>
  </si>
  <si>
    <t>Procesado Chocolate Rallado Oscuro</t>
  </si>
  <si>
    <t>SE00010</t>
  </si>
  <si>
    <t>Crema Chantilly Blanca (Spoon-Ind)</t>
  </si>
  <si>
    <t>MP10006</t>
  </si>
  <si>
    <t>Crema Bettercream Doble Chocolate</t>
  </si>
  <si>
    <t>Nuevo</t>
  </si>
  <si>
    <t xml:space="preserve">Chocolate Cacique </t>
  </si>
  <si>
    <t>SE00001</t>
  </si>
  <si>
    <t>Ganache Chocolate Oscuro</t>
  </si>
  <si>
    <t xml:space="preserve">Decoración </t>
  </si>
  <si>
    <t>121603</t>
  </si>
  <si>
    <t>1952875</t>
  </si>
  <si>
    <t>2172411</t>
  </si>
  <si>
    <t>0702007</t>
  </si>
  <si>
    <t>0702123</t>
  </si>
  <si>
    <t>EM10011</t>
  </si>
  <si>
    <t xml:space="preserve">ETIQUETA ESPECIAL DIA DEL PADRE </t>
  </si>
  <si>
    <t xml:space="preserve">Pelado Chocolate Cacique </t>
  </si>
  <si>
    <t>1950928</t>
  </si>
  <si>
    <t>AS00028</t>
  </si>
  <si>
    <t>BOLSA TRANSPARENTE 56X96X1.80 (KILO)</t>
  </si>
  <si>
    <t>Plasticos P</t>
  </si>
  <si>
    <t>ETIQUETA BLANCA 2 5/8X1 15/16 (UND)</t>
  </si>
  <si>
    <t>cemusa</t>
  </si>
  <si>
    <t xml:space="preserve">Nuevo </t>
  </si>
  <si>
    <t>28 unidades</t>
  </si>
  <si>
    <t>2- Tapar, Etiquetar con fecha de vencimiento y etiqueta con nombre.</t>
  </si>
  <si>
    <t>3-Llevar al Frio hasta Utilizar</t>
  </si>
  <si>
    <t>1-Pelar los chocolate y Separar en una bandeja.</t>
  </si>
  <si>
    <t>908000021</t>
  </si>
  <si>
    <t>SE00005</t>
  </si>
  <si>
    <t>ALMIBAR</t>
  </si>
  <si>
    <t xml:space="preserve">Licor Cacique </t>
  </si>
  <si>
    <t xml:space="preserve">1, Mezclar el almibar con el licor cacique y Utilizar inmediatamente.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</si>
  <si>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</si>
  <si>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</si>
  <si>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</si>
  <si>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</si>
  <si>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</si>
  <si>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</si>
  <si>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</si>
  <si>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</si>
  <si>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</si>
  <si>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</si>
  <si>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</si>
  <si>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</si>
  <si>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</si>
  <si>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</si>
  <si>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</si>
  <si>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</si>
  <si>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</si>
  <si>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</si>
  <si>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</si>
  <si>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</si>
  <si>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</si>
  <si>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</si>
  <si>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</si>
  <si>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</si>
  <si>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</si>
  <si>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</si>
  <si>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</si>
  <si>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</si>
  <si>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</si>
  <si>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</si>
  <si>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</si>
  <si>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</si>
  <si>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</si>
  <si>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</si>
  <si>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</si>
  <si>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</si>
  <si>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</si>
  <si>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</si>
  <si>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</si>
  <si>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</si>
  <si>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</si>
  <si>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</si>
  <si>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</si>
  <si>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</si>
  <si>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</si>
  <si>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</si>
  <si>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</si>
  <si>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</si>
  <si>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</si>
  <si>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</si>
  <si>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</si>
  <si>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Mililitros </t>
  </si>
  <si>
    <t xml:space="preserve">UND </t>
  </si>
  <si>
    <t xml:space="preserve">und </t>
  </si>
  <si>
    <t>und</t>
  </si>
  <si>
    <t>Gramos</t>
  </si>
  <si>
    <t>gramos</t>
  </si>
  <si>
    <t>UND</t>
  </si>
  <si>
    <t>Ron Centenario Claro</t>
  </si>
  <si>
    <t xml:space="preserve">SE00790 Almibar de Ron </t>
  </si>
  <si>
    <t>MP10684</t>
  </si>
  <si>
    <t>01</t>
  </si>
  <si>
    <t>ESP-RE-DES-095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</si>
</sst>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8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rgb="FF0070C0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2"/>
      <color theme="1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4"/>
      <color theme="1"/>
      <name val="April"/>
    </font>
    <font>
      <sz val="12"/>
      <color theme="1"/>
      <name val="April"/>
    </font>
    <font>
      <sz val="12"/>
      <name val="April"/>
    </font>
    <font>
      <sz val="14"/>
      <name val="April"/>
    </font>
    <font>
      <b/>
      <sz val="14"/>
      <name val="April"/>
    </font>
    <font>
      <b/>
      <sz val="14"/>
      <color theme="1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425">
    <xf numFmtId="0" fontId="0" fillId="0" borderId="0" xfId="0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0" fontId="16" fillId="0" borderId="15" xfId="0" applyFont="1" applyBorder="1" applyAlignment="1">
      <alignment horizontal="center"/>
    </xf>
    <xf numFmtId="1" fontId="16" fillId="0" borderId="15" xfId="1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6" fillId="0" borderId="8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8" fillId="4" borderId="15" xfId="0" applyFont="1" applyFill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1" applyFont="1" applyBorder="1" applyAlignment="1">
      <alignment vertical="center"/>
    </xf>
    <xf numFmtId="0" fontId="18" fillId="0" borderId="15" xfId="0" applyFont="1" applyBorder="1"/>
    <xf numFmtId="16" fontId="16" fillId="4" borderId="15" xfId="0" applyNumberFormat="1" applyFont="1" applyFill="1" applyBorder="1" applyAlignment="1">
      <alignment horizontal="center"/>
    </xf>
    <xf numFmtId="1" fontId="16" fillId="0" borderId="15" xfId="0" applyNumberFormat="1" applyFont="1" applyBorder="1" applyAlignment="1">
      <alignment horizontal="center" vertical="center" wrapText="1"/>
    </xf>
    <xf numFmtId="1" fontId="16" fillId="0" borderId="27" xfId="1" applyNumberFormat="1" applyFont="1" applyBorder="1" applyAlignment="1">
      <alignment horizontal="center"/>
    </xf>
    <xf numFmtId="1" fontId="16" fillId="0" borderId="9" xfId="1" applyNumberFormat="1" applyFont="1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1" fontId="16" fillId="0" borderId="15" xfId="0" applyNumberFormat="1" applyFont="1" applyBorder="1" applyAlignment="1">
      <alignment horizontal="center" vertical="center"/>
    </xf>
    <xf numFmtId="0" fontId="16" fillId="0" borderId="15" xfId="1" applyFont="1" applyBorder="1"/>
    <xf numFmtId="0" fontId="18" fillId="0" borderId="8" xfId="0" applyFont="1" applyBorder="1" applyAlignment="1">
      <alignment horizontal="center"/>
    </xf>
    <xf numFmtId="0" fontId="17" fillId="0" borderId="16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1" fontId="17" fillId="0" borderId="15" xfId="1" applyNumberFormat="1" applyFont="1" applyBorder="1" applyAlignment="1">
      <alignment horizontal="center" wrapText="1"/>
    </xf>
    <xf numFmtId="0" fontId="17" fillId="0" borderId="15" xfId="1" applyFont="1" applyBorder="1"/>
    <xf numFmtId="0" fontId="16" fillId="4" borderId="15" xfId="0" applyFont="1" applyFill="1" applyBorder="1"/>
    <xf numFmtId="1" fontId="16" fillId="4" borderId="15" xfId="0" applyNumberFormat="1" applyFont="1" applyFill="1" applyBorder="1" applyAlignment="1">
      <alignment horizontal="center" wrapText="1"/>
    </xf>
    <xf numFmtId="166" fontId="17" fillId="4" borderId="15" xfId="9" applyNumberFormat="1" applyFont="1" applyFill="1" applyBorder="1" applyAlignment="1">
      <alignment horizontal="center"/>
    </xf>
    <xf numFmtId="12" fontId="21" fillId="0" borderId="15" xfId="1" applyNumberFormat="1" applyFont="1" applyBorder="1" applyAlignment="1">
      <alignment horizontal="left"/>
    </xf>
    <xf numFmtId="0" fontId="18" fillId="0" borderId="27" xfId="0" applyFont="1" applyBorder="1" applyAlignment="1">
      <alignment horizontal="center"/>
    </xf>
    <xf numFmtId="1" fontId="0" fillId="0" borderId="0" xfId="0" applyNumberFormat="1"/>
    <xf numFmtId="16" fontId="16" fillId="0" borderId="15" xfId="1" applyNumberFormat="1" applyFont="1" applyBorder="1" applyAlignment="1">
      <alignment horizontal="center"/>
    </xf>
    <xf numFmtId="0" fontId="23" fillId="4" borderId="15" xfId="1" applyFont="1" applyFill="1" applyBorder="1" applyAlignment="1">
      <alignment horizontal="left"/>
    </xf>
    <xf numFmtId="1" fontId="3" fillId="0" borderId="15" xfId="1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5" xfId="0" applyFont="1" applyBorder="1"/>
    <xf numFmtId="0" fontId="28" fillId="0" borderId="15" xfId="0" applyFont="1" applyBorder="1" applyAlignment="1">
      <alignment horizontal="center"/>
    </xf>
    <xf numFmtId="0" fontId="28" fillId="0" borderId="15" xfId="0" applyFont="1" applyBorder="1"/>
    <xf numFmtId="16" fontId="29" fillId="0" borderId="15" xfId="0" applyNumberFormat="1" applyFont="1" applyBorder="1" applyAlignment="1">
      <alignment horizontal="center"/>
    </xf>
    <xf numFmtId="1" fontId="29" fillId="0" borderId="15" xfId="0" applyNumberFormat="1" applyFont="1" applyBorder="1" applyAlignment="1">
      <alignment horizontal="center"/>
    </xf>
    <xf numFmtId="1" fontId="29" fillId="0" borderId="15" xfId="0" applyNumberFormat="1" applyFont="1" applyBorder="1" applyAlignment="1">
      <alignment horizontal="center" wrapText="1"/>
    </xf>
    <xf numFmtId="0" fontId="30" fillId="0" borderId="15" xfId="1" applyFont="1" applyBorder="1" applyAlignment="1">
      <alignment horizontal="center"/>
    </xf>
    <xf numFmtId="16" fontId="30" fillId="0" borderId="15" xfId="1" applyNumberFormat="1" applyFont="1" applyBorder="1" applyAlignment="1">
      <alignment horizontal="center"/>
    </xf>
    <xf numFmtId="1" fontId="30" fillId="0" borderId="15" xfId="0" applyNumberFormat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0" fillId="0" borderId="15" xfId="0" applyBorder="1"/>
    <xf numFmtId="1" fontId="30" fillId="0" borderId="15" xfId="1" applyNumberFormat="1" applyFont="1" applyBorder="1" applyAlignment="1">
      <alignment horizontal="center"/>
    </xf>
    <xf numFmtId="1" fontId="31" fillId="0" borderId="15" xfId="1" applyNumberFormat="1" applyFont="1" applyBorder="1" applyAlignment="1">
      <alignment horizontal="center"/>
    </xf>
    <xf numFmtId="16" fontId="30" fillId="0" borderId="15" xfId="0" applyNumberFormat="1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49" fontId="30" fillId="0" borderId="15" xfId="0" applyNumberFormat="1" applyFont="1" applyBorder="1"/>
    <xf numFmtId="1" fontId="30" fillId="0" borderId="15" xfId="0" applyNumberFormat="1" applyFont="1" applyBorder="1" applyAlignment="1">
      <alignment horizontal="center" wrapText="1"/>
    </xf>
    <xf numFmtId="0" fontId="29" fillId="0" borderId="15" xfId="0" applyFont="1" applyBorder="1" applyAlignment="1">
      <alignment horizontal="center"/>
    </xf>
    <xf numFmtId="49" fontId="29" fillId="0" borderId="15" xfId="0" applyNumberFormat="1" applyFont="1" applyBorder="1"/>
    <xf numFmtId="49" fontId="29" fillId="0" borderId="15" xfId="1" applyNumberFormat="1" applyFont="1" applyBorder="1"/>
    <xf numFmtId="1" fontId="26" fillId="0" borderId="11" xfId="0" applyNumberFormat="1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1" fontId="30" fillId="0" borderId="11" xfId="0" applyNumberFormat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3" fillId="4" borderId="0" xfId="0" applyFont="1" applyFill="1" applyAlignment="1">
      <alignment vertical="center"/>
    </xf>
    <xf numFmtId="0" fontId="34" fillId="7" borderId="15" xfId="0" applyFont="1" applyFill="1" applyBorder="1" applyAlignment="1">
      <alignment horizontal="center" vertical="center" wrapText="1"/>
    </xf>
    <xf numFmtId="0" fontId="34" fillId="7" borderId="15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3" fontId="34" fillId="0" borderId="15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43" fontId="36" fillId="0" borderId="0" xfId="9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68" fontId="39" fillId="0" borderId="0" xfId="0" applyNumberFormat="1" applyFont="1" applyAlignment="1">
      <alignment horizontal="center" vertical="center" wrapText="1"/>
    </xf>
    <xf numFmtId="0" fontId="34" fillId="8" borderId="50" xfId="0" applyFont="1" applyFill="1" applyBorder="1" applyAlignment="1">
      <alignment horizontal="center" vertical="center"/>
    </xf>
    <xf numFmtId="0" fontId="34" fillId="8" borderId="51" xfId="0" applyFont="1" applyFill="1" applyBorder="1" applyAlignment="1">
      <alignment horizontal="center" vertical="center"/>
    </xf>
    <xf numFmtId="0" fontId="34" fillId="8" borderId="51" xfId="0" applyFont="1" applyFill="1" applyBorder="1" applyAlignment="1">
      <alignment horizontal="center" vertical="center" wrapText="1"/>
    </xf>
    <xf numFmtId="0" fontId="34" fillId="8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40" fillId="0" borderId="0" xfId="0" applyNumberFormat="1" applyFont="1" applyAlignment="1">
      <alignment horizontal="center"/>
    </xf>
    <xf numFmtId="4" fontId="40" fillId="0" borderId="0" xfId="10" applyNumberFormat="1" applyFont="1" applyFill="1" applyAlignment="1">
      <alignment horizontal="center" vertical="center"/>
    </xf>
    <xf numFmtId="4" fontId="34" fillId="0" borderId="0" xfId="10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0" fontId="33" fillId="0" borderId="0" xfId="0" applyFont="1"/>
    <xf numFmtId="49" fontId="34" fillId="0" borderId="0" xfId="0" applyNumberFormat="1" applyFont="1" applyAlignment="1">
      <alignment horizontal="center"/>
    </xf>
    <xf numFmtId="16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43" fontId="33" fillId="0" borderId="0" xfId="9" applyFont="1" applyFill="1" applyAlignment="1">
      <alignment vertical="center"/>
    </xf>
    <xf numFmtId="49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4" fontId="34" fillId="0" borderId="0" xfId="9" applyNumberFormat="1" applyFont="1" applyFill="1" applyAlignment="1">
      <alignment vertical="center"/>
    </xf>
    <xf numFmtId="43" fontId="42" fillId="0" borderId="0" xfId="9" applyFont="1" applyFill="1" applyAlignment="1">
      <alignment horizontal="center" vertical="center"/>
    </xf>
    <xf numFmtId="10" fontId="35" fillId="8" borderId="53" xfId="7" applyNumberFormat="1" applyFont="1" applyFill="1" applyBorder="1" applyAlignment="1">
      <alignment vertical="center"/>
    </xf>
    <xf numFmtId="0" fontId="33" fillId="8" borderId="37" xfId="0" applyFont="1" applyFill="1" applyBorder="1" applyAlignment="1">
      <alignment vertical="center"/>
    </xf>
    <xf numFmtId="0" fontId="33" fillId="8" borderId="53" xfId="0" applyFont="1" applyFill="1" applyBorder="1" applyAlignment="1">
      <alignment vertical="center"/>
    </xf>
    <xf numFmtId="43" fontId="42" fillId="8" borderId="54" xfId="9" applyFont="1" applyFill="1" applyBorder="1" applyAlignment="1">
      <alignment horizontal="center" vertical="center"/>
    </xf>
    <xf numFmtId="43" fontId="44" fillId="0" borderId="0" xfId="9" applyFont="1" applyFill="1" applyBorder="1" applyAlignment="1">
      <alignment horizontal="right"/>
    </xf>
    <xf numFmtId="0" fontId="33" fillId="8" borderId="54" xfId="0" applyFont="1" applyFill="1" applyBorder="1" applyAlignment="1">
      <alignment vertical="center"/>
    </xf>
    <xf numFmtId="10" fontId="35" fillId="8" borderId="54" xfId="7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0" fontId="43" fillId="0" borderId="0" xfId="0" applyFont="1"/>
    <xf numFmtId="9" fontId="43" fillId="0" borderId="0" xfId="0" applyNumberFormat="1" applyFont="1"/>
    <xf numFmtId="9" fontId="45" fillId="0" borderId="0" xfId="7" applyFont="1" applyFill="1" applyAlignment="1">
      <alignment horizontal="center"/>
    </xf>
    <xf numFmtId="0" fontId="42" fillId="0" borderId="0" xfId="0" applyFont="1" applyAlignment="1">
      <alignment horizontal="right" vertical="center"/>
    </xf>
    <xf numFmtId="4" fontId="42" fillId="0" borderId="0" xfId="9" applyNumberFormat="1" applyFont="1" applyFill="1" applyAlignment="1">
      <alignment vertical="center"/>
    </xf>
    <xf numFmtId="4" fontId="42" fillId="0" borderId="0" xfId="10" applyNumberFormat="1" applyFont="1" applyAlignment="1">
      <alignment horizontal="center" vertical="center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7" fillId="0" borderId="20" xfId="0" applyFont="1" applyBorder="1" applyAlignment="1">
      <alignment horizontal="right"/>
    </xf>
    <xf numFmtId="43" fontId="48" fillId="5" borderId="55" xfId="9" applyFont="1" applyFill="1" applyBorder="1" applyAlignment="1">
      <alignment horizontal="right"/>
    </xf>
    <xf numFmtId="43" fontId="48" fillId="0" borderId="0" xfId="9" applyFont="1" applyFill="1" applyBorder="1" applyAlignment="1">
      <alignment horizontal="right"/>
    </xf>
    <xf numFmtId="43" fontId="34" fillId="0" borderId="15" xfId="9" applyFont="1" applyFill="1" applyBorder="1" applyAlignment="1">
      <alignment vertical="center"/>
    </xf>
    <xf numFmtId="0" fontId="49" fillId="0" borderId="0" xfId="0" applyFont="1" applyAlignment="1">
      <alignment horizontal="left" vertical="center"/>
    </xf>
    <xf numFmtId="4" fontId="42" fillId="0" borderId="0" xfId="10" applyNumberFormat="1" applyFont="1" applyFill="1" applyAlignment="1">
      <alignment horizontal="center" vertical="center"/>
    </xf>
    <xf numFmtId="10" fontId="50" fillId="0" borderId="0" xfId="7" applyNumberFormat="1" applyFont="1" applyFill="1" applyAlignment="1">
      <alignment horizontal="right"/>
    </xf>
    <xf numFmtId="170" fontId="34" fillId="8" borderId="15" xfId="9" applyNumberFormat="1" applyFont="1" applyFill="1" applyBorder="1" applyAlignment="1">
      <alignment vertical="center"/>
    </xf>
    <xf numFmtId="4" fontId="33" fillId="0" borderId="0" xfId="0" applyNumberFormat="1" applyFont="1" applyAlignment="1">
      <alignment horizontal="center" vertical="center"/>
    </xf>
    <xf numFmtId="43" fontId="34" fillId="9" borderId="15" xfId="9" applyFont="1" applyFill="1" applyBorder="1" applyAlignment="1">
      <alignment vertical="center"/>
    </xf>
    <xf numFmtId="167" fontId="51" fillId="0" borderId="0" xfId="0" applyNumberFormat="1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5" fillId="8" borderId="56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2" fontId="50" fillId="0" borderId="0" xfId="9" applyNumberFormat="1" applyFont="1" applyFill="1" applyBorder="1" applyAlignment="1">
      <alignment horizontal="center"/>
    </xf>
    <xf numFmtId="2" fontId="47" fillId="0" borderId="0" xfId="9" applyNumberFormat="1" applyFont="1" applyFill="1" applyBorder="1" applyAlignment="1">
      <alignment horizontal="center"/>
    </xf>
    <xf numFmtId="0" fontId="33" fillId="8" borderId="56" xfId="0" applyFont="1" applyFill="1" applyBorder="1" applyAlignment="1">
      <alignment vertical="center"/>
    </xf>
    <xf numFmtId="10" fontId="33" fillId="0" borderId="0" xfId="7" applyNumberFormat="1" applyFont="1" applyFill="1" applyAlignment="1">
      <alignment vertical="center"/>
    </xf>
    <xf numFmtId="4" fontId="33" fillId="0" borderId="0" xfId="9" applyNumberFormat="1" applyFont="1" applyFill="1" applyAlignment="1">
      <alignment vertical="center"/>
    </xf>
    <xf numFmtId="43" fontId="48" fillId="8" borderId="37" xfId="9" applyFont="1" applyFill="1" applyBorder="1" applyAlignment="1">
      <alignment horizontal="right"/>
    </xf>
    <xf numFmtId="0" fontId="34" fillId="8" borderId="38" xfId="0" applyFont="1" applyFill="1" applyBorder="1" applyAlignment="1">
      <alignment horizontal="right" vertical="center"/>
    </xf>
    <xf numFmtId="10" fontId="54" fillId="0" borderId="0" xfId="9" applyNumberFormat="1" applyFont="1" applyFill="1" applyAlignment="1">
      <alignment vertical="center"/>
    </xf>
    <xf numFmtId="10" fontId="35" fillId="0" borderId="0" xfId="7" applyNumberFormat="1" applyFont="1" applyFill="1" applyBorder="1" applyAlignment="1">
      <alignment vertical="center"/>
    </xf>
    <xf numFmtId="167" fontId="55" fillId="0" borderId="0" xfId="0" applyNumberFormat="1" applyFont="1" applyAlignment="1">
      <alignment horizontal="center" vertical="center"/>
    </xf>
    <xf numFmtId="0" fontId="33" fillId="4" borderId="55" xfId="0" applyFont="1" applyFill="1" applyBorder="1" applyAlignment="1">
      <alignment horizontal="center" vertical="center"/>
    </xf>
    <xf numFmtId="43" fontId="56" fillId="0" borderId="0" xfId="9" applyFont="1" applyFill="1" applyAlignment="1">
      <alignment vertical="center"/>
    </xf>
    <xf numFmtId="4" fontId="57" fillId="0" borderId="0" xfId="10" applyNumberFormat="1" applyFont="1" applyFill="1" applyAlignment="1">
      <alignment horizontal="center" vertical="center" wrapText="1"/>
    </xf>
    <xf numFmtId="9" fontId="33" fillId="0" borderId="0" xfId="9" applyNumberFormat="1" applyFont="1" applyFill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4" fontId="41" fillId="0" borderId="0" xfId="9" applyNumberFormat="1" applyFont="1" applyFill="1" applyAlignment="1">
      <alignment vertical="center"/>
    </xf>
    <xf numFmtId="4" fontId="34" fillId="11" borderId="55" xfId="9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43" fontId="58" fillId="0" borderId="0" xfId="9" applyFont="1" applyFill="1" applyAlignment="1">
      <alignment vertical="center"/>
    </xf>
    <xf numFmtId="9" fontId="58" fillId="0" borderId="0" xfId="9" applyNumberFormat="1" applyFont="1" applyFill="1" applyAlignment="1">
      <alignment vertical="center"/>
    </xf>
    <xf numFmtId="4" fontId="34" fillId="0" borderId="0" xfId="9" applyNumberFormat="1" applyFont="1" applyFill="1" applyAlignment="1">
      <alignment horizontal="center" vertical="center"/>
    </xf>
    <xf numFmtId="10" fontId="51" fillId="0" borderId="0" xfId="7" applyNumberFormat="1" applyFont="1" applyFill="1" applyAlignment="1">
      <alignment vertical="center"/>
    </xf>
    <xf numFmtId="43" fontId="51" fillId="0" borderId="0" xfId="9" applyFont="1" applyFill="1" applyBorder="1" applyAlignment="1">
      <alignment vertical="center"/>
    </xf>
    <xf numFmtId="4" fontId="33" fillId="0" borderId="0" xfId="0" applyNumberFormat="1" applyFont="1" applyAlignment="1">
      <alignment horizontal="center"/>
    </xf>
    <xf numFmtId="43" fontId="33" fillId="0" borderId="0" xfId="9" applyFont="1" applyFill="1" applyBorder="1"/>
    <xf numFmtId="10" fontId="51" fillId="0" borderId="0" xfId="7" applyNumberFormat="1" applyFont="1" applyFill="1" applyBorder="1" applyAlignment="1">
      <alignment vertical="center"/>
    </xf>
    <xf numFmtId="0" fontId="51" fillId="0" borderId="0" xfId="0" applyFont="1" applyAlignment="1">
      <alignment horizontal="right"/>
    </xf>
    <xf numFmtId="43" fontId="33" fillId="0" borderId="0" xfId="9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4" fontId="34" fillId="0" borderId="0" xfId="0" applyNumberFormat="1" applyFont="1" applyAlignment="1">
      <alignment horizontal="center"/>
    </xf>
    <xf numFmtId="167" fontId="34" fillId="0" borderId="0" xfId="0" applyNumberFormat="1" applyFont="1"/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5" fillId="5" borderId="42" xfId="2" applyFont="1" applyFill="1" applyBorder="1" applyAlignment="1">
      <alignment horizontal="center" vertical="center" wrapText="1"/>
    </xf>
    <xf numFmtId="0" fontId="15" fillId="5" borderId="37" xfId="2" applyFont="1" applyFill="1" applyBorder="1" applyAlignment="1">
      <alignment horizontal="center" vertical="center" wrapText="1"/>
    </xf>
    <xf numFmtId="0" fontId="15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5" fillId="0" borderId="12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25" fillId="0" borderId="13" xfId="0" applyFont="1" applyBorder="1" applyAlignment="1">
      <alignment horizontal="left" wrapText="1"/>
    </xf>
    <xf numFmtId="0" fontId="25" fillId="0" borderId="12" xfId="0" applyFont="1" applyBorder="1" applyAlignment="1">
      <alignment horizontal="left" wrapText="1"/>
    </xf>
    <xf numFmtId="0" fontId="25" fillId="0" borderId="11" xfId="0" applyFont="1" applyBorder="1" applyAlignment="1">
      <alignment horizontal="left" wrapText="1"/>
    </xf>
    <xf numFmtId="0" fontId="25" fillId="0" borderId="10" xfId="0" applyFont="1" applyBorder="1" applyAlignment="1">
      <alignment horizontal="left" wrapText="1"/>
    </xf>
    <xf numFmtId="0" fontId="20" fillId="0" borderId="13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42" fillId="0" borderId="0" xfId="0" applyFont="1" applyAlignment="1">
      <alignment horizontal="center" vertical="center"/>
    </xf>
    <xf numFmtId="0" fontId="59" fillId="0" borderId="42" xfId="0" applyFont="1" applyBorder="1" applyAlignment="1">
      <alignment horizontal="right" vertical="center"/>
    </xf>
    <xf numFmtId="0" fontId="59" fillId="0" borderId="37" xfId="0" applyFont="1" applyBorder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60" fillId="0" borderId="0" xfId="0" applyFont="1" applyAlignment="1">
      <alignment horizontal="right"/>
    </xf>
    <xf numFmtId="0" fontId="50" fillId="0" borderId="30" xfId="0" applyFont="1" applyBorder="1" applyAlignment="1">
      <alignment horizontal="right"/>
    </xf>
    <xf numFmtId="0" fontId="42" fillId="0" borderId="0" xfId="0" applyFont="1" applyAlignment="1">
      <alignment horizontal="right" vertical="center"/>
    </xf>
    <xf numFmtId="0" fontId="48" fillId="8" borderId="42" xfId="0" applyFont="1" applyFill="1" applyBorder="1" applyAlignment="1">
      <alignment horizontal="right"/>
    </xf>
    <xf numFmtId="0" fontId="48" fillId="8" borderId="37" xfId="0" applyFont="1" applyFill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4" fillId="0" borderId="30" xfId="0" applyFont="1" applyBorder="1" applyAlignment="1">
      <alignment horizontal="right" vertical="center"/>
    </xf>
    <xf numFmtId="0" fontId="34" fillId="0" borderId="57" xfId="0" applyFont="1" applyBorder="1" applyAlignment="1">
      <alignment horizontal="right" vertical="center"/>
    </xf>
    <xf numFmtId="0" fontId="34" fillId="10" borderId="42" xfId="0" applyFont="1" applyFill="1" applyBorder="1" applyAlignment="1">
      <alignment horizontal="right" vertical="center"/>
    </xf>
    <xf numFmtId="0" fontId="34" fillId="10" borderId="37" xfId="0" applyFont="1" applyFill="1" applyBorder="1" applyAlignment="1">
      <alignment horizontal="right" vertical="center"/>
    </xf>
    <xf numFmtId="0" fontId="34" fillId="10" borderId="38" xfId="0" applyFont="1" applyFill="1" applyBorder="1" applyAlignment="1">
      <alignment horizontal="right" vertical="center"/>
    </xf>
    <xf numFmtId="4" fontId="57" fillId="0" borderId="0" xfId="10" applyNumberFormat="1" applyFont="1" applyFill="1" applyAlignment="1">
      <alignment horizontal="center" vertical="center" wrapText="1"/>
    </xf>
    <xf numFmtId="0" fontId="51" fillId="0" borderId="15" xfId="0" applyFont="1" applyBorder="1" applyAlignment="1">
      <alignment horizontal="right" vertical="center"/>
    </xf>
    <xf numFmtId="0" fontId="52" fillId="0" borderId="21" xfId="0" applyFont="1" applyBorder="1" applyAlignment="1">
      <alignment horizontal="right"/>
    </xf>
    <xf numFmtId="0" fontId="52" fillId="0" borderId="0" xfId="0" applyFont="1" applyAlignment="1">
      <alignment horizontal="right"/>
    </xf>
    <xf numFmtId="0" fontId="52" fillId="0" borderId="20" xfId="0" applyFont="1" applyBorder="1" applyAlignment="1">
      <alignment horizontal="right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43" fillId="0" borderId="36" xfId="0" applyFont="1" applyBorder="1" applyAlignment="1">
      <alignment horizontal="right"/>
    </xf>
    <xf numFmtId="0" fontId="43" fillId="0" borderId="35" xfId="0" applyFont="1" applyBorder="1" applyAlignment="1">
      <alignment horizontal="right"/>
    </xf>
    <xf numFmtId="0" fontId="33" fillId="0" borderId="15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7" fillId="0" borderId="3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9" fillId="0" borderId="37" xfId="0" applyFont="1" applyBorder="1" applyAlignment="1">
      <alignment horizontal="right" vertical="center" wrapText="1"/>
    </xf>
    <xf numFmtId="0" fontId="30" fillId="0" borderId="16" xfId="0" applyFont="1" applyBorder="1" applyAlignment="1">
      <alignment horizontal="left"/>
    </xf>
    <xf numFmtId="0" fontId="30" fillId="0" borderId="8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14" xfId="0" applyFont="1" applyBorder="1" applyAlignment="1">
      <alignment horizontal="left"/>
    </xf>
    <xf numFmtId="0" fontId="30" fillId="0" borderId="7" xfId="0" applyFont="1" applyBorder="1" applyAlignment="1">
      <alignment horizontal="left"/>
    </xf>
    <xf numFmtId="0" fontId="30" fillId="0" borderId="6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0" fillId="0" borderId="41" xfId="0" applyFont="1" applyBorder="1" applyAlignment="1">
      <alignment horizontal="left"/>
    </xf>
    <xf numFmtId="0" fontId="30" fillId="0" borderId="19" xfId="0" applyFont="1" applyBorder="1" applyAlignment="1">
      <alignment horizontal="left"/>
    </xf>
    <xf numFmtId="0" fontId="30" fillId="0" borderId="18" xfId="0" applyFont="1" applyBorder="1" applyAlignment="1">
      <alignment horizontal="left"/>
    </xf>
    <xf numFmtId="0" fontId="30" fillId="0" borderId="17" xfId="0" applyFont="1" applyBorder="1" applyAlignment="1">
      <alignment horizontal="left"/>
    </xf>
    <xf numFmtId="0" fontId="62" fillId="5" borderId="42" xfId="2" applyFont="1" applyFill="1" applyBorder="1" applyAlignment="1">
      <alignment horizontal="center" vertical="center" wrapText="1"/>
    </xf>
    <xf numFmtId="0" fontId="62" fillId="5" borderId="37" xfId="2" applyFont="1" applyFill="1" applyBorder="1" applyAlignment="1">
      <alignment horizontal="center" vertical="center" wrapText="1"/>
    </xf>
    <xf numFmtId="0" fontId="62" fillId="5" borderId="38" xfId="2" applyFont="1" applyFill="1" applyBorder="1" applyAlignment="1">
      <alignment horizontal="center" vertical="center" wrapText="1"/>
    </xf>
    <xf numFmtId="0" fontId="63" fillId="0" borderId="16" xfId="1" applyFont="1" applyBorder="1" applyAlignment="1">
      <alignment horizontal="center" vertical="center"/>
    </xf>
    <xf numFmtId="0" fontId="63" fillId="0" borderId="15" xfId="1" applyFont="1" applyBorder="1" applyAlignment="1">
      <alignment horizontal="center" vertical="center"/>
    </xf>
    <xf numFmtId="0" fontId="64" fillId="0" borderId="15" xfId="1" applyFont="1" applyBorder="1" applyAlignment="1">
      <alignment vertical="center"/>
    </xf>
    <xf numFmtId="1" fontId="63" fillId="0" borderId="15" xfId="1" applyNumberFormat="1" applyFont="1" applyBorder="1" applyAlignment="1">
      <alignment horizontal="center"/>
    </xf>
    <xf numFmtId="1" fontId="63" fillId="0" borderId="15" xfId="1" applyNumberFormat="1" applyFont="1" applyBorder="1" applyAlignment="1">
      <alignment horizontal="center" wrapText="1"/>
    </xf>
    <xf numFmtId="0" fontId="25" fillId="0" borderId="14" xfId="1" applyFont="1" applyBorder="1" applyAlignment="1">
      <alignment horizontal="center"/>
    </xf>
    <xf numFmtId="0" fontId="65" fillId="0" borderId="15" xfId="0" applyFont="1" applyBorder="1" applyAlignment="1">
      <alignment horizontal="center"/>
    </xf>
    <xf numFmtId="0" fontId="65" fillId="0" borderId="15" xfId="0" applyFont="1" applyBorder="1"/>
    <xf numFmtId="16" fontId="25" fillId="0" borderId="15" xfId="0" applyNumberFormat="1" applyFont="1" applyBorder="1" applyAlignment="1">
      <alignment horizontal="center"/>
    </xf>
    <xf numFmtId="1" fontId="25" fillId="0" borderId="15" xfId="0" applyNumberFormat="1" applyFont="1" applyBorder="1" applyAlignment="1">
      <alignment horizontal="center"/>
    </xf>
    <xf numFmtId="1" fontId="25" fillId="0" borderId="15" xfId="0" applyNumberFormat="1" applyFont="1" applyBorder="1" applyAlignment="1">
      <alignment horizontal="center" wrapText="1"/>
    </xf>
    <xf numFmtId="0" fontId="25" fillId="0" borderId="15" xfId="0" applyFont="1" applyBorder="1" applyAlignment="1">
      <alignment horizontal="center"/>
    </xf>
    <xf numFmtId="0" fontId="25" fillId="0" borderId="15" xfId="1" applyFont="1" applyBorder="1" applyAlignment="1">
      <alignment horizontal="center"/>
    </xf>
    <xf numFmtId="1" fontId="25" fillId="0" borderId="15" xfId="1" applyNumberFormat="1" applyFont="1" applyBorder="1" applyAlignment="1">
      <alignment horizontal="center"/>
    </xf>
    <xf numFmtId="1" fontId="25" fillId="0" borderId="9" xfId="1" applyNumberFormat="1" applyFont="1" applyBorder="1" applyAlignment="1">
      <alignment horizontal="center"/>
    </xf>
    <xf numFmtId="0" fontId="25" fillId="0" borderId="8" xfId="1" applyFont="1" applyBorder="1" applyAlignment="1">
      <alignment horizontal="center"/>
    </xf>
    <xf numFmtId="0" fontId="25" fillId="0" borderId="15" xfId="1" applyFont="1" applyBorder="1"/>
    <xf numFmtId="0" fontId="65" fillId="0" borderId="8" xfId="0" applyFont="1" applyBorder="1" applyAlignment="1">
      <alignment horizontal="center"/>
    </xf>
    <xf numFmtId="0" fontId="63" fillId="4" borderId="15" xfId="1" applyFont="1" applyFill="1" applyBorder="1" applyAlignment="1">
      <alignment horizontal="left"/>
    </xf>
    <xf numFmtId="0" fontId="25" fillId="4" borderId="15" xfId="0" applyFont="1" applyFill="1" applyBorder="1" applyAlignment="1">
      <alignment horizontal="center"/>
    </xf>
    <xf numFmtId="0" fontId="25" fillId="4" borderId="15" xfId="0" applyFont="1" applyFill="1" applyBorder="1"/>
    <xf numFmtId="16" fontId="25" fillId="4" borderId="15" xfId="0" applyNumberFormat="1" applyFont="1" applyFill="1" applyBorder="1" applyAlignment="1">
      <alignment horizontal="center"/>
    </xf>
    <xf numFmtId="1" fontId="25" fillId="4" borderId="15" xfId="0" applyNumberFormat="1" applyFont="1" applyFill="1" applyBorder="1" applyAlignment="1">
      <alignment horizontal="center" wrapText="1"/>
    </xf>
    <xf numFmtId="0" fontId="63" fillId="0" borderId="15" xfId="1" applyFont="1" applyBorder="1"/>
    <xf numFmtId="49" fontId="25" fillId="0" borderId="15" xfId="1" applyNumberFormat="1" applyFont="1" applyBorder="1"/>
    <xf numFmtId="0" fontId="65" fillId="0" borderId="0" xfId="0" applyFont="1" applyAlignment="1">
      <alignment horizontal="center"/>
    </xf>
    <xf numFmtId="49" fontId="25" fillId="0" borderId="16" xfId="1" applyNumberFormat="1" applyFont="1" applyBorder="1" applyAlignment="1">
      <alignment horizontal="center"/>
    </xf>
    <xf numFmtId="49" fontId="25" fillId="0" borderId="8" xfId="1" applyNumberFormat="1" applyFont="1" applyBorder="1" applyAlignment="1">
      <alignment horizontal="center"/>
    </xf>
    <xf numFmtId="1" fontId="25" fillId="0" borderId="15" xfId="1" applyNumberFormat="1" applyFont="1" applyBorder="1" applyAlignment="1">
      <alignment horizontal="center" wrapText="1"/>
    </xf>
    <xf numFmtId="49" fontId="66" fillId="3" borderId="21" xfId="1" applyNumberFormat="1" applyFont="1" applyFill="1" applyBorder="1" applyAlignment="1">
      <alignment horizontal="center" vertical="center"/>
    </xf>
    <xf numFmtId="49" fontId="66" fillId="3" borderId="0" xfId="1" applyNumberFormat="1" applyFont="1" applyFill="1" applyAlignment="1">
      <alignment horizontal="center" vertical="center"/>
    </xf>
    <xf numFmtId="0" fontId="25" fillId="3" borderId="0" xfId="1" applyFont="1" applyFill="1"/>
    <xf numFmtId="1" fontId="25" fillId="3" borderId="0" xfId="1" applyNumberFormat="1" applyFont="1" applyFill="1" applyAlignment="1">
      <alignment horizontal="center"/>
    </xf>
    <xf numFmtId="164" fontId="25" fillId="3" borderId="0" xfId="1" applyNumberFormat="1" applyFont="1" applyFill="1" applyAlignment="1">
      <alignment horizontal="center" wrapText="1"/>
    </xf>
    <xf numFmtId="0" fontId="25" fillId="3" borderId="20" xfId="1" applyFont="1" applyFill="1" applyBorder="1" applyAlignment="1">
      <alignment horizontal="center"/>
    </xf>
    <xf numFmtId="0" fontId="25" fillId="2" borderId="42" xfId="1" applyFont="1" applyFill="1" applyBorder="1" applyAlignment="1">
      <alignment horizontal="center"/>
    </xf>
    <xf numFmtId="0" fontId="25" fillId="2" borderId="37" xfId="1" applyFont="1" applyFill="1" applyBorder="1" applyAlignment="1">
      <alignment horizontal="center"/>
    </xf>
    <xf numFmtId="0" fontId="25" fillId="2" borderId="37" xfId="1" applyFont="1" applyFill="1" applyBorder="1"/>
    <xf numFmtId="0" fontId="63" fillId="2" borderId="37" xfId="1" applyFont="1" applyFill="1" applyBorder="1" applyAlignment="1">
      <alignment horizontal="center"/>
    </xf>
    <xf numFmtId="1" fontId="63" fillId="2" borderId="37" xfId="1" applyNumberFormat="1" applyFont="1" applyFill="1" applyBorder="1" applyAlignment="1">
      <alignment horizontal="center"/>
    </xf>
    <xf numFmtId="164" fontId="25" fillId="2" borderId="37" xfId="1" applyNumberFormat="1" applyFont="1" applyFill="1" applyBorder="1" applyAlignment="1">
      <alignment horizontal="center" wrapText="1"/>
    </xf>
    <xf numFmtId="0" fontId="25" fillId="2" borderId="38" xfId="1" applyFont="1" applyFill="1" applyBorder="1" applyAlignment="1">
      <alignment horizontal="center"/>
    </xf>
    <xf numFmtId="0" fontId="63" fillId="0" borderId="39" xfId="1" applyFont="1" applyBorder="1" applyAlignment="1">
      <alignment horizontal="right"/>
    </xf>
    <xf numFmtId="0" fontId="63" fillId="0" borderId="40" xfId="1" applyFont="1" applyBorder="1" applyAlignment="1">
      <alignment horizontal="right"/>
    </xf>
    <xf numFmtId="0" fontId="63" fillId="0" borderId="12" xfId="1" applyFont="1" applyBorder="1" applyAlignment="1">
      <alignment horizontal="right"/>
    </xf>
    <xf numFmtId="1" fontId="25" fillId="0" borderId="11" xfId="0" applyNumberFormat="1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164" fontId="25" fillId="0" borderId="11" xfId="1" applyNumberFormat="1" applyFont="1" applyBorder="1" applyAlignment="1">
      <alignment horizontal="right"/>
    </xf>
    <xf numFmtId="0" fontId="25" fillId="3" borderId="27" xfId="1" applyFont="1" applyFill="1" applyBorder="1" applyAlignment="1">
      <alignment horizontal="center"/>
    </xf>
    <xf numFmtId="0" fontId="25" fillId="3" borderId="43" xfId="1" applyFont="1" applyFill="1" applyBorder="1" applyAlignment="1">
      <alignment horizontal="center"/>
    </xf>
    <xf numFmtId="0" fontId="63" fillId="0" borderId="7" xfId="1" applyFont="1" applyBorder="1" applyAlignment="1">
      <alignment horizontal="right"/>
    </xf>
    <xf numFmtId="0" fontId="63" fillId="0" borderId="6" xfId="1" applyFont="1" applyBorder="1" applyAlignment="1">
      <alignment horizontal="right"/>
    </xf>
    <xf numFmtId="0" fontId="63" fillId="0" borderId="8" xfId="1" applyFont="1" applyBorder="1" applyAlignment="1">
      <alignment horizontal="right"/>
    </xf>
    <xf numFmtId="0" fontId="25" fillId="0" borderId="15" xfId="1" applyFont="1" applyBorder="1" applyAlignment="1">
      <alignment horizontal="right"/>
    </xf>
    <xf numFmtId="164" fontId="25" fillId="0" borderId="9" xfId="1" applyNumberFormat="1" applyFont="1" applyBorder="1" applyAlignment="1">
      <alignment horizontal="center"/>
    </xf>
    <xf numFmtId="164" fontId="25" fillId="0" borderId="5" xfId="1" applyNumberFormat="1" applyFont="1" applyBorder="1" applyAlignment="1">
      <alignment horizontal="center"/>
    </xf>
    <xf numFmtId="164" fontId="25" fillId="0" borderId="9" xfId="1" applyNumberFormat="1" applyFont="1" applyBorder="1" applyAlignment="1">
      <alignment horizontal="right" wrapText="1"/>
    </xf>
    <xf numFmtId="164" fontId="25" fillId="0" borderId="8" xfId="1" applyNumberFormat="1" applyFont="1" applyBorder="1" applyAlignment="1">
      <alignment horizontal="right" wrapText="1"/>
    </xf>
    <xf numFmtId="0" fontId="63" fillId="0" borderId="4" xfId="1" applyFont="1" applyBorder="1" applyAlignment="1">
      <alignment horizontal="right"/>
    </xf>
    <xf numFmtId="0" fontId="63" fillId="0" borderId="3" xfId="1" applyFont="1" applyBorder="1" applyAlignment="1">
      <alignment horizontal="right"/>
    </xf>
    <xf numFmtId="0" fontId="63" fillId="0" borderId="2" xfId="1" applyFont="1" applyBorder="1" applyAlignment="1">
      <alignment horizontal="right"/>
    </xf>
    <xf numFmtId="1" fontId="65" fillId="0" borderId="0" xfId="0" applyNumberFormat="1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2" xfId="1" applyFont="1" applyBorder="1" applyAlignment="1">
      <alignment horizontal="right"/>
    </xf>
    <xf numFmtId="164" fontId="25" fillId="0" borderId="23" xfId="1" applyNumberFormat="1" applyFont="1" applyBorder="1" applyAlignment="1">
      <alignment horizontal="center"/>
    </xf>
    <xf numFmtId="164" fontId="25" fillId="0" borderId="22" xfId="1" applyNumberFormat="1" applyFont="1" applyBorder="1" applyAlignment="1">
      <alignment horizontal="center"/>
    </xf>
    <xf numFmtId="0" fontId="25" fillId="0" borderId="7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63" fillId="2" borderId="42" xfId="1" applyFont="1" applyFill="1" applyBorder="1" applyAlignment="1">
      <alignment horizontal="center"/>
    </xf>
    <xf numFmtId="0" fontId="63" fillId="2" borderId="37" xfId="1" applyFont="1" applyFill="1" applyBorder="1" applyAlignment="1">
      <alignment horizontal="center"/>
    </xf>
    <xf numFmtId="0" fontId="63" fillId="2" borderId="38" xfId="1" applyFont="1" applyFill="1" applyBorder="1" applyAlignment="1">
      <alignment horizontal="center"/>
    </xf>
    <xf numFmtId="0" fontId="25" fillId="0" borderId="58" xfId="1" applyFont="1" applyBorder="1" applyAlignment="1">
      <alignment horizontal="left"/>
    </xf>
    <xf numFmtId="0" fontId="25" fillId="0" borderId="59" xfId="1" applyFont="1" applyBorder="1" applyAlignment="1">
      <alignment horizontal="left"/>
    </xf>
    <xf numFmtId="0" fontId="25" fillId="0" borderId="60" xfId="1" applyFont="1" applyBorder="1" applyAlignment="1">
      <alignment horizontal="left"/>
    </xf>
    <xf numFmtId="0" fontId="63" fillId="6" borderId="15" xfId="2" applyFont="1" applyFill="1" applyBorder="1" applyAlignment="1">
      <alignment horizontal="center"/>
    </xf>
    <xf numFmtId="0" fontId="25" fillId="3" borderId="15" xfId="2" applyFont="1" applyFill="1" applyBorder="1" applyAlignment="1">
      <alignment horizontal="left"/>
    </xf>
    <xf numFmtId="0" fontId="25" fillId="0" borderId="48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49" xfId="1" applyFont="1" applyBorder="1" applyAlignment="1">
      <alignment horizontal="left" vertical="center"/>
    </xf>
    <xf numFmtId="0" fontId="25" fillId="0" borderId="11" xfId="1" applyFont="1" applyBorder="1" applyAlignment="1">
      <alignment horizontal="center"/>
    </xf>
    <xf numFmtId="0" fontId="67" fillId="0" borderId="15" xfId="0" applyFont="1" applyBorder="1" applyAlignment="1">
      <alignment horizontal="center"/>
    </xf>
    <xf numFmtId="0" fontId="25" fillId="0" borderId="41" xfId="0" applyFont="1" applyBorder="1" applyAlignment="1">
      <alignment horizontal="left"/>
    </xf>
    <xf numFmtId="0" fontId="25" fillId="0" borderId="19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25" fillId="0" borderId="17" xfId="0" applyFont="1" applyBorder="1" applyAlignment="1">
      <alignment horizontal="left"/>
    </xf>
  </cellXfs>
  <cellStyles count="11">
    <cellStyle name="Millares" xfId="9" builtinId="3"/>
    <cellStyle name="Millares [0]" xfId="10" builtinId="6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147F07D7-0E8B-46D2-BE20-44D80A18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39872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3" name="Imagen 2">
          <a:extLst>
            <a:ext uri="{FF2B5EF4-FFF2-40B4-BE49-F238E27FC236}">
              <a16:creationId xmlns:a16="http://schemas.microsoft.com/office/drawing/2014/main" id="{52CBDBE8-A169-4C1D-85D4-FDFDD8B5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39872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4" name="Imagen 3">
          <a:extLst>
            <a:ext uri="{FF2B5EF4-FFF2-40B4-BE49-F238E27FC236}">
              <a16:creationId xmlns:a16="http://schemas.microsoft.com/office/drawing/2014/main" id="{B8233455-F57F-401F-A751-061BC2A8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39872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175260</xdr:colOff>
      <xdr:row>4</xdr:row>
      <xdr:rowOff>106680</xdr:rowOff>
    </xdr:from>
    <xdr:to>
      <xdr:col>18</xdr:col>
      <xdr:colOff>228935</xdr:colOff>
      <xdr:row>42</xdr:row>
      <xdr:rowOff>38272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785D08-E1AC-E1C4-CC7B-44C91F57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1348740"/>
          <a:ext cx="3863675" cy="1981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178757</xdr:colOff>
      <xdr:row>0</xdr:row>
      <xdr:rowOff>208440</xdr:rowOff>
    </xdr:from>
    <xdr:ext cx="1701452" cy="851216"/>
    <xdr:pic>
      <xdr:nvPicPr>
        <xdr:cNvPr id="2" name="Imagen 1">
          <a:extLst>
            <a:ext uri="{FF2B5EF4-FFF2-40B4-BE49-F238E27FC236}">
              <a16:creationId xmlns:a16="http://schemas.microsoft.com/office/drawing/2014/main" id="{0097A3C6-05E9-4B38-A66B-379F08E07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757" y="208440"/>
          <a:ext cx="1701452" cy="8512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213360</xdr:colOff>
      <xdr:row>4</xdr:row>
      <xdr:rowOff>0</xdr:rowOff>
    </xdr:from>
    <xdr:to>
      <xdr:col>18</xdr:col>
      <xdr:colOff>99460</xdr:colOff>
      <xdr:row>14</xdr:row>
      <xdr:rowOff>129637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815775-B44E-A020-F444-D130403D3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242060"/>
          <a:ext cx="4610500" cy="11202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D916-01DC-42FC-A121-0DA53AFB3176}">
  <dimension ref="A1:Q93"/>
  <sheetViews>
    <sheetView topLeftCell="B50" workbookViewId="0">
      <selection activeCell="O63" sqref="O63"/>
    </sheetView>
  </sheetViews>
  <sheetFormatPr baseColWidth="10" defaultColWidth="8.42578125" defaultRowHeight="12.75"/>
  <cols>
    <col min="1" max="1" width="10" style="124" bestFit="1" customWidth="1"/>
    <col min="2" max="2" width="44.42578125" style="124" bestFit="1" customWidth="1"/>
    <col min="3" max="3" width="10.42578125" style="124" bestFit="1" customWidth="1"/>
    <col min="4" max="4" width="10.42578125" style="124" customWidth="1"/>
    <col min="5" max="5" width="11" style="124" customWidth="1"/>
    <col min="6" max="6" width="9.5703125" style="124" bestFit="1" customWidth="1"/>
    <col min="7" max="7" width="10.85546875" style="206" customWidth="1"/>
    <col min="8" max="8" width="10.42578125" style="197" bestFit="1" customWidth="1"/>
    <col min="9" max="9" width="4.5703125" style="197" customWidth="1"/>
    <col min="10" max="10" width="1.85546875" style="123" customWidth="1"/>
    <col min="11" max="11" width="7" style="124" bestFit="1" customWidth="1"/>
    <col min="12" max="12" width="6.42578125" style="124" customWidth="1"/>
    <col min="13" max="13" width="20.42578125" style="124" customWidth="1"/>
    <col min="14" max="14" width="6.42578125" style="124" bestFit="1" customWidth="1"/>
    <col min="15" max="16" width="8.42578125" style="124"/>
    <col min="17" max="17" width="3.42578125" style="124" customWidth="1"/>
    <col min="18" max="16384" width="8.42578125" style="124"/>
  </cols>
  <sheetData>
    <row r="1" spans="1:10" ht="27.75" customHeight="1">
      <c r="A1" s="119"/>
      <c r="B1" s="119"/>
      <c r="C1" s="119"/>
      <c r="D1" s="119"/>
      <c r="E1" s="120" t="s">
        <v>81</v>
      </c>
      <c r="F1" s="121" t="s">
        <v>82</v>
      </c>
      <c r="G1" s="121" t="s">
        <v>83</v>
      </c>
      <c r="H1" s="121" t="s">
        <v>84</v>
      </c>
      <c r="I1" s="122"/>
    </row>
    <row r="2" spans="1:10" ht="30.75" customHeight="1">
      <c r="A2" s="119"/>
      <c r="B2" s="119"/>
      <c r="C2" s="119"/>
      <c r="D2" s="119"/>
      <c r="E2" s="125">
        <f>IFERROR(O64,"")</f>
        <v>4460.3206633773043</v>
      </c>
      <c r="F2" s="125">
        <f>IFERROR(H55,"")</f>
        <v>2626.2999999999997</v>
      </c>
      <c r="G2" s="125">
        <f>IFERROR(H56,"")</f>
        <v>689.4394458390999</v>
      </c>
      <c r="H2" s="125">
        <f>IFERROR(H58,"")</f>
        <v>550.82971094026107</v>
      </c>
      <c r="I2" s="126"/>
    </row>
    <row r="3" spans="1:10" ht="15" customHeight="1">
      <c r="A3" s="119"/>
      <c r="B3" s="119"/>
      <c r="C3" s="119"/>
      <c r="D3" s="119"/>
      <c r="E3" s="119"/>
      <c r="F3" s="127"/>
      <c r="G3" s="127"/>
      <c r="H3" s="127"/>
      <c r="I3" s="127"/>
    </row>
    <row r="4" spans="1:10" ht="24.75" customHeight="1" thickBot="1">
      <c r="A4" s="320"/>
      <c r="B4" s="320"/>
      <c r="C4" s="320"/>
      <c r="D4" s="320"/>
      <c r="E4" s="320"/>
      <c r="F4" s="320"/>
      <c r="G4" s="320"/>
      <c r="H4" s="320"/>
      <c r="I4" s="128"/>
    </row>
    <row r="5" spans="1:10" ht="19.5" customHeight="1" thickBot="1">
      <c r="A5" s="321" t="s">
        <v>85</v>
      </c>
      <c r="B5" s="322"/>
      <c r="C5" s="322"/>
      <c r="D5" s="322"/>
      <c r="E5" s="322"/>
      <c r="F5" s="322"/>
      <c r="G5" s="322"/>
      <c r="H5" s="323"/>
      <c r="I5" s="129"/>
    </row>
    <row r="6" spans="1:10" ht="19.5" thickBot="1">
      <c r="A6" s="129"/>
      <c r="B6" s="129"/>
      <c r="C6" s="129"/>
      <c r="D6" s="129"/>
      <c r="E6" s="129"/>
      <c r="F6" s="324" t="s">
        <v>86</v>
      </c>
      <c r="G6" s="324"/>
      <c r="H6" s="130">
        <f ca="1">TODAY()</f>
        <v>46064</v>
      </c>
      <c r="I6" s="130"/>
    </row>
    <row r="7" spans="1:10" ht="26.25" thickBot="1">
      <c r="A7" s="131" t="s">
        <v>87</v>
      </c>
      <c r="B7" s="132" t="s">
        <v>88</v>
      </c>
      <c r="C7" s="132" t="s">
        <v>87</v>
      </c>
      <c r="D7" s="133" t="s">
        <v>89</v>
      </c>
      <c r="E7" s="133" t="s">
        <v>90</v>
      </c>
      <c r="F7" s="133" t="s">
        <v>91</v>
      </c>
      <c r="G7" s="133" t="s">
        <v>92</v>
      </c>
      <c r="H7" s="134" t="s">
        <v>93</v>
      </c>
      <c r="I7" s="135"/>
    </row>
    <row r="8" spans="1:10" ht="13.5">
      <c r="A8" s="136">
        <v>4</v>
      </c>
      <c r="B8" s="124" t="s">
        <v>51</v>
      </c>
      <c r="C8" s="137">
        <f>+A8</f>
        <v>4</v>
      </c>
      <c r="D8" s="138" t="s">
        <v>136</v>
      </c>
      <c r="E8" s="138">
        <v>2.64</v>
      </c>
      <c r="F8" s="138">
        <f>IFERROR(C8*E8,"")</f>
        <v>10.56</v>
      </c>
      <c r="G8" s="139">
        <f t="shared" ref="G8:G14" si="0">IFERROR(F8/$F$68,"")</f>
        <v>2.8135500012947132E-3</v>
      </c>
      <c r="H8" s="140" t="s">
        <v>50</v>
      </c>
      <c r="I8" s="140"/>
      <c r="J8" s="141"/>
    </row>
    <row r="9" spans="1:10" ht="13.5" hidden="1">
      <c r="A9" s="136"/>
      <c r="B9" s="124" t="str">
        <f>IFERROR(VLOOKUP(H9,'[1]Consolidado MP Planta'!$A$2:$M$823,3,0),"")</f>
        <v/>
      </c>
      <c r="C9" s="137">
        <f t="shared" ref="C9:C14" si="1">+A9</f>
        <v>0</v>
      </c>
      <c r="D9" s="138" t="str">
        <f>IFERROR(VLOOKUP(H9,'[1]Consolidado MP Planta'!$A$2:$M$823,13,0),"")</f>
        <v/>
      </c>
      <c r="E9" s="138" t="str">
        <f>IFERROR(VLOOKUP(H9,'[1]Consolidado MP Planta'!$A$2:$M$823,12,0),"")</f>
        <v/>
      </c>
      <c r="F9" s="138" t="str">
        <f t="shared" ref="F9:F14" si="2">IFERROR(C9*E9,"")</f>
        <v/>
      </c>
      <c r="G9" s="139" t="str">
        <f t="shared" si="0"/>
        <v/>
      </c>
      <c r="H9" s="140"/>
      <c r="I9" s="140"/>
      <c r="J9" s="141"/>
    </row>
    <row r="10" spans="1:10" ht="13.5" hidden="1">
      <c r="A10" s="136"/>
      <c r="B10" s="124" t="str">
        <f>IFERROR(VLOOKUP(H10,'[1]Consolidado MP Planta'!$A$2:$M$823,3,0),"")</f>
        <v/>
      </c>
      <c r="C10" s="137">
        <f t="shared" si="1"/>
        <v>0</v>
      </c>
      <c r="D10" s="138" t="str">
        <f>IFERROR(VLOOKUP(H10,'[1]Consolidado MP Planta'!$A$2:$M$823,13,0),"")</f>
        <v/>
      </c>
      <c r="E10" s="138" t="str">
        <f>IFERROR(VLOOKUP(H10,'[1]Consolidado MP Planta'!$A$2:$M$823,12,0),"")</f>
        <v/>
      </c>
      <c r="F10" s="138" t="str">
        <f t="shared" si="2"/>
        <v/>
      </c>
      <c r="G10" s="139" t="str">
        <f t="shared" si="0"/>
        <v/>
      </c>
      <c r="H10" s="140"/>
      <c r="I10" s="140"/>
      <c r="J10" s="141"/>
    </row>
    <row r="11" spans="1:10" ht="13.5" hidden="1">
      <c r="A11" s="136"/>
      <c r="B11" s="124" t="str">
        <f>IFERROR(VLOOKUP(H11,'[1]Consolidado MP Planta'!$A$2:$M$823,3,0),"")</f>
        <v/>
      </c>
      <c r="C11" s="137">
        <f t="shared" si="1"/>
        <v>0</v>
      </c>
      <c r="D11" s="138" t="str">
        <f>IFERROR(VLOOKUP(H11,'[1]Consolidado MP Planta'!$A$2:$M$823,13,0),"")</f>
        <v/>
      </c>
      <c r="E11" s="138" t="str">
        <f>IFERROR(VLOOKUP(H11,'[1]Consolidado MP Planta'!$A$2:$M$823,12,0),"")</f>
        <v/>
      </c>
      <c r="F11" s="138" t="str">
        <f t="shared" si="2"/>
        <v/>
      </c>
      <c r="G11" s="139" t="str">
        <f t="shared" si="0"/>
        <v/>
      </c>
      <c r="H11" s="140"/>
      <c r="I11" s="140"/>
      <c r="J11" s="141"/>
    </row>
    <row r="12" spans="1:10" ht="13.5" hidden="1">
      <c r="A12" s="136"/>
      <c r="B12" s="124" t="str">
        <f>IFERROR(VLOOKUP(H12,'[1]Consolidado MP Planta'!$A$2:$M$823,3,0),"")</f>
        <v/>
      </c>
      <c r="C12" s="137">
        <f t="shared" si="1"/>
        <v>0</v>
      </c>
      <c r="D12" s="138" t="str">
        <f>IFERROR(VLOOKUP(H12,'[1]Consolidado MP Planta'!$A$2:$M$823,13,0),"")</f>
        <v/>
      </c>
      <c r="E12" s="138" t="str">
        <f>IFERROR(VLOOKUP(H12,'[1]Consolidado MP Planta'!$A$2:$M$823,12,0),"")</f>
        <v/>
      </c>
      <c r="F12" s="138" t="str">
        <f t="shared" si="2"/>
        <v/>
      </c>
      <c r="G12" s="139" t="str">
        <f t="shared" si="0"/>
        <v/>
      </c>
      <c r="H12" s="140"/>
      <c r="I12" s="140"/>
      <c r="J12" s="141"/>
    </row>
    <row r="13" spans="1:10" ht="13.5" hidden="1">
      <c r="A13" s="136"/>
      <c r="B13" s="124" t="str">
        <f>IFERROR(VLOOKUP(H13,'[1]Consolidado MP Planta'!$A$2:$M$823,3,0),"")</f>
        <v/>
      </c>
      <c r="C13" s="137">
        <f t="shared" si="1"/>
        <v>0</v>
      </c>
      <c r="D13" s="138" t="str">
        <f>IFERROR(VLOOKUP(H13,'[1]Consolidado MP Planta'!$A$2:$M$823,13,0),"")</f>
        <v/>
      </c>
      <c r="E13" s="138" t="str">
        <f>IFERROR(VLOOKUP(H13,'[1]Consolidado MP Planta'!$A$2:$M$823,12,0),"")</f>
        <v/>
      </c>
      <c r="F13" s="138" t="str">
        <f t="shared" si="2"/>
        <v/>
      </c>
      <c r="G13" s="139" t="str">
        <f t="shared" si="0"/>
        <v/>
      </c>
      <c r="H13" s="140"/>
      <c r="I13" s="140"/>
      <c r="J13" s="141"/>
    </row>
    <row r="14" spans="1:10" ht="13.5" hidden="1">
      <c r="A14" s="136"/>
      <c r="B14" s="124" t="str">
        <f>IFERROR(VLOOKUP(H14,'[1]Consolidado MP Planta'!$A$2:$M$823,3,0),"")</f>
        <v/>
      </c>
      <c r="C14" s="137">
        <f t="shared" si="1"/>
        <v>0</v>
      </c>
      <c r="D14" s="138" t="str">
        <f>IFERROR(VLOOKUP(H14,'[1]Consolidado MP Planta'!$A$2:$M$823,13,0),"")</f>
        <v/>
      </c>
      <c r="E14" s="138" t="str">
        <f>IFERROR(VLOOKUP(H14,'[1]Consolidado MP Planta'!$A$2:$M$823,12,0),"")</f>
        <v/>
      </c>
      <c r="F14" s="138" t="str">
        <f t="shared" si="2"/>
        <v/>
      </c>
      <c r="G14" s="139" t="str">
        <f t="shared" si="0"/>
        <v/>
      </c>
      <c r="H14" s="140"/>
      <c r="I14" s="140"/>
      <c r="J14" s="141"/>
    </row>
    <row r="15" spans="1:10" ht="14.25" thickBot="1">
      <c r="A15" s="136"/>
      <c r="B15" s="124" t="str">
        <f>IFERROR(VLOOKUP(H15,[2]Hoja2!$A$2:$G$589,2,0),"")</f>
        <v/>
      </c>
      <c r="C15" s="137"/>
      <c r="D15" s="138"/>
      <c r="E15" s="138"/>
      <c r="F15" s="138"/>
      <c r="G15" s="139"/>
      <c r="H15" s="140"/>
      <c r="I15" s="140"/>
      <c r="J15" s="141"/>
    </row>
    <row r="16" spans="1:10" ht="26.25" thickBot="1">
      <c r="A16" s="131" t="s">
        <v>87</v>
      </c>
      <c r="B16" s="132" t="s">
        <v>94</v>
      </c>
      <c r="C16" s="132" t="s">
        <v>87</v>
      </c>
      <c r="D16" s="133" t="s">
        <v>89</v>
      </c>
      <c r="E16" s="133" t="s">
        <v>90</v>
      </c>
      <c r="F16" s="133" t="s">
        <v>91</v>
      </c>
      <c r="G16" s="133" t="s">
        <v>92</v>
      </c>
      <c r="H16" s="134" t="s">
        <v>93</v>
      </c>
      <c r="I16" s="135"/>
      <c r="J16" s="141"/>
    </row>
    <row r="17" spans="1:12" ht="13.5">
      <c r="A17" s="136">
        <v>1.5</v>
      </c>
      <c r="B17" s="124" t="s">
        <v>42</v>
      </c>
      <c r="C17" s="137">
        <f>+A17</f>
        <v>1.5</v>
      </c>
      <c r="D17" s="137" t="s">
        <v>134</v>
      </c>
      <c r="E17" s="138">
        <v>425</v>
      </c>
      <c r="F17" s="138">
        <f>IFERROR(E17*C17,"")</f>
        <v>637.5</v>
      </c>
      <c r="G17" s="139">
        <f t="shared" ref="G17:G24" si="3">IFERROR(F17/$F$68,"")</f>
        <v>0.1698520952486155</v>
      </c>
      <c r="H17" s="140" t="s">
        <v>41</v>
      </c>
      <c r="I17" s="140"/>
      <c r="J17" s="141"/>
    </row>
    <row r="18" spans="1:12" ht="13.5">
      <c r="A18" s="136">
        <v>195</v>
      </c>
      <c r="B18" s="124" t="s">
        <v>43</v>
      </c>
      <c r="C18" s="137">
        <f t="shared" ref="C18:C24" si="4">+A18</f>
        <v>195</v>
      </c>
      <c r="D18" s="137" t="s">
        <v>136</v>
      </c>
      <c r="E18" s="138">
        <f>+'Costo Almibar de cacique'!E69</f>
        <v>3.3519999999999999</v>
      </c>
      <c r="F18" s="138">
        <f t="shared" ref="F18:F24" si="5">IFERROR(E18*C18,"")</f>
        <v>653.64</v>
      </c>
      <c r="G18" s="139">
        <f t="shared" si="3"/>
        <v>0.1741523506483216</v>
      </c>
      <c r="H18" s="140" t="s">
        <v>52</v>
      </c>
      <c r="I18" s="140"/>
      <c r="J18" s="141"/>
    </row>
    <row r="19" spans="1:12" ht="13.5">
      <c r="A19" s="136">
        <v>160</v>
      </c>
      <c r="B19" s="124" t="s">
        <v>45</v>
      </c>
      <c r="C19" s="137">
        <f>+A19</f>
        <v>160</v>
      </c>
      <c r="D19" s="137" t="s">
        <v>136</v>
      </c>
      <c r="E19" s="138">
        <v>2.5499999999999998</v>
      </c>
      <c r="F19" s="138">
        <f>IFERROR(E19*C19,"")</f>
        <v>408</v>
      </c>
      <c r="G19" s="139">
        <f t="shared" si="3"/>
        <v>0.10870534095911391</v>
      </c>
      <c r="H19" s="140" t="s">
        <v>44</v>
      </c>
      <c r="I19" s="140"/>
      <c r="J19" s="141"/>
    </row>
    <row r="20" spans="1:12" ht="13.5">
      <c r="A20" s="136">
        <v>70</v>
      </c>
      <c r="B20" s="124" t="s">
        <v>47</v>
      </c>
      <c r="C20" s="137">
        <f>+A20</f>
        <v>70</v>
      </c>
      <c r="D20" s="137" t="s">
        <v>136</v>
      </c>
      <c r="E20" s="138">
        <v>6.2</v>
      </c>
      <c r="F20" s="138">
        <f>IFERROR(E20*C20,"")</f>
        <v>434</v>
      </c>
      <c r="G20" s="139">
        <f t="shared" si="3"/>
        <v>0.11563264209866529</v>
      </c>
      <c r="H20" s="140" t="s">
        <v>46</v>
      </c>
      <c r="I20" s="140"/>
      <c r="J20" s="141"/>
    </row>
    <row r="21" spans="1:12" ht="13.5">
      <c r="A21" s="136">
        <v>170</v>
      </c>
      <c r="B21" s="124" t="s">
        <v>49</v>
      </c>
      <c r="C21" s="137">
        <f>+A21</f>
        <v>170</v>
      </c>
      <c r="D21" s="137" t="s">
        <v>136</v>
      </c>
      <c r="E21" s="138">
        <v>2.1800000000000002</v>
      </c>
      <c r="F21" s="138">
        <f>IFERROR(E21*C21,"")</f>
        <v>370.6</v>
      </c>
      <c r="G21" s="139">
        <f t="shared" si="3"/>
        <v>9.8740684704528486E-2</v>
      </c>
      <c r="H21" s="140" t="s">
        <v>48</v>
      </c>
      <c r="I21" s="140"/>
      <c r="J21" s="141"/>
    </row>
    <row r="22" spans="1:12" ht="13.5">
      <c r="A22" s="136">
        <v>0</v>
      </c>
      <c r="B22" s="124" t="s">
        <v>64</v>
      </c>
      <c r="C22" s="137">
        <f t="shared" si="4"/>
        <v>0</v>
      </c>
      <c r="D22" s="137" t="s">
        <v>136</v>
      </c>
      <c r="E22" s="138">
        <f>+'Costo pelado copetin'!E69</f>
        <v>18.2</v>
      </c>
      <c r="F22" s="138">
        <f t="shared" si="5"/>
        <v>0</v>
      </c>
      <c r="G22" s="139">
        <f t="shared" si="3"/>
        <v>0</v>
      </c>
      <c r="H22" s="140" t="s">
        <v>52</v>
      </c>
      <c r="I22" s="140"/>
      <c r="J22" s="141"/>
    </row>
    <row r="23" spans="1:12" ht="13.5">
      <c r="A23" s="136">
        <v>25</v>
      </c>
      <c r="B23" s="124" t="s">
        <v>55</v>
      </c>
      <c r="C23" s="137">
        <f t="shared" si="4"/>
        <v>25</v>
      </c>
      <c r="D23" s="137" t="s">
        <v>136</v>
      </c>
      <c r="E23" s="138">
        <v>4.4800000000000004</v>
      </c>
      <c r="F23" s="138">
        <f t="shared" si="5"/>
        <v>112.00000000000001</v>
      </c>
      <c r="G23" s="139">
        <f t="shared" si="3"/>
        <v>2.9840681831913629E-2</v>
      </c>
      <c r="H23" s="140" t="s">
        <v>54</v>
      </c>
      <c r="I23" s="140"/>
      <c r="J23" s="141"/>
    </row>
    <row r="24" spans="1:12" ht="13.5">
      <c r="A24" s="136"/>
      <c r="B24" s="124" t="str">
        <f>IFERROR(VLOOKUP(H24,[1]SEMIELABORADOS!$A$2:$M$6000,2,0),"")</f>
        <v/>
      </c>
      <c r="C24" s="137">
        <f t="shared" si="4"/>
        <v>0</v>
      </c>
      <c r="D24" s="137" t="str">
        <f>IFERROR(VLOOKUP(H24,[1]SEMIELABORADOS!$A$2:$M$6000,6,0),"")</f>
        <v/>
      </c>
      <c r="E24" s="138" t="str">
        <f>IFERROR(VLOOKUP(H24,[1]SEMIELABORADOS!$A$2:$H$65536,8,0),"")</f>
        <v/>
      </c>
      <c r="F24" s="138" t="str">
        <f t="shared" si="5"/>
        <v/>
      </c>
      <c r="G24" s="139" t="str">
        <f t="shared" si="3"/>
        <v/>
      </c>
      <c r="H24" s="140"/>
      <c r="I24" s="140"/>
      <c r="J24" s="141"/>
    </row>
    <row r="25" spans="1:12" ht="14.25" thickBot="1">
      <c r="A25" s="136"/>
      <c r="C25" s="137"/>
      <c r="D25" s="137"/>
      <c r="E25" s="138"/>
      <c r="F25" s="138"/>
      <c r="G25" s="139"/>
      <c r="H25" s="140"/>
      <c r="I25" s="140"/>
      <c r="J25" s="141"/>
    </row>
    <row r="26" spans="1:12" ht="26.25" thickBot="1">
      <c r="A26" s="131" t="s">
        <v>87</v>
      </c>
      <c r="B26" s="132" t="s">
        <v>34</v>
      </c>
      <c r="C26" s="132" t="s">
        <v>87</v>
      </c>
      <c r="D26" s="133" t="s">
        <v>89</v>
      </c>
      <c r="E26" s="133" t="s">
        <v>90</v>
      </c>
      <c r="F26" s="133" t="s">
        <v>91</v>
      </c>
      <c r="G26" s="133" t="s">
        <v>92</v>
      </c>
      <c r="H26" s="134" t="s">
        <v>93</v>
      </c>
      <c r="I26" s="135"/>
    </row>
    <row r="27" spans="1:12" ht="13.5">
      <c r="A27" s="136">
        <v>1</v>
      </c>
      <c r="B27" s="142" t="str">
        <f>IFERROR(VLOOKUP(H27,'[1]Consolidado MP Planta'!$A$2:$M$823,3,0),"")</f>
        <v>QUEQUERA RED  BASE/DOMO 10 (CAJA:50)</v>
      </c>
      <c r="C27" s="137">
        <f t="shared" ref="C27:C34" si="6">+A27</f>
        <v>1</v>
      </c>
      <c r="D27" s="138" t="str">
        <f>IFERROR(VLOOKUP(H27,'[1]Consolidado MP Planta'!$A$2:$M$823,13,0),"")</f>
        <v>UND</v>
      </c>
      <c r="E27" s="138">
        <v>415</v>
      </c>
      <c r="F27" s="138">
        <f t="shared" ref="F27:F34" si="7">IFERROR(C27*E27,"")</f>
        <v>415</v>
      </c>
      <c r="G27" s="139">
        <f>IFERROR(F27/$F$68,"")</f>
        <v>0.11057038357360852</v>
      </c>
      <c r="H27" s="143" t="s">
        <v>57</v>
      </c>
      <c r="I27" s="143"/>
      <c r="J27" s="141"/>
      <c r="K27" s="314"/>
      <c r="L27" s="314"/>
    </row>
    <row r="28" spans="1:12" ht="13.5">
      <c r="A28" s="136">
        <v>1</v>
      </c>
      <c r="B28" s="142" t="str">
        <f>IFERROR(VLOOKUP(H28,'[1]Consolidado MP Planta'!$A$2:$M$823,3,0),"")</f>
        <v>ORLA # 10 BUCCA (UND)</v>
      </c>
      <c r="C28" s="137">
        <f t="shared" si="6"/>
        <v>1</v>
      </c>
      <c r="D28" s="138" t="s">
        <v>138</v>
      </c>
      <c r="E28" s="138">
        <v>137</v>
      </c>
      <c r="F28" s="138">
        <f t="shared" si="7"/>
        <v>137</v>
      </c>
      <c r="G28" s="139">
        <f>IFERROR(F28/$F$68,"")</f>
        <v>3.6501548312251483E-2</v>
      </c>
      <c r="H28" s="143" t="s">
        <v>58</v>
      </c>
      <c r="I28" s="143"/>
      <c r="J28" s="141"/>
      <c r="K28" s="314"/>
      <c r="L28" s="314"/>
    </row>
    <row r="29" spans="1:12" ht="13.5">
      <c r="A29" s="136">
        <v>1</v>
      </c>
      <c r="B29" s="142" t="str">
        <f>IFERROR(VLOOKUP(H29,'[1]Consolidado MP Planta'!$A$2:$M$823,3,0),"")</f>
        <v>ET. TORTA BUCCA GENERICA PEQUEÑA (UND)</v>
      </c>
      <c r="C29" s="137">
        <f t="shared" si="6"/>
        <v>1</v>
      </c>
      <c r="D29" s="138" t="str">
        <f>IFERROR(VLOOKUP(H29,'[1]Consolidado MP Planta'!$A$2:$M$823,13,0),"")</f>
        <v>Und</v>
      </c>
      <c r="E29" s="138">
        <v>25.8</v>
      </c>
      <c r="F29" s="138">
        <f t="shared" si="7"/>
        <v>25.8</v>
      </c>
      <c r="G29" s="139">
        <f>IFERROR(F29/$F$68,"")</f>
        <v>6.8740142077086744E-3</v>
      </c>
      <c r="H29" s="143" t="s">
        <v>59</v>
      </c>
      <c r="I29" s="143"/>
      <c r="J29" s="141"/>
      <c r="K29" s="314"/>
      <c r="L29" s="314"/>
    </row>
    <row r="30" spans="1:12" ht="13.5">
      <c r="A30" s="136">
        <v>1</v>
      </c>
      <c r="B30" s="142" t="str">
        <f>IFERROR(VLOOKUP(H30,'[1]Consolidado MP Planta'!$A$2:$M$823,3,0),"")</f>
        <v>ETIQ.FECHA VENCIMIENTO BLANCO (ROLLO)</v>
      </c>
      <c r="C30" s="137">
        <f t="shared" ref="C30:C31" si="8">+A30</f>
        <v>1</v>
      </c>
      <c r="D30" s="138" t="s">
        <v>138</v>
      </c>
      <c r="E30" s="138">
        <v>0.33</v>
      </c>
      <c r="F30" s="138">
        <f t="shared" ref="F30:F31" si="9">IFERROR(C30*E30,"")</f>
        <v>0.33</v>
      </c>
      <c r="G30" s="139">
        <f t="shared" ref="G30:G31" si="10">IFERROR(F30/$F$68,"")</f>
        <v>8.7923437540459788E-5</v>
      </c>
      <c r="H30" s="143" t="s">
        <v>60</v>
      </c>
      <c r="I30" s="143"/>
      <c r="J30" s="141"/>
      <c r="K30" s="122"/>
      <c r="L30" s="122"/>
    </row>
    <row r="31" spans="1:12" ht="13.5">
      <c r="A31" s="136">
        <v>1</v>
      </c>
      <c r="B31" s="142" t="str">
        <f>IFERROR(VLOOKUP(H31,'[1]Consolidado MP Planta'!$A$2:$M$823,3,0),"")</f>
        <v>ETIQ.BLANCA 1 1/4 * 3/4 (UND)</v>
      </c>
      <c r="C31" s="137">
        <f t="shared" si="8"/>
        <v>1</v>
      </c>
      <c r="D31" s="138" t="str">
        <f>IFERROR(VLOOKUP(H31,'[1]Consolidado MP Planta'!$A$2:$M$823,13,0),"")</f>
        <v>Und</v>
      </c>
      <c r="E31" s="138">
        <v>0.57999999999999996</v>
      </c>
      <c r="F31" s="138">
        <f t="shared" si="9"/>
        <v>0.57999999999999996</v>
      </c>
      <c r="G31" s="139">
        <f t="shared" si="10"/>
        <v>1.545321023438384E-4</v>
      </c>
      <c r="H31" s="143" t="s">
        <v>40</v>
      </c>
      <c r="I31" s="143"/>
      <c r="J31" s="141"/>
      <c r="K31" s="122"/>
      <c r="L31" s="122"/>
    </row>
    <row r="32" spans="1:12" ht="13.5">
      <c r="A32" s="136">
        <v>1</v>
      </c>
      <c r="B32" s="142" t="str">
        <f>IFERROR(VLOOKUP(H32,'[1]Consolidado MP Planta'!$A$2:$M$823,3,0),"")</f>
        <v>ETIQUETA BLANCA 2 5/8X1 15/16 (UND)</v>
      </c>
      <c r="C32" s="137">
        <f t="shared" si="6"/>
        <v>1</v>
      </c>
      <c r="D32" s="138" t="str">
        <f>IFERROR(VLOOKUP(H32,'[1]Consolidado MP Planta'!$A$2:$M$823,13,0),"")</f>
        <v>Und</v>
      </c>
      <c r="E32" s="138">
        <v>2.13</v>
      </c>
      <c r="F32" s="138">
        <f t="shared" si="7"/>
        <v>2.13</v>
      </c>
      <c r="G32" s="139">
        <f>IFERROR(F32/$F$68,"")</f>
        <v>5.6750582412478582E-4</v>
      </c>
      <c r="H32" s="143" t="s">
        <v>61</v>
      </c>
      <c r="I32" s="143"/>
      <c r="J32" s="141"/>
      <c r="K32" s="314"/>
      <c r="L32" s="314"/>
    </row>
    <row r="33" spans="1:13" ht="13.5">
      <c r="A33" s="136">
        <v>1</v>
      </c>
      <c r="B33" s="142" t="s">
        <v>63</v>
      </c>
      <c r="C33" s="137">
        <f t="shared" si="6"/>
        <v>1</v>
      </c>
      <c r="D33" s="138" t="s">
        <v>138</v>
      </c>
      <c r="E33" s="138">
        <v>85</v>
      </c>
      <c r="F33" s="138">
        <f t="shared" si="7"/>
        <v>85</v>
      </c>
      <c r="G33" s="139">
        <f>IFERROR(F33/$F$68,"")</f>
        <v>2.2646946033148731E-2</v>
      </c>
      <c r="H33" s="143" t="s">
        <v>52</v>
      </c>
      <c r="I33" s="143"/>
      <c r="J33" s="141"/>
      <c r="K33" s="144"/>
      <c r="L33" s="145"/>
    </row>
    <row r="34" spans="1:13" ht="13.5">
      <c r="A34" s="136"/>
      <c r="B34" s="142" t="str">
        <f>IFERROR(VLOOKUP(H34,'[1]Consolidado MP Planta'!$A$2:$M$823,3,0),"")</f>
        <v/>
      </c>
      <c r="C34" s="137">
        <f t="shared" si="6"/>
        <v>0</v>
      </c>
      <c r="D34" s="138" t="str">
        <f>IFERROR(VLOOKUP(H34,'[1]Consolidado MP Planta'!$A$2:$M$823,13,0),"")</f>
        <v/>
      </c>
      <c r="E34" s="138" t="str">
        <f>IFERROR(VLOOKUP(H34,'[1]Consolidado MP Planta'!$A$2:$M$823,12,0),"")</f>
        <v/>
      </c>
      <c r="F34" s="138" t="str">
        <f t="shared" si="7"/>
        <v/>
      </c>
      <c r="G34" s="139" t="str">
        <f>IFERROR(F34/$F$68,"")</f>
        <v/>
      </c>
      <c r="H34" s="143"/>
      <c r="I34" s="143"/>
      <c r="J34" s="141"/>
    </row>
    <row r="35" spans="1:13" ht="14.25" thickBot="1">
      <c r="A35" s="136"/>
      <c r="B35" s="142"/>
      <c r="C35" s="137"/>
      <c r="D35" s="138"/>
      <c r="E35" s="138"/>
      <c r="F35" s="138"/>
      <c r="G35" s="139"/>
      <c r="H35" s="143"/>
      <c r="I35" s="143"/>
      <c r="J35" s="141"/>
    </row>
    <row r="36" spans="1:13" ht="26.25" thickBot="1">
      <c r="A36" s="131" t="s">
        <v>87</v>
      </c>
      <c r="B36" s="132" t="s">
        <v>95</v>
      </c>
      <c r="C36" s="132" t="s">
        <v>87</v>
      </c>
      <c r="D36" s="133" t="s">
        <v>89</v>
      </c>
      <c r="E36" s="133" t="s">
        <v>90</v>
      </c>
      <c r="F36" s="133" t="s">
        <v>91</v>
      </c>
      <c r="G36" s="133" t="s">
        <v>92</v>
      </c>
      <c r="H36" s="134" t="s">
        <v>93</v>
      </c>
      <c r="I36" s="143"/>
      <c r="J36" s="141"/>
    </row>
    <row r="37" spans="1:13" ht="13.5">
      <c r="A37" s="136">
        <f t="shared" ref="A37:A43" si="11">+A17</f>
        <v>1.5</v>
      </c>
      <c r="B37" s="142" t="s">
        <v>42</v>
      </c>
      <c r="C37" s="137">
        <f>+A37</f>
        <v>1.5</v>
      </c>
      <c r="D37" s="138" t="s">
        <v>135</v>
      </c>
      <c r="E37" s="138">
        <v>6.42</v>
      </c>
      <c r="F37" s="138">
        <f>IFERROR(E37*C37,"")</f>
        <v>9.629999999999999</v>
      </c>
      <c r="G37" s="139">
        <f t="shared" ref="G37:G43" si="12">IFERROR(F37/$F$68,"")</f>
        <v>2.5657657682261444E-3</v>
      </c>
      <c r="H37" s="143" t="s">
        <v>41</v>
      </c>
      <c r="I37" s="143"/>
      <c r="J37" s="141"/>
    </row>
    <row r="38" spans="1:13" ht="13.5">
      <c r="A38" s="136">
        <f t="shared" si="11"/>
        <v>195</v>
      </c>
      <c r="B38" s="142" t="s">
        <v>43</v>
      </c>
      <c r="C38" s="137">
        <f t="shared" ref="C38:C43" si="13">+A38</f>
        <v>195</v>
      </c>
      <c r="D38" s="138" t="s">
        <v>136</v>
      </c>
      <c r="E38" s="138">
        <f>+'Costo Almibar de cacique'!E76</f>
        <v>5.2279273799999996E-3</v>
      </c>
      <c r="F38" s="138">
        <f t="shared" ref="F38:F43" si="14">IFERROR(E38*C38,"")</f>
        <v>1.0194458390999999</v>
      </c>
      <c r="G38" s="139">
        <f t="shared" si="12"/>
        <v>2.716157047272438E-4</v>
      </c>
      <c r="H38" s="143" t="s">
        <v>52</v>
      </c>
      <c r="I38" s="143"/>
      <c r="J38" s="141"/>
    </row>
    <row r="39" spans="1:13" ht="13.5">
      <c r="A39" s="136">
        <f t="shared" si="11"/>
        <v>160</v>
      </c>
      <c r="B39" s="142" t="s">
        <v>45</v>
      </c>
      <c r="C39" s="137">
        <f t="shared" si="13"/>
        <v>160</v>
      </c>
      <c r="D39" s="138" t="s">
        <v>136</v>
      </c>
      <c r="E39" s="138">
        <v>0.03</v>
      </c>
      <c r="F39" s="138">
        <f t="shared" si="14"/>
        <v>4.8</v>
      </c>
      <c r="G39" s="139">
        <f t="shared" si="12"/>
        <v>1.2788863642248696E-3</v>
      </c>
      <c r="H39" s="143" t="s">
        <v>44</v>
      </c>
      <c r="I39" s="143"/>
      <c r="J39" s="141"/>
    </row>
    <row r="40" spans="1:13" ht="13.5">
      <c r="A40" s="136">
        <f t="shared" si="11"/>
        <v>70</v>
      </c>
      <c r="B40" s="142" t="s">
        <v>47</v>
      </c>
      <c r="C40" s="137">
        <f>+A40</f>
        <v>70</v>
      </c>
      <c r="D40" s="138" t="s">
        <v>136</v>
      </c>
      <c r="E40" s="138">
        <v>0.04</v>
      </c>
      <c r="F40" s="138">
        <f>IFERROR(E40*C40,"")</f>
        <v>2.8000000000000003</v>
      </c>
      <c r="G40" s="139">
        <f t="shared" si="12"/>
        <v>7.4601704579784064E-4</v>
      </c>
      <c r="H40" s="143" t="s">
        <v>46</v>
      </c>
      <c r="I40" s="143"/>
      <c r="J40" s="141"/>
    </row>
    <row r="41" spans="1:13" ht="13.5">
      <c r="A41" s="136">
        <f t="shared" si="11"/>
        <v>170</v>
      </c>
      <c r="B41" s="142" t="s">
        <v>49</v>
      </c>
      <c r="C41" s="137">
        <f>+A41</f>
        <v>170</v>
      </c>
      <c r="D41" s="138" t="s">
        <v>136</v>
      </c>
      <c r="E41" s="138">
        <v>0.03</v>
      </c>
      <c r="F41" s="138">
        <f>IFERROR(E41*C41,"")</f>
        <v>5.0999999999999996</v>
      </c>
      <c r="G41" s="139">
        <f t="shared" si="12"/>
        <v>1.3588167619889239E-3</v>
      </c>
      <c r="H41" s="143" t="s">
        <v>48</v>
      </c>
      <c r="I41" s="143"/>
      <c r="J41" s="141"/>
    </row>
    <row r="42" spans="1:13" ht="13.5">
      <c r="A42" s="136">
        <f t="shared" si="11"/>
        <v>0</v>
      </c>
      <c r="B42" s="142" t="s">
        <v>64</v>
      </c>
      <c r="C42" s="137">
        <f t="shared" si="13"/>
        <v>0</v>
      </c>
      <c r="D42" s="138" t="s">
        <v>136</v>
      </c>
      <c r="E42" s="138">
        <f>+'Costo pelado copetin'!E76</f>
        <v>0.29788571428571431</v>
      </c>
      <c r="F42" s="138">
        <f t="shared" si="14"/>
        <v>0</v>
      </c>
      <c r="G42" s="139">
        <f t="shared" si="12"/>
        <v>0</v>
      </c>
      <c r="H42" s="143" t="s">
        <v>52</v>
      </c>
      <c r="I42" s="143"/>
      <c r="J42" s="141"/>
    </row>
    <row r="43" spans="1:13" ht="13.5">
      <c r="A43" s="136">
        <f t="shared" si="11"/>
        <v>25</v>
      </c>
      <c r="B43" s="142" t="s">
        <v>55</v>
      </c>
      <c r="C43" s="137">
        <f t="shared" si="13"/>
        <v>25</v>
      </c>
      <c r="D43" s="138" t="s">
        <v>136</v>
      </c>
      <c r="E43" s="138">
        <v>0.01</v>
      </c>
      <c r="F43" s="138">
        <f t="shared" si="14"/>
        <v>0.25</v>
      </c>
      <c r="G43" s="139">
        <f t="shared" si="12"/>
        <v>6.6608664803378631E-5</v>
      </c>
      <c r="H43" s="143" t="s">
        <v>54</v>
      </c>
      <c r="I43" s="143"/>
      <c r="J43" s="141"/>
    </row>
    <row r="44" spans="1:13" ht="14.25" thickBot="1">
      <c r="A44" s="136"/>
      <c r="B44" s="142"/>
      <c r="C44" s="137"/>
      <c r="D44" s="138"/>
      <c r="E44" s="138"/>
      <c r="F44" s="138"/>
      <c r="G44" s="139"/>
      <c r="H44" s="143"/>
      <c r="I44" s="143"/>
      <c r="J44" s="141"/>
    </row>
    <row r="45" spans="1:13" ht="26.25" thickBot="1">
      <c r="A45" s="131" t="s">
        <v>87</v>
      </c>
      <c r="B45" s="132" t="s">
        <v>96</v>
      </c>
      <c r="C45" s="132" t="s">
        <v>87</v>
      </c>
      <c r="D45" s="133" t="s">
        <v>89</v>
      </c>
      <c r="E45" s="133" t="s">
        <v>90</v>
      </c>
      <c r="F45" s="133" t="s">
        <v>91</v>
      </c>
      <c r="G45" s="133" t="s">
        <v>92</v>
      </c>
      <c r="H45" s="134" t="s">
        <v>93</v>
      </c>
      <c r="I45" s="135"/>
      <c r="J45" s="141"/>
    </row>
    <row r="46" spans="1:13" ht="13.5">
      <c r="A46" s="136">
        <f>+A37</f>
        <v>1.5</v>
      </c>
      <c r="B46" s="142" t="s">
        <v>42</v>
      </c>
      <c r="C46" s="137">
        <f>+A46</f>
        <v>1.5</v>
      </c>
      <c r="D46" s="138" t="s">
        <v>135</v>
      </c>
      <c r="E46" s="138">
        <v>35.479999999999997</v>
      </c>
      <c r="F46" s="138">
        <f>IFERROR(E46*C46,"")</f>
        <v>53.22</v>
      </c>
      <c r="G46" s="139">
        <f>IFERROR(F46/$F$68,"")</f>
        <v>1.4179652563343241E-2</v>
      </c>
      <c r="H46" s="143" t="s">
        <v>41</v>
      </c>
      <c r="I46" s="135"/>
      <c r="J46" s="141"/>
    </row>
    <row r="47" spans="1:13" ht="13.5">
      <c r="A47" s="136">
        <f t="shared" ref="A47:A52" si="15">+A38</f>
        <v>195</v>
      </c>
      <c r="B47" s="142" t="s">
        <v>43</v>
      </c>
      <c r="C47" s="137">
        <f t="shared" ref="C47:C52" si="16">+A47</f>
        <v>195</v>
      </c>
      <c r="D47" s="138" t="s">
        <v>136</v>
      </c>
      <c r="E47" s="138">
        <f>+'Costo Almibar de cacique'!E74</f>
        <v>6.9280568924416003E-2</v>
      </c>
      <c r="F47" s="138">
        <f t="shared" ref="F47:F52" si="17">IFERROR(E47*C47,"")</f>
        <v>13.509710940261121</v>
      </c>
      <c r="G47" s="139">
        <f t="shared" ref="G47:G52" si="18">IFERROR(F47/$F$68,"")</f>
        <v>3.59945523044156E-3</v>
      </c>
      <c r="H47" s="143" t="s">
        <v>52</v>
      </c>
      <c r="I47" s="135"/>
      <c r="J47" s="141"/>
      <c r="M47" s="146"/>
    </row>
    <row r="48" spans="1:13" ht="13.5">
      <c r="A48" s="136">
        <f t="shared" si="15"/>
        <v>160</v>
      </c>
      <c r="B48" s="142" t="s">
        <v>45</v>
      </c>
      <c r="C48" s="137">
        <f t="shared" si="16"/>
        <v>160</v>
      </c>
      <c r="D48" s="138" t="s">
        <v>136</v>
      </c>
      <c r="E48" s="138">
        <v>0.45</v>
      </c>
      <c r="F48" s="138">
        <f t="shared" si="17"/>
        <v>72</v>
      </c>
      <c r="G48" s="139">
        <f t="shared" si="18"/>
        <v>1.9183295463373044E-2</v>
      </c>
      <c r="H48" s="143" t="s">
        <v>44</v>
      </c>
      <c r="I48" s="135"/>
      <c r="J48" s="141"/>
    </row>
    <row r="49" spans="1:17" ht="13.5">
      <c r="A49" s="136">
        <f t="shared" si="15"/>
        <v>70</v>
      </c>
      <c r="B49" s="142" t="s">
        <v>47</v>
      </c>
      <c r="C49" s="137">
        <f t="shared" si="16"/>
        <v>70</v>
      </c>
      <c r="D49" s="138" t="s">
        <v>136</v>
      </c>
      <c r="E49" s="138">
        <v>0.3</v>
      </c>
      <c r="F49" s="138">
        <f t="shared" si="17"/>
        <v>21</v>
      </c>
      <c r="G49" s="139">
        <f t="shared" si="18"/>
        <v>5.5951278434838046E-3</v>
      </c>
      <c r="H49" s="143" t="s">
        <v>46</v>
      </c>
      <c r="I49" s="135"/>
      <c r="J49" s="141"/>
    </row>
    <row r="50" spans="1:17" ht="13.5">
      <c r="A50" s="136">
        <f t="shared" si="15"/>
        <v>170</v>
      </c>
      <c r="B50" s="142" t="s">
        <v>49</v>
      </c>
      <c r="C50" s="137">
        <f t="shared" si="16"/>
        <v>170</v>
      </c>
      <c r="D50" s="138" t="s">
        <v>136</v>
      </c>
      <c r="E50" s="138">
        <v>0.03</v>
      </c>
      <c r="F50" s="138">
        <f t="shared" si="17"/>
        <v>5.0999999999999996</v>
      </c>
      <c r="G50" s="139">
        <f t="shared" si="18"/>
        <v>1.3588167619889239E-3</v>
      </c>
      <c r="H50" s="143" t="s">
        <v>48</v>
      </c>
      <c r="I50" s="135"/>
      <c r="J50" s="141"/>
    </row>
    <row r="51" spans="1:17" ht="13.5">
      <c r="A51" s="136">
        <f t="shared" si="15"/>
        <v>0</v>
      </c>
      <c r="B51" s="142" t="s">
        <v>64</v>
      </c>
      <c r="C51" s="137">
        <f t="shared" si="16"/>
        <v>0</v>
      </c>
      <c r="D51" s="138" t="s">
        <v>137</v>
      </c>
      <c r="E51" s="138">
        <f>+'Costo pelado copetin'!E74</f>
        <v>2.2000000000000002</v>
      </c>
      <c r="F51" s="138">
        <f t="shared" si="17"/>
        <v>0</v>
      </c>
      <c r="G51" s="139">
        <f t="shared" si="18"/>
        <v>0</v>
      </c>
      <c r="H51" s="143" t="s">
        <v>52</v>
      </c>
      <c r="I51" s="135"/>
      <c r="J51" s="141"/>
    </row>
    <row r="52" spans="1:17" ht="13.5">
      <c r="A52" s="136">
        <f t="shared" si="15"/>
        <v>25</v>
      </c>
      <c r="B52" s="142" t="s">
        <v>55</v>
      </c>
      <c r="C52" s="137">
        <f t="shared" si="16"/>
        <v>25</v>
      </c>
      <c r="D52" s="138" t="s">
        <v>136</v>
      </c>
      <c r="E52" s="138">
        <v>0.04</v>
      </c>
      <c r="F52" s="138">
        <f t="shared" si="17"/>
        <v>1</v>
      </c>
      <c r="G52" s="139">
        <f t="shared" si="18"/>
        <v>2.6643465921351452E-4</v>
      </c>
      <c r="H52" s="142" t="s">
        <v>54</v>
      </c>
      <c r="I52" s="135"/>
      <c r="J52" s="141"/>
    </row>
    <row r="53" spans="1:17" ht="13.5">
      <c r="A53" s="136">
        <v>1</v>
      </c>
      <c r="B53" s="142" t="s">
        <v>97</v>
      </c>
      <c r="C53" s="137">
        <f>+A53</f>
        <v>1</v>
      </c>
      <c r="D53" s="137" t="s">
        <v>98</v>
      </c>
      <c r="E53" s="138">
        <f>+F67</f>
        <v>385</v>
      </c>
      <c r="F53" s="138">
        <f>IFERROR(C53*E53,"")</f>
        <v>385</v>
      </c>
      <c r="G53" s="139">
        <f>IFERROR(F53/$F$68,"")</f>
        <v>0.10257734379720308</v>
      </c>
      <c r="H53" s="147"/>
      <c r="I53" s="147"/>
      <c r="J53" s="141"/>
    </row>
    <row r="54" spans="1:17" ht="14.25" thickBot="1">
      <c r="A54" s="136"/>
      <c r="B54" s="142"/>
      <c r="C54" s="137"/>
      <c r="D54" s="137"/>
      <c r="E54" s="138"/>
      <c r="F54" s="138"/>
      <c r="G54" s="139"/>
      <c r="H54" s="147"/>
      <c r="I54" s="147"/>
      <c r="J54" s="141"/>
    </row>
    <row r="55" spans="1:17" ht="13.5" thickBot="1">
      <c r="A55" s="148"/>
      <c r="B55" s="315" t="s">
        <v>99</v>
      </c>
      <c r="C55" s="315"/>
      <c r="D55" s="315"/>
      <c r="E55" s="315"/>
      <c r="F55" s="150">
        <f>SUM(F8:F14,F17:F24)</f>
        <v>2626.2999999999997</v>
      </c>
      <c r="G55" s="139">
        <f>+F55/$F$68</f>
        <v>0.69973734549245303</v>
      </c>
      <c r="H55" s="151">
        <f>+F55/$D$62</f>
        <v>2626.2999999999997</v>
      </c>
      <c r="I55" s="151"/>
      <c r="J55" s="152"/>
      <c r="K55" s="153"/>
      <c r="L55" s="153"/>
      <c r="M55" s="153"/>
      <c r="N55" s="153"/>
      <c r="O55" s="153"/>
      <c r="P55" s="153"/>
      <c r="Q55" s="154"/>
    </row>
    <row r="56" spans="1:17">
      <c r="A56" s="148"/>
      <c r="B56" s="315" t="s">
        <v>100</v>
      </c>
      <c r="C56" s="315"/>
      <c r="D56" s="315"/>
      <c r="E56" s="315"/>
      <c r="F56" s="150">
        <f>SUM(F27:F34,F37:F43)</f>
        <v>689.4394458390999</v>
      </c>
      <c r="G56" s="139">
        <f>+F56/$F$68</f>
        <v>0.18369056380049487</v>
      </c>
      <c r="H56" s="151">
        <f>+F56/$D$62</f>
        <v>689.4394458390999</v>
      </c>
      <c r="I56" s="151"/>
      <c r="J56" s="155"/>
      <c r="K56" s="316" t="s">
        <v>101</v>
      </c>
      <c r="L56" s="317"/>
      <c r="M56" s="317"/>
      <c r="N56" s="317"/>
      <c r="O56" s="156">
        <f>+F57</f>
        <v>3315.7394458390995</v>
      </c>
      <c r="P56" s="156"/>
      <c r="Q56" s="157"/>
    </row>
    <row r="57" spans="1:17">
      <c r="A57" s="148"/>
      <c r="B57" s="315" t="s">
        <v>102</v>
      </c>
      <c r="C57" s="315"/>
      <c r="D57" s="315"/>
      <c r="E57" s="315"/>
      <c r="F57" s="150">
        <f>+F55+F56</f>
        <v>3315.7394458390995</v>
      </c>
      <c r="G57" s="139">
        <f>+F57/$F$68</f>
        <v>0.8834279092929479</v>
      </c>
      <c r="H57" s="151">
        <f>+F57/$D$62</f>
        <v>3315.7394458390995</v>
      </c>
      <c r="I57" s="151"/>
      <c r="J57" s="158"/>
      <c r="K57" s="159"/>
      <c r="M57" s="160" t="s">
        <v>103</v>
      </c>
      <c r="N57" s="161"/>
      <c r="O57" s="156">
        <f>+H58</f>
        <v>550.82971094026107</v>
      </c>
      <c r="P57" s="156"/>
      <c r="Q57" s="157"/>
    </row>
    <row r="58" spans="1:17" ht="13.5" thickBot="1">
      <c r="A58" s="148"/>
      <c r="B58" s="149"/>
      <c r="C58" s="315" t="s">
        <v>104</v>
      </c>
      <c r="D58" s="315"/>
      <c r="E58" s="315"/>
      <c r="F58" s="150">
        <f>SUM(F46:F53)</f>
        <v>550.82971094026107</v>
      </c>
      <c r="G58" s="139">
        <f>+F58/$F$68</f>
        <v>0.14676012631904717</v>
      </c>
      <c r="H58" s="151">
        <f>+F58/$D$62</f>
        <v>550.82971094026107</v>
      </c>
      <c r="I58" s="151"/>
      <c r="J58" s="158"/>
      <c r="K58" s="159"/>
      <c r="L58" s="159"/>
      <c r="M58" s="159" t="s">
        <v>105</v>
      </c>
      <c r="N58" s="162"/>
      <c r="O58" s="156">
        <f>O56*N58</f>
        <v>0</v>
      </c>
      <c r="P58" s="156"/>
      <c r="Q58" s="157"/>
    </row>
    <row r="59" spans="1:17" ht="13.5" thickBot="1">
      <c r="A59" s="148"/>
      <c r="B59" s="163"/>
      <c r="C59" s="163"/>
      <c r="D59" s="163"/>
      <c r="E59" s="163"/>
      <c r="F59" s="164"/>
      <c r="G59" s="139"/>
      <c r="H59" s="165"/>
      <c r="I59" s="151"/>
      <c r="J59" s="158"/>
      <c r="K59" s="166"/>
      <c r="M59" s="167" t="s">
        <v>106</v>
      </c>
      <c r="N59" s="168"/>
      <c r="O59" s="169">
        <f>SUM(O56:O58)</f>
        <v>3866.5691567793606</v>
      </c>
      <c r="P59" s="170"/>
      <c r="Q59" s="157"/>
    </row>
    <row r="60" spans="1:17">
      <c r="B60" s="318" t="s">
        <v>107</v>
      </c>
      <c r="C60" s="318"/>
      <c r="D60" s="171">
        <v>1062</v>
      </c>
      <c r="E60" s="172"/>
      <c r="G60" s="139"/>
      <c r="H60" s="165">
        <f>+H58/77</f>
        <v>7.1536326096137799</v>
      </c>
      <c r="I60" s="173"/>
      <c r="J60" s="158"/>
      <c r="K60" s="166"/>
      <c r="L60" s="159"/>
      <c r="M60" s="159" t="s">
        <v>108</v>
      </c>
      <c r="N60" s="174"/>
      <c r="O60" s="156">
        <f>+H61</f>
        <v>593.75150659794372</v>
      </c>
      <c r="P60" s="156"/>
      <c r="Q60" s="157"/>
    </row>
    <row r="61" spans="1:17">
      <c r="B61" s="318" t="s">
        <v>109</v>
      </c>
      <c r="C61" s="318"/>
      <c r="D61" s="175">
        <v>1062</v>
      </c>
      <c r="E61" s="172"/>
      <c r="G61" s="139"/>
      <c r="H61" s="165">
        <f>+H60*83</f>
        <v>593.75150659794372</v>
      </c>
      <c r="I61" s="173"/>
      <c r="J61" s="158"/>
      <c r="K61" s="166"/>
      <c r="L61" s="159"/>
      <c r="M61" s="319" t="s">
        <v>106</v>
      </c>
      <c r="N61" s="319"/>
      <c r="O61" s="156">
        <f>SUM(O59:O60)</f>
        <v>4460.3206633773043</v>
      </c>
      <c r="P61" s="156"/>
      <c r="Q61" s="157"/>
    </row>
    <row r="62" spans="1:17" ht="13.5" thickBot="1">
      <c r="B62" s="310" t="s">
        <v>110</v>
      </c>
      <c r="C62" s="310"/>
      <c r="D62" s="171">
        <f>+D60/D61</f>
        <v>1</v>
      </c>
      <c r="E62" s="172"/>
      <c r="F62" s="176"/>
      <c r="G62" s="139"/>
      <c r="H62" s="165"/>
      <c r="I62" s="173"/>
      <c r="J62" s="158"/>
      <c r="K62" s="166"/>
      <c r="L62" s="319"/>
      <c r="M62" s="319"/>
      <c r="N62" s="174"/>
      <c r="O62" s="156">
        <f>+O61*N62</f>
        <v>0</v>
      </c>
      <c r="P62" s="156"/>
      <c r="Q62" s="157"/>
    </row>
    <row r="63" spans="1:17" ht="13.5" thickBot="1">
      <c r="B63" s="310" t="s">
        <v>111</v>
      </c>
      <c r="C63" s="310"/>
      <c r="D63" s="177"/>
      <c r="E63" s="172"/>
      <c r="F63" s="176"/>
      <c r="G63" s="139"/>
      <c r="H63" s="165"/>
      <c r="I63" s="173"/>
      <c r="J63" s="158"/>
      <c r="K63" s="311" t="s">
        <v>112</v>
      </c>
      <c r="L63" s="312"/>
      <c r="M63" s="312"/>
      <c r="N63" s="313"/>
      <c r="O63" s="169">
        <f>SUM(O61:O62)</f>
        <v>4460.3206633773043</v>
      </c>
      <c r="P63" s="178" t="s">
        <v>113</v>
      </c>
      <c r="Q63" s="157"/>
    </row>
    <row r="64" spans="1:17" ht="13.5" thickBot="1">
      <c r="C64" s="148" t="s">
        <v>114</v>
      </c>
      <c r="D64" s="179"/>
      <c r="E64" s="122" t="s">
        <v>115</v>
      </c>
      <c r="F64" s="180" t="s">
        <v>116</v>
      </c>
      <c r="G64" s="139"/>
      <c r="H64" s="165"/>
      <c r="I64" s="173"/>
      <c r="J64" s="181"/>
      <c r="K64" s="182"/>
      <c r="L64" s="299" t="s">
        <v>117</v>
      </c>
      <c r="M64" s="299"/>
      <c r="N64" s="299"/>
      <c r="O64" s="183">
        <f>+O63/D62</f>
        <v>4460.3206633773043</v>
      </c>
      <c r="P64" s="184">
        <f>+O64/D61</f>
        <v>4.199925295082207</v>
      </c>
      <c r="Q64" s="185"/>
    </row>
    <row r="65" spans="2:16" ht="13.5" thickBot="1">
      <c r="B65" s="300" t="s">
        <v>102</v>
      </c>
      <c r="C65" s="300"/>
      <c r="D65" s="300"/>
      <c r="E65" s="186">
        <f>+F65/F65</f>
        <v>1</v>
      </c>
      <c r="F65" s="187">
        <f>SUM(F57)</f>
        <v>3315.7394458390995</v>
      </c>
      <c r="G65" s="139">
        <f>+F65/$F$68</f>
        <v>0.8834279092929479</v>
      </c>
      <c r="H65" s="165"/>
      <c r="I65" s="173"/>
      <c r="K65" s="301"/>
      <c r="L65" s="302"/>
      <c r="M65" s="302"/>
      <c r="N65" s="302"/>
      <c r="O65" s="188"/>
      <c r="P65" s="189"/>
    </row>
    <row r="66" spans="2:16" ht="13.5" thickBot="1">
      <c r="B66" s="303" t="s">
        <v>118</v>
      </c>
      <c r="C66" s="303"/>
      <c r="D66" s="303"/>
      <c r="E66" s="190">
        <v>0.02</v>
      </c>
      <c r="F66" s="187">
        <f>+F55*E66</f>
        <v>52.525999999999996</v>
      </c>
      <c r="G66" s="139">
        <f>+F66/$F$68</f>
        <v>1.3994746909849061E-2</v>
      </c>
      <c r="H66" s="151"/>
      <c r="I66" s="173"/>
      <c r="J66" s="191"/>
      <c r="O66" s="192"/>
      <c r="P66" s="149"/>
    </row>
    <row r="67" spans="2:16" ht="13.5" thickBot="1">
      <c r="B67" s="304" t="s">
        <v>119</v>
      </c>
      <c r="C67" s="305"/>
      <c r="D67" s="193">
        <v>5</v>
      </c>
      <c r="E67" s="194">
        <v>77</v>
      </c>
      <c r="F67" s="187">
        <f>+E67*D67</f>
        <v>385</v>
      </c>
      <c r="G67" s="139">
        <f>+F67/$F$68</f>
        <v>0.10257734379720308</v>
      </c>
      <c r="H67" s="151"/>
      <c r="I67" s="151"/>
      <c r="J67" s="141"/>
    </row>
    <row r="68" spans="2:16" ht="13.5" thickBot="1">
      <c r="B68" s="306" t="s">
        <v>120</v>
      </c>
      <c r="C68" s="307"/>
      <c r="D68" s="307"/>
      <c r="E68" s="308"/>
      <c r="F68" s="164">
        <f>SUM(F65:F67)</f>
        <v>3753.2654458390994</v>
      </c>
      <c r="G68" s="139">
        <f>+F68/$F$68</f>
        <v>1</v>
      </c>
      <c r="H68" s="309"/>
      <c r="I68" s="151"/>
      <c r="J68" s="141"/>
      <c r="M68" s="124" t="s">
        <v>121</v>
      </c>
    </row>
    <row r="69" spans="2:16">
      <c r="C69" s="146"/>
      <c r="D69" s="146"/>
      <c r="E69" s="196"/>
      <c r="F69" s="187"/>
      <c r="G69" s="139"/>
      <c r="H69" s="309"/>
      <c r="I69" s="195"/>
      <c r="J69" s="124"/>
      <c r="M69" s="124" t="s">
        <v>122</v>
      </c>
    </row>
    <row r="70" spans="2:16" ht="13.5" thickBot="1">
      <c r="B70" s="294" t="s">
        <v>123</v>
      </c>
      <c r="C70" s="294"/>
      <c r="D70" s="294"/>
      <c r="E70" s="294"/>
      <c r="F70" s="294"/>
      <c r="G70" s="139"/>
      <c r="H70" s="198"/>
      <c r="I70" s="195"/>
      <c r="J70" s="124"/>
      <c r="M70" s="124" t="s">
        <v>124</v>
      </c>
    </row>
    <row r="71" spans="2:16" ht="13.5" thickBot="1">
      <c r="B71" s="199" t="s">
        <v>125</v>
      </c>
      <c r="C71" s="200">
        <f>+F55</f>
        <v>2626.2999999999997</v>
      </c>
      <c r="D71" s="200">
        <f>+D60</f>
        <v>1062</v>
      </c>
      <c r="E71" s="201">
        <f>+C71/D71</f>
        <v>2.472975517890772</v>
      </c>
      <c r="F71" s="139"/>
      <c r="G71" s="198"/>
      <c r="H71" s="141"/>
      <c r="I71" s="198"/>
      <c r="J71" s="124"/>
    </row>
    <row r="72" spans="2:16">
      <c r="B72" s="202"/>
      <c r="C72" s="203"/>
      <c r="D72" s="204"/>
      <c r="E72" s="187"/>
      <c r="F72" s="139"/>
      <c r="G72" s="198"/>
      <c r="H72" s="141"/>
      <c r="I72" s="141"/>
      <c r="J72" s="124"/>
    </row>
    <row r="73" spans="2:16">
      <c r="B73" s="199" t="s">
        <v>126</v>
      </c>
      <c r="C73" s="200">
        <f>SUM(F65:F66)</f>
        <v>3368.2654458390994</v>
      </c>
      <c r="D73" s="200">
        <f>+D60</f>
        <v>1062</v>
      </c>
      <c r="E73" s="205">
        <f>+C73/D73</f>
        <v>3.1716247135961386</v>
      </c>
      <c r="F73" s="139"/>
      <c r="G73" s="198"/>
      <c r="H73" s="141"/>
      <c r="I73" s="141"/>
      <c r="J73" s="124"/>
    </row>
    <row r="74" spans="2:16">
      <c r="B74" s="199"/>
      <c r="C74" s="200"/>
      <c r="D74" s="200"/>
      <c r="E74" s="205"/>
      <c r="F74" s="139"/>
      <c r="G74" s="198"/>
      <c r="H74" s="141"/>
      <c r="I74" s="141"/>
      <c r="J74" s="124"/>
    </row>
    <row r="75" spans="2:16" ht="13.5" thickBot="1">
      <c r="B75" s="199" t="s">
        <v>127</v>
      </c>
      <c r="C75" s="200">
        <f>+F67</f>
        <v>385</v>
      </c>
      <c r="D75" s="200">
        <f>+D60</f>
        <v>1062</v>
      </c>
      <c r="E75" s="205">
        <f>+C75/D75</f>
        <v>0.36252354048964219</v>
      </c>
      <c r="F75" s="139"/>
      <c r="G75" s="198"/>
      <c r="H75" s="141"/>
      <c r="I75" s="141"/>
      <c r="J75" s="124"/>
    </row>
    <row r="76" spans="2:16" ht="13.5" thickBot="1">
      <c r="B76" s="199" t="s">
        <v>128</v>
      </c>
      <c r="C76" s="200">
        <f>+F58</f>
        <v>550.82971094026107</v>
      </c>
      <c r="D76" s="200">
        <f>+D75</f>
        <v>1062</v>
      </c>
      <c r="E76" s="201">
        <f>+C76/D76</f>
        <v>0.51867204419986923</v>
      </c>
      <c r="F76" s="139"/>
      <c r="G76" s="198"/>
      <c r="H76" s="141"/>
      <c r="I76" s="141"/>
      <c r="J76" s="124"/>
    </row>
    <row r="77" spans="2:16" ht="13.5" thickBot="1">
      <c r="B77" s="163"/>
      <c r="C77" s="164"/>
      <c r="D77" s="164"/>
      <c r="E77" s="205"/>
      <c r="F77" s="139"/>
      <c r="G77" s="198"/>
      <c r="H77" s="141"/>
      <c r="I77" s="141"/>
      <c r="J77" s="124"/>
    </row>
    <row r="78" spans="2:16" ht="13.5" thickBot="1">
      <c r="B78" s="199" t="s">
        <v>129</v>
      </c>
      <c r="C78" s="200">
        <f>+F56</f>
        <v>689.4394458390999</v>
      </c>
      <c r="D78" s="200">
        <f>+D76</f>
        <v>1062</v>
      </c>
      <c r="E78" s="201">
        <f>+C78/D78</f>
        <v>0.64918968534755173</v>
      </c>
      <c r="F78" s="139"/>
      <c r="G78" s="198"/>
      <c r="H78" s="141"/>
      <c r="I78" s="141"/>
      <c r="J78" s="141"/>
    </row>
    <row r="79" spans="2:16" ht="13.5" thickBot="1">
      <c r="B79" s="163"/>
      <c r="C79" s="164"/>
      <c r="D79" s="164"/>
      <c r="E79" s="205"/>
      <c r="F79" s="139"/>
      <c r="G79" s="198"/>
      <c r="H79" s="141"/>
      <c r="I79" s="141"/>
    </row>
    <row r="80" spans="2:16" ht="13.5" thickBot="1">
      <c r="B80" s="295" t="s">
        <v>130</v>
      </c>
      <c r="C80" s="296"/>
      <c r="D80" s="297"/>
      <c r="E80" s="201">
        <f>+E71+E76</f>
        <v>2.9916475620906411</v>
      </c>
      <c r="G80" s="139"/>
      <c r="H80" s="198"/>
      <c r="I80" s="141"/>
      <c r="J80" s="205"/>
    </row>
    <row r="81" spans="1:10">
      <c r="I81" s="198"/>
      <c r="J81" s="124"/>
    </row>
    <row r="82" spans="1:10" ht="13.5" thickBot="1">
      <c r="B82" s="294" t="s">
        <v>131</v>
      </c>
      <c r="C82" s="294"/>
      <c r="D82" s="294"/>
      <c r="E82" s="294"/>
      <c r="F82" s="294"/>
      <c r="G82" s="139"/>
      <c r="H82" s="198"/>
      <c r="J82" s="124"/>
    </row>
    <row r="83" spans="1:10" ht="13.5" thickBot="1">
      <c r="B83" s="199" t="s">
        <v>125</v>
      </c>
      <c r="C83" s="200">
        <f>+C71</f>
        <v>2626.2999999999997</v>
      </c>
      <c r="D83" s="200">
        <f>+D62</f>
        <v>1</v>
      </c>
      <c r="E83" s="201">
        <f>+C83/D83</f>
        <v>2626.2999999999997</v>
      </c>
      <c r="F83" s="139"/>
      <c r="G83" s="198"/>
      <c r="H83" s="141"/>
      <c r="I83" s="198"/>
      <c r="J83" s="124"/>
    </row>
    <row r="84" spans="1:10">
      <c r="B84" s="202"/>
      <c r="C84" s="203"/>
      <c r="D84" s="204"/>
      <c r="E84" s="187"/>
      <c r="F84" s="139"/>
      <c r="G84" s="198"/>
      <c r="H84" s="141"/>
      <c r="I84" s="141"/>
      <c r="J84" s="124"/>
    </row>
    <row r="85" spans="1:10">
      <c r="B85" s="199" t="s">
        <v>126</v>
      </c>
      <c r="C85" s="200">
        <f>+C73</f>
        <v>3368.2654458390994</v>
      </c>
      <c r="D85" s="200">
        <f>+D62</f>
        <v>1</v>
      </c>
      <c r="E85" s="205">
        <f>+C85/D85</f>
        <v>3368.2654458390994</v>
      </c>
      <c r="F85" s="139"/>
      <c r="G85" s="198"/>
      <c r="H85" s="141"/>
      <c r="I85" s="141"/>
      <c r="J85" s="124"/>
    </row>
    <row r="86" spans="1:10">
      <c r="B86" s="199"/>
      <c r="C86" s="200"/>
      <c r="D86" s="200"/>
      <c r="E86" s="205"/>
      <c r="F86" s="139"/>
      <c r="G86" s="198"/>
      <c r="H86" s="141"/>
      <c r="I86" s="141"/>
      <c r="J86" s="124"/>
    </row>
    <row r="87" spans="1:10" ht="13.5" thickBot="1">
      <c r="B87" s="199" t="s">
        <v>128</v>
      </c>
      <c r="C87" s="200">
        <f>+C75</f>
        <v>385</v>
      </c>
      <c r="D87" s="200">
        <f>+D62</f>
        <v>1</v>
      </c>
      <c r="E87" s="205">
        <f>+C87/D87</f>
        <v>385</v>
      </c>
      <c r="F87" s="207"/>
      <c r="G87" s="197"/>
      <c r="H87" s="123"/>
      <c r="I87" s="141"/>
    </row>
    <row r="88" spans="1:10" ht="13.5" thickBot="1">
      <c r="B88" s="199" t="s">
        <v>128</v>
      </c>
      <c r="C88" s="200">
        <f>+C76</f>
        <v>550.82971094026107</v>
      </c>
      <c r="D88" s="200">
        <f>+D87</f>
        <v>1</v>
      </c>
      <c r="E88" s="201">
        <f>+C88/D88</f>
        <v>550.82971094026107</v>
      </c>
      <c r="F88" s="206"/>
      <c r="G88" s="197"/>
      <c r="H88" s="123"/>
      <c r="I88" s="123"/>
    </row>
    <row r="89" spans="1:10">
      <c r="I89" s="123"/>
    </row>
    <row r="90" spans="1:10">
      <c r="A90" s="298"/>
      <c r="B90" s="298"/>
      <c r="C90" s="208"/>
      <c r="D90" s="208"/>
      <c r="E90" s="209"/>
      <c r="G90" s="210"/>
    </row>
    <row r="91" spans="1:10">
      <c r="A91" s="142"/>
      <c r="B91" s="211"/>
      <c r="C91" s="212"/>
      <c r="D91" s="212"/>
      <c r="E91" s="213"/>
      <c r="G91" s="210"/>
    </row>
    <row r="92" spans="1:10">
      <c r="A92" s="142"/>
      <c r="B92" s="211"/>
      <c r="C92" s="214"/>
      <c r="D92" s="214"/>
      <c r="E92" s="142"/>
      <c r="G92" s="210"/>
    </row>
    <row r="93" spans="1:10">
      <c r="A93" s="142"/>
      <c r="B93" s="211"/>
      <c r="C93" s="215"/>
      <c r="D93" s="215"/>
      <c r="E93" s="142"/>
      <c r="G93" s="210"/>
    </row>
  </sheetData>
  <mergeCells count="30">
    <mergeCell ref="K29:L29"/>
    <mergeCell ref="A4:H4"/>
    <mergeCell ref="A5:H5"/>
    <mergeCell ref="F6:G6"/>
    <mergeCell ref="K27:L27"/>
    <mergeCell ref="K28:L28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C3B6-EBCB-4389-84F1-5FE0F9D9FEC3}">
  <dimension ref="A1:K58"/>
  <sheetViews>
    <sheetView zoomScale="67" workbookViewId="0">
      <selection activeCell="D16" sqref="D16"/>
    </sheetView>
  </sheetViews>
  <sheetFormatPr baseColWidth="10" defaultRowHeight="15"/>
  <cols>
    <col min="1" max="1" width="15" customWidth="1"/>
    <col min="2" max="2" width="12.85546875" customWidth="1"/>
    <col min="3" max="3" width="60.5703125" customWidth="1"/>
    <col min="4" max="4" width="42.85546875" customWidth="1"/>
    <col min="5" max="6" width="15.5703125" customWidth="1"/>
    <col min="7" max="7" width="35.5703125" customWidth="1"/>
    <col min="8" max="8" width="39.140625" customWidth="1"/>
    <col min="9" max="9" width="23.42578125" bestFit="1" customWidth="1"/>
  </cols>
  <sheetData>
    <row r="1" spans="1:10" ht="17.25">
      <c r="A1" s="225"/>
      <c r="B1" s="226"/>
      <c r="C1" s="231" t="s">
        <v>30</v>
      </c>
      <c r="D1" s="231"/>
      <c r="E1" s="231"/>
      <c r="F1" s="231"/>
      <c r="G1" s="231"/>
      <c r="H1" s="5" t="s">
        <v>29</v>
      </c>
      <c r="I1" s="6"/>
    </row>
    <row r="2" spans="1:10" ht="18" thickBot="1">
      <c r="A2" s="227"/>
      <c r="B2" s="228"/>
      <c r="C2" s="232" t="s">
        <v>28</v>
      </c>
      <c r="D2" s="232"/>
      <c r="E2" s="232"/>
      <c r="F2" s="232"/>
      <c r="G2" s="232"/>
      <c r="H2" s="7" t="s">
        <v>27</v>
      </c>
      <c r="I2" s="8"/>
    </row>
    <row r="3" spans="1:10" ht="22.7" customHeight="1" thickBot="1">
      <c r="A3" s="227"/>
      <c r="B3" s="228"/>
      <c r="C3" s="233" t="s">
        <v>64</v>
      </c>
      <c r="D3" s="234"/>
      <c r="E3" s="234"/>
      <c r="F3" s="234"/>
      <c r="G3" s="235"/>
      <c r="H3" s="236" t="s">
        <v>26</v>
      </c>
      <c r="I3" s="216"/>
    </row>
    <row r="4" spans="1:10" ht="17.25">
      <c r="A4" s="227"/>
      <c r="B4" s="228"/>
      <c r="C4" s="9" t="s">
        <v>25</v>
      </c>
      <c r="D4" s="219" t="s">
        <v>35</v>
      </c>
      <c r="E4" s="220"/>
      <c r="F4" s="220"/>
      <c r="G4" s="221"/>
      <c r="H4" s="237"/>
      <c r="I4" s="217"/>
    </row>
    <row r="5" spans="1:10" ht="18" thickBot="1">
      <c r="A5" s="229"/>
      <c r="B5" s="230"/>
      <c r="C5" s="10" t="s">
        <v>24</v>
      </c>
      <c r="D5" s="222" t="s">
        <v>38</v>
      </c>
      <c r="E5" s="223"/>
      <c r="F5" s="223"/>
      <c r="G5" s="224"/>
      <c r="H5" s="238"/>
      <c r="I5" s="218"/>
    </row>
    <row r="6" spans="1:10" ht="16.5" thickBot="1">
      <c r="A6" s="249" t="s">
        <v>23</v>
      </c>
      <c r="B6" s="249"/>
      <c r="C6" s="249"/>
      <c r="D6" s="250" t="s">
        <v>56</v>
      </c>
      <c r="E6" s="250"/>
      <c r="F6" s="250"/>
      <c r="G6" s="241" t="s">
        <v>22</v>
      </c>
      <c r="H6" s="241"/>
      <c r="I6" s="11" t="s">
        <v>56</v>
      </c>
    </row>
    <row r="7" spans="1:10">
      <c r="A7" s="242" t="s">
        <v>21</v>
      </c>
      <c r="B7" s="244" t="s">
        <v>31</v>
      </c>
      <c r="C7" s="246" t="s">
        <v>20</v>
      </c>
      <c r="D7" s="246" t="s">
        <v>19</v>
      </c>
      <c r="E7" s="246" t="s">
        <v>18</v>
      </c>
      <c r="F7" s="246"/>
      <c r="G7" s="246" t="s">
        <v>17</v>
      </c>
      <c r="H7" s="246"/>
      <c r="I7" s="12" t="s">
        <v>16</v>
      </c>
    </row>
    <row r="8" spans="1:10" ht="31.5" thickBot="1">
      <c r="A8" s="243"/>
      <c r="B8" s="245"/>
      <c r="C8" s="247"/>
      <c r="D8" s="248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19.7" customHeight="1">
      <c r="A9" s="78"/>
      <c r="B9" s="79"/>
      <c r="C9" s="67" t="s">
        <v>32</v>
      </c>
      <c r="D9" s="79"/>
      <c r="E9" s="66"/>
      <c r="F9" s="80"/>
      <c r="G9" s="66"/>
      <c r="H9" s="80"/>
      <c r="I9" s="16"/>
    </row>
    <row r="10" spans="1:10" ht="17.45" customHeight="1">
      <c r="A10" s="95"/>
      <c r="B10" s="93" t="s">
        <v>71</v>
      </c>
      <c r="C10" s="94" t="s">
        <v>53</v>
      </c>
      <c r="D10" s="107"/>
      <c r="E10" s="102">
        <v>182</v>
      </c>
      <c r="F10" s="110" t="s">
        <v>1</v>
      </c>
      <c r="G10" s="118" t="s">
        <v>72</v>
      </c>
      <c r="H10" s="92"/>
      <c r="I10" s="3"/>
    </row>
    <row r="11" spans="1:10" ht="17.45" customHeight="1">
      <c r="A11" s="95"/>
      <c r="B11" s="95"/>
      <c r="C11" s="96"/>
      <c r="D11" s="97"/>
      <c r="E11" s="98"/>
      <c r="F11" s="99"/>
      <c r="G11" s="90"/>
      <c r="H11" s="91"/>
      <c r="I11" s="3"/>
      <c r="J11">
        <f>28*6.5</f>
        <v>182</v>
      </c>
    </row>
    <row r="12" spans="1:10" ht="17.45" customHeight="1">
      <c r="A12" s="95"/>
      <c r="B12" s="95"/>
      <c r="C12" s="96"/>
      <c r="D12" s="97"/>
      <c r="E12" s="98"/>
      <c r="F12" s="99"/>
      <c r="G12" s="90"/>
      <c r="H12" s="91"/>
      <c r="I12" s="3"/>
    </row>
    <row r="13" spans="1:10" ht="18" customHeight="1">
      <c r="A13" s="95"/>
      <c r="B13" s="95"/>
      <c r="C13" s="96"/>
      <c r="D13" s="97"/>
      <c r="E13" s="98"/>
      <c r="F13" s="99"/>
      <c r="G13" s="90"/>
      <c r="H13" s="91"/>
      <c r="I13" s="3"/>
    </row>
    <row r="14" spans="1:10" ht="18.75">
      <c r="A14" s="100"/>
      <c r="B14" s="93"/>
      <c r="C14" s="94"/>
      <c r="D14" s="101"/>
      <c r="E14" s="102"/>
      <c r="F14" s="99"/>
      <c r="G14" s="71"/>
      <c r="H14" s="86"/>
      <c r="I14" s="3"/>
    </row>
    <row r="15" spans="1:10" ht="18.75">
      <c r="A15" s="63"/>
      <c r="B15" s="61"/>
      <c r="C15" s="68"/>
      <c r="D15" s="88"/>
      <c r="E15" s="73"/>
      <c r="F15" s="70"/>
      <c r="G15" s="71"/>
      <c r="H15" s="61"/>
      <c r="I15" s="3"/>
    </row>
    <row r="16" spans="1:10" ht="18.75">
      <c r="A16" s="63"/>
      <c r="B16" s="68"/>
      <c r="C16" s="68"/>
      <c r="D16" s="74"/>
      <c r="E16" s="75"/>
      <c r="F16" s="70"/>
      <c r="G16" s="72"/>
      <c r="H16" s="61"/>
      <c r="I16" s="3"/>
    </row>
    <row r="17" spans="1:10" ht="18.75">
      <c r="A17" s="62"/>
      <c r="B17" s="63"/>
      <c r="C17" s="76"/>
      <c r="D17" s="59"/>
      <c r="E17" s="61"/>
      <c r="F17" s="77"/>
      <c r="G17" s="72"/>
      <c r="H17" s="61"/>
      <c r="I17" s="3"/>
    </row>
    <row r="18" spans="1:10" ht="18.75">
      <c r="A18" s="62"/>
      <c r="B18" s="63"/>
      <c r="C18" s="89" t="s">
        <v>39</v>
      </c>
      <c r="D18" s="59"/>
      <c r="E18" s="61"/>
      <c r="F18" s="77"/>
      <c r="G18" s="72"/>
      <c r="H18" s="61"/>
      <c r="I18" s="3"/>
    </row>
    <row r="19" spans="1:10" ht="18.75">
      <c r="A19" s="63"/>
      <c r="B19" s="95"/>
      <c r="C19" s="96"/>
      <c r="D19" s="93"/>
      <c r="E19" s="93"/>
      <c r="F19" s="93"/>
      <c r="G19" s="105"/>
      <c r="H19" s="61"/>
      <c r="I19" s="3"/>
    </row>
    <row r="20" spans="1:10" ht="18.75">
      <c r="A20" s="63"/>
      <c r="B20" s="95"/>
      <c r="C20" s="96"/>
      <c r="D20" s="93"/>
      <c r="E20" s="93"/>
      <c r="F20" s="93"/>
      <c r="G20" s="106"/>
      <c r="H20" s="61"/>
      <c r="I20" s="3"/>
    </row>
    <row r="21" spans="1:10" ht="18.75">
      <c r="A21" s="63"/>
      <c r="B21" s="104"/>
      <c r="C21" s="104"/>
      <c r="D21" s="74"/>
      <c r="E21" s="65"/>
      <c r="F21" s="65"/>
      <c r="G21" s="66"/>
      <c r="H21" s="80"/>
      <c r="I21" s="103"/>
    </row>
    <row r="22" spans="1:10" ht="18.75">
      <c r="A22" s="68"/>
      <c r="B22" s="64"/>
      <c r="C22" s="82"/>
      <c r="D22" s="69"/>
      <c r="E22" s="64"/>
      <c r="F22" s="83"/>
      <c r="G22" s="66"/>
      <c r="H22" s="80"/>
      <c r="I22" s="16"/>
    </row>
    <row r="23" spans="1:10" ht="18.75">
      <c r="A23" s="63"/>
      <c r="B23" s="63"/>
      <c r="C23" s="81" t="s">
        <v>34</v>
      </c>
      <c r="D23" s="68"/>
      <c r="E23" s="68"/>
      <c r="F23" s="61"/>
      <c r="G23" s="60"/>
      <c r="H23" s="61"/>
      <c r="I23" s="16"/>
    </row>
    <row r="24" spans="1:10" ht="18.75">
      <c r="A24" s="93" t="s">
        <v>65</v>
      </c>
      <c r="B24" s="93" t="s">
        <v>66</v>
      </c>
      <c r="C24" s="94" t="s">
        <v>67</v>
      </c>
      <c r="D24" s="108" t="s">
        <v>68</v>
      </c>
      <c r="E24" s="110">
        <v>1</v>
      </c>
      <c r="F24" s="110" t="s">
        <v>37</v>
      </c>
      <c r="G24" s="60"/>
      <c r="H24" s="61"/>
      <c r="I24" s="16"/>
    </row>
    <row r="25" spans="1:10" ht="18.75">
      <c r="A25" s="93" t="s">
        <v>61</v>
      </c>
      <c r="B25" s="93" t="s">
        <v>62</v>
      </c>
      <c r="C25" s="94" t="s">
        <v>69</v>
      </c>
      <c r="D25" s="107" t="s">
        <v>70</v>
      </c>
      <c r="E25" s="116">
        <v>1</v>
      </c>
      <c r="F25" s="117" t="s">
        <v>37</v>
      </c>
      <c r="H25" s="61"/>
      <c r="I25" s="16"/>
      <c r="J25" s="87"/>
    </row>
    <row r="26" spans="1:10" s="58" customFormat="1" ht="18.75">
      <c r="A26" s="94"/>
      <c r="B26" s="94"/>
      <c r="C26" s="109"/>
      <c r="D26" s="107"/>
      <c r="E26" s="102"/>
      <c r="F26" s="108"/>
      <c r="H26" s="61"/>
      <c r="I26" s="16"/>
    </row>
    <row r="27" spans="1:10" ht="18.75">
      <c r="A27" s="94"/>
      <c r="B27" s="94"/>
      <c r="C27" s="109"/>
      <c r="D27" s="107"/>
      <c r="E27" s="102"/>
      <c r="F27" s="108"/>
      <c r="G27" s="84"/>
      <c r="H27" s="63"/>
      <c r="I27" s="16"/>
    </row>
    <row r="28" spans="1:10" ht="18.75">
      <c r="A28" s="96"/>
      <c r="B28" s="96"/>
      <c r="C28" s="112"/>
      <c r="D28" s="97"/>
      <c r="E28" s="98"/>
      <c r="F28" s="111"/>
      <c r="G28" s="66"/>
      <c r="H28" s="63"/>
      <c r="I28" s="16"/>
      <c r="J28" s="87"/>
    </row>
    <row r="29" spans="1:10" ht="18.75">
      <c r="A29" s="96"/>
      <c r="B29" s="96"/>
      <c r="C29" s="113"/>
      <c r="D29" s="111"/>
      <c r="E29" s="98"/>
      <c r="F29" s="99"/>
      <c r="G29" s="60"/>
      <c r="H29" s="85"/>
      <c r="I29" s="16"/>
    </row>
    <row r="30" spans="1:10" ht="18.75">
      <c r="A30" s="96"/>
      <c r="B30" s="96"/>
      <c r="C30" s="96"/>
      <c r="D30" s="111"/>
      <c r="E30" s="98"/>
      <c r="F30" s="99"/>
      <c r="G30" s="60"/>
      <c r="H30" s="85"/>
      <c r="I30" s="16"/>
    </row>
    <row r="31" spans="1:10" ht="16.350000000000001" customHeight="1">
      <c r="A31" s="50"/>
      <c r="B31" s="50"/>
      <c r="C31" s="51"/>
      <c r="D31" s="52"/>
      <c r="E31" s="50"/>
      <c r="F31" s="53"/>
      <c r="G31" s="54"/>
      <c r="H31" s="48"/>
      <c r="I31" s="16"/>
    </row>
    <row r="32" spans="1:10" ht="15.75">
      <c r="A32" s="55"/>
      <c r="B32" s="55"/>
      <c r="C32" s="56"/>
      <c r="D32" s="17"/>
      <c r="E32" s="55"/>
      <c r="F32" s="4"/>
      <c r="G32" s="49"/>
      <c r="H32" s="57"/>
      <c r="I32" s="16"/>
    </row>
    <row r="33" spans="1:11" ht="17.25">
      <c r="A33" s="20"/>
      <c r="B33" s="21"/>
      <c r="C33" s="22"/>
      <c r="D33" s="23"/>
      <c r="E33" s="24"/>
      <c r="F33" s="24"/>
      <c r="G33" s="19"/>
      <c r="H33" s="2"/>
      <c r="I33" s="16"/>
    </row>
    <row r="34" spans="1:11" ht="15.75">
      <c r="A34" s="21"/>
      <c r="B34" s="25"/>
      <c r="C34" s="26"/>
      <c r="D34" s="1"/>
      <c r="E34" s="27"/>
      <c r="F34" s="18"/>
      <c r="G34" s="19"/>
      <c r="H34" s="3"/>
      <c r="I34" s="16"/>
    </row>
    <row r="35" spans="1:11" ht="15.75">
      <c r="A35" s="28"/>
      <c r="B35" s="29"/>
      <c r="C35" s="30"/>
      <c r="D35" s="3"/>
      <c r="E35" s="3"/>
      <c r="F35" s="31"/>
      <c r="G35" s="3"/>
      <c r="H35" s="3"/>
      <c r="I35" s="16"/>
    </row>
    <row r="36" spans="1:11" ht="18" thickBot="1">
      <c r="A36" s="32"/>
      <c r="B36" s="33"/>
      <c r="C36" s="34"/>
      <c r="D36" s="34"/>
      <c r="E36" s="35"/>
      <c r="F36" s="36"/>
      <c r="G36" s="34"/>
      <c r="H36" s="34"/>
      <c r="I36" s="37"/>
      <c r="K36" s="87"/>
    </row>
    <row r="37" spans="1:11" ht="18" thickBot="1">
      <c r="A37" s="38"/>
      <c r="B37" s="39"/>
      <c r="C37" s="40"/>
      <c r="D37" s="41" t="s">
        <v>13</v>
      </c>
      <c r="E37" s="42" t="s">
        <v>12</v>
      </c>
      <c r="F37" s="43"/>
      <c r="G37" s="40"/>
      <c r="H37" s="40"/>
      <c r="I37" s="44"/>
      <c r="J37" s="87"/>
    </row>
    <row r="38" spans="1:11" ht="18.75">
      <c r="A38" s="251" t="s">
        <v>11</v>
      </c>
      <c r="B38" s="252"/>
      <c r="C38" s="253"/>
      <c r="D38" s="114">
        <v>175</v>
      </c>
      <c r="E38" s="45" t="s">
        <v>1</v>
      </c>
      <c r="F38" s="254" t="s">
        <v>10</v>
      </c>
      <c r="G38" s="254"/>
      <c r="H38" s="239"/>
      <c r="I38" s="240"/>
      <c r="J38">
        <f>5000/349</f>
        <v>14.326647564469914</v>
      </c>
    </row>
    <row r="39" spans="1:11" ht="18.75">
      <c r="A39" s="255" t="s">
        <v>9</v>
      </c>
      <c r="B39" s="256"/>
      <c r="C39" s="257"/>
      <c r="D39" s="92">
        <v>5</v>
      </c>
      <c r="E39" s="46" t="s">
        <v>8</v>
      </c>
      <c r="F39" s="258" t="s">
        <v>7</v>
      </c>
      <c r="G39" s="258"/>
      <c r="H39" s="259"/>
      <c r="I39" s="260"/>
    </row>
    <row r="40" spans="1:11" ht="18.75">
      <c r="A40" s="255" t="s">
        <v>6</v>
      </c>
      <c r="B40" s="256"/>
      <c r="C40" s="257"/>
      <c r="D40" s="92">
        <v>1</v>
      </c>
      <c r="E40" s="46" t="s">
        <v>37</v>
      </c>
      <c r="F40" s="258" t="s">
        <v>5</v>
      </c>
      <c r="G40" s="258"/>
      <c r="H40" s="259"/>
      <c r="I40" s="260"/>
    </row>
    <row r="41" spans="1:11" ht="18.75">
      <c r="A41" s="255" t="s">
        <v>4</v>
      </c>
      <c r="B41" s="256"/>
      <c r="C41" s="257"/>
      <c r="D41" s="92">
        <v>182</v>
      </c>
      <c r="E41" s="46" t="s">
        <v>1</v>
      </c>
      <c r="F41" s="261" t="s">
        <v>3</v>
      </c>
      <c r="G41" s="262"/>
      <c r="H41" s="259"/>
      <c r="I41" s="260"/>
    </row>
    <row r="42" spans="1:11" ht="19.5" thickBot="1">
      <c r="A42" s="263" t="s">
        <v>2</v>
      </c>
      <c r="B42" s="264"/>
      <c r="C42" s="265"/>
      <c r="D42" s="115">
        <f>SUM(E10)-D38</f>
        <v>7</v>
      </c>
      <c r="E42" s="47" t="s">
        <v>1</v>
      </c>
      <c r="F42" s="275"/>
      <c r="G42" s="275"/>
      <c r="H42" s="276"/>
      <c r="I42" s="277"/>
    </row>
    <row r="43" spans="1:11" ht="16.5" thickBot="1">
      <c r="A43" s="266" t="s">
        <v>0</v>
      </c>
      <c r="B43" s="267"/>
      <c r="C43" s="267"/>
      <c r="D43" s="267"/>
      <c r="E43" s="267"/>
      <c r="F43" s="267"/>
      <c r="G43" s="267"/>
      <c r="H43" s="267"/>
      <c r="I43" s="268"/>
    </row>
    <row r="44" spans="1:11" ht="20.45" customHeight="1">
      <c r="A44" s="332" t="s">
        <v>75</v>
      </c>
      <c r="B44" s="333"/>
      <c r="C44" s="334"/>
      <c r="D44" s="334"/>
      <c r="E44" s="334"/>
      <c r="F44" s="334"/>
      <c r="G44" s="334"/>
      <c r="H44" s="334"/>
      <c r="I44" s="335"/>
    </row>
    <row r="45" spans="1:11" ht="22.7" customHeight="1">
      <c r="A45" s="329" t="s">
        <v>73</v>
      </c>
      <c r="B45" s="330"/>
      <c r="C45" s="330"/>
      <c r="D45" s="330"/>
      <c r="E45" s="330"/>
      <c r="F45" s="330"/>
      <c r="G45" s="330"/>
      <c r="H45" s="330"/>
      <c r="I45" s="331"/>
    </row>
    <row r="46" spans="1:11" ht="19.7" customHeight="1">
      <c r="A46" s="325" t="s">
        <v>74</v>
      </c>
      <c r="B46" s="326"/>
      <c r="C46" s="327"/>
      <c r="D46" s="327"/>
      <c r="E46" s="327"/>
      <c r="F46" s="327"/>
      <c r="G46" s="327"/>
      <c r="H46" s="327"/>
      <c r="I46" s="328"/>
    </row>
    <row r="47" spans="1:11" ht="20.45" customHeight="1">
      <c r="A47" s="269"/>
      <c r="B47" s="270"/>
      <c r="C47" s="271"/>
      <c r="D47" s="271"/>
      <c r="E47" s="271"/>
      <c r="F47" s="271"/>
      <c r="G47" s="271"/>
      <c r="H47" s="271"/>
      <c r="I47" s="272"/>
    </row>
    <row r="48" spans="1:11" ht="20.45" customHeight="1">
      <c r="A48" s="269"/>
      <c r="B48" s="270"/>
      <c r="C48" s="271"/>
      <c r="D48" s="271"/>
      <c r="E48" s="271"/>
      <c r="F48" s="271"/>
      <c r="G48" s="271"/>
      <c r="H48" s="271"/>
      <c r="I48" s="272"/>
    </row>
    <row r="49" spans="1:9" ht="20.45" customHeight="1">
      <c r="A49" s="278"/>
      <c r="B49" s="279"/>
      <c r="C49" s="280"/>
      <c r="D49" s="280"/>
      <c r="E49" s="280"/>
      <c r="F49" s="280"/>
      <c r="G49" s="280"/>
      <c r="H49" s="280"/>
      <c r="I49" s="281"/>
    </row>
    <row r="50" spans="1:9" ht="19.7" customHeight="1">
      <c r="A50" s="269"/>
      <c r="B50" s="270"/>
      <c r="C50" s="271"/>
      <c r="D50" s="271"/>
      <c r="E50" s="271"/>
      <c r="F50" s="271"/>
      <c r="G50" s="271"/>
      <c r="H50" s="271"/>
      <c r="I50" s="272"/>
    </row>
    <row r="51" spans="1:9" ht="20.25">
      <c r="A51" s="269"/>
      <c r="B51" s="270"/>
      <c r="C51" s="271"/>
      <c r="D51" s="271"/>
      <c r="E51" s="271"/>
      <c r="F51" s="271"/>
      <c r="G51" s="271"/>
      <c r="H51" s="271"/>
      <c r="I51" s="272"/>
    </row>
    <row r="53" spans="1:9" ht="18" customHeight="1">
      <c r="A53" s="282"/>
      <c r="B53" s="283"/>
      <c r="C53" s="284"/>
      <c r="D53" s="284"/>
      <c r="E53" s="284"/>
      <c r="F53" s="284"/>
      <c r="G53" s="284"/>
      <c r="H53" s="284"/>
      <c r="I53" s="285"/>
    </row>
    <row r="54" spans="1:9" ht="17.25">
      <c r="A54" s="286"/>
      <c r="B54" s="287"/>
      <c r="C54" s="287"/>
      <c r="D54" s="287"/>
      <c r="E54" s="287"/>
      <c r="F54" s="287"/>
      <c r="G54" s="287"/>
      <c r="H54" s="287"/>
      <c r="I54" s="288"/>
    </row>
    <row r="55" spans="1:9" ht="18" thickBot="1">
      <c r="A55" s="289"/>
      <c r="B55" s="290"/>
      <c r="C55" s="290"/>
      <c r="D55" s="290"/>
      <c r="E55" s="290"/>
      <c r="F55" s="290"/>
      <c r="G55" s="290"/>
      <c r="H55" s="290"/>
      <c r="I55" s="291"/>
    </row>
    <row r="56" spans="1:9">
      <c r="A56" s="292" t="s">
        <v>33</v>
      </c>
      <c r="B56" s="293"/>
      <c r="C56" s="293"/>
      <c r="D56" s="293"/>
      <c r="E56" s="293"/>
      <c r="F56" s="293"/>
      <c r="G56" s="293"/>
      <c r="H56" s="293"/>
      <c r="I56" s="293"/>
    </row>
    <row r="57" spans="1:9">
      <c r="A57" s="273"/>
      <c r="B57" s="274"/>
      <c r="C57" s="274"/>
      <c r="D57" s="274"/>
      <c r="E57" s="274"/>
      <c r="F57" s="274"/>
      <c r="G57" s="274"/>
      <c r="H57" s="274"/>
      <c r="I57" s="274"/>
    </row>
    <row r="58" spans="1:9">
      <c r="A58" s="273"/>
      <c r="B58" s="274"/>
      <c r="C58" s="274"/>
      <c r="D58" s="274"/>
      <c r="E58" s="274"/>
      <c r="F58" s="274"/>
      <c r="G58" s="274"/>
      <c r="H58" s="274"/>
      <c r="I58" s="274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8:I58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6923-37CA-44CD-A007-4D685C806354}">
  <dimension ref="A1:Q91"/>
  <sheetViews>
    <sheetView topLeftCell="A52" workbookViewId="0">
      <selection activeCell="A15" sqref="A15"/>
    </sheetView>
  </sheetViews>
  <sheetFormatPr baseColWidth="10" defaultColWidth="8.42578125" defaultRowHeight="12.75"/>
  <cols>
    <col min="1" max="1" width="10" style="124" bestFit="1" customWidth="1"/>
    <col min="2" max="2" width="44.42578125" style="124" bestFit="1" customWidth="1"/>
    <col min="3" max="3" width="10.42578125" style="124" bestFit="1" customWidth="1"/>
    <col min="4" max="4" width="10.42578125" style="124" customWidth="1"/>
    <col min="5" max="5" width="11" style="124" customWidth="1"/>
    <col min="6" max="6" width="9.5703125" style="124" bestFit="1" customWidth="1"/>
    <col min="7" max="7" width="10.85546875" style="206" customWidth="1"/>
    <col min="8" max="8" width="10.42578125" style="197" bestFit="1" customWidth="1"/>
    <col min="9" max="9" width="4.5703125" style="197" customWidth="1"/>
    <col min="10" max="10" width="1.85546875" style="123" customWidth="1"/>
    <col min="11" max="11" width="7" style="124" bestFit="1" customWidth="1"/>
    <col min="12" max="12" width="6.42578125" style="124" customWidth="1"/>
    <col min="13" max="13" width="20.42578125" style="124" customWidth="1"/>
    <col min="14" max="14" width="6.42578125" style="124" bestFit="1" customWidth="1"/>
    <col min="15" max="16" width="8.42578125" style="124"/>
    <col min="17" max="17" width="3.42578125" style="124" customWidth="1"/>
    <col min="18" max="16384" width="8.42578125" style="124"/>
  </cols>
  <sheetData>
    <row r="1" spans="1:11" ht="27.75" customHeight="1">
      <c r="A1" s="119"/>
      <c r="B1" s="119"/>
      <c r="C1" s="119"/>
      <c r="D1" s="119"/>
      <c r="E1" s="120" t="s">
        <v>81</v>
      </c>
      <c r="F1" s="121" t="s">
        <v>82</v>
      </c>
      <c r="G1" s="121" t="s">
        <v>83</v>
      </c>
      <c r="H1" s="121" t="s">
        <v>84</v>
      </c>
      <c r="I1" s="122"/>
    </row>
    <row r="2" spans="1:11" ht="30.75" customHeight="1">
      <c r="A2" s="119"/>
      <c r="B2" s="119"/>
      <c r="C2" s="119"/>
      <c r="D2" s="119"/>
      <c r="E2" s="125">
        <f>IFERROR(O62,"")</f>
        <v>4037.13</v>
      </c>
      <c r="F2" s="125">
        <f>IFERROR(H53,"")</f>
        <v>3185</v>
      </c>
      <c r="G2" s="125">
        <f>IFERROR(H54,"")</f>
        <v>52.13</v>
      </c>
      <c r="H2" s="125">
        <f>IFERROR(H56,"")</f>
        <v>385</v>
      </c>
      <c r="I2" s="126"/>
    </row>
    <row r="3" spans="1:11" ht="15" customHeight="1">
      <c r="A3" s="119"/>
      <c r="B3" s="119"/>
      <c r="C3" s="119"/>
      <c r="D3" s="119"/>
      <c r="E3" s="119"/>
      <c r="F3" s="127"/>
      <c r="G3" s="127"/>
      <c r="H3" s="127"/>
      <c r="I3" s="127"/>
    </row>
    <row r="4" spans="1:11" ht="24.75" customHeight="1" thickBot="1">
      <c r="A4" s="320"/>
      <c r="B4" s="320"/>
      <c r="C4" s="320"/>
      <c r="D4" s="320"/>
      <c r="E4" s="320"/>
      <c r="F4" s="320"/>
      <c r="G4" s="320"/>
      <c r="H4" s="320"/>
      <c r="I4" s="128"/>
    </row>
    <row r="5" spans="1:11" ht="19.5" customHeight="1" thickBot="1">
      <c r="A5" s="321" t="s">
        <v>85</v>
      </c>
      <c r="B5" s="322"/>
      <c r="C5" s="322"/>
      <c r="D5" s="322"/>
      <c r="E5" s="322"/>
      <c r="F5" s="322"/>
      <c r="G5" s="322"/>
      <c r="H5" s="323"/>
      <c r="I5" s="129"/>
    </row>
    <row r="6" spans="1:11" ht="19.5" thickBot="1">
      <c r="A6" s="129"/>
      <c r="B6" s="129"/>
      <c r="C6" s="129"/>
      <c r="D6" s="129"/>
      <c r="E6" s="129"/>
      <c r="F6" s="324" t="s">
        <v>86</v>
      </c>
      <c r="G6" s="324"/>
      <c r="H6" s="130">
        <f ca="1">TODAY()</f>
        <v>46064</v>
      </c>
      <c r="I6" s="130"/>
    </row>
    <row r="7" spans="1:11" ht="26.25" thickBot="1">
      <c r="A7" s="131" t="s">
        <v>87</v>
      </c>
      <c r="B7" s="132" t="s">
        <v>88</v>
      </c>
      <c r="C7" s="132" t="s">
        <v>87</v>
      </c>
      <c r="D7" s="133" t="s">
        <v>89</v>
      </c>
      <c r="E7" s="133" t="s">
        <v>90</v>
      </c>
      <c r="F7" s="133" t="s">
        <v>91</v>
      </c>
      <c r="G7" s="133" t="s">
        <v>92</v>
      </c>
      <c r="H7" s="134" t="s">
        <v>93</v>
      </c>
      <c r="I7" s="135"/>
      <c r="K7" s="124">
        <f>4050/234</f>
        <v>17.307692307692307</v>
      </c>
    </row>
    <row r="8" spans="1:11" ht="13.5">
      <c r="A8" s="136">
        <v>182</v>
      </c>
      <c r="B8" s="124" t="s">
        <v>53</v>
      </c>
      <c r="C8" s="137">
        <f>+A8</f>
        <v>182</v>
      </c>
      <c r="D8" s="138" t="s">
        <v>133</v>
      </c>
      <c r="E8" s="138">
        <v>17.5</v>
      </c>
      <c r="F8" s="138">
        <f>IFERROR(C8*E8,"")</f>
        <v>3185</v>
      </c>
      <c r="G8" s="139">
        <f t="shared" ref="G8:G14" si="0">IFERROR(F8/$F$66,"")</f>
        <v>0.86412015746792448</v>
      </c>
      <c r="H8" s="140"/>
      <c r="I8" s="140"/>
      <c r="J8" s="141"/>
    </row>
    <row r="9" spans="1:11" ht="13.5" hidden="1">
      <c r="A9" s="136"/>
      <c r="B9" s="124" t="str">
        <f>IFERROR(VLOOKUP(H9,'[1]Consolidado MP Planta'!$A$2:$M$823,3,0),"")</f>
        <v/>
      </c>
      <c r="C9" s="137">
        <f t="shared" ref="C9:C14" si="1">+A9</f>
        <v>0</v>
      </c>
      <c r="D9" s="138" t="str">
        <f>IFERROR(VLOOKUP(H9,'[1]Consolidado MP Planta'!$A$2:$M$823,13,0),"")</f>
        <v/>
      </c>
      <c r="E9" s="138" t="str">
        <f>IFERROR(VLOOKUP(H9,'[1]Consolidado MP Planta'!$A$2:$M$823,12,0),"")</f>
        <v/>
      </c>
      <c r="F9" s="138" t="str">
        <f t="shared" ref="F9:F14" si="2">IFERROR(C9*E9,"")</f>
        <v/>
      </c>
      <c r="G9" s="139" t="str">
        <f t="shared" si="0"/>
        <v/>
      </c>
      <c r="H9" s="140"/>
      <c r="I9" s="140"/>
      <c r="J9" s="141"/>
    </row>
    <row r="10" spans="1:11" ht="13.5" hidden="1">
      <c r="A10" s="136"/>
      <c r="B10" s="124" t="str">
        <f>IFERROR(VLOOKUP(H10,'[1]Consolidado MP Planta'!$A$2:$M$823,3,0),"")</f>
        <v/>
      </c>
      <c r="C10" s="137">
        <f t="shared" si="1"/>
        <v>0</v>
      </c>
      <c r="D10" s="138" t="str">
        <f>IFERROR(VLOOKUP(H10,'[1]Consolidado MP Planta'!$A$2:$M$823,13,0),"")</f>
        <v/>
      </c>
      <c r="E10" s="138" t="str">
        <f>IFERROR(VLOOKUP(H10,'[1]Consolidado MP Planta'!$A$2:$M$823,12,0),"")</f>
        <v/>
      </c>
      <c r="F10" s="138" t="str">
        <f t="shared" si="2"/>
        <v/>
      </c>
      <c r="G10" s="139" t="str">
        <f t="shared" si="0"/>
        <v/>
      </c>
      <c r="H10" s="140"/>
      <c r="I10" s="140"/>
      <c r="J10" s="141"/>
    </row>
    <row r="11" spans="1:11" ht="13.5" hidden="1">
      <c r="A11" s="136"/>
      <c r="B11" s="124" t="str">
        <f>IFERROR(VLOOKUP(H11,'[1]Consolidado MP Planta'!$A$2:$M$823,3,0),"")</f>
        <v/>
      </c>
      <c r="C11" s="137">
        <f t="shared" si="1"/>
        <v>0</v>
      </c>
      <c r="D11" s="138" t="str">
        <f>IFERROR(VLOOKUP(H11,'[1]Consolidado MP Planta'!$A$2:$M$823,13,0),"")</f>
        <v/>
      </c>
      <c r="E11" s="138" t="str">
        <f>IFERROR(VLOOKUP(H11,'[1]Consolidado MP Planta'!$A$2:$M$823,12,0),"")</f>
        <v/>
      </c>
      <c r="F11" s="138" t="str">
        <f t="shared" si="2"/>
        <v/>
      </c>
      <c r="G11" s="139" t="str">
        <f t="shared" si="0"/>
        <v/>
      </c>
      <c r="H11" s="140"/>
      <c r="I11" s="140"/>
      <c r="J11" s="141"/>
    </row>
    <row r="12" spans="1:11" ht="13.5" hidden="1">
      <c r="A12" s="136"/>
      <c r="B12" s="124" t="str">
        <f>IFERROR(VLOOKUP(H12,'[1]Consolidado MP Planta'!$A$2:$M$823,3,0),"")</f>
        <v/>
      </c>
      <c r="C12" s="137">
        <f t="shared" si="1"/>
        <v>0</v>
      </c>
      <c r="D12" s="138" t="str">
        <f>IFERROR(VLOOKUP(H12,'[1]Consolidado MP Planta'!$A$2:$M$823,13,0),"")</f>
        <v/>
      </c>
      <c r="E12" s="138" t="str">
        <f>IFERROR(VLOOKUP(H12,'[1]Consolidado MP Planta'!$A$2:$M$823,12,0),"")</f>
        <v/>
      </c>
      <c r="F12" s="138" t="str">
        <f t="shared" si="2"/>
        <v/>
      </c>
      <c r="G12" s="139" t="str">
        <f t="shared" si="0"/>
        <v/>
      </c>
      <c r="H12" s="140"/>
      <c r="I12" s="140"/>
      <c r="J12" s="141"/>
    </row>
    <row r="13" spans="1:11" ht="13.5" hidden="1">
      <c r="A13" s="136"/>
      <c r="B13" s="124" t="str">
        <f>IFERROR(VLOOKUP(H13,'[1]Consolidado MP Planta'!$A$2:$M$823,3,0),"")</f>
        <v/>
      </c>
      <c r="C13" s="137">
        <f t="shared" si="1"/>
        <v>0</v>
      </c>
      <c r="D13" s="138" t="str">
        <f>IFERROR(VLOOKUP(H13,'[1]Consolidado MP Planta'!$A$2:$M$823,13,0),"")</f>
        <v/>
      </c>
      <c r="E13" s="138" t="str">
        <f>IFERROR(VLOOKUP(H13,'[1]Consolidado MP Planta'!$A$2:$M$823,12,0),"")</f>
        <v/>
      </c>
      <c r="F13" s="138" t="str">
        <f t="shared" si="2"/>
        <v/>
      </c>
      <c r="G13" s="139" t="str">
        <f t="shared" si="0"/>
        <v/>
      </c>
      <c r="H13" s="140"/>
      <c r="I13" s="140"/>
      <c r="J13" s="141"/>
    </row>
    <row r="14" spans="1:11" ht="13.5" hidden="1">
      <c r="A14" s="136"/>
      <c r="B14" s="124" t="str">
        <f>IFERROR(VLOOKUP(H14,'[1]Consolidado MP Planta'!$A$2:$M$823,3,0),"")</f>
        <v/>
      </c>
      <c r="C14" s="137">
        <f t="shared" si="1"/>
        <v>0</v>
      </c>
      <c r="D14" s="138" t="str">
        <f>IFERROR(VLOOKUP(H14,'[1]Consolidado MP Planta'!$A$2:$M$823,13,0),"")</f>
        <v/>
      </c>
      <c r="E14" s="138" t="str">
        <f>IFERROR(VLOOKUP(H14,'[1]Consolidado MP Planta'!$A$2:$M$823,12,0),"")</f>
        <v/>
      </c>
      <c r="F14" s="138" t="str">
        <f t="shared" si="2"/>
        <v/>
      </c>
      <c r="G14" s="139" t="str">
        <f t="shared" si="0"/>
        <v/>
      </c>
      <c r="H14" s="140"/>
      <c r="I14" s="140"/>
      <c r="J14" s="141"/>
    </row>
    <row r="15" spans="1:11" ht="14.25" thickBot="1">
      <c r="A15" s="136"/>
      <c r="B15" s="124" t="str">
        <f>IFERROR(VLOOKUP(H15,[2]Hoja2!$A$2:$G$589,2,0),"")</f>
        <v/>
      </c>
      <c r="C15" s="137"/>
      <c r="D15" s="138"/>
      <c r="E15" s="138"/>
      <c r="F15" s="138"/>
      <c r="G15" s="139"/>
      <c r="H15" s="140"/>
      <c r="I15" s="140"/>
      <c r="J15" s="141"/>
    </row>
    <row r="16" spans="1:11" ht="26.25" hidden="1" thickBot="1">
      <c r="A16" s="131" t="s">
        <v>87</v>
      </c>
      <c r="B16" s="132" t="s">
        <v>94</v>
      </c>
      <c r="C16" s="132" t="s">
        <v>87</v>
      </c>
      <c r="D16" s="133" t="s">
        <v>89</v>
      </c>
      <c r="E16" s="133" t="s">
        <v>90</v>
      </c>
      <c r="F16" s="133" t="s">
        <v>91</v>
      </c>
      <c r="G16" s="133" t="s">
        <v>92</v>
      </c>
      <c r="H16" s="134" t="s">
        <v>93</v>
      </c>
      <c r="I16" s="135"/>
      <c r="J16" s="141"/>
    </row>
    <row r="17" spans="1:12" ht="13.5" hidden="1">
      <c r="A17" s="136"/>
      <c r="B17" s="124" t="str">
        <f>IFERROR(VLOOKUP(H17,[1]SEMIELABORADOS!$A$2:$M$6000,2,0),"")</f>
        <v/>
      </c>
      <c r="C17" s="137">
        <f>+A17</f>
        <v>0</v>
      </c>
      <c r="D17" s="137" t="str">
        <f>IFERROR(VLOOKUP(H17,[1]SEMIELABORADOS!$A$2:$M$6000,6,0),"")</f>
        <v/>
      </c>
      <c r="E17" s="138" t="str">
        <f>IFERROR(VLOOKUP(H17,[1]SEMIELABORADOS!$A$2:$H$65536,8,0),"")</f>
        <v/>
      </c>
      <c r="F17" s="138" t="str">
        <f>IFERROR(E17*C17,"")</f>
        <v/>
      </c>
      <c r="G17" s="139" t="str">
        <f t="shared" ref="G17:G24" si="3">IFERROR(F17/$F$66,"")</f>
        <v/>
      </c>
      <c r="H17" s="140"/>
      <c r="I17" s="140"/>
      <c r="J17" s="141"/>
    </row>
    <row r="18" spans="1:12" ht="13.5" hidden="1">
      <c r="A18" s="136"/>
      <c r="B18" s="124" t="str">
        <f>IFERROR(VLOOKUP(H18,[1]SEMIELABORADOS!$A$2:$M$6000,2,0),"")</f>
        <v/>
      </c>
      <c r="C18" s="137">
        <f t="shared" ref="C18:C24" si="4">+A18</f>
        <v>0</v>
      </c>
      <c r="D18" s="137" t="str">
        <f>IFERROR(VLOOKUP(H18,[1]SEMIELABORADOS!$A$2:$M$6000,6,0),"")</f>
        <v/>
      </c>
      <c r="E18" s="138" t="str">
        <f>IFERROR(VLOOKUP(H18,[1]SEMIELABORADOS!$A$2:$H$65536,8,0),"")</f>
        <v/>
      </c>
      <c r="F18" s="138" t="str">
        <f t="shared" ref="F18:F24" si="5">IFERROR(E18*C18,"")</f>
        <v/>
      </c>
      <c r="G18" s="139" t="str">
        <f t="shared" si="3"/>
        <v/>
      </c>
      <c r="H18" s="140"/>
      <c r="I18" s="140"/>
      <c r="J18" s="141"/>
    </row>
    <row r="19" spans="1:12" ht="13.5" hidden="1">
      <c r="A19" s="136"/>
      <c r="B19" s="124" t="str">
        <f>IFERROR(VLOOKUP(H19,[1]SEMIELABORADOS!$A$2:$M$6000,2,0),"")</f>
        <v/>
      </c>
      <c r="C19" s="137">
        <f>+A19</f>
        <v>0</v>
      </c>
      <c r="D19" s="137" t="str">
        <f>IFERROR(VLOOKUP(H19,[1]SEMIELABORADOS!$A$2:$M$6000,6,0),"")</f>
        <v/>
      </c>
      <c r="E19" s="138" t="str">
        <f>IFERROR(VLOOKUP(H19,[1]SEMIELABORADOS!$A$2:$H$65536,8,0),"")</f>
        <v/>
      </c>
      <c r="F19" s="138" t="str">
        <f>IFERROR(E19*C19,"")</f>
        <v/>
      </c>
      <c r="G19" s="139" t="str">
        <f t="shared" si="3"/>
        <v/>
      </c>
      <c r="H19" s="140"/>
      <c r="I19" s="140"/>
      <c r="J19" s="141"/>
    </row>
    <row r="20" spans="1:12" ht="13.5" hidden="1">
      <c r="A20" s="136"/>
      <c r="B20" s="124" t="str">
        <f>IFERROR(VLOOKUP(H20,[1]SEMIELABORADOS!$A$2:$M$6000,2,0),"")</f>
        <v/>
      </c>
      <c r="C20" s="137">
        <f>+A20</f>
        <v>0</v>
      </c>
      <c r="D20" s="137" t="str">
        <f>IFERROR(VLOOKUP(H20,[1]SEMIELABORADOS!$A$2:$M$6000,6,0),"")</f>
        <v/>
      </c>
      <c r="E20" s="138" t="str">
        <f>IFERROR(VLOOKUP(H20,[1]SEMIELABORADOS!$A$2:$H$65536,8,0),"")</f>
        <v/>
      </c>
      <c r="F20" s="138" t="str">
        <f>IFERROR(E20*C20,"")</f>
        <v/>
      </c>
      <c r="G20" s="139" t="str">
        <f t="shared" si="3"/>
        <v/>
      </c>
      <c r="H20" s="140"/>
      <c r="I20" s="140"/>
      <c r="J20" s="141"/>
    </row>
    <row r="21" spans="1:12" ht="13.5" hidden="1">
      <c r="A21" s="136"/>
      <c r="B21" s="124" t="str">
        <f>IFERROR(VLOOKUP(H21,[1]SEMIELABORADOS!$A$2:$M$6000,2,0),"")</f>
        <v/>
      </c>
      <c r="C21" s="137">
        <f>+A21</f>
        <v>0</v>
      </c>
      <c r="D21" s="137" t="str">
        <f>IFERROR(VLOOKUP(H21,[1]SEMIELABORADOS!$A$2:$M$6000,6,0),"")</f>
        <v/>
      </c>
      <c r="E21" s="138" t="str">
        <f>IFERROR(VLOOKUP(H21,[1]SEMIELABORADOS!$A$2:$H$65536,8,0),"")</f>
        <v/>
      </c>
      <c r="F21" s="138" t="str">
        <f>IFERROR(E21*C21,"")</f>
        <v/>
      </c>
      <c r="G21" s="139" t="str">
        <f t="shared" si="3"/>
        <v/>
      </c>
      <c r="H21" s="140"/>
      <c r="I21" s="140"/>
      <c r="J21" s="141"/>
    </row>
    <row r="22" spans="1:12" ht="13.5" hidden="1">
      <c r="A22" s="136"/>
      <c r="B22" s="124" t="str">
        <f>IFERROR(VLOOKUP(H22,[1]SEMIELABORADOS!$A$2:$M$6000,2,0),"")</f>
        <v/>
      </c>
      <c r="C22" s="137">
        <f t="shared" si="4"/>
        <v>0</v>
      </c>
      <c r="D22" s="137" t="str">
        <f>IFERROR(VLOOKUP(H22,[1]SEMIELABORADOS!$A$2:$M$6000,6,0),"")</f>
        <v/>
      </c>
      <c r="E22" s="138" t="str">
        <f>IFERROR(VLOOKUP(H22,[1]SEMIELABORADOS!$A$2:$H$65536,8,0),"")</f>
        <v/>
      </c>
      <c r="F22" s="138" t="str">
        <f t="shared" si="5"/>
        <v/>
      </c>
      <c r="G22" s="139" t="str">
        <f t="shared" si="3"/>
        <v/>
      </c>
      <c r="H22" s="140"/>
      <c r="I22" s="140"/>
      <c r="J22" s="141"/>
    </row>
    <row r="23" spans="1:12" ht="13.5" hidden="1">
      <c r="A23" s="136"/>
      <c r="B23" s="124" t="str">
        <f>IFERROR(VLOOKUP(H23,[1]SEMIELABORADOS!$A$2:$M$6000,2,0),"")</f>
        <v/>
      </c>
      <c r="C23" s="137">
        <f t="shared" si="4"/>
        <v>0</v>
      </c>
      <c r="D23" s="137" t="str">
        <f>IFERROR(VLOOKUP(H23,[1]SEMIELABORADOS!$A$2:$M$6000,6,0),"")</f>
        <v/>
      </c>
      <c r="E23" s="138" t="str">
        <f>IFERROR(VLOOKUP(H23,[1]SEMIELABORADOS!$A$2:$H$65536,8,0),"")</f>
        <v/>
      </c>
      <c r="F23" s="138" t="str">
        <f t="shared" si="5"/>
        <v/>
      </c>
      <c r="G23" s="139" t="str">
        <f t="shared" si="3"/>
        <v/>
      </c>
      <c r="H23" s="140"/>
      <c r="I23" s="140"/>
      <c r="J23" s="141"/>
    </row>
    <row r="24" spans="1:12" ht="13.5" hidden="1">
      <c r="A24" s="136"/>
      <c r="B24" s="124" t="str">
        <f>IFERROR(VLOOKUP(H24,[1]SEMIELABORADOS!$A$2:$M$6000,2,0),"")</f>
        <v/>
      </c>
      <c r="C24" s="137">
        <f t="shared" si="4"/>
        <v>0</v>
      </c>
      <c r="D24" s="137" t="str">
        <f>IFERROR(VLOOKUP(H24,[1]SEMIELABORADOS!$A$2:$M$6000,6,0),"")</f>
        <v/>
      </c>
      <c r="E24" s="138" t="str">
        <f>IFERROR(VLOOKUP(H24,[1]SEMIELABORADOS!$A$2:$H$65536,8,0),"")</f>
        <v/>
      </c>
      <c r="F24" s="138" t="str">
        <f t="shared" si="5"/>
        <v/>
      </c>
      <c r="G24" s="139" t="str">
        <f t="shared" si="3"/>
        <v/>
      </c>
      <c r="H24" s="140"/>
      <c r="I24" s="140"/>
      <c r="J24" s="141"/>
    </row>
    <row r="25" spans="1:12" ht="14.25" hidden="1" thickBot="1">
      <c r="A25" s="136"/>
      <c r="C25" s="137"/>
      <c r="D25" s="137"/>
      <c r="E25" s="138"/>
      <c r="F25" s="138"/>
      <c r="G25" s="139"/>
      <c r="H25" s="140"/>
      <c r="I25" s="140"/>
      <c r="J25" s="141"/>
    </row>
    <row r="26" spans="1:12" ht="26.25" thickBot="1">
      <c r="A26" s="131" t="s">
        <v>87</v>
      </c>
      <c r="B26" s="132" t="s">
        <v>34</v>
      </c>
      <c r="C26" s="132" t="s">
        <v>87</v>
      </c>
      <c r="D26" s="133" t="s">
        <v>89</v>
      </c>
      <c r="E26" s="133" t="s">
        <v>90</v>
      </c>
      <c r="F26" s="133" t="s">
        <v>91</v>
      </c>
      <c r="G26" s="133" t="s">
        <v>92</v>
      </c>
      <c r="H26" s="134" t="s">
        <v>93</v>
      </c>
      <c r="I26" s="135"/>
    </row>
    <row r="27" spans="1:12" ht="13.5">
      <c r="A27" s="136">
        <v>1</v>
      </c>
      <c r="B27" s="142" t="str">
        <f>IFERROR(VLOOKUP(H27,'[1]Consolidado MP Planta'!$A$2:$M$823,3,0),"")</f>
        <v>BOLSA TRANSPARENTE 56X96X1.80 KILO</v>
      </c>
      <c r="C27" s="137">
        <f t="shared" ref="C27:C32" si="6">+A27</f>
        <v>1</v>
      </c>
      <c r="D27" s="138" t="str">
        <f>IFERROR(VLOOKUP(H27,'[1]Consolidado MP Planta'!$A$2:$M$823,13,0),"")</f>
        <v>Und</v>
      </c>
      <c r="E27" s="138">
        <v>50</v>
      </c>
      <c r="F27" s="138">
        <f t="shared" ref="F27:F32" si="7">IFERROR(C27*E27,"")</f>
        <v>50</v>
      </c>
      <c r="G27" s="139">
        <f t="shared" ref="G27:G32" si="8">IFERROR(F27/$F$66,"")</f>
        <v>1.3565465580344183E-2</v>
      </c>
      <c r="H27" s="143" t="s">
        <v>65</v>
      </c>
      <c r="I27" s="143"/>
      <c r="J27" s="141"/>
      <c r="K27" s="314"/>
      <c r="L27" s="314"/>
    </row>
    <row r="28" spans="1:12" ht="13.5">
      <c r="A28" s="136">
        <v>1</v>
      </c>
      <c r="B28" s="142" t="str">
        <f>IFERROR(VLOOKUP(H28,'[1]Consolidado MP Planta'!$A$2:$M$823,3,0),"")</f>
        <v>ETIQUETA BLANCA 2 5/8X1 15/16 (UND)</v>
      </c>
      <c r="C28" s="137">
        <f t="shared" si="6"/>
        <v>1</v>
      </c>
      <c r="D28" s="138" t="str">
        <f>IFERROR(VLOOKUP(H28,'[1]Consolidado MP Planta'!$A$2:$M$823,13,0),"")</f>
        <v>Und</v>
      </c>
      <c r="E28" s="138">
        <v>2.13</v>
      </c>
      <c r="F28" s="138">
        <f t="shared" si="7"/>
        <v>2.13</v>
      </c>
      <c r="G28" s="139">
        <f t="shared" si="8"/>
        <v>5.7788883372266223E-4</v>
      </c>
      <c r="H28" s="143" t="s">
        <v>61</v>
      </c>
      <c r="I28" s="143"/>
      <c r="J28" s="141"/>
      <c r="K28" s="314"/>
      <c r="L28" s="314"/>
    </row>
    <row r="29" spans="1:12" ht="13.5" hidden="1">
      <c r="A29" s="136"/>
      <c r="B29" s="142" t="str">
        <f>IFERROR(VLOOKUP(H29,'[1]Consolidado MP Planta'!$A$2:$M$823,3,0),"")</f>
        <v/>
      </c>
      <c r="C29" s="137">
        <f t="shared" si="6"/>
        <v>0</v>
      </c>
      <c r="D29" s="138" t="str">
        <f>IFERROR(VLOOKUP(H29,'[1]Consolidado MP Planta'!$A$2:$M$823,13,0),"")</f>
        <v/>
      </c>
      <c r="E29" s="138" t="str">
        <f>IFERROR(VLOOKUP(H29,'[1]Consolidado MP Planta'!$A$2:$M$823,12,0),"")</f>
        <v/>
      </c>
      <c r="F29" s="138" t="str">
        <f t="shared" si="7"/>
        <v/>
      </c>
      <c r="G29" s="139" t="str">
        <f t="shared" si="8"/>
        <v/>
      </c>
      <c r="H29" s="143"/>
      <c r="I29" s="143"/>
      <c r="J29" s="141"/>
      <c r="K29" s="314"/>
      <c r="L29" s="314"/>
    </row>
    <row r="30" spans="1:12" ht="13.5" hidden="1">
      <c r="A30" s="136"/>
      <c r="B30" s="142" t="str">
        <f>IFERROR(VLOOKUP(H30,'[1]Consolidado MP Planta'!$A$2:$M$823,3,0),"")</f>
        <v/>
      </c>
      <c r="C30" s="137">
        <f t="shared" si="6"/>
        <v>0</v>
      </c>
      <c r="D30" s="138" t="str">
        <f>IFERROR(VLOOKUP(H30,'[1]Consolidado MP Planta'!$A$2:$M$823,13,0),"")</f>
        <v/>
      </c>
      <c r="E30" s="138" t="str">
        <f>IFERROR(VLOOKUP(H30,'[1]Consolidado MP Planta'!$A$2:$M$823,12,0),"")</f>
        <v/>
      </c>
      <c r="F30" s="138" t="str">
        <f t="shared" si="7"/>
        <v/>
      </c>
      <c r="G30" s="139" t="str">
        <f t="shared" si="8"/>
        <v/>
      </c>
      <c r="H30" s="143"/>
      <c r="I30" s="143"/>
      <c r="J30" s="141"/>
      <c r="K30" s="314"/>
      <c r="L30" s="314"/>
    </row>
    <row r="31" spans="1:12" ht="13.5" hidden="1">
      <c r="A31" s="136"/>
      <c r="B31" s="142" t="str">
        <f>IFERROR(VLOOKUP(H31,'[1]Consolidado MP Planta'!$A$2:$M$823,3,0),"")</f>
        <v/>
      </c>
      <c r="C31" s="137">
        <f t="shared" si="6"/>
        <v>0</v>
      </c>
      <c r="D31" s="138" t="str">
        <f>IFERROR(VLOOKUP(H31,'[1]Consolidado MP Planta'!$A$2:$M$823,13,0),"")</f>
        <v/>
      </c>
      <c r="E31" s="138" t="str">
        <f>IFERROR(VLOOKUP(H31,'[1]Consolidado MP Planta'!$A$2:$M$823,12,0),"")</f>
        <v/>
      </c>
      <c r="F31" s="138" t="str">
        <f t="shared" si="7"/>
        <v/>
      </c>
      <c r="G31" s="139" t="str">
        <f t="shared" si="8"/>
        <v/>
      </c>
      <c r="H31" s="143"/>
      <c r="I31" s="143"/>
      <c r="J31" s="141"/>
      <c r="K31" s="144"/>
      <c r="L31" s="145"/>
    </row>
    <row r="32" spans="1:12" ht="13.5" hidden="1">
      <c r="A32" s="136"/>
      <c r="B32" s="142" t="str">
        <f>IFERROR(VLOOKUP(H32,'[1]Consolidado MP Planta'!$A$2:$M$823,3,0),"")</f>
        <v/>
      </c>
      <c r="C32" s="137">
        <f t="shared" si="6"/>
        <v>0</v>
      </c>
      <c r="D32" s="138" t="str">
        <f>IFERROR(VLOOKUP(H32,'[1]Consolidado MP Planta'!$A$2:$M$823,13,0),"")</f>
        <v/>
      </c>
      <c r="E32" s="138" t="str">
        <f>IFERROR(VLOOKUP(H32,'[1]Consolidado MP Planta'!$A$2:$M$823,12,0),"")</f>
        <v/>
      </c>
      <c r="F32" s="138" t="str">
        <f t="shared" si="7"/>
        <v/>
      </c>
      <c r="G32" s="139" t="str">
        <f t="shared" si="8"/>
        <v/>
      </c>
      <c r="H32" s="143"/>
      <c r="I32" s="143"/>
      <c r="J32" s="141"/>
    </row>
    <row r="33" spans="1:13" ht="14.25" thickBot="1">
      <c r="A33" s="136"/>
      <c r="B33" s="142"/>
      <c r="C33" s="137"/>
      <c r="D33" s="138"/>
      <c r="E33" s="138"/>
      <c r="F33" s="138"/>
      <c r="G33" s="139"/>
      <c r="H33" s="143"/>
      <c r="I33" s="143"/>
      <c r="J33" s="141"/>
    </row>
    <row r="34" spans="1:13" ht="26.25" hidden="1" thickBot="1">
      <c r="A34" s="131" t="s">
        <v>87</v>
      </c>
      <c r="B34" s="132" t="s">
        <v>95</v>
      </c>
      <c r="C34" s="132" t="s">
        <v>87</v>
      </c>
      <c r="D34" s="133" t="s">
        <v>89</v>
      </c>
      <c r="E34" s="133" t="s">
        <v>90</v>
      </c>
      <c r="F34" s="133" t="s">
        <v>91</v>
      </c>
      <c r="G34" s="133" t="s">
        <v>92</v>
      </c>
      <c r="H34" s="134" t="s">
        <v>93</v>
      </c>
      <c r="I34" s="143"/>
      <c r="J34" s="141"/>
    </row>
    <row r="35" spans="1:13" ht="13.5" hidden="1">
      <c r="A35" s="136">
        <f>+A17</f>
        <v>0</v>
      </c>
      <c r="B35" s="142" t="str">
        <f>IFERROR(VLOOKUP(H35,[1]SEMIELABORADOS!$A$2:$M$6000,2,0),"")</f>
        <v/>
      </c>
      <c r="C35" s="137">
        <f>+A35</f>
        <v>0</v>
      </c>
      <c r="D35" s="138" t="str">
        <f>IFERROR(VLOOKUP(H35,[1]SEMIELABORADOS!$A$2:$M$6000,6,0),"")</f>
        <v/>
      </c>
      <c r="E35" s="138" t="str">
        <f>IFERROR(VLOOKUP(H35,[1]SEMIELABORADOS!$A$2:$M$65536,10,0),"")</f>
        <v/>
      </c>
      <c r="F35" s="138" t="str">
        <f>IFERROR(E35*C35,"")</f>
        <v/>
      </c>
      <c r="G35" s="139" t="str">
        <f t="shared" ref="G35:G41" si="9">IFERROR(F35/$F$66,"")</f>
        <v/>
      </c>
      <c r="H35" s="143"/>
      <c r="I35" s="143"/>
      <c r="J35" s="141"/>
    </row>
    <row r="36" spans="1:13" ht="13.5" hidden="1">
      <c r="A36" s="136">
        <f t="shared" ref="A36:A41" si="10">+A18</f>
        <v>0</v>
      </c>
      <c r="B36" s="142" t="str">
        <f>IFERROR(VLOOKUP(H36,[1]SEMIELABORADOS!$A$2:$M$6000,2,0),"")</f>
        <v/>
      </c>
      <c r="C36" s="137">
        <f t="shared" ref="C36:C41" si="11">+A36</f>
        <v>0</v>
      </c>
      <c r="D36" s="138" t="str">
        <f>IFERROR(VLOOKUP(H36,[1]SEMIELABORADOS!$A$2:$M$6000,6,0),"")</f>
        <v/>
      </c>
      <c r="E36" s="138" t="str">
        <f>IFERROR(VLOOKUP(H36,[1]SEMIELABORADOS!$A$2:$M$65536,10,0),"")</f>
        <v/>
      </c>
      <c r="F36" s="138" t="str">
        <f t="shared" ref="F36:F41" si="12">IFERROR(E36*C36,"")</f>
        <v/>
      </c>
      <c r="G36" s="139" t="str">
        <f t="shared" si="9"/>
        <v/>
      </c>
      <c r="H36" s="143"/>
      <c r="I36" s="143"/>
      <c r="J36" s="141"/>
    </row>
    <row r="37" spans="1:13" ht="13.5" hidden="1">
      <c r="A37" s="136">
        <f t="shared" si="10"/>
        <v>0</v>
      </c>
      <c r="B37" s="142" t="str">
        <f>IFERROR(VLOOKUP(H37,[1]SEMIELABORADOS!$A$2:$M$6000,2,0),"")</f>
        <v/>
      </c>
      <c r="C37" s="137">
        <f t="shared" si="11"/>
        <v>0</v>
      </c>
      <c r="D37" s="138" t="str">
        <f>IFERROR(VLOOKUP(H37,[1]SEMIELABORADOS!$A$2:$M$6000,6,0),"")</f>
        <v/>
      </c>
      <c r="E37" s="138" t="str">
        <f>IFERROR(VLOOKUP(H37,[1]SEMIELABORADOS!$A$2:$M$65536,10,0),"")</f>
        <v/>
      </c>
      <c r="F37" s="138" t="str">
        <f t="shared" si="12"/>
        <v/>
      </c>
      <c r="G37" s="139" t="str">
        <f t="shared" si="9"/>
        <v/>
      </c>
      <c r="H37" s="143"/>
      <c r="I37" s="143"/>
      <c r="J37" s="141"/>
    </row>
    <row r="38" spans="1:13" ht="13.5" hidden="1">
      <c r="A38" s="136">
        <f t="shared" si="10"/>
        <v>0</v>
      </c>
      <c r="B38" s="142" t="str">
        <f>IFERROR(VLOOKUP(H38,[1]SEMIELABORADOS!$A$2:$M$6000,2,0),"")</f>
        <v/>
      </c>
      <c r="C38" s="137">
        <f>+A38</f>
        <v>0</v>
      </c>
      <c r="D38" s="138" t="str">
        <f>IFERROR(VLOOKUP(H38,[1]SEMIELABORADOS!$A$2:$M$6000,6,0),"")</f>
        <v/>
      </c>
      <c r="E38" s="138" t="str">
        <f>IFERROR(VLOOKUP(H38,[1]SEMIELABORADOS!$A$2:$M$65536,10,0),"")</f>
        <v/>
      </c>
      <c r="F38" s="138" t="str">
        <f>IFERROR(E38*C38,"")</f>
        <v/>
      </c>
      <c r="G38" s="139" t="str">
        <f t="shared" si="9"/>
        <v/>
      </c>
      <c r="H38" s="143"/>
      <c r="I38" s="143"/>
      <c r="J38" s="141"/>
    </row>
    <row r="39" spans="1:13" ht="13.5" hidden="1">
      <c r="A39" s="136">
        <f t="shared" si="10"/>
        <v>0</v>
      </c>
      <c r="B39" s="142" t="str">
        <f>IFERROR(VLOOKUP(H39,[1]SEMIELABORADOS!$A$2:$M$6000,2,0),"")</f>
        <v/>
      </c>
      <c r="C39" s="137">
        <f>+A39</f>
        <v>0</v>
      </c>
      <c r="D39" s="138" t="str">
        <f>IFERROR(VLOOKUP(H39,[1]SEMIELABORADOS!$A$2:$M$6000,6,0),"")</f>
        <v/>
      </c>
      <c r="E39" s="138" t="str">
        <f>IFERROR(VLOOKUP(H39,[1]SEMIELABORADOS!$A$2:$M$65536,10,0),"")</f>
        <v/>
      </c>
      <c r="F39" s="138" t="str">
        <f>IFERROR(E39*C39,"")</f>
        <v/>
      </c>
      <c r="G39" s="139" t="str">
        <f t="shared" si="9"/>
        <v/>
      </c>
      <c r="H39" s="143"/>
      <c r="I39" s="143"/>
      <c r="J39" s="141"/>
    </row>
    <row r="40" spans="1:13" ht="13.5" hidden="1">
      <c r="A40" s="136">
        <f t="shared" si="10"/>
        <v>0</v>
      </c>
      <c r="B40" s="142" t="str">
        <f>IFERROR(VLOOKUP(H40,[1]SEMIELABORADOS!$A$2:$M$6000,2,0),"")</f>
        <v/>
      </c>
      <c r="C40" s="137">
        <f t="shared" si="11"/>
        <v>0</v>
      </c>
      <c r="D40" s="138" t="str">
        <f>IFERROR(VLOOKUP(H40,[1]SEMIELABORADOS!$A$2:$M$6000,6,0),"")</f>
        <v/>
      </c>
      <c r="E40" s="138" t="str">
        <f>IFERROR(VLOOKUP(H40,[1]SEMIELABORADOS!$A$2:$M$65536,10,0),"")</f>
        <v/>
      </c>
      <c r="F40" s="138" t="str">
        <f t="shared" si="12"/>
        <v/>
      </c>
      <c r="G40" s="139" t="str">
        <f t="shared" si="9"/>
        <v/>
      </c>
      <c r="H40" s="143"/>
      <c r="I40" s="143"/>
      <c r="J40" s="141"/>
    </row>
    <row r="41" spans="1:13" ht="13.5" hidden="1">
      <c r="A41" s="136">
        <f t="shared" si="10"/>
        <v>0</v>
      </c>
      <c r="B41" s="142" t="str">
        <f>IFERROR(VLOOKUP(H41,[1]SEMIELABORADOS!$A$2:$M$6000,2,0),"")</f>
        <v/>
      </c>
      <c r="C41" s="137">
        <f t="shared" si="11"/>
        <v>0</v>
      </c>
      <c r="D41" s="138" t="str">
        <f>IFERROR(VLOOKUP(H41,[1]SEMIELABORADOS!$A$2:$M$6000,6,0),"")</f>
        <v/>
      </c>
      <c r="E41" s="138" t="str">
        <f>IFERROR(VLOOKUP(H41,[1]SEMIELABORADOS!$A$2:$M$65536,10,0),"")</f>
        <v/>
      </c>
      <c r="F41" s="138" t="str">
        <f t="shared" si="12"/>
        <v/>
      </c>
      <c r="G41" s="139" t="str">
        <f t="shared" si="9"/>
        <v/>
      </c>
      <c r="H41" s="143"/>
      <c r="I41" s="143"/>
      <c r="J41" s="141"/>
    </row>
    <row r="42" spans="1:13" ht="14.25" hidden="1" thickBot="1">
      <c r="A42" s="136"/>
      <c r="B42" s="142"/>
      <c r="C42" s="137"/>
      <c r="D42" s="138"/>
      <c r="E42" s="138"/>
      <c r="F42" s="138"/>
      <c r="G42" s="139"/>
      <c r="H42" s="143"/>
      <c r="I42" s="143"/>
      <c r="J42" s="141"/>
    </row>
    <row r="43" spans="1:13" ht="26.25" thickBot="1">
      <c r="A43" s="131" t="s">
        <v>87</v>
      </c>
      <c r="B43" s="132" t="s">
        <v>96</v>
      </c>
      <c r="C43" s="132" t="s">
        <v>87</v>
      </c>
      <c r="D43" s="133" t="s">
        <v>89</v>
      </c>
      <c r="E43" s="133" t="s">
        <v>90</v>
      </c>
      <c r="F43" s="133" t="s">
        <v>91</v>
      </c>
      <c r="G43" s="133" t="s">
        <v>92</v>
      </c>
      <c r="H43" s="134" t="s">
        <v>93</v>
      </c>
      <c r="I43" s="135"/>
      <c r="J43" s="141"/>
    </row>
    <row r="44" spans="1:13" ht="13.5" hidden="1">
      <c r="A44" s="136">
        <f>+A35</f>
        <v>0</v>
      </c>
      <c r="B44" s="142" t="str">
        <f>IFERROR(VLOOKUP(H44,[1]SEMIELABORADOS!$A$2:$M$6000,2,0),"")</f>
        <v/>
      </c>
      <c r="C44" s="137">
        <f>+A44</f>
        <v>0</v>
      </c>
      <c r="D44" s="138" t="str">
        <f>IFERROR(VLOOKUP(H44,[1]SEMIELABORADOS!$A$2:$M$6000,6,0),"")</f>
        <v/>
      </c>
      <c r="E44" s="138" t="str">
        <f>IFERROR(VLOOKUP(H44,[1]SEMIELABORADOS!$A$2:$M$65536,12,0),"")</f>
        <v/>
      </c>
      <c r="F44" s="138" t="str">
        <f>IFERROR(E44*C44,"")</f>
        <v/>
      </c>
      <c r="G44" s="139" t="str">
        <f>IFERROR(F44/$F$66,"")</f>
        <v/>
      </c>
      <c r="H44" s="143"/>
      <c r="I44" s="135"/>
      <c r="J44" s="141"/>
    </row>
    <row r="45" spans="1:13" ht="13.5" hidden="1">
      <c r="A45" s="136">
        <f t="shared" ref="A45:A50" si="13">+A36</f>
        <v>0</v>
      </c>
      <c r="B45" s="142" t="str">
        <f>IFERROR(VLOOKUP(H45,[1]SEMIELABORADOS!$A$2:$M$6000,2,0),"")</f>
        <v/>
      </c>
      <c r="C45" s="137">
        <f t="shared" ref="C45:C50" si="14">+A45</f>
        <v>0</v>
      </c>
      <c r="D45" s="138" t="str">
        <f>IFERROR(VLOOKUP(H45,[1]SEMIELABORADOS!$A$2:$M$6000,6,0),"")</f>
        <v/>
      </c>
      <c r="E45" s="138" t="str">
        <f>IFERROR(VLOOKUP(H45,[1]SEMIELABORADOS!$A$2:$M$65536,12,0),"")</f>
        <v/>
      </c>
      <c r="F45" s="138" t="str">
        <f t="shared" ref="F45:F50" si="15">IFERROR(E45*C45,"")</f>
        <v/>
      </c>
      <c r="G45" s="139" t="str">
        <f t="shared" ref="G45:G50" si="16">IFERROR(F45/$F$66,"")</f>
        <v/>
      </c>
      <c r="H45" s="143"/>
      <c r="I45" s="135"/>
      <c r="J45" s="141"/>
      <c r="M45" s="146"/>
    </row>
    <row r="46" spans="1:13" ht="13.5" hidden="1">
      <c r="A46" s="136">
        <f t="shared" si="13"/>
        <v>0</v>
      </c>
      <c r="B46" s="142" t="str">
        <f>IFERROR(VLOOKUP(H46,[1]SEMIELABORADOS!$A$2:$M$6000,2,0),"")</f>
        <v/>
      </c>
      <c r="C46" s="137">
        <f t="shared" si="14"/>
        <v>0</v>
      </c>
      <c r="D46" s="138" t="str">
        <f>IFERROR(VLOOKUP(H46,[1]SEMIELABORADOS!$A$2:$M$6000,6,0),"")</f>
        <v/>
      </c>
      <c r="E46" s="138" t="str">
        <f>IFERROR(VLOOKUP(H46,[1]SEMIELABORADOS!$A$2:$M$65536,12,0),"")</f>
        <v/>
      </c>
      <c r="F46" s="138" t="str">
        <f t="shared" si="15"/>
        <v/>
      </c>
      <c r="G46" s="139" t="str">
        <f t="shared" si="16"/>
        <v/>
      </c>
      <c r="H46" s="143"/>
      <c r="I46" s="135"/>
      <c r="J46" s="141"/>
    </row>
    <row r="47" spans="1:13" ht="13.5" hidden="1">
      <c r="A47" s="136">
        <f t="shared" si="13"/>
        <v>0</v>
      </c>
      <c r="B47" s="142" t="str">
        <f>IFERROR(VLOOKUP(H47,[1]SEMIELABORADOS!$A$2:$M$6000,2,0),"")</f>
        <v/>
      </c>
      <c r="C47" s="137">
        <f t="shared" si="14"/>
        <v>0</v>
      </c>
      <c r="D47" s="138" t="str">
        <f>IFERROR(VLOOKUP(H47,[1]SEMIELABORADOS!$A$2:$M$6000,6,0),"")</f>
        <v/>
      </c>
      <c r="E47" s="138" t="str">
        <f>IFERROR(VLOOKUP(H47,[1]SEMIELABORADOS!$A$2:$M$65536,12,0),"")</f>
        <v/>
      </c>
      <c r="F47" s="138" t="str">
        <f t="shared" si="15"/>
        <v/>
      </c>
      <c r="G47" s="139" t="str">
        <f t="shared" si="16"/>
        <v/>
      </c>
      <c r="H47" s="143"/>
      <c r="I47" s="135"/>
      <c r="J47" s="141"/>
    </row>
    <row r="48" spans="1:13" ht="13.5" hidden="1">
      <c r="A48" s="136">
        <f t="shared" si="13"/>
        <v>0</v>
      </c>
      <c r="B48" s="142" t="str">
        <f>IFERROR(VLOOKUP(H48,[1]SEMIELABORADOS!$A$2:$M$6000,2,0),"")</f>
        <v/>
      </c>
      <c r="C48" s="137">
        <f t="shared" si="14"/>
        <v>0</v>
      </c>
      <c r="D48" s="138" t="str">
        <f>IFERROR(VLOOKUP(H48,[1]SEMIELABORADOS!$A$2:$M$6000,6,0),"")</f>
        <v/>
      </c>
      <c r="E48" s="138" t="str">
        <f>IFERROR(VLOOKUP(H48,[1]SEMIELABORADOS!$A$2:$M$65536,12,0),"")</f>
        <v/>
      </c>
      <c r="F48" s="138" t="str">
        <f t="shared" si="15"/>
        <v/>
      </c>
      <c r="G48" s="139" t="str">
        <f t="shared" si="16"/>
        <v/>
      </c>
      <c r="H48" s="143"/>
      <c r="I48" s="135"/>
      <c r="J48" s="141"/>
    </row>
    <row r="49" spans="1:17" ht="13.5" hidden="1">
      <c r="A49" s="136">
        <f t="shared" si="13"/>
        <v>0</v>
      </c>
      <c r="B49" s="142" t="str">
        <f>IFERROR(VLOOKUP(H49,[1]SEMIELABORADOS!$A$2:$M$6000,2,0),"")</f>
        <v/>
      </c>
      <c r="C49" s="137">
        <f t="shared" si="14"/>
        <v>0</v>
      </c>
      <c r="D49" s="138" t="str">
        <f>IFERROR(VLOOKUP(H49,[1]SEMIELABORADOS!$A$2:$M$6000,6,0),"")</f>
        <v/>
      </c>
      <c r="E49" s="138" t="str">
        <f>IFERROR(VLOOKUP(H49,[1]SEMIELABORADOS!$A$2:$M$65536,12,0),"")</f>
        <v/>
      </c>
      <c r="F49" s="138" t="str">
        <f t="shared" si="15"/>
        <v/>
      </c>
      <c r="G49" s="139" t="str">
        <f t="shared" si="16"/>
        <v/>
      </c>
      <c r="H49" s="143"/>
      <c r="I49" s="135"/>
      <c r="J49" s="141"/>
    </row>
    <row r="50" spans="1:17" ht="13.5" hidden="1">
      <c r="A50" s="136">
        <f t="shared" si="13"/>
        <v>0</v>
      </c>
      <c r="B50" s="142" t="str">
        <f>IFERROR(VLOOKUP(H50,[1]SEMIELABORADOS!$A$2:$M$6000,2,0),"")</f>
        <v/>
      </c>
      <c r="C50" s="137">
        <f t="shared" si="14"/>
        <v>0</v>
      </c>
      <c r="D50" s="138" t="str">
        <f>IFERROR(VLOOKUP(H50,[1]SEMIELABORADOS!$A$2:$M$6000,6,0),"")</f>
        <v/>
      </c>
      <c r="E50" s="138" t="str">
        <f>IFERROR(VLOOKUP(H50,[1]SEMIELABORADOS!$A$2:$M$65536,12,0),"")</f>
        <v/>
      </c>
      <c r="F50" s="138" t="str">
        <f t="shared" si="15"/>
        <v/>
      </c>
      <c r="G50" s="139" t="str">
        <f t="shared" si="16"/>
        <v/>
      </c>
      <c r="H50" s="142"/>
      <c r="I50" s="135"/>
      <c r="J50" s="141"/>
    </row>
    <row r="51" spans="1:17" ht="13.5">
      <c r="A51" s="136">
        <v>1</v>
      </c>
      <c r="B51" s="142" t="s">
        <v>97</v>
      </c>
      <c r="C51" s="137">
        <f>+A51</f>
        <v>1</v>
      </c>
      <c r="D51" s="137" t="s">
        <v>98</v>
      </c>
      <c r="E51" s="138">
        <f>+F65</f>
        <v>385</v>
      </c>
      <c r="F51" s="138">
        <f>IFERROR(C51*E51,"")</f>
        <v>385</v>
      </c>
      <c r="G51" s="139">
        <f>IFERROR(F51/$F$66,"")</f>
        <v>0.1044540849686502</v>
      </c>
      <c r="H51" s="147"/>
      <c r="I51" s="147"/>
      <c r="J51" s="141"/>
    </row>
    <row r="52" spans="1:17" ht="14.25" thickBot="1">
      <c r="A52" s="136"/>
      <c r="B52" s="142"/>
      <c r="C52" s="137"/>
      <c r="D52" s="137"/>
      <c r="E52" s="138"/>
      <c r="F52" s="138"/>
      <c r="G52" s="139"/>
      <c r="H52" s="147"/>
      <c r="I52" s="147"/>
      <c r="J52" s="141"/>
    </row>
    <row r="53" spans="1:17" ht="13.5" thickBot="1">
      <c r="A53" s="148"/>
      <c r="B53" s="315" t="s">
        <v>99</v>
      </c>
      <c r="C53" s="315"/>
      <c r="D53" s="315"/>
      <c r="E53" s="315"/>
      <c r="F53" s="150">
        <f>SUM(F8:F14,F17:F24)</f>
        <v>3185</v>
      </c>
      <c r="G53" s="139">
        <f>+F53/$F$66</f>
        <v>0.86412015746792448</v>
      </c>
      <c r="H53" s="151">
        <f>+F53/$D$60</f>
        <v>3185</v>
      </c>
      <c r="I53" s="151"/>
      <c r="J53" s="152"/>
      <c r="K53" s="153"/>
      <c r="L53" s="153"/>
      <c r="M53" s="153"/>
      <c r="N53" s="153"/>
      <c r="O53" s="153"/>
      <c r="P53" s="153"/>
      <c r="Q53" s="154"/>
    </row>
    <row r="54" spans="1:17">
      <c r="A54" s="148"/>
      <c r="B54" s="315" t="s">
        <v>100</v>
      </c>
      <c r="C54" s="315"/>
      <c r="D54" s="315"/>
      <c r="E54" s="315"/>
      <c r="F54" s="150">
        <f>SUM(F27:F32,F35:F41)</f>
        <v>52.13</v>
      </c>
      <c r="G54" s="139">
        <f>+F54/$F$66</f>
        <v>1.4143354414066845E-2</v>
      </c>
      <c r="H54" s="151">
        <f>+F54/$D$60</f>
        <v>52.13</v>
      </c>
      <c r="I54" s="151"/>
      <c r="J54" s="155"/>
      <c r="K54" s="316" t="s">
        <v>101</v>
      </c>
      <c r="L54" s="317"/>
      <c r="M54" s="317"/>
      <c r="N54" s="317"/>
      <c r="O54" s="156">
        <f>+F55</f>
        <v>3237.13</v>
      </c>
      <c r="P54" s="156"/>
      <c r="Q54" s="157"/>
    </row>
    <row r="55" spans="1:17">
      <c r="A55" s="148"/>
      <c r="B55" s="315" t="s">
        <v>102</v>
      </c>
      <c r="C55" s="315"/>
      <c r="D55" s="315"/>
      <c r="E55" s="315"/>
      <c r="F55" s="150">
        <f>+F53+F54</f>
        <v>3237.13</v>
      </c>
      <c r="G55" s="139">
        <f>+F55/$F$66</f>
        <v>0.87826351188199137</v>
      </c>
      <c r="H55" s="151">
        <f>+F55/$D$60</f>
        <v>3237.13</v>
      </c>
      <c r="I55" s="151"/>
      <c r="J55" s="158"/>
      <c r="K55" s="159"/>
      <c r="M55" s="160" t="s">
        <v>103</v>
      </c>
      <c r="N55" s="161"/>
      <c r="O55" s="156">
        <f>+H56</f>
        <v>385</v>
      </c>
      <c r="P55" s="156"/>
      <c r="Q55" s="157"/>
    </row>
    <row r="56" spans="1:17" ht="13.5" thickBot="1">
      <c r="A56" s="148"/>
      <c r="B56" s="149"/>
      <c r="C56" s="315" t="s">
        <v>104</v>
      </c>
      <c r="D56" s="315"/>
      <c r="E56" s="315"/>
      <c r="F56" s="150">
        <f>SUM(F44:F51)</f>
        <v>385</v>
      </c>
      <c r="G56" s="139">
        <f>+F56/$F$66</f>
        <v>0.1044540849686502</v>
      </c>
      <c r="H56" s="151">
        <f>+F56/$D$60</f>
        <v>385</v>
      </c>
      <c r="I56" s="151"/>
      <c r="J56" s="158"/>
      <c r="K56" s="159"/>
      <c r="L56" s="159"/>
      <c r="M56" s="159" t="s">
        <v>105</v>
      </c>
      <c r="N56" s="162"/>
      <c r="O56" s="156">
        <f>O54*N56</f>
        <v>0</v>
      </c>
      <c r="P56" s="156"/>
      <c r="Q56" s="157"/>
    </row>
    <row r="57" spans="1:17" ht="13.5" thickBot="1">
      <c r="A57" s="148"/>
      <c r="B57" s="163"/>
      <c r="C57" s="163"/>
      <c r="D57" s="163"/>
      <c r="E57" s="163"/>
      <c r="F57" s="164"/>
      <c r="G57" s="139"/>
      <c r="H57" s="165"/>
      <c r="I57" s="151"/>
      <c r="J57" s="158"/>
      <c r="K57" s="166"/>
      <c r="M57" s="167" t="s">
        <v>106</v>
      </c>
      <c r="N57" s="168"/>
      <c r="O57" s="169">
        <f>SUM(O54:O56)</f>
        <v>3622.13</v>
      </c>
      <c r="P57" s="170"/>
      <c r="Q57" s="157"/>
    </row>
    <row r="58" spans="1:17">
      <c r="B58" s="318" t="s">
        <v>107</v>
      </c>
      <c r="C58" s="318"/>
      <c r="D58" s="171">
        <v>175</v>
      </c>
      <c r="E58" s="172"/>
      <c r="G58" s="139"/>
      <c r="H58" s="165">
        <f>+H56/77</f>
        <v>5</v>
      </c>
      <c r="I58" s="173"/>
      <c r="J58" s="158"/>
      <c r="K58" s="166"/>
      <c r="L58" s="159"/>
      <c r="M58" s="159" t="s">
        <v>108</v>
      </c>
      <c r="N58" s="174"/>
      <c r="O58" s="156">
        <f>+H59</f>
        <v>415</v>
      </c>
      <c r="P58" s="156"/>
      <c r="Q58" s="157"/>
    </row>
    <row r="59" spans="1:17">
      <c r="B59" s="318" t="s">
        <v>109</v>
      </c>
      <c r="C59" s="318"/>
      <c r="D59" s="175">
        <v>175</v>
      </c>
      <c r="E59" s="172"/>
      <c r="G59" s="139"/>
      <c r="H59" s="165">
        <f>+H58*83</f>
        <v>415</v>
      </c>
      <c r="I59" s="173"/>
      <c r="J59" s="158"/>
      <c r="K59" s="166"/>
      <c r="L59" s="159"/>
      <c r="M59" s="319" t="s">
        <v>106</v>
      </c>
      <c r="N59" s="319"/>
      <c r="O59" s="156">
        <f>SUM(O57:O58)</f>
        <v>4037.13</v>
      </c>
      <c r="P59" s="156"/>
      <c r="Q59" s="157"/>
    </row>
    <row r="60" spans="1:17" ht="13.5" thickBot="1">
      <c r="B60" s="310" t="s">
        <v>110</v>
      </c>
      <c r="C60" s="310"/>
      <c r="D60" s="171">
        <f>+D58/D59</f>
        <v>1</v>
      </c>
      <c r="E60" s="172"/>
      <c r="F60" s="176"/>
      <c r="G60" s="139"/>
      <c r="H60" s="165"/>
      <c r="I60" s="173"/>
      <c r="J60" s="158"/>
      <c r="K60" s="166"/>
      <c r="L60" s="319"/>
      <c r="M60" s="319"/>
      <c r="N60" s="174"/>
      <c r="O60" s="156">
        <f>+O59*N60</f>
        <v>0</v>
      </c>
      <c r="P60" s="156"/>
      <c r="Q60" s="157"/>
    </row>
    <row r="61" spans="1:17" ht="13.5" thickBot="1">
      <c r="B61" s="310" t="s">
        <v>111</v>
      </c>
      <c r="C61" s="310"/>
      <c r="D61" s="177"/>
      <c r="E61" s="172"/>
      <c r="F61" s="176"/>
      <c r="G61" s="139"/>
      <c r="H61" s="165"/>
      <c r="I61" s="173"/>
      <c r="J61" s="158"/>
      <c r="K61" s="311" t="s">
        <v>112</v>
      </c>
      <c r="L61" s="312"/>
      <c r="M61" s="312"/>
      <c r="N61" s="313"/>
      <c r="O61" s="169">
        <f>SUM(O59:O60)</f>
        <v>4037.13</v>
      </c>
      <c r="P61" s="178" t="s">
        <v>113</v>
      </c>
      <c r="Q61" s="157"/>
    </row>
    <row r="62" spans="1:17" ht="13.5" thickBot="1">
      <c r="C62" s="148" t="s">
        <v>114</v>
      </c>
      <c r="D62" s="179"/>
      <c r="E62" s="122" t="s">
        <v>115</v>
      </c>
      <c r="F62" s="180" t="s">
        <v>116</v>
      </c>
      <c r="G62" s="139"/>
      <c r="H62" s="165"/>
      <c r="I62" s="173"/>
      <c r="J62" s="181"/>
      <c r="K62" s="182"/>
      <c r="L62" s="299" t="s">
        <v>117</v>
      </c>
      <c r="M62" s="299"/>
      <c r="N62" s="299"/>
      <c r="O62" s="183">
        <f>+O61/D60</f>
        <v>4037.13</v>
      </c>
      <c r="P62" s="184">
        <f>+O62/D59</f>
        <v>23.069314285714288</v>
      </c>
      <c r="Q62" s="185"/>
    </row>
    <row r="63" spans="1:17" ht="13.5" thickBot="1">
      <c r="B63" s="300" t="s">
        <v>102</v>
      </c>
      <c r="C63" s="300"/>
      <c r="D63" s="300"/>
      <c r="E63" s="186">
        <f>+F63/F63</f>
        <v>1</v>
      </c>
      <c r="F63" s="187">
        <f>SUM(F55)</f>
        <v>3237.13</v>
      </c>
      <c r="G63" s="139">
        <f>+F63/$F$66</f>
        <v>0.87826351188199137</v>
      </c>
      <c r="H63" s="165"/>
      <c r="I63" s="173"/>
      <c r="K63" s="301"/>
      <c r="L63" s="302"/>
      <c r="M63" s="302"/>
      <c r="N63" s="302"/>
      <c r="O63" s="188"/>
      <c r="P63" s="189"/>
    </row>
    <row r="64" spans="1:17" ht="13.5" thickBot="1">
      <c r="B64" s="303" t="s">
        <v>118</v>
      </c>
      <c r="C64" s="303"/>
      <c r="D64" s="303"/>
      <c r="E64" s="190">
        <v>0.02</v>
      </c>
      <c r="F64" s="187">
        <f>+F53*E64</f>
        <v>63.7</v>
      </c>
      <c r="G64" s="139">
        <f>+F64/$F$66</f>
        <v>1.7282403149358489E-2</v>
      </c>
      <c r="H64" s="151"/>
      <c r="I64" s="173"/>
      <c r="J64" s="191"/>
      <c r="O64" s="192"/>
      <c r="P64" s="149"/>
    </row>
    <row r="65" spans="2:13" ht="13.5" thickBot="1">
      <c r="B65" s="304" t="s">
        <v>119</v>
      </c>
      <c r="C65" s="305"/>
      <c r="D65" s="193">
        <v>5</v>
      </c>
      <c r="E65" s="194">
        <v>77</v>
      </c>
      <c r="F65" s="187">
        <f>+E65*D65</f>
        <v>385</v>
      </c>
      <c r="G65" s="139">
        <f>+F65/$F$66</f>
        <v>0.1044540849686502</v>
      </c>
      <c r="H65" s="151"/>
      <c r="I65" s="151"/>
      <c r="J65" s="141"/>
    </row>
    <row r="66" spans="2:13" ht="13.5" thickBot="1">
      <c r="B66" s="306" t="s">
        <v>120</v>
      </c>
      <c r="C66" s="307"/>
      <c r="D66" s="307"/>
      <c r="E66" s="308"/>
      <c r="F66" s="164">
        <f>SUM(F63:F65)</f>
        <v>3685.83</v>
      </c>
      <c r="G66" s="139">
        <f>+F66/$F$66</f>
        <v>1</v>
      </c>
      <c r="H66" s="309"/>
      <c r="I66" s="151"/>
      <c r="J66" s="141"/>
      <c r="M66" s="124" t="s">
        <v>121</v>
      </c>
    </row>
    <row r="67" spans="2:13">
      <c r="C67" s="146"/>
      <c r="D67" s="146"/>
      <c r="E67" s="196"/>
      <c r="F67" s="187"/>
      <c r="G67" s="139"/>
      <c r="H67" s="309"/>
      <c r="I67" s="195"/>
      <c r="J67" s="124"/>
      <c r="M67" s="124" t="s">
        <v>122</v>
      </c>
    </row>
    <row r="68" spans="2:13" ht="13.5" thickBot="1">
      <c r="B68" s="294" t="s">
        <v>123</v>
      </c>
      <c r="C68" s="294"/>
      <c r="D68" s="294"/>
      <c r="E68" s="294"/>
      <c r="F68" s="294"/>
      <c r="G68" s="139"/>
      <c r="H68" s="198"/>
      <c r="I68" s="195"/>
      <c r="J68" s="124"/>
      <c r="M68" s="124" t="s">
        <v>124</v>
      </c>
    </row>
    <row r="69" spans="2:13" ht="13.5" thickBot="1">
      <c r="B69" s="199" t="s">
        <v>125</v>
      </c>
      <c r="C69" s="200">
        <f>+F53</f>
        <v>3185</v>
      </c>
      <c r="D69" s="200">
        <f>+D58</f>
        <v>175</v>
      </c>
      <c r="E69" s="201">
        <f>+C69/D69</f>
        <v>18.2</v>
      </c>
      <c r="F69" s="139"/>
      <c r="G69" s="198"/>
      <c r="H69" s="141"/>
      <c r="I69" s="198"/>
      <c r="J69" s="124"/>
    </row>
    <row r="70" spans="2:13">
      <c r="B70" s="202"/>
      <c r="C70" s="203"/>
      <c r="D70" s="204"/>
      <c r="E70" s="187"/>
      <c r="F70" s="139"/>
      <c r="G70" s="198"/>
      <c r="H70" s="141"/>
      <c r="I70" s="141"/>
      <c r="J70" s="124"/>
    </row>
    <row r="71" spans="2:13">
      <c r="B71" s="199" t="s">
        <v>126</v>
      </c>
      <c r="C71" s="200">
        <f>SUM(F63:F64)</f>
        <v>3300.83</v>
      </c>
      <c r="D71" s="200">
        <f>+D58</f>
        <v>175</v>
      </c>
      <c r="E71" s="205">
        <f>+C71/D71</f>
        <v>18.861885714285712</v>
      </c>
      <c r="F71" s="139"/>
      <c r="G71" s="198"/>
      <c r="H71" s="141"/>
      <c r="I71" s="141"/>
      <c r="J71" s="124"/>
    </row>
    <row r="72" spans="2:13">
      <c r="B72" s="199"/>
      <c r="C72" s="200"/>
      <c r="D72" s="200"/>
      <c r="E72" s="205"/>
      <c r="F72" s="139"/>
      <c r="G72" s="198"/>
      <c r="H72" s="141"/>
      <c r="I72" s="141"/>
      <c r="J72" s="124"/>
    </row>
    <row r="73" spans="2:13" ht="13.5" thickBot="1">
      <c r="B73" s="199" t="s">
        <v>127</v>
      </c>
      <c r="C73" s="200">
        <f>+F65</f>
        <v>385</v>
      </c>
      <c r="D73" s="200">
        <f>+D58</f>
        <v>175</v>
      </c>
      <c r="E73" s="205">
        <f>+C73/D73</f>
        <v>2.2000000000000002</v>
      </c>
      <c r="F73" s="139"/>
      <c r="G73" s="198"/>
      <c r="H73" s="141"/>
      <c r="I73" s="141"/>
      <c r="J73" s="124"/>
    </row>
    <row r="74" spans="2:13" ht="13.5" thickBot="1">
      <c r="B74" s="199" t="s">
        <v>128</v>
      </c>
      <c r="C74" s="200">
        <f>+F56</f>
        <v>385</v>
      </c>
      <c r="D74" s="200">
        <f>+D73</f>
        <v>175</v>
      </c>
      <c r="E74" s="201">
        <f>+C74/D74</f>
        <v>2.2000000000000002</v>
      </c>
      <c r="F74" s="139"/>
      <c r="G74" s="198"/>
      <c r="H74" s="141"/>
      <c r="I74" s="141"/>
      <c r="J74" s="124"/>
    </row>
    <row r="75" spans="2:13" ht="13.5" thickBot="1">
      <c r="B75" s="163"/>
      <c r="C75" s="164"/>
      <c r="D75" s="164"/>
      <c r="E75" s="205"/>
      <c r="F75" s="139"/>
      <c r="G75" s="198"/>
      <c r="H75" s="141"/>
      <c r="I75" s="141"/>
      <c r="J75" s="124"/>
    </row>
    <row r="76" spans="2:13" ht="13.5" thickBot="1">
      <c r="B76" s="199" t="s">
        <v>129</v>
      </c>
      <c r="C76" s="200">
        <f>+F54</f>
        <v>52.13</v>
      </c>
      <c r="D76" s="200">
        <f>+D74</f>
        <v>175</v>
      </c>
      <c r="E76" s="201">
        <f>+C76/D76</f>
        <v>0.29788571428571431</v>
      </c>
      <c r="F76" s="139"/>
      <c r="G76" s="198"/>
      <c r="H76" s="141"/>
      <c r="I76" s="141"/>
      <c r="J76" s="141"/>
    </row>
    <row r="77" spans="2:13" ht="13.5" thickBot="1">
      <c r="B77" s="163"/>
      <c r="C77" s="164"/>
      <c r="D77" s="164"/>
      <c r="E77" s="205"/>
      <c r="F77" s="139"/>
      <c r="G77" s="198"/>
      <c r="H77" s="141"/>
      <c r="I77" s="141"/>
    </row>
    <row r="78" spans="2:13" ht="13.5" thickBot="1">
      <c r="B78" s="295" t="s">
        <v>130</v>
      </c>
      <c r="C78" s="296"/>
      <c r="D78" s="297"/>
      <c r="E78" s="201">
        <f>+E69+E74</f>
        <v>20.399999999999999</v>
      </c>
      <c r="G78" s="139"/>
      <c r="H78" s="198"/>
      <c r="I78" s="141"/>
      <c r="J78" s="205"/>
    </row>
    <row r="79" spans="2:13">
      <c r="I79" s="198"/>
      <c r="J79" s="124"/>
    </row>
    <row r="80" spans="2:13" ht="13.5" thickBot="1">
      <c r="B80" s="294" t="s">
        <v>131</v>
      </c>
      <c r="C80" s="294"/>
      <c r="D80" s="294"/>
      <c r="E80" s="294"/>
      <c r="F80" s="294"/>
      <c r="G80" s="139"/>
      <c r="H80" s="198"/>
      <c r="J80" s="124"/>
    </row>
    <row r="81" spans="1:10" ht="13.5" thickBot="1">
      <c r="B81" s="199" t="s">
        <v>125</v>
      </c>
      <c r="C81" s="200">
        <f>+C69</f>
        <v>3185</v>
      </c>
      <c r="D81" s="200">
        <f>+D60</f>
        <v>1</v>
      </c>
      <c r="E81" s="201">
        <f>+C81/D81</f>
        <v>3185</v>
      </c>
      <c r="F81" s="139"/>
      <c r="G81" s="198"/>
      <c r="H81" s="141"/>
      <c r="I81" s="198"/>
      <c r="J81" s="124"/>
    </row>
    <row r="82" spans="1:10">
      <c r="B82" s="202"/>
      <c r="C82" s="203"/>
      <c r="D82" s="204"/>
      <c r="E82" s="187"/>
      <c r="F82" s="139"/>
      <c r="G82" s="198"/>
      <c r="H82" s="141"/>
      <c r="I82" s="141"/>
      <c r="J82" s="124"/>
    </row>
    <row r="83" spans="1:10">
      <c r="B83" s="199" t="s">
        <v>126</v>
      </c>
      <c r="C83" s="200">
        <f>+C71</f>
        <v>3300.83</v>
      </c>
      <c r="D83" s="200">
        <f>+D60</f>
        <v>1</v>
      </c>
      <c r="E83" s="205">
        <f>+C83/D83</f>
        <v>3300.83</v>
      </c>
      <c r="F83" s="139"/>
      <c r="G83" s="198"/>
      <c r="H83" s="141"/>
      <c r="I83" s="141"/>
      <c r="J83" s="124"/>
    </row>
    <row r="84" spans="1:10">
      <c r="B84" s="199"/>
      <c r="C84" s="200"/>
      <c r="D84" s="200"/>
      <c r="E84" s="205"/>
      <c r="F84" s="139"/>
      <c r="G84" s="198"/>
      <c r="H84" s="141"/>
      <c r="I84" s="141"/>
      <c r="J84" s="124"/>
    </row>
    <row r="85" spans="1:10" ht="13.5" thickBot="1">
      <c r="B85" s="199" t="s">
        <v>128</v>
      </c>
      <c r="C85" s="200">
        <f>+C73</f>
        <v>385</v>
      </c>
      <c r="D85" s="200">
        <f>+D60</f>
        <v>1</v>
      </c>
      <c r="E85" s="205">
        <f>+C85/D85</f>
        <v>385</v>
      </c>
      <c r="F85" s="207"/>
      <c r="G85" s="197"/>
      <c r="H85" s="123"/>
      <c r="I85" s="141"/>
    </row>
    <row r="86" spans="1:10" ht="13.5" thickBot="1">
      <c r="B86" s="199" t="s">
        <v>128</v>
      </c>
      <c r="C86" s="200">
        <f>+C74</f>
        <v>385</v>
      </c>
      <c r="D86" s="200">
        <f>+D85</f>
        <v>1</v>
      </c>
      <c r="E86" s="201">
        <f>+C86/D86</f>
        <v>385</v>
      </c>
      <c r="F86" s="206"/>
      <c r="G86" s="197"/>
      <c r="H86" s="123"/>
      <c r="I86" s="123"/>
    </row>
    <row r="87" spans="1:10">
      <c r="I87" s="123"/>
    </row>
    <row r="88" spans="1:10">
      <c r="A88" s="298"/>
      <c r="B88" s="298"/>
      <c r="C88" s="208"/>
      <c r="D88" s="208"/>
      <c r="E88" s="209"/>
      <c r="G88" s="210"/>
    </row>
    <row r="89" spans="1:10">
      <c r="A89" s="142"/>
      <c r="B89" s="211"/>
      <c r="C89" s="212"/>
      <c r="D89" s="212"/>
      <c r="E89" s="213"/>
      <c r="G89" s="210"/>
    </row>
    <row r="90" spans="1:10">
      <c r="A90" s="142"/>
      <c r="B90" s="211"/>
      <c r="C90" s="214"/>
      <c r="D90" s="214"/>
      <c r="E90" s="142"/>
      <c r="G90" s="210"/>
    </row>
    <row r="91" spans="1:10">
      <c r="A91" s="142"/>
      <c r="B91" s="211"/>
      <c r="C91" s="215"/>
      <c r="D91" s="215"/>
      <c r="E91" s="142"/>
      <c r="G91" s="21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5018-2BEC-4813-B031-60E4F10AAA85}">
  <sheetPr>
    <pageSetUpPr fitToPage="1"/>
  </sheetPr>
  <dimension ref="A1:K31"/>
  <sheetViews>
    <sheetView tabSelected="1" zoomScale="80" zoomScaleNormal="80" workbookViewId="0">
      <selection activeCell="C1" sqref="C1:G1"/>
    </sheetView>
  </sheetViews>
  <sheetFormatPr baseColWidth="10" defaultRowHeight="15"/>
  <cols>
    <col min="1" max="1" width="15.85546875" customWidth="1"/>
    <col min="2" max="2" width="15.7109375" customWidth="1"/>
    <col min="3" max="3" width="36.28515625" customWidth="1"/>
    <col min="4" max="4" width="14.140625" bestFit="1" customWidth="1"/>
    <col min="5" max="5" width="18.5703125" customWidth="1"/>
    <col min="6" max="6" width="15.5703125" customWidth="1"/>
    <col min="7" max="7" width="18.85546875" customWidth="1"/>
    <col min="8" max="8" width="18.28515625" customWidth="1"/>
    <col min="9" max="9" width="21.140625" customWidth="1"/>
  </cols>
  <sheetData>
    <row r="1" spans="1:10" ht="17.25">
      <c r="A1" s="225"/>
      <c r="B1" s="226"/>
      <c r="C1" s="231" t="s">
        <v>30</v>
      </c>
      <c r="D1" s="231"/>
      <c r="E1" s="231"/>
      <c r="F1" s="231"/>
      <c r="G1" s="231"/>
      <c r="H1" s="5" t="s">
        <v>29</v>
      </c>
      <c r="I1" s="6" t="s">
        <v>143</v>
      </c>
    </row>
    <row r="2" spans="1:10" ht="18" thickBot="1">
      <c r="A2" s="227"/>
      <c r="B2" s="228"/>
      <c r="C2" s="232" t="s">
        <v>28</v>
      </c>
      <c r="D2" s="232"/>
      <c r="E2" s="232"/>
      <c r="F2" s="232"/>
      <c r="G2" s="232"/>
      <c r="H2" s="7" t="s">
        <v>27</v>
      </c>
      <c r="I2" s="8" t="s">
        <v>142</v>
      </c>
    </row>
    <row r="3" spans="1:10" ht="28.5" customHeight="1" thickBot="1">
      <c r="A3" s="227"/>
      <c r="B3" s="228"/>
      <c r="C3" s="336" t="s">
        <v>140</v>
      </c>
      <c r="D3" s="337"/>
      <c r="E3" s="337"/>
      <c r="F3" s="337"/>
      <c r="G3" s="338"/>
      <c r="H3" s="236" t="s">
        <v>26</v>
      </c>
      <c r="I3" s="216">
        <v>46064</v>
      </c>
    </row>
    <row r="4" spans="1:10" ht="17.25">
      <c r="A4" s="227"/>
      <c r="B4" s="228"/>
      <c r="C4" s="9" t="s">
        <v>25</v>
      </c>
      <c r="D4" s="219" t="s">
        <v>35</v>
      </c>
      <c r="E4" s="220"/>
      <c r="F4" s="220"/>
      <c r="G4" s="221"/>
      <c r="H4" s="237"/>
      <c r="I4" s="217"/>
    </row>
    <row r="5" spans="1:10" ht="18" thickBot="1">
      <c r="A5" s="229"/>
      <c r="B5" s="230"/>
      <c r="C5" s="10" t="s">
        <v>24</v>
      </c>
      <c r="D5" s="222" t="s">
        <v>38</v>
      </c>
      <c r="E5" s="223"/>
      <c r="F5" s="223"/>
      <c r="G5" s="224"/>
      <c r="H5" s="238"/>
      <c r="I5" s="218"/>
    </row>
    <row r="6" spans="1:10" ht="16.5" thickBot="1">
      <c r="A6" s="249" t="s">
        <v>23</v>
      </c>
      <c r="B6" s="249"/>
      <c r="C6" s="249"/>
      <c r="D6" s="250" t="s">
        <v>56</v>
      </c>
      <c r="E6" s="250"/>
      <c r="F6" s="250"/>
      <c r="G6" s="241" t="s">
        <v>22</v>
      </c>
      <c r="H6" s="241"/>
      <c r="I6" s="11" t="s">
        <v>56</v>
      </c>
    </row>
    <row r="7" spans="1:10" ht="35.25" customHeight="1">
      <c r="A7" s="242" t="s">
        <v>21</v>
      </c>
      <c r="B7" s="244" t="s">
        <v>31</v>
      </c>
      <c r="C7" s="246" t="s">
        <v>20</v>
      </c>
      <c r="D7" s="246" t="s">
        <v>19</v>
      </c>
      <c r="E7" s="246" t="s">
        <v>18</v>
      </c>
      <c r="F7" s="246"/>
      <c r="G7" s="246" t="s">
        <v>17</v>
      </c>
      <c r="H7" s="246"/>
      <c r="I7" s="12" t="s">
        <v>16</v>
      </c>
    </row>
    <row r="8" spans="1:10" ht="31.5" thickBot="1">
      <c r="A8" s="243"/>
      <c r="B8" s="245"/>
      <c r="C8" s="247"/>
      <c r="D8" s="248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19.7" customHeight="1">
      <c r="A9" s="339"/>
      <c r="B9" s="340"/>
      <c r="C9" s="341" t="s">
        <v>32</v>
      </c>
      <c r="D9" s="340"/>
      <c r="E9" s="342"/>
      <c r="F9" s="343"/>
      <c r="G9" s="342"/>
      <c r="H9" s="343"/>
      <c r="I9" s="344"/>
    </row>
    <row r="10" spans="1:10" ht="20.25">
      <c r="A10" s="416" t="s">
        <v>76</v>
      </c>
      <c r="B10" s="417" t="s">
        <v>77</v>
      </c>
      <c r="C10" s="418" t="s">
        <v>78</v>
      </c>
      <c r="D10" s="419" t="s">
        <v>36</v>
      </c>
      <c r="E10" s="348">
        <v>5100</v>
      </c>
      <c r="F10" s="349"/>
      <c r="G10" s="420"/>
      <c r="H10" s="350"/>
      <c r="I10" s="351"/>
    </row>
    <row r="11" spans="1:10" ht="20.25">
      <c r="A11" s="345"/>
      <c r="B11" s="345" t="s">
        <v>141</v>
      </c>
      <c r="C11" s="346" t="s">
        <v>139</v>
      </c>
      <c r="D11" s="347"/>
      <c r="E11" s="348">
        <v>5000</v>
      </c>
      <c r="F11" s="349"/>
      <c r="G11" s="352"/>
      <c r="H11" s="345"/>
      <c r="I11" s="351"/>
      <c r="J11">
        <f>E10/25</f>
        <v>204</v>
      </c>
    </row>
    <row r="12" spans="1:10" ht="20.25">
      <c r="A12" s="354"/>
      <c r="B12" s="351"/>
      <c r="C12" s="355"/>
      <c r="D12" s="350"/>
      <c r="E12" s="345"/>
      <c r="F12" s="356"/>
      <c r="G12" s="353"/>
      <c r="H12" s="345"/>
      <c r="I12" s="351"/>
    </row>
    <row r="13" spans="1:10" ht="20.25">
      <c r="A13" s="354"/>
      <c r="B13" s="351"/>
      <c r="C13" s="357" t="s">
        <v>39</v>
      </c>
      <c r="D13" s="350"/>
      <c r="E13" s="345"/>
      <c r="F13" s="356"/>
      <c r="G13" s="353"/>
      <c r="H13" s="345"/>
      <c r="I13" s="351"/>
    </row>
    <row r="14" spans="1:10" ht="20.25">
      <c r="A14" s="346"/>
      <c r="B14" s="358"/>
      <c r="C14" s="359"/>
      <c r="D14" s="360"/>
      <c r="E14" s="358"/>
      <c r="F14" s="361"/>
      <c r="G14" s="342"/>
      <c r="H14" s="343"/>
      <c r="I14" s="344"/>
    </row>
    <row r="15" spans="1:10" ht="20.25">
      <c r="A15" s="351"/>
      <c r="B15" s="351"/>
      <c r="C15" s="362" t="s">
        <v>34</v>
      </c>
      <c r="D15" s="346"/>
      <c r="E15" s="346"/>
      <c r="F15" s="345"/>
      <c r="G15" s="352"/>
      <c r="H15" s="345"/>
      <c r="I15" s="344"/>
    </row>
    <row r="16" spans="1:10" ht="20.25">
      <c r="A16" s="345"/>
      <c r="B16" s="364"/>
      <c r="C16" s="346"/>
      <c r="D16" s="350"/>
      <c r="E16" s="348"/>
      <c r="F16" s="349"/>
      <c r="G16" s="352"/>
      <c r="H16" s="351"/>
      <c r="I16" s="344"/>
    </row>
    <row r="17" spans="1:11" ht="20.25">
      <c r="A17" s="365"/>
      <c r="B17" s="366"/>
      <c r="C17" s="363"/>
      <c r="D17" s="351"/>
      <c r="E17" s="351"/>
      <c r="F17" s="367"/>
      <c r="G17" s="351"/>
      <c r="H17" s="351"/>
      <c r="I17" s="344"/>
    </row>
    <row r="18" spans="1:11" ht="21" thickBot="1">
      <c r="A18" s="368"/>
      <c r="B18" s="369"/>
      <c r="C18" s="370"/>
      <c r="D18" s="370"/>
      <c r="E18" s="371"/>
      <c r="F18" s="372"/>
      <c r="G18" s="370"/>
      <c r="H18" s="370"/>
      <c r="I18" s="373"/>
      <c r="K18" s="87"/>
    </row>
    <row r="19" spans="1:11" ht="21" thickBot="1">
      <c r="A19" s="374"/>
      <c r="B19" s="375"/>
      <c r="C19" s="376"/>
      <c r="D19" s="377" t="s">
        <v>13</v>
      </c>
      <c r="E19" s="378" t="s">
        <v>12</v>
      </c>
      <c r="F19" s="379"/>
      <c r="G19" s="376"/>
      <c r="H19" s="376"/>
      <c r="I19" s="380"/>
      <c r="J19" s="87"/>
    </row>
    <row r="20" spans="1:11" ht="20.25">
      <c r="A20" s="381" t="s">
        <v>11</v>
      </c>
      <c r="B20" s="382"/>
      <c r="C20" s="383"/>
      <c r="D20" s="384">
        <v>10000</v>
      </c>
      <c r="E20" s="385" t="s">
        <v>1</v>
      </c>
      <c r="F20" s="386" t="s">
        <v>10</v>
      </c>
      <c r="G20" s="386"/>
      <c r="H20" s="387"/>
      <c r="I20" s="388"/>
      <c r="J20">
        <f>10000/400</f>
        <v>25</v>
      </c>
    </row>
    <row r="21" spans="1:11" ht="20.25">
      <c r="A21" s="389" t="s">
        <v>9</v>
      </c>
      <c r="B21" s="390"/>
      <c r="C21" s="391"/>
      <c r="D21" s="350">
        <v>5</v>
      </c>
      <c r="E21" s="350" t="s">
        <v>8</v>
      </c>
      <c r="F21" s="392" t="s">
        <v>7</v>
      </c>
      <c r="G21" s="392"/>
      <c r="H21" s="393"/>
      <c r="I21" s="394"/>
    </row>
    <row r="22" spans="1:11" ht="20.25">
      <c r="A22" s="389" t="s">
        <v>6</v>
      </c>
      <c r="B22" s="390"/>
      <c r="C22" s="391"/>
      <c r="D22" s="350">
        <v>1</v>
      </c>
      <c r="E22" s="350" t="s">
        <v>37</v>
      </c>
      <c r="F22" s="392" t="s">
        <v>5</v>
      </c>
      <c r="G22" s="392"/>
      <c r="H22" s="393"/>
      <c r="I22" s="394"/>
    </row>
    <row r="23" spans="1:11" ht="20.25">
      <c r="A23" s="389" t="s">
        <v>4</v>
      </c>
      <c r="B23" s="390"/>
      <c r="C23" s="391"/>
      <c r="D23" s="350">
        <v>10000</v>
      </c>
      <c r="E23" s="350" t="s">
        <v>1</v>
      </c>
      <c r="F23" s="395" t="s">
        <v>3</v>
      </c>
      <c r="G23" s="396"/>
      <c r="H23" s="393"/>
      <c r="I23" s="394"/>
    </row>
    <row r="24" spans="1:11" ht="21" thickBot="1">
      <c r="A24" s="397" t="s">
        <v>2</v>
      </c>
      <c r="B24" s="398"/>
      <c r="C24" s="399"/>
      <c r="D24" s="400">
        <f>SUM(E10:E11)-D20</f>
        <v>100</v>
      </c>
      <c r="E24" s="401" t="s">
        <v>1</v>
      </c>
      <c r="F24" s="402"/>
      <c r="G24" s="402"/>
      <c r="H24" s="403"/>
      <c r="I24" s="404"/>
    </row>
    <row r="25" spans="1:11" ht="21" thickBot="1">
      <c r="A25" s="408" t="s">
        <v>0</v>
      </c>
      <c r="B25" s="409"/>
      <c r="C25" s="409"/>
      <c r="D25" s="409"/>
      <c r="E25" s="409"/>
      <c r="F25" s="409"/>
      <c r="G25" s="409"/>
      <c r="H25" s="409"/>
      <c r="I25" s="410"/>
    </row>
    <row r="26" spans="1:11" ht="20.45" customHeight="1">
      <c r="A26" s="421" t="s">
        <v>80</v>
      </c>
      <c r="B26" s="422"/>
      <c r="C26" s="423"/>
      <c r="D26" s="423"/>
      <c r="E26" s="423"/>
      <c r="F26" s="423"/>
      <c r="G26" s="423"/>
      <c r="H26" s="423"/>
      <c r="I26" s="424"/>
    </row>
    <row r="27" spans="1:11" ht="20.25">
      <c r="A27" s="405"/>
      <c r="B27" s="406"/>
      <c r="C27" s="406"/>
      <c r="D27" s="406"/>
      <c r="E27" s="406"/>
      <c r="F27" s="406"/>
      <c r="G27" s="406"/>
      <c r="H27" s="406"/>
      <c r="I27" s="407"/>
    </row>
    <row r="28" spans="1:11" ht="20.25">
      <c r="A28" s="411"/>
      <c r="B28" s="412"/>
      <c r="C28" s="412"/>
      <c r="D28" s="412"/>
      <c r="E28" s="412"/>
      <c r="F28" s="412"/>
      <c r="G28" s="412"/>
      <c r="H28" s="412"/>
      <c r="I28" s="413"/>
    </row>
    <row r="29" spans="1:11" ht="20.25">
      <c r="A29" s="414" t="s">
        <v>33</v>
      </c>
      <c r="B29" s="414"/>
      <c r="C29" s="414"/>
      <c r="D29" s="414"/>
      <c r="E29" s="414"/>
      <c r="F29" s="414"/>
      <c r="G29" s="414"/>
      <c r="H29" s="414"/>
      <c r="I29" s="414"/>
    </row>
    <row r="30" spans="1:11" ht="20.25">
      <c r="A30" s="415"/>
      <c r="B30" s="415"/>
      <c r="C30" s="415"/>
      <c r="D30" s="415"/>
      <c r="E30" s="415"/>
      <c r="F30" s="415"/>
      <c r="G30" s="415"/>
      <c r="H30" s="415"/>
      <c r="I30" s="415"/>
    </row>
    <row r="31" spans="1:11" ht="20.25">
      <c r="A31" s="415"/>
      <c r="B31" s="415"/>
      <c r="C31" s="415"/>
      <c r="D31" s="415"/>
      <c r="E31" s="415"/>
      <c r="F31" s="415"/>
      <c r="G31" s="415"/>
      <c r="H31" s="415"/>
      <c r="I31" s="415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1:I31"/>
    <mergeCell ref="A27:I27"/>
    <mergeCell ref="A28:I28"/>
    <mergeCell ref="A29:I29"/>
    <mergeCell ref="A30:I30"/>
  </mergeCells>
  <pageMargins left="0.25" right="0.25" top="0.75" bottom="0.75" header="0.3" footer="0.3"/>
  <pageSetup scale="5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135E-DFCE-4D83-8742-90D690F0832D}">
  <dimension ref="A1:Q91"/>
  <sheetViews>
    <sheetView topLeftCell="A44" workbookViewId="0">
      <selection activeCell="D60" sqref="D60"/>
    </sheetView>
  </sheetViews>
  <sheetFormatPr baseColWidth="10" defaultColWidth="8.42578125" defaultRowHeight="12.75"/>
  <cols>
    <col min="1" max="1" width="10" style="124" bestFit="1" customWidth="1"/>
    <col min="2" max="2" width="44.42578125" style="124" bestFit="1" customWidth="1"/>
    <col min="3" max="3" width="10.42578125" style="124" bestFit="1" customWidth="1"/>
    <col min="4" max="4" width="10.42578125" style="124" customWidth="1"/>
    <col min="5" max="5" width="11" style="124" customWidth="1"/>
    <col min="6" max="6" width="9.5703125" style="124" bestFit="1" customWidth="1"/>
    <col min="7" max="7" width="10.85546875" style="206" customWidth="1"/>
    <col min="8" max="8" width="10.42578125" style="197" bestFit="1" customWidth="1"/>
    <col min="9" max="9" width="4.5703125" style="197" customWidth="1"/>
    <col min="10" max="10" width="1.85546875" style="123" customWidth="1"/>
    <col min="11" max="11" width="7" style="124" bestFit="1" customWidth="1"/>
    <col min="12" max="12" width="6.42578125" style="124" customWidth="1"/>
    <col min="13" max="13" width="20.42578125" style="124" customWidth="1"/>
    <col min="14" max="14" width="6.42578125" style="124" bestFit="1" customWidth="1"/>
    <col min="15" max="16" width="8.42578125" style="124"/>
    <col min="17" max="17" width="3.42578125" style="124" customWidth="1"/>
    <col min="18" max="16384" width="8.42578125" style="124"/>
  </cols>
  <sheetData>
    <row r="1" spans="1:10" ht="27.75" customHeight="1">
      <c r="A1" s="119"/>
      <c r="B1" s="119"/>
      <c r="C1" s="119"/>
      <c r="D1" s="119"/>
      <c r="E1" s="120" t="s">
        <v>81</v>
      </c>
      <c r="F1" s="121" t="s">
        <v>82</v>
      </c>
      <c r="G1" s="121" t="s">
        <v>83</v>
      </c>
      <c r="H1" s="121" t="s">
        <v>84</v>
      </c>
      <c r="I1" s="122"/>
    </row>
    <row r="2" spans="1:10" ht="30.75" customHeight="1">
      <c r="A2" s="119"/>
      <c r="B2" s="119"/>
      <c r="C2" s="119"/>
      <c r="D2" s="119"/>
      <c r="E2" s="125">
        <f>IFERROR(O62,"")</f>
        <v>35011.875511190461</v>
      </c>
      <c r="F2" s="125">
        <f>IFERROR(H53,"")</f>
        <v>33520</v>
      </c>
      <c r="G2" s="125">
        <f>IFERROR(H54,"")</f>
        <v>52.279273799999999</v>
      </c>
      <c r="H2" s="125">
        <f>IFERROR(H56,"")</f>
        <v>692.80568924416002</v>
      </c>
      <c r="I2" s="126"/>
    </row>
    <row r="3" spans="1:10" ht="15" customHeight="1">
      <c r="A3" s="119"/>
      <c r="B3" s="119"/>
      <c r="C3" s="119"/>
      <c r="D3" s="119"/>
      <c r="E3" s="119"/>
      <c r="F3" s="127"/>
      <c r="G3" s="127"/>
      <c r="H3" s="127"/>
      <c r="I3" s="127"/>
    </row>
    <row r="4" spans="1:10" ht="24.75" customHeight="1" thickBot="1">
      <c r="A4" s="320"/>
      <c r="B4" s="320"/>
      <c r="C4" s="320"/>
      <c r="D4" s="320"/>
      <c r="E4" s="320"/>
      <c r="F4" s="320"/>
      <c r="G4" s="320"/>
      <c r="H4" s="320"/>
      <c r="I4" s="128"/>
    </row>
    <row r="5" spans="1:10" ht="19.5" customHeight="1" thickBot="1">
      <c r="A5" s="321" t="s">
        <v>85</v>
      </c>
      <c r="B5" s="322"/>
      <c r="C5" s="322"/>
      <c r="D5" s="322"/>
      <c r="E5" s="322"/>
      <c r="F5" s="322"/>
      <c r="G5" s="322"/>
      <c r="H5" s="323"/>
      <c r="I5" s="129"/>
    </row>
    <row r="6" spans="1:10" ht="19.5" thickBot="1">
      <c r="A6" s="129"/>
      <c r="B6" s="129"/>
      <c r="C6" s="129"/>
      <c r="D6" s="129"/>
      <c r="E6" s="129"/>
      <c r="F6" s="324" t="s">
        <v>86</v>
      </c>
      <c r="G6" s="324"/>
      <c r="H6" s="130">
        <f ca="1">TODAY()</f>
        <v>46064</v>
      </c>
      <c r="I6" s="130"/>
    </row>
    <row r="7" spans="1:10" ht="26.25" thickBot="1">
      <c r="A7" s="131" t="s">
        <v>87</v>
      </c>
      <c r="B7" s="132" t="s">
        <v>88</v>
      </c>
      <c r="C7" s="132" t="s">
        <v>87</v>
      </c>
      <c r="D7" s="133" t="s">
        <v>89</v>
      </c>
      <c r="E7" s="133" t="s">
        <v>90</v>
      </c>
      <c r="F7" s="133" t="s">
        <v>91</v>
      </c>
      <c r="G7" s="133" t="s">
        <v>92</v>
      </c>
      <c r="H7" s="134" t="s">
        <v>93</v>
      </c>
      <c r="I7" s="135"/>
    </row>
    <row r="8" spans="1:10" ht="13.5">
      <c r="A8" s="136">
        <v>5000</v>
      </c>
      <c r="B8" s="124" t="s">
        <v>79</v>
      </c>
      <c r="C8" s="137">
        <f>+A8</f>
        <v>5000</v>
      </c>
      <c r="D8" s="138" t="s">
        <v>132</v>
      </c>
      <c r="E8" s="138">
        <v>6.5</v>
      </c>
      <c r="F8" s="138">
        <f>IFERROR(C8*E8,"")</f>
        <v>32500</v>
      </c>
      <c r="G8" s="139">
        <f t="shared" ref="G8:G14" si="0">IFERROR(F8/$F$66,"")</f>
        <v>0.93855553365339606</v>
      </c>
      <c r="H8" s="140"/>
      <c r="I8" s="140"/>
      <c r="J8" s="141"/>
    </row>
    <row r="9" spans="1:10" ht="13.5" hidden="1">
      <c r="A9" s="136"/>
      <c r="B9" s="124" t="str">
        <f>IFERROR(VLOOKUP(H9,'[1]Consolidado MP Planta'!$A$2:$M$823,3,0),"")</f>
        <v/>
      </c>
      <c r="C9" s="137">
        <f t="shared" ref="C9:C14" si="1">+A9</f>
        <v>0</v>
      </c>
      <c r="D9" s="138" t="str">
        <f>IFERROR(VLOOKUP(H9,'[1]Consolidado MP Planta'!$A$2:$M$823,13,0),"")</f>
        <v/>
      </c>
      <c r="E9" s="138" t="str">
        <f>IFERROR(VLOOKUP(H9,'[1]Consolidado MP Planta'!$A$2:$M$823,12,0),"")</f>
        <v/>
      </c>
      <c r="F9" s="138" t="str">
        <f t="shared" ref="F9:F14" si="2">IFERROR(C9*E9,"")</f>
        <v/>
      </c>
      <c r="G9" s="139" t="str">
        <f t="shared" si="0"/>
        <v/>
      </c>
      <c r="H9" s="140"/>
      <c r="I9" s="140"/>
      <c r="J9" s="141"/>
    </row>
    <row r="10" spans="1:10" ht="13.5" hidden="1">
      <c r="A10" s="136"/>
      <c r="B10" s="124" t="str">
        <f>IFERROR(VLOOKUP(H10,'[1]Consolidado MP Planta'!$A$2:$M$823,3,0),"")</f>
        <v/>
      </c>
      <c r="C10" s="137">
        <f t="shared" si="1"/>
        <v>0</v>
      </c>
      <c r="D10" s="138" t="str">
        <f>IFERROR(VLOOKUP(H10,'[1]Consolidado MP Planta'!$A$2:$M$823,13,0),"")</f>
        <v/>
      </c>
      <c r="E10" s="138" t="str">
        <f>IFERROR(VLOOKUP(H10,'[1]Consolidado MP Planta'!$A$2:$M$823,12,0),"")</f>
        <v/>
      </c>
      <c r="F10" s="138" t="str">
        <f t="shared" si="2"/>
        <v/>
      </c>
      <c r="G10" s="139" t="str">
        <f t="shared" si="0"/>
        <v/>
      </c>
      <c r="H10" s="140"/>
      <c r="I10" s="140"/>
      <c r="J10" s="141"/>
    </row>
    <row r="11" spans="1:10" ht="13.5" hidden="1">
      <c r="A11" s="136"/>
      <c r="B11" s="124" t="str">
        <f>IFERROR(VLOOKUP(H11,'[1]Consolidado MP Planta'!$A$2:$M$823,3,0),"")</f>
        <v/>
      </c>
      <c r="C11" s="137">
        <f t="shared" si="1"/>
        <v>0</v>
      </c>
      <c r="D11" s="138" t="str">
        <f>IFERROR(VLOOKUP(H11,'[1]Consolidado MP Planta'!$A$2:$M$823,13,0),"")</f>
        <v/>
      </c>
      <c r="E11" s="138" t="str">
        <f>IFERROR(VLOOKUP(H11,'[1]Consolidado MP Planta'!$A$2:$M$823,12,0),"")</f>
        <v/>
      </c>
      <c r="F11" s="138" t="str">
        <f t="shared" si="2"/>
        <v/>
      </c>
      <c r="G11" s="139" t="str">
        <f t="shared" si="0"/>
        <v/>
      </c>
      <c r="H11" s="140"/>
      <c r="I11" s="140"/>
      <c r="J11" s="141"/>
    </row>
    <row r="12" spans="1:10" ht="13.5" hidden="1">
      <c r="A12" s="136"/>
      <c r="B12" s="124" t="str">
        <f>IFERROR(VLOOKUP(H12,'[1]Consolidado MP Planta'!$A$2:$M$823,3,0),"")</f>
        <v/>
      </c>
      <c r="C12" s="137">
        <f t="shared" si="1"/>
        <v>0</v>
      </c>
      <c r="D12" s="138" t="str">
        <f>IFERROR(VLOOKUP(H12,'[1]Consolidado MP Planta'!$A$2:$M$823,13,0),"")</f>
        <v/>
      </c>
      <c r="E12" s="138" t="str">
        <f>IFERROR(VLOOKUP(H12,'[1]Consolidado MP Planta'!$A$2:$M$823,12,0),"")</f>
        <v/>
      </c>
      <c r="F12" s="138" t="str">
        <f t="shared" si="2"/>
        <v/>
      </c>
      <c r="G12" s="139" t="str">
        <f t="shared" si="0"/>
        <v/>
      </c>
      <c r="H12" s="140"/>
      <c r="I12" s="140"/>
      <c r="J12" s="141"/>
    </row>
    <row r="13" spans="1:10" ht="13.5" hidden="1">
      <c r="A13" s="136"/>
      <c r="B13" s="124" t="str">
        <f>IFERROR(VLOOKUP(H13,'[1]Consolidado MP Planta'!$A$2:$M$823,3,0),"")</f>
        <v/>
      </c>
      <c r="C13" s="137">
        <f t="shared" si="1"/>
        <v>0</v>
      </c>
      <c r="D13" s="138" t="str">
        <f>IFERROR(VLOOKUP(H13,'[1]Consolidado MP Planta'!$A$2:$M$823,13,0),"")</f>
        <v/>
      </c>
      <c r="E13" s="138" t="str">
        <f>IFERROR(VLOOKUP(H13,'[1]Consolidado MP Planta'!$A$2:$M$823,12,0),"")</f>
        <v/>
      </c>
      <c r="F13" s="138" t="str">
        <f t="shared" si="2"/>
        <v/>
      </c>
      <c r="G13" s="139" t="str">
        <f t="shared" si="0"/>
        <v/>
      </c>
      <c r="H13" s="140"/>
      <c r="I13" s="140"/>
      <c r="J13" s="141"/>
    </row>
    <row r="14" spans="1:10" ht="13.5" hidden="1">
      <c r="A14" s="136"/>
      <c r="B14" s="124" t="str">
        <f>IFERROR(VLOOKUP(H14,'[1]Consolidado MP Planta'!$A$2:$M$823,3,0),"")</f>
        <v/>
      </c>
      <c r="C14" s="137">
        <f t="shared" si="1"/>
        <v>0</v>
      </c>
      <c r="D14" s="138" t="str">
        <f>IFERROR(VLOOKUP(H14,'[1]Consolidado MP Planta'!$A$2:$M$823,13,0),"")</f>
        <v/>
      </c>
      <c r="E14" s="138" t="str">
        <f>IFERROR(VLOOKUP(H14,'[1]Consolidado MP Planta'!$A$2:$M$823,12,0),"")</f>
        <v/>
      </c>
      <c r="F14" s="138" t="str">
        <f t="shared" si="2"/>
        <v/>
      </c>
      <c r="G14" s="139" t="str">
        <f t="shared" si="0"/>
        <v/>
      </c>
      <c r="H14" s="140"/>
      <c r="I14" s="140"/>
      <c r="J14" s="141"/>
    </row>
    <row r="15" spans="1:10" ht="14.25" thickBot="1">
      <c r="A15" s="136"/>
      <c r="B15" s="124" t="str">
        <f>IFERROR(VLOOKUP(H15,[2]Hoja2!$A$2:$G$589,2,0),"")</f>
        <v/>
      </c>
      <c r="C15" s="137"/>
      <c r="D15" s="138"/>
      <c r="E15" s="138"/>
      <c r="F15" s="138"/>
      <c r="G15" s="139"/>
      <c r="H15" s="140"/>
      <c r="I15" s="140"/>
      <c r="J15" s="141"/>
    </row>
    <row r="16" spans="1:10" ht="26.25" thickBot="1">
      <c r="A16" s="131" t="s">
        <v>87</v>
      </c>
      <c r="B16" s="132" t="s">
        <v>94</v>
      </c>
      <c r="C16" s="132" t="s">
        <v>87</v>
      </c>
      <c r="D16" s="133" t="s">
        <v>89</v>
      </c>
      <c r="E16" s="133" t="s">
        <v>90</v>
      </c>
      <c r="F16" s="133" t="s">
        <v>91</v>
      </c>
      <c r="G16" s="133" t="s">
        <v>92</v>
      </c>
      <c r="H16" s="134" t="s">
        <v>93</v>
      </c>
      <c r="I16" s="135"/>
      <c r="J16" s="141"/>
    </row>
    <row r="17" spans="1:12" ht="13.5">
      <c r="A17" s="136">
        <v>5100</v>
      </c>
      <c r="B17" s="124" t="str">
        <f>IFERROR(VLOOKUP(H17,[1]SEMIELABORADOS!$A$2:$M$6000,2,0),"")</f>
        <v>ALMIBAR KILO</v>
      </c>
      <c r="C17" s="137">
        <f>+A17</f>
        <v>5100</v>
      </c>
      <c r="D17" s="137" t="str">
        <f>IFERROR(VLOOKUP(H17,[1]SEMIELABORADOS!$A$2:$M$6000,6,0),"")</f>
        <v>Gramo</v>
      </c>
      <c r="E17" s="138">
        <v>0.2</v>
      </c>
      <c r="F17" s="138">
        <f>IFERROR(E17*C17,"")</f>
        <v>1020</v>
      </c>
      <c r="G17" s="139">
        <f t="shared" ref="G17:G24" si="3">IFERROR(F17/$F$66,"")</f>
        <v>2.9456204440814274E-2</v>
      </c>
      <c r="H17" s="140" t="s">
        <v>76</v>
      </c>
      <c r="I17" s="140"/>
      <c r="J17" s="141"/>
    </row>
    <row r="18" spans="1:12" ht="13.5" hidden="1">
      <c r="A18" s="136"/>
      <c r="B18" s="124" t="str">
        <f>IFERROR(VLOOKUP(H18,[1]SEMIELABORADOS!$A$2:$M$6000,2,0),"")</f>
        <v/>
      </c>
      <c r="C18" s="137">
        <f t="shared" ref="C18:C24" si="4">+A18</f>
        <v>0</v>
      </c>
      <c r="D18" s="137" t="str">
        <f>IFERROR(VLOOKUP(H18,[1]SEMIELABORADOS!$A$2:$M$6000,6,0),"")</f>
        <v/>
      </c>
      <c r="E18" s="138" t="str">
        <f>IFERROR(VLOOKUP(H18,[1]SEMIELABORADOS!$A$2:$H$65536,8,0),"")</f>
        <v/>
      </c>
      <c r="F18" s="138" t="str">
        <f t="shared" ref="F18:F24" si="5">IFERROR(E18*C18,"")</f>
        <v/>
      </c>
      <c r="G18" s="139" t="str">
        <f t="shared" si="3"/>
        <v/>
      </c>
      <c r="H18" s="140"/>
      <c r="I18" s="140"/>
      <c r="J18" s="141"/>
    </row>
    <row r="19" spans="1:12" ht="13.5" hidden="1">
      <c r="A19" s="136"/>
      <c r="B19" s="124" t="str">
        <f>IFERROR(VLOOKUP(H19,[1]SEMIELABORADOS!$A$2:$M$6000,2,0),"")</f>
        <v/>
      </c>
      <c r="C19" s="137">
        <f>+A19</f>
        <v>0</v>
      </c>
      <c r="D19" s="137" t="str">
        <f>IFERROR(VLOOKUP(H19,[1]SEMIELABORADOS!$A$2:$M$6000,6,0),"")</f>
        <v/>
      </c>
      <c r="E19" s="138" t="str">
        <f>IFERROR(VLOOKUP(H19,[1]SEMIELABORADOS!$A$2:$H$65536,8,0),"")</f>
        <v/>
      </c>
      <c r="F19" s="138" t="str">
        <f>IFERROR(E19*C19,"")</f>
        <v/>
      </c>
      <c r="G19" s="139" t="str">
        <f t="shared" si="3"/>
        <v/>
      </c>
      <c r="H19" s="140"/>
      <c r="I19" s="140"/>
      <c r="J19" s="141"/>
    </row>
    <row r="20" spans="1:12" ht="13.5" hidden="1">
      <c r="A20" s="136"/>
      <c r="B20" s="124" t="str">
        <f>IFERROR(VLOOKUP(H20,[1]SEMIELABORADOS!$A$2:$M$6000,2,0),"")</f>
        <v/>
      </c>
      <c r="C20" s="137">
        <f>+A20</f>
        <v>0</v>
      </c>
      <c r="D20" s="137" t="str">
        <f>IFERROR(VLOOKUP(H20,[1]SEMIELABORADOS!$A$2:$M$6000,6,0),"")</f>
        <v/>
      </c>
      <c r="E20" s="138" t="str">
        <f>IFERROR(VLOOKUP(H20,[1]SEMIELABORADOS!$A$2:$H$65536,8,0),"")</f>
        <v/>
      </c>
      <c r="F20" s="138" t="str">
        <f>IFERROR(E20*C20,"")</f>
        <v/>
      </c>
      <c r="G20" s="139" t="str">
        <f t="shared" si="3"/>
        <v/>
      </c>
      <c r="H20" s="140"/>
      <c r="I20" s="140"/>
      <c r="J20" s="141"/>
    </row>
    <row r="21" spans="1:12" ht="13.5" hidden="1">
      <c r="A21" s="136"/>
      <c r="B21" s="124" t="str">
        <f>IFERROR(VLOOKUP(H21,[1]SEMIELABORADOS!$A$2:$M$6000,2,0),"")</f>
        <v/>
      </c>
      <c r="C21" s="137">
        <f>+A21</f>
        <v>0</v>
      </c>
      <c r="D21" s="137" t="str">
        <f>IFERROR(VLOOKUP(H21,[1]SEMIELABORADOS!$A$2:$M$6000,6,0),"")</f>
        <v/>
      </c>
      <c r="E21" s="138" t="str">
        <f>IFERROR(VLOOKUP(H21,[1]SEMIELABORADOS!$A$2:$H$65536,8,0),"")</f>
        <v/>
      </c>
      <c r="F21" s="138" t="str">
        <f>IFERROR(E21*C21,"")</f>
        <v/>
      </c>
      <c r="G21" s="139" t="str">
        <f t="shared" si="3"/>
        <v/>
      </c>
      <c r="H21" s="140"/>
      <c r="I21" s="140"/>
      <c r="J21" s="141"/>
    </row>
    <row r="22" spans="1:12" ht="13.5" hidden="1">
      <c r="A22" s="136"/>
      <c r="B22" s="124" t="str">
        <f>IFERROR(VLOOKUP(H22,[1]SEMIELABORADOS!$A$2:$M$6000,2,0),"")</f>
        <v/>
      </c>
      <c r="C22" s="137">
        <f t="shared" si="4"/>
        <v>0</v>
      </c>
      <c r="D22" s="137" t="str">
        <f>IFERROR(VLOOKUP(H22,[1]SEMIELABORADOS!$A$2:$M$6000,6,0),"")</f>
        <v/>
      </c>
      <c r="E22" s="138" t="str">
        <f>IFERROR(VLOOKUP(H22,[1]SEMIELABORADOS!$A$2:$H$65536,8,0),"")</f>
        <v/>
      </c>
      <c r="F22" s="138" t="str">
        <f t="shared" si="5"/>
        <v/>
      </c>
      <c r="G22" s="139" t="str">
        <f t="shared" si="3"/>
        <v/>
      </c>
      <c r="H22" s="140"/>
      <c r="I22" s="140"/>
      <c r="J22" s="141"/>
    </row>
    <row r="23" spans="1:12" ht="13.5" hidden="1">
      <c r="A23" s="136"/>
      <c r="B23" s="124" t="str">
        <f>IFERROR(VLOOKUP(H23,[1]SEMIELABORADOS!$A$2:$M$6000,2,0),"")</f>
        <v/>
      </c>
      <c r="C23" s="137">
        <f t="shared" si="4"/>
        <v>0</v>
      </c>
      <c r="D23" s="137" t="str">
        <f>IFERROR(VLOOKUP(H23,[1]SEMIELABORADOS!$A$2:$M$6000,6,0),"")</f>
        <v/>
      </c>
      <c r="E23" s="138" t="str">
        <f>IFERROR(VLOOKUP(H23,[1]SEMIELABORADOS!$A$2:$H$65536,8,0),"")</f>
        <v/>
      </c>
      <c r="F23" s="138" t="str">
        <f t="shared" si="5"/>
        <v/>
      </c>
      <c r="G23" s="139" t="str">
        <f t="shared" si="3"/>
        <v/>
      </c>
      <c r="H23" s="140"/>
      <c r="I23" s="140"/>
      <c r="J23" s="141"/>
    </row>
    <row r="24" spans="1:12" ht="13.5" hidden="1">
      <c r="A24" s="136"/>
      <c r="B24" s="124" t="str">
        <f>IFERROR(VLOOKUP(H24,[1]SEMIELABORADOS!$A$2:$M$6000,2,0),"")</f>
        <v/>
      </c>
      <c r="C24" s="137">
        <f t="shared" si="4"/>
        <v>0</v>
      </c>
      <c r="D24" s="137" t="str">
        <f>IFERROR(VLOOKUP(H24,[1]SEMIELABORADOS!$A$2:$M$6000,6,0),"")</f>
        <v/>
      </c>
      <c r="E24" s="138" t="str">
        <f>IFERROR(VLOOKUP(H24,[1]SEMIELABORADOS!$A$2:$H$65536,8,0),"")</f>
        <v/>
      </c>
      <c r="F24" s="138" t="str">
        <f t="shared" si="5"/>
        <v/>
      </c>
      <c r="G24" s="139" t="str">
        <f t="shared" si="3"/>
        <v/>
      </c>
      <c r="H24" s="140"/>
      <c r="I24" s="140"/>
      <c r="J24" s="141"/>
    </row>
    <row r="25" spans="1:12" ht="14.25" thickBot="1">
      <c r="A25" s="136"/>
      <c r="C25" s="137"/>
      <c r="D25" s="137"/>
      <c r="E25" s="138"/>
      <c r="F25" s="138"/>
      <c r="G25" s="139"/>
      <c r="H25" s="140"/>
      <c r="I25" s="140"/>
      <c r="J25" s="141"/>
    </row>
    <row r="26" spans="1:12" ht="26.25" hidden="1" thickBot="1">
      <c r="A26" s="131" t="s">
        <v>87</v>
      </c>
      <c r="B26" s="132" t="s">
        <v>34</v>
      </c>
      <c r="C26" s="132" t="s">
        <v>87</v>
      </c>
      <c r="D26" s="133" t="s">
        <v>89</v>
      </c>
      <c r="E26" s="133" t="s">
        <v>90</v>
      </c>
      <c r="F26" s="133" t="s">
        <v>91</v>
      </c>
      <c r="G26" s="133" t="s">
        <v>92</v>
      </c>
      <c r="H26" s="134" t="s">
        <v>93</v>
      </c>
      <c r="I26" s="135"/>
    </row>
    <row r="27" spans="1:12" ht="13.5" hidden="1">
      <c r="A27" s="136">
        <v>0</v>
      </c>
      <c r="B27" s="142" t="str">
        <f>IFERROR(VLOOKUP(H27,'[1]Consolidado MP Planta'!$A$2:$M$823,3,0),"")</f>
        <v/>
      </c>
      <c r="C27" s="137">
        <f t="shared" ref="C27:C32" si="6">+A27</f>
        <v>0</v>
      </c>
      <c r="D27" s="138" t="str">
        <f>IFERROR(VLOOKUP(H27,'[1]Consolidado MP Planta'!$A$2:$M$823,13,0),"")</f>
        <v/>
      </c>
      <c r="E27" s="138" t="str">
        <f>IFERROR(VLOOKUP(H27,'[1]Consolidado MP Planta'!$A$2:$M$823,12,0),"")</f>
        <v/>
      </c>
      <c r="F27" s="138" t="str">
        <f t="shared" ref="F27:F32" si="7">IFERROR(C27*E27,"")</f>
        <v/>
      </c>
      <c r="G27" s="139" t="str">
        <f t="shared" ref="G27:G32" si="8">IFERROR(F27/$F$66,"")</f>
        <v/>
      </c>
      <c r="H27" s="143"/>
      <c r="I27" s="143"/>
      <c r="J27" s="141"/>
      <c r="K27" s="314"/>
      <c r="L27" s="314"/>
    </row>
    <row r="28" spans="1:12" ht="13.5" hidden="1">
      <c r="A28" s="136"/>
      <c r="B28" s="142" t="str">
        <f>IFERROR(VLOOKUP(H28,'[1]Consolidado MP Planta'!$A$2:$M$823,3,0),"")</f>
        <v/>
      </c>
      <c r="C28" s="137">
        <f t="shared" si="6"/>
        <v>0</v>
      </c>
      <c r="D28" s="138" t="str">
        <f>IFERROR(VLOOKUP(H28,'[1]Consolidado MP Planta'!$A$2:$M$823,13,0),"")</f>
        <v/>
      </c>
      <c r="E28" s="138" t="str">
        <f>IFERROR(VLOOKUP(H28,'[1]Consolidado MP Planta'!$A$2:$M$823,12,0),"")</f>
        <v/>
      </c>
      <c r="F28" s="138" t="str">
        <f t="shared" si="7"/>
        <v/>
      </c>
      <c r="G28" s="139" t="str">
        <f t="shared" si="8"/>
        <v/>
      </c>
      <c r="H28" s="143"/>
      <c r="I28" s="143"/>
      <c r="J28" s="141"/>
      <c r="K28" s="314"/>
      <c r="L28" s="314"/>
    </row>
    <row r="29" spans="1:12" ht="13.5" hidden="1">
      <c r="A29" s="136"/>
      <c r="B29" s="142" t="str">
        <f>IFERROR(VLOOKUP(H29,'[1]Consolidado MP Planta'!$A$2:$M$823,3,0),"")</f>
        <v/>
      </c>
      <c r="C29" s="137">
        <f t="shared" si="6"/>
        <v>0</v>
      </c>
      <c r="D29" s="138" t="str">
        <f>IFERROR(VLOOKUP(H29,'[1]Consolidado MP Planta'!$A$2:$M$823,13,0),"")</f>
        <v/>
      </c>
      <c r="E29" s="138" t="str">
        <f>IFERROR(VLOOKUP(H29,'[1]Consolidado MP Planta'!$A$2:$M$823,12,0),"")</f>
        <v/>
      </c>
      <c r="F29" s="138" t="str">
        <f t="shared" si="7"/>
        <v/>
      </c>
      <c r="G29" s="139" t="str">
        <f t="shared" si="8"/>
        <v/>
      </c>
      <c r="H29" s="143"/>
      <c r="I29" s="143"/>
      <c r="J29" s="141"/>
      <c r="K29" s="314"/>
      <c r="L29" s="314"/>
    </row>
    <row r="30" spans="1:12" ht="13.5" hidden="1">
      <c r="A30" s="136"/>
      <c r="B30" s="142" t="str">
        <f>IFERROR(VLOOKUP(H30,'[1]Consolidado MP Planta'!$A$2:$M$823,3,0),"")</f>
        <v/>
      </c>
      <c r="C30" s="137">
        <f t="shared" si="6"/>
        <v>0</v>
      </c>
      <c r="D30" s="138" t="str">
        <f>IFERROR(VLOOKUP(H30,'[1]Consolidado MP Planta'!$A$2:$M$823,13,0),"")</f>
        <v/>
      </c>
      <c r="E30" s="138" t="str">
        <f>IFERROR(VLOOKUP(H30,'[1]Consolidado MP Planta'!$A$2:$M$823,12,0),"")</f>
        <v/>
      </c>
      <c r="F30" s="138" t="str">
        <f t="shared" si="7"/>
        <v/>
      </c>
      <c r="G30" s="139" t="str">
        <f t="shared" si="8"/>
        <v/>
      </c>
      <c r="H30" s="143"/>
      <c r="I30" s="143"/>
      <c r="J30" s="141"/>
      <c r="K30" s="314"/>
      <c r="L30" s="314"/>
    </row>
    <row r="31" spans="1:12" ht="13.5" hidden="1">
      <c r="A31" s="136"/>
      <c r="B31" s="142" t="str">
        <f>IFERROR(VLOOKUP(H31,'[1]Consolidado MP Planta'!$A$2:$M$823,3,0),"")</f>
        <v/>
      </c>
      <c r="C31" s="137">
        <f t="shared" si="6"/>
        <v>0</v>
      </c>
      <c r="D31" s="138" t="str">
        <f>IFERROR(VLOOKUP(H31,'[1]Consolidado MP Planta'!$A$2:$M$823,13,0),"")</f>
        <v/>
      </c>
      <c r="E31" s="138" t="str">
        <f>IFERROR(VLOOKUP(H31,'[1]Consolidado MP Planta'!$A$2:$M$823,12,0),"")</f>
        <v/>
      </c>
      <c r="F31" s="138" t="str">
        <f t="shared" si="7"/>
        <v/>
      </c>
      <c r="G31" s="139" t="str">
        <f t="shared" si="8"/>
        <v/>
      </c>
      <c r="H31" s="143"/>
      <c r="I31" s="143"/>
      <c r="J31" s="141"/>
      <c r="K31" s="144"/>
      <c r="L31" s="145"/>
    </row>
    <row r="32" spans="1:12" ht="13.5" hidden="1">
      <c r="A32" s="136"/>
      <c r="B32" s="142" t="str">
        <f>IFERROR(VLOOKUP(H32,'[1]Consolidado MP Planta'!$A$2:$M$823,3,0),"")</f>
        <v/>
      </c>
      <c r="C32" s="137">
        <f t="shared" si="6"/>
        <v>0</v>
      </c>
      <c r="D32" s="138" t="str">
        <f>IFERROR(VLOOKUP(H32,'[1]Consolidado MP Planta'!$A$2:$M$823,13,0),"")</f>
        <v/>
      </c>
      <c r="E32" s="138" t="str">
        <f>IFERROR(VLOOKUP(H32,'[1]Consolidado MP Planta'!$A$2:$M$823,12,0),"")</f>
        <v/>
      </c>
      <c r="F32" s="138" t="str">
        <f t="shared" si="7"/>
        <v/>
      </c>
      <c r="G32" s="139" t="str">
        <f t="shared" si="8"/>
        <v/>
      </c>
      <c r="H32" s="143"/>
      <c r="I32" s="143"/>
      <c r="J32" s="141"/>
    </row>
    <row r="33" spans="1:13" ht="14.25" hidden="1" thickBot="1">
      <c r="A33" s="136"/>
      <c r="B33" s="142"/>
      <c r="C33" s="137"/>
      <c r="D33" s="138"/>
      <c r="E33" s="138"/>
      <c r="F33" s="138"/>
      <c r="G33" s="139"/>
      <c r="H33" s="143"/>
      <c r="I33" s="143"/>
      <c r="J33" s="141"/>
    </row>
    <row r="34" spans="1:13" ht="26.25" thickBot="1">
      <c r="A34" s="131" t="s">
        <v>87</v>
      </c>
      <c r="B34" s="132" t="s">
        <v>95</v>
      </c>
      <c r="C34" s="132" t="s">
        <v>87</v>
      </c>
      <c r="D34" s="133" t="s">
        <v>89</v>
      </c>
      <c r="E34" s="133" t="s">
        <v>90</v>
      </c>
      <c r="F34" s="133" t="s">
        <v>91</v>
      </c>
      <c r="G34" s="133" t="s">
        <v>92</v>
      </c>
      <c r="H34" s="134" t="s">
        <v>93</v>
      </c>
      <c r="I34" s="143"/>
      <c r="J34" s="141"/>
    </row>
    <row r="35" spans="1:13" ht="13.5">
      <c r="A35" s="136">
        <f>+A17</f>
        <v>5100</v>
      </c>
      <c r="B35" s="142" t="str">
        <f>IFERROR(VLOOKUP(H35,[1]SEMIELABORADOS!$A$2:$M$6000,2,0),"")</f>
        <v>ALMIBAR KILO</v>
      </c>
      <c r="C35" s="137">
        <f>+A35</f>
        <v>5100</v>
      </c>
      <c r="D35" s="138" t="str">
        <f>IFERROR(VLOOKUP(H35,[1]SEMIELABORADOS!$A$2:$M$6000,6,0),"")</f>
        <v>Gramo</v>
      </c>
      <c r="E35" s="138">
        <f>IFERROR(VLOOKUP(H35,[1]SEMIELABORADOS!$A$2:$M$65536,10,0),"")</f>
        <v>1.0250838E-2</v>
      </c>
      <c r="F35" s="138">
        <f>IFERROR(E35*C35,"")</f>
        <v>52.279273799999999</v>
      </c>
      <c r="G35" s="139">
        <f t="shared" ref="G35:G41" si="9">IFERROR(F35/$F$66,"")</f>
        <v>1.5097538990883385E-3</v>
      </c>
      <c r="H35" s="143" t="s">
        <v>76</v>
      </c>
      <c r="I35" s="143"/>
      <c r="J35" s="141"/>
    </row>
    <row r="36" spans="1:13" ht="13.5" hidden="1">
      <c r="A36" s="136">
        <f t="shared" ref="A36:A41" si="10">+A18</f>
        <v>0</v>
      </c>
      <c r="B36" s="142" t="str">
        <f>IFERROR(VLOOKUP(H36,[1]SEMIELABORADOS!$A$2:$M$6000,2,0),"")</f>
        <v/>
      </c>
      <c r="C36" s="137">
        <f t="shared" ref="C36:C41" si="11">+A36</f>
        <v>0</v>
      </c>
      <c r="D36" s="138" t="str">
        <f>IFERROR(VLOOKUP(H36,[1]SEMIELABORADOS!$A$2:$M$6000,6,0),"")</f>
        <v/>
      </c>
      <c r="E36" s="138" t="str">
        <f>IFERROR(VLOOKUP(H36,[1]SEMIELABORADOS!$A$2:$M$65536,10,0),"")</f>
        <v/>
      </c>
      <c r="F36" s="138" t="str">
        <f t="shared" ref="F36:F41" si="12">IFERROR(E36*C36,"")</f>
        <v/>
      </c>
      <c r="G36" s="139" t="str">
        <f t="shared" si="9"/>
        <v/>
      </c>
      <c r="H36" s="143"/>
      <c r="I36" s="143"/>
      <c r="J36" s="141"/>
    </row>
    <row r="37" spans="1:13" ht="13.5" hidden="1">
      <c r="A37" s="136">
        <f t="shared" si="10"/>
        <v>0</v>
      </c>
      <c r="B37" s="142" t="str">
        <f>IFERROR(VLOOKUP(H37,[1]SEMIELABORADOS!$A$2:$M$6000,2,0),"")</f>
        <v/>
      </c>
      <c r="C37" s="137">
        <f t="shared" si="11"/>
        <v>0</v>
      </c>
      <c r="D37" s="138" t="str">
        <f>IFERROR(VLOOKUP(H37,[1]SEMIELABORADOS!$A$2:$M$6000,6,0),"")</f>
        <v/>
      </c>
      <c r="E37" s="138" t="str">
        <f>IFERROR(VLOOKUP(H37,[1]SEMIELABORADOS!$A$2:$M$65536,10,0),"")</f>
        <v/>
      </c>
      <c r="F37" s="138" t="str">
        <f t="shared" si="12"/>
        <v/>
      </c>
      <c r="G37" s="139" t="str">
        <f t="shared" si="9"/>
        <v/>
      </c>
      <c r="H37" s="143"/>
      <c r="I37" s="143"/>
      <c r="J37" s="141"/>
    </row>
    <row r="38" spans="1:13" ht="13.5" hidden="1">
      <c r="A38" s="136">
        <f t="shared" si="10"/>
        <v>0</v>
      </c>
      <c r="B38" s="142" t="str">
        <f>IFERROR(VLOOKUP(H38,[1]SEMIELABORADOS!$A$2:$M$6000,2,0),"")</f>
        <v/>
      </c>
      <c r="C38" s="137">
        <f>+A38</f>
        <v>0</v>
      </c>
      <c r="D38" s="138" t="str">
        <f>IFERROR(VLOOKUP(H38,[1]SEMIELABORADOS!$A$2:$M$6000,6,0),"")</f>
        <v/>
      </c>
      <c r="E38" s="138" t="str">
        <f>IFERROR(VLOOKUP(H38,[1]SEMIELABORADOS!$A$2:$M$65536,10,0),"")</f>
        <v/>
      </c>
      <c r="F38" s="138" t="str">
        <f>IFERROR(E38*C38,"")</f>
        <v/>
      </c>
      <c r="G38" s="139" t="str">
        <f t="shared" si="9"/>
        <v/>
      </c>
      <c r="H38" s="143"/>
      <c r="I38" s="143"/>
      <c r="J38" s="141"/>
    </row>
    <row r="39" spans="1:13" ht="13.5" hidden="1">
      <c r="A39" s="136">
        <f t="shared" si="10"/>
        <v>0</v>
      </c>
      <c r="B39" s="142" t="str">
        <f>IFERROR(VLOOKUP(H39,[1]SEMIELABORADOS!$A$2:$M$6000,2,0),"")</f>
        <v/>
      </c>
      <c r="C39" s="137">
        <f>+A39</f>
        <v>0</v>
      </c>
      <c r="D39" s="138" t="str">
        <f>IFERROR(VLOOKUP(H39,[1]SEMIELABORADOS!$A$2:$M$6000,6,0),"")</f>
        <v/>
      </c>
      <c r="E39" s="138" t="str">
        <f>IFERROR(VLOOKUP(H39,[1]SEMIELABORADOS!$A$2:$M$65536,10,0),"")</f>
        <v/>
      </c>
      <c r="F39" s="138" t="str">
        <f>IFERROR(E39*C39,"")</f>
        <v/>
      </c>
      <c r="G39" s="139" t="str">
        <f t="shared" si="9"/>
        <v/>
      </c>
      <c r="H39" s="143"/>
      <c r="I39" s="143"/>
      <c r="J39" s="141"/>
    </row>
    <row r="40" spans="1:13" ht="13.5" hidden="1">
      <c r="A40" s="136">
        <f t="shared" si="10"/>
        <v>0</v>
      </c>
      <c r="B40" s="142" t="str">
        <f>IFERROR(VLOOKUP(H40,[1]SEMIELABORADOS!$A$2:$M$6000,2,0),"")</f>
        <v/>
      </c>
      <c r="C40" s="137">
        <f t="shared" si="11"/>
        <v>0</v>
      </c>
      <c r="D40" s="138" t="str">
        <f>IFERROR(VLOOKUP(H40,[1]SEMIELABORADOS!$A$2:$M$6000,6,0),"")</f>
        <v/>
      </c>
      <c r="E40" s="138" t="str">
        <f>IFERROR(VLOOKUP(H40,[1]SEMIELABORADOS!$A$2:$M$65536,10,0),"")</f>
        <v/>
      </c>
      <c r="F40" s="138" t="str">
        <f t="shared" si="12"/>
        <v/>
      </c>
      <c r="G40" s="139" t="str">
        <f t="shared" si="9"/>
        <v/>
      </c>
      <c r="H40" s="143"/>
      <c r="I40" s="143"/>
      <c r="J40" s="141"/>
    </row>
    <row r="41" spans="1:13" ht="13.5" hidden="1">
      <c r="A41" s="136">
        <f t="shared" si="10"/>
        <v>0</v>
      </c>
      <c r="B41" s="142" t="str">
        <f>IFERROR(VLOOKUP(H41,[1]SEMIELABORADOS!$A$2:$M$6000,2,0),"")</f>
        <v/>
      </c>
      <c r="C41" s="137">
        <f t="shared" si="11"/>
        <v>0</v>
      </c>
      <c r="D41" s="138" t="str">
        <f>IFERROR(VLOOKUP(H41,[1]SEMIELABORADOS!$A$2:$M$6000,6,0),"")</f>
        <v/>
      </c>
      <c r="E41" s="138" t="str">
        <f>IFERROR(VLOOKUP(H41,[1]SEMIELABORADOS!$A$2:$M$65536,10,0),"")</f>
        <v/>
      </c>
      <c r="F41" s="138" t="str">
        <f t="shared" si="12"/>
        <v/>
      </c>
      <c r="G41" s="139" t="str">
        <f t="shared" si="9"/>
        <v/>
      </c>
      <c r="H41" s="143"/>
      <c r="I41" s="143"/>
      <c r="J41" s="141"/>
    </row>
    <row r="42" spans="1:13" ht="14.25" thickBot="1">
      <c r="A42" s="136"/>
      <c r="B42" s="142"/>
      <c r="C42" s="137"/>
      <c r="D42" s="138"/>
      <c r="E42" s="138"/>
      <c r="F42" s="138"/>
      <c r="G42" s="139"/>
      <c r="H42" s="143"/>
      <c r="I42" s="143"/>
      <c r="J42" s="141"/>
    </row>
    <row r="43" spans="1:13" ht="26.25" thickBot="1">
      <c r="A43" s="131" t="s">
        <v>87</v>
      </c>
      <c r="B43" s="132" t="s">
        <v>96</v>
      </c>
      <c r="C43" s="132" t="s">
        <v>87</v>
      </c>
      <c r="D43" s="133" t="s">
        <v>89</v>
      </c>
      <c r="E43" s="133" t="s">
        <v>90</v>
      </c>
      <c r="F43" s="133" t="s">
        <v>91</v>
      </c>
      <c r="G43" s="133" t="s">
        <v>92</v>
      </c>
      <c r="H43" s="134" t="s">
        <v>93</v>
      </c>
      <c r="I43" s="135"/>
      <c r="J43" s="141"/>
    </row>
    <row r="44" spans="1:13" ht="13.5">
      <c r="A44" s="136">
        <f>+A35</f>
        <v>5100</v>
      </c>
      <c r="B44" s="142" t="str">
        <f>IFERROR(VLOOKUP(H44,[1]SEMIELABORADOS!$A$2:$M$6000,2,0),"")</f>
        <v>ALMIBAR KILO</v>
      </c>
      <c r="C44" s="137">
        <f>+A44</f>
        <v>5100</v>
      </c>
      <c r="D44" s="138" t="str">
        <f>IFERROR(VLOOKUP(H44,[1]SEMIELABORADOS!$A$2:$M$6000,6,0),"")</f>
        <v>Gramo</v>
      </c>
      <c r="E44" s="138">
        <f>IFERROR(VLOOKUP(H44,[1]SEMIELABORADOS!$A$2:$M$65536,12,0),"")</f>
        <v>6.0354056714541172E-2</v>
      </c>
      <c r="F44" s="138">
        <f>IFERROR(E44*C44,"")</f>
        <v>307.80568924415996</v>
      </c>
      <c r="G44" s="139">
        <f>IFERROR(F44/$F$66,"")</f>
        <v>8.8890071670801214E-3</v>
      </c>
      <c r="H44" s="143" t="s">
        <v>76</v>
      </c>
      <c r="I44" s="135"/>
      <c r="J44" s="141"/>
    </row>
    <row r="45" spans="1:13" ht="13.5" hidden="1">
      <c r="A45" s="136">
        <f t="shared" ref="A45:A50" si="13">+A36</f>
        <v>0</v>
      </c>
      <c r="B45" s="142" t="str">
        <f>IFERROR(VLOOKUP(H45,[1]SEMIELABORADOS!$A$2:$M$6000,2,0),"")</f>
        <v/>
      </c>
      <c r="C45" s="137">
        <f t="shared" ref="C45:C50" si="14">+A45</f>
        <v>0</v>
      </c>
      <c r="D45" s="138" t="str">
        <f>IFERROR(VLOOKUP(H45,[1]SEMIELABORADOS!$A$2:$M$6000,6,0),"")</f>
        <v/>
      </c>
      <c r="E45" s="138" t="str">
        <f>IFERROR(VLOOKUP(H45,[1]SEMIELABORADOS!$A$2:$M$65536,12,0),"")</f>
        <v/>
      </c>
      <c r="F45" s="138" t="str">
        <f t="shared" ref="F45:F50" si="15">IFERROR(E45*C45,"")</f>
        <v/>
      </c>
      <c r="G45" s="139" t="str">
        <f t="shared" ref="G45:G50" si="16">IFERROR(F45/$F$66,"")</f>
        <v/>
      </c>
      <c r="H45" s="143"/>
      <c r="I45" s="135"/>
      <c r="J45" s="141"/>
      <c r="M45" s="146"/>
    </row>
    <row r="46" spans="1:13" ht="13.5" hidden="1">
      <c r="A46" s="136">
        <f t="shared" si="13"/>
        <v>0</v>
      </c>
      <c r="B46" s="142" t="str">
        <f>IFERROR(VLOOKUP(H46,[1]SEMIELABORADOS!$A$2:$M$6000,2,0),"")</f>
        <v/>
      </c>
      <c r="C46" s="137">
        <f t="shared" si="14"/>
        <v>0</v>
      </c>
      <c r="D46" s="138" t="str">
        <f>IFERROR(VLOOKUP(H46,[1]SEMIELABORADOS!$A$2:$M$6000,6,0),"")</f>
        <v/>
      </c>
      <c r="E46" s="138" t="str">
        <f>IFERROR(VLOOKUP(H46,[1]SEMIELABORADOS!$A$2:$M$65536,12,0),"")</f>
        <v/>
      </c>
      <c r="F46" s="138" t="str">
        <f t="shared" si="15"/>
        <v/>
      </c>
      <c r="G46" s="139" t="str">
        <f t="shared" si="16"/>
        <v/>
      </c>
      <c r="H46" s="143"/>
      <c r="I46" s="135"/>
      <c r="J46" s="141"/>
    </row>
    <row r="47" spans="1:13" ht="13.5" hidden="1">
      <c r="A47" s="136">
        <f t="shared" si="13"/>
        <v>0</v>
      </c>
      <c r="B47" s="142" t="str">
        <f>IFERROR(VLOOKUP(H47,[1]SEMIELABORADOS!$A$2:$M$6000,2,0),"")</f>
        <v/>
      </c>
      <c r="C47" s="137">
        <f t="shared" si="14"/>
        <v>0</v>
      </c>
      <c r="D47" s="138" t="str">
        <f>IFERROR(VLOOKUP(H47,[1]SEMIELABORADOS!$A$2:$M$6000,6,0),"")</f>
        <v/>
      </c>
      <c r="E47" s="138" t="str">
        <f>IFERROR(VLOOKUP(H47,[1]SEMIELABORADOS!$A$2:$M$65536,12,0),"")</f>
        <v/>
      </c>
      <c r="F47" s="138" t="str">
        <f t="shared" si="15"/>
        <v/>
      </c>
      <c r="G47" s="139" t="str">
        <f t="shared" si="16"/>
        <v/>
      </c>
      <c r="H47" s="143"/>
      <c r="I47" s="135"/>
      <c r="J47" s="141"/>
    </row>
    <row r="48" spans="1:13" ht="13.5" hidden="1">
      <c r="A48" s="136">
        <f t="shared" si="13"/>
        <v>0</v>
      </c>
      <c r="B48" s="142" t="str">
        <f>IFERROR(VLOOKUP(H48,[1]SEMIELABORADOS!$A$2:$M$6000,2,0),"")</f>
        <v/>
      </c>
      <c r="C48" s="137">
        <f t="shared" si="14"/>
        <v>0</v>
      </c>
      <c r="D48" s="138" t="str">
        <f>IFERROR(VLOOKUP(H48,[1]SEMIELABORADOS!$A$2:$M$6000,6,0),"")</f>
        <v/>
      </c>
      <c r="E48" s="138" t="str">
        <f>IFERROR(VLOOKUP(H48,[1]SEMIELABORADOS!$A$2:$M$65536,12,0),"")</f>
        <v/>
      </c>
      <c r="F48" s="138" t="str">
        <f t="shared" si="15"/>
        <v/>
      </c>
      <c r="G48" s="139" t="str">
        <f t="shared" si="16"/>
        <v/>
      </c>
      <c r="H48" s="143"/>
      <c r="I48" s="135"/>
      <c r="J48" s="141"/>
    </row>
    <row r="49" spans="1:17" ht="13.5" hidden="1">
      <c r="A49" s="136">
        <f t="shared" si="13"/>
        <v>0</v>
      </c>
      <c r="B49" s="142" t="str">
        <f>IFERROR(VLOOKUP(H49,[1]SEMIELABORADOS!$A$2:$M$6000,2,0),"")</f>
        <v/>
      </c>
      <c r="C49" s="137">
        <f t="shared" si="14"/>
        <v>0</v>
      </c>
      <c r="D49" s="138" t="str">
        <f>IFERROR(VLOOKUP(H49,[1]SEMIELABORADOS!$A$2:$M$6000,6,0),"")</f>
        <v/>
      </c>
      <c r="E49" s="138" t="str">
        <f>IFERROR(VLOOKUP(H49,[1]SEMIELABORADOS!$A$2:$M$65536,12,0),"")</f>
        <v/>
      </c>
      <c r="F49" s="138" t="str">
        <f t="shared" si="15"/>
        <v/>
      </c>
      <c r="G49" s="139" t="str">
        <f t="shared" si="16"/>
        <v/>
      </c>
      <c r="H49" s="143"/>
      <c r="I49" s="135"/>
      <c r="J49" s="141"/>
    </row>
    <row r="50" spans="1:17" ht="13.5" hidden="1">
      <c r="A50" s="136">
        <f t="shared" si="13"/>
        <v>0</v>
      </c>
      <c r="B50" s="142" t="str">
        <f>IFERROR(VLOOKUP(H50,[1]SEMIELABORADOS!$A$2:$M$6000,2,0),"")</f>
        <v/>
      </c>
      <c r="C50" s="137">
        <f t="shared" si="14"/>
        <v>0</v>
      </c>
      <c r="D50" s="138" t="str">
        <f>IFERROR(VLOOKUP(H50,[1]SEMIELABORADOS!$A$2:$M$6000,6,0),"")</f>
        <v/>
      </c>
      <c r="E50" s="138" t="str">
        <f>IFERROR(VLOOKUP(H50,[1]SEMIELABORADOS!$A$2:$M$65536,12,0),"")</f>
        <v/>
      </c>
      <c r="F50" s="138" t="str">
        <f t="shared" si="15"/>
        <v/>
      </c>
      <c r="G50" s="139" t="str">
        <f t="shared" si="16"/>
        <v/>
      </c>
      <c r="H50" s="142"/>
      <c r="I50" s="135"/>
      <c r="J50" s="141"/>
    </row>
    <row r="51" spans="1:17" ht="13.5">
      <c r="A51" s="136">
        <v>1</v>
      </c>
      <c r="B51" s="142" t="s">
        <v>97</v>
      </c>
      <c r="C51" s="137">
        <f>+A51</f>
        <v>1</v>
      </c>
      <c r="D51" s="137" t="s">
        <v>98</v>
      </c>
      <c r="E51" s="138">
        <f>+F65</f>
        <v>385</v>
      </c>
      <c r="F51" s="138">
        <f>IFERROR(C51*E51,"")</f>
        <v>385</v>
      </c>
      <c r="G51" s="139">
        <f>IFERROR(F51/$F$66,"")</f>
        <v>1.1118273244817152E-2</v>
      </c>
      <c r="H51" s="147"/>
      <c r="I51" s="147"/>
      <c r="J51" s="141"/>
    </row>
    <row r="52" spans="1:17" ht="14.25" thickBot="1">
      <c r="A52" s="136"/>
      <c r="B52" s="142"/>
      <c r="C52" s="137"/>
      <c r="D52" s="137"/>
      <c r="E52" s="138"/>
      <c r="F52" s="138"/>
      <c r="G52" s="139"/>
      <c r="H52" s="147"/>
      <c r="I52" s="147"/>
      <c r="J52" s="141"/>
    </row>
    <row r="53" spans="1:17" ht="13.5" thickBot="1">
      <c r="A53" s="148"/>
      <c r="B53" s="315" t="s">
        <v>99</v>
      </c>
      <c r="C53" s="315"/>
      <c r="D53" s="315"/>
      <c r="E53" s="315"/>
      <c r="F53" s="150">
        <f>SUM(F8:F14,F17:F24)</f>
        <v>33520</v>
      </c>
      <c r="G53" s="139">
        <f>+F53/$F$66</f>
        <v>0.96801173809421026</v>
      </c>
      <c r="H53" s="151">
        <f>+F53/$D$60</f>
        <v>33520</v>
      </c>
      <c r="I53" s="151"/>
      <c r="J53" s="152"/>
      <c r="K53" s="153"/>
      <c r="L53" s="153"/>
      <c r="M53" s="153"/>
      <c r="N53" s="153"/>
      <c r="O53" s="153"/>
      <c r="P53" s="153"/>
      <c r="Q53" s="154"/>
    </row>
    <row r="54" spans="1:17">
      <c r="A54" s="148"/>
      <c r="B54" s="315" t="s">
        <v>100</v>
      </c>
      <c r="C54" s="315"/>
      <c r="D54" s="315"/>
      <c r="E54" s="315"/>
      <c r="F54" s="150">
        <f>SUM(F27:F32,F35:F41)</f>
        <v>52.279273799999999</v>
      </c>
      <c r="G54" s="139">
        <f>+F54/$F$66</f>
        <v>1.5097538990883385E-3</v>
      </c>
      <c r="H54" s="151">
        <f>+F54/$D$60</f>
        <v>52.279273799999999</v>
      </c>
      <c r="I54" s="151"/>
      <c r="J54" s="155"/>
      <c r="K54" s="316" t="s">
        <v>101</v>
      </c>
      <c r="L54" s="317"/>
      <c r="M54" s="317"/>
      <c r="N54" s="317"/>
      <c r="O54" s="156">
        <f>+F55</f>
        <v>33572.279273799999</v>
      </c>
      <c r="P54" s="156"/>
      <c r="Q54" s="157"/>
    </row>
    <row r="55" spans="1:17">
      <c r="A55" s="148"/>
      <c r="B55" s="315" t="s">
        <v>102</v>
      </c>
      <c r="C55" s="315"/>
      <c r="D55" s="315"/>
      <c r="E55" s="315"/>
      <c r="F55" s="150">
        <f>+F53+F54</f>
        <v>33572.279273799999</v>
      </c>
      <c r="G55" s="139">
        <f>+F55/$F$66</f>
        <v>0.96952149199329862</v>
      </c>
      <c r="H55" s="151">
        <f>+F55/$D$60</f>
        <v>33572.279273799999</v>
      </c>
      <c r="I55" s="151"/>
      <c r="J55" s="158"/>
      <c r="K55" s="159"/>
      <c r="M55" s="160" t="s">
        <v>103</v>
      </c>
      <c r="N55" s="161"/>
      <c r="O55" s="156">
        <f>+H56</f>
        <v>692.80568924416002</v>
      </c>
      <c r="P55" s="156"/>
      <c r="Q55" s="157"/>
    </row>
    <row r="56" spans="1:17" ht="13.5" thickBot="1">
      <c r="A56" s="148"/>
      <c r="B56" s="149"/>
      <c r="C56" s="315" t="s">
        <v>104</v>
      </c>
      <c r="D56" s="315"/>
      <c r="E56" s="315"/>
      <c r="F56" s="150">
        <f>SUM(F44:F51)</f>
        <v>692.80568924416002</v>
      </c>
      <c r="G56" s="139">
        <f>+F56/$F$66</f>
        <v>2.0007280411897276E-2</v>
      </c>
      <c r="H56" s="151">
        <f>+F56/$D$60</f>
        <v>692.80568924416002</v>
      </c>
      <c r="I56" s="151"/>
      <c r="J56" s="158"/>
      <c r="K56" s="159"/>
      <c r="L56" s="159"/>
      <c r="M56" s="159" t="s">
        <v>105</v>
      </c>
      <c r="N56" s="162"/>
      <c r="O56" s="156">
        <f>O54*N56</f>
        <v>0</v>
      </c>
      <c r="P56" s="156"/>
      <c r="Q56" s="157"/>
    </row>
    <row r="57" spans="1:17" ht="13.5" thickBot="1">
      <c r="A57" s="148"/>
      <c r="B57" s="163"/>
      <c r="C57" s="163"/>
      <c r="D57" s="163"/>
      <c r="E57" s="163"/>
      <c r="F57" s="164"/>
      <c r="G57" s="139"/>
      <c r="H57" s="165"/>
      <c r="I57" s="151"/>
      <c r="J57" s="158"/>
      <c r="K57" s="166"/>
      <c r="M57" s="167" t="s">
        <v>106</v>
      </c>
      <c r="N57" s="168"/>
      <c r="O57" s="169">
        <f>SUM(O54:O56)</f>
        <v>34265.084963044159</v>
      </c>
      <c r="P57" s="170"/>
      <c r="Q57" s="157"/>
    </row>
    <row r="58" spans="1:17">
      <c r="B58" s="318" t="s">
        <v>107</v>
      </c>
      <c r="C58" s="318"/>
      <c r="D58" s="171">
        <v>10000</v>
      </c>
      <c r="E58" s="172"/>
      <c r="G58" s="139"/>
      <c r="H58" s="165">
        <f>+H56/77</f>
        <v>8.9974764836903898</v>
      </c>
      <c r="I58" s="173"/>
      <c r="J58" s="158"/>
      <c r="K58" s="166"/>
      <c r="L58" s="159"/>
      <c r="M58" s="159" t="s">
        <v>108</v>
      </c>
      <c r="N58" s="174"/>
      <c r="O58" s="156">
        <f>+H59</f>
        <v>746.7905481463024</v>
      </c>
      <c r="P58" s="156"/>
      <c r="Q58" s="157"/>
    </row>
    <row r="59" spans="1:17">
      <c r="B59" s="318" t="s">
        <v>109</v>
      </c>
      <c r="C59" s="318"/>
      <c r="D59" s="175">
        <v>10000</v>
      </c>
      <c r="E59" s="172"/>
      <c r="G59" s="139"/>
      <c r="H59" s="165">
        <f>+H58*83</f>
        <v>746.7905481463024</v>
      </c>
      <c r="I59" s="173"/>
      <c r="J59" s="158"/>
      <c r="K59" s="166"/>
      <c r="L59" s="159"/>
      <c r="M59" s="319" t="s">
        <v>106</v>
      </c>
      <c r="N59" s="319"/>
      <c r="O59" s="156">
        <f>SUM(O57:O58)</f>
        <v>35011.875511190461</v>
      </c>
      <c r="P59" s="156"/>
      <c r="Q59" s="157"/>
    </row>
    <row r="60" spans="1:17" ht="13.5" thickBot="1">
      <c r="B60" s="310" t="s">
        <v>110</v>
      </c>
      <c r="C60" s="310"/>
      <c r="D60" s="171">
        <f>+D58/D59</f>
        <v>1</v>
      </c>
      <c r="E60" s="172"/>
      <c r="F60" s="176"/>
      <c r="G60" s="139"/>
      <c r="H60" s="165"/>
      <c r="I60" s="173"/>
      <c r="J60" s="158"/>
      <c r="K60" s="166"/>
      <c r="L60" s="319"/>
      <c r="M60" s="319"/>
      <c r="N60" s="174"/>
      <c r="O60" s="156">
        <f>+O59*N60</f>
        <v>0</v>
      </c>
      <c r="P60" s="156"/>
      <c r="Q60" s="157"/>
    </row>
    <row r="61" spans="1:17" ht="13.5" thickBot="1">
      <c r="B61" s="310" t="s">
        <v>111</v>
      </c>
      <c r="C61" s="310"/>
      <c r="D61" s="177"/>
      <c r="E61" s="172"/>
      <c r="F61" s="176"/>
      <c r="G61" s="139"/>
      <c r="H61" s="165"/>
      <c r="I61" s="173"/>
      <c r="J61" s="158"/>
      <c r="K61" s="311" t="s">
        <v>112</v>
      </c>
      <c r="L61" s="312"/>
      <c r="M61" s="312"/>
      <c r="N61" s="313"/>
      <c r="O61" s="169">
        <f>SUM(O59:O60)</f>
        <v>35011.875511190461</v>
      </c>
      <c r="P61" s="178" t="s">
        <v>113</v>
      </c>
      <c r="Q61" s="157"/>
    </row>
    <row r="62" spans="1:17" ht="13.5" thickBot="1">
      <c r="C62" s="148" t="s">
        <v>114</v>
      </c>
      <c r="D62" s="179"/>
      <c r="E62" s="122" t="s">
        <v>115</v>
      </c>
      <c r="F62" s="180" t="s">
        <v>116</v>
      </c>
      <c r="G62" s="139"/>
      <c r="H62" s="165"/>
      <c r="I62" s="173"/>
      <c r="J62" s="181"/>
      <c r="K62" s="182"/>
      <c r="L62" s="299" t="s">
        <v>117</v>
      </c>
      <c r="M62" s="299"/>
      <c r="N62" s="299"/>
      <c r="O62" s="183">
        <f>+O61/D60</f>
        <v>35011.875511190461</v>
      </c>
      <c r="P62" s="184">
        <f>+O62/D59</f>
        <v>3.5011875511190462</v>
      </c>
      <c r="Q62" s="185"/>
    </row>
    <row r="63" spans="1:17" ht="13.5" thickBot="1">
      <c r="B63" s="300" t="s">
        <v>102</v>
      </c>
      <c r="C63" s="300"/>
      <c r="D63" s="300"/>
      <c r="E63" s="186">
        <f>+F63/F63</f>
        <v>1</v>
      </c>
      <c r="F63" s="187">
        <f>SUM(F55)</f>
        <v>33572.279273799999</v>
      </c>
      <c r="G63" s="139">
        <f>+F63/$F$66</f>
        <v>0.96952149199329862</v>
      </c>
      <c r="H63" s="165"/>
      <c r="I63" s="173"/>
      <c r="K63" s="301"/>
      <c r="L63" s="302"/>
      <c r="M63" s="302"/>
      <c r="N63" s="302"/>
      <c r="O63" s="188"/>
      <c r="P63" s="189"/>
    </row>
    <row r="64" spans="1:17" ht="13.5" thickBot="1">
      <c r="B64" s="303" t="s">
        <v>118</v>
      </c>
      <c r="C64" s="303"/>
      <c r="D64" s="303"/>
      <c r="E64" s="190">
        <v>0.02</v>
      </c>
      <c r="F64" s="187">
        <f>+F53*E64</f>
        <v>670.4</v>
      </c>
      <c r="G64" s="139">
        <f>+F64/$F$66</f>
        <v>1.9360234761884206E-2</v>
      </c>
      <c r="H64" s="151"/>
      <c r="I64" s="173"/>
      <c r="J64" s="191"/>
      <c r="O64" s="192"/>
      <c r="P64" s="149"/>
    </row>
    <row r="65" spans="2:13" ht="13.5" thickBot="1">
      <c r="B65" s="304" t="s">
        <v>119</v>
      </c>
      <c r="C65" s="305"/>
      <c r="D65" s="193">
        <v>5</v>
      </c>
      <c r="E65" s="194">
        <v>77</v>
      </c>
      <c r="F65" s="187">
        <f>+E65*D65</f>
        <v>385</v>
      </c>
      <c r="G65" s="139">
        <f>+F65/$F$66</f>
        <v>1.1118273244817152E-2</v>
      </c>
      <c r="H65" s="151"/>
      <c r="I65" s="151"/>
      <c r="J65" s="141"/>
    </row>
    <row r="66" spans="2:13" ht="13.5" thickBot="1">
      <c r="B66" s="306" t="s">
        <v>120</v>
      </c>
      <c r="C66" s="307"/>
      <c r="D66" s="307"/>
      <c r="E66" s="308"/>
      <c r="F66" s="164">
        <f>SUM(F63:F65)</f>
        <v>34627.6792738</v>
      </c>
      <c r="G66" s="139">
        <f>+F66/$F$66</f>
        <v>1</v>
      </c>
      <c r="H66" s="309"/>
      <c r="I66" s="151"/>
      <c r="J66" s="141"/>
      <c r="M66" s="124" t="s">
        <v>121</v>
      </c>
    </row>
    <row r="67" spans="2:13">
      <c r="C67" s="146"/>
      <c r="D67" s="146"/>
      <c r="E67" s="196"/>
      <c r="F67" s="187"/>
      <c r="G67" s="139"/>
      <c r="H67" s="309"/>
      <c r="I67" s="195"/>
      <c r="J67" s="124"/>
      <c r="M67" s="124" t="s">
        <v>122</v>
      </c>
    </row>
    <row r="68" spans="2:13" ht="13.5" thickBot="1">
      <c r="B68" s="294" t="s">
        <v>123</v>
      </c>
      <c r="C68" s="294"/>
      <c r="D68" s="294"/>
      <c r="E68" s="294"/>
      <c r="F68" s="294"/>
      <c r="G68" s="139"/>
      <c r="H68" s="198"/>
      <c r="I68" s="195"/>
      <c r="J68" s="124"/>
      <c r="M68" s="124" t="s">
        <v>124</v>
      </c>
    </row>
    <row r="69" spans="2:13" ht="13.5" thickBot="1">
      <c r="B69" s="199" t="s">
        <v>125</v>
      </c>
      <c r="C69" s="200">
        <f>+F53</f>
        <v>33520</v>
      </c>
      <c r="D69" s="200">
        <f>+D58</f>
        <v>10000</v>
      </c>
      <c r="E69" s="201">
        <f>+C69/D69</f>
        <v>3.3519999999999999</v>
      </c>
      <c r="F69" s="139"/>
      <c r="G69" s="198"/>
      <c r="H69" s="141"/>
      <c r="I69" s="198"/>
      <c r="J69" s="124"/>
    </row>
    <row r="70" spans="2:13">
      <c r="B70" s="202"/>
      <c r="C70" s="203"/>
      <c r="D70" s="204"/>
      <c r="E70" s="187"/>
      <c r="F70" s="139"/>
      <c r="G70" s="198"/>
      <c r="H70" s="141"/>
      <c r="I70" s="141"/>
      <c r="J70" s="124"/>
    </row>
    <row r="71" spans="2:13">
      <c r="B71" s="199" t="s">
        <v>126</v>
      </c>
      <c r="C71" s="200">
        <f>SUM(F63:F64)</f>
        <v>34242.6792738</v>
      </c>
      <c r="D71" s="200">
        <f>+D58</f>
        <v>10000</v>
      </c>
      <c r="E71" s="205">
        <f>+C71/D71</f>
        <v>3.4242679273799999</v>
      </c>
      <c r="F71" s="139"/>
      <c r="G71" s="198"/>
      <c r="H71" s="141"/>
      <c r="I71" s="141"/>
      <c r="J71" s="124"/>
    </row>
    <row r="72" spans="2:13">
      <c r="B72" s="199"/>
      <c r="C72" s="200"/>
      <c r="D72" s="200"/>
      <c r="E72" s="205"/>
      <c r="F72" s="139"/>
      <c r="G72" s="198"/>
      <c r="H72" s="141"/>
      <c r="I72" s="141"/>
      <c r="J72" s="124"/>
    </row>
    <row r="73" spans="2:13" ht="13.5" thickBot="1">
      <c r="B73" s="199" t="s">
        <v>127</v>
      </c>
      <c r="C73" s="200">
        <f>+F65</f>
        <v>385</v>
      </c>
      <c r="D73" s="200">
        <f>+D58</f>
        <v>10000</v>
      </c>
      <c r="E73" s="205">
        <f>+C73/D73</f>
        <v>3.85E-2</v>
      </c>
      <c r="F73" s="139"/>
      <c r="G73" s="198"/>
      <c r="H73" s="141"/>
      <c r="I73" s="141"/>
      <c r="J73" s="124"/>
    </row>
    <row r="74" spans="2:13" ht="13.5" thickBot="1">
      <c r="B74" s="199" t="s">
        <v>128</v>
      </c>
      <c r="C74" s="200">
        <f>+F56</f>
        <v>692.80568924416002</v>
      </c>
      <c r="D74" s="200">
        <f>+D73</f>
        <v>10000</v>
      </c>
      <c r="E74" s="201">
        <f>+C74/D74</f>
        <v>6.9280568924416003E-2</v>
      </c>
      <c r="F74" s="139"/>
      <c r="G74" s="198"/>
      <c r="H74" s="141"/>
      <c r="I74" s="141"/>
      <c r="J74" s="124"/>
    </row>
    <row r="75" spans="2:13" ht="13.5" thickBot="1">
      <c r="B75" s="163"/>
      <c r="C75" s="164"/>
      <c r="D75" s="164"/>
      <c r="E75" s="205"/>
      <c r="F75" s="139"/>
      <c r="G75" s="198"/>
      <c r="H75" s="141"/>
      <c r="I75" s="141"/>
      <c r="J75" s="124"/>
    </row>
    <row r="76" spans="2:13" ht="13.5" thickBot="1">
      <c r="B76" s="199" t="s">
        <v>129</v>
      </c>
      <c r="C76" s="200">
        <f>+F54</f>
        <v>52.279273799999999</v>
      </c>
      <c r="D76" s="200">
        <f>+D74</f>
        <v>10000</v>
      </c>
      <c r="E76" s="201">
        <f>+C76/D76</f>
        <v>5.2279273799999996E-3</v>
      </c>
      <c r="F76" s="139"/>
      <c r="G76" s="198"/>
      <c r="H76" s="141"/>
      <c r="I76" s="141"/>
      <c r="J76" s="141"/>
    </row>
    <row r="77" spans="2:13" ht="13.5" thickBot="1">
      <c r="B77" s="163"/>
      <c r="C77" s="164"/>
      <c r="D77" s="164"/>
      <c r="E77" s="205"/>
      <c r="F77" s="139"/>
      <c r="G77" s="198"/>
      <c r="H77" s="141"/>
      <c r="I77" s="141"/>
    </row>
    <row r="78" spans="2:13" ht="13.5" thickBot="1">
      <c r="B78" s="295" t="s">
        <v>130</v>
      </c>
      <c r="C78" s="296"/>
      <c r="D78" s="297"/>
      <c r="E78" s="201">
        <f>+E69+E74</f>
        <v>3.4212805689244159</v>
      </c>
      <c r="G78" s="139"/>
      <c r="H78" s="198"/>
      <c r="I78" s="141"/>
      <c r="J78" s="205"/>
    </row>
    <row r="79" spans="2:13">
      <c r="I79" s="198"/>
      <c r="J79" s="124"/>
    </row>
    <row r="80" spans="2:13" ht="13.5" thickBot="1">
      <c r="B80" s="294" t="s">
        <v>131</v>
      </c>
      <c r="C80" s="294"/>
      <c r="D80" s="294"/>
      <c r="E80" s="294"/>
      <c r="F80" s="294"/>
      <c r="G80" s="139"/>
      <c r="H80" s="198"/>
      <c r="J80" s="124"/>
    </row>
    <row r="81" spans="1:10" ht="13.5" thickBot="1">
      <c r="B81" s="199" t="s">
        <v>125</v>
      </c>
      <c r="C81" s="200">
        <f>+C69</f>
        <v>33520</v>
      </c>
      <c r="D81" s="200">
        <f>+D60</f>
        <v>1</v>
      </c>
      <c r="E81" s="201">
        <f>+C81/D81</f>
        <v>33520</v>
      </c>
      <c r="F81" s="139"/>
      <c r="G81" s="198"/>
      <c r="H81" s="141"/>
      <c r="I81" s="198"/>
      <c r="J81" s="124"/>
    </row>
    <row r="82" spans="1:10">
      <c r="B82" s="202"/>
      <c r="C82" s="203"/>
      <c r="D82" s="204"/>
      <c r="E82" s="187"/>
      <c r="F82" s="139"/>
      <c r="G82" s="198"/>
      <c r="H82" s="141"/>
      <c r="I82" s="141"/>
      <c r="J82" s="124"/>
    </row>
    <row r="83" spans="1:10">
      <c r="B83" s="199" t="s">
        <v>126</v>
      </c>
      <c r="C83" s="200">
        <f>+C71</f>
        <v>34242.6792738</v>
      </c>
      <c r="D83" s="200">
        <f>+D60</f>
        <v>1</v>
      </c>
      <c r="E83" s="205">
        <f>+C83/D83</f>
        <v>34242.6792738</v>
      </c>
      <c r="F83" s="139"/>
      <c r="G83" s="198"/>
      <c r="H83" s="141"/>
      <c r="I83" s="141"/>
      <c r="J83" s="124"/>
    </row>
    <row r="84" spans="1:10">
      <c r="B84" s="199"/>
      <c r="C84" s="200"/>
      <c r="D84" s="200"/>
      <c r="E84" s="205"/>
      <c r="F84" s="139"/>
      <c r="G84" s="198"/>
      <c r="H84" s="141"/>
      <c r="I84" s="141"/>
      <c r="J84" s="124"/>
    </row>
    <row r="85" spans="1:10" ht="13.5" thickBot="1">
      <c r="B85" s="199" t="s">
        <v>128</v>
      </c>
      <c r="C85" s="200">
        <f>+C73</f>
        <v>385</v>
      </c>
      <c r="D85" s="200">
        <f>+D60</f>
        <v>1</v>
      </c>
      <c r="E85" s="205">
        <f>+C85/D85</f>
        <v>385</v>
      </c>
      <c r="F85" s="207"/>
      <c r="G85" s="197"/>
      <c r="H85" s="123"/>
      <c r="I85" s="141"/>
    </row>
    <row r="86" spans="1:10" ht="13.5" thickBot="1">
      <c r="B86" s="199" t="s">
        <v>128</v>
      </c>
      <c r="C86" s="200">
        <f>+C74</f>
        <v>692.80568924416002</v>
      </c>
      <c r="D86" s="200">
        <f>+D85</f>
        <v>1</v>
      </c>
      <c r="E86" s="201">
        <f>+C86/D86</f>
        <v>692.80568924416002</v>
      </c>
      <c r="F86" s="206"/>
      <c r="G86" s="197"/>
      <c r="H86" s="123"/>
      <c r="I86" s="123"/>
    </row>
    <row r="87" spans="1:10">
      <c r="I87" s="123"/>
    </row>
    <row r="88" spans="1:10">
      <c r="A88" s="298"/>
      <c r="B88" s="298"/>
      <c r="C88" s="208"/>
      <c r="D88" s="208"/>
      <c r="E88" s="209"/>
      <c r="G88" s="210"/>
    </row>
    <row r="89" spans="1:10">
      <c r="A89" s="142"/>
      <c r="B89" s="211"/>
      <c r="C89" s="212"/>
      <c r="D89" s="212"/>
      <c r="E89" s="213"/>
      <c r="G89" s="210"/>
    </row>
    <row r="90" spans="1:10">
      <c r="A90" s="142"/>
      <c r="B90" s="211"/>
      <c r="C90" s="214"/>
      <c r="D90" s="214"/>
      <c r="E90" s="142"/>
      <c r="G90" s="210"/>
    </row>
    <row r="91" spans="1:10">
      <c r="A91" s="142"/>
      <c r="B91" s="211"/>
      <c r="C91" s="215"/>
      <c r="D91" s="215"/>
      <c r="E91" s="142"/>
      <c r="G91" s="21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D23F5-EDEE-47C4-872B-1C37E2283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Costo Torta Cacique</vt:lpstr>
      <vt:lpstr>Pelado </vt:lpstr>
      <vt:lpstr>Costo pelado copetin</vt:lpstr>
      <vt:lpstr>Almibar Ron Centenario</vt:lpstr>
      <vt:lpstr>Costo Almibar de cacique</vt:lpstr>
      <vt:lpstr>'Almibar Ron Centenario'!Área_de_impresión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2026-02-11T23:44:09Z</cp:lastPrinted>
  <dcterms:created xsi:type="dcterms:W3CDTF">2025-01-06T20:55:42Z</dcterms:created>
  <dcterms:modified xsi:type="dcterms:W3CDTF">2026-02-11T23:46:20Z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
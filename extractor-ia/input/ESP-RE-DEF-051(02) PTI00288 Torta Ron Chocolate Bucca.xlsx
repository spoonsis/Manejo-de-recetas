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829D17B3-C33A-443F-A65B-4D54C039D0A0}" xr6:coauthVersionLast="47" xr6:coauthVersionMax="47" xr10:uidLastSave="{708D29AD-E768-444A-8AA1-32390568A4AC}"/>
  <bookViews>
    <workbookView xWindow="-120" yWindow="-120" windowWidth="20730" windowHeight="11040" xr2:uid="{28E823A8-687F-431D-9CF2-232546A41919}"/>
  </bookViews>
  <sheets>
    <sheet name="Ensamble" sheetId="1" r:id="rId1"/>
  </sheets>
  <definedNames>
    <definedName name="_xlnm.Print_Area" localSheetId="0">Ensamble!$A$1:$I$50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J33" i="1"/>
</calcChain>
</file>

<file path=xl/sharedStrings.xml><?xml version="1.0" encoding="utf-8"?>
<sst xmlns="http://schemas.openxmlformats.org/spreadsheetml/2006/main" count="137" uniqueCount="104">
  <si>
    <t>CONTROL DE CAMBIOS</t>
  </si>
  <si>
    <t>8, Tapar y etiquetar.</t>
  </si>
  <si>
    <t xml:space="preserve">7, Realizar el colocho con la boquilla 7FT y colocar Tres Chocolates de cacique en el centro como muestra la imagen. </t>
  </si>
  <si>
    <t xml:space="preserve">6, Colocar tambien bettercream doble chocolae en la parte superior, extenderlo y realizar con ayuda de una espatula una espiral. </t>
  </si>
  <si>
    <t>5, Encrema con crema blanca y marmolear con el bettercream de chocolate y pasar el peine.</t>
  </si>
  <si>
    <t>4.- Colocar sobre la base de la quequera.</t>
  </si>
  <si>
    <t>3.- Colocar otra mitad de rosquete humedecidoy rellenar la primera capa con 1 taza de chantilly de chocolate y 1/4 de taza de procesado de chocolate.</t>
  </si>
  <si>
    <t xml:space="preserve">2.-  Rellenar la primera capa con 1 taza de chantilly de chocolate y 1/4 de taza de procesado de chocolate. </t>
  </si>
  <si>
    <t>1.- Cortar los rosquetes por la mitad.Utilizar 1,5 rosquetes. Mojar cada uno con almíbar de cacique.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</si>
  <si>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</si>
  <si>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</si>
  <si>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</si>
  <si>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</si>
  <si>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</si>
  <si>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</si>
  <si>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</si>
  <si>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</si>
  <si>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</si>
  <si>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</si>
  <si>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</si>
  <si>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</si>
  <si>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</si>
  <si>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</si>
  <si>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</si>
  <si>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 xml:space="preserve">ETIQUETA ESPECIAL DIA DEL PADRE </t>
  </si>
  <si>
    <t xml:space="preserve">Nueva </t>
  </si>
  <si>
    <t>Nuevo</t>
  </si>
  <si>
    <t>Etiplast</t>
  </si>
  <si>
    <t>ETIQUETA BLANCA 2 5/8X1 15/16 PRE BLANCA</t>
  </si>
  <si>
    <t>EM10011</t>
  </si>
  <si>
    <t>0702123</t>
  </si>
  <si>
    <t>Cemusa</t>
  </si>
  <si>
    <t>ETIQ.BLANCA 1 1/4 * 3/4</t>
  </si>
  <si>
    <t>EM10002</t>
  </si>
  <si>
    <t>0702069</t>
  </si>
  <si>
    <t xml:space="preserve">ETIQ.FECHA VENCIMIENTO </t>
  </si>
  <si>
    <t>EM10004</t>
  </si>
  <si>
    <t>0702007</t>
  </si>
  <si>
    <t>Litografia CR</t>
  </si>
  <si>
    <t>ET. TORTA BUCCA GENERICA</t>
  </si>
  <si>
    <t>EM10112</t>
  </si>
  <si>
    <t>2172411</t>
  </si>
  <si>
    <t>UD</t>
  </si>
  <si>
    <t xml:space="preserve">Orla # 10 Bucca </t>
  </si>
  <si>
    <t>EM10084</t>
  </si>
  <si>
    <t>1952875</t>
  </si>
  <si>
    <t>Export pmt</t>
  </si>
  <si>
    <t xml:space="preserve">Quequera Red  Base/Domo 10 </t>
  </si>
  <si>
    <t>EM10009</t>
  </si>
  <si>
    <t>121603</t>
  </si>
  <si>
    <t>EMPAQUE</t>
  </si>
  <si>
    <t>Goteo Bordes</t>
  </si>
  <si>
    <t>FAS</t>
  </si>
  <si>
    <t>Ganache Chocolate Oscuro</t>
  </si>
  <si>
    <t>SE00001</t>
  </si>
  <si>
    <t>Marmolear</t>
  </si>
  <si>
    <t>Crema Bettercream Doble Chocolate</t>
  </si>
  <si>
    <t>MP10006</t>
  </si>
  <si>
    <t>Boquilla 7FT</t>
  </si>
  <si>
    <t>Crema Chantilly Blanca (Spoon-Ind)</t>
  </si>
  <si>
    <t>SE00010</t>
  </si>
  <si>
    <t>Decoración</t>
  </si>
  <si>
    <t xml:space="preserve">1/4 taza </t>
  </si>
  <si>
    <t xml:space="preserve">35g x capa </t>
  </si>
  <si>
    <t>Procesado Chocolate Rallado Oscuro</t>
  </si>
  <si>
    <t>SE00392</t>
  </si>
  <si>
    <t xml:space="preserve">1 Taza </t>
  </si>
  <si>
    <t>Crema Chocolate Spoon</t>
  </si>
  <si>
    <t>SE00024</t>
  </si>
  <si>
    <t>65g x capa</t>
  </si>
  <si>
    <t xml:space="preserve">Almibar de Ron Centenario </t>
  </si>
  <si>
    <t>SE00790</t>
  </si>
  <si>
    <t xml:space="preserve">1,5 de rosquete </t>
  </si>
  <si>
    <t>ROSQUETE EASY VAINILLA BC 310 G</t>
  </si>
  <si>
    <t>SE00454</t>
  </si>
  <si>
    <t>907000287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</si>
  <si>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</si>
  <si>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</si>
  <si>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</si>
  <si>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</si>
  <si>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</si>
  <si>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</si>
  <si>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</si>
  <si>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</si>
  <si>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</si>
  <si>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</si>
  <si>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</si>
  <si>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</si>
  <si>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</si>
  <si>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</si>
  <si>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</si>
  <si>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</si>
  <si>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</si>
  <si>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</si>
  <si>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PTI00288 Torta Ron Chocolate Bucca </t>
  </si>
  <si>
    <t>REVISIÓN:</t>
  </si>
  <si>
    <t>ESPECIFICACION DE RECETA</t>
  </si>
  <si>
    <t>CÓDIGO:</t>
  </si>
  <si>
    <t>SERVICIOS DE PASTELERIA S.A.</t>
  </si>
  <si>
    <t>ESP-RE-DEF-051</t>
  </si>
  <si>
    <t xml:space="preserve">75g x capa </t>
  </si>
  <si>
    <t>1/8 taza</t>
  </si>
  <si>
    <t xml:space="preserve">2, Se actualizan datos receta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</si>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</sst>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(* #,##0.000_);_(* \(#,##0.00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rgb="FF0070C0"/>
      <name val="Arial"/>
      <family val="2"/>
    </font>
    <font>
      <sz val="12"/>
      <color theme="1"/>
      <name val="Aptos Narrow"/>
      <family val="2"/>
      <scheme val="minor"/>
    </font>
    <font>
      <b/>
      <sz val="16"/>
      <color indexed="8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Century Gothic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" fillId="0" borderId="0"/>
  </cellStyleXfs>
  <cellXfs count="135">
    <xf numFmtId="0" fontId="0" fillId="0" borderId="0" xfId="0"/>
    <xf numFmtId="0" fontId="5" fillId="4" borderId="10" xfId="3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0" fillId="0" borderId="0" xfId="0" applyNumberFormat="1"/>
    <xf numFmtId="0" fontId="4" fillId="4" borderId="9" xfId="3" applyFont="1" applyFill="1" applyBorder="1" applyAlignment="1">
      <alignment horizontal="center"/>
    </xf>
    <xf numFmtId="0" fontId="4" fillId="4" borderId="10" xfId="3" applyFont="1" applyFill="1" applyBorder="1"/>
    <xf numFmtId="164" fontId="4" fillId="4" borderId="10" xfId="3" applyNumberFormat="1" applyFont="1" applyFill="1" applyBorder="1" applyAlignment="1">
      <alignment horizontal="center" wrapText="1"/>
    </xf>
    <xf numFmtId="1" fontId="5" fillId="4" borderId="10" xfId="3" applyNumberFormat="1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0" fontId="4" fillId="2" borderId="26" xfId="3" applyFont="1" applyFill="1" applyBorder="1" applyAlignment="1">
      <alignment horizontal="center"/>
    </xf>
    <xf numFmtId="0" fontId="4" fillId="2" borderId="0" xfId="3" applyFont="1" applyFill="1"/>
    <xf numFmtId="164" fontId="4" fillId="2" borderId="0" xfId="3" applyNumberFormat="1" applyFont="1" applyFill="1" applyAlignment="1">
      <alignment horizontal="center" wrapText="1"/>
    </xf>
    <xf numFmtId="1" fontId="4" fillId="2" borderId="0" xfId="3" applyNumberFormat="1" applyFont="1" applyFill="1" applyAlignment="1">
      <alignment horizontal="center"/>
    </xf>
    <xf numFmtId="49" fontId="8" fillId="2" borderId="0" xfId="3" applyNumberFormat="1" applyFont="1" applyFill="1" applyAlignment="1">
      <alignment horizontal="center" vertical="center"/>
    </xf>
    <xf numFmtId="49" fontId="8" fillId="2" borderId="27" xfId="3" applyNumberFormat="1" applyFont="1" applyFill="1" applyBorder="1" applyAlignment="1">
      <alignment horizontal="center" vertical="center"/>
    </xf>
    <xf numFmtId="0" fontId="4" fillId="0" borderId="28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49" fontId="4" fillId="0" borderId="1" xfId="3" applyNumberFormat="1" applyFont="1" applyBorder="1"/>
    <xf numFmtId="49" fontId="4" fillId="0" borderId="19" xfId="3" applyNumberFormat="1" applyFont="1" applyBorder="1" applyAlignment="1">
      <alignment horizontal="center"/>
    </xf>
    <xf numFmtId="49" fontId="4" fillId="0" borderId="29" xfId="3" applyNumberFormat="1" applyFont="1" applyBorder="1" applyAlignment="1">
      <alignment horizontal="center"/>
    </xf>
    <xf numFmtId="12" fontId="9" fillId="0" borderId="1" xfId="3" applyNumberFormat="1" applyFont="1" applyBorder="1" applyAlignment="1">
      <alignment horizontal="left"/>
    </xf>
    <xf numFmtId="1" fontId="4" fillId="0" borderId="1" xfId="3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7" fillId="0" borderId="1" xfId="0" applyFont="1" applyBorder="1"/>
    <xf numFmtId="1" fontId="5" fillId="0" borderId="1" xfId="3" applyNumberFormat="1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165" fontId="5" fillId="5" borderId="1" xfId="1" applyNumberFormat="1" applyFont="1" applyFill="1" applyBorder="1" applyAlignment="1">
      <alignment horizontal="center"/>
    </xf>
    <xf numFmtId="0" fontId="10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5" fillId="0" borderId="1" xfId="3" applyFont="1" applyBorder="1"/>
    <xf numFmtId="1" fontId="5" fillId="0" borderId="1" xfId="3" applyNumberFormat="1" applyFont="1" applyBorder="1" applyAlignment="1">
      <alignment horizontal="center" wrapText="1"/>
    </xf>
    <xf numFmtId="1" fontId="4" fillId="5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16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4" fillId="0" borderId="18" xfId="3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5" fillId="5" borderId="1" xfId="3" applyFont="1" applyFill="1" applyBorder="1" applyAlignment="1">
      <alignment horizontal="left"/>
    </xf>
    <xf numFmtId="0" fontId="4" fillId="0" borderId="19" xfId="3" applyFont="1" applyBorder="1" applyAlignment="1">
      <alignment horizontal="center"/>
    </xf>
    <xf numFmtId="0" fontId="4" fillId="0" borderId="1" xfId="3" applyFont="1" applyBorder="1"/>
    <xf numFmtId="0" fontId="5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5" fillId="0" borderId="29" xfId="3" applyFont="1" applyBorder="1" applyAlignment="1">
      <alignment horizontal="center" vertical="center"/>
    </xf>
    <xf numFmtId="0" fontId="12" fillId="4" borderId="30" xfId="3" applyFont="1" applyFill="1" applyBorder="1" applyAlignment="1">
      <alignment horizontal="center"/>
    </xf>
    <xf numFmtId="1" fontId="12" fillId="4" borderId="14" xfId="3" applyNumberFormat="1" applyFont="1" applyFill="1" applyBorder="1" applyAlignment="1">
      <alignment horizontal="center" wrapText="1"/>
    </xf>
    <xf numFmtId="1" fontId="12" fillId="4" borderId="14" xfId="3" applyNumberFormat="1" applyFont="1" applyFill="1" applyBorder="1" applyAlignment="1">
      <alignment horizontal="center"/>
    </xf>
    <xf numFmtId="0" fontId="12" fillId="4" borderId="33" xfId="3" applyFont="1" applyFill="1" applyBorder="1" applyAlignment="1">
      <alignment horizontal="center" vertical="center" wrapText="1"/>
    </xf>
    <xf numFmtId="14" fontId="13" fillId="2" borderId="0" xfId="2" applyNumberFormat="1" applyFont="1" applyFill="1" applyAlignment="1">
      <alignment horizontal="center" vertical="center" wrapText="1"/>
    </xf>
    <xf numFmtId="0" fontId="15" fillId="2" borderId="1" xfId="2" applyFont="1" applyFill="1" applyBorder="1" applyAlignment="1">
      <alignment horizontal="right"/>
    </xf>
    <xf numFmtId="0" fontId="15" fillId="2" borderId="6" xfId="2" applyFont="1" applyFill="1" applyBorder="1" applyAlignment="1">
      <alignment horizontal="right"/>
    </xf>
    <xf numFmtId="49" fontId="15" fillId="2" borderId="28" xfId="2" applyNumberFormat="1" applyFont="1" applyFill="1" applyBorder="1" applyAlignment="1">
      <alignment horizontal="center"/>
    </xf>
    <xf numFmtId="0" fontId="12" fillId="2" borderId="1" xfId="2" applyFont="1" applyFill="1" applyBorder="1" applyAlignment="1">
      <alignment horizontal="right"/>
    </xf>
    <xf numFmtId="0" fontId="15" fillId="2" borderId="33" xfId="2" applyFont="1" applyFill="1" applyBorder="1" applyAlignment="1">
      <alignment horizontal="center"/>
    </xf>
    <xf numFmtId="0" fontId="12" fillId="2" borderId="34" xfId="2" applyFont="1" applyFill="1" applyBorder="1" applyAlignment="1">
      <alignment horizontal="right"/>
    </xf>
    <xf numFmtId="0" fontId="4" fillId="2" borderId="1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left"/>
    </xf>
    <xf numFmtId="0" fontId="4" fillId="0" borderId="14" xfId="3" applyFont="1" applyBorder="1" applyAlignment="1">
      <alignment horizontal="right"/>
    </xf>
    <xf numFmtId="164" fontId="4" fillId="0" borderId="13" xfId="3" applyNumberFormat="1" applyFont="1" applyBorder="1" applyAlignment="1">
      <alignment horizontal="center"/>
    </xf>
    <xf numFmtId="164" fontId="4" fillId="0" borderId="12" xfId="3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3" applyFont="1" applyBorder="1" applyAlignment="1">
      <alignment horizontal="left"/>
    </xf>
    <xf numFmtId="0" fontId="4" fillId="0" borderId="3" xfId="3" applyFont="1" applyBorder="1" applyAlignment="1">
      <alignment horizontal="left"/>
    </xf>
    <xf numFmtId="0" fontId="4" fillId="0" borderId="2" xfId="3" applyFont="1" applyBorder="1" applyAlignment="1">
      <alignment horizontal="left"/>
    </xf>
    <xf numFmtId="0" fontId="5" fillId="3" borderId="1" xfId="2" applyFont="1" applyFill="1" applyBorder="1" applyAlignment="1">
      <alignment horizontal="center"/>
    </xf>
    <xf numFmtId="0" fontId="5" fillId="0" borderId="21" xfId="3" applyFont="1" applyBorder="1" applyAlignment="1">
      <alignment horizontal="right"/>
    </xf>
    <xf numFmtId="0" fontId="5" fillId="0" borderId="20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164" fontId="4" fillId="0" borderId="18" xfId="3" applyNumberFormat="1" applyFont="1" applyBorder="1" applyAlignment="1">
      <alignment horizontal="right" wrapText="1"/>
    </xf>
    <xf numFmtId="164" fontId="4" fillId="0" borderId="19" xfId="3" applyNumberFormat="1" applyFont="1" applyBorder="1" applyAlignment="1">
      <alignment horizontal="right" wrapText="1"/>
    </xf>
    <xf numFmtId="164" fontId="4" fillId="0" borderId="18" xfId="3" applyNumberFormat="1" applyFont="1" applyBorder="1" applyAlignment="1">
      <alignment horizontal="center"/>
    </xf>
    <xf numFmtId="164" fontId="4" fillId="0" borderId="17" xfId="3" applyNumberFormat="1" applyFont="1" applyBorder="1" applyAlignment="1">
      <alignment horizontal="center"/>
    </xf>
    <xf numFmtId="0" fontId="5" fillId="0" borderId="16" xfId="3" applyFont="1" applyBorder="1" applyAlignment="1">
      <alignment horizontal="right"/>
    </xf>
    <xf numFmtId="0" fontId="5" fillId="0" borderId="15" xfId="3" applyFont="1" applyBorder="1" applyAlignment="1">
      <alignment horizontal="right"/>
    </xf>
    <xf numFmtId="0" fontId="5" fillId="0" borderId="14" xfId="3" applyFont="1" applyBorder="1" applyAlignment="1">
      <alignment horizontal="right"/>
    </xf>
    <xf numFmtId="0" fontId="5" fillId="4" borderId="11" xfId="3" applyFont="1" applyFill="1" applyBorder="1" applyAlignment="1">
      <alignment horizontal="center"/>
    </xf>
    <xf numFmtId="0" fontId="5" fillId="4" borderId="10" xfId="3" applyFont="1" applyFill="1" applyBorder="1" applyAlignment="1">
      <alignment horizontal="center"/>
    </xf>
    <xf numFmtId="0" fontId="5" fillId="4" borderId="9" xfId="3" applyFont="1" applyFill="1" applyBorder="1" applyAlignment="1">
      <alignment horizontal="center"/>
    </xf>
    <xf numFmtId="0" fontId="5" fillId="0" borderId="25" xfId="3" applyFont="1" applyBorder="1" applyAlignment="1">
      <alignment horizontal="right"/>
    </xf>
    <xf numFmtId="0" fontId="5" fillId="0" borderId="24" xfId="3" applyFont="1" applyBorder="1" applyAlignment="1">
      <alignment horizontal="right"/>
    </xf>
    <xf numFmtId="0" fontId="5" fillId="0" borderId="7" xfId="3" applyFont="1" applyBorder="1" applyAlignment="1">
      <alignment horizontal="right"/>
    </xf>
    <xf numFmtId="164" fontId="4" fillId="0" borderId="6" xfId="3" applyNumberFormat="1" applyFont="1" applyBorder="1" applyAlignment="1">
      <alignment horizontal="right"/>
    </xf>
    <xf numFmtId="0" fontId="4" fillId="2" borderId="23" xfId="3" applyFont="1" applyFill="1" applyBorder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14" fillId="2" borderId="0" xfId="2" applyFont="1" applyFill="1"/>
    <xf numFmtId="0" fontId="12" fillId="4" borderId="35" xfId="3" applyFont="1" applyFill="1" applyBorder="1" applyAlignment="1">
      <alignment horizontal="center" vertical="center"/>
    </xf>
    <xf numFmtId="0" fontId="12" fillId="4" borderId="16" xfId="3" applyFont="1" applyFill="1" applyBorder="1" applyAlignment="1">
      <alignment horizontal="center" vertical="center"/>
    </xf>
    <xf numFmtId="0" fontId="12" fillId="4" borderId="35" xfId="3" applyFont="1" applyFill="1" applyBorder="1" applyAlignment="1">
      <alignment horizontal="center" vertical="center" wrapText="1"/>
    </xf>
    <xf numFmtId="0" fontId="12" fillId="4" borderId="32" xfId="3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right"/>
    </xf>
    <xf numFmtId="0" fontId="15" fillId="2" borderId="46" xfId="2" applyFont="1" applyFill="1" applyBorder="1" applyAlignment="1">
      <alignment horizontal="center"/>
    </xf>
    <xf numFmtId="0" fontId="15" fillId="2" borderId="45" xfId="2" applyFont="1" applyFill="1" applyBorder="1" applyAlignment="1">
      <alignment horizontal="center"/>
    </xf>
    <xf numFmtId="0" fontId="15" fillId="2" borderId="27" xfId="2" applyFont="1" applyFill="1" applyBorder="1" applyAlignment="1">
      <alignment horizontal="center"/>
    </xf>
    <xf numFmtId="0" fontId="15" fillId="2" borderId="0" xfId="2" applyFont="1" applyFill="1" applyAlignment="1">
      <alignment horizontal="center"/>
    </xf>
    <xf numFmtId="0" fontId="15" fillId="2" borderId="25" xfId="2" applyFont="1" applyFill="1" applyBorder="1" applyAlignment="1">
      <alignment horizontal="center"/>
    </xf>
    <xf numFmtId="0" fontId="15" fillId="2" borderId="24" xfId="2" applyFont="1" applyFill="1" applyBorder="1" applyAlignment="1">
      <alignment horizontal="center"/>
    </xf>
    <xf numFmtId="0" fontId="12" fillId="2" borderId="34" xfId="2" applyFont="1" applyFill="1" applyBorder="1" applyAlignment="1">
      <alignment horizontal="center"/>
    </xf>
    <xf numFmtId="0" fontId="12" fillId="2" borderId="31" xfId="2" applyFont="1" applyFill="1" applyBorder="1" applyAlignment="1">
      <alignment horizontal="center"/>
    </xf>
    <xf numFmtId="0" fontId="16" fillId="6" borderId="11" xfId="2" applyFont="1" applyFill="1" applyBorder="1" applyAlignment="1">
      <alignment horizontal="center" vertical="center" wrapText="1"/>
    </xf>
    <xf numFmtId="0" fontId="16" fillId="6" borderId="10" xfId="2" applyFont="1" applyFill="1" applyBorder="1" applyAlignment="1">
      <alignment horizontal="center" vertical="center" wrapText="1"/>
    </xf>
    <xf numFmtId="0" fontId="16" fillId="6" borderId="9" xfId="2" applyFont="1" applyFill="1" applyBorder="1" applyAlignment="1">
      <alignment horizontal="center" vertical="center" wrapText="1"/>
    </xf>
    <xf numFmtId="0" fontId="12" fillId="2" borderId="44" xfId="2" applyFont="1" applyFill="1" applyBorder="1" applyAlignment="1">
      <alignment horizontal="right" vertical="top" wrapText="1"/>
    </xf>
    <xf numFmtId="0" fontId="12" fillId="2" borderId="39" xfId="2" applyFont="1" applyFill="1" applyBorder="1" applyAlignment="1">
      <alignment horizontal="right" vertical="top" wrapText="1"/>
    </xf>
    <xf numFmtId="0" fontId="12" fillId="2" borderId="37" xfId="2" applyFont="1" applyFill="1" applyBorder="1" applyAlignment="1">
      <alignment horizontal="right" vertical="top" wrapText="1"/>
    </xf>
    <xf numFmtId="0" fontId="12" fillId="4" borderId="34" xfId="3" applyFont="1" applyFill="1" applyBorder="1" applyAlignment="1">
      <alignment horizontal="center" vertical="center"/>
    </xf>
    <xf numFmtId="0" fontId="12" fillId="4" borderId="31" xfId="3" applyFont="1" applyFill="1" applyBorder="1" applyAlignment="1">
      <alignment horizontal="center" vertical="center"/>
    </xf>
    <xf numFmtId="0" fontId="12" fillId="4" borderId="14" xfId="3" applyFont="1" applyFill="1" applyBorder="1" applyAlignment="1">
      <alignment horizontal="center" vertical="center"/>
    </xf>
    <xf numFmtId="14" fontId="15" fillId="2" borderId="43" xfId="2" applyNumberFormat="1" applyFont="1" applyFill="1" applyBorder="1" applyAlignment="1">
      <alignment horizontal="center" vertical="center" wrapText="1"/>
    </xf>
    <xf numFmtId="14" fontId="15" fillId="2" borderId="38" xfId="2" applyNumberFormat="1" applyFont="1" applyFill="1" applyBorder="1" applyAlignment="1">
      <alignment horizontal="center" vertical="center" wrapText="1"/>
    </xf>
    <xf numFmtId="14" fontId="15" fillId="2" borderId="5" xfId="2" applyNumberFormat="1" applyFont="1" applyFill="1" applyBorder="1" applyAlignment="1">
      <alignment horizontal="center" vertical="center" wrapText="1"/>
    </xf>
    <xf numFmtId="0" fontId="15" fillId="2" borderId="42" xfId="2" applyFont="1" applyFill="1" applyBorder="1" applyAlignment="1">
      <alignment horizontal="left"/>
    </xf>
    <xf numFmtId="0" fontId="15" fillId="2" borderId="41" xfId="2" applyFont="1" applyFill="1" applyBorder="1" applyAlignment="1">
      <alignment horizontal="left"/>
    </xf>
    <xf numFmtId="0" fontId="15" fillId="2" borderId="40" xfId="2" applyFont="1" applyFill="1" applyBorder="1" applyAlignment="1">
      <alignment horizontal="left"/>
    </xf>
    <xf numFmtId="0" fontId="15" fillId="2" borderId="18" xfId="2" applyFont="1" applyFill="1" applyBorder="1" applyAlignment="1">
      <alignment horizontal="left"/>
    </xf>
    <xf numFmtId="0" fontId="15" fillId="2" borderId="20" xfId="2" applyFont="1" applyFill="1" applyBorder="1" applyAlignment="1">
      <alignment horizontal="left"/>
    </xf>
    <xf numFmtId="0" fontId="15" fillId="2" borderId="19" xfId="2" applyFont="1" applyFill="1" applyBorder="1" applyAlignment="1">
      <alignment horizontal="left"/>
    </xf>
    <xf numFmtId="0" fontId="14" fillId="2" borderId="0" xfId="2" applyFont="1" applyFill="1" applyAlignment="1">
      <alignment horizontal="right"/>
    </xf>
    <xf numFmtId="0" fontId="13" fillId="2" borderId="36" xfId="2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D7599BEC-FFEA-4259-BDFD-95FFF823DDA4}"/>
    <cellStyle name="Normal_CRITERIOS DE EVALUACION PT DE GB 2" xfId="2" xr:uid="{D87503A5-2E78-4F8F-A184-C3EDBB593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83344</xdr:colOff>
      <xdr:row>0</xdr:row>
      <xdr:rowOff>149074</xdr:rowOff>
    </xdr:from>
    <xdr:ext cx="2126668" cy="982020"/>
    <xdr:pic>
      <xdr:nvPicPr>
        <xdr:cNvPr id="2" name="Imagen 2">
          <a:extLst>
            <a:ext uri="{FF2B5EF4-FFF2-40B4-BE49-F238E27FC236}">
              <a16:creationId xmlns:a16="http://schemas.microsoft.com/office/drawing/2014/main" id="{E9B97396-C19A-4DD5-A9AA-A123875E2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149074"/>
          <a:ext cx="2126668" cy="98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92A3-DA37-4F2E-8A96-A6B830C4F1CE}">
  <sheetPr>
    <pageSetUpPr fitToPage="1"/>
  </sheetPr>
  <dimension ref="A1:K50"/>
  <sheetViews>
    <sheetView tabSelected="1" topLeftCell="A3" zoomScale="80" zoomScaleNormal="80" workbookViewId="0">
      <selection activeCell="B11" sqref="B11"/>
    </sheetView>
  </sheetViews>
  <sheetFormatPr baseColWidth="10" defaultRowHeight="15" x14ac:dyDescent="0.25"/>
  <cols>
    <col min="1" max="1" width="16.85546875" bestFit="1" customWidth="1"/>
    <col min="2" max="2" width="18.140625" customWidth="1"/>
    <col min="3" max="3" width="69.140625" bestFit="1" customWidth="1"/>
    <col min="4" max="4" width="19.140625" bestFit="1" customWidth="1"/>
    <col min="5" max="6" width="15.5703125" customWidth="1"/>
    <col min="7" max="7" width="21.42578125" customWidth="1"/>
    <col min="8" max="8" width="24" customWidth="1"/>
    <col min="9" max="9" width="21.5703125" customWidth="1"/>
  </cols>
  <sheetData>
    <row r="1" spans="1:9" ht="17.25" x14ac:dyDescent="0.3">
      <c r="A1" s="107"/>
      <c r="B1" s="108"/>
      <c r="C1" s="113" t="s">
        <v>98</v>
      </c>
      <c r="D1" s="113"/>
      <c r="E1" s="113"/>
      <c r="F1" s="113"/>
      <c r="G1" s="113"/>
      <c r="H1" s="64" t="s">
        <v>97</v>
      </c>
      <c r="I1" s="63" t="s">
        <v>99</v>
      </c>
    </row>
    <row r="2" spans="1:9" ht="18" thickBot="1" x14ac:dyDescent="0.35">
      <c r="A2" s="109"/>
      <c r="B2" s="110"/>
      <c r="C2" s="114" t="s">
        <v>96</v>
      </c>
      <c r="D2" s="114"/>
      <c r="E2" s="114"/>
      <c r="F2" s="114"/>
      <c r="G2" s="114"/>
      <c r="H2" s="62" t="s">
        <v>95</v>
      </c>
      <c r="I2" s="61" t="s">
        <v>103</v>
      </c>
    </row>
    <row r="3" spans="1:9" ht="33" customHeight="1" thickBot="1" x14ac:dyDescent="0.3">
      <c r="A3" s="109"/>
      <c r="B3" s="110"/>
      <c r="C3" s="115" t="s">
        <v>94</v>
      </c>
      <c r="D3" s="116"/>
      <c r="E3" s="116"/>
      <c r="F3" s="116"/>
      <c r="G3" s="117"/>
      <c r="H3" s="118" t="s">
        <v>93</v>
      </c>
      <c r="I3" s="124">
        <v>46064</v>
      </c>
    </row>
    <row r="4" spans="1:9" ht="17.25" x14ac:dyDescent="0.3">
      <c r="A4" s="109"/>
      <c r="B4" s="110"/>
      <c r="C4" s="60" t="s">
        <v>92</v>
      </c>
      <c r="D4" s="127" t="s">
        <v>91</v>
      </c>
      <c r="E4" s="128"/>
      <c r="F4" s="128"/>
      <c r="G4" s="129"/>
      <c r="H4" s="119"/>
      <c r="I4" s="125"/>
    </row>
    <row r="5" spans="1:9" ht="18" thickBot="1" x14ac:dyDescent="0.35">
      <c r="A5" s="111"/>
      <c r="B5" s="112"/>
      <c r="C5" s="59" t="s">
        <v>90</v>
      </c>
      <c r="D5" s="130" t="s">
        <v>89</v>
      </c>
      <c r="E5" s="131"/>
      <c r="F5" s="131"/>
      <c r="G5" s="132"/>
      <c r="H5" s="120"/>
      <c r="I5" s="126"/>
    </row>
    <row r="6" spans="1:9" ht="18.75" customHeight="1" thickBot="1" x14ac:dyDescent="0.3">
      <c r="A6" s="133" t="s">
        <v>88</v>
      </c>
      <c r="B6" s="133"/>
      <c r="C6" s="133"/>
      <c r="D6" s="134" t="s">
        <v>86</v>
      </c>
      <c r="E6" s="134"/>
      <c r="F6" s="134"/>
      <c r="G6" s="101" t="s">
        <v>87</v>
      </c>
      <c r="H6" s="101"/>
      <c r="I6" s="58" t="s">
        <v>86</v>
      </c>
    </row>
    <row r="7" spans="1:9" ht="33" customHeight="1" x14ac:dyDescent="0.25">
      <c r="A7" s="102" t="s">
        <v>85</v>
      </c>
      <c r="B7" s="104" t="s">
        <v>84</v>
      </c>
      <c r="C7" s="121" t="s">
        <v>83</v>
      </c>
      <c r="D7" s="121" t="s">
        <v>82</v>
      </c>
      <c r="E7" s="121" t="s">
        <v>81</v>
      </c>
      <c r="F7" s="121"/>
      <c r="G7" s="121" t="s">
        <v>80</v>
      </c>
      <c r="H7" s="121"/>
      <c r="I7" s="57" t="s">
        <v>79</v>
      </c>
    </row>
    <row r="8" spans="1:9" ht="31.5" thickBot="1" x14ac:dyDescent="0.3">
      <c r="A8" s="103"/>
      <c r="B8" s="105"/>
      <c r="C8" s="122"/>
      <c r="D8" s="123"/>
      <c r="E8" s="56" t="s">
        <v>23</v>
      </c>
      <c r="F8" s="55" t="s">
        <v>78</v>
      </c>
      <c r="G8" s="56" t="s">
        <v>23</v>
      </c>
      <c r="H8" s="55" t="s">
        <v>78</v>
      </c>
      <c r="I8" s="54" t="s">
        <v>77</v>
      </c>
    </row>
    <row r="9" spans="1:9" ht="19.7" customHeight="1" x14ac:dyDescent="0.3">
      <c r="A9" s="53"/>
      <c r="B9" s="51"/>
      <c r="C9" s="52" t="s">
        <v>76</v>
      </c>
      <c r="D9" s="51"/>
      <c r="E9" s="31"/>
      <c r="F9" s="39"/>
      <c r="G9" s="31"/>
      <c r="H9" s="39"/>
      <c r="I9" s="20"/>
    </row>
    <row r="10" spans="1:9" ht="20.25" x14ac:dyDescent="0.3">
      <c r="A10" s="36" t="s">
        <v>75</v>
      </c>
      <c r="B10" s="36" t="s">
        <v>74</v>
      </c>
      <c r="C10" s="30" t="s">
        <v>73</v>
      </c>
      <c r="D10" s="32" t="s">
        <v>52</v>
      </c>
      <c r="E10" s="29">
        <v>430</v>
      </c>
      <c r="F10" s="28" t="s">
        <v>10</v>
      </c>
      <c r="G10" s="30"/>
      <c r="H10" s="4" t="s">
        <v>72</v>
      </c>
      <c r="I10" s="21"/>
    </row>
    <row r="11" spans="1:9" ht="20.25" x14ac:dyDescent="0.3">
      <c r="A11" s="36"/>
      <c r="B11" s="36" t="s">
        <v>71</v>
      </c>
      <c r="C11" s="30" t="s">
        <v>70</v>
      </c>
      <c r="D11" s="32" t="s">
        <v>52</v>
      </c>
      <c r="E11" s="29">
        <v>195</v>
      </c>
      <c r="F11" s="28" t="s">
        <v>10</v>
      </c>
      <c r="G11" s="27" t="s">
        <v>69</v>
      </c>
      <c r="H11" s="36"/>
      <c r="I11" s="21"/>
    </row>
    <row r="12" spans="1:9" ht="20.25" x14ac:dyDescent="0.3">
      <c r="A12" s="36"/>
      <c r="B12" s="36" t="s">
        <v>68</v>
      </c>
      <c r="C12" s="30" t="s">
        <v>67</v>
      </c>
      <c r="D12" s="32" t="s">
        <v>52</v>
      </c>
      <c r="E12" s="29">
        <v>150</v>
      </c>
      <c r="F12" s="28" t="s">
        <v>10</v>
      </c>
      <c r="G12" s="27" t="s">
        <v>100</v>
      </c>
      <c r="H12" s="36" t="s">
        <v>66</v>
      </c>
      <c r="I12" s="21"/>
    </row>
    <row r="13" spans="1:9" ht="20.25" x14ac:dyDescent="0.3">
      <c r="A13" s="36"/>
      <c r="B13" s="36" t="s">
        <v>65</v>
      </c>
      <c r="C13" s="30" t="s">
        <v>64</v>
      </c>
      <c r="D13" s="32" t="s">
        <v>52</v>
      </c>
      <c r="E13" s="29">
        <v>70</v>
      </c>
      <c r="F13" s="28" t="s">
        <v>10</v>
      </c>
      <c r="G13" s="27" t="s">
        <v>63</v>
      </c>
      <c r="H13" s="36" t="s">
        <v>62</v>
      </c>
      <c r="I13" s="21"/>
    </row>
    <row r="14" spans="1:9" ht="20.25" x14ac:dyDescent="0.3">
      <c r="A14" s="49"/>
      <c r="B14" s="21"/>
      <c r="C14" s="50"/>
      <c r="D14" s="4"/>
      <c r="E14" s="36"/>
      <c r="F14" s="47"/>
      <c r="G14" s="46"/>
      <c r="H14" s="36"/>
      <c r="I14" s="21"/>
    </row>
    <row r="15" spans="1:9" ht="20.25" x14ac:dyDescent="0.3">
      <c r="A15" s="49"/>
      <c r="B15" s="21"/>
      <c r="C15" s="48" t="s">
        <v>61</v>
      </c>
      <c r="D15" s="4"/>
      <c r="E15" s="36"/>
      <c r="F15" s="47"/>
      <c r="G15" s="46"/>
      <c r="H15" s="36"/>
      <c r="I15" s="21"/>
    </row>
    <row r="16" spans="1:9" ht="20.25" x14ac:dyDescent="0.3">
      <c r="A16" s="21"/>
      <c r="B16" s="36" t="s">
        <v>60</v>
      </c>
      <c r="C16" s="30" t="s">
        <v>59</v>
      </c>
      <c r="D16" s="36" t="s">
        <v>52</v>
      </c>
      <c r="E16" s="36">
        <v>150</v>
      </c>
      <c r="F16" s="36" t="s">
        <v>10</v>
      </c>
      <c r="G16" s="27"/>
      <c r="H16" s="36"/>
      <c r="I16" s="21"/>
    </row>
    <row r="17" spans="1:11" ht="20.25" x14ac:dyDescent="0.3">
      <c r="A17" s="21"/>
      <c r="B17" s="36" t="s">
        <v>60</v>
      </c>
      <c r="C17" s="30" t="s">
        <v>59</v>
      </c>
      <c r="D17" s="36" t="s">
        <v>52</v>
      </c>
      <c r="E17" s="36">
        <v>40</v>
      </c>
      <c r="F17" s="36" t="s">
        <v>10</v>
      </c>
      <c r="G17" s="31" t="s">
        <v>58</v>
      </c>
      <c r="H17" s="36"/>
      <c r="I17" s="21"/>
    </row>
    <row r="18" spans="1:11" ht="20.25" x14ac:dyDescent="0.3">
      <c r="A18" s="21"/>
      <c r="B18" s="36" t="s">
        <v>57</v>
      </c>
      <c r="C18" s="30" t="s">
        <v>56</v>
      </c>
      <c r="D18" s="36"/>
      <c r="E18" s="36">
        <v>4</v>
      </c>
      <c r="F18" s="36" t="s">
        <v>10</v>
      </c>
      <c r="G18" s="31" t="s">
        <v>55</v>
      </c>
      <c r="H18" s="36"/>
      <c r="I18" s="21"/>
    </row>
    <row r="19" spans="1:11" ht="20.25" x14ac:dyDescent="0.3">
      <c r="A19" s="21"/>
      <c r="B19" s="36" t="s">
        <v>65</v>
      </c>
      <c r="C19" s="30" t="s">
        <v>64</v>
      </c>
      <c r="D19" s="32" t="s">
        <v>52</v>
      </c>
      <c r="E19" s="36">
        <v>20</v>
      </c>
      <c r="F19" s="36" t="s">
        <v>10</v>
      </c>
      <c r="H19" s="31" t="s">
        <v>101</v>
      </c>
      <c r="I19" s="21"/>
    </row>
    <row r="20" spans="1:11" ht="20.25" x14ac:dyDescent="0.3">
      <c r="A20" s="21"/>
      <c r="B20" s="36" t="s">
        <v>54</v>
      </c>
      <c r="C20" s="37" t="s">
        <v>53</v>
      </c>
      <c r="D20" s="45" t="s">
        <v>52</v>
      </c>
      <c r="E20" s="44">
        <v>25</v>
      </c>
      <c r="F20" s="36" t="s">
        <v>10</v>
      </c>
      <c r="G20" s="31" t="s">
        <v>51</v>
      </c>
      <c r="I20" s="21"/>
    </row>
    <row r="21" spans="1:11" ht="20.25" x14ac:dyDescent="0.3">
      <c r="A21" s="30"/>
      <c r="B21" s="41"/>
      <c r="C21" s="43"/>
      <c r="D21" s="42"/>
      <c r="E21" s="41"/>
      <c r="F21" s="40"/>
      <c r="G21" s="31"/>
      <c r="H21" s="39"/>
      <c r="I21" s="20"/>
    </row>
    <row r="22" spans="1:11" ht="20.25" x14ac:dyDescent="0.3">
      <c r="A22" s="21"/>
      <c r="B22" s="21"/>
      <c r="C22" s="38" t="s">
        <v>50</v>
      </c>
      <c r="D22" s="30"/>
      <c r="E22" s="30"/>
      <c r="F22" s="36"/>
      <c r="G22" s="27"/>
      <c r="H22" s="36"/>
      <c r="I22" s="20"/>
    </row>
    <row r="23" spans="1:11" ht="20.25" x14ac:dyDescent="0.3">
      <c r="A23" s="30" t="s">
        <v>49</v>
      </c>
      <c r="B23" s="30" t="s">
        <v>48</v>
      </c>
      <c r="C23" s="30" t="s">
        <v>47</v>
      </c>
      <c r="D23" s="32" t="s">
        <v>46</v>
      </c>
      <c r="E23" s="29">
        <v>1</v>
      </c>
      <c r="F23" s="4" t="s">
        <v>15</v>
      </c>
      <c r="G23" s="27"/>
      <c r="H23" s="36"/>
      <c r="I23" s="20"/>
    </row>
    <row r="24" spans="1:11" ht="20.25" x14ac:dyDescent="0.3">
      <c r="A24" s="30" t="s">
        <v>45</v>
      </c>
      <c r="B24" s="30" t="s">
        <v>44</v>
      </c>
      <c r="C24" s="30" t="s">
        <v>43</v>
      </c>
      <c r="D24" s="32"/>
      <c r="E24" s="29">
        <v>1</v>
      </c>
      <c r="F24" s="4" t="s">
        <v>42</v>
      </c>
      <c r="G24" s="37"/>
      <c r="H24" s="36"/>
      <c r="I24" s="20"/>
      <c r="J24" s="7"/>
    </row>
    <row r="25" spans="1:11" s="35" customFormat="1" ht="20.25" x14ac:dyDescent="0.3">
      <c r="A25" s="30" t="s">
        <v>41</v>
      </c>
      <c r="B25" s="30" t="s">
        <v>40</v>
      </c>
      <c r="C25" s="33" t="s">
        <v>39</v>
      </c>
      <c r="D25" s="32" t="s">
        <v>38</v>
      </c>
      <c r="E25" s="29">
        <v>1</v>
      </c>
      <c r="F25" s="4" t="s">
        <v>15</v>
      </c>
      <c r="G25" s="30"/>
      <c r="H25" s="36"/>
      <c r="I25" s="20"/>
    </row>
    <row r="26" spans="1:11" ht="20.25" x14ac:dyDescent="0.3">
      <c r="A26" s="30" t="s">
        <v>37</v>
      </c>
      <c r="B26" s="30" t="s">
        <v>36</v>
      </c>
      <c r="C26" s="33" t="s">
        <v>35</v>
      </c>
      <c r="D26" s="32" t="s">
        <v>27</v>
      </c>
      <c r="E26" s="29">
        <v>1</v>
      </c>
      <c r="F26" s="4" t="s">
        <v>15</v>
      </c>
      <c r="G26" s="34"/>
      <c r="H26" s="21"/>
      <c r="I26" s="20"/>
    </row>
    <row r="27" spans="1:11" ht="20.25" x14ac:dyDescent="0.3">
      <c r="A27" s="30" t="s">
        <v>34</v>
      </c>
      <c r="B27" s="30" t="s">
        <v>33</v>
      </c>
      <c r="C27" s="33" t="s">
        <v>32</v>
      </c>
      <c r="D27" s="32" t="s">
        <v>31</v>
      </c>
      <c r="E27" s="29">
        <v>1</v>
      </c>
      <c r="F27" s="4" t="s">
        <v>15</v>
      </c>
      <c r="G27" s="31"/>
      <c r="H27" s="21"/>
      <c r="I27" s="20"/>
      <c r="J27" s="7"/>
    </row>
    <row r="28" spans="1:11" ht="20.25" x14ac:dyDescent="0.3">
      <c r="A28" s="30" t="s">
        <v>30</v>
      </c>
      <c r="B28" s="30" t="s">
        <v>29</v>
      </c>
      <c r="C28" s="23" t="s">
        <v>28</v>
      </c>
      <c r="D28" s="4" t="s">
        <v>27</v>
      </c>
      <c r="E28" s="29">
        <v>1</v>
      </c>
      <c r="F28" s="28" t="s">
        <v>15</v>
      </c>
      <c r="G28" s="27"/>
      <c r="H28" s="26"/>
      <c r="I28" s="20"/>
    </row>
    <row r="29" spans="1:11" ht="20.25" x14ac:dyDescent="0.3">
      <c r="A29" s="30" t="s">
        <v>26</v>
      </c>
      <c r="B29" s="30" t="s">
        <v>25</v>
      </c>
      <c r="C29" s="30" t="s">
        <v>24</v>
      </c>
      <c r="D29" s="4"/>
      <c r="E29" s="29">
        <v>1</v>
      </c>
      <c r="F29" s="28" t="s">
        <v>15</v>
      </c>
      <c r="G29" s="27"/>
      <c r="H29" s="26"/>
      <c r="I29" s="20"/>
    </row>
    <row r="30" spans="1:11" ht="20.25" x14ac:dyDescent="0.3">
      <c r="A30" s="25"/>
      <c r="B30" s="24"/>
      <c r="C30" s="23"/>
      <c r="D30" s="21"/>
      <c r="E30" s="21"/>
      <c r="F30" s="22"/>
      <c r="G30" s="21"/>
      <c r="H30" s="21"/>
      <c r="I30" s="20"/>
    </row>
    <row r="31" spans="1:11" ht="21" thickBot="1" x14ac:dyDescent="0.35">
      <c r="A31" s="19"/>
      <c r="B31" s="18"/>
      <c r="C31" s="15"/>
      <c r="D31" s="15"/>
      <c r="E31" s="17"/>
      <c r="F31" s="16"/>
      <c r="G31" s="15"/>
      <c r="H31" s="15"/>
      <c r="I31" s="14"/>
      <c r="K31" s="7"/>
    </row>
    <row r="32" spans="1:11" ht="21" thickBot="1" x14ac:dyDescent="0.35">
      <c r="A32" s="13"/>
      <c r="B32" s="12"/>
      <c r="C32" s="9"/>
      <c r="D32" s="1" t="s">
        <v>23</v>
      </c>
      <c r="E32" s="11" t="s">
        <v>22</v>
      </c>
      <c r="F32" s="10"/>
      <c r="G32" s="9"/>
      <c r="H32" s="9"/>
      <c r="I32" s="8"/>
      <c r="J32" s="7"/>
    </row>
    <row r="33" spans="1:10" ht="20.25" x14ac:dyDescent="0.3">
      <c r="A33" s="95" t="s">
        <v>21</v>
      </c>
      <c r="B33" s="96"/>
      <c r="C33" s="97"/>
      <c r="D33" s="6">
        <v>1062</v>
      </c>
      <c r="E33" s="5" t="s">
        <v>10</v>
      </c>
      <c r="F33" s="98" t="s">
        <v>20</v>
      </c>
      <c r="G33" s="98"/>
      <c r="H33" s="99"/>
      <c r="I33" s="100"/>
      <c r="J33">
        <f>5000/349</f>
        <v>14.326647564469914</v>
      </c>
    </row>
    <row r="34" spans="1:10" ht="20.25" x14ac:dyDescent="0.3">
      <c r="A34" s="82" t="s">
        <v>19</v>
      </c>
      <c r="B34" s="83"/>
      <c r="C34" s="84"/>
      <c r="D34" s="4">
        <v>5</v>
      </c>
      <c r="E34" s="4" t="s">
        <v>18</v>
      </c>
      <c r="F34" s="106" t="s">
        <v>17</v>
      </c>
      <c r="G34" s="106"/>
      <c r="H34" s="87"/>
      <c r="I34" s="88"/>
    </row>
    <row r="35" spans="1:10" ht="20.25" x14ac:dyDescent="0.3">
      <c r="A35" s="82" t="s">
        <v>16</v>
      </c>
      <c r="B35" s="83"/>
      <c r="C35" s="84"/>
      <c r="D35" s="4">
        <v>1</v>
      </c>
      <c r="E35" s="4" t="s">
        <v>15</v>
      </c>
      <c r="F35" s="106" t="s">
        <v>14</v>
      </c>
      <c r="G35" s="106"/>
      <c r="H35" s="87"/>
      <c r="I35" s="88"/>
    </row>
    <row r="36" spans="1:10" ht="20.25" x14ac:dyDescent="0.3">
      <c r="A36" s="82" t="s">
        <v>13</v>
      </c>
      <c r="B36" s="83"/>
      <c r="C36" s="84"/>
      <c r="D36" s="4">
        <v>1062</v>
      </c>
      <c r="E36" s="4" t="s">
        <v>10</v>
      </c>
      <c r="F36" s="85" t="s">
        <v>12</v>
      </c>
      <c r="G36" s="86"/>
      <c r="H36" s="87"/>
      <c r="I36" s="88"/>
    </row>
    <row r="37" spans="1:10" ht="21" thickBot="1" x14ac:dyDescent="0.35">
      <c r="A37" s="89" t="s">
        <v>11</v>
      </c>
      <c r="B37" s="90"/>
      <c r="C37" s="91"/>
      <c r="D37" s="3">
        <f>SUM(E10:E20)-D33</f>
        <v>22</v>
      </c>
      <c r="E37" s="2" t="s">
        <v>10</v>
      </c>
      <c r="F37" s="67"/>
      <c r="G37" s="67"/>
      <c r="H37" s="68"/>
      <c r="I37" s="69"/>
    </row>
    <row r="38" spans="1:10" ht="21" thickBot="1" x14ac:dyDescent="0.35">
      <c r="A38" s="92" t="s">
        <v>9</v>
      </c>
      <c r="B38" s="93"/>
      <c r="C38" s="93"/>
      <c r="D38" s="93"/>
      <c r="E38" s="93"/>
      <c r="F38" s="93"/>
      <c r="G38" s="93"/>
      <c r="H38" s="93"/>
      <c r="I38" s="94"/>
    </row>
    <row r="39" spans="1:10" ht="20.25" x14ac:dyDescent="0.3">
      <c r="A39" s="70" t="s">
        <v>8</v>
      </c>
      <c r="B39" s="71"/>
      <c r="C39" s="72"/>
      <c r="D39" s="72"/>
      <c r="E39" s="72"/>
      <c r="F39" s="72"/>
      <c r="G39" s="72"/>
      <c r="H39" s="72"/>
      <c r="I39" s="73"/>
    </row>
    <row r="40" spans="1:10" ht="20.25" x14ac:dyDescent="0.3">
      <c r="A40" s="70" t="s">
        <v>7</v>
      </c>
      <c r="B40" s="71"/>
      <c r="C40" s="72"/>
      <c r="D40" s="72"/>
      <c r="E40" s="72"/>
      <c r="F40" s="72"/>
      <c r="G40" s="72"/>
      <c r="H40" s="72"/>
      <c r="I40" s="73"/>
    </row>
    <row r="41" spans="1:10" ht="20.25" x14ac:dyDescent="0.3">
      <c r="A41" s="74" t="s">
        <v>6</v>
      </c>
      <c r="B41" s="71"/>
      <c r="C41" s="72"/>
      <c r="D41" s="72"/>
      <c r="E41" s="72"/>
      <c r="F41" s="72"/>
      <c r="G41" s="72"/>
      <c r="H41" s="72"/>
      <c r="I41" s="73"/>
    </row>
    <row r="42" spans="1:10" ht="20.25" x14ac:dyDescent="0.3">
      <c r="A42" s="70" t="s">
        <v>5</v>
      </c>
      <c r="B42" s="71"/>
      <c r="C42" s="72"/>
      <c r="D42" s="72"/>
      <c r="E42" s="72"/>
      <c r="F42" s="72"/>
      <c r="G42" s="72"/>
      <c r="H42" s="72"/>
      <c r="I42" s="73"/>
    </row>
    <row r="43" spans="1:10" ht="20.25" x14ac:dyDescent="0.3">
      <c r="A43" s="70" t="s">
        <v>4</v>
      </c>
      <c r="B43" s="71"/>
      <c r="C43" s="72"/>
      <c r="D43" s="72"/>
      <c r="E43" s="72"/>
      <c r="F43" s="72"/>
      <c r="G43" s="72"/>
      <c r="H43" s="72"/>
      <c r="I43" s="73"/>
    </row>
    <row r="44" spans="1:10" ht="20.25" x14ac:dyDescent="0.3">
      <c r="A44" s="74" t="s">
        <v>3</v>
      </c>
      <c r="B44" s="75"/>
      <c r="C44" s="76"/>
      <c r="D44" s="76"/>
      <c r="E44" s="76"/>
      <c r="F44" s="76"/>
      <c r="G44" s="76"/>
      <c r="H44" s="76"/>
      <c r="I44" s="77"/>
    </row>
    <row r="45" spans="1:10" ht="20.25" x14ac:dyDescent="0.3">
      <c r="A45" s="70" t="s">
        <v>2</v>
      </c>
      <c r="B45" s="71"/>
      <c r="C45" s="72"/>
      <c r="D45" s="72"/>
      <c r="E45" s="72"/>
      <c r="F45" s="72"/>
      <c r="G45" s="72"/>
      <c r="H45" s="72"/>
      <c r="I45" s="73"/>
    </row>
    <row r="46" spans="1:10" ht="20.25" x14ac:dyDescent="0.3">
      <c r="A46" s="70" t="s">
        <v>1</v>
      </c>
      <c r="B46" s="71"/>
      <c r="C46" s="72"/>
      <c r="D46" s="72"/>
      <c r="E46" s="72"/>
      <c r="F46" s="72"/>
      <c r="G46" s="72"/>
      <c r="H46" s="72"/>
      <c r="I46" s="73"/>
    </row>
    <row r="47" spans="1:10" ht="20.25" x14ac:dyDescent="0.3">
      <c r="A47" s="78"/>
      <c r="B47" s="79"/>
      <c r="C47" s="79"/>
      <c r="D47" s="79"/>
      <c r="E47" s="79"/>
      <c r="F47" s="79"/>
      <c r="G47" s="79"/>
      <c r="H47" s="79"/>
      <c r="I47" s="80"/>
    </row>
    <row r="48" spans="1:10" ht="20.25" x14ac:dyDescent="0.3">
      <c r="A48" s="81" t="s">
        <v>0</v>
      </c>
      <c r="B48" s="81"/>
      <c r="C48" s="81"/>
      <c r="D48" s="81"/>
      <c r="E48" s="81"/>
      <c r="F48" s="81"/>
      <c r="G48" s="81"/>
      <c r="H48" s="81"/>
      <c r="I48" s="81"/>
    </row>
    <row r="49" spans="1:9" ht="20.25" x14ac:dyDescent="0.3">
      <c r="A49" s="65" t="s">
        <v>102</v>
      </c>
      <c r="B49" s="65"/>
      <c r="C49" s="65"/>
      <c r="D49" s="65"/>
      <c r="E49" s="65"/>
      <c r="F49" s="65"/>
      <c r="G49" s="65"/>
      <c r="H49" s="65"/>
      <c r="I49" s="65"/>
    </row>
    <row r="50" spans="1:9" ht="22.5" customHeight="1" x14ac:dyDescent="0.25">
      <c r="A50" s="66"/>
      <c r="B50" s="66"/>
      <c r="C50" s="66"/>
      <c r="D50" s="66"/>
      <c r="E50" s="66"/>
      <c r="F50" s="66"/>
      <c r="G50" s="66"/>
      <c r="H50" s="66"/>
      <c r="I50" s="66"/>
    </row>
  </sheetData>
  <mergeCells count="45">
    <mergeCell ref="I3:I5"/>
    <mergeCell ref="D4:G4"/>
    <mergeCell ref="D5:G5"/>
    <mergeCell ref="E7:F7"/>
    <mergeCell ref="G7:H7"/>
    <mergeCell ref="D6:F6"/>
    <mergeCell ref="A1:B5"/>
    <mergeCell ref="C1:G1"/>
    <mergeCell ref="C2:G2"/>
    <mergeCell ref="C3:G3"/>
    <mergeCell ref="H3:H5"/>
    <mergeCell ref="A35:C35"/>
    <mergeCell ref="F35:G35"/>
    <mergeCell ref="H35:I35"/>
    <mergeCell ref="A34:C34"/>
    <mergeCell ref="F34:G34"/>
    <mergeCell ref="H34:I34"/>
    <mergeCell ref="A33:C33"/>
    <mergeCell ref="F33:G33"/>
    <mergeCell ref="H33:I33"/>
    <mergeCell ref="G6:H6"/>
    <mergeCell ref="A7:A8"/>
    <mergeCell ref="B7:B8"/>
    <mergeCell ref="C7:C8"/>
    <mergeCell ref="D7:D8"/>
    <mergeCell ref="A6:C6"/>
    <mergeCell ref="A36:C36"/>
    <mergeCell ref="F36:G36"/>
    <mergeCell ref="H36:I36"/>
    <mergeCell ref="A37:C37"/>
    <mergeCell ref="A38:I38"/>
    <mergeCell ref="A49:I49"/>
    <mergeCell ref="A50:I50"/>
    <mergeCell ref="F37:G37"/>
    <mergeCell ref="H37:I37"/>
    <mergeCell ref="A39:I39"/>
    <mergeCell ref="A40:I40"/>
    <mergeCell ref="A42:I42"/>
    <mergeCell ref="A44:I44"/>
    <mergeCell ref="A46:I46"/>
    <mergeCell ref="A41:I41"/>
    <mergeCell ref="A43:I43"/>
    <mergeCell ref="A47:I47"/>
    <mergeCell ref="A48:I48"/>
    <mergeCell ref="A45:I45"/>
  </mergeCells>
  <pageMargins left="0.25" right="0.25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15AD896-1FBD-4DF2-9A0B-564D251A4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9BA48-9974-4AEA-B48F-BB39794000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31C8AB-7553-4A6A-905A-56439FB1D71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2026-02-23T20:49:27Z</cp:lastPrinted>
  <dcterms:created xsi:type="dcterms:W3CDTF">2026-02-11T23:34:47Z</dcterms:created>
  <dcterms:modified xsi:type="dcterms:W3CDTF">2026-04-13T22:26:16Z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
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6" documentId="8_{735D23D5-A8CF-4799-90BF-9B85743778E8}" xr6:coauthVersionLast="47" xr6:coauthVersionMax="47" xr10:uidLastSave="{75142C89-B00B-4A15-8F85-B9141F35EED3}"/>
  <bookViews>
    <workbookView xWindow="-120" yWindow="-120" windowWidth="20730" windowHeight="11040" xr2:uid="{DB727E5C-7261-4A15-B8A1-729D76EEA651}"/>
  </bookViews>
  <sheets>
    <sheet name="Horneo Base CK pie de pecana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" l="1"/>
</calcChain>
</file>

<file path=xl/sharedStrings.xml><?xml version="1.0" encoding="utf-8"?>
<sst xmlns="http://schemas.openxmlformats.org/spreadsheetml/2006/main" count="64" uniqueCount="54">
  <si>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</si>
  <si>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</si>
  <si>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</si>
  <si>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</si>
  <si>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</si>
  <si>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</si>
  <si>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</si>
  <si>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</si>
  <si>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</si>
  <si>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</si>
  <si>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</si>
  <si>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</si>
  <si>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Cantidad</t>
  </si>
  <si>
    <t xml:space="preserve">Unidad medida </t>
  </si>
  <si>
    <t>FAS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</si>
  <si>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</si>
  <si>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</si>
  <si>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</si>
  <si>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</si>
  <si>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</si>
  <si>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</si>
  <si>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</si>
  <si>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</si>
  <si>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CONTROL DE CAMBIOS</t>
  </si>
  <si>
    <t xml:space="preserve">Postres </t>
  </si>
  <si>
    <t>Mariela Barrantes Sánchez, Chef</t>
  </si>
  <si>
    <t>SE00041</t>
  </si>
  <si>
    <t>BASE GALLETA P/CHEESE CAKE (KILO)</t>
  </si>
  <si>
    <t xml:space="preserve">Relleno pie de pecanas </t>
  </si>
  <si>
    <t>Pecana Entera</t>
  </si>
  <si>
    <t>Nueces Industriales</t>
  </si>
  <si>
    <r>
      <t xml:space="preserve">2.- </t>
    </r>
    <r>
      <rPr>
        <sz val="11"/>
        <rFont val="Arial"/>
        <family val="2"/>
      </rPr>
      <t xml:space="preserve">Una vez fria la galleta, agregar el relleno de pecanas y las pecanas sobre el relleno de pecanas. Hornear por 10 min aprox. </t>
    </r>
  </si>
  <si>
    <r>
      <t xml:space="preserve">3.- </t>
    </r>
    <r>
      <rPr>
        <sz val="11"/>
        <rFont val="Arial"/>
        <family val="2"/>
      </rPr>
      <t>Una vez listo dejar enfriar y desmoldar.</t>
    </r>
  </si>
  <si>
    <r>
      <t xml:space="preserve">1.- </t>
    </r>
    <r>
      <rPr>
        <sz val="11"/>
        <rFont val="Arial"/>
        <family val="2"/>
      </rPr>
      <t>Colocar dentro del molde desmoldable rectangular grande (porc cheesecake), previamente ensagrasado la base de galleta presionar y hornear a 175°C por 7 min en el Argental, a 175°C por 8 min en el Dicte 1 y Dicte 2, a 170°C en el Dicte 3 y a 175°C por 7 min en el Marshal</t>
    </r>
  </si>
  <si>
    <t>SE00708</t>
  </si>
  <si>
    <t>MP10562</t>
  </si>
  <si>
    <t>Esteban Cartin, Gte Manufactura</t>
  </si>
  <si>
    <t xml:space="preserve"># Código </t>
  </si>
  <si>
    <t>Unidad Internacional</t>
  </si>
  <si>
    <t>Medida alternativa</t>
  </si>
  <si>
    <t xml:space="preserve">Costo - Referencia </t>
  </si>
  <si>
    <t>Colones</t>
  </si>
  <si>
    <t>Ensamble</t>
  </si>
  <si>
    <t>Decoración</t>
  </si>
  <si>
    <t>EMPAQUE</t>
  </si>
  <si>
    <t>Tiempo de Horneo:</t>
  </si>
  <si>
    <t>min</t>
  </si>
  <si>
    <t>Horno:</t>
  </si>
  <si>
    <t>Tanda</t>
  </si>
  <si>
    <t>Temperatura de Horneo:</t>
  </si>
  <si>
    <t>Otros</t>
  </si>
  <si>
    <t>SE00721 Horneo Base Cheesecake Pie de Pecanas</t>
  </si>
  <si>
    <t>ESP-RE-POS-094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</si>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</sst>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</numFmts>
  <fonts count="2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Century Gothic"/>
      <family val="2"/>
    </font>
    <font>
      <sz val="11"/>
      <name val="Century Gothic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1">
    <xf numFmtId="0" fontId="0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9" fillId="0" borderId="0"/>
    <xf numFmtId="0" fontId="9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</cellStyleXfs>
  <cellXfs count="197">
    <xf numFmtId="0" fontId="0" fillId="0" borderId="0" xfId="0"/>
    <xf numFmtId="1" fontId="5" fillId="0" borderId="5" xfId="2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4" fillId="4" borderId="5" xfId="0" applyFont="1" applyFill="1" applyBorder="1"/>
    <xf numFmtId="0" fontId="10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right"/>
    </xf>
    <xf numFmtId="16" fontId="2" fillId="0" borderId="5" xfId="2" applyNumberFormat="1" applyFont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4" fillId="0" borderId="33" xfId="2" applyBorder="1" applyAlignment="1">
      <alignment horizontal="center"/>
    </xf>
    <xf numFmtId="0" fontId="4" fillId="0" borderId="2" xfId="2" applyBorder="1" applyAlignment="1">
      <alignment horizontal="left"/>
    </xf>
    <xf numFmtId="0" fontId="10" fillId="0" borderId="2" xfId="2" applyFont="1" applyBorder="1" applyAlignment="1">
      <alignment horizontal="center"/>
    </xf>
    <xf numFmtId="0" fontId="0" fillId="0" borderId="5" xfId="0" applyBorder="1"/>
    <xf numFmtId="0" fontId="10" fillId="0" borderId="31" xfId="2" applyFont="1" applyBorder="1" applyAlignment="1">
      <alignment horizontal="center"/>
    </xf>
    <xf numFmtId="0" fontId="10" fillId="0" borderId="5" xfId="2" applyFont="1" applyBorder="1" applyAlignment="1">
      <alignment horizontal="center"/>
    </xf>
    <xf numFmtId="0" fontId="1" fillId="0" borderId="5" xfId="2" applyFont="1" applyBorder="1" applyAlignment="1">
      <alignment horizontal="center"/>
    </xf>
    <xf numFmtId="1" fontId="6" fillId="0" borderId="5" xfId="2" applyNumberFormat="1" applyFont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vertical="center" wrapText="1"/>
    </xf>
    <xf numFmtId="0" fontId="6" fillId="0" borderId="5" xfId="70" applyFont="1" applyBorder="1" applyAlignment="1">
      <alignment horizontal="center" vertical="center"/>
    </xf>
    <xf numFmtId="1" fontId="6" fillId="0" borderId="5" xfId="70" applyNumberFormat="1" applyFont="1" applyBorder="1" applyAlignment="1">
      <alignment horizontal="center" vertical="center"/>
    </xf>
    <xf numFmtId="1" fontId="6" fillId="0" borderId="5" xfId="70" applyNumberFormat="1" applyFont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right"/>
    </xf>
    <xf numFmtId="0" fontId="14" fillId="2" borderId="3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right"/>
    </xf>
    <xf numFmtId="49" fontId="14" fillId="2" borderId="6" xfId="1" applyNumberFormat="1" applyFont="1" applyFill="1" applyBorder="1" applyAlignment="1">
      <alignment horizontal="center"/>
    </xf>
    <xf numFmtId="0" fontId="14" fillId="2" borderId="31" xfId="1" applyFont="1" applyFill="1" applyBorder="1" applyAlignment="1">
      <alignment horizontal="right"/>
    </xf>
    <xf numFmtId="0" fontId="14" fillId="2" borderId="5" xfId="1" applyFont="1" applyFill="1" applyBorder="1" applyAlignment="1">
      <alignment horizontal="right"/>
    </xf>
    <xf numFmtId="14" fontId="17" fillId="2" borderId="0" xfId="1" applyNumberFormat="1" applyFont="1" applyFill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1" fontId="15" fillId="3" borderId="14" xfId="2" applyNumberFormat="1" applyFont="1" applyFill="1" applyBorder="1" applyAlignment="1">
      <alignment horizontal="center"/>
    </xf>
    <xf numFmtId="1" fontId="15" fillId="3" borderId="14" xfId="2" applyNumberFormat="1" applyFont="1" applyFill="1" applyBorder="1" applyAlignment="1">
      <alignment horizontal="center" wrapText="1"/>
    </xf>
    <xf numFmtId="0" fontId="15" fillId="3" borderId="15" xfId="2" applyFont="1" applyFill="1" applyBorder="1" applyAlignment="1">
      <alignment horizontal="center"/>
    </xf>
    <xf numFmtId="0" fontId="18" fillId="0" borderId="16" xfId="2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0" fontId="19" fillId="0" borderId="5" xfId="2" applyFont="1" applyBorder="1" applyAlignment="1">
      <alignment vertical="center"/>
    </xf>
    <xf numFmtId="0" fontId="18" fillId="0" borderId="5" xfId="2" applyFont="1" applyBorder="1" applyAlignment="1">
      <alignment horizontal="center" vertical="center"/>
    </xf>
    <xf numFmtId="1" fontId="18" fillId="0" borderId="5" xfId="2" applyNumberFormat="1" applyFont="1" applyBorder="1" applyAlignment="1">
      <alignment horizontal="center"/>
    </xf>
    <xf numFmtId="1" fontId="18" fillId="0" borderId="5" xfId="2" applyNumberFormat="1" applyFont="1" applyBorder="1" applyAlignment="1">
      <alignment horizontal="center" wrapText="1"/>
    </xf>
    <xf numFmtId="0" fontId="10" fillId="0" borderId="6" xfId="2" applyFont="1" applyBorder="1" applyAlignment="1">
      <alignment horizontal="center"/>
    </xf>
    <xf numFmtId="1" fontId="0" fillId="0" borderId="5" xfId="0" applyNumberFormat="1" applyBorder="1"/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0" fillId="0" borderId="5" xfId="0" applyFont="1" applyBorder="1"/>
    <xf numFmtId="49" fontId="6" fillId="4" borderId="5" xfId="0" applyNumberFormat="1" applyFont="1" applyFill="1" applyBorder="1"/>
    <xf numFmtId="0" fontId="6" fillId="4" borderId="5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6" fillId="4" borderId="5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/>
    </xf>
    <xf numFmtId="49" fontId="5" fillId="4" borderId="5" xfId="0" applyNumberFormat="1" applyFont="1" applyFill="1" applyBorder="1"/>
    <xf numFmtId="16" fontId="6" fillId="4" borderId="5" xfId="0" applyNumberFormat="1" applyFont="1" applyFill="1" applyBorder="1" applyAlignment="1">
      <alignment horizontal="center"/>
    </xf>
    <xf numFmtId="0" fontId="20" fillId="0" borderId="5" xfId="0" quotePrefix="1" applyFont="1" applyBorder="1"/>
    <xf numFmtId="0" fontId="6" fillId="0" borderId="5" xfId="0" applyFont="1" applyBorder="1" applyAlignment="1">
      <alignment horizontal="center" vertical="center"/>
    </xf>
    <xf numFmtId="0" fontId="20" fillId="4" borderId="5" xfId="0" applyFont="1" applyFill="1" applyBorder="1"/>
    <xf numFmtId="12" fontId="2" fillId="0" borderId="5" xfId="0" applyNumberFormat="1" applyFont="1" applyBorder="1"/>
    <xf numFmtId="12" fontId="2" fillId="0" borderId="5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5" xfId="0" applyNumberFormat="1" applyFont="1" applyBorder="1"/>
    <xf numFmtId="16" fontId="6" fillId="0" borderId="5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12" fontId="7" fillId="0" borderId="5" xfId="2" applyNumberFormat="1" applyFont="1" applyBorder="1" applyAlignment="1">
      <alignment horizontal="center"/>
    </xf>
    <xf numFmtId="0" fontId="20" fillId="0" borderId="5" xfId="5" applyFont="1" applyBorder="1" applyAlignment="1">
      <alignment horizontal="center"/>
    </xf>
    <xf numFmtId="0" fontId="20" fillId="0" borderId="5" xfId="5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5" xfId="0" applyFont="1" applyBorder="1" applyAlignment="1">
      <alignment horizontal="left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left"/>
    </xf>
    <xf numFmtId="12" fontId="8" fillId="0" borderId="5" xfId="2" applyNumberFormat="1" applyFont="1" applyBorder="1" applyAlignment="1">
      <alignment horizontal="left"/>
    </xf>
    <xf numFmtId="49" fontId="5" fillId="0" borderId="5" xfId="2" applyNumberFormat="1" applyFont="1" applyBorder="1" applyAlignment="1">
      <alignment horizontal="center"/>
    </xf>
    <xf numFmtId="49" fontId="10" fillId="4" borderId="5" xfId="0" applyNumberFormat="1" applyFont="1" applyFill="1" applyBorder="1" applyAlignment="1">
      <alignment horizontal="center" vertical="center"/>
    </xf>
    <xf numFmtId="49" fontId="10" fillId="4" borderId="5" xfId="0" applyNumberFormat="1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/>
    </xf>
    <xf numFmtId="165" fontId="10" fillId="0" borderId="5" xfId="0" applyNumberFormat="1" applyFont="1" applyBorder="1" applyAlignment="1">
      <alignment horizontal="center" wrapText="1"/>
    </xf>
    <xf numFmtId="49" fontId="10" fillId="0" borderId="5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wrapText="1"/>
    </xf>
    <xf numFmtId="1" fontId="10" fillId="0" borderId="5" xfId="2" applyNumberFormat="1" applyFont="1" applyBorder="1" applyAlignment="1">
      <alignment horizontal="center"/>
    </xf>
    <xf numFmtId="0" fontId="14" fillId="0" borderId="5" xfId="0" quotePrefix="1" applyFont="1" applyBorder="1" applyAlignment="1">
      <alignment horizontal="right"/>
    </xf>
    <xf numFmtId="0" fontId="21" fillId="0" borderId="5" xfId="0" applyFont="1" applyBorder="1" applyAlignment="1">
      <alignment horizontal="center"/>
    </xf>
    <xf numFmtId="0" fontId="14" fillId="0" borderId="5" xfId="0" quotePrefix="1" applyFont="1" applyBorder="1"/>
    <xf numFmtId="0" fontId="10" fillId="0" borderId="5" xfId="0" applyFont="1" applyBorder="1"/>
    <xf numFmtId="1" fontId="14" fillId="0" borderId="5" xfId="0" applyNumberFormat="1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5" xfId="0" applyFont="1" applyBorder="1"/>
    <xf numFmtId="0" fontId="10" fillId="0" borderId="5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49" fontId="10" fillId="0" borderId="16" xfId="2" applyNumberFormat="1" applyFont="1" applyBorder="1" applyAlignment="1">
      <alignment horizontal="center"/>
    </xf>
    <xf numFmtId="49" fontId="10" fillId="0" borderId="10" xfId="2" applyNumberFormat="1" applyFont="1" applyBorder="1" applyAlignment="1">
      <alignment horizontal="center"/>
    </xf>
    <xf numFmtId="49" fontId="10" fillId="0" borderId="5" xfId="2" applyNumberFormat="1" applyFont="1" applyBorder="1"/>
    <xf numFmtId="1" fontId="10" fillId="0" borderId="5" xfId="2" applyNumberFormat="1" applyFont="1" applyBorder="1" applyAlignment="1">
      <alignment horizontal="center" wrapText="1"/>
    </xf>
    <xf numFmtId="49" fontId="22" fillId="2" borderId="4" xfId="2" applyNumberFormat="1" applyFont="1" applyFill="1" applyBorder="1" applyAlignment="1">
      <alignment horizontal="center" vertical="center"/>
    </xf>
    <xf numFmtId="49" fontId="22" fillId="2" borderId="0" xfId="2" applyNumberFormat="1" applyFont="1" applyFill="1" applyAlignment="1">
      <alignment horizontal="center" vertical="center"/>
    </xf>
    <xf numFmtId="0" fontId="14" fillId="2" borderId="0" xfId="2" applyFont="1" applyFill="1"/>
    <xf numFmtId="1" fontId="14" fillId="2" borderId="0" xfId="2" applyNumberFormat="1" applyFont="1" applyFill="1" applyAlignment="1">
      <alignment horizontal="center"/>
    </xf>
    <xf numFmtId="164" fontId="14" fillId="2" borderId="0" xfId="2" applyNumberFormat="1" applyFont="1" applyFill="1" applyAlignment="1">
      <alignment horizontal="center" wrapText="1"/>
    </xf>
    <xf numFmtId="0" fontId="14" fillId="2" borderId="18" xfId="2" applyFont="1" applyFill="1" applyBorder="1" applyAlignment="1">
      <alignment horizontal="center"/>
    </xf>
    <xf numFmtId="0" fontId="14" fillId="3" borderId="19" xfId="2" applyFont="1" applyFill="1" applyBorder="1" applyAlignment="1">
      <alignment horizontal="center"/>
    </xf>
    <xf numFmtId="0" fontId="14" fillId="3" borderId="20" xfId="2" applyFont="1" applyFill="1" applyBorder="1" applyAlignment="1">
      <alignment horizontal="center"/>
    </xf>
    <xf numFmtId="0" fontId="14" fillId="3" borderId="20" xfId="2" applyFont="1" applyFill="1" applyBorder="1"/>
    <xf numFmtId="0" fontId="15" fillId="3" borderId="20" xfId="2" applyFont="1" applyFill="1" applyBorder="1" applyAlignment="1">
      <alignment horizontal="center"/>
    </xf>
    <xf numFmtId="1" fontId="15" fillId="3" borderId="20" xfId="2" applyNumberFormat="1" applyFont="1" applyFill="1" applyBorder="1" applyAlignment="1">
      <alignment horizontal="center"/>
    </xf>
    <xf numFmtId="164" fontId="14" fillId="3" borderId="20" xfId="2" applyNumberFormat="1" applyFont="1" applyFill="1" applyBorder="1" applyAlignment="1">
      <alignment horizontal="center" wrapText="1"/>
    </xf>
    <xf numFmtId="0" fontId="14" fillId="3" borderId="21" xfId="2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4" fontId="14" fillId="2" borderId="38" xfId="1" applyNumberFormat="1" applyFont="1" applyFill="1" applyBorder="1" applyAlignment="1">
      <alignment horizontal="center" vertical="center" wrapText="1"/>
    </xf>
    <xf numFmtId="14" fontId="14" fillId="2" borderId="40" xfId="1" applyNumberFormat="1" applyFont="1" applyFill="1" applyBorder="1" applyAlignment="1">
      <alignment horizontal="center" vertical="center" wrapText="1"/>
    </xf>
    <xf numFmtId="14" fontId="14" fillId="2" borderId="41" xfId="1" applyNumberFormat="1" applyFont="1" applyFill="1" applyBorder="1" applyAlignment="1">
      <alignment horizontal="center" vertical="center" wrapText="1"/>
    </xf>
    <xf numFmtId="0" fontId="15" fillId="2" borderId="32" xfId="1" applyFont="1" applyFill="1" applyBorder="1" applyAlignment="1">
      <alignment horizontal="right" vertical="top" wrapText="1"/>
    </xf>
    <xf numFmtId="0" fontId="15" fillId="2" borderId="47" xfId="1" applyFont="1" applyFill="1" applyBorder="1" applyAlignment="1">
      <alignment horizontal="right" vertical="top" wrapText="1"/>
    </xf>
    <xf numFmtId="0" fontId="15" fillId="2" borderId="25" xfId="1" applyFont="1" applyFill="1" applyBorder="1" applyAlignment="1">
      <alignment horizontal="right" vertical="top" wrapText="1"/>
    </xf>
    <xf numFmtId="0" fontId="14" fillId="0" borderId="30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36" xfId="2" applyFont="1" applyBorder="1" applyAlignment="1">
      <alignment horizontal="left"/>
    </xf>
    <xf numFmtId="0" fontId="14" fillId="0" borderId="45" xfId="2" applyFont="1" applyBorder="1" applyAlignment="1">
      <alignment horizontal="left"/>
    </xf>
    <xf numFmtId="0" fontId="14" fillId="0" borderId="43" xfId="2" applyFont="1" applyBorder="1" applyAlignment="1">
      <alignment horizontal="left"/>
    </xf>
    <xf numFmtId="0" fontId="15" fillId="0" borderId="13" xfId="2" applyFont="1" applyBorder="1" applyAlignment="1">
      <alignment horizontal="right"/>
    </xf>
    <xf numFmtId="0" fontId="15" fillId="0" borderId="24" xfId="2" applyFont="1" applyBorder="1" applyAlignment="1">
      <alignment horizontal="right"/>
    </xf>
    <xf numFmtId="0" fontId="15" fillId="0" borderId="14" xfId="2" applyFont="1" applyBorder="1" applyAlignment="1">
      <alignment horizontal="right"/>
    </xf>
    <xf numFmtId="0" fontId="14" fillId="0" borderId="14" xfId="2" applyFont="1" applyBorder="1" applyAlignment="1">
      <alignment horizontal="right"/>
    </xf>
    <xf numFmtId="164" fontId="14" fillId="0" borderId="42" xfId="2" applyNumberFormat="1" applyFont="1" applyBorder="1" applyAlignment="1">
      <alignment horizontal="center"/>
    </xf>
    <xf numFmtId="164" fontId="14" fillId="0" borderId="43" xfId="2" applyNumberFormat="1" applyFont="1" applyBorder="1" applyAlignment="1">
      <alignment horizontal="center"/>
    </xf>
    <xf numFmtId="0" fontId="15" fillId="3" borderId="19" xfId="2" applyFont="1" applyFill="1" applyBorder="1" applyAlignment="1">
      <alignment horizontal="left"/>
    </xf>
    <xf numFmtId="0" fontId="15" fillId="3" borderId="20" xfId="2" applyFont="1" applyFill="1" applyBorder="1" applyAlignment="1">
      <alignment horizontal="left"/>
    </xf>
    <xf numFmtId="0" fontId="15" fillId="3" borderId="21" xfId="2" applyFont="1" applyFill="1" applyBorder="1" applyAlignment="1">
      <alignment horizontal="left"/>
    </xf>
    <xf numFmtId="0" fontId="13" fillId="0" borderId="28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29" xfId="2" applyFont="1" applyBorder="1" applyAlignment="1">
      <alignment horizontal="left" vertical="center" wrapText="1"/>
    </xf>
    <xf numFmtId="0" fontId="13" fillId="0" borderId="34" xfId="2" applyFont="1" applyBorder="1" applyAlignment="1">
      <alignment horizontal="left" wrapText="1"/>
    </xf>
    <xf numFmtId="0" fontId="13" fillId="0" borderId="8" xfId="2" applyFont="1" applyBorder="1" applyAlignment="1">
      <alignment horizontal="left" wrapText="1"/>
    </xf>
    <xf numFmtId="0" fontId="13" fillId="0" borderId="23" xfId="2" applyFont="1" applyBorder="1" applyAlignment="1">
      <alignment horizontal="left" wrapText="1"/>
    </xf>
    <xf numFmtId="0" fontId="15" fillId="0" borderId="30" xfId="2" applyFont="1" applyBorder="1" applyAlignment="1">
      <alignment horizontal="right"/>
    </xf>
    <xf numFmtId="0" fontId="15" fillId="0" borderId="9" xfId="2" applyFont="1" applyBorder="1" applyAlignment="1">
      <alignment horizontal="right"/>
    </xf>
    <xf numFmtId="0" fontId="15" fillId="0" borderId="10" xfId="2" applyFont="1" applyBorder="1" applyAlignment="1">
      <alignment horizontal="right"/>
    </xf>
    <xf numFmtId="0" fontId="14" fillId="0" borderId="5" xfId="2" applyFont="1" applyBorder="1" applyAlignment="1">
      <alignment horizontal="right"/>
    </xf>
    <xf numFmtId="164" fontId="14" fillId="0" borderId="27" xfId="2" applyNumberFormat="1" applyFont="1" applyBorder="1" applyAlignment="1">
      <alignment horizontal="center"/>
    </xf>
    <xf numFmtId="164" fontId="14" fillId="0" borderId="17" xfId="2" applyNumberFormat="1" applyFont="1" applyBorder="1" applyAlignment="1">
      <alignment horizontal="center"/>
    </xf>
    <xf numFmtId="164" fontId="14" fillId="0" borderId="27" xfId="2" applyNumberFormat="1" applyFont="1" applyBorder="1" applyAlignment="1">
      <alignment horizontal="right" wrapText="1"/>
    </xf>
    <xf numFmtId="164" fontId="14" fillId="0" borderId="10" xfId="2" applyNumberFormat="1" applyFont="1" applyBorder="1" applyAlignment="1">
      <alignment horizontal="right" wrapText="1"/>
    </xf>
    <xf numFmtId="0" fontId="3" fillId="6" borderId="26" xfId="1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3" fillId="0" borderId="16" xfId="2" applyFont="1" applyBorder="1" applyAlignment="1">
      <alignment horizontal="left" wrapText="1"/>
    </xf>
    <xf numFmtId="0" fontId="23" fillId="0" borderId="10" xfId="2" applyFont="1" applyBorder="1" applyAlignment="1">
      <alignment horizontal="left" wrapText="1"/>
    </xf>
    <xf numFmtId="0" fontId="23" fillId="0" borderId="5" xfId="2" applyFont="1" applyBorder="1" applyAlignment="1">
      <alignment horizontal="left" wrapText="1"/>
    </xf>
    <xf numFmtId="0" fontId="23" fillId="0" borderId="6" xfId="2" applyFont="1" applyBorder="1" applyAlignment="1">
      <alignment horizontal="left" wrapText="1"/>
    </xf>
    <xf numFmtId="0" fontId="2" fillId="0" borderId="1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44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15" fillId="0" borderId="34" xfId="2" applyFont="1" applyBorder="1" applyAlignment="1">
      <alignment horizontal="right"/>
    </xf>
    <xf numFmtId="0" fontId="15" fillId="0" borderId="8" xfId="2" applyFont="1" applyBorder="1" applyAlignment="1">
      <alignment horizontal="right"/>
    </xf>
    <xf numFmtId="0" fontId="15" fillId="0" borderId="35" xfId="2" applyFont="1" applyBorder="1" applyAlignment="1">
      <alignment horizontal="right"/>
    </xf>
    <xf numFmtId="164" fontId="14" fillId="0" borderId="31" xfId="2" applyNumberFormat="1" applyFont="1" applyBorder="1" applyAlignment="1">
      <alignment horizontal="right"/>
    </xf>
    <xf numFmtId="0" fontId="14" fillId="2" borderId="22" xfId="2" applyFont="1" applyFill="1" applyBorder="1" applyAlignment="1">
      <alignment horizontal="center"/>
    </xf>
    <xf numFmtId="0" fontId="14" fillId="2" borderId="23" xfId="2" applyFont="1" applyFill="1" applyBorder="1" applyAlignment="1">
      <alignment horizontal="center"/>
    </xf>
    <xf numFmtId="0" fontId="16" fillId="2" borderId="0" xfId="1" applyFont="1" applyFill="1" applyAlignment="1">
      <alignment horizontal="right"/>
    </xf>
    <xf numFmtId="0" fontId="17" fillId="2" borderId="11" xfId="1" applyFont="1" applyFill="1" applyBorder="1" applyAlignment="1">
      <alignment horizontal="center"/>
    </xf>
    <xf numFmtId="0" fontId="16" fillId="2" borderId="0" xfId="1" applyFont="1" applyFill="1"/>
    <xf numFmtId="0" fontId="15" fillId="3" borderId="12" xfId="2" applyFont="1" applyFill="1" applyBorder="1" applyAlignment="1">
      <alignment horizontal="center" vertical="center"/>
    </xf>
    <xf numFmtId="0" fontId="15" fillId="3" borderId="13" xfId="2" applyFont="1" applyFill="1" applyBorder="1" applyAlignment="1">
      <alignment horizontal="center" vertical="center"/>
    </xf>
    <xf numFmtId="0" fontId="15" fillId="3" borderId="12" xfId="2" applyFont="1" applyFill="1" applyBorder="1" applyAlignment="1">
      <alignment horizontal="center" vertical="center" wrapText="1"/>
    </xf>
    <xf numFmtId="0" fontId="15" fillId="3" borderId="13" xfId="2" applyFont="1" applyFill="1" applyBorder="1" applyAlignment="1">
      <alignment horizontal="center" vertical="center" wrapText="1"/>
    </xf>
    <xf numFmtId="0" fontId="15" fillId="3" borderId="2" xfId="2" applyFont="1" applyFill="1" applyBorder="1" applyAlignment="1">
      <alignment horizontal="center" vertical="center"/>
    </xf>
    <xf numFmtId="0" fontId="15" fillId="3" borderId="14" xfId="2" applyFont="1" applyFill="1" applyBorder="1" applyAlignment="1">
      <alignment horizontal="center" vertical="center"/>
    </xf>
    <xf numFmtId="0" fontId="14" fillId="2" borderId="37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14" fillId="2" borderId="4" xfId="1" applyFont="1" applyFill="1" applyBorder="1" applyAlignment="1">
      <alignment horizontal="center"/>
    </xf>
    <xf numFmtId="0" fontId="14" fillId="2" borderId="0" xfId="1" applyFont="1" applyFill="1" applyAlignment="1">
      <alignment horizontal="center"/>
    </xf>
    <xf numFmtId="0" fontId="14" fillId="2" borderId="34" xfId="1" applyFont="1" applyFill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15" fillId="2" borderId="2" xfId="1" applyFont="1" applyFill="1" applyBorder="1" applyAlignment="1">
      <alignment horizontal="center"/>
    </xf>
    <xf numFmtId="0" fontId="15" fillId="2" borderId="32" xfId="1" applyFont="1" applyFill="1" applyBorder="1" applyAlignment="1">
      <alignment horizontal="center"/>
    </xf>
    <xf numFmtId="0" fontId="14" fillId="2" borderId="39" xfId="1" applyFont="1" applyFill="1" applyBorder="1" applyAlignment="1">
      <alignment horizontal="left"/>
    </xf>
    <xf numFmtId="0" fontId="14" fillId="2" borderId="7" xfId="1" applyFont="1" applyFill="1" applyBorder="1" applyAlignment="1">
      <alignment horizontal="left"/>
    </xf>
    <xf numFmtId="0" fontId="14" fillId="2" borderId="33" xfId="1" applyFont="1" applyFill="1" applyBorder="1" applyAlignment="1">
      <alignment horizontal="left"/>
    </xf>
    <xf numFmtId="0" fontId="14" fillId="2" borderId="27" xfId="1" applyFont="1" applyFill="1" applyBorder="1" applyAlignment="1">
      <alignment horizontal="left"/>
    </xf>
    <xf numFmtId="0" fontId="14" fillId="2" borderId="9" xfId="1" applyFont="1" applyFill="1" applyBorder="1" applyAlignment="1">
      <alignment horizontal="left"/>
    </xf>
    <xf numFmtId="0" fontId="14" fillId="2" borderId="10" xfId="1" applyFont="1" applyFill="1" applyBorder="1" applyAlignment="1">
      <alignment horizontal="left"/>
    </xf>
    <xf numFmtId="0" fontId="24" fillId="5" borderId="5" xfId="1" applyFont="1" applyFill="1" applyBorder="1" applyAlignment="1">
      <alignment horizontal="center" vertical="center" wrapText="1"/>
    </xf>
  </cellXfs>
  <cellStyles count="71">
    <cellStyle name="Millares [0] 2" xfId="8" xr:uid="{73371371-F543-43D7-8908-AAAA364952D6}"/>
    <cellStyle name="Millares [0] 2 2" xfId="16" xr:uid="{5277948D-D0DA-47EF-A01C-89E7DD5772D1}"/>
    <cellStyle name="Millares [0] 2 2 2" xfId="31" xr:uid="{A10EA61B-A1DE-4C04-8969-B341FF8DBF7A}"/>
    <cellStyle name="Millares [0] 2 2 2 2" xfId="59" xr:uid="{65B73CE9-C885-4964-B4AC-030341EA336D}"/>
    <cellStyle name="Millares [0] 2 2 3" xfId="44" xr:uid="{469BEC87-1765-4AFB-AB45-EEDEF9464AB2}"/>
    <cellStyle name="Millares [0] 2 3" xfId="21" xr:uid="{A495B227-D87E-49A6-8158-8CE2B9B5CF41}"/>
    <cellStyle name="Millares [0] 2 3 2" xfId="36" xr:uid="{8FB77EAC-42B5-4E99-956D-902941DF2BAF}"/>
    <cellStyle name="Millares [0] 2 3 2 2" xfId="64" xr:uid="{256906C5-42F5-4B88-B914-7EFAB1E204BD}"/>
    <cellStyle name="Millares [0] 2 3 3" xfId="49" xr:uid="{268F2503-F3C9-4BF3-A383-6EBC8D660435}"/>
    <cellStyle name="Millares [0] 2 4" xfId="26" xr:uid="{63666CEC-B3E6-44D4-A07C-8F7D335F5A4D}"/>
    <cellStyle name="Millares [0] 2 4 2" xfId="54" xr:uid="{FB0B6EB2-A9D0-4A15-B8CD-9FBC7DD5CDD4}"/>
    <cellStyle name="Millares [0] 2 5" xfId="39" xr:uid="{AE6E017E-E83D-4398-B3C6-97CFA78B27F8}"/>
    <cellStyle name="Millares [0] 3" xfId="19" xr:uid="{A3F8510E-070D-46DB-8709-AB0F99B978FE}"/>
    <cellStyle name="Millares [0] 3 2" xfId="34" xr:uid="{2E641034-42E8-4774-B99F-D50BA197A729}"/>
    <cellStyle name="Millares [0] 3 2 2" xfId="62" xr:uid="{570FB30A-1EF1-40AA-AD89-2D7F43C6AA0F}"/>
    <cellStyle name="Millares [0] 3 2 3 2 3" xfId="14" xr:uid="{D58F9C74-DFF5-48AD-BCD1-37507D3EECF4}"/>
    <cellStyle name="Millares [0] 3 2 3 2 3 2" xfId="29" xr:uid="{22AE7D9C-FAF2-4573-9BD3-DDCE1B3A9B3B}"/>
    <cellStyle name="Millares [0] 3 2 3 2 3 2 2" xfId="57" xr:uid="{1B53BB0E-7F49-4EA5-823C-444EA6AE60C2}"/>
    <cellStyle name="Millares [0] 3 2 3 2 3 3" xfId="42" xr:uid="{ACD56387-5520-4169-B030-E19108E1BA04}"/>
    <cellStyle name="Millares [0] 3 3" xfId="47" xr:uid="{29B768F0-20E9-4FCF-8EEA-86AD5AB99A7A}"/>
    <cellStyle name="Millares [0] 4" xfId="53" xr:uid="{619DD870-EC87-4D13-9BF8-05BE82BBE00B}"/>
    <cellStyle name="Millares [0] 5" xfId="25" xr:uid="{3C482C00-AD41-4CE8-865C-CE14A3BB77DD}"/>
    <cellStyle name="Millares 10" xfId="69" xr:uid="{691ECCAC-B647-4642-BC41-B79F1DF26175}"/>
    <cellStyle name="Millares 2" xfId="9" xr:uid="{CB209AE9-0F7D-40CD-B31D-E36C85322FC3}"/>
    <cellStyle name="Millares 2 2" xfId="15" xr:uid="{1B2B6E5C-4F16-42C7-8F1E-5691CBB2DA91}"/>
    <cellStyle name="Millares 2 2 2" xfId="30" xr:uid="{B8C3243D-F73E-4818-9F14-660087274224}"/>
    <cellStyle name="Millares 2 2 2 2" xfId="58" xr:uid="{EB384E68-3DE1-4B1C-9507-DFB6BEAD4E2C}"/>
    <cellStyle name="Millares 2 2 3" xfId="43" xr:uid="{5FD04799-F745-4FA9-8C70-85E5B813CCE8}"/>
    <cellStyle name="Millares 2 3" xfId="20" xr:uid="{5F89DB67-3549-4F47-8680-CF2D8DD916C1}"/>
    <cellStyle name="Millares 2 3 2" xfId="35" xr:uid="{6F83A733-95D5-47B9-A933-C125F20F3F22}"/>
    <cellStyle name="Millares 2 3 2 2" xfId="63" xr:uid="{3EF771B7-56D1-47EB-B88A-E535998B3AB1}"/>
    <cellStyle name="Millares 2 3 3" xfId="48" xr:uid="{7AEFF9ED-F6F3-467E-97F9-13D8F5F633D0}"/>
    <cellStyle name="Millares 2 4" xfId="27" xr:uid="{BDCD1706-A482-4E57-9AA5-6B2F638C05BB}"/>
    <cellStyle name="Millares 2 4 2" xfId="55" xr:uid="{0936025D-B91A-4774-A30C-7CFE20B11457}"/>
    <cellStyle name="Millares 2 5" xfId="40" xr:uid="{2558DE7B-1271-45B4-9EF0-1938B1F2B4D0}"/>
    <cellStyle name="Millares 3" xfId="10" xr:uid="{74317C1B-7E10-4473-A3B6-1491E72D5C5D}"/>
    <cellStyle name="Millares 3 2" xfId="17" xr:uid="{6C6C5968-D214-48CD-9995-3C58DC5BDE8D}"/>
    <cellStyle name="Millares 3 2 2" xfId="32" xr:uid="{C29950BD-AEDB-40CD-993F-E73A9EF069C6}"/>
    <cellStyle name="Millares 3 2 2 2" xfId="60" xr:uid="{43DEAB43-9E95-425D-98BD-AA6E2F75EE40}"/>
    <cellStyle name="Millares 3 2 3" xfId="45" xr:uid="{8B3529EE-B5B9-4C44-AA80-96D636B8D6DF}"/>
    <cellStyle name="Millares 3 3" xfId="22" xr:uid="{8AC9163B-932D-42B8-A13D-18D28DAB1789}"/>
    <cellStyle name="Millares 3 3 2" xfId="37" xr:uid="{223FBFFA-F0BA-49CF-8C5F-08281D89F37D}"/>
    <cellStyle name="Millares 3 3 2 2" xfId="65" xr:uid="{25D0088F-FA45-42D2-B5F6-6588F5E95875}"/>
    <cellStyle name="Millares 3 3 3" xfId="50" xr:uid="{B8237972-87DC-4B8E-B49D-D3103DB9A66B}"/>
    <cellStyle name="Millares 3 4" xfId="28" xr:uid="{1F4C9C52-D452-4590-AEF8-138030CA2F80}"/>
    <cellStyle name="Millares 3 4 2" xfId="56" xr:uid="{8E54619C-D0B3-42BF-AAB2-1989CF2FCA9A}"/>
    <cellStyle name="Millares 3 5" xfId="41" xr:uid="{397DF4F4-976B-460C-87B5-FAF1685EB799}"/>
    <cellStyle name="Millares 4" xfId="23" xr:uid="{AC1881BA-FEEF-4F08-917D-C47CD1E010FC}"/>
    <cellStyle name="Millares 4 2" xfId="38" xr:uid="{1DC30700-382F-4F5D-AC6A-5412799A734C}"/>
    <cellStyle name="Millares 4 2 2" xfId="66" xr:uid="{E15499B6-91F3-46F8-98C7-8E522281690C}"/>
    <cellStyle name="Millares 4 3" xfId="51" xr:uid="{B7A8BE5E-E226-4549-A61B-8F7640652317}"/>
    <cellStyle name="Millares 5" xfId="18" xr:uid="{6C7D7FDF-E192-4B96-831E-7C5770295392}"/>
    <cellStyle name="Millares 5 2" xfId="33" xr:uid="{27DEBC3D-F1B0-4397-B281-3EDC9E7BA295}"/>
    <cellStyle name="Millares 5 2 2" xfId="61" xr:uid="{3E5AF9FE-D540-433D-A13F-2423133816A5}"/>
    <cellStyle name="Millares 5 3" xfId="46" xr:uid="{778075B3-A380-458C-8877-EF30A677F68D}"/>
    <cellStyle name="Millares 6" xfId="52" xr:uid="{B34DDADE-A3AF-479F-B6A5-B4CD70237C77}"/>
    <cellStyle name="Millares 7" xfId="67" xr:uid="{B43D82E9-E068-4C6D-AD42-C612AD594C92}"/>
    <cellStyle name="Millares 8" xfId="24" xr:uid="{64A117E6-D40B-4655-B8FF-0DC99158D86F}"/>
    <cellStyle name="Millares 9" xfId="68" xr:uid="{31628C00-7F7B-4935-BB11-BE6D2C29E2F2}"/>
    <cellStyle name="Normal" xfId="0" builtinId="0"/>
    <cellStyle name="Normal 2" xfId="2" xr:uid="{F0E50ADB-0AEC-4629-B918-110FA540EAD9}"/>
    <cellStyle name="Normal 2 2" xfId="11" xr:uid="{35D0BA6E-ECA9-40C1-AE0E-10FBEEFDA79D}"/>
    <cellStyle name="Normal 3" xfId="7" xr:uid="{B29AC443-944F-4CD5-8988-527E431CA1FE}"/>
    <cellStyle name="Normal 3 2" xfId="3" xr:uid="{4F9DCEA8-106E-4C47-8641-B18BB36960E3}"/>
    <cellStyle name="Normal 4 2" xfId="70" xr:uid="{CE031C61-9FBA-41A1-8D18-978FD1AB5E47}"/>
    <cellStyle name="Normal 5" xfId="5" xr:uid="{8493BE70-73E2-4C76-BFAB-704DB73307F9}"/>
    <cellStyle name="Normal 5 3" xfId="6" xr:uid="{CAE30A43-F476-4516-ACB4-01A3B2642E73}"/>
    <cellStyle name="Normal_CRITERIOS DE EVALUACION PT DE GB 2" xfId="1" xr:uid="{50DD5210-3A81-4EF1-8AE2-BA67ACD57489}"/>
    <cellStyle name="Porcentaje 2" xfId="12" xr:uid="{2F8340D0-EA57-41C0-B13B-9220575E5C3D}"/>
    <cellStyle name="Porcentaje 2 2" xfId="4" xr:uid="{7356EC4B-EC1A-4B43-9769-1C0998AFE9FA}"/>
    <cellStyle name="Porcentaje 3 2" xfId="13" xr:uid="{2B51B02B-CC62-4E43-ACBA-7ADF5E0E1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</xdr:colOff>
      <xdr:row>1</xdr:row>
      <xdr:rowOff>38101</xdr:rowOff>
    </xdr:from>
    <xdr:to>
      <xdr:col>1</xdr:col>
      <xdr:colOff>619125</xdr:colOff>
      <xdr:row>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A10D84-442E-48BF-872F-860FB6AF1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" y="257176"/>
          <a:ext cx="1255395" cy="552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008F-F704-4AB6-9D42-B58C0CB94C67}">
  <dimension ref="A1:I57"/>
  <sheetViews>
    <sheetView tabSelected="1" zoomScaleNormal="100" workbookViewId="0">
      <selection activeCell="C10" sqref="C10"/>
    </sheetView>
  </sheetViews>
  <sheetFormatPr baseColWidth="10" defaultRowHeight="15" x14ac:dyDescent="0.25"/>
  <cols>
    <col min="3" max="3" width="53.140625" customWidth="1"/>
    <col min="4" max="4" width="34.28515625" bestFit="1" customWidth="1"/>
    <col min="7" max="7" width="17.85546875" customWidth="1"/>
    <col min="8" max="8" width="30.7109375" customWidth="1"/>
    <col min="9" max="9" width="23.42578125" bestFit="1" customWidth="1"/>
  </cols>
  <sheetData>
    <row r="1" spans="1:9" ht="17.25" x14ac:dyDescent="0.3">
      <c r="A1" s="182"/>
      <c r="B1" s="183"/>
      <c r="C1" s="188" t="s">
        <v>0</v>
      </c>
      <c r="D1" s="188"/>
      <c r="E1" s="188"/>
      <c r="F1" s="188"/>
      <c r="G1" s="188"/>
      <c r="H1" s="23" t="s">
        <v>1</v>
      </c>
      <c r="I1" s="24" t="s">
        <v>52</v>
      </c>
    </row>
    <row r="2" spans="1:9" ht="17.25" x14ac:dyDescent="0.3">
      <c r="A2" s="184"/>
      <c r="B2" s="185"/>
      <c r="C2" s="189" t="s">
        <v>2</v>
      </c>
      <c r="D2" s="189"/>
      <c r="E2" s="189"/>
      <c r="F2" s="189"/>
      <c r="G2" s="189"/>
      <c r="H2" s="25" t="s">
        <v>3</v>
      </c>
      <c r="I2" s="26" t="s">
        <v>53</v>
      </c>
    </row>
    <row r="3" spans="1:9" ht="24" thickBot="1" x14ac:dyDescent="0.3">
      <c r="A3" s="184"/>
      <c r="B3" s="185"/>
      <c r="C3" s="196" t="s">
        <v>51</v>
      </c>
      <c r="D3" s="196"/>
      <c r="E3" s="196"/>
      <c r="F3" s="196"/>
      <c r="G3" s="196"/>
      <c r="H3" s="116" t="s">
        <v>4</v>
      </c>
      <c r="I3" s="113">
        <v>45784</v>
      </c>
    </row>
    <row r="4" spans="1:9" ht="17.25" x14ac:dyDescent="0.3">
      <c r="A4" s="184"/>
      <c r="B4" s="185"/>
      <c r="C4" s="27" t="s">
        <v>5</v>
      </c>
      <c r="D4" s="190" t="s">
        <v>25</v>
      </c>
      <c r="E4" s="191"/>
      <c r="F4" s="191"/>
      <c r="G4" s="192"/>
      <c r="H4" s="117"/>
      <c r="I4" s="114"/>
    </row>
    <row r="5" spans="1:9" ht="18" thickBot="1" x14ac:dyDescent="0.35">
      <c r="A5" s="186"/>
      <c r="B5" s="187"/>
      <c r="C5" s="28" t="s">
        <v>6</v>
      </c>
      <c r="D5" s="193" t="s">
        <v>36</v>
      </c>
      <c r="E5" s="194"/>
      <c r="F5" s="194"/>
      <c r="G5" s="195"/>
      <c r="H5" s="118"/>
      <c r="I5" s="115"/>
    </row>
    <row r="6" spans="1:9" ht="16.5" thickBot="1" x14ac:dyDescent="0.3">
      <c r="A6" s="173" t="s">
        <v>7</v>
      </c>
      <c r="B6" s="173"/>
      <c r="C6" s="173"/>
      <c r="D6" s="174" t="s">
        <v>24</v>
      </c>
      <c r="E6" s="174"/>
      <c r="F6" s="174"/>
      <c r="G6" s="175" t="s">
        <v>8</v>
      </c>
      <c r="H6" s="175"/>
      <c r="I6" s="29" t="s">
        <v>24</v>
      </c>
    </row>
    <row r="7" spans="1:9" x14ac:dyDescent="0.25">
      <c r="A7" s="176" t="s">
        <v>37</v>
      </c>
      <c r="B7" s="178" t="s">
        <v>9</v>
      </c>
      <c r="C7" s="180" t="s">
        <v>10</v>
      </c>
      <c r="D7" s="180" t="s">
        <v>11</v>
      </c>
      <c r="E7" s="180" t="s">
        <v>38</v>
      </c>
      <c r="F7" s="180"/>
      <c r="G7" s="180" t="s">
        <v>39</v>
      </c>
      <c r="H7" s="180"/>
      <c r="I7" s="30" t="s">
        <v>40</v>
      </c>
    </row>
    <row r="8" spans="1:9" ht="31.5" thickBot="1" x14ac:dyDescent="0.3">
      <c r="A8" s="177"/>
      <c r="B8" s="179"/>
      <c r="C8" s="181"/>
      <c r="D8" s="181"/>
      <c r="E8" s="31" t="s">
        <v>12</v>
      </c>
      <c r="F8" s="32" t="s">
        <v>13</v>
      </c>
      <c r="G8" s="31" t="s">
        <v>12</v>
      </c>
      <c r="H8" s="32" t="s">
        <v>13</v>
      </c>
      <c r="I8" s="33" t="s">
        <v>41</v>
      </c>
    </row>
    <row r="9" spans="1:9" ht="16.5" thickBot="1" x14ac:dyDescent="0.3">
      <c r="A9" s="34"/>
      <c r="B9" s="35"/>
      <c r="C9" s="36" t="s">
        <v>42</v>
      </c>
      <c r="D9" s="37"/>
      <c r="E9" s="38"/>
      <c r="F9" s="39"/>
      <c r="G9" s="38"/>
      <c r="H9" s="39"/>
      <c r="I9" s="40"/>
    </row>
    <row r="10" spans="1:9" ht="15.95" customHeight="1" x14ac:dyDescent="0.25">
      <c r="A10" s="41"/>
      <c r="B10" s="11" t="s">
        <v>26</v>
      </c>
      <c r="C10" s="12" t="s">
        <v>27</v>
      </c>
      <c r="D10" s="13" t="s">
        <v>14</v>
      </c>
      <c r="F10" s="4">
        <v>400</v>
      </c>
      <c r="G10" s="1" t="s">
        <v>15</v>
      </c>
      <c r="H10" s="44"/>
      <c r="I10" s="40"/>
    </row>
    <row r="11" spans="1:9" ht="15.75" x14ac:dyDescent="0.25">
      <c r="A11" s="45"/>
      <c r="B11" s="10" t="s">
        <v>34</v>
      </c>
      <c r="C11" s="5" t="s">
        <v>28</v>
      </c>
      <c r="D11" s="9" t="s">
        <v>14</v>
      </c>
      <c r="E11" s="6"/>
      <c r="F11" s="7">
        <v>300</v>
      </c>
      <c r="G11" s="1" t="s">
        <v>15</v>
      </c>
      <c r="H11" s="44"/>
      <c r="I11" s="40"/>
    </row>
    <row r="12" spans="1:9" ht="15.75" x14ac:dyDescent="0.25">
      <c r="A12" s="45"/>
      <c r="B12" s="2" t="s">
        <v>35</v>
      </c>
      <c r="C12" s="14" t="s">
        <v>29</v>
      </c>
      <c r="D12" s="15" t="s">
        <v>30</v>
      </c>
      <c r="F12" s="15">
        <v>70</v>
      </c>
      <c r="G12" s="15" t="s">
        <v>15</v>
      </c>
      <c r="H12" s="48"/>
      <c r="I12" s="40"/>
    </row>
    <row r="13" spans="1:9" ht="15.75" x14ac:dyDescent="0.25">
      <c r="A13" s="45"/>
      <c r="B13" s="45"/>
      <c r="C13" s="46"/>
      <c r="D13" s="49"/>
      <c r="E13" s="47"/>
      <c r="F13" s="43"/>
      <c r="G13" s="47"/>
      <c r="H13" s="48"/>
      <c r="I13" s="40"/>
    </row>
    <row r="14" spans="1:9" ht="15.75" x14ac:dyDescent="0.25">
      <c r="A14" s="45"/>
      <c r="B14" s="45"/>
      <c r="C14" s="46"/>
      <c r="D14" s="49"/>
      <c r="E14" s="47"/>
      <c r="F14" s="43"/>
      <c r="G14" s="47"/>
      <c r="H14" s="48"/>
      <c r="I14" s="40"/>
    </row>
    <row r="15" spans="1:9" ht="15.75" x14ac:dyDescent="0.25">
      <c r="A15" s="50"/>
      <c r="B15" s="50"/>
      <c r="C15" s="51" t="s">
        <v>43</v>
      </c>
      <c r="D15" s="52"/>
      <c r="E15" s="47"/>
      <c r="F15" s="43"/>
      <c r="G15" s="47"/>
      <c r="H15" s="48"/>
      <c r="I15" s="40"/>
    </row>
    <row r="16" spans="1:9" ht="15.75" x14ac:dyDescent="0.25">
      <c r="A16" s="45"/>
      <c r="B16" s="45"/>
      <c r="C16" s="45"/>
      <c r="D16" s="52"/>
      <c r="E16" s="47"/>
      <c r="F16" s="43"/>
      <c r="G16" s="47"/>
      <c r="H16" s="48"/>
      <c r="I16" s="40"/>
    </row>
    <row r="17" spans="1:9" ht="15.75" x14ac:dyDescent="0.25">
      <c r="A17" s="45"/>
      <c r="B17" s="45"/>
      <c r="C17" s="53"/>
      <c r="D17" s="54"/>
      <c r="E17" s="42"/>
      <c r="F17" s="43"/>
      <c r="G17" s="42"/>
      <c r="H17" s="48"/>
      <c r="I17" s="40"/>
    </row>
    <row r="18" spans="1:9" ht="15.75" x14ac:dyDescent="0.25">
      <c r="A18" s="45"/>
      <c r="B18" s="55"/>
      <c r="C18" s="46"/>
      <c r="D18" s="49"/>
      <c r="E18" s="47"/>
      <c r="F18" s="43"/>
      <c r="G18" s="14"/>
      <c r="H18" s="48"/>
      <c r="I18" s="40"/>
    </row>
    <row r="19" spans="1:9" ht="15.75" x14ac:dyDescent="0.25">
      <c r="A19" s="45"/>
      <c r="B19" s="14"/>
      <c r="C19" s="14"/>
      <c r="D19" s="54"/>
      <c r="E19" s="42"/>
      <c r="F19" s="43"/>
      <c r="G19" s="56"/>
      <c r="H19" s="56"/>
      <c r="I19" s="40"/>
    </row>
    <row r="20" spans="1:9" ht="15.75" x14ac:dyDescent="0.25">
      <c r="A20" s="45"/>
      <c r="B20" s="14"/>
      <c r="C20" s="14"/>
      <c r="D20" s="14"/>
      <c r="E20" s="14"/>
      <c r="F20" s="14"/>
      <c r="G20" s="57"/>
      <c r="H20" s="57"/>
      <c r="I20" s="40"/>
    </row>
    <row r="21" spans="1:9" ht="15.75" x14ac:dyDescent="0.25">
      <c r="A21" s="58"/>
      <c r="B21" s="58"/>
      <c r="C21" s="59"/>
      <c r="D21" s="60"/>
      <c r="E21" s="42"/>
      <c r="F21" s="43"/>
      <c r="G21" s="48"/>
      <c r="H21" s="44"/>
      <c r="I21" s="40"/>
    </row>
    <row r="22" spans="1:9" ht="15.75" x14ac:dyDescent="0.25">
      <c r="A22" s="58"/>
      <c r="B22" s="58"/>
      <c r="C22" s="61" t="s">
        <v>44</v>
      </c>
      <c r="D22" s="60"/>
      <c r="E22" s="42"/>
      <c r="F22" s="62"/>
      <c r="G22" s="48"/>
      <c r="H22" s="44"/>
      <c r="I22" s="40"/>
    </row>
    <row r="23" spans="1:9" ht="15.75" x14ac:dyDescent="0.25">
      <c r="A23" s="63"/>
      <c r="B23" s="63"/>
      <c r="C23" s="64"/>
      <c r="D23" s="60"/>
      <c r="E23" s="42"/>
      <c r="F23" s="43"/>
      <c r="G23" s="14"/>
      <c r="H23" s="65"/>
      <c r="I23" s="40"/>
    </row>
    <row r="24" spans="1:9" ht="15.75" x14ac:dyDescent="0.25">
      <c r="A24" s="45"/>
      <c r="B24" s="66"/>
      <c r="C24" s="67"/>
      <c r="D24" s="66"/>
      <c r="E24" s="18"/>
      <c r="F24" s="19"/>
      <c r="G24" s="14"/>
      <c r="H24" s="65"/>
      <c r="I24" s="40"/>
    </row>
    <row r="25" spans="1:9" ht="15.75" x14ac:dyDescent="0.25">
      <c r="A25" s="45"/>
      <c r="B25" s="68"/>
      <c r="C25" s="69"/>
      <c r="D25" s="66"/>
      <c r="E25" s="18"/>
      <c r="F25" s="19"/>
      <c r="G25" s="14"/>
      <c r="H25" s="16"/>
      <c r="I25" s="40"/>
    </row>
    <row r="26" spans="1:9" ht="15.75" x14ac:dyDescent="0.25">
      <c r="A26" s="45"/>
      <c r="B26" s="70"/>
      <c r="C26" s="69"/>
      <c r="D26" s="66"/>
      <c r="E26" s="18"/>
      <c r="F26" s="19"/>
      <c r="G26" s="14"/>
      <c r="H26" s="16"/>
      <c r="I26" s="40"/>
    </row>
    <row r="27" spans="1:9" ht="15.75" x14ac:dyDescent="0.25">
      <c r="A27" s="45"/>
      <c r="B27" s="70"/>
      <c r="C27" s="71"/>
      <c r="D27" s="66"/>
      <c r="E27" s="18"/>
      <c r="F27" s="19"/>
      <c r="G27" s="14"/>
      <c r="H27" s="16"/>
      <c r="I27" s="40"/>
    </row>
    <row r="28" spans="1:9" ht="15.75" x14ac:dyDescent="0.25">
      <c r="A28" s="45"/>
      <c r="B28" s="70"/>
      <c r="C28" s="69"/>
      <c r="D28" s="20"/>
      <c r="E28" s="21"/>
      <c r="F28" s="22"/>
      <c r="G28" s="14"/>
      <c r="H28" s="16"/>
      <c r="I28" s="40"/>
    </row>
    <row r="29" spans="1:9" ht="15.75" x14ac:dyDescent="0.25">
      <c r="A29" s="45"/>
      <c r="B29" s="70"/>
      <c r="C29" s="69"/>
      <c r="D29" s="66"/>
      <c r="E29" s="18"/>
      <c r="F29" s="19"/>
      <c r="G29" s="14"/>
      <c r="H29" s="72"/>
      <c r="I29" s="40"/>
    </row>
    <row r="30" spans="1:9" ht="15.75" x14ac:dyDescent="0.25">
      <c r="A30" s="73"/>
      <c r="B30" s="70"/>
      <c r="C30" s="69"/>
      <c r="D30" s="66"/>
      <c r="E30" s="18"/>
      <c r="F30" s="19"/>
      <c r="G30" s="14"/>
      <c r="H30" s="72"/>
      <c r="I30" s="40"/>
    </row>
    <row r="31" spans="1:9" ht="16.149999999999999" customHeight="1" x14ac:dyDescent="0.25">
      <c r="A31" s="74"/>
      <c r="B31" s="74"/>
      <c r="C31" s="75"/>
      <c r="D31" s="76"/>
      <c r="E31" s="74"/>
      <c r="F31" s="77"/>
      <c r="G31" s="78"/>
      <c r="H31" s="16"/>
      <c r="I31" s="40"/>
    </row>
    <row r="32" spans="1:9" ht="15.75" x14ac:dyDescent="0.25">
      <c r="A32" s="79"/>
      <c r="B32" s="79"/>
      <c r="C32" s="80"/>
      <c r="D32" s="81"/>
      <c r="E32" s="79"/>
      <c r="F32" s="82"/>
      <c r="G32" s="83"/>
      <c r="H32" s="17"/>
      <c r="I32" s="40"/>
    </row>
    <row r="33" spans="1:9" ht="17.25" x14ac:dyDescent="0.3">
      <c r="A33" s="84"/>
      <c r="B33" s="85"/>
      <c r="C33" s="86"/>
      <c r="D33" s="87"/>
      <c r="E33" s="88"/>
      <c r="F33" s="88"/>
      <c r="G33" s="83"/>
      <c r="H33" s="17"/>
      <c r="I33" s="40"/>
    </row>
    <row r="34" spans="1:9" ht="15.75" x14ac:dyDescent="0.25">
      <c r="A34" s="85"/>
      <c r="B34" s="89"/>
      <c r="C34" s="90"/>
      <c r="D34" s="91"/>
      <c r="E34" s="92"/>
      <c r="F34" s="82"/>
      <c r="G34" s="83"/>
      <c r="H34" s="16"/>
      <c r="I34" s="40"/>
    </row>
    <row r="35" spans="1:9" ht="15.75" x14ac:dyDescent="0.25">
      <c r="A35" s="93"/>
      <c r="B35" s="94"/>
      <c r="C35" s="95"/>
      <c r="D35" s="16"/>
      <c r="E35" s="16"/>
      <c r="F35" s="96"/>
      <c r="G35" s="16"/>
      <c r="H35" s="16"/>
      <c r="I35" s="40"/>
    </row>
    <row r="36" spans="1:9" ht="18" thickBot="1" x14ac:dyDescent="0.35">
      <c r="A36" s="97"/>
      <c r="B36" s="98"/>
      <c r="C36" s="99"/>
      <c r="D36" s="99"/>
      <c r="E36" s="100"/>
      <c r="F36" s="101"/>
      <c r="G36" s="99"/>
      <c r="H36" s="99"/>
      <c r="I36" s="102"/>
    </row>
    <row r="37" spans="1:9" ht="18" thickBot="1" x14ac:dyDescent="0.35">
      <c r="A37" s="103"/>
      <c r="B37" s="104"/>
      <c r="C37" s="105"/>
      <c r="D37" s="106" t="s">
        <v>12</v>
      </c>
      <c r="E37" s="107" t="s">
        <v>16</v>
      </c>
      <c r="F37" s="108"/>
      <c r="G37" s="105"/>
      <c r="H37" s="105"/>
      <c r="I37" s="109"/>
    </row>
    <row r="38" spans="1:9" ht="17.25" x14ac:dyDescent="0.3">
      <c r="A38" s="167" t="s">
        <v>17</v>
      </c>
      <c r="B38" s="168"/>
      <c r="C38" s="169"/>
      <c r="D38" s="3">
        <v>662</v>
      </c>
      <c r="E38" s="110" t="s">
        <v>15</v>
      </c>
      <c r="F38" s="170" t="s">
        <v>45</v>
      </c>
      <c r="G38" s="170"/>
      <c r="H38" s="171"/>
      <c r="I38" s="172"/>
    </row>
    <row r="39" spans="1:9" ht="17.25" x14ac:dyDescent="0.3">
      <c r="A39" s="140" t="s">
        <v>18</v>
      </c>
      <c r="B39" s="141"/>
      <c r="C39" s="142"/>
      <c r="D39" s="3">
        <v>25</v>
      </c>
      <c r="E39" s="111" t="s">
        <v>46</v>
      </c>
      <c r="F39" s="143" t="s">
        <v>47</v>
      </c>
      <c r="G39" s="143"/>
      <c r="H39" s="144"/>
      <c r="I39" s="145"/>
    </row>
    <row r="40" spans="1:9" ht="17.25" x14ac:dyDescent="0.3">
      <c r="A40" s="140" t="s">
        <v>19</v>
      </c>
      <c r="B40" s="141"/>
      <c r="C40" s="142"/>
      <c r="D40" s="3">
        <v>1</v>
      </c>
      <c r="E40" s="111" t="s">
        <v>48</v>
      </c>
      <c r="F40" s="143" t="s">
        <v>49</v>
      </c>
      <c r="G40" s="143"/>
      <c r="H40" s="144"/>
      <c r="I40" s="145"/>
    </row>
    <row r="41" spans="1:9" ht="17.25" x14ac:dyDescent="0.3">
      <c r="A41" s="140" t="s">
        <v>20</v>
      </c>
      <c r="B41" s="141"/>
      <c r="C41" s="142"/>
      <c r="D41" s="3">
        <v>662</v>
      </c>
      <c r="E41" s="111" t="s">
        <v>15</v>
      </c>
      <c r="F41" s="146" t="s">
        <v>50</v>
      </c>
      <c r="G41" s="147"/>
      <c r="H41" s="144"/>
      <c r="I41" s="145"/>
    </row>
    <row r="42" spans="1:9" ht="18" thickBot="1" x14ac:dyDescent="0.35">
      <c r="A42" s="125" t="s">
        <v>21</v>
      </c>
      <c r="B42" s="126"/>
      <c r="C42" s="127"/>
      <c r="D42" s="8">
        <f>SUM(F10:F12)-D38</f>
        <v>108</v>
      </c>
      <c r="E42" s="112" t="s">
        <v>15</v>
      </c>
      <c r="F42" s="128"/>
      <c r="G42" s="128"/>
      <c r="H42" s="129"/>
      <c r="I42" s="130"/>
    </row>
    <row r="43" spans="1:9" ht="16.5" thickBot="1" x14ac:dyDescent="0.3">
      <c r="A43" s="131" t="s">
        <v>22</v>
      </c>
      <c r="B43" s="132"/>
      <c r="C43" s="132"/>
      <c r="D43" s="132"/>
      <c r="E43" s="132"/>
      <c r="F43" s="132"/>
      <c r="G43" s="132"/>
      <c r="H43" s="132"/>
      <c r="I43" s="133"/>
    </row>
    <row r="44" spans="1:9" ht="28.9" customHeight="1" x14ac:dyDescent="0.25">
      <c r="A44" s="134" t="s">
        <v>33</v>
      </c>
      <c r="B44" s="135"/>
      <c r="C44" s="135"/>
      <c r="D44" s="135"/>
      <c r="E44" s="135"/>
      <c r="F44" s="135"/>
      <c r="G44" s="135"/>
      <c r="H44" s="135"/>
      <c r="I44" s="136"/>
    </row>
    <row r="45" spans="1:9" x14ac:dyDescent="0.25">
      <c r="A45" s="137" t="s">
        <v>31</v>
      </c>
      <c r="B45" s="138"/>
      <c r="C45" s="138"/>
      <c r="D45" s="138"/>
      <c r="E45" s="138"/>
      <c r="F45" s="138"/>
      <c r="G45" s="138"/>
      <c r="H45" s="138"/>
      <c r="I45" s="139"/>
    </row>
    <row r="46" spans="1:9" ht="14.45" customHeight="1" x14ac:dyDescent="0.25">
      <c r="A46" s="137" t="s">
        <v>32</v>
      </c>
      <c r="B46" s="138"/>
      <c r="C46" s="138"/>
      <c r="D46" s="138"/>
      <c r="E46" s="138"/>
      <c r="F46" s="138"/>
      <c r="G46" s="138"/>
      <c r="H46" s="138"/>
      <c r="I46" s="139"/>
    </row>
    <row r="47" spans="1:9" ht="14.45" customHeight="1" x14ac:dyDescent="0.25">
      <c r="A47" s="137"/>
      <c r="B47" s="138"/>
      <c r="C47" s="138"/>
      <c r="D47" s="138"/>
      <c r="E47" s="138"/>
      <c r="F47" s="138"/>
      <c r="G47" s="138"/>
      <c r="H47" s="138"/>
      <c r="I47" s="139"/>
    </row>
    <row r="48" spans="1:9" ht="14.45" customHeight="1" x14ac:dyDescent="0.3">
      <c r="A48" s="152"/>
      <c r="B48" s="153"/>
      <c r="C48" s="154"/>
      <c r="D48" s="154"/>
      <c r="E48" s="154"/>
      <c r="F48" s="154"/>
      <c r="G48" s="154"/>
      <c r="H48" s="154"/>
      <c r="I48" s="155"/>
    </row>
    <row r="49" spans="1:9" ht="15.6" customHeight="1" x14ac:dyDescent="0.25">
      <c r="A49" s="156"/>
      <c r="B49" s="157"/>
      <c r="C49" s="158"/>
      <c r="D49" s="158"/>
      <c r="E49" s="158"/>
      <c r="F49" s="158"/>
      <c r="G49" s="158"/>
      <c r="H49" s="158"/>
      <c r="I49" s="159"/>
    </row>
    <row r="50" spans="1:9" x14ac:dyDescent="0.25">
      <c r="A50" s="160"/>
      <c r="B50" s="161"/>
      <c r="C50" s="161"/>
      <c r="D50" s="161"/>
      <c r="E50" s="161"/>
      <c r="F50" s="161"/>
      <c r="G50" s="161"/>
      <c r="H50" s="161"/>
      <c r="I50" s="162"/>
    </row>
    <row r="51" spans="1:9" x14ac:dyDescent="0.25">
      <c r="A51" s="163"/>
      <c r="B51" s="164"/>
      <c r="C51" s="165"/>
      <c r="D51" s="165"/>
      <c r="E51" s="165"/>
      <c r="F51" s="165"/>
      <c r="G51" s="165"/>
      <c r="H51" s="165"/>
      <c r="I51" s="166"/>
    </row>
    <row r="52" spans="1:9" ht="18" customHeight="1" x14ac:dyDescent="0.3">
      <c r="A52" s="119"/>
      <c r="B52" s="120"/>
      <c r="C52" s="120"/>
      <c r="D52" s="120"/>
      <c r="E52" s="120"/>
      <c r="F52" s="120"/>
      <c r="G52" s="120"/>
      <c r="H52" s="120"/>
      <c r="I52" s="121"/>
    </row>
    <row r="53" spans="1:9" ht="17.25" x14ac:dyDescent="0.3">
      <c r="A53" s="119"/>
      <c r="B53" s="120"/>
      <c r="C53" s="120"/>
      <c r="D53" s="120"/>
      <c r="E53" s="120"/>
      <c r="F53" s="120"/>
      <c r="G53" s="120"/>
      <c r="H53" s="120"/>
      <c r="I53" s="121"/>
    </row>
    <row r="54" spans="1:9" ht="18" thickBot="1" x14ac:dyDescent="0.35">
      <c r="A54" s="122"/>
      <c r="B54" s="123"/>
      <c r="C54" s="123"/>
      <c r="D54" s="123"/>
      <c r="E54" s="123"/>
      <c r="F54" s="123"/>
      <c r="G54" s="123"/>
      <c r="H54" s="123"/>
      <c r="I54" s="124"/>
    </row>
    <row r="55" spans="1:9" x14ac:dyDescent="0.25">
      <c r="A55" s="148" t="s">
        <v>23</v>
      </c>
      <c r="B55" s="149"/>
      <c r="C55" s="149"/>
      <c r="D55" s="149"/>
      <c r="E55" s="149"/>
      <c r="F55" s="149"/>
      <c r="G55" s="149"/>
      <c r="H55" s="149"/>
      <c r="I55" s="149"/>
    </row>
    <row r="56" spans="1:9" x14ac:dyDescent="0.25">
      <c r="A56" s="150"/>
      <c r="B56" s="151"/>
      <c r="C56" s="151"/>
      <c r="D56" s="151"/>
      <c r="E56" s="151"/>
      <c r="F56" s="151"/>
      <c r="G56" s="151"/>
      <c r="H56" s="151"/>
      <c r="I56" s="151"/>
    </row>
    <row r="57" spans="1:9" x14ac:dyDescent="0.25">
      <c r="A57" s="150"/>
      <c r="B57" s="151"/>
      <c r="C57" s="151"/>
      <c r="D57" s="151"/>
      <c r="E57" s="151"/>
      <c r="F57" s="151"/>
      <c r="G57" s="151"/>
      <c r="H57" s="151"/>
      <c r="I57" s="151"/>
    </row>
  </sheetData>
  <mergeCells count="47">
    <mergeCell ref="A1:B5"/>
    <mergeCell ref="C1:G1"/>
    <mergeCell ref="C2:G2"/>
    <mergeCell ref="C3:G3"/>
    <mergeCell ref="D4:G4"/>
    <mergeCell ref="D5:G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41:I41"/>
    <mergeCell ref="A38:C38"/>
    <mergeCell ref="F38:G38"/>
    <mergeCell ref="H38:I38"/>
    <mergeCell ref="A39:C39"/>
    <mergeCell ref="F39:G39"/>
    <mergeCell ref="H39:I39"/>
    <mergeCell ref="A55:I55"/>
    <mergeCell ref="A56:I56"/>
    <mergeCell ref="A57:I57"/>
    <mergeCell ref="A46:I46"/>
    <mergeCell ref="A47:I47"/>
    <mergeCell ref="A48:I48"/>
    <mergeCell ref="A49:I49"/>
    <mergeCell ref="A50:I50"/>
    <mergeCell ref="A51:I51"/>
    <mergeCell ref="I3:I5"/>
    <mergeCell ref="H3:H5"/>
    <mergeCell ref="A52:I52"/>
    <mergeCell ref="A53:I53"/>
    <mergeCell ref="A54:I54"/>
    <mergeCell ref="A42:C42"/>
    <mergeCell ref="F42:G42"/>
    <mergeCell ref="H42:I42"/>
    <mergeCell ref="A43:I43"/>
    <mergeCell ref="A44:I44"/>
    <mergeCell ref="A45:I45"/>
    <mergeCell ref="A40:C40"/>
    <mergeCell ref="F40:G40"/>
    <mergeCell ref="H40:I40"/>
    <mergeCell ref="A41:C41"/>
    <mergeCell ref="F41:G41"/>
  </mergeCells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62019E-7714-415D-A436-4521FFCDA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Horneo Base CK pie de pecanas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dcterms:created xsi:type="dcterms:W3CDTF">2023-12-19T21:30:11Z</dcterms:created>
  <dcterms:modified xsi:type="dcterms:W3CDTF">2025-12-10T15:43:24Z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
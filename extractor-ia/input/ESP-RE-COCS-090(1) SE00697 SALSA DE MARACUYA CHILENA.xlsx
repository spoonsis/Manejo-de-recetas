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99343299-B901-4DF7-8F1F-C2930155C6C2}" xr6:coauthVersionLast="47" xr6:coauthVersionMax="47" xr10:uidLastSave="{A0E94A99-8F49-46C4-9857-E984EF06C7B1}"/>
  <bookViews>
    <workbookView xWindow="-120" yWindow="-120" windowWidth="29040" windowHeight="15840" xr2:uid="{2B355637-DE81-441E-A481-3143460ABE42}"/>
  </bookViews>
  <sheets>
    <sheet name="Salsa Maracuya" sheetId="1" r:id="rId1"/>
  </sheets>
  <definedNames>
    <definedName name="_xlnm.Print_Area" localSheetId="0">'Salsa Maracuya'!$A$1:$I$30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</calcChain>
</file>

<file path=xl/sharedStrings.xml><?xml version="1.0" encoding="utf-8"?>
<sst xmlns="http://schemas.openxmlformats.org/spreadsheetml/2006/main" count="68" uniqueCount="55">
  <si>
    <t>CONTROL DE CAMBIOS</t>
  </si>
  <si>
    <t>3, Retirar y colocar en bandejas para choque termico.</t>
  </si>
  <si>
    <t>2, Disolver el almidon en el agua y agregar a la mezcla anterior. Hervir.</t>
  </si>
  <si>
    <t>1, Colocar todos los ingredientes en una olla. Reservar el almidon y el agua de espesar. Hervir</t>
  </si>
  <si>
    <t>PROCEDIMIENTO DE PREPARACION DE LA  RECETA</t>
  </si>
  <si>
    <t>g</t>
  </si>
  <si>
    <t>MERMA</t>
  </si>
  <si>
    <t>Otros:</t>
  </si>
  <si>
    <t>PESO DE CADA PORCIÓN</t>
  </si>
  <si>
    <t>Temperatura de Horneo</t>
  </si>
  <si>
    <t>tanda</t>
  </si>
  <si>
    <t>CANTIDAD DE PORCIONES OBTENIDAS</t>
  </si>
  <si>
    <t>Horno:</t>
  </si>
  <si>
    <t>Min.</t>
  </si>
  <si>
    <t>TIEMPO TOTAL DE PREPARACION</t>
  </si>
  <si>
    <t>Tiempo de Horneo</t>
  </si>
  <si>
    <t>PESO TOTAL OBTENIDO</t>
  </si>
  <si>
    <t>Unidad</t>
  </si>
  <si>
    <t>Cantidad</t>
  </si>
  <si>
    <t>AGUA POTABLE</t>
  </si>
  <si>
    <t>Disolver para espesar</t>
  </si>
  <si>
    <t>Empaque Almidon Modificado</t>
  </si>
  <si>
    <t>SE00014</t>
  </si>
  <si>
    <t>FAS</t>
  </si>
  <si>
    <t>Empaque Azucar  Industrial</t>
  </si>
  <si>
    <t>SE00016</t>
  </si>
  <si>
    <t>Mayca</t>
  </si>
  <si>
    <t>PRESERVANTE 1017S (PAQ=5 KILO)</t>
  </si>
  <si>
    <t>MP10025</t>
  </si>
  <si>
    <t>1212412</t>
  </si>
  <si>
    <t>INPACK</t>
  </si>
  <si>
    <t>MARACUYA</t>
  </si>
  <si>
    <t>MP10753</t>
  </si>
  <si>
    <t xml:space="preserve">Unidad medida 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</si>
  <si>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</si>
  <si>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</si>
  <si>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</si>
  <si>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</si>
  <si>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</si>
  <si>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</t>
  </si>
  <si>
    <t xml:space="preserve">AREA QUE EMPACA: </t>
  </si>
  <si>
    <t>COCINA</t>
  </si>
  <si>
    <t>AREA QUE PRODUCE:</t>
  </si>
  <si>
    <t>Esteban Cartin, Gerente de Manufactura</t>
  </si>
  <si>
    <t>Aprobado</t>
  </si>
  <si>
    <t>Javier Tong, chef</t>
  </si>
  <si>
    <t>Elaborado</t>
  </si>
  <si>
    <t>FECHA DE APROBACIÓN:</t>
  </si>
  <si>
    <t>SE00697 SALSA DE MARACUYA CHILENA</t>
  </si>
  <si>
    <t>REVISIÓN:</t>
  </si>
  <si>
    <t>ESPECIFICACION DE RECETA</t>
  </si>
  <si>
    <t>CÓDIGO:</t>
  </si>
  <si>
    <t>SERVICIOS DE PASTELERIA S.A.</t>
  </si>
  <si>
    <t>ESP-RE-COCS-090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</si>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</sst>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Century Gothic"/>
      <family val="2"/>
    </font>
    <font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b/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8" fillId="0" borderId="0"/>
  </cellStyleXfs>
  <cellXfs count="124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left" wrapText="1"/>
    </xf>
    <xf numFmtId="0" fontId="3" fillId="0" borderId="5" xfId="2" applyFont="1" applyBorder="1" applyAlignment="1">
      <alignment horizontal="left" wrapText="1"/>
    </xf>
    <xf numFmtId="0" fontId="3" fillId="0" borderId="6" xfId="2" applyFont="1" applyBorder="1" applyAlignment="1">
      <alignment horizontal="left" wrapText="1"/>
    </xf>
    <xf numFmtId="0" fontId="3" fillId="0" borderId="11" xfId="2" applyFont="1" applyBorder="1" applyAlignment="1">
      <alignment horizontal="left" wrapText="1"/>
    </xf>
    <xf numFmtId="0" fontId="3" fillId="0" borderId="12" xfId="2" applyFont="1" applyBorder="1" applyAlignment="1">
      <alignment horizontal="left" wrapText="1"/>
    </xf>
    <xf numFmtId="0" fontId="3" fillId="0" borderId="13" xfId="2" applyFont="1" applyBorder="1" applyAlignment="1">
      <alignment horizontal="left" wrapText="1"/>
    </xf>
    <xf numFmtId="0" fontId="7" fillId="4" borderId="14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8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7" fillId="0" borderId="18" xfId="0" applyFont="1" applyBorder="1" applyAlignment="1">
      <alignment horizontal="right"/>
    </xf>
    <xf numFmtId="0" fontId="7" fillId="0" borderId="19" xfId="0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164" fontId="3" fillId="0" borderId="4" xfId="0" applyNumberFormat="1" applyFont="1" applyBorder="1" applyAlignment="1">
      <alignment horizontal="center" wrapText="1"/>
    </xf>
    <xf numFmtId="164" fontId="3" fillId="0" borderId="21" xfId="0" applyNumberFormat="1" applyFont="1" applyBorder="1" applyAlignment="1">
      <alignment horizontal="center" wrapText="1"/>
    </xf>
    <xf numFmtId="0" fontId="3" fillId="0" borderId="22" xfId="0" applyFont="1" applyBorder="1" applyAlignment="1">
      <alignment horizontal="right"/>
    </xf>
    <xf numFmtId="0" fontId="3" fillId="0" borderId="22" xfId="0" applyFont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0" fontId="7" fillId="0" borderId="23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4" fontId="3" fillId="0" borderId="4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64" fontId="3" fillId="0" borderId="8" xfId="0" applyNumberFormat="1" applyFont="1" applyBorder="1" applyAlignment="1">
      <alignment horizontal="right"/>
    </xf>
    <xf numFmtId="0" fontId="3" fillId="0" borderId="24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/>
    <xf numFmtId="164" fontId="3" fillId="4" borderId="26" xfId="0" applyNumberFormat="1" applyFont="1" applyFill="1" applyBorder="1" applyAlignment="1">
      <alignment horizontal="center" wrapText="1"/>
    </xf>
    <xf numFmtId="1" fontId="7" fillId="4" borderId="26" xfId="0" applyNumberFormat="1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1" fontId="3" fillId="0" borderId="25" xfId="0" applyNumberFormat="1" applyFont="1" applyBorder="1" applyAlignment="1">
      <alignment horizontal="center" wrapText="1"/>
    </xf>
    <xf numFmtId="1" fontId="3" fillId="0" borderId="26" xfId="0" applyNumberFormat="1" applyFont="1" applyBorder="1" applyAlignment="1">
      <alignment horizontal="center" wrapText="1"/>
    </xf>
    <xf numFmtId="1" fontId="3" fillId="0" borderId="28" xfId="0" applyNumberFormat="1" applyFont="1" applyBorder="1" applyAlignment="1">
      <alignment horizontal="center" wrapText="1"/>
    </xf>
    <xf numFmtId="164" fontId="3" fillId="2" borderId="18" xfId="0" applyNumberFormat="1" applyFont="1" applyFill="1" applyBorder="1" applyAlignment="1">
      <alignment horizontal="center" wrapText="1"/>
    </xf>
    <xf numFmtId="1" fontId="3" fillId="2" borderId="18" xfId="0" applyNumberFormat="1" applyFont="1" applyFill="1" applyBorder="1" applyAlignment="1">
      <alignment horizontal="center"/>
    </xf>
    <xf numFmtId="0" fontId="3" fillId="2" borderId="18" xfId="0" applyFont="1" applyFill="1" applyBorder="1"/>
    <xf numFmtId="49" fontId="2" fillId="2" borderId="19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wrapText="1"/>
    </xf>
    <xf numFmtId="1" fontId="3" fillId="0" borderId="30" xfId="0" applyNumberFormat="1" applyFont="1" applyBorder="1" applyAlignment="1">
      <alignment horizontal="center" wrapText="1"/>
    </xf>
    <xf numFmtId="1" fontId="3" fillId="0" borderId="31" xfId="0" applyNumberFormat="1" applyFont="1" applyBorder="1" applyAlignment="1">
      <alignment horizontal="center" wrapText="1"/>
    </xf>
    <xf numFmtId="1" fontId="3" fillId="0" borderId="22" xfId="0" applyNumberFormat="1" applyFont="1" applyBorder="1" applyAlignment="1">
      <alignment horizontal="center" wrapText="1"/>
    </xf>
    <xf numFmtId="0" fontId="3" fillId="0" borderId="22" xfId="0" applyFont="1" applyBorder="1"/>
    <xf numFmtId="0" fontId="0" fillId="0" borderId="0" xfId="0" applyAlignment="1">
      <alignment horizontal="center"/>
    </xf>
    <xf numFmtId="49" fontId="2" fillId="0" borderId="32" xfId="0" applyNumberFormat="1" applyFont="1" applyBorder="1" applyAlignment="1">
      <alignment horizontal="left"/>
    </xf>
    <xf numFmtId="43" fontId="0" fillId="0" borderId="0" xfId="1" applyFont="1"/>
    <xf numFmtId="0" fontId="3" fillId="0" borderId="33" xfId="2" applyFont="1" applyBorder="1" applyAlignment="1">
      <alignment horizontal="center"/>
    </xf>
    <xf numFmtId="0" fontId="3" fillId="0" borderId="22" xfId="2" applyFont="1" applyBorder="1"/>
    <xf numFmtId="2" fontId="3" fillId="0" borderId="22" xfId="2" applyNumberFormat="1" applyFont="1" applyBorder="1"/>
    <xf numFmtId="0" fontId="3" fillId="0" borderId="22" xfId="2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22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top" wrapText="1"/>
    </xf>
    <xf numFmtId="16" fontId="3" fillId="0" borderId="22" xfId="2" applyNumberFormat="1" applyFont="1" applyBorder="1" applyAlignment="1">
      <alignment horizontal="center"/>
    </xf>
    <xf numFmtId="1" fontId="7" fillId="4" borderId="29" xfId="0" applyNumberFormat="1" applyFont="1" applyFill="1" applyBorder="1" applyAlignment="1">
      <alignment horizontal="center"/>
    </xf>
    <xf numFmtId="1" fontId="7" fillId="4" borderId="30" xfId="0" applyNumberFormat="1" applyFont="1" applyFill="1" applyBorder="1" applyAlignment="1">
      <alignment horizontal="center"/>
    </xf>
    <xf numFmtId="1" fontId="7" fillId="4" borderId="31" xfId="0" applyNumberFormat="1" applyFont="1" applyFill="1" applyBorder="1" applyAlignment="1">
      <alignment horizontal="center"/>
    </xf>
    <xf numFmtId="1" fontId="7" fillId="4" borderId="34" xfId="0" applyNumberFormat="1" applyFont="1" applyFill="1" applyBorder="1" applyAlignment="1">
      <alignment horizontal="center" wrapText="1"/>
    </xf>
    <xf numFmtId="1" fontId="7" fillId="4" borderId="34" xfId="0" applyNumberFormat="1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/>
    </xf>
    <xf numFmtId="14" fontId="9" fillId="2" borderId="14" xfId="3" applyNumberFormat="1" applyFont="1" applyFill="1" applyBorder="1" applyAlignment="1">
      <alignment horizontal="center" vertical="center" wrapText="1"/>
    </xf>
    <xf numFmtId="0" fontId="10" fillId="2" borderId="15" xfId="3" applyFont="1" applyFill="1" applyBorder="1"/>
    <xf numFmtId="0" fontId="9" fillId="2" borderId="15" xfId="3" applyFont="1" applyFill="1" applyBorder="1" applyAlignment="1">
      <alignment horizontal="center"/>
    </xf>
    <xf numFmtId="0" fontId="10" fillId="2" borderId="15" xfId="3" applyFont="1" applyFill="1" applyBorder="1" applyAlignment="1">
      <alignment horizontal="right"/>
    </xf>
    <xf numFmtId="0" fontId="10" fillId="2" borderId="16" xfId="3" applyFont="1" applyFill="1" applyBorder="1" applyAlignment="1">
      <alignment horizontal="right"/>
    </xf>
    <xf numFmtId="14" fontId="3" fillId="2" borderId="41" xfId="3" applyNumberFormat="1" applyFont="1" applyFill="1" applyBorder="1" applyAlignment="1">
      <alignment horizontal="center" vertical="center" wrapText="1"/>
    </xf>
    <xf numFmtId="0" fontId="7" fillId="2" borderId="42" xfId="3" applyFont="1" applyFill="1" applyBorder="1" applyAlignment="1">
      <alignment horizontal="right" vertical="top" wrapText="1"/>
    </xf>
    <xf numFmtId="0" fontId="3" fillId="2" borderId="18" xfId="3" applyFont="1" applyFill="1" applyBorder="1" applyAlignment="1">
      <alignment horizontal="left"/>
    </xf>
    <xf numFmtId="0" fontId="3" fillId="2" borderId="22" xfId="3" applyFont="1" applyFill="1" applyBorder="1" applyAlignment="1">
      <alignment horizontal="right"/>
    </xf>
    <xf numFmtId="0" fontId="3" fillId="2" borderId="26" xfId="3" applyFont="1" applyFill="1" applyBorder="1" applyAlignment="1">
      <alignment horizontal="center"/>
    </xf>
    <xf numFmtId="0" fontId="3" fillId="2" borderId="27" xfId="3" applyFont="1" applyFill="1" applyBorder="1" applyAlignment="1">
      <alignment horizontal="center"/>
    </xf>
    <xf numFmtId="0" fontId="7" fillId="2" borderId="43" xfId="3" applyFont="1" applyFill="1" applyBorder="1" applyAlignment="1">
      <alignment horizontal="right" vertical="top" wrapText="1"/>
    </xf>
    <xf numFmtId="0" fontId="3" fillId="2" borderId="22" xfId="3" applyFont="1" applyFill="1" applyBorder="1" applyAlignment="1">
      <alignment horizontal="left"/>
    </xf>
    <xf numFmtId="0" fontId="3" fillId="2" borderId="8" xfId="3" applyFont="1" applyFill="1" applyBorder="1" applyAlignment="1">
      <alignment horizontal="right"/>
    </xf>
    <xf numFmtId="0" fontId="3" fillId="2" borderId="0" xfId="3" applyFont="1" applyFill="1" applyAlignment="1">
      <alignment horizontal="center"/>
    </xf>
    <xf numFmtId="0" fontId="3" fillId="2" borderId="44" xfId="3" applyFont="1" applyFill="1" applyBorder="1" applyAlignment="1">
      <alignment horizontal="center"/>
    </xf>
    <xf numFmtId="14" fontId="3" fillId="2" borderId="45" xfId="3" applyNumberFormat="1" applyFont="1" applyFill="1" applyBorder="1" applyAlignment="1">
      <alignment horizontal="center" vertical="center" wrapText="1"/>
    </xf>
    <xf numFmtId="0" fontId="7" fillId="2" borderId="46" xfId="3" applyFont="1" applyFill="1" applyBorder="1" applyAlignment="1">
      <alignment horizontal="right" vertical="top" wrapText="1"/>
    </xf>
    <xf numFmtId="0" fontId="10" fillId="5" borderId="47" xfId="3" applyFont="1" applyFill="1" applyBorder="1" applyAlignment="1">
      <alignment horizontal="center"/>
    </xf>
    <xf numFmtId="0" fontId="10" fillId="5" borderId="48" xfId="3" applyFont="1" applyFill="1" applyBorder="1" applyAlignment="1">
      <alignment horizontal="center"/>
    </xf>
    <xf numFmtId="0" fontId="10" fillId="5" borderId="49" xfId="3" applyFont="1" applyFill="1" applyBorder="1" applyAlignment="1">
      <alignment horizontal="center"/>
    </xf>
    <xf numFmtId="49" fontId="11" fillId="2" borderId="33" xfId="3" applyNumberFormat="1" applyFont="1" applyFill="1" applyBorder="1" applyAlignment="1">
      <alignment horizontal="center" vertical="center"/>
    </xf>
    <xf numFmtId="0" fontId="7" fillId="2" borderId="22" xfId="3" applyFont="1" applyFill="1" applyBorder="1" applyAlignment="1">
      <alignment horizontal="right"/>
    </xf>
    <xf numFmtId="0" fontId="12" fillId="2" borderId="34" xfId="3" applyFont="1" applyFill="1" applyBorder="1" applyAlignment="1">
      <alignment horizontal="center"/>
    </xf>
    <xf numFmtId="0" fontId="11" fillId="2" borderId="50" xfId="3" applyFont="1" applyFill="1" applyBorder="1" applyAlignment="1">
      <alignment horizontal="center" vertical="center"/>
    </xf>
    <xf numFmtId="0" fontId="7" fillId="2" borderId="39" xfId="3" applyFont="1" applyFill="1" applyBorder="1" applyAlignment="1">
      <alignment horizontal="right"/>
    </xf>
    <xf numFmtId="0" fontId="12" fillId="2" borderId="39" xfId="3" applyFont="1" applyFill="1" applyBorder="1" applyAlignment="1">
      <alignment horizontal="center"/>
    </xf>
    <xf numFmtId="0" fontId="3" fillId="2" borderId="51" xfId="3" applyFont="1" applyFill="1" applyBorder="1" applyAlignment="1">
      <alignment horizontal="center"/>
    </xf>
    <xf numFmtId="0" fontId="3" fillId="2" borderId="52" xfId="3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2" xfId="2" xr:uid="{D773FBCA-8E2D-435B-808B-C5E0F1F6ED77}"/>
    <cellStyle name="Normal_CRITERIOS DE EVALUACION PT DE GB 2" xfId="3" xr:uid="{B7790640-987B-4808-812C-CBDCDB08C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</xdr:colOff>
      <xdr:row>0</xdr:row>
      <xdr:rowOff>68580</xdr:rowOff>
    </xdr:from>
    <xdr:ext cx="1827530" cy="853440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4512E19D-6A1D-48AF-B794-92F47E7CD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83820" y="68580"/>
          <a:ext cx="182753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634E-F6C3-4877-B014-763468EA97B5}">
  <sheetPr>
    <pageSetUpPr fitToPage="1"/>
  </sheetPr>
  <dimension ref="A1:K30"/>
  <sheetViews>
    <sheetView tabSelected="1" view="pageBreakPreview" zoomScale="60" zoomScaleNormal="100" workbookViewId="0">
      <selection activeCell="M9" sqref="M9"/>
    </sheetView>
  </sheetViews>
  <sheetFormatPr baseColWidth="10" defaultRowHeight="15" x14ac:dyDescent="0.25"/>
  <cols>
    <col min="1" max="1" width="15.42578125" customWidth="1"/>
    <col min="2" max="2" width="15.5703125" customWidth="1"/>
    <col min="3" max="3" width="43.5703125" customWidth="1"/>
    <col min="8" max="8" width="15.42578125" customWidth="1"/>
    <col min="9" max="9" width="16.28515625" bestFit="1" customWidth="1"/>
  </cols>
  <sheetData>
    <row r="1" spans="1:11" ht="15.75" x14ac:dyDescent="0.25">
      <c r="A1" s="123"/>
      <c r="B1" s="122"/>
      <c r="C1" s="121" t="s">
        <v>52</v>
      </c>
      <c r="D1" s="121"/>
      <c r="E1" s="121"/>
      <c r="F1" s="121"/>
      <c r="G1" s="121"/>
      <c r="H1" s="120" t="s">
        <v>51</v>
      </c>
      <c r="I1" s="119" t="s">
        <v>53</v>
      </c>
    </row>
    <row r="2" spans="1:11" ht="16.5" thickBot="1" x14ac:dyDescent="0.3">
      <c r="A2" s="110"/>
      <c r="B2" s="109"/>
      <c r="C2" s="118" t="s">
        <v>50</v>
      </c>
      <c r="D2" s="118"/>
      <c r="E2" s="118"/>
      <c r="F2" s="118"/>
      <c r="G2" s="118"/>
      <c r="H2" s="117" t="s">
        <v>49</v>
      </c>
      <c r="I2" s="116" t="s">
        <v>54</v>
      </c>
    </row>
    <row r="3" spans="1:11" ht="18.75" thickBot="1" x14ac:dyDescent="0.3">
      <c r="A3" s="110"/>
      <c r="B3" s="109"/>
      <c r="C3" s="115" t="s">
        <v>48</v>
      </c>
      <c r="D3" s="114"/>
      <c r="E3" s="114"/>
      <c r="F3" s="114"/>
      <c r="G3" s="113"/>
      <c r="H3" s="112" t="s">
        <v>47</v>
      </c>
      <c r="I3" s="111">
        <v>45722</v>
      </c>
    </row>
    <row r="4" spans="1:11" x14ac:dyDescent="0.25">
      <c r="A4" s="110"/>
      <c r="B4" s="109"/>
      <c r="C4" s="108" t="s">
        <v>46</v>
      </c>
      <c r="D4" s="107" t="s">
        <v>45</v>
      </c>
      <c r="E4" s="107"/>
      <c r="F4" s="107"/>
      <c r="G4" s="107"/>
      <c r="H4" s="106"/>
      <c r="I4" s="100"/>
    </row>
    <row r="5" spans="1:11" ht="15.75" thickBot="1" x14ac:dyDescent="0.3">
      <c r="A5" s="105"/>
      <c r="B5" s="104"/>
      <c r="C5" s="103" t="s">
        <v>44</v>
      </c>
      <c r="D5" s="102" t="s">
        <v>43</v>
      </c>
      <c r="E5" s="102"/>
      <c r="F5" s="102"/>
      <c r="G5" s="102"/>
      <c r="H5" s="101"/>
      <c r="I5" s="100"/>
    </row>
    <row r="6" spans="1:11" ht="18.75" thickBot="1" x14ac:dyDescent="0.3">
      <c r="A6" s="99" t="s">
        <v>42</v>
      </c>
      <c r="B6" s="98"/>
      <c r="C6" s="98"/>
      <c r="D6" s="97" t="s">
        <v>41</v>
      </c>
      <c r="E6" s="97"/>
      <c r="F6" s="97"/>
      <c r="G6" s="96" t="s">
        <v>40</v>
      </c>
      <c r="H6" s="96"/>
      <c r="I6" s="95" t="s">
        <v>39</v>
      </c>
    </row>
    <row r="7" spans="1:11" x14ac:dyDescent="0.25">
      <c r="A7" s="94" t="s">
        <v>38</v>
      </c>
      <c r="B7" s="93" t="s">
        <v>37</v>
      </c>
      <c r="C7" s="92" t="s">
        <v>36</v>
      </c>
      <c r="D7" s="92" t="s">
        <v>35</v>
      </c>
      <c r="E7" s="92" t="s">
        <v>34</v>
      </c>
      <c r="F7" s="92"/>
      <c r="G7" s="91" t="s">
        <v>17</v>
      </c>
      <c r="H7" s="90"/>
      <c r="I7" s="89"/>
    </row>
    <row r="8" spans="1:11" ht="26.25" x14ac:dyDescent="0.25">
      <c r="A8" s="88"/>
      <c r="B8" s="87"/>
      <c r="C8" s="86"/>
      <c r="D8" s="86"/>
      <c r="E8" s="85" t="s">
        <v>18</v>
      </c>
      <c r="F8" s="84" t="s">
        <v>33</v>
      </c>
      <c r="G8" s="83" t="s">
        <v>18</v>
      </c>
      <c r="H8" s="82"/>
      <c r="I8" s="81"/>
    </row>
    <row r="9" spans="1:11" ht="22.5" customHeight="1" x14ac:dyDescent="0.25">
      <c r="A9" s="79"/>
      <c r="B9" s="77"/>
      <c r="C9" s="78" t="s">
        <v>19</v>
      </c>
      <c r="D9" s="80" t="s">
        <v>23</v>
      </c>
      <c r="E9" s="76">
        <v>1500</v>
      </c>
      <c r="F9" s="76" t="s">
        <v>5</v>
      </c>
      <c r="G9" s="75"/>
      <c r="H9" s="76"/>
      <c r="I9" s="73"/>
      <c r="K9" s="72"/>
    </row>
    <row r="10" spans="1:11" ht="22.5" customHeight="1" x14ac:dyDescent="0.25">
      <c r="A10" s="79"/>
      <c r="B10" s="77" t="s">
        <v>32</v>
      </c>
      <c r="C10" s="78" t="s">
        <v>31</v>
      </c>
      <c r="D10" s="76" t="s">
        <v>30</v>
      </c>
      <c r="E10" s="76">
        <v>1000</v>
      </c>
      <c r="F10" s="76" t="s">
        <v>5</v>
      </c>
      <c r="G10" s="75"/>
      <c r="H10" s="76"/>
      <c r="I10" s="73"/>
      <c r="K10" s="72"/>
    </row>
    <row r="11" spans="1:11" ht="22.5" customHeight="1" x14ac:dyDescent="0.25">
      <c r="A11" s="79" t="s">
        <v>29</v>
      </c>
      <c r="B11" s="77" t="s">
        <v>28</v>
      </c>
      <c r="C11" s="78" t="s">
        <v>27</v>
      </c>
      <c r="D11" s="76" t="s">
        <v>26</v>
      </c>
      <c r="E11" s="76">
        <v>30</v>
      </c>
      <c r="F11" s="76" t="s">
        <v>5</v>
      </c>
      <c r="G11" s="75"/>
      <c r="H11" s="74"/>
      <c r="I11" s="73"/>
      <c r="K11" s="72"/>
    </row>
    <row r="12" spans="1:11" ht="22.5" customHeight="1" x14ac:dyDescent="0.25">
      <c r="A12" s="77"/>
      <c r="B12" s="70" t="s">
        <v>25</v>
      </c>
      <c r="C12" t="s">
        <v>24</v>
      </c>
      <c r="D12" s="76" t="s">
        <v>23</v>
      </c>
      <c r="E12" s="76">
        <v>700</v>
      </c>
      <c r="F12" s="76" t="s">
        <v>5</v>
      </c>
      <c r="G12" s="75"/>
      <c r="H12" s="74"/>
      <c r="I12" s="73"/>
      <c r="K12" s="72"/>
    </row>
    <row r="13" spans="1:11" x14ac:dyDescent="0.25">
      <c r="A13" s="71"/>
      <c r="B13" s="70" t="s">
        <v>22</v>
      </c>
      <c r="C13" t="s">
        <v>21</v>
      </c>
      <c r="D13" s="69"/>
      <c r="E13" s="36">
        <v>150</v>
      </c>
      <c r="F13" s="68" t="s">
        <v>5</v>
      </c>
      <c r="G13" s="67" t="s">
        <v>20</v>
      </c>
      <c r="H13" s="66"/>
      <c r="I13" s="65"/>
    </row>
    <row r="14" spans="1:11" ht="15.75" thickBot="1" x14ac:dyDescent="0.3">
      <c r="A14" s="64"/>
      <c r="B14" s="63"/>
      <c r="C14" s="62" t="s">
        <v>19</v>
      </c>
      <c r="D14" s="62"/>
      <c r="E14" s="61">
        <v>400</v>
      </c>
      <c r="F14" s="60" t="s">
        <v>5</v>
      </c>
      <c r="G14" s="59"/>
      <c r="H14" s="58"/>
      <c r="I14" s="57"/>
    </row>
    <row r="15" spans="1:11" ht="15.75" thickBot="1" x14ac:dyDescent="0.3">
      <c r="A15" s="56"/>
      <c r="B15" s="55"/>
      <c r="C15" s="51"/>
      <c r="D15" s="54" t="s">
        <v>18</v>
      </c>
      <c r="E15" s="53" t="s">
        <v>17</v>
      </c>
      <c r="F15" s="52"/>
      <c r="G15" s="51"/>
      <c r="H15" s="51"/>
      <c r="I15" s="50"/>
    </row>
    <row r="16" spans="1:11" x14ac:dyDescent="0.25">
      <c r="A16" s="49" t="s">
        <v>16</v>
      </c>
      <c r="B16" s="48"/>
      <c r="C16" s="47"/>
      <c r="D16" s="46">
        <v>3000</v>
      </c>
      <c r="E16" s="45" t="s">
        <v>5</v>
      </c>
      <c r="F16" s="44" t="s">
        <v>15</v>
      </c>
      <c r="G16" s="44"/>
      <c r="H16" s="43"/>
      <c r="I16" s="42"/>
    </row>
    <row r="17" spans="1:9" x14ac:dyDescent="0.25">
      <c r="A17" s="39" t="s">
        <v>14</v>
      </c>
      <c r="B17" s="38"/>
      <c r="C17" s="37"/>
      <c r="D17" s="35">
        <v>20</v>
      </c>
      <c r="E17" s="35" t="s">
        <v>13</v>
      </c>
      <c r="F17" s="34" t="s">
        <v>12</v>
      </c>
      <c r="G17" s="34"/>
      <c r="H17" s="41"/>
      <c r="I17" s="40"/>
    </row>
    <row r="18" spans="1:9" x14ac:dyDescent="0.25">
      <c r="A18" s="39" t="s">
        <v>11</v>
      </c>
      <c r="B18" s="38"/>
      <c r="C18" s="37"/>
      <c r="D18" s="35">
        <v>1</v>
      </c>
      <c r="E18" s="35" t="s">
        <v>10</v>
      </c>
      <c r="F18" s="34" t="s">
        <v>9</v>
      </c>
      <c r="G18" s="34"/>
      <c r="H18" s="41"/>
      <c r="I18" s="40"/>
    </row>
    <row r="19" spans="1:9" x14ac:dyDescent="0.25">
      <c r="A19" s="39" t="s">
        <v>8</v>
      </c>
      <c r="B19" s="38"/>
      <c r="C19" s="37"/>
      <c r="D19" s="36">
        <f>+D16</f>
        <v>3000</v>
      </c>
      <c r="E19" s="35" t="s">
        <v>5</v>
      </c>
      <c r="F19" s="34" t="s">
        <v>7</v>
      </c>
      <c r="G19" s="34"/>
      <c r="H19" s="33"/>
      <c r="I19" s="32"/>
    </row>
    <row r="20" spans="1:9" ht="15.75" thickBot="1" x14ac:dyDescent="0.3">
      <c r="A20" s="31" t="s">
        <v>6</v>
      </c>
      <c r="B20" s="30"/>
      <c r="C20" s="29"/>
      <c r="D20" s="28">
        <f>SUM(E9:E12)-D16</f>
        <v>230</v>
      </c>
      <c r="E20" s="27" t="s">
        <v>5</v>
      </c>
      <c r="F20" s="26"/>
      <c r="G20" s="26"/>
      <c r="H20" s="25"/>
      <c r="I20" s="24"/>
    </row>
    <row r="21" spans="1:9" ht="15.75" thickBot="1" x14ac:dyDescent="0.3">
      <c r="A21" s="23" t="s">
        <v>4</v>
      </c>
      <c r="B21" s="22"/>
      <c r="C21" s="22"/>
      <c r="D21" s="22"/>
      <c r="E21" s="22"/>
      <c r="F21" s="22"/>
      <c r="G21" s="22"/>
      <c r="H21" s="22"/>
      <c r="I21" s="21"/>
    </row>
    <row r="22" spans="1:9" x14ac:dyDescent="0.25">
      <c r="A22" s="20" t="s">
        <v>3</v>
      </c>
      <c r="B22" s="19"/>
      <c r="C22" s="19"/>
      <c r="D22" s="19"/>
      <c r="E22" s="19"/>
      <c r="F22" s="19"/>
      <c r="G22" s="19"/>
      <c r="H22" s="19"/>
      <c r="I22" s="18"/>
    </row>
    <row r="23" spans="1:9" x14ac:dyDescent="0.25">
      <c r="A23" s="17" t="s">
        <v>2</v>
      </c>
      <c r="B23" s="16"/>
      <c r="C23" s="16"/>
      <c r="D23" s="16"/>
      <c r="E23" s="16"/>
      <c r="F23" s="16"/>
      <c r="G23" s="16"/>
      <c r="H23" s="16"/>
      <c r="I23" s="15"/>
    </row>
    <row r="24" spans="1:9" x14ac:dyDescent="0.25">
      <c r="A24" s="17" t="s">
        <v>1</v>
      </c>
      <c r="B24" s="16"/>
      <c r="C24" s="16"/>
      <c r="D24" s="16"/>
      <c r="E24" s="16"/>
      <c r="F24" s="16"/>
      <c r="G24" s="16"/>
      <c r="H24" s="16"/>
      <c r="I24" s="15"/>
    </row>
    <row r="25" spans="1:9" ht="16.5" customHeight="1" x14ac:dyDescent="0.25">
      <c r="A25" s="14"/>
      <c r="B25" s="13"/>
      <c r="C25" s="13"/>
      <c r="D25" s="13"/>
      <c r="E25" s="13"/>
      <c r="F25" s="13"/>
      <c r="G25" s="13"/>
      <c r="H25" s="13"/>
      <c r="I25" s="12"/>
    </row>
    <row r="26" spans="1:9" x14ac:dyDescent="0.25">
      <c r="A26" s="11" t="s">
        <v>0</v>
      </c>
      <c r="B26" s="10"/>
      <c r="C26" s="9"/>
      <c r="D26" s="9"/>
      <c r="E26" s="9"/>
      <c r="F26" s="9"/>
      <c r="G26" s="9"/>
      <c r="H26" s="9"/>
      <c r="I26" s="8"/>
    </row>
    <row r="27" spans="1:9" x14ac:dyDescent="0.25">
      <c r="A27" s="7"/>
      <c r="B27" s="6"/>
      <c r="C27" s="6"/>
      <c r="D27" s="6"/>
      <c r="E27" s="6"/>
      <c r="F27" s="6"/>
      <c r="G27" s="6"/>
      <c r="H27" s="6"/>
      <c r="I27" s="5"/>
    </row>
    <row r="28" spans="1:9" ht="15.75" thickBot="1" x14ac:dyDescent="0.3">
      <c r="A28" s="4"/>
      <c r="B28" s="3"/>
      <c r="C28" s="3"/>
      <c r="D28" s="3"/>
      <c r="E28" s="3"/>
      <c r="F28" s="3"/>
      <c r="G28" s="3"/>
      <c r="H28" s="3"/>
      <c r="I28" s="2"/>
    </row>
    <row r="29" spans="1:9" ht="15.75" thickBot="1" x14ac:dyDescent="0.3">
      <c r="A29" s="4"/>
      <c r="B29" s="3"/>
      <c r="C29" s="3"/>
      <c r="D29" s="3"/>
      <c r="E29" s="3"/>
      <c r="F29" s="3"/>
      <c r="G29" s="3"/>
      <c r="H29" s="3"/>
      <c r="I29" s="2"/>
    </row>
    <row r="30" spans="1:9" x14ac:dyDescent="0.25">
      <c r="A30" s="1"/>
      <c r="B30" s="1"/>
      <c r="C30" s="1"/>
    </row>
  </sheetData>
  <mergeCells count="43">
    <mergeCell ref="C1:G1"/>
    <mergeCell ref="C2:G2"/>
    <mergeCell ref="C3:G3"/>
    <mergeCell ref="A1:B5"/>
    <mergeCell ref="H3:H5"/>
    <mergeCell ref="A6:C6"/>
    <mergeCell ref="D6:F6"/>
    <mergeCell ref="G6:H6"/>
    <mergeCell ref="I3:I5"/>
    <mergeCell ref="D4:G4"/>
    <mergeCell ref="D5:G5"/>
    <mergeCell ref="A7:A8"/>
    <mergeCell ref="C7:C8"/>
    <mergeCell ref="D7:D8"/>
    <mergeCell ref="E7:F7"/>
    <mergeCell ref="G7:I7"/>
    <mergeCell ref="G8:I8"/>
    <mergeCell ref="B7:B8"/>
    <mergeCell ref="A16:C16"/>
    <mergeCell ref="F16:G16"/>
    <mergeCell ref="H16:I16"/>
    <mergeCell ref="A17:C17"/>
    <mergeCell ref="F17:G17"/>
    <mergeCell ref="H17:I17"/>
    <mergeCell ref="A25:I25"/>
    <mergeCell ref="A26:I26"/>
    <mergeCell ref="A27:I27"/>
    <mergeCell ref="A18:C18"/>
    <mergeCell ref="F18:G18"/>
    <mergeCell ref="H18:I18"/>
    <mergeCell ref="A19:C19"/>
    <mergeCell ref="F19:G19"/>
    <mergeCell ref="H19:I19"/>
    <mergeCell ref="G13:I14"/>
    <mergeCell ref="A29:I29"/>
    <mergeCell ref="A28:I28"/>
    <mergeCell ref="A20:C20"/>
    <mergeCell ref="F20:G20"/>
    <mergeCell ref="H20:I20"/>
    <mergeCell ref="A21:I21"/>
    <mergeCell ref="A22:I22"/>
    <mergeCell ref="A23:I23"/>
    <mergeCell ref="A24:I24"/>
  </mergeCells>
  <pageMargins left="0.70866141732283472" right="0.70866141732283472" top="0.74803149606299213" bottom="0.74803149606299213" header="0.31496062992125984" footer="0.31496062992125984"/>
  <pageSetup scale="5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41E9500-CE32-456D-90D1-5E0945334286}"/>
</file>

<file path=customXml/itemProps2.xml><?xml version="1.0" encoding="utf-8"?>
<ds:datastoreItem xmlns:ds="http://schemas.openxmlformats.org/officeDocument/2006/customXml" ds:itemID="{7FEC5CA8-65B8-4607-9838-AF625825B879}"/>
</file>

<file path=customXml/itemProps3.xml><?xml version="1.0" encoding="utf-8"?>
<ds:datastoreItem xmlns:ds="http://schemas.openxmlformats.org/officeDocument/2006/customXml" ds:itemID="{B842ED4F-E875-4C0A-A14E-19A1EA31F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Maracuya</vt:lpstr>
      <vt:lpstr>'Salsa Maracuya'!Área_de_impresión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2025-03-06T19:55:06Z</cp:lastPrinted>
  <dcterms:created xsi:type="dcterms:W3CDTF">2025-03-06T19:49:01Z</dcterms:created>
  <dcterms:modified xsi:type="dcterms:W3CDTF">2025-03-06T19:55:08Z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
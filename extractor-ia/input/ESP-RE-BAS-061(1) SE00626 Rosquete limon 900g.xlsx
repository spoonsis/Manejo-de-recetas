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1" documentId="8_{B9CD4CD7-EB48-42D7-9753-4DA8C859A28B}" xr6:coauthVersionLast="47" xr6:coauthVersionMax="47" xr10:uidLastSave="{4DC463C3-1152-4F92-8201-B692DC67BFA0}"/>
  <bookViews>
    <workbookView xWindow="-120" yWindow="-120" windowWidth="29040" windowHeight="15840" tabRatio="734" firstSheet="4" activeTab="4" xr2:uid="{93DF36B7-6ED9-40F2-93AD-A97D508EA7D8}"/>
  </bookViews>
  <sheets>
    <sheet name="Premezcla" sheetId="1" state="hidden" r:id="rId1"/>
    <sheet name="Costo Premezcla " sheetId="5" state="hidden" r:id="rId2"/>
    <sheet name="Batido" sheetId="2" state="hidden" r:id="rId3"/>
    <sheet name="Costo Batido " sheetId="6" state="hidden" r:id="rId4"/>
    <sheet name="Hoja1" sheetId="9" r:id="rId5"/>
    <sheet name="Costo Rosquete " sheetId="7" state="hidden" r:id="rId6"/>
    <sheet name="Costo Empaque " sheetId="8" state="hidden" r:id="rId7"/>
  </sheets>
  <externalReferences>
    <externalReference r:id="rId8"/>
    <externalReference r:id="rId9"/>
    <externalReference r:id="rId10"/>
  </externalReferences>
  <definedNames>
    <definedName name="_xlnm.Print_Area" localSheetId="0">Premezcla!$A$1:$I$47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8" l="1"/>
  <c r="D73" i="8"/>
  <c r="D74" i="8" s="1"/>
  <c r="D76" i="8" s="1"/>
  <c r="D71" i="8"/>
  <c r="D69" i="8"/>
  <c r="F65" i="8"/>
  <c r="C73" i="8" s="1"/>
  <c r="D60" i="8"/>
  <c r="D85" i="8" s="1"/>
  <c r="D86" i="8" s="1"/>
  <c r="E51" i="8"/>
  <c r="C51" i="8"/>
  <c r="F51" i="8" s="1"/>
  <c r="E50" i="8"/>
  <c r="D50" i="8"/>
  <c r="B50" i="8"/>
  <c r="E49" i="8"/>
  <c r="D49" i="8"/>
  <c r="B49" i="8"/>
  <c r="E48" i="8"/>
  <c r="F48" i="8" s="1"/>
  <c r="D48" i="8"/>
  <c r="B48" i="8"/>
  <c r="A48" i="8"/>
  <c r="C48" i="8" s="1"/>
  <c r="E47" i="8"/>
  <c r="F47" i="8" s="1"/>
  <c r="D47" i="8"/>
  <c r="B47" i="8"/>
  <c r="E46" i="8"/>
  <c r="D46" i="8"/>
  <c r="B46" i="8"/>
  <c r="E45" i="8"/>
  <c r="D45" i="8"/>
  <c r="B45" i="8"/>
  <c r="E41" i="8"/>
  <c r="D41" i="8"/>
  <c r="B41" i="8"/>
  <c r="A41" i="8"/>
  <c r="A50" i="8" s="1"/>
  <c r="C50" i="8" s="1"/>
  <c r="E40" i="8"/>
  <c r="D40" i="8"/>
  <c r="B40" i="8"/>
  <c r="A40" i="8"/>
  <c r="A49" i="8" s="1"/>
  <c r="C49" i="8" s="1"/>
  <c r="E39" i="8"/>
  <c r="D39" i="8"/>
  <c r="B39" i="8"/>
  <c r="A39" i="8"/>
  <c r="C39" i="8" s="1"/>
  <c r="E38" i="8"/>
  <c r="F38" i="8" s="1"/>
  <c r="D38" i="8"/>
  <c r="C38" i="8"/>
  <c r="B38" i="8"/>
  <c r="A38" i="8"/>
  <c r="A47" i="8" s="1"/>
  <c r="C47" i="8" s="1"/>
  <c r="E37" i="8"/>
  <c r="F37" i="8" s="1"/>
  <c r="D37" i="8"/>
  <c r="C37" i="8"/>
  <c r="B37" i="8"/>
  <c r="A37" i="8"/>
  <c r="A46" i="8" s="1"/>
  <c r="C46" i="8" s="1"/>
  <c r="E36" i="8"/>
  <c r="D36" i="8"/>
  <c r="B36" i="8"/>
  <c r="A36" i="8"/>
  <c r="A45" i="8" s="1"/>
  <c r="C45" i="8" s="1"/>
  <c r="A35" i="8"/>
  <c r="A44" i="8" s="1"/>
  <c r="C44" i="8" s="1"/>
  <c r="E32" i="8"/>
  <c r="F32" i="8" s="1"/>
  <c r="D32" i="8"/>
  <c r="C32" i="8"/>
  <c r="B32" i="8"/>
  <c r="E31" i="8"/>
  <c r="D31" i="8"/>
  <c r="C31" i="8"/>
  <c r="B31" i="8"/>
  <c r="E30" i="8"/>
  <c r="F30" i="8" s="1"/>
  <c r="D30" i="8"/>
  <c r="C30" i="8"/>
  <c r="B30" i="8"/>
  <c r="D29" i="8"/>
  <c r="C29" i="8"/>
  <c r="F29" i="8" s="1"/>
  <c r="B29" i="8"/>
  <c r="D28" i="8"/>
  <c r="C28" i="8"/>
  <c r="B28" i="8"/>
  <c r="D27" i="8"/>
  <c r="C27" i="8"/>
  <c r="F27" i="8" s="1"/>
  <c r="B27" i="8"/>
  <c r="E24" i="8"/>
  <c r="F24" i="8" s="1"/>
  <c r="D24" i="8"/>
  <c r="C24" i="8"/>
  <c r="B24" i="8"/>
  <c r="E23" i="8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C17" i="8"/>
  <c r="B15" i="8"/>
  <c r="E14" i="8"/>
  <c r="D14" i="8"/>
  <c r="C14" i="8"/>
  <c r="B14" i="8"/>
  <c r="E13" i="8"/>
  <c r="F13" i="8" s="1"/>
  <c r="D13" i="8"/>
  <c r="C13" i="8"/>
  <c r="B13" i="8"/>
  <c r="E12" i="8"/>
  <c r="D12" i="8"/>
  <c r="C12" i="8"/>
  <c r="B12" i="8"/>
  <c r="E11" i="8"/>
  <c r="F11" i="8" s="1"/>
  <c r="D11" i="8"/>
  <c r="C11" i="8"/>
  <c r="B11" i="8"/>
  <c r="E10" i="8"/>
  <c r="D10" i="8"/>
  <c r="C10" i="8"/>
  <c r="B10" i="8"/>
  <c r="E9" i="8"/>
  <c r="F9" i="8" s="1"/>
  <c r="D9" i="8"/>
  <c r="C9" i="8"/>
  <c r="B9" i="8"/>
  <c r="E8" i="8"/>
  <c r="D8" i="8"/>
  <c r="C8" i="8"/>
  <c r="B8" i="8"/>
  <c r="H6" i="8"/>
  <c r="D73" i="7"/>
  <c r="D74" i="7" s="1"/>
  <c r="D76" i="7" s="1"/>
  <c r="D71" i="7"/>
  <c r="D69" i="7"/>
  <c r="F65" i="7"/>
  <c r="E51" i="7" s="1"/>
  <c r="F51" i="7" s="1"/>
  <c r="D60" i="7"/>
  <c r="D85" i="7" s="1"/>
  <c r="D86" i="7" s="1"/>
  <c r="C51" i="7"/>
  <c r="E50" i="7"/>
  <c r="D50" i="7"/>
  <c r="B50" i="7"/>
  <c r="E49" i="7"/>
  <c r="D49" i="7"/>
  <c r="B49" i="7"/>
  <c r="E48" i="7"/>
  <c r="D48" i="7"/>
  <c r="B48" i="7"/>
  <c r="E47" i="7"/>
  <c r="F47" i="7" s="1"/>
  <c r="D47" i="7"/>
  <c r="B47" i="7"/>
  <c r="E46" i="7"/>
  <c r="D46" i="7"/>
  <c r="B46" i="7"/>
  <c r="E41" i="7"/>
  <c r="F41" i="7" s="1"/>
  <c r="D41" i="7"/>
  <c r="C41" i="7"/>
  <c r="B41" i="7"/>
  <c r="A41" i="7"/>
  <c r="A50" i="7" s="1"/>
  <c r="C50" i="7" s="1"/>
  <c r="E40" i="7"/>
  <c r="D40" i="7"/>
  <c r="B40" i="7"/>
  <c r="A40" i="7"/>
  <c r="C40" i="7" s="1"/>
  <c r="E39" i="7"/>
  <c r="D39" i="7"/>
  <c r="B39" i="7"/>
  <c r="A39" i="7"/>
  <c r="C39" i="7" s="1"/>
  <c r="E38" i="7"/>
  <c r="D38" i="7"/>
  <c r="C38" i="7"/>
  <c r="B38" i="7"/>
  <c r="A38" i="7"/>
  <c r="A47" i="7" s="1"/>
  <c r="C47" i="7" s="1"/>
  <c r="E37" i="7"/>
  <c r="F37" i="7" s="1"/>
  <c r="D37" i="7"/>
  <c r="C37" i="7"/>
  <c r="B37" i="7"/>
  <c r="A37" i="7"/>
  <c r="A46" i="7" s="1"/>
  <c r="C46" i="7" s="1"/>
  <c r="C36" i="7"/>
  <c r="F36" i="7" s="1"/>
  <c r="A36" i="7"/>
  <c r="A45" i="7" s="1"/>
  <c r="C45" i="7" s="1"/>
  <c r="F45" i="7" s="1"/>
  <c r="C35" i="7"/>
  <c r="A35" i="7"/>
  <c r="A44" i="7" s="1"/>
  <c r="C44" i="7" s="1"/>
  <c r="E32" i="7"/>
  <c r="F32" i="7" s="1"/>
  <c r="D32" i="7"/>
  <c r="C32" i="7"/>
  <c r="B32" i="7"/>
  <c r="E31" i="7"/>
  <c r="D31" i="7"/>
  <c r="C31" i="7"/>
  <c r="B31" i="7"/>
  <c r="E30" i="7"/>
  <c r="F30" i="7" s="1"/>
  <c r="D30" i="7"/>
  <c r="C30" i="7"/>
  <c r="B30" i="7"/>
  <c r="E29" i="7"/>
  <c r="D29" i="7"/>
  <c r="C29" i="7"/>
  <c r="B29" i="7"/>
  <c r="E28" i="7"/>
  <c r="F28" i="7" s="1"/>
  <c r="D28" i="7"/>
  <c r="C28" i="7"/>
  <c r="B28" i="7"/>
  <c r="E27" i="7"/>
  <c r="D27" i="7"/>
  <c r="C27" i="7"/>
  <c r="B27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F18" i="7"/>
  <c r="C18" i="7"/>
  <c r="C17" i="7"/>
  <c r="B15" i="7"/>
  <c r="E14" i="7"/>
  <c r="F14" i="7" s="1"/>
  <c r="D14" i="7"/>
  <c r="C14" i="7"/>
  <c r="B14" i="7"/>
  <c r="E13" i="7"/>
  <c r="D13" i="7"/>
  <c r="C13" i="7"/>
  <c r="B13" i="7"/>
  <c r="E12" i="7"/>
  <c r="F12" i="7" s="1"/>
  <c r="D12" i="7"/>
  <c r="C12" i="7"/>
  <c r="B12" i="7"/>
  <c r="E11" i="7"/>
  <c r="D11" i="7"/>
  <c r="C11" i="7"/>
  <c r="B11" i="7"/>
  <c r="E10" i="7"/>
  <c r="F10" i="7" s="1"/>
  <c r="D10" i="7"/>
  <c r="C10" i="7"/>
  <c r="B10" i="7"/>
  <c r="E9" i="7"/>
  <c r="D9" i="7"/>
  <c r="C9" i="7"/>
  <c r="B9" i="7"/>
  <c r="E8" i="7"/>
  <c r="F8" i="7" s="1"/>
  <c r="D8" i="7"/>
  <c r="C8" i="7"/>
  <c r="B8" i="7"/>
  <c r="H6" i="7"/>
  <c r="D83" i="6"/>
  <c r="D81" i="6"/>
  <c r="D73" i="6"/>
  <c r="D74" i="6" s="1"/>
  <c r="D76" i="6" s="1"/>
  <c r="D71" i="6"/>
  <c r="D69" i="6"/>
  <c r="F65" i="6"/>
  <c r="E51" i="6" s="1"/>
  <c r="F51" i="6" s="1"/>
  <c r="D60" i="6"/>
  <c r="D85" i="6" s="1"/>
  <c r="D86" i="6" s="1"/>
  <c r="C51" i="6"/>
  <c r="E50" i="6"/>
  <c r="D50" i="6"/>
  <c r="B50" i="6"/>
  <c r="E49" i="6"/>
  <c r="F49" i="6" s="1"/>
  <c r="D49" i="6"/>
  <c r="B49" i="6"/>
  <c r="A49" i="6"/>
  <c r="C49" i="6" s="1"/>
  <c r="E48" i="6"/>
  <c r="F48" i="6" s="1"/>
  <c r="D48" i="6"/>
  <c r="B48" i="6"/>
  <c r="A48" i="6"/>
  <c r="C48" i="6" s="1"/>
  <c r="E47" i="6"/>
  <c r="F47" i="6" s="1"/>
  <c r="D47" i="6"/>
  <c r="B47" i="6"/>
  <c r="E46" i="6"/>
  <c r="D46" i="6"/>
  <c r="B46" i="6"/>
  <c r="E45" i="6"/>
  <c r="F45" i="6" s="1"/>
  <c r="D45" i="6"/>
  <c r="B45" i="6"/>
  <c r="A45" i="6"/>
  <c r="C45" i="6" s="1"/>
  <c r="E41" i="6"/>
  <c r="D41" i="6"/>
  <c r="B41" i="6"/>
  <c r="A41" i="6"/>
  <c r="A50" i="6" s="1"/>
  <c r="C50" i="6" s="1"/>
  <c r="E40" i="6"/>
  <c r="D40" i="6"/>
  <c r="B40" i="6"/>
  <c r="A40" i="6"/>
  <c r="C40" i="6" s="1"/>
  <c r="E39" i="6"/>
  <c r="D39" i="6"/>
  <c r="C39" i="6"/>
  <c r="B39" i="6"/>
  <c r="A39" i="6"/>
  <c r="E38" i="6"/>
  <c r="F38" i="6" s="1"/>
  <c r="D38" i="6"/>
  <c r="C38" i="6"/>
  <c r="B38" i="6"/>
  <c r="A38" i="6"/>
  <c r="A47" i="6" s="1"/>
  <c r="C47" i="6" s="1"/>
  <c r="E37" i="6"/>
  <c r="D37" i="6"/>
  <c r="B37" i="6"/>
  <c r="A37" i="6"/>
  <c r="A46" i="6" s="1"/>
  <c r="C46" i="6" s="1"/>
  <c r="E36" i="6"/>
  <c r="D36" i="6"/>
  <c r="B36" i="6"/>
  <c r="A36" i="6"/>
  <c r="C36" i="6" s="1"/>
  <c r="A35" i="6"/>
  <c r="A44" i="6" s="1"/>
  <c r="C44" i="6" s="1"/>
  <c r="E32" i="6"/>
  <c r="D32" i="6"/>
  <c r="C32" i="6"/>
  <c r="B32" i="6"/>
  <c r="E31" i="6"/>
  <c r="F31" i="6" s="1"/>
  <c r="D31" i="6"/>
  <c r="C31" i="6"/>
  <c r="B31" i="6"/>
  <c r="E30" i="6"/>
  <c r="D30" i="6"/>
  <c r="C30" i="6"/>
  <c r="B30" i="6"/>
  <c r="E29" i="6"/>
  <c r="F29" i="6" s="1"/>
  <c r="D29" i="6"/>
  <c r="C29" i="6"/>
  <c r="B29" i="6"/>
  <c r="E28" i="6"/>
  <c r="D28" i="6"/>
  <c r="C28" i="6"/>
  <c r="B28" i="6"/>
  <c r="E27" i="6"/>
  <c r="F27" i="6" s="1"/>
  <c r="D27" i="6"/>
  <c r="C27" i="6"/>
  <c r="B27" i="6"/>
  <c r="E24" i="6"/>
  <c r="F24" i="6" s="1"/>
  <c r="D24" i="6"/>
  <c r="C24" i="6"/>
  <c r="B24" i="6"/>
  <c r="E23" i="6"/>
  <c r="F23" i="6" s="1"/>
  <c r="D23" i="6"/>
  <c r="C23" i="6"/>
  <c r="B23" i="6"/>
  <c r="E22" i="6"/>
  <c r="F22" i="6" s="1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 s="1"/>
  <c r="D19" i="6"/>
  <c r="C19" i="6"/>
  <c r="B19" i="6"/>
  <c r="E18" i="6"/>
  <c r="F18" i="6" s="1"/>
  <c r="D18" i="6"/>
  <c r="C18" i="6"/>
  <c r="B18" i="6"/>
  <c r="C17" i="6"/>
  <c r="B15" i="6"/>
  <c r="E14" i="6"/>
  <c r="D14" i="6"/>
  <c r="C14" i="6"/>
  <c r="B14" i="6"/>
  <c r="E13" i="6"/>
  <c r="F13" i="6" s="1"/>
  <c r="D13" i="6"/>
  <c r="C13" i="6"/>
  <c r="B13" i="6"/>
  <c r="E12" i="6"/>
  <c r="D12" i="6"/>
  <c r="C12" i="6"/>
  <c r="B12" i="6"/>
  <c r="F11" i="6"/>
  <c r="D11" i="6"/>
  <c r="C11" i="6"/>
  <c r="B11" i="6"/>
  <c r="F10" i="6"/>
  <c r="D10" i="6"/>
  <c r="C10" i="6"/>
  <c r="B10" i="6"/>
  <c r="F9" i="6"/>
  <c r="C9" i="6"/>
  <c r="F8" i="6"/>
  <c r="D8" i="6"/>
  <c r="C8" i="6"/>
  <c r="B8" i="6"/>
  <c r="H6" i="6"/>
  <c r="D83" i="5"/>
  <c r="D73" i="5"/>
  <c r="D74" i="5" s="1"/>
  <c r="D76" i="5" s="1"/>
  <c r="D71" i="5"/>
  <c r="D69" i="5"/>
  <c r="F65" i="5"/>
  <c r="E51" i="5" s="1"/>
  <c r="F51" i="5" s="1"/>
  <c r="D60" i="5"/>
  <c r="D85" i="5" s="1"/>
  <c r="D86" i="5" s="1"/>
  <c r="C51" i="5"/>
  <c r="E50" i="5"/>
  <c r="D50" i="5"/>
  <c r="B50" i="5"/>
  <c r="E49" i="5"/>
  <c r="F49" i="5" s="1"/>
  <c r="D49" i="5"/>
  <c r="B49" i="5"/>
  <c r="A49" i="5"/>
  <c r="C49" i="5" s="1"/>
  <c r="E48" i="5"/>
  <c r="D48" i="5"/>
  <c r="B48" i="5"/>
  <c r="E47" i="5"/>
  <c r="D47" i="5"/>
  <c r="B47" i="5"/>
  <c r="E46" i="5"/>
  <c r="D46" i="5"/>
  <c r="B46" i="5"/>
  <c r="E45" i="5"/>
  <c r="F45" i="5" s="1"/>
  <c r="D45" i="5"/>
  <c r="B45" i="5"/>
  <c r="A45" i="5"/>
  <c r="C45" i="5" s="1"/>
  <c r="E44" i="5"/>
  <c r="D44" i="5"/>
  <c r="B44" i="5"/>
  <c r="E41" i="5"/>
  <c r="D41" i="5"/>
  <c r="C41" i="5"/>
  <c r="B41" i="5"/>
  <c r="A41" i="5"/>
  <c r="A50" i="5" s="1"/>
  <c r="C50" i="5" s="1"/>
  <c r="E40" i="5"/>
  <c r="D40" i="5"/>
  <c r="B40" i="5"/>
  <c r="A40" i="5"/>
  <c r="C40" i="5" s="1"/>
  <c r="E39" i="5"/>
  <c r="F39" i="5" s="1"/>
  <c r="D39" i="5"/>
  <c r="B39" i="5"/>
  <c r="A39" i="5"/>
  <c r="C39" i="5" s="1"/>
  <c r="E38" i="5"/>
  <c r="F38" i="5" s="1"/>
  <c r="D38" i="5"/>
  <c r="B38" i="5"/>
  <c r="A38" i="5"/>
  <c r="C38" i="5" s="1"/>
  <c r="E37" i="5"/>
  <c r="F37" i="5" s="1"/>
  <c r="D37" i="5"/>
  <c r="C37" i="5"/>
  <c r="B37" i="5"/>
  <c r="A37" i="5"/>
  <c r="A46" i="5" s="1"/>
  <c r="C46" i="5" s="1"/>
  <c r="E36" i="5"/>
  <c r="F36" i="5" s="1"/>
  <c r="D36" i="5"/>
  <c r="C36" i="5"/>
  <c r="B36" i="5"/>
  <c r="A36" i="5"/>
  <c r="E35" i="5"/>
  <c r="F35" i="5" s="1"/>
  <c r="D35" i="5"/>
  <c r="B35" i="5"/>
  <c r="A35" i="5"/>
  <c r="C35" i="5" s="1"/>
  <c r="E32" i="5"/>
  <c r="D32" i="5"/>
  <c r="C32" i="5"/>
  <c r="B32" i="5"/>
  <c r="E31" i="5"/>
  <c r="F31" i="5" s="1"/>
  <c r="D31" i="5"/>
  <c r="C31" i="5"/>
  <c r="B31" i="5"/>
  <c r="E30" i="5"/>
  <c r="D30" i="5"/>
  <c r="C30" i="5"/>
  <c r="B30" i="5"/>
  <c r="E29" i="5"/>
  <c r="F29" i="5" s="1"/>
  <c r="D29" i="5"/>
  <c r="C29" i="5"/>
  <c r="B29" i="5"/>
  <c r="E28" i="5"/>
  <c r="D28" i="5"/>
  <c r="C28" i="5"/>
  <c r="B28" i="5"/>
  <c r="E27" i="5"/>
  <c r="F27" i="5" s="1"/>
  <c r="D27" i="5"/>
  <c r="C27" i="5"/>
  <c r="B27" i="5"/>
  <c r="E24" i="5"/>
  <c r="F24" i="5" s="1"/>
  <c r="D24" i="5"/>
  <c r="C24" i="5"/>
  <c r="B24" i="5"/>
  <c r="E23" i="5"/>
  <c r="F23" i="5" s="1"/>
  <c r="D23" i="5"/>
  <c r="C23" i="5"/>
  <c r="B23" i="5"/>
  <c r="E22" i="5"/>
  <c r="F22" i="5" s="1"/>
  <c r="D22" i="5"/>
  <c r="C22" i="5"/>
  <c r="B22" i="5"/>
  <c r="E21" i="5"/>
  <c r="F21" i="5" s="1"/>
  <c r="D21" i="5"/>
  <c r="C21" i="5"/>
  <c r="B21" i="5"/>
  <c r="E20" i="5"/>
  <c r="F20" i="5" s="1"/>
  <c r="D20" i="5"/>
  <c r="C20" i="5"/>
  <c r="B20" i="5"/>
  <c r="E19" i="5"/>
  <c r="F19" i="5" s="1"/>
  <c r="D19" i="5"/>
  <c r="C19" i="5"/>
  <c r="B19" i="5"/>
  <c r="E18" i="5"/>
  <c r="F18" i="5" s="1"/>
  <c r="D18" i="5"/>
  <c r="C18" i="5"/>
  <c r="B18" i="5"/>
  <c r="E17" i="5"/>
  <c r="F17" i="5" s="1"/>
  <c r="D17" i="5"/>
  <c r="C17" i="5"/>
  <c r="B17" i="5"/>
  <c r="B15" i="5"/>
  <c r="E14" i="5"/>
  <c r="F14" i="5" s="1"/>
  <c r="D14" i="5"/>
  <c r="C14" i="5"/>
  <c r="B14" i="5"/>
  <c r="E13" i="5"/>
  <c r="D13" i="5"/>
  <c r="C13" i="5"/>
  <c r="B13" i="5"/>
  <c r="D12" i="5"/>
  <c r="C12" i="5"/>
  <c r="F12" i="5" s="1"/>
  <c r="B12" i="5"/>
  <c r="F11" i="5"/>
  <c r="C11" i="5"/>
  <c r="E10" i="5"/>
  <c r="F10" i="5" s="1"/>
  <c r="D10" i="5"/>
  <c r="C10" i="5"/>
  <c r="B10" i="5"/>
  <c r="F9" i="5"/>
  <c r="D9" i="5"/>
  <c r="C9" i="5"/>
  <c r="B9" i="5"/>
  <c r="C8" i="5"/>
  <c r="F8" i="5" s="1"/>
  <c r="H6" i="5"/>
  <c r="F49" i="8" l="1"/>
  <c r="F45" i="8"/>
  <c r="F28" i="5"/>
  <c r="F30" i="5"/>
  <c r="F14" i="8"/>
  <c r="F13" i="7"/>
  <c r="F40" i="5"/>
  <c r="F50" i="5"/>
  <c r="F46" i="7"/>
  <c r="F32" i="5"/>
  <c r="F41" i="5"/>
  <c r="F28" i="6"/>
  <c r="F27" i="7"/>
  <c r="F38" i="7"/>
  <c r="F8" i="8"/>
  <c r="F13" i="5"/>
  <c r="F46" i="5"/>
  <c r="F12" i="6"/>
  <c r="F14" i="6"/>
  <c r="F30" i="6"/>
  <c r="F50" i="6"/>
  <c r="F29" i="7"/>
  <c r="F10" i="8"/>
  <c r="F23" i="8"/>
  <c r="F32" i="6"/>
  <c r="F46" i="6"/>
  <c r="F39" i="6"/>
  <c r="F9" i="7"/>
  <c r="F11" i="7"/>
  <c r="F31" i="7"/>
  <c r="F50" i="7"/>
  <c r="F12" i="8"/>
  <c r="F31" i="8"/>
  <c r="F28" i="8"/>
  <c r="C35" i="8"/>
  <c r="D81" i="7"/>
  <c r="D83" i="7"/>
  <c r="F46" i="8"/>
  <c r="F39" i="8"/>
  <c r="F50" i="8"/>
  <c r="E73" i="8"/>
  <c r="C85" i="8"/>
  <c r="E85" i="8" s="1"/>
  <c r="C41" i="8"/>
  <c r="F41" i="8" s="1"/>
  <c r="D81" i="8"/>
  <c r="C36" i="8"/>
  <c r="F36" i="8" s="1"/>
  <c r="C40" i="8"/>
  <c r="F40" i="8" s="1"/>
  <c r="F39" i="7"/>
  <c r="F40" i="7"/>
  <c r="A49" i="7"/>
  <c r="C49" i="7" s="1"/>
  <c r="F49" i="7" s="1"/>
  <c r="C73" i="7"/>
  <c r="A48" i="7"/>
  <c r="C48" i="7" s="1"/>
  <c r="F48" i="7" s="1"/>
  <c r="F40" i="6"/>
  <c r="F36" i="6"/>
  <c r="C35" i="6"/>
  <c r="C37" i="6"/>
  <c r="F37" i="6" s="1"/>
  <c r="C41" i="6"/>
  <c r="F41" i="6" s="1"/>
  <c r="C73" i="6"/>
  <c r="F53" i="5"/>
  <c r="F48" i="5"/>
  <c r="A44" i="5"/>
  <c r="C44" i="5" s="1"/>
  <c r="F44" i="5" s="1"/>
  <c r="A48" i="5"/>
  <c r="C48" i="5" s="1"/>
  <c r="D81" i="5"/>
  <c r="A47" i="5"/>
  <c r="C47" i="5" s="1"/>
  <c r="F47" i="5" s="1"/>
  <c r="C73" i="5"/>
  <c r="F54" i="5" l="1"/>
  <c r="H54" i="5" s="1"/>
  <c r="G2" i="5" s="1"/>
  <c r="C85" i="7"/>
  <c r="E85" i="7" s="1"/>
  <c r="E73" i="7"/>
  <c r="E73" i="6"/>
  <c r="C85" i="6"/>
  <c r="E85" i="6" s="1"/>
  <c r="F56" i="5"/>
  <c r="C85" i="5"/>
  <c r="E85" i="5" s="1"/>
  <c r="E73" i="5"/>
  <c r="F64" i="5"/>
  <c r="C69" i="5"/>
  <c r="H53" i="5"/>
  <c r="F2" i="5" s="1"/>
  <c r="F55" i="5"/>
  <c r="C76" i="5" l="1"/>
  <c r="E76" i="5" s="1"/>
  <c r="E35" i="6" s="1"/>
  <c r="F35" i="6" s="1"/>
  <c r="F54" i="6" s="1"/>
  <c r="H54" i="6" s="1"/>
  <c r="G2" i="6" s="1"/>
  <c r="E69" i="5"/>
  <c r="E17" i="6" s="1"/>
  <c r="F17" i="6" s="1"/>
  <c r="F53" i="6" s="1"/>
  <c r="C81" i="5"/>
  <c r="E81" i="5" s="1"/>
  <c r="H55" i="5"/>
  <c r="F63" i="5"/>
  <c r="O54" i="5"/>
  <c r="H56" i="5"/>
  <c r="C74" i="5"/>
  <c r="C76" i="6" l="1"/>
  <c r="E76" i="6" s="1"/>
  <c r="E35" i="7" s="1"/>
  <c r="F35" i="7" s="1"/>
  <c r="F54" i="7" s="1"/>
  <c r="H54" i="7" s="1"/>
  <c r="G2" i="7" s="1"/>
  <c r="F64" i="6"/>
  <c r="H53" i="6"/>
  <c r="F2" i="6" s="1"/>
  <c r="F55" i="6"/>
  <c r="C69" i="6"/>
  <c r="H2" i="5"/>
  <c r="H58" i="5"/>
  <c r="H59" i="5" s="1"/>
  <c r="O58" i="5" s="1"/>
  <c r="O55" i="5"/>
  <c r="O56" i="5"/>
  <c r="E74" i="5"/>
  <c r="E44" i="6" s="1"/>
  <c r="F44" i="6" s="1"/>
  <c r="F56" i="6" s="1"/>
  <c r="C86" i="5"/>
  <c r="E86" i="5" s="1"/>
  <c r="C71" i="5"/>
  <c r="E63" i="5"/>
  <c r="F66" i="5"/>
  <c r="G63" i="5" s="1"/>
  <c r="E78" i="5" l="1"/>
  <c r="C76" i="7"/>
  <c r="E76" i="7" s="1"/>
  <c r="O57" i="5"/>
  <c r="O59" i="5" s="1"/>
  <c r="H55" i="6"/>
  <c r="F63" i="6"/>
  <c r="O54" i="6"/>
  <c r="O56" i="6" s="1"/>
  <c r="H56" i="6"/>
  <c r="C74" i="6"/>
  <c r="C81" i="6"/>
  <c r="E81" i="6" s="1"/>
  <c r="E69" i="6"/>
  <c r="O60" i="5"/>
  <c r="O61" i="5" s="1"/>
  <c r="O62" i="5" s="1"/>
  <c r="C83" i="5"/>
  <c r="E83" i="5" s="1"/>
  <c r="E71" i="5"/>
  <c r="G66" i="5"/>
  <c r="G9" i="5"/>
  <c r="G45" i="5"/>
  <c r="G50" i="5"/>
  <c r="G24" i="5"/>
  <c r="G19" i="5"/>
  <c r="G40" i="5"/>
  <c r="G18" i="5"/>
  <c r="G41" i="5"/>
  <c r="G20" i="5"/>
  <c r="G14" i="5"/>
  <c r="G30" i="5"/>
  <c r="G29" i="5"/>
  <c r="G22" i="5"/>
  <c r="G49" i="5"/>
  <c r="G51" i="5"/>
  <c r="G65" i="5"/>
  <c r="G46" i="5"/>
  <c r="G21" i="5"/>
  <c r="G11" i="5"/>
  <c r="G10" i="5"/>
  <c r="G37" i="5"/>
  <c r="G28" i="5"/>
  <c r="G13" i="5"/>
  <c r="G32" i="5"/>
  <c r="G27" i="5"/>
  <c r="G8" i="5"/>
  <c r="G38" i="5"/>
  <c r="G35" i="5"/>
  <c r="G23" i="5"/>
  <c r="G12" i="5"/>
  <c r="G39" i="5"/>
  <c r="G31" i="5"/>
  <c r="G17" i="5"/>
  <c r="G36" i="5"/>
  <c r="G44" i="5"/>
  <c r="G54" i="5"/>
  <c r="G53" i="5"/>
  <c r="G47" i="5"/>
  <c r="G48" i="5"/>
  <c r="G55" i="5"/>
  <c r="G64" i="5"/>
  <c r="G56" i="5"/>
  <c r="E35" i="8"/>
  <c r="F35" i="8" s="1"/>
  <c r="F54" i="8" s="1"/>
  <c r="H2" i="6" l="1"/>
  <c r="O55" i="6"/>
  <c r="O57" i="6" s="1"/>
  <c r="H58" i="6"/>
  <c r="H59" i="6" s="1"/>
  <c r="O58" i="6" s="1"/>
  <c r="E17" i="7"/>
  <c r="F17" i="7" s="1"/>
  <c r="C71" i="6"/>
  <c r="E63" i="6"/>
  <c r="F66" i="6"/>
  <c r="C76" i="8"/>
  <c r="E76" i="8" s="1"/>
  <c r="H54" i="8"/>
  <c r="G2" i="8" s="1"/>
  <c r="C86" i="6"/>
  <c r="E86" i="6" s="1"/>
  <c r="E74" i="6"/>
  <c r="E44" i="7" s="1"/>
  <c r="F44" i="7" s="1"/>
  <c r="E2" i="5"/>
  <c r="P62" i="5"/>
  <c r="O59" i="6" l="1"/>
  <c r="O60" i="6" s="1"/>
  <c r="O61" i="6" s="1"/>
  <c r="O62" i="6" s="1"/>
  <c r="P62" i="6" s="1"/>
  <c r="F53" i="7"/>
  <c r="E71" i="6"/>
  <c r="C83" i="6"/>
  <c r="E83" i="6" s="1"/>
  <c r="F56" i="7"/>
  <c r="G23" i="6"/>
  <c r="G29" i="6"/>
  <c r="G10" i="6"/>
  <c r="G46" i="6"/>
  <c r="G13" i="6"/>
  <c r="G20" i="6"/>
  <c r="G22" i="6"/>
  <c r="G19" i="6"/>
  <c r="G40" i="6"/>
  <c r="G56" i="6"/>
  <c r="G30" i="6"/>
  <c r="G55" i="6"/>
  <c r="G66" i="6"/>
  <c r="G48" i="6"/>
  <c r="G28" i="6"/>
  <c r="G18" i="6"/>
  <c r="G65" i="6"/>
  <c r="G32" i="6"/>
  <c r="G27" i="6"/>
  <c r="G11" i="6"/>
  <c r="G39" i="6"/>
  <c r="G35" i="6"/>
  <c r="G54" i="6"/>
  <c r="G12" i="6"/>
  <c r="G14" i="6"/>
  <c r="G31" i="6"/>
  <c r="G51" i="6"/>
  <c r="G41" i="6"/>
  <c r="G9" i="6"/>
  <c r="G17" i="6"/>
  <c r="G24" i="6"/>
  <c r="G45" i="6"/>
  <c r="G47" i="6"/>
  <c r="G44" i="6"/>
  <c r="G38" i="6"/>
  <c r="G50" i="6"/>
  <c r="G37" i="6"/>
  <c r="G36" i="6"/>
  <c r="G64" i="6"/>
  <c r="G21" i="6"/>
  <c r="G49" i="6"/>
  <c r="G8" i="6"/>
  <c r="G53" i="6"/>
  <c r="G63" i="6"/>
  <c r="E78" i="6"/>
  <c r="E2" i="6" l="1"/>
  <c r="H56" i="7"/>
  <c r="C74" i="7"/>
  <c r="F64" i="7"/>
  <c r="C69" i="7"/>
  <c r="H53" i="7"/>
  <c r="F55" i="7"/>
  <c r="H55" i="7" l="1"/>
  <c r="F63" i="7"/>
  <c r="O54" i="7"/>
  <c r="F2" i="7"/>
  <c r="E17" i="8"/>
  <c r="F17" i="8" s="1"/>
  <c r="E74" i="7"/>
  <c r="C86" i="7"/>
  <c r="E86" i="7" s="1"/>
  <c r="C81" i="7"/>
  <c r="E81" i="7" s="1"/>
  <c r="E69" i="7"/>
  <c r="O55" i="7"/>
  <c r="H58" i="7"/>
  <c r="H59" i="7" s="1"/>
  <c r="O58" i="7" s="1"/>
  <c r="H2" i="7"/>
  <c r="E78" i="7" l="1"/>
  <c r="F53" i="8"/>
  <c r="F66" i="7"/>
  <c r="G63" i="7" s="1"/>
  <c r="C71" i="7"/>
  <c r="E63" i="7"/>
  <c r="O56" i="7"/>
  <c r="O57" i="7" s="1"/>
  <c r="O59" i="7" s="1"/>
  <c r="O60" i="7" s="1"/>
  <c r="O61" i="7" s="1"/>
  <c r="O62" i="7" s="1"/>
  <c r="E44" i="8"/>
  <c r="F44" i="8" s="1"/>
  <c r="E2" i="7" l="1"/>
  <c r="P62" i="7"/>
  <c r="C83" i="7"/>
  <c r="E83" i="7" s="1"/>
  <c r="E71" i="7"/>
  <c r="G12" i="7"/>
  <c r="G51" i="7"/>
  <c r="G65" i="7"/>
  <c r="G47" i="7"/>
  <c r="G27" i="7"/>
  <c r="G30" i="7"/>
  <c r="G21" i="7"/>
  <c r="G48" i="7"/>
  <c r="G49" i="7"/>
  <c r="G54" i="7"/>
  <c r="G29" i="7"/>
  <c r="G23" i="7"/>
  <c r="G13" i="7"/>
  <c r="G32" i="7"/>
  <c r="G19" i="7"/>
  <c r="G46" i="7"/>
  <c r="G14" i="7"/>
  <c r="G20" i="7"/>
  <c r="G45" i="7"/>
  <c r="G39" i="7"/>
  <c r="G66" i="7"/>
  <c r="G37" i="7"/>
  <c r="G18" i="7"/>
  <c r="G35" i="7"/>
  <c r="G8" i="7"/>
  <c r="G11" i="7"/>
  <c r="G41" i="7"/>
  <c r="G22" i="7"/>
  <c r="G50" i="7"/>
  <c r="G40" i="7"/>
  <c r="G10" i="7"/>
  <c r="G31" i="7"/>
  <c r="G38" i="7"/>
  <c r="G24" i="7"/>
  <c r="G36" i="7"/>
  <c r="G9" i="7"/>
  <c r="G28" i="7"/>
  <c r="G17" i="7"/>
  <c r="G44" i="7"/>
  <c r="G53" i="7"/>
  <c r="G56" i="7"/>
  <c r="G64" i="7"/>
  <c r="G55" i="7"/>
  <c r="F56" i="8"/>
  <c r="H53" i="8"/>
  <c r="F2" i="8" s="1"/>
  <c r="C69" i="8"/>
  <c r="F64" i="8"/>
  <c r="F55" i="8"/>
  <c r="H56" i="8" l="1"/>
  <c r="C74" i="8"/>
  <c r="C81" i="8"/>
  <c r="E81" i="8" s="1"/>
  <c r="E69" i="8"/>
  <c r="O54" i="8"/>
  <c r="O56" i="8" s="1"/>
  <c r="H55" i="8"/>
  <c r="F63" i="8"/>
  <c r="E74" i="8" l="1"/>
  <c r="C86" i="8"/>
  <c r="E86" i="8" s="1"/>
  <c r="E78" i="8"/>
  <c r="O55" i="8"/>
  <c r="O57" i="8" s="1"/>
  <c r="H2" i="8"/>
  <c r="H58" i="8"/>
  <c r="H59" i="8" s="1"/>
  <c r="O58" i="8" s="1"/>
  <c r="C71" i="8"/>
  <c r="F66" i="8"/>
  <c r="E63" i="8"/>
  <c r="O59" i="8" l="1"/>
  <c r="O60" i="8" s="1"/>
  <c r="O61" i="8" s="1"/>
  <c r="O62" i="8" s="1"/>
  <c r="O65" i="8" s="1"/>
  <c r="E71" i="8"/>
  <c r="C83" i="8"/>
  <c r="E83" i="8" s="1"/>
  <c r="G63" i="8"/>
  <c r="G18" i="8"/>
  <c r="G13" i="8"/>
  <c r="G38" i="8"/>
  <c r="G24" i="8"/>
  <c r="G23" i="8"/>
  <c r="G51" i="8"/>
  <c r="G27" i="8"/>
  <c r="G46" i="8"/>
  <c r="G9" i="8"/>
  <c r="G47" i="8"/>
  <c r="G66" i="8"/>
  <c r="G22" i="8"/>
  <c r="G11" i="8"/>
  <c r="G45" i="8"/>
  <c r="G31" i="8"/>
  <c r="G20" i="8"/>
  <c r="G30" i="8"/>
  <c r="G40" i="8"/>
  <c r="G41" i="8"/>
  <c r="G37" i="8"/>
  <c r="G14" i="8"/>
  <c r="G65" i="8"/>
  <c r="G32" i="8"/>
  <c r="G12" i="8"/>
  <c r="G8" i="8"/>
  <c r="G49" i="8"/>
  <c r="G21" i="8"/>
  <c r="G28" i="8"/>
  <c r="G48" i="8"/>
  <c r="G50" i="8"/>
  <c r="G36" i="8"/>
  <c r="G54" i="8"/>
  <c r="G35" i="8"/>
  <c r="G29" i="8"/>
  <c r="G19" i="8"/>
  <c r="G10" i="8"/>
  <c r="G39" i="8"/>
  <c r="G17" i="8"/>
  <c r="G44" i="8"/>
  <c r="G53" i="8"/>
  <c r="G64" i="8"/>
  <c r="G55" i="8"/>
  <c r="G56" i="8"/>
  <c r="P62" i="8" l="1"/>
  <c r="E2" i="8"/>
  <c r="D21" i="2" l="1"/>
  <c r="D19" i="2"/>
  <c r="D29" i="1"/>
  <c r="D27" i="1"/>
</calcChain>
</file>

<file path=xl/sharedStrings.xml><?xml version="1.0" encoding="utf-8"?>
<sst xmlns="http://schemas.openxmlformats.org/spreadsheetml/2006/main" count="619" uniqueCount="173">
  <si>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</si>
  <si>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</si>
  <si>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</si>
  <si>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</si>
  <si>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</si>
  <si>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</si>
  <si>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</si>
  <si>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</si>
  <si>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</si>
  <si>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</si>
  <si>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</si>
  <si>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</si>
  <si>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</si>
  <si>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</si>
  <si>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</si>
  <si>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</si>
  <si>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</si>
  <si>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</si>
  <si>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</si>
  <si>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</si>
  <si>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</si>
  <si>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</si>
  <si>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</si>
  <si>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</si>
  <si>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</si>
  <si>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</si>
  <si>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</si>
  <si>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</si>
  <si>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</si>
  <si>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</si>
  <si>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</si>
  <si>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</si>
  <si>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</si>
  <si>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</si>
  <si>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</si>
  <si>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Juan Pablo Brenes , chef</t>
  </si>
  <si>
    <t>BATIDOS</t>
  </si>
  <si>
    <t>11200070</t>
  </si>
  <si>
    <t>10100046</t>
  </si>
  <si>
    <t>0310107</t>
  </si>
  <si>
    <t>Fachasa</t>
  </si>
  <si>
    <t>Fleishman</t>
  </si>
  <si>
    <t>Plasticos P</t>
  </si>
  <si>
    <t>Etiplast</t>
  </si>
  <si>
    <t>NUEVO</t>
  </si>
  <si>
    <t>FAS</t>
  </si>
  <si>
    <t>INNOVO</t>
  </si>
  <si>
    <t>MP10304</t>
  </si>
  <si>
    <t>Polvo Hornear</t>
  </si>
  <si>
    <t>MP10022</t>
  </si>
  <si>
    <t>Lactocrema Granel</t>
  </si>
  <si>
    <t>MP10206</t>
  </si>
  <si>
    <t>Harina Harisol Hojaldre</t>
  </si>
  <si>
    <t>EMPAQUE</t>
  </si>
  <si>
    <t>1950702</t>
  </si>
  <si>
    <t>EM10016</t>
  </si>
  <si>
    <t>Bolsa 12X18 Transparente</t>
  </si>
  <si>
    <t>1950708</t>
  </si>
  <si>
    <t>EM10013</t>
  </si>
  <si>
    <t>Bolsa 17X25 Transparente</t>
  </si>
  <si>
    <t>60100010</t>
  </si>
  <si>
    <t>EM10133</t>
  </si>
  <si>
    <t>Etiqueta Roja Letra Alerjeno</t>
  </si>
  <si>
    <t>0702123</t>
  </si>
  <si>
    <t>EM10011</t>
  </si>
  <si>
    <t>Etiqueta Blanca 2 5/8X1 15/16</t>
  </si>
  <si>
    <t>5000001</t>
  </si>
  <si>
    <t>MP10027</t>
  </si>
  <si>
    <t>Sal Industrial</t>
  </si>
  <si>
    <t>510301</t>
  </si>
  <si>
    <t>MP10074</t>
  </si>
  <si>
    <t>Azucar Blanco Industrial</t>
  </si>
  <si>
    <t>PREMEZCLA QUEQUE LIMON</t>
  </si>
  <si>
    <t>1210482</t>
  </si>
  <si>
    <t>MP10005</t>
  </si>
  <si>
    <t>Huevo Liquido Refrigerado</t>
  </si>
  <si>
    <t>GALON JUGO LIMON NATURAL</t>
  </si>
  <si>
    <t>MP10239</t>
  </si>
  <si>
    <t>Limon En Polvo</t>
  </si>
  <si>
    <t>MP10030</t>
  </si>
  <si>
    <t>LECHE 2% PASTEURIZADA (UND)</t>
  </si>
  <si>
    <t>DOS PINOS</t>
  </si>
  <si>
    <t>119000026</t>
  </si>
  <si>
    <t>MP10357</t>
  </si>
  <si>
    <t>Semilla Amapola</t>
  </si>
  <si>
    <t>1.- Cremar el azucar con la mantequilla, cuando este bien cremado agregar el huevo y mezclar.</t>
  </si>
  <si>
    <t>2.- Despues incorporar en velocidad 1 el jugo de limon.</t>
  </si>
  <si>
    <t>3.- Alternar entre la leche y todos los secos hasta incorporar.</t>
  </si>
  <si>
    <t>4.- Dosificar</t>
  </si>
  <si>
    <t>BATIDO QUEQUE LIMON</t>
  </si>
  <si>
    <t>MEZCLA ENGRASE MOLDES (29800g)</t>
  </si>
  <si>
    <t>ROSQUETE LIMON 150G</t>
  </si>
  <si>
    <t>1.- Pesar en la bolsa 12x18 el harina,  polvo de hornear, sal y limon en polvo.</t>
  </si>
  <si>
    <t>2.- En una bolsa 17x25 pesar la lactocrema y en la otra el azucar blanco.</t>
  </si>
  <si>
    <t>3.- Etiquetar.</t>
  </si>
  <si>
    <t>1.- Pesar 900g  de batido en los moldes previamente engrasados.</t>
  </si>
  <si>
    <t xml:space="preserve">2.- Llevar al horno a 180ºC 35 minutos. </t>
  </si>
  <si>
    <t>1950895</t>
  </si>
  <si>
    <t>1959752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</si>
  <si>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</si>
  <si>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</si>
  <si>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</si>
  <si>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</si>
  <si>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</si>
  <si>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</si>
  <si>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</si>
  <si>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</si>
  <si>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</si>
  <si>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</si>
  <si>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</si>
  <si>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</si>
  <si>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</si>
  <si>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Gramos</t>
  </si>
  <si>
    <t>101132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</si>
  <si>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</si>
  <si>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</si>
  <si>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</si>
  <si>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</si>
  <si>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</si>
  <si>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</si>
  <si>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</si>
  <si>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</si>
  <si>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</si>
  <si>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</si>
  <si>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</si>
  <si>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</si>
  <si>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</si>
  <si>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</si>
  <si>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</si>
  <si>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</si>
  <si>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</si>
  <si>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</si>
  <si>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</si>
  <si>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</si>
  <si>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</si>
  <si>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</si>
  <si>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</si>
  <si>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</si>
  <si>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</si>
  <si>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</si>
  <si>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</si>
  <si>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</si>
  <si>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</si>
  <si>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</si>
  <si>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</si>
  <si>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</si>
  <si>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</si>
  <si>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</si>
  <si>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</si>
  <si>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</si>
  <si>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</si>
  <si>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</si>
  <si>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Precio Jugo Limon aprox</t>
  </si>
  <si>
    <t>11400047</t>
  </si>
  <si>
    <t>95720</t>
  </si>
  <si>
    <t xml:space="preserve">UND </t>
  </si>
  <si>
    <t>und</t>
  </si>
  <si>
    <t>701096</t>
  </si>
  <si>
    <t>SE00429 Batido queque limon spoon</t>
  </si>
  <si>
    <t>SE00428 Premezcla queque limon spoon</t>
  </si>
  <si>
    <t>SE00428</t>
  </si>
  <si>
    <t>SE00429</t>
  </si>
  <si>
    <t>SE00626 Rosquete limon 900g</t>
  </si>
  <si>
    <t>01</t>
  </si>
  <si>
    <t>Javier Tong, Chef</t>
  </si>
  <si>
    <t>Batidos</t>
  </si>
  <si>
    <t># Código Netsuite</t>
  </si>
  <si>
    <t>Ensamble</t>
  </si>
  <si>
    <t>Decoración</t>
  </si>
  <si>
    <t>Empaque</t>
  </si>
  <si>
    <t/>
  </si>
  <si>
    <t>CONTROL DE CAMBIOS</t>
  </si>
  <si>
    <t>ESP-RE-BAS-061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</si>
</sst>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_(* #,##0.00_);_(* \(#,##0.00\);_(* &quot;-&quot;??_);_(@_)"/>
    <numFmt numFmtId="170" formatCode="_(* #,##0.000_);_(* \(#,##0.000\);_(* &quot;-&quot;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3" fillId="0" borderId="0"/>
  </cellStyleXfs>
  <cellXfs count="461">
    <xf numFmtId="0" fontId="0" fillId="0" borderId="0" xfId="0"/>
    <xf numFmtId="0" fontId="3" fillId="0" borderId="0" xfId="1"/>
    <xf numFmtId="0" fontId="2" fillId="3" borderId="0" xfId="1" applyFont="1" applyFill="1"/>
    <xf numFmtId="0" fontId="2" fillId="3" borderId="0" xfId="1" applyFont="1" applyFill="1" applyAlignment="1">
      <alignment horizontal="left" indent="1"/>
    </xf>
    <xf numFmtId="9" fontId="2" fillId="3" borderId="0" xfId="2" applyFont="1" applyFill="1"/>
    <xf numFmtId="0" fontId="2" fillId="3" borderId="0" xfId="0" applyFont="1" applyFill="1"/>
    <xf numFmtId="0" fontId="1" fillId="0" borderId="2" xfId="0" applyFont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1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6" xfId="0" applyFont="1" applyFill="1" applyBorder="1"/>
    <xf numFmtId="164" fontId="2" fillId="3" borderId="26" xfId="0" applyNumberFormat="1" applyFont="1" applyFill="1" applyBorder="1" applyAlignment="1">
      <alignment horizontal="center" wrapText="1"/>
    </xf>
    <xf numFmtId="1" fontId="2" fillId="3" borderId="26" xfId="0" applyNumberFormat="1" applyFont="1" applyFill="1" applyBorder="1" applyAlignment="1">
      <alignment horizontal="center"/>
    </xf>
    <xf numFmtId="49" fontId="5" fillId="3" borderId="27" xfId="0" applyNumberFormat="1" applyFont="1" applyFill="1" applyBorder="1" applyAlignment="1">
      <alignment horizontal="left" vertical="center"/>
    </xf>
    <xf numFmtId="0" fontId="2" fillId="0" borderId="20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0" xfId="0" applyFont="1" applyBorder="1"/>
    <xf numFmtId="1" fontId="2" fillId="0" borderId="10" xfId="0" applyNumberFormat="1" applyFont="1" applyBorder="1" applyAlignment="1">
      <alignment horizontal="center" wrapText="1"/>
    </xf>
    <xf numFmtId="1" fontId="2" fillId="5" borderId="11" xfId="0" applyNumberFormat="1" applyFont="1" applyFill="1" applyBorder="1" applyAlignment="1">
      <alignment horizontal="center"/>
    </xf>
    <xf numFmtId="1" fontId="2" fillId="0" borderId="20" xfId="0" applyNumberFormat="1" applyFont="1" applyBorder="1" applyAlignment="1">
      <alignment horizontal="center" wrapText="1"/>
    </xf>
    <xf numFmtId="0" fontId="3" fillId="0" borderId="0" xfId="3"/>
    <xf numFmtId="0" fontId="2" fillId="5" borderId="10" xfId="0" applyFont="1" applyFill="1" applyBorder="1" applyAlignment="1">
      <alignment horizontal="center"/>
    </xf>
    <xf numFmtId="0" fontId="1" fillId="5" borderId="4" xfId="0" applyFont="1" applyFill="1" applyBorder="1"/>
    <xf numFmtId="0" fontId="1" fillId="5" borderId="10" xfId="0" applyFont="1" applyFill="1" applyBorder="1"/>
    <xf numFmtId="1" fontId="2" fillId="5" borderId="20" xfId="0" applyNumberFormat="1" applyFont="1" applyFill="1" applyBorder="1" applyAlignment="1">
      <alignment horizontal="center" wrapText="1"/>
    </xf>
    <xf numFmtId="12" fontId="2" fillId="5" borderId="11" xfId="0" applyNumberFormat="1" applyFont="1" applyFill="1" applyBorder="1" applyAlignment="1">
      <alignment horizontal="center"/>
    </xf>
    <xf numFmtId="0" fontId="1" fillId="0" borderId="13" xfId="0" applyFont="1" applyBorder="1"/>
    <xf numFmtId="1" fontId="2" fillId="0" borderId="23" xfId="0" applyNumberFormat="1" applyFont="1" applyBorder="1" applyAlignment="1">
      <alignment horizontal="center" wrapText="1"/>
    </xf>
    <xf numFmtId="0" fontId="4" fillId="4" borderId="29" xfId="0" applyFont="1" applyFill="1" applyBorder="1" applyAlignment="1">
      <alignment horizontal="center" vertical="center"/>
    </xf>
    <xf numFmtId="1" fontId="4" fillId="4" borderId="28" xfId="0" applyNumberFormat="1" applyFont="1" applyFill="1" applyBorder="1" applyAlignment="1">
      <alignment horizontal="center" vertical="center" wrapText="1"/>
    </xf>
    <xf numFmtId="1" fontId="4" fillId="4" borderId="28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4" fontId="7" fillId="3" borderId="31" xfId="4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9" fillId="0" borderId="10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1" fillId="0" borderId="40" xfId="0" applyFont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49" fontId="5" fillId="3" borderId="26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/>
    <xf numFmtId="0" fontId="3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1" fontId="3" fillId="0" borderId="8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0" fillId="8" borderId="0" xfId="0" applyFill="1" applyAlignment="1">
      <alignment horizontal="center"/>
    </xf>
    <xf numFmtId="0" fontId="3" fillId="8" borderId="0" xfId="0" applyFont="1" applyFill="1"/>
    <xf numFmtId="49" fontId="14" fillId="0" borderId="6" xfId="3" applyNumberFormat="1" applyFont="1" applyBorder="1" applyAlignment="1">
      <alignment horizontal="center"/>
    </xf>
    <xf numFmtId="49" fontId="15" fillId="0" borderId="44" xfId="3" applyNumberFormat="1" applyFont="1" applyBorder="1"/>
    <xf numFmtId="0" fontId="14" fillId="3" borderId="21" xfId="3" applyFont="1" applyFill="1" applyBorder="1"/>
    <xf numFmtId="1" fontId="14" fillId="3" borderId="11" xfId="3" applyNumberFormat="1" applyFont="1" applyFill="1" applyBorder="1" applyAlignment="1">
      <alignment horizontal="center"/>
    </xf>
    <xf numFmtId="1" fontId="14" fillId="3" borderId="11" xfId="3" applyNumberFormat="1" applyFont="1" applyFill="1" applyBorder="1" applyAlignment="1">
      <alignment horizontal="center" wrapText="1"/>
    </xf>
    <xf numFmtId="16" fontId="14" fillId="3" borderId="11" xfId="3" applyNumberFormat="1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3" fillId="9" borderId="8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6" fontId="3" fillId="10" borderId="11" xfId="3" applyNumberForma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0" fillId="8" borderId="0" xfId="0" applyFill="1"/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0" fontId="13" fillId="5" borderId="0" xfId="0" applyFont="1" applyFill="1" applyAlignment="1">
      <alignment vertical="center"/>
    </xf>
    <xf numFmtId="0" fontId="18" fillId="7" borderId="11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18" fillId="0" borderId="11" xfId="5" applyFont="1" applyFill="1" applyBorder="1" applyAlignment="1">
      <alignment horizontal="center" vertical="center"/>
    </xf>
    <xf numFmtId="43" fontId="18" fillId="0" borderId="0" xfId="5" applyFont="1" applyFill="1" applyBorder="1" applyAlignment="1">
      <alignment horizontal="center" vertical="center"/>
    </xf>
    <xf numFmtId="43" fontId="20" fillId="0" borderId="0" xfId="5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66" fontId="23" fillId="0" borderId="0" xfId="0" applyNumberFormat="1" applyFont="1" applyAlignment="1">
      <alignment horizontal="center" vertical="center" wrapText="1"/>
    </xf>
    <xf numFmtId="0" fontId="18" fillId="11" borderId="48" xfId="0" applyFont="1" applyFill="1" applyBorder="1" applyAlignment="1">
      <alignment horizontal="center" vertical="center"/>
    </xf>
    <xf numFmtId="0" fontId="18" fillId="11" borderId="49" xfId="0" applyFont="1" applyFill="1" applyBorder="1" applyAlignment="1">
      <alignment horizontal="center" vertical="center"/>
    </xf>
    <xf numFmtId="0" fontId="18" fillId="11" borderId="49" xfId="0" applyFont="1" applyFill="1" applyBorder="1" applyAlignment="1">
      <alignment horizontal="center" vertical="center" wrapText="1"/>
    </xf>
    <xf numFmtId="0" fontId="18" fillId="11" borderId="5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24" fillId="0" borderId="0" xfId="0" applyNumberFormat="1" applyFont="1" applyAlignment="1">
      <alignment horizontal="center"/>
    </xf>
    <xf numFmtId="4" fontId="24" fillId="0" borderId="0" xfId="6" applyNumberFormat="1" applyFont="1" applyFill="1" applyAlignment="1">
      <alignment horizontal="center" vertical="center"/>
    </xf>
    <xf numFmtId="4" fontId="18" fillId="0" borderId="0" xfId="6" applyNumberFormat="1" applyFont="1" applyFill="1" applyAlignment="1">
      <alignment horizontal="center" vertical="center"/>
    </xf>
    <xf numFmtId="10" fontId="18" fillId="0" borderId="0" xfId="2" applyNumberFormat="1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10" fontId="19" fillId="0" borderId="0" xfId="2" applyNumberFormat="1" applyFont="1" applyFill="1" applyAlignment="1">
      <alignment vertical="center"/>
    </xf>
    <xf numFmtId="0" fontId="13" fillId="0" borderId="0" xfId="0" applyFont="1"/>
    <xf numFmtId="49" fontId="18" fillId="0" borderId="0" xfId="0" applyNumberFormat="1" applyFont="1" applyAlignment="1">
      <alignment horizontal="center"/>
    </xf>
    <xf numFmtId="167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5" applyFont="1" applyFill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4" fontId="18" fillId="0" borderId="0" xfId="5" applyNumberFormat="1" applyFont="1" applyFill="1" applyAlignment="1">
      <alignment vertical="center"/>
    </xf>
    <xf numFmtId="43" fontId="26" fillId="0" borderId="0" xfId="5" applyFont="1" applyFill="1" applyAlignment="1">
      <alignment horizontal="center" vertical="center"/>
    </xf>
    <xf numFmtId="10" fontId="19" fillId="11" borderId="51" xfId="2" applyNumberFormat="1" applyFont="1" applyFill="1" applyBorder="1" applyAlignment="1">
      <alignment vertical="center"/>
    </xf>
    <xf numFmtId="0" fontId="13" fillId="11" borderId="46" xfId="0" applyFont="1" applyFill="1" applyBorder="1" applyAlignment="1">
      <alignment vertical="center"/>
    </xf>
    <xf numFmtId="0" fontId="13" fillId="11" borderId="51" xfId="0" applyFont="1" applyFill="1" applyBorder="1" applyAlignment="1">
      <alignment vertical="center"/>
    </xf>
    <xf numFmtId="43" fontId="26" fillId="11" borderId="52" xfId="5" applyFont="1" applyFill="1" applyBorder="1" applyAlignment="1">
      <alignment horizontal="center" vertical="center"/>
    </xf>
    <xf numFmtId="43" fontId="28" fillId="0" borderId="0" xfId="5" applyFont="1" applyFill="1" applyBorder="1" applyAlignment="1">
      <alignment horizontal="right"/>
    </xf>
    <xf numFmtId="0" fontId="13" fillId="11" borderId="52" xfId="0" applyFont="1" applyFill="1" applyBorder="1" applyAlignment="1">
      <alignment vertical="center"/>
    </xf>
    <xf numFmtId="10" fontId="19" fillId="11" borderId="52" xfId="2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0" fontId="27" fillId="0" borderId="0" xfId="0" applyFont="1"/>
    <xf numFmtId="9" fontId="27" fillId="0" borderId="0" xfId="0" applyNumberFormat="1" applyFont="1"/>
    <xf numFmtId="9" fontId="29" fillId="0" borderId="0" xfId="2" applyFont="1" applyFill="1" applyAlignment="1">
      <alignment horizontal="center"/>
    </xf>
    <xf numFmtId="0" fontId="26" fillId="0" borderId="0" xfId="0" applyFont="1" applyAlignment="1">
      <alignment horizontal="right" vertical="center"/>
    </xf>
    <xf numFmtId="4" fontId="26" fillId="0" borderId="0" xfId="5" applyNumberFormat="1" applyFont="1" applyFill="1" applyAlignment="1">
      <alignment vertical="center"/>
    </xf>
    <xf numFmtId="4" fontId="26" fillId="0" borderId="0" xfId="6" applyNumberFormat="1" applyFont="1" applyAlignment="1">
      <alignment horizontal="center" vertical="center"/>
    </xf>
    <xf numFmtId="0" fontId="30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1" fillId="0" borderId="16" xfId="0" applyFont="1" applyBorder="1" applyAlignment="1">
      <alignment horizontal="right"/>
    </xf>
    <xf numFmtId="43" fontId="32" fillId="6" borderId="44" xfId="5" applyFont="1" applyFill="1" applyBorder="1" applyAlignment="1">
      <alignment horizontal="right"/>
    </xf>
    <xf numFmtId="43" fontId="32" fillId="0" borderId="0" xfId="5" applyFont="1" applyFill="1" applyBorder="1" applyAlignment="1">
      <alignment horizontal="right"/>
    </xf>
    <xf numFmtId="43" fontId="18" fillId="0" borderId="11" xfId="5" applyFont="1" applyFill="1" applyBorder="1" applyAlignment="1">
      <alignment vertical="center"/>
    </xf>
    <xf numFmtId="0" fontId="33" fillId="0" borderId="0" xfId="0" applyFont="1" applyAlignment="1">
      <alignment horizontal="left" vertical="center"/>
    </xf>
    <xf numFmtId="4" fontId="26" fillId="0" borderId="0" xfId="6" applyNumberFormat="1" applyFont="1" applyFill="1" applyAlignment="1">
      <alignment horizontal="center" vertical="center"/>
    </xf>
    <xf numFmtId="10" fontId="34" fillId="0" borderId="0" xfId="2" applyNumberFormat="1" applyFont="1" applyFill="1" applyAlignment="1">
      <alignment horizontal="right"/>
    </xf>
    <xf numFmtId="168" fontId="18" fillId="11" borderId="11" xfId="5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18" fillId="12" borderId="11" xfId="5" applyFont="1" applyFill="1" applyBorder="1" applyAlignment="1">
      <alignment vertical="center"/>
    </xf>
    <xf numFmtId="169" fontId="35" fillId="0" borderId="0" xfId="0" applyNumberFormat="1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0" fontId="19" fillId="11" borderId="53" xfId="0" applyFont="1" applyFill="1" applyBorder="1" applyAlignment="1">
      <alignment vertical="center"/>
    </xf>
    <xf numFmtId="0" fontId="37" fillId="0" borderId="0" xfId="0" applyFont="1" applyAlignment="1">
      <alignment vertical="center"/>
    </xf>
    <xf numFmtId="2" fontId="34" fillId="0" borderId="0" xfId="5" applyNumberFormat="1" applyFont="1" applyFill="1" applyBorder="1" applyAlignment="1">
      <alignment horizontal="center"/>
    </xf>
    <xf numFmtId="2" fontId="31" fillId="0" borderId="0" xfId="5" applyNumberFormat="1" applyFont="1" applyFill="1" applyBorder="1" applyAlignment="1">
      <alignment horizontal="center"/>
    </xf>
    <xf numFmtId="0" fontId="13" fillId="11" borderId="53" xfId="0" applyFont="1" applyFill="1" applyBorder="1" applyAlignment="1">
      <alignment vertical="center"/>
    </xf>
    <xf numFmtId="10" fontId="13" fillId="0" borderId="0" xfId="2" applyNumberFormat="1" applyFont="1" applyFill="1" applyAlignment="1">
      <alignment vertical="center"/>
    </xf>
    <xf numFmtId="4" fontId="13" fillId="0" borderId="0" xfId="5" applyNumberFormat="1" applyFont="1" applyFill="1" applyAlignment="1">
      <alignment vertical="center"/>
    </xf>
    <xf numFmtId="43" fontId="32" fillId="11" borderId="46" xfId="5" applyFont="1" applyFill="1" applyBorder="1" applyAlignment="1">
      <alignment horizontal="right"/>
    </xf>
    <xf numFmtId="0" fontId="18" fillId="11" borderId="47" xfId="0" applyFont="1" applyFill="1" applyBorder="1" applyAlignment="1">
      <alignment horizontal="right" vertical="center"/>
    </xf>
    <xf numFmtId="10" fontId="38" fillId="0" borderId="0" xfId="5" applyNumberFormat="1" applyFont="1" applyFill="1" applyAlignment="1">
      <alignment vertical="center"/>
    </xf>
    <xf numFmtId="10" fontId="19" fillId="0" borderId="0" xfId="2" applyNumberFormat="1" applyFont="1" applyFill="1" applyBorder="1" applyAlignment="1">
      <alignment vertical="center"/>
    </xf>
    <xf numFmtId="169" fontId="39" fillId="0" borderId="0" xfId="0" applyNumberFormat="1" applyFont="1" applyAlignment="1">
      <alignment horizontal="center" vertical="center"/>
    </xf>
    <xf numFmtId="0" fontId="13" fillId="5" borderId="44" xfId="0" applyFont="1" applyFill="1" applyBorder="1" applyAlignment="1">
      <alignment horizontal="center" vertical="center"/>
    </xf>
    <xf numFmtId="43" fontId="40" fillId="0" borderId="0" xfId="5" applyFont="1" applyFill="1" applyAlignment="1">
      <alignment vertical="center"/>
    </xf>
    <xf numFmtId="4" fontId="41" fillId="0" borderId="0" xfId="6" applyNumberFormat="1" applyFont="1" applyFill="1" applyAlignment="1">
      <alignment horizontal="center" vertical="center" wrapText="1"/>
    </xf>
    <xf numFmtId="9" fontId="13" fillId="0" borderId="0" xfId="5" applyNumberFormat="1" applyFont="1" applyFill="1" applyAlignment="1">
      <alignment vertical="center"/>
    </xf>
    <xf numFmtId="0" fontId="2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4" fontId="25" fillId="0" borderId="0" xfId="5" applyNumberFormat="1" applyFont="1" applyFill="1" applyAlignment="1">
      <alignment vertical="center"/>
    </xf>
    <xf numFmtId="4" fontId="18" fillId="14" borderId="44" xfId="5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43" fontId="16" fillId="0" borderId="0" xfId="5" applyFont="1" applyFill="1" applyAlignment="1">
      <alignment vertical="center"/>
    </xf>
    <xf numFmtId="9" fontId="16" fillId="0" borderId="0" xfId="5" applyNumberFormat="1" applyFont="1" applyFill="1" applyAlignment="1">
      <alignment vertical="center"/>
    </xf>
    <xf numFmtId="4" fontId="18" fillId="0" borderId="0" xfId="5" applyNumberFormat="1" applyFont="1" applyFill="1" applyAlignment="1">
      <alignment horizontal="center" vertical="center"/>
    </xf>
    <xf numFmtId="10" fontId="35" fillId="0" borderId="0" xfId="2" applyNumberFormat="1" applyFont="1" applyFill="1" applyAlignment="1">
      <alignment vertical="center"/>
    </xf>
    <xf numFmtId="43" fontId="35" fillId="0" borderId="0" xfId="5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5" applyFont="1" applyFill="1" applyBorder="1"/>
    <xf numFmtId="10" fontId="35" fillId="0" borderId="0" xfId="2" applyNumberFormat="1" applyFont="1" applyFill="1" applyBorder="1" applyAlignment="1">
      <alignment vertical="center"/>
    </xf>
    <xf numFmtId="0" fontId="35" fillId="0" borderId="0" xfId="0" applyFont="1" applyAlignment="1">
      <alignment horizontal="right"/>
    </xf>
    <xf numFmtId="43" fontId="13" fillId="0" borderId="0" xfId="5" applyFont="1" applyFill="1" applyBorder="1" applyAlignment="1">
      <alignment horizontal="center"/>
    </xf>
    <xf numFmtId="9" fontId="44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center"/>
    </xf>
    <xf numFmtId="169" fontId="18" fillId="0" borderId="0" xfId="0" applyNumberFormat="1" applyFont="1"/>
    <xf numFmtId="0" fontId="1" fillId="5" borderId="11" xfId="0" applyFont="1" applyFill="1" applyBorder="1" applyAlignment="1">
      <alignment horizontal="center"/>
    </xf>
    <xf numFmtId="0" fontId="4" fillId="3" borderId="14" xfId="4" applyFont="1" applyFill="1" applyBorder="1" applyAlignment="1">
      <alignment horizontal="right"/>
    </xf>
    <xf numFmtId="0" fontId="2" fillId="3" borderId="13" xfId="4" applyFont="1" applyFill="1" applyBorder="1" applyAlignment="1">
      <alignment horizontal="center"/>
    </xf>
    <xf numFmtId="0" fontId="4" fillId="3" borderId="11" xfId="4" applyFont="1" applyFill="1" applyBorder="1" applyAlignment="1">
      <alignment horizontal="right"/>
    </xf>
    <xf numFmtId="49" fontId="2" fillId="3" borderId="10" xfId="4" applyNumberFormat="1" applyFont="1" applyFill="1" applyBorder="1" applyAlignment="1">
      <alignment horizontal="center"/>
    </xf>
    <xf numFmtId="0" fontId="2" fillId="3" borderId="8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right"/>
    </xf>
    <xf numFmtId="14" fontId="46" fillId="3" borderId="0" xfId="4" applyNumberFormat="1" applyFont="1" applyFill="1" applyAlignment="1">
      <alignment horizontal="center" vertical="center" wrapText="1"/>
    </xf>
    <xf numFmtId="0" fontId="4" fillId="4" borderId="13" xfId="3" applyFont="1" applyFill="1" applyBorder="1" applyAlignment="1">
      <alignment horizontal="center" vertical="center" wrapText="1"/>
    </xf>
    <xf numFmtId="1" fontId="4" fillId="4" borderId="2" xfId="3" applyNumberFormat="1" applyFont="1" applyFill="1" applyBorder="1" applyAlignment="1">
      <alignment horizontal="center"/>
    </xf>
    <xf numFmtId="1" fontId="4" fillId="4" borderId="2" xfId="3" applyNumberFormat="1" applyFont="1" applyFill="1" applyBorder="1" applyAlignment="1">
      <alignment horizontal="center" wrapText="1"/>
    </xf>
    <xf numFmtId="0" fontId="4" fillId="4" borderId="1" xfId="3" applyFont="1" applyFill="1" applyBorder="1" applyAlignment="1">
      <alignment horizontal="center"/>
    </xf>
    <xf numFmtId="0" fontId="47" fillId="0" borderId="12" xfId="3" applyFont="1" applyBorder="1" applyAlignment="1">
      <alignment horizontal="center" vertical="center"/>
    </xf>
    <xf numFmtId="0" fontId="47" fillId="0" borderId="21" xfId="3" applyFont="1" applyBorder="1" applyAlignment="1">
      <alignment horizontal="center" vertical="center"/>
    </xf>
    <xf numFmtId="0" fontId="48" fillId="0" borderId="11" xfId="3" applyFont="1" applyBorder="1" applyAlignment="1">
      <alignment vertical="center"/>
    </xf>
    <xf numFmtId="0" fontId="47" fillId="0" borderId="11" xfId="3" applyFont="1" applyBorder="1" applyAlignment="1">
      <alignment horizontal="center" vertical="center"/>
    </xf>
    <xf numFmtId="1" fontId="47" fillId="0" borderId="11" xfId="3" applyNumberFormat="1" applyFont="1" applyBorder="1" applyAlignment="1">
      <alignment horizontal="center"/>
    </xf>
    <xf numFmtId="1" fontId="47" fillId="0" borderId="11" xfId="3" applyNumberFormat="1" applyFont="1" applyBorder="1" applyAlignment="1">
      <alignment horizontal="center" wrapText="1"/>
    </xf>
    <xf numFmtId="0" fontId="12" fillId="0" borderId="10" xfId="3" applyFont="1" applyBorder="1" applyAlignment="1">
      <alignment horizontal="center"/>
    </xf>
    <xf numFmtId="1" fontId="0" fillId="0" borderId="11" xfId="0" applyNumberFormat="1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12" fontId="2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0" fillId="0" borderId="21" xfId="0" applyBorder="1" applyAlignment="1">
      <alignment horizontal="center"/>
    </xf>
    <xf numFmtId="0" fontId="49" fillId="0" borderId="11" xfId="0" applyFont="1" applyBorder="1" applyAlignment="1">
      <alignment horizontal="center"/>
    </xf>
    <xf numFmtId="49" fontId="12" fillId="0" borderId="12" xfId="3" applyNumberFormat="1" applyFont="1" applyBorder="1" applyAlignment="1">
      <alignment horizontal="center"/>
    </xf>
    <xf numFmtId="49" fontId="12" fillId="0" borderId="21" xfId="3" applyNumberFormat="1" applyFont="1" applyBorder="1" applyAlignment="1">
      <alignment horizontal="center"/>
    </xf>
    <xf numFmtId="0" fontId="50" fillId="5" borderId="11" xfId="3" applyFont="1" applyFill="1" applyBorder="1" applyAlignment="1">
      <alignment horizontal="left"/>
    </xf>
    <xf numFmtId="0" fontId="2" fillId="5" borderId="11" xfId="3" applyFont="1" applyFill="1" applyBorder="1" applyAlignment="1">
      <alignment horizontal="center"/>
    </xf>
    <xf numFmtId="1" fontId="0" fillId="0" borderId="21" xfId="0" applyNumberFormat="1" applyBorder="1"/>
    <xf numFmtId="0" fontId="12" fillId="0" borderId="11" xfId="3" applyFont="1" applyBorder="1" applyAlignment="1">
      <alignment horizontal="center"/>
    </xf>
    <xf numFmtId="165" fontId="12" fillId="0" borderId="11" xfId="3" applyNumberFormat="1" applyFont="1" applyBorder="1" applyAlignment="1">
      <alignment horizontal="center"/>
    </xf>
    <xf numFmtId="1" fontId="12" fillId="0" borderId="11" xfId="3" applyNumberFormat="1" applyFont="1" applyBorder="1" applyAlignment="1">
      <alignment horizontal="center" wrapText="1"/>
    </xf>
    <xf numFmtId="0" fontId="1" fillId="5" borderId="12" xfId="0" applyFont="1" applyFill="1" applyBorder="1" applyAlignment="1">
      <alignment horizontal="center"/>
    </xf>
    <xf numFmtId="0" fontId="1" fillId="5" borderId="8" xfId="0" applyFont="1" applyFill="1" applyBorder="1"/>
    <xf numFmtId="0" fontId="2" fillId="5" borderId="21" xfId="0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 wrapText="1"/>
    </xf>
    <xf numFmtId="16" fontId="2" fillId="0" borderId="11" xfId="0" applyNumberFormat="1" applyFont="1" applyBorder="1" applyAlignment="1">
      <alignment horizontal="center"/>
    </xf>
    <xf numFmtId="49" fontId="47" fillId="0" borderId="6" xfId="3" applyNumberFormat="1" applyFont="1" applyBorder="1" applyAlignment="1">
      <alignment horizontal="center"/>
    </xf>
    <xf numFmtId="49" fontId="47" fillId="0" borderId="5" xfId="3" applyNumberFormat="1" applyFont="1" applyBorder="1" applyAlignment="1">
      <alignment horizontal="center"/>
    </xf>
    <xf numFmtId="0" fontId="51" fillId="5" borderId="11" xfId="3" applyFont="1" applyFill="1" applyBorder="1" applyAlignment="1">
      <alignment vertical="center"/>
    </xf>
    <xf numFmtId="0" fontId="47" fillId="0" borderId="21" xfId="3" applyFont="1" applyBorder="1" applyAlignment="1">
      <alignment horizontal="center"/>
    </xf>
    <xf numFmtId="165" fontId="47" fillId="0" borderId="11" xfId="3" applyNumberFormat="1" applyFont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 wrapText="1"/>
    </xf>
    <xf numFmtId="170" fontId="4" fillId="5" borderId="11" xfId="5" applyNumberFormat="1" applyFont="1" applyFill="1" applyBorder="1" applyAlignment="1">
      <alignment horizontal="center"/>
    </xf>
    <xf numFmtId="0" fontId="52" fillId="0" borderId="12" xfId="0" applyFont="1" applyBorder="1" applyAlignment="1">
      <alignment horizontal="center"/>
    </xf>
    <xf numFmtId="0" fontId="52" fillId="0" borderId="21" xfId="0" applyFont="1" applyBorder="1" applyAlignment="1">
      <alignment horizontal="center"/>
    </xf>
    <xf numFmtId="0" fontId="16" fillId="0" borderId="11" xfId="0" applyFont="1" applyBorder="1"/>
    <xf numFmtId="0" fontId="12" fillId="0" borderId="11" xfId="0" applyFont="1" applyBorder="1" applyAlignment="1">
      <alignment horizontal="center"/>
    </xf>
    <xf numFmtId="1" fontId="12" fillId="0" borderId="11" xfId="0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12" fillId="0" borderId="11" xfId="3" applyNumberFormat="1" applyFont="1" applyBorder="1" applyAlignment="1">
      <alignment horizontal="center"/>
    </xf>
    <xf numFmtId="1" fontId="12" fillId="0" borderId="11" xfId="3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2" fillId="0" borderId="11" xfId="0" quotePrefix="1" applyFont="1" applyBorder="1"/>
    <xf numFmtId="49" fontId="5" fillId="3" borderId="17" xfId="3" applyNumberFormat="1" applyFont="1" applyFill="1" applyBorder="1" applyAlignment="1">
      <alignment horizontal="center" vertical="center"/>
    </xf>
    <xf numFmtId="49" fontId="5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16" xfId="3" applyFont="1" applyFill="1" applyBorder="1" applyAlignment="1">
      <alignment horizontal="center"/>
    </xf>
    <xf numFmtId="0" fontId="2" fillId="4" borderId="45" xfId="3" applyFont="1" applyFill="1" applyBorder="1" applyAlignment="1">
      <alignment horizontal="center"/>
    </xf>
    <xf numFmtId="0" fontId="2" fillId="4" borderId="46" xfId="3" applyFont="1" applyFill="1" applyBorder="1" applyAlignment="1">
      <alignment horizontal="center"/>
    </xf>
    <xf numFmtId="0" fontId="2" fillId="4" borderId="46" xfId="3" applyFont="1" applyFill="1" applyBorder="1"/>
    <xf numFmtId="0" fontId="4" fillId="4" borderId="46" xfId="3" applyFont="1" applyFill="1" applyBorder="1" applyAlignment="1">
      <alignment horizontal="center"/>
    </xf>
    <xf numFmtId="1" fontId="4" fillId="4" borderId="46" xfId="3" applyNumberFormat="1" applyFont="1" applyFill="1" applyBorder="1" applyAlignment="1">
      <alignment horizontal="center"/>
    </xf>
    <xf numFmtId="164" fontId="2" fillId="4" borderId="46" xfId="3" applyNumberFormat="1" applyFont="1" applyFill="1" applyBorder="1" applyAlignment="1">
      <alignment horizontal="center" wrapText="1"/>
    </xf>
    <xf numFmtId="0" fontId="2" fillId="4" borderId="47" xfId="3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3" borderId="26" xfId="4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5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0" fontId="2" fillId="3" borderId="2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4" fontId="2" fillId="0" borderId="2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164" fontId="2" fillId="0" borderId="11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/>
    </xf>
    <xf numFmtId="0" fontId="4" fillId="0" borderId="4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5" fontId="2" fillId="5" borderId="20" xfId="0" applyNumberFormat="1" applyFont="1" applyFill="1" applyBorder="1" applyAlignment="1">
      <alignment horizontal="center"/>
    </xf>
    <xf numFmtId="165" fontId="2" fillId="5" borderId="21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 wrapText="1"/>
    </xf>
    <xf numFmtId="0" fontId="2" fillId="0" borderId="4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4" fontId="2" fillId="3" borderId="29" xfId="4" applyNumberFormat="1" applyFont="1" applyFill="1" applyBorder="1" applyAlignment="1">
      <alignment horizontal="center" vertical="center" wrapText="1"/>
    </xf>
    <xf numFmtId="14" fontId="2" fillId="3" borderId="34" xfId="4" applyNumberFormat="1" applyFont="1" applyFill="1" applyBorder="1" applyAlignment="1">
      <alignment horizontal="center" vertical="center" wrapText="1"/>
    </xf>
    <xf numFmtId="14" fontId="2" fillId="3" borderId="32" xfId="4" applyNumberFormat="1" applyFont="1" applyFill="1" applyBorder="1" applyAlignment="1">
      <alignment horizontal="center" vertical="center" wrapText="1"/>
    </xf>
    <xf numFmtId="0" fontId="2" fillId="3" borderId="11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4" fillId="4" borderId="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2" fillId="3" borderId="40" xfId="4" applyFont="1" applyFill="1" applyBorder="1" applyAlignment="1">
      <alignment horizontal="center"/>
    </xf>
    <xf numFmtId="0" fontId="2" fillId="3" borderId="43" xfId="4" applyFont="1" applyFill="1" applyBorder="1" applyAlignment="1">
      <alignment horizontal="center"/>
    </xf>
    <xf numFmtId="0" fontId="2" fillId="3" borderId="17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7" xfId="4" applyFont="1" applyFill="1" applyBorder="1" applyAlignment="1">
      <alignment horizontal="center"/>
    </xf>
    <xf numFmtId="0" fontId="2" fillId="3" borderId="26" xfId="4" applyFont="1" applyFill="1" applyBorder="1" applyAlignment="1">
      <alignment horizontal="center"/>
    </xf>
    <xf numFmtId="0" fontId="8" fillId="3" borderId="26" xfId="4" applyFont="1" applyFill="1" applyBorder="1" applyAlignment="1">
      <alignment vertical="center"/>
    </xf>
    <xf numFmtId="0" fontId="10" fillId="3" borderId="14" xfId="4" applyFont="1" applyFill="1" applyBorder="1" applyAlignment="1">
      <alignment horizontal="center"/>
    </xf>
    <xf numFmtId="0" fontId="10" fillId="3" borderId="28" xfId="4" applyFont="1" applyFill="1" applyBorder="1" applyAlignment="1">
      <alignment horizontal="center"/>
    </xf>
    <xf numFmtId="0" fontId="8" fillId="6" borderId="25" xfId="4" applyFont="1" applyFill="1" applyBorder="1" applyAlignment="1">
      <alignment horizontal="center" vertical="center" wrapText="1"/>
    </xf>
    <xf numFmtId="0" fontId="8" fillId="6" borderId="38" xfId="4" applyFont="1" applyFill="1" applyBorder="1" applyAlignment="1">
      <alignment horizontal="center" vertical="center" wrapText="1"/>
    </xf>
    <xf numFmtId="0" fontId="8" fillId="6" borderId="22" xfId="4" applyFont="1" applyFill="1" applyBorder="1" applyAlignment="1">
      <alignment horizontal="center" vertical="center" wrapText="1"/>
    </xf>
    <xf numFmtId="0" fontId="4" fillId="3" borderId="36" xfId="4" applyFont="1" applyFill="1" applyBorder="1" applyAlignment="1">
      <alignment horizontal="right" vertical="top" wrapText="1"/>
    </xf>
    <xf numFmtId="0" fontId="4" fillId="3" borderId="35" xfId="4" applyFont="1" applyFill="1" applyBorder="1" applyAlignment="1">
      <alignment horizontal="right" vertical="top" wrapText="1"/>
    </xf>
    <xf numFmtId="0" fontId="4" fillId="3" borderId="33" xfId="4" applyFont="1" applyFill="1" applyBorder="1" applyAlignment="1">
      <alignment horizontal="right" vertical="top" wrapText="1"/>
    </xf>
    <xf numFmtId="0" fontId="8" fillId="3" borderId="27" xfId="4" applyFont="1" applyFill="1" applyBorder="1" applyAlignment="1">
      <alignment horizontal="right" vertical="center"/>
    </xf>
    <xf numFmtId="0" fontId="8" fillId="3" borderId="26" xfId="4" applyFont="1" applyFill="1" applyBorder="1" applyAlignment="1">
      <alignment horizontal="right" vertical="center"/>
    </xf>
    <xf numFmtId="0" fontId="2" fillId="0" borderId="12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4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4" borderId="17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6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4" fontId="2" fillId="0" borderId="1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right" vertical="center" wrapText="1"/>
    </xf>
    <xf numFmtId="0" fontId="35" fillId="0" borderId="11" xfId="0" applyFont="1" applyBorder="1" applyAlignment="1">
      <alignment horizontal="right" vertical="center"/>
    </xf>
    <xf numFmtId="0" fontId="36" fillId="0" borderId="17" xfId="0" applyFont="1" applyBorder="1" applyAlignment="1">
      <alignment horizontal="right"/>
    </xf>
    <xf numFmtId="0" fontId="36" fillId="0" borderId="0" xfId="0" applyFont="1" applyAlignment="1">
      <alignment horizontal="right"/>
    </xf>
    <xf numFmtId="0" fontId="36" fillId="0" borderId="16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7" fillId="0" borderId="40" xfId="0" applyFont="1" applyBorder="1" applyAlignment="1">
      <alignment horizontal="right"/>
    </xf>
    <xf numFmtId="0" fontId="27" fillId="0" borderId="43" xfId="0" applyFont="1" applyBorder="1" applyAlignment="1">
      <alignment horizontal="right"/>
    </xf>
    <xf numFmtId="0" fontId="13" fillId="0" borderId="11" xfId="0" applyFont="1" applyBorder="1" applyAlignment="1">
      <alignment horizontal="right" vertical="center"/>
    </xf>
    <xf numFmtId="0" fontId="27" fillId="0" borderId="0" xfId="0" applyFont="1" applyAlignment="1">
      <alignment horizontal="right"/>
    </xf>
    <xf numFmtId="0" fontId="26" fillId="0" borderId="0" xfId="0" applyFont="1" applyAlignment="1">
      <alignment horizontal="center" vertical="center"/>
    </xf>
    <xf numFmtId="0" fontId="42" fillId="0" borderId="45" xfId="0" applyFont="1" applyBorder="1" applyAlignment="1">
      <alignment horizontal="right" vertical="center"/>
    </xf>
    <xf numFmtId="0" fontId="42" fillId="0" borderId="46" xfId="0" applyFont="1" applyBorder="1" applyAlignment="1">
      <alignment horizontal="right" vertical="center"/>
    </xf>
    <xf numFmtId="0" fontId="42" fillId="0" borderId="47" xfId="0" applyFont="1" applyBorder="1" applyAlignment="1">
      <alignment horizontal="right" vertical="center"/>
    </xf>
    <xf numFmtId="0" fontId="43" fillId="0" borderId="0" xfId="0" applyFont="1" applyAlignment="1">
      <alignment horizontal="right"/>
    </xf>
    <xf numFmtId="0" fontId="34" fillId="0" borderId="26" xfId="0" applyFont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32" fillId="11" borderId="45" xfId="0" applyFont="1" applyFill="1" applyBorder="1" applyAlignment="1">
      <alignment horizontal="right"/>
    </xf>
    <xf numFmtId="0" fontId="32" fillId="11" borderId="46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18" fillId="0" borderId="26" xfId="0" applyFont="1" applyBorder="1" applyAlignment="1">
      <alignment horizontal="right" vertical="center"/>
    </xf>
    <xf numFmtId="0" fontId="18" fillId="0" borderId="31" xfId="0" applyFont="1" applyBorder="1" applyAlignment="1">
      <alignment horizontal="right" vertical="center"/>
    </xf>
    <xf numFmtId="0" fontId="18" fillId="13" borderId="45" xfId="0" applyFont="1" applyFill="1" applyBorder="1" applyAlignment="1">
      <alignment horizontal="right" vertical="center"/>
    </xf>
    <xf numFmtId="0" fontId="18" fillId="13" borderId="46" xfId="0" applyFont="1" applyFill="1" applyBorder="1" applyAlignment="1">
      <alignment horizontal="right" vertical="center"/>
    </xf>
    <xf numFmtId="0" fontId="18" fillId="13" borderId="47" xfId="0" applyFont="1" applyFill="1" applyBorder="1" applyAlignment="1">
      <alignment horizontal="right" vertical="center"/>
    </xf>
    <xf numFmtId="4" fontId="41" fillId="0" borderId="0" xfId="6" applyNumberFormat="1" applyFont="1" applyFill="1" applyAlignment="1">
      <alignment horizontal="center" vertical="center" wrapText="1"/>
    </xf>
    <xf numFmtId="14" fontId="2" fillId="3" borderId="7" xfId="4" applyNumberFormat="1" applyFont="1" applyFill="1" applyBorder="1" applyAlignment="1">
      <alignment horizontal="center" vertical="center" wrapText="1"/>
    </xf>
    <xf numFmtId="0" fontId="2" fillId="3" borderId="23" xfId="4" applyFont="1" applyFill="1" applyBorder="1" applyAlignment="1">
      <alignment horizontal="left"/>
    </xf>
    <xf numFmtId="0" fontId="2" fillId="3" borderId="38" xfId="4" applyFont="1" applyFill="1" applyBorder="1" applyAlignment="1">
      <alignment horizontal="left"/>
    </xf>
    <xf numFmtId="0" fontId="2" fillId="3" borderId="24" xfId="4" applyFont="1" applyFill="1" applyBorder="1" applyAlignment="1">
      <alignment horizontal="left"/>
    </xf>
    <xf numFmtId="0" fontId="2" fillId="3" borderId="20" xfId="4" applyFont="1" applyFill="1" applyBorder="1" applyAlignment="1">
      <alignment horizontal="left"/>
    </xf>
    <xf numFmtId="0" fontId="2" fillId="3" borderId="5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  <xf numFmtId="0" fontId="2" fillId="3" borderId="55" xfId="4" applyFont="1" applyFill="1" applyBorder="1" applyAlignment="1">
      <alignment horizontal="center"/>
    </xf>
    <xf numFmtId="0" fontId="2" fillId="3" borderId="56" xfId="4" applyFont="1" applyFill="1" applyBorder="1" applyAlignment="1">
      <alignment horizontal="center"/>
    </xf>
    <xf numFmtId="0" fontId="10" fillId="3" borderId="19" xfId="4" applyFont="1" applyFill="1" applyBorder="1" applyAlignment="1">
      <alignment horizontal="center"/>
    </xf>
    <xf numFmtId="0" fontId="10" fillId="3" borderId="54" xfId="4" applyFont="1" applyFill="1" applyBorder="1" applyAlignment="1">
      <alignment horizontal="center"/>
    </xf>
    <xf numFmtId="0" fontId="10" fillId="3" borderId="41" xfId="4" applyFont="1" applyFill="1" applyBorder="1" applyAlignment="1">
      <alignment horizontal="center"/>
    </xf>
    <xf numFmtId="0" fontId="45" fillId="3" borderId="0" xfId="4" applyFont="1" applyFill="1" applyAlignment="1">
      <alignment horizontal="right"/>
    </xf>
    <xf numFmtId="0" fontId="46" fillId="3" borderId="26" xfId="4" applyFont="1" applyFill="1" applyBorder="1" applyAlignment="1">
      <alignment horizontal="center"/>
    </xf>
    <xf numFmtId="0" fontId="45" fillId="3" borderId="0" xfId="4" applyFont="1" applyFill="1"/>
    <xf numFmtId="0" fontId="4" fillId="4" borderId="15" xfId="3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4" fillId="4" borderId="15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0" fontId="4" fillId="4" borderId="14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4" fillId="0" borderId="55" xfId="3" applyFont="1" applyBorder="1" applyAlignment="1">
      <alignment horizontal="right"/>
    </xf>
    <xf numFmtId="0" fontId="4" fillId="0" borderId="56" xfId="3" applyFont="1" applyBorder="1" applyAlignment="1">
      <alignment horizontal="right"/>
    </xf>
    <xf numFmtId="0" fontId="4" fillId="0" borderId="39" xfId="3" applyFont="1" applyBorder="1" applyAlignment="1">
      <alignment horizontal="right"/>
    </xf>
    <xf numFmtId="164" fontId="2" fillId="0" borderId="8" xfId="3" applyNumberFormat="1" applyFont="1" applyBorder="1" applyAlignment="1">
      <alignment horizontal="right"/>
    </xf>
    <xf numFmtId="0" fontId="2" fillId="3" borderId="57" xfId="3" applyFont="1" applyFill="1" applyBorder="1" applyAlignment="1">
      <alignment horizontal="center"/>
    </xf>
    <xf numFmtId="0" fontId="2" fillId="3" borderId="58" xfId="3" applyFont="1" applyFill="1" applyBorder="1" applyAlignment="1">
      <alignment horizontal="center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21" xfId="3" applyFont="1" applyBorder="1" applyAlignment="1">
      <alignment horizontal="right"/>
    </xf>
    <xf numFmtId="0" fontId="2" fillId="0" borderId="11" xfId="3" applyFont="1" applyBorder="1" applyAlignment="1">
      <alignment horizontal="right"/>
    </xf>
    <xf numFmtId="164" fontId="2" fillId="0" borderId="20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164" fontId="2" fillId="0" borderId="20" xfId="3" applyNumberFormat="1" applyFont="1" applyBorder="1" applyAlignment="1">
      <alignment horizontal="right" wrapText="1"/>
    </xf>
    <xf numFmtId="164" fontId="2" fillId="0" borderId="21" xfId="3" applyNumberFormat="1" applyFont="1" applyBorder="1" applyAlignment="1">
      <alignment horizontal="right" wrapText="1"/>
    </xf>
    <xf numFmtId="164" fontId="2" fillId="0" borderId="20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2" fillId="0" borderId="9" xfId="3" applyFont="1" applyBorder="1" applyAlignment="1">
      <alignment horizontal="left"/>
    </xf>
    <xf numFmtId="0" fontId="2" fillId="0" borderId="39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2" fillId="0" borderId="7" xfId="3" applyFont="1" applyBorder="1" applyAlignment="1">
      <alignment horizontal="left"/>
    </xf>
    <xf numFmtId="0" fontId="4" fillId="0" borderId="3" xfId="3" applyFont="1" applyBorder="1" applyAlignment="1">
      <alignment horizontal="right"/>
    </xf>
    <xf numFmtId="0" fontId="4" fillId="0" borderId="41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4" fillId="4" borderId="45" xfId="3" applyFont="1" applyFill="1" applyBorder="1" applyAlignment="1">
      <alignment horizontal="left"/>
    </xf>
    <xf numFmtId="0" fontId="4" fillId="4" borderId="46" xfId="3" applyFont="1" applyFill="1" applyBorder="1" applyAlignment="1">
      <alignment horizontal="left"/>
    </xf>
    <xf numFmtId="0" fontId="4" fillId="4" borderId="47" xfId="3" applyFont="1" applyFill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6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7" applyFont="1" applyBorder="1" applyAlignment="1">
      <alignment horizontal="left" wrapText="1"/>
    </xf>
    <xf numFmtId="0" fontId="2" fillId="0" borderId="39" xfId="7" applyFont="1" applyBorder="1" applyAlignment="1">
      <alignment horizontal="left" wrapText="1"/>
    </xf>
    <xf numFmtId="0" fontId="2" fillId="0" borderId="8" xfId="7" applyFont="1" applyBorder="1" applyAlignment="1">
      <alignment horizontal="left" wrapText="1"/>
    </xf>
    <xf numFmtId="0" fontId="2" fillId="0" borderId="7" xfId="7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39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7" xfId="3" applyFont="1" applyBorder="1" applyAlignment="1">
      <alignment horizontal="left" wrapText="1"/>
    </xf>
    <xf numFmtId="0" fontId="2" fillId="0" borderId="3" xfId="3" applyFont="1" applyBorder="1" applyAlignment="1">
      <alignment horizontal="left"/>
    </xf>
    <xf numFmtId="0" fontId="2" fillId="0" borderId="41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2" fillId="0" borderId="20" xfId="0" applyFont="1" applyBorder="1" applyAlignment="1">
      <alignment horizontal="left" wrapText="1"/>
    </xf>
    <xf numFmtId="0" fontId="4" fillId="15" borderId="59" xfId="4" applyFont="1" applyFill="1" applyBorder="1" applyAlignment="1">
      <alignment horizontal="center"/>
    </xf>
    <xf numFmtId="0" fontId="4" fillId="15" borderId="43" xfId="4" applyFont="1" applyFill="1" applyBorder="1" applyAlignment="1">
      <alignment horizontal="center"/>
    </xf>
    <xf numFmtId="0" fontId="2" fillId="3" borderId="60" xfId="4" applyFont="1" applyFill="1" applyBorder="1" applyAlignment="1">
      <alignment horizontal="left"/>
    </xf>
    <xf numFmtId="0" fontId="2" fillId="3" borderId="0" xfId="4" applyFont="1" applyFill="1" applyAlignment="1">
      <alignment horizontal="left"/>
    </xf>
  </cellXfs>
  <cellStyles count="8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 4" xfId="7" xr:uid="{6ACCCF80-AF90-4C6F-8B0D-2AF8CD4F1B7F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FACTIBILIDAD/FACTIBILIDAD%202023/QUEQUES%20SECOS%20LOCALES/Queque%20seco%20de%20%20limon%20individual.xlsx" TargetMode="External"/><Relationship Id="rId1" Type="http://schemas.openxmlformats.org/officeDocument/2006/relationships/externalLinkPath" Target="/personal/eramirez_fascr_com/Documents/Escritorio/FACTIBILIDAD/FACTIBILIDAD%202023/QUEQUES%20SECOS%20LOCALES/Queque%20seco%20de%20%20limon%20individu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3000</v>
          </cell>
          <cell r="K4">
            <v>1000</v>
          </cell>
          <cell r="L4">
            <v>3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1657</v>
          </cell>
          <cell r="K8">
            <v>1000</v>
          </cell>
          <cell r="L8">
            <v>1.657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 t="e">
            <v>#N/A</v>
          </cell>
          <cell r="K11"/>
          <cell r="L11" t="e">
            <v>#N/A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359</v>
          </cell>
          <cell r="K14">
            <v>100</v>
          </cell>
          <cell r="L14">
            <v>3.59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687</v>
          </cell>
          <cell r="K15">
            <v>250</v>
          </cell>
          <cell r="L15">
            <v>2.7480000000000002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1464.7</v>
          </cell>
          <cell r="K17">
            <v>500</v>
          </cell>
          <cell r="L17">
            <v>2.9294000000000002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2425</v>
          </cell>
          <cell r="K18">
            <v>1000</v>
          </cell>
          <cell r="L18">
            <v>2.4249999999999998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4331.1689999999999</v>
          </cell>
          <cell r="K21">
            <v>2840</v>
          </cell>
          <cell r="L21">
            <v>1.5250595070422535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1072</v>
          </cell>
          <cell r="K22">
            <v>500</v>
          </cell>
          <cell r="L22">
            <v>2.1440000000000001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145</v>
          </cell>
          <cell r="K23">
            <v>1</v>
          </cell>
          <cell r="L23">
            <v>145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90646.25</v>
          </cell>
          <cell r="K24">
            <v>25000</v>
          </cell>
          <cell r="L24">
            <v>3.6258499999999998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893.8</v>
          </cell>
          <cell r="K26">
            <v>500</v>
          </cell>
          <cell r="L26">
            <v>1.7875999999999999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1584.1</v>
          </cell>
          <cell r="K28">
            <v>1000</v>
          </cell>
          <cell r="L28">
            <v>1.5840999999999998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5251</v>
          </cell>
          <cell r="K34">
            <v>1000</v>
          </cell>
          <cell r="L34">
            <v>5.2510000000000003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2480</v>
          </cell>
          <cell r="K35">
            <v>200</v>
          </cell>
          <cell r="L35">
            <v>12.4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1500</v>
          </cell>
          <cell r="K36">
            <v>1000</v>
          </cell>
          <cell r="L36">
            <v>1.5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28716</v>
          </cell>
          <cell r="K41">
            <v>50</v>
          </cell>
          <cell r="L41">
            <v>574.32000000000005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2316</v>
          </cell>
          <cell r="K42">
            <v>141</v>
          </cell>
          <cell r="L42">
            <v>16.425531914893618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3310</v>
          </cell>
          <cell r="K46">
            <v>1000</v>
          </cell>
          <cell r="L46">
            <v>3.31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4590</v>
          </cell>
          <cell r="K47">
            <v>1000</v>
          </cell>
          <cell r="L47">
            <v>4.59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 t="e">
            <v>#N/A</v>
          </cell>
          <cell r="K50">
            <v>1000</v>
          </cell>
          <cell r="L50" t="e">
            <v>#N/A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1895</v>
          </cell>
          <cell r="K55">
            <v>1000</v>
          </cell>
          <cell r="L55">
            <v>1.895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4990</v>
          </cell>
          <cell r="K56">
            <v>1000</v>
          </cell>
          <cell r="L56">
            <v>4.99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75611</v>
          </cell>
          <cell r="K57">
            <v>25000</v>
          </cell>
          <cell r="L57">
            <v>3.0244399999999998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5589.5060000000003</v>
          </cell>
          <cell r="K58">
            <v>1000</v>
          </cell>
          <cell r="L58">
            <v>5.5895060000000001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18359</v>
          </cell>
          <cell r="K59">
            <v>2000</v>
          </cell>
          <cell r="L59">
            <v>9.1795000000000009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11304.5534709</v>
          </cell>
          <cell r="K60">
            <v>1000</v>
          </cell>
          <cell r="L60">
            <v>11.3045534709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65957</v>
          </cell>
          <cell r="K62">
            <v>25000</v>
          </cell>
          <cell r="L62">
            <v>2.63828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9110</v>
          </cell>
          <cell r="K63">
            <v>4000</v>
          </cell>
          <cell r="L63">
            <v>2.2774999999999999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3677.52</v>
          </cell>
          <cell r="K65">
            <v>500</v>
          </cell>
          <cell r="L65">
            <v>7.3550399999999998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 t="e">
            <v>#N/A</v>
          </cell>
          <cell r="K66">
            <v>10000</v>
          </cell>
          <cell r="L66" t="e">
            <v>#N/A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 t="e">
            <v>#N/A</v>
          </cell>
          <cell r="K67">
            <v>1000</v>
          </cell>
          <cell r="L67" t="e">
            <v>#N/A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16070.8</v>
          </cell>
          <cell r="K68">
            <v>5000</v>
          </cell>
          <cell r="L68">
            <v>3.2141599999999997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 t="e">
            <v>#N/A</v>
          </cell>
          <cell r="K69">
            <v>1000</v>
          </cell>
          <cell r="L69" t="e">
            <v>#N/A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3867</v>
          </cell>
          <cell r="K71">
            <v>1000</v>
          </cell>
          <cell r="L71">
            <v>3.867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 t="e">
            <v>#N/A</v>
          </cell>
          <cell r="K72">
            <v>1000</v>
          </cell>
          <cell r="L72" t="e">
            <v>#N/A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3500</v>
          </cell>
          <cell r="K74">
            <v>1000</v>
          </cell>
          <cell r="L74">
            <v>3.5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 t="e">
            <v>#N/A</v>
          </cell>
          <cell r="K75">
            <v>1000</v>
          </cell>
          <cell r="L75" t="e">
            <v>#N/A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949</v>
          </cell>
          <cell r="K78">
            <v>395</v>
          </cell>
          <cell r="L78">
            <v>2.4025316455696202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49237</v>
          </cell>
          <cell r="K79">
            <v>9520</v>
          </cell>
          <cell r="L79">
            <v>5.1719537815126051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13601.1</v>
          </cell>
          <cell r="K81">
            <v>25000</v>
          </cell>
          <cell r="L81">
            <v>0.54404399999999997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 t="e">
            <v>#N/A</v>
          </cell>
          <cell r="K82">
            <v>5000</v>
          </cell>
          <cell r="L82" t="e">
            <v>#N/A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 t="e">
            <v>#N/A</v>
          </cell>
          <cell r="K83">
            <v>1000</v>
          </cell>
          <cell r="L83" t="e">
            <v>#N/A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69435</v>
          </cell>
          <cell r="K85">
            <v>11340</v>
          </cell>
          <cell r="L85">
            <v>6.1230158730158726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65364</v>
          </cell>
          <cell r="K86">
            <v>12000</v>
          </cell>
          <cell r="L86">
            <v>5.4470000000000001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18888</v>
          </cell>
          <cell r="K87">
            <v>21600</v>
          </cell>
          <cell r="L87">
            <v>0.87444444444444447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30250</v>
          </cell>
          <cell r="K89">
            <v>10000</v>
          </cell>
          <cell r="L89">
            <v>3.0249999999999999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 t="e">
            <v>#N/A</v>
          </cell>
          <cell r="K90">
            <v>11340</v>
          </cell>
          <cell r="L90" t="e">
            <v>#N/A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4336.28</v>
          </cell>
          <cell r="K92">
            <v>1000</v>
          </cell>
          <cell r="L92">
            <v>4.3362799999999995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 t="e">
            <v>#N/A</v>
          </cell>
          <cell r="K93">
            <v>1000</v>
          </cell>
          <cell r="L93" t="e">
            <v>#N/A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19500</v>
          </cell>
          <cell r="K94">
            <v>10000</v>
          </cell>
          <cell r="L94">
            <v>1.95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13356.24666106</v>
          </cell>
          <cell r="K96">
            <v>25000</v>
          </cell>
          <cell r="L96">
            <v>0.53424986644240002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11437.482</v>
          </cell>
          <cell r="K98">
            <v>800</v>
          </cell>
          <cell r="L98">
            <v>14.2968525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41427</v>
          </cell>
          <cell r="K99">
            <v>13600</v>
          </cell>
          <cell r="L99">
            <v>3.0461029411764704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 t="e">
            <v>#N/A</v>
          </cell>
          <cell r="K100">
            <v>1000</v>
          </cell>
          <cell r="L100" t="e">
            <v>#N/A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44225</v>
          </cell>
          <cell r="K101">
            <v>25000</v>
          </cell>
          <cell r="L101">
            <v>1.7689999999999999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39068.370000000003</v>
          </cell>
          <cell r="K102">
            <v>22680</v>
          </cell>
          <cell r="L102">
            <v>1.72259126984127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31211.11</v>
          </cell>
          <cell r="K103">
            <v>25000</v>
          </cell>
          <cell r="L103">
            <v>1.2484444000000001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231.2</v>
          </cell>
          <cell r="K104">
            <v>13600</v>
          </cell>
          <cell r="L104">
            <v>1.6999999999999998E-2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109660</v>
          </cell>
          <cell r="K106">
            <v>20000</v>
          </cell>
          <cell r="L106">
            <v>5.4829999999999997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 t="e">
            <v>#N/A</v>
          </cell>
          <cell r="K107">
            <v>22670</v>
          </cell>
          <cell r="L107" t="e">
            <v>#N/A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18773.362499999999</v>
          </cell>
          <cell r="K108">
            <v>10000</v>
          </cell>
          <cell r="L108">
            <v>1.8773362499999999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9332.8799999999992</v>
          </cell>
          <cell r="K109">
            <v>1000</v>
          </cell>
          <cell r="L109">
            <v>9.3328799999999994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1175</v>
          </cell>
          <cell r="K110">
            <v>1000</v>
          </cell>
          <cell r="L110">
            <v>1.175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2136.2399999999998</v>
          </cell>
          <cell r="K113">
            <v>1000</v>
          </cell>
          <cell r="L113">
            <v>2.1362399999999999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137166</v>
          </cell>
          <cell r="K115">
            <v>25000</v>
          </cell>
          <cell r="L115">
            <v>5.4866400000000004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19301</v>
          </cell>
          <cell r="K116">
            <v>2500</v>
          </cell>
          <cell r="L116">
            <v>7.7203999999999997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4766.87</v>
          </cell>
          <cell r="K117">
            <v>2500</v>
          </cell>
          <cell r="L117">
            <v>1.9067479999999999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1783.73</v>
          </cell>
          <cell r="J119">
            <v>4582</v>
          </cell>
          <cell r="K119">
            <v>2500</v>
          </cell>
          <cell r="L119">
            <v>1.8328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2904</v>
          </cell>
          <cell r="K121">
            <v>454</v>
          </cell>
          <cell r="L121">
            <v>6.3964757709251101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1960</v>
          </cell>
          <cell r="K122">
            <v>1000</v>
          </cell>
          <cell r="L122">
            <v>1.96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6718</v>
          </cell>
          <cell r="K123">
            <v>780</v>
          </cell>
          <cell r="L123">
            <v>8.6128205128205124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30207.3</v>
          </cell>
          <cell r="K124">
            <v>5000</v>
          </cell>
          <cell r="L124">
            <v>6.0414599999999998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2899</v>
          </cell>
          <cell r="K125">
            <v>340</v>
          </cell>
          <cell r="L125">
            <v>8.5264705882352949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3868</v>
          </cell>
          <cell r="K127">
            <v>480</v>
          </cell>
          <cell r="L127">
            <v>8.0583333333333336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47385</v>
          </cell>
          <cell r="K128">
            <v>5000</v>
          </cell>
          <cell r="L128">
            <v>9.4770000000000003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42298.38</v>
          </cell>
          <cell r="K129">
            <v>3000</v>
          </cell>
          <cell r="L129">
            <v>14.099459999999999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200</v>
          </cell>
          <cell r="K131">
            <v>900</v>
          </cell>
          <cell r="L131">
            <v>0.22222222222222221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180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157</v>
          </cell>
          <cell r="K137">
            <v>900</v>
          </cell>
          <cell r="L137">
            <v>0.17444444444444446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47.024999999999999</v>
          </cell>
          <cell r="K138">
            <v>1</v>
          </cell>
          <cell r="L138">
            <v>47.024999999999999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 t="e">
            <v>#N/A</v>
          </cell>
          <cell r="K140">
            <v>1</v>
          </cell>
          <cell r="L140" t="e">
            <v>#N/A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170</v>
          </cell>
          <cell r="K141">
            <v>900</v>
          </cell>
          <cell r="L141">
            <v>0.18888888888888888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 t="e">
            <v>#N/A</v>
          </cell>
          <cell r="K148">
            <v>1</v>
          </cell>
          <cell r="L148" t="e">
            <v>#N/A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 t="e">
            <v>#N/A</v>
          </cell>
          <cell r="K152">
            <v>1</v>
          </cell>
          <cell r="L152" t="e">
            <v>#N/A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551</v>
          </cell>
          <cell r="K156">
            <v>1000</v>
          </cell>
          <cell r="L156">
            <v>0.55100000000000005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 t="e">
            <v>#N/A</v>
          </cell>
          <cell r="K157">
            <v>1000</v>
          </cell>
          <cell r="L157" t="e">
            <v>#N/A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15</v>
          </cell>
          <cell r="K158">
            <v>1</v>
          </cell>
          <cell r="L158">
            <v>15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32.49</v>
          </cell>
          <cell r="K161">
            <v>1</v>
          </cell>
          <cell r="L161">
            <v>32.49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 t="e">
            <v>#N/A</v>
          </cell>
          <cell r="K163"/>
          <cell r="L163" t="e">
            <v>#N/A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1553.9566</v>
          </cell>
          <cell r="K164">
            <v>790</v>
          </cell>
          <cell r="L164">
            <v>1.9670336708860758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6723.4859999999999</v>
          </cell>
          <cell r="K165">
            <v>5000</v>
          </cell>
          <cell r="L165">
            <v>1.3446971999999999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2000</v>
          </cell>
          <cell r="K166">
            <v>1000</v>
          </cell>
          <cell r="L166">
            <v>2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1728.74</v>
          </cell>
          <cell r="K167">
            <v>36</v>
          </cell>
          <cell r="L167">
            <v>48.020555555555553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19500</v>
          </cell>
          <cell r="K168">
            <v>420</v>
          </cell>
          <cell r="L168">
            <v>46.428571428571431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 t="e">
            <v>#N/A</v>
          </cell>
          <cell r="K169">
            <v>1000</v>
          </cell>
          <cell r="L169" t="e">
            <v>#N/A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 t="e">
            <v>#N/A</v>
          </cell>
          <cell r="K170">
            <v>8.61</v>
          </cell>
          <cell r="L170" t="e">
            <v>#N/A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7697</v>
          </cell>
          <cell r="K171">
            <v>12000</v>
          </cell>
          <cell r="L171">
            <v>0.64141666666666663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 t="e">
            <v>#N/A</v>
          </cell>
          <cell r="K172">
            <v>1</v>
          </cell>
          <cell r="L172" t="e">
            <v>#N/A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10650</v>
          </cell>
          <cell r="K175">
            <v>5000</v>
          </cell>
          <cell r="L175">
            <v>2.13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8629.6</v>
          </cell>
          <cell r="K177">
            <v>3785</v>
          </cell>
          <cell r="L177">
            <v>2.2799471598414796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7581</v>
          </cell>
          <cell r="K178">
            <v>3700</v>
          </cell>
          <cell r="L178">
            <v>2.0489189189189188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6488.05</v>
          </cell>
          <cell r="K179">
            <v>1000</v>
          </cell>
          <cell r="L179">
            <v>6.4880500000000003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26981.75</v>
          </cell>
          <cell r="K180">
            <v>5000</v>
          </cell>
          <cell r="L180">
            <v>5.39635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11231</v>
          </cell>
          <cell r="K181">
            <v>2900</v>
          </cell>
          <cell r="L181">
            <v>3.8727586206896554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17654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16689.001929999999</v>
          </cell>
          <cell r="K184">
            <v>5000</v>
          </cell>
          <cell r="L184">
            <v>3.3378003859999996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17523.449219999999</v>
          </cell>
          <cell r="K186">
            <v>5000</v>
          </cell>
          <cell r="L186">
            <v>3.5046898439999996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 t="e">
            <v>#N/A</v>
          </cell>
          <cell r="K187">
            <v>3120</v>
          </cell>
          <cell r="L187" t="e">
            <v>#N/A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23467.84</v>
          </cell>
          <cell r="K188">
            <v>250</v>
          </cell>
          <cell r="L188">
            <v>93.871359999999996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6414.3</v>
          </cell>
          <cell r="K189">
            <v>944</v>
          </cell>
          <cell r="L189">
            <v>6.7948093220338981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4263</v>
          </cell>
          <cell r="K190">
            <v>2980</v>
          </cell>
          <cell r="L190">
            <v>1.4305369127516778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6370</v>
          </cell>
          <cell r="K191">
            <v>4100</v>
          </cell>
          <cell r="L191">
            <v>1.5536585365853659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4697</v>
          </cell>
          <cell r="K192">
            <v>3785</v>
          </cell>
          <cell r="L192">
            <v>1.2409511228533685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 t="e">
            <v>#N/A</v>
          </cell>
          <cell r="K193">
            <v>2232</v>
          </cell>
          <cell r="L193" t="e">
            <v>#N/A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4224</v>
          </cell>
          <cell r="K194">
            <v>1600</v>
          </cell>
          <cell r="L194">
            <v>2.64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4857</v>
          </cell>
          <cell r="K195">
            <v>1000</v>
          </cell>
          <cell r="L195">
            <v>4.8570000000000002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1987</v>
          </cell>
          <cell r="K196">
            <v>1000</v>
          </cell>
          <cell r="L196">
            <v>1.9870000000000001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2687</v>
          </cell>
          <cell r="K197">
            <v>1000</v>
          </cell>
          <cell r="L197">
            <v>2.6869999999999998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1467</v>
          </cell>
          <cell r="K198">
            <v>1000</v>
          </cell>
          <cell r="L198">
            <v>1.4670000000000001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1455</v>
          </cell>
          <cell r="K199">
            <v>1000</v>
          </cell>
          <cell r="L199">
            <v>1.4550000000000001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1686</v>
          </cell>
          <cell r="K200">
            <v>370</v>
          </cell>
          <cell r="L200">
            <v>4.5567567567567568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15854.097</v>
          </cell>
          <cell r="K201">
            <v>700</v>
          </cell>
          <cell r="L201">
            <v>22.648710000000001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7050.0479999999998</v>
          </cell>
          <cell r="K203">
            <v>1700</v>
          </cell>
          <cell r="L203">
            <v>4.1470870588235291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2129</v>
          </cell>
          <cell r="K204">
            <v>2200</v>
          </cell>
          <cell r="L204">
            <v>0.96772727272727277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3644.34</v>
          </cell>
          <cell r="K205">
            <v>1000</v>
          </cell>
          <cell r="L205">
            <v>3.6443400000000001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9243</v>
          </cell>
          <cell r="K206">
            <v>1000</v>
          </cell>
          <cell r="L206">
            <v>9.2430000000000003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15867</v>
          </cell>
          <cell r="K208">
            <v>4500</v>
          </cell>
          <cell r="L208">
            <v>3.5259999999999998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32325</v>
          </cell>
          <cell r="K209">
            <v>25000</v>
          </cell>
          <cell r="L209">
            <v>1.2929999999999999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9380</v>
          </cell>
          <cell r="K211">
            <v>2500</v>
          </cell>
          <cell r="L211">
            <v>3.7519999999999998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 t="e">
            <v>#N/A</v>
          </cell>
          <cell r="K212">
            <v>1000</v>
          </cell>
          <cell r="L212" t="e">
            <v>#N/A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31744</v>
          </cell>
          <cell r="K214">
            <v>25000</v>
          </cell>
          <cell r="L214">
            <v>1.26976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 t="e">
            <v>#N/A</v>
          </cell>
          <cell r="K215">
            <v>12500</v>
          </cell>
          <cell r="L215" t="e">
            <v>#N/A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2499</v>
          </cell>
          <cell r="K216">
            <v>1000</v>
          </cell>
          <cell r="L216">
            <v>2.4990000000000001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1599.164</v>
          </cell>
          <cell r="K217">
            <v>465</v>
          </cell>
          <cell r="L217">
            <v>3.4390623655913979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1728</v>
          </cell>
          <cell r="K218">
            <v>1000</v>
          </cell>
          <cell r="L218">
            <v>1.728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4760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1761</v>
          </cell>
          <cell r="K220">
            <v>1000</v>
          </cell>
          <cell r="L220">
            <v>1.7609999999999999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26215</v>
          </cell>
          <cell r="K221">
            <v>13600</v>
          </cell>
          <cell r="L221">
            <v>1.9275735294117646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5760</v>
          </cell>
          <cell r="K222">
            <v>2000</v>
          </cell>
          <cell r="L222">
            <v>2.88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433431.12959999999</v>
          </cell>
          <cell r="K223">
            <v>22680</v>
          </cell>
          <cell r="L223">
            <v>19.110720000000001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 t="e">
            <v>#N/A</v>
          </cell>
          <cell r="K224">
            <v>750</v>
          </cell>
          <cell r="L224" t="e">
            <v>#N/A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 t="e">
            <v>#N/A</v>
          </cell>
          <cell r="K229">
            <v>150</v>
          </cell>
          <cell r="L229" t="e">
            <v>#N/A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21251</v>
          </cell>
          <cell r="K230">
            <v>10000</v>
          </cell>
          <cell r="L230">
            <v>2.1251000000000002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4151.97</v>
          </cell>
          <cell r="K231">
            <v>2000</v>
          </cell>
          <cell r="L231">
            <v>2.0759850000000002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 t="e">
            <v>#N/A</v>
          </cell>
          <cell r="K232">
            <v>25</v>
          </cell>
          <cell r="L232" t="e">
            <v>#N/A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 t="e">
            <v>#N/A</v>
          </cell>
          <cell r="K234">
            <v>240</v>
          </cell>
          <cell r="L234" t="e">
            <v>#N/A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 t="e">
            <v>#N/A</v>
          </cell>
          <cell r="K235">
            <v>1000</v>
          </cell>
          <cell r="L235" t="e">
            <v>#N/A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37014.76</v>
          </cell>
          <cell r="K236">
            <v>1000</v>
          </cell>
          <cell r="L236">
            <v>37.014760000000003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45265.23</v>
          </cell>
          <cell r="K237">
            <v>5000</v>
          </cell>
          <cell r="L237">
            <v>9.0530460000000001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69530</v>
          </cell>
          <cell r="K238">
            <v>17000</v>
          </cell>
          <cell r="L238">
            <v>4.09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135625</v>
          </cell>
          <cell r="K239">
            <v>25000</v>
          </cell>
          <cell r="L239">
            <v>5.4249999999999998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5663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26466</v>
          </cell>
          <cell r="K241">
            <v>1000</v>
          </cell>
          <cell r="L241">
            <v>26.466000000000001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 t="e">
            <v>#N/A</v>
          </cell>
          <cell r="K242">
            <v>1000</v>
          </cell>
          <cell r="L242" t="e">
            <v>#N/A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1757.5</v>
          </cell>
          <cell r="K246">
            <v>1000</v>
          </cell>
          <cell r="L246">
            <v>1.7575000000000001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 t="e">
            <v>#N/A</v>
          </cell>
          <cell r="K248">
            <v>1000</v>
          </cell>
          <cell r="L248" t="e">
            <v>#N/A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5834</v>
          </cell>
          <cell r="K249">
            <v>3785</v>
          </cell>
          <cell r="L249">
            <v>1.5413474240422722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2080</v>
          </cell>
          <cell r="K252">
            <v>1000</v>
          </cell>
          <cell r="L252">
            <v>2.08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 t="e">
            <v>#N/A</v>
          </cell>
          <cell r="K253">
            <v>1000</v>
          </cell>
          <cell r="L253" t="e">
            <v>#N/A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12950</v>
          </cell>
          <cell r="K255">
            <v>5000</v>
          </cell>
          <cell r="L255">
            <v>2.59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3228.98</v>
          </cell>
          <cell r="K256">
            <v>460</v>
          </cell>
          <cell r="L256">
            <v>7.0195217391304352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1800</v>
          </cell>
          <cell r="K258">
            <v>150</v>
          </cell>
          <cell r="L258">
            <v>12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112.5</v>
          </cell>
          <cell r="K259">
            <v>25000</v>
          </cell>
          <cell r="L259">
            <v>4.4999999999999997E-3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6300</v>
          </cell>
          <cell r="K261">
            <v>100</v>
          </cell>
          <cell r="L261">
            <v>63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38759.599999999999</v>
          </cell>
          <cell r="K262">
            <v>200</v>
          </cell>
          <cell r="L262">
            <v>193.798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53040</v>
          </cell>
          <cell r="K263">
            <v>200</v>
          </cell>
          <cell r="L263">
            <v>265.2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127</v>
          </cell>
          <cell r="K264">
            <v>1</v>
          </cell>
          <cell r="L264">
            <v>127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125</v>
          </cell>
          <cell r="K265">
            <v>1</v>
          </cell>
          <cell r="L265">
            <v>125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1800</v>
          </cell>
          <cell r="K267">
            <v>125</v>
          </cell>
          <cell r="L267">
            <v>14.4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 t="e">
            <v>#N/A</v>
          </cell>
          <cell r="K268"/>
          <cell r="L268" t="e">
            <v>#N/A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1500</v>
          </cell>
          <cell r="K269">
            <v>500</v>
          </cell>
          <cell r="L269">
            <v>3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1800</v>
          </cell>
          <cell r="K270">
            <v>200</v>
          </cell>
          <cell r="L270">
            <v>9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42</v>
          </cell>
          <cell r="L271">
            <v>42.857142857142854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 t="e">
            <v>#N/A</v>
          </cell>
          <cell r="K272">
            <v>500</v>
          </cell>
          <cell r="L272" t="e">
            <v>#N/A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34473</v>
          </cell>
          <cell r="K273">
            <v>200</v>
          </cell>
          <cell r="L273">
            <v>172.36500000000001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1827</v>
          </cell>
          <cell r="J274" t="e">
            <v>#N/A</v>
          </cell>
          <cell r="K274">
            <v>1</v>
          </cell>
          <cell r="L274" t="e">
            <v>#N/A</v>
          </cell>
          <cell r="M274"/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4700</v>
          </cell>
          <cell r="K275">
            <v>100</v>
          </cell>
          <cell r="L275">
            <v>47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2885</v>
          </cell>
          <cell r="K276">
            <v>100</v>
          </cell>
          <cell r="L276">
            <v>28.85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9300</v>
          </cell>
          <cell r="K277">
            <v>1000</v>
          </cell>
          <cell r="L277">
            <v>9.3000000000000007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9300</v>
          </cell>
          <cell r="K278">
            <v>1</v>
          </cell>
          <cell r="L278">
            <v>9300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10901</v>
          </cell>
          <cell r="K280">
            <v>1000</v>
          </cell>
          <cell r="L280">
            <v>10.901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2425</v>
          </cell>
          <cell r="K281">
            <v>100</v>
          </cell>
          <cell r="L281">
            <v>24.25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270.71199999999999</v>
          </cell>
          <cell r="K282">
            <v>1</v>
          </cell>
          <cell r="L282">
            <v>270.71199999999999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 t="e">
            <v>#N/A</v>
          </cell>
          <cell r="K283">
            <v>10000</v>
          </cell>
          <cell r="L283" t="e">
            <v>#N/A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 t="e">
            <v>#N/A</v>
          </cell>
          <cell r="K284">
            <v>1</v>
          </cell>
          <cell r="L284" t="e">
            <v>#N/A</v>
          </cell>
          <cell r="M284" t="str">
            <v>Und</v>
          </cell>
        </row>
        <row r="285">
          <cell r="A285" t="str">
            <v>1950771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3078</v>
          </cell>
          <cell r="K285">
            <v>500</v>
          </cell>
          <cell r="L285">
            <v>6.1559999999999997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2150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60360</v>
          </cell>
          <cell r="K287">
            <v>50</v>
          </cell>
          <cell r="L287">
            <v>1207.2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89</v>
          </cell>
          <cell r="K288">
            <v>1</v>
          </cell>
          <cell r="L288">
            <v>89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189</v>
          </cell>
          <cell r="K289">
            <v>1</v>
          </cell>
          <cell r="L289">
            <v>189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262</v>
          </cell>
          <cell r="K291">
            <v>1</v>
          </cell>
          <cell r="L291">
            <v>262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6300</v>
          </cell>
          <cell r="K292">
            <v>100</v>
          </cell>
          <cell r="L292">
            <v>63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 t="e">
            <v>#N/A</v>
          </cell>
          <cell r="K295">
            <v>70</v>
          </cell>
          <cell r="L295" t="e">
            <v>#N/A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20840</v>
          </cell>
          <cell r="K297">
            <v>250</v>
          </cell>
          <cell r="L297">
            <v>83.36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 t="e">
            <v>#N/A</v>
          </cell>
          <cell r="K298">
            <v>1</v>
          </cell>
          <cell r="L298" t="e">
            <v>#N/A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 t="e">
            <v>#N/A</v>
          </cell>
          <cell r="K299">
            <v>1</v>
          </cell>
          <cell r="L299" t="e">
            <v>#N/A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4875</v>
          </cell>
          <cell r="K300">
            <v>334</v>
          </cell>
          <cell r="L300">
            <v>14.595808383233534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 t="e">
            <v>#N/A</v>
          </cell>
          <cell r="K301">
            <v>500</v>
          </cell>
          <cell r="L301" t="e">
            <v>#N/A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1800</v>
          </cell>
          <cell r="K302">
            <v>334</v>
          </cell>
          <cell r="L302">
            <v>5.3892215568862278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32181</v>
          </cell>
          <cell r="K303">
            <v>200</v>
          </cell>
          <cell r="L303">
            <v>160.905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102.463333333333</v>
          </cell>
          <cell r="K304">
            <v>1</v>
          </cell>
          <cell r="L304">
            <v>102.463333333333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342</v>
          </cell>
          <cell r="K305">
            <v>100</v>
          </cell>
          <cell r="L305">
            <v>3.42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1800</v>
          </cell>
          <cell r="K306">
            <v>40</v>
          </cell>
          <cell r="L306">
            <v>45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39</v>
          </cell>
          <cell r="K307">
            <v>1</v>
          </cell>
          <cell r="L307">
            <v>39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1547.6</v>
          </cell>
          <cell r="K308">
            <v>20</v>
          </cell>
          <cell r="L308">
            <v>77.38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 t="e">
            <v>#N/A</v>
          </cell>
          <cell r="K309">
            <v>480</v>
          </cell>
          <cell r="L309" t="e">
            <v>#N/A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4837.5</v>
          </cell>
          <cell r="K310">
            <v>1000</v>
          </cell>
          <cell r="L310">
            <v>4.8375000000000004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100.6</v>
          </cell>
          <cell r="K311">
            <v>1</v>
          </cell>
          <cell r="L311">
            <v>100.6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72.400000000000006</v>
          </cell>
          <cell r="K312">
            <v>1</v>
          </cell>
          <cell r="L312">
            <v>72.400000000000006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98.072000000000003</v>
          </cell>
          <cell r="K313">
            <v>1</v>
          </cell>
          <cell r="L313">
            <v>98.072000000000003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578</v>
          </cell>
          <cell r="K314">
            <v>1</v>
          </cell>
          <cell r="L314">
            <v>578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215</v>
          </cell>
          <cell r="K315">
            <v>1</v>
          </cell>
          <cell r="L315">
            <v>215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3270.75</v>
          </cell>
          <cell r="K316">
            <v>100</v>
          </cell>
          <cell r="L316">
            <v>32.707500000000003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 t="e">
            <v>#N/A</v>
          </cell>
          <cell r="K317">
            <v>100</v>
          </cell>
          <cell r="L317" t="e">
            <v>#N/A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 t="e">
            <v>#N/A</v>
          </cell>
          <cell r="K318">
            <v>600</v>
          </cell>
          <cell r="L318" t="e">
            <v>#N/A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 t="e">
            <v>#N/A</v>
          </cell>
          <cell r="K319">
            <v>378</v>
          </cell>
          <cell r="L319" t="e">
            <v>#N/A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536</v>
          </cell>
          <cell r="K320">
            <v>1</v>
          </cell>
          <cell r="L320">
            <v>536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 t="e">
            <v>#N/A</v>
          </cell>
          <cell r="K321">
            <v>600</v>
          </cell>
          <cell r="L321" t="e">
            <v>#N/A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89</v>
          </cell>
          <cell r="K322">
            <v>1</v>
          </cell>
          <cell r="L322">
            <v>89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127</v>
          </cell>
          <cell r="K323">
            <v>1</v>
          </cell>
          <cell r="L323">
            <v>127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658</v>
          </cell>
          <cell r="K324">
            <v>1</v>
          </cell>
          <cell r="L324">
            <v>658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11889</v>
          </cell>
          <cell r="K325">
            <v>200</v>
          </cell>
          <cell r="L325">
            <v>59.445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 t="e">
            <v>#N/A</v>
          </cell>
          <cell r="K326">
            <v>1500</v>
          </cell>
          <cell r="L326" t="e">
            <v>#N/A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382</v>
          </cell>
          <cell r="K327">
            <v>1</v>
          </cell>
          <cell r="L327">
            <v>382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112635.6</v>
          </cell>
          <cell r="K329">
            <v>13600</v>
          </cell>
          <cell r="L329">
            <v>8.2820294117647055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1903</v>
          </cell>
          <cell r="K331">
            <v>1000</v>
          </cell>
          <cell r="L331">
            <v>1.903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3405</v>
          </cell>
          <cell r="K333">
            <v>1000</v>
          </cell>
          <cell r="L333">
            <v>3.4049999999999998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4700</v>
          </cell>
          <cell r="K334">
            <v>25000</v>
          </cell>
          <cell r="L334">
            <v>0.188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24268</v>
          </cell>
          <cell r="K335">
            <v>350</v>
          </cell>
          <cell r="L335">
            <v>69.337142857142851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 t="e">
            <v>#N/A</v>
          </cell>
          <cell r="K337">
            <v>850</v>
          </cell>
          <cell r="L337" t="e">
            <v>#N/A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2783</v>
          </cell>
          <cell r="K339">
            <v>3000</v>
          </cell>
          <cell r="L339">
            <v>0.92766666666666664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2238</v>
          </cell>
          <cell r="K341">
            <v>2500</v>
          </cell>
          <cell r="L341">
            <v>0.8952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 t="e">
            <v>#N/A</v>
          </cell>
          <cell r="K342">
            <v>680</v>
          </cell>
          <cell r="L342" t="e">
            <v>#N/A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11815.75</v>
          </cell>
          <cell r="K343">
            <v>3780</v>
          </cell>
          <cell r="L343">
            <v>3.1258597883597883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22457</v>
          </cell>
          <cell r="K344">
            <v>15880</v>
          </cell>
          <cell r="L344">
            <v>1.414168765743073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20348</v>
          </cell>
          <cell r="K345">
            <v>17000</v>
          </cell>
          <cell r="L345">
            <v>1.1969411764705882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2729.1082000000001</v>
          </cell>
          <cell r="K348">
            <v>1800</v>
          </cell>
          <cell r="L348">
            <v>1.5161712222222223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 t="e">
            <v>#N/A</v>
          </cell>
          <cell r="K350">
            <v>425</v>
          </cell>
          <cell r="L350" t="e">
            <v>#N/A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2669</v>
          </cell>
          <cell r="K351">
            <v>250</v>
          </cell>
          <cell r="L351">
            <v>10.676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1404.75</v>
          </cell>
          <cell r="K352">
            <v>390</v>
          </cell>
          <cell r="L352">
            <v>3.601923076923077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309.29166666666703</v>
          </cell>
          <cell r="K353">
            <v>500</v>
          </cell>
          <cell r="L353">
            <v>0.61858333333333404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1685</v>
          </cell>
          <cell r="K354">
            <v>250</v>
          </cell>
          <cell r="L354">
            <v>6.74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 t="e">
            <v>#N/A</v>
          </cell>
          <cell r="K355">
            <v>1</v>
          </cell>
          <cell r="L355" t="e">
            <v>#N/A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1150</v>
          </cell>
          <cell r="K356">
            <v>50</v>
          </cell>
          <cell r="L356">
            <v>23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 t="e">
            <v>#N/A</v>
          </cell>
          <cell r="K357">
            <v>2000</v>
          </cell>
          <cell r="L357" t="e">
            <v>#N/A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1344.6972000000001</v>
          </cell>
          <cell r="K358">
            <v>250</v>
          </cell>
          <cell r="L358">
            <v>5.3787888000000006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520.66666666666697</v>
          </cell>
          <cell r="K359">
            <v>180</v>
          </cell>
          <cell r="L359">
            <v>2.8925925925925942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1190</v>
          </cell>
          <cell r="K360">
            <v>900</v>
          </cell>
          <cell r="L360">
            <v>1.3222222222222222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16957</v>
          </cell>
          <cell r="K361">
            <v>1820</v>
          </cell>
          <cell r="L361">
            <v>9.3170329670329668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4477</v>
          </cell>
          <cell r="K363">
            <v>3140</v>
          </cell>
          <cell r="L363">
            <v>1.425796178343949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 t="e">
            <v>#N/A</v>
          </cell>
          <cell r="K364"/>
          <cell r="L364" t="e">
            <v>#N/A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 t="e">
            <v>#N/A</v>
          </cell>
          <cell r="K365">
            <v>40</v>
          </cell>
          <cell r="L365" t="e">
            <v>#N/A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 t="e">
            <v>#N/A</v>
          </cell>
          <cell r="K368">
            <v>48</v>
          </cell>
          <cell r="L368" t="e">
            <v>#N/A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500</v>
          </cell>
          <cell r="K369">
            <v>70</v>
          </cell>
          <cell r="L369">
            <v>7.1428571428571432</v>
          </cell>
          <cell r="M369" t="str">
            <v>und</v>
          </cell>
        </row>
        <row r="370">
          <cell r="A370" t="str">
            <v>10100157</v>
          </cell>
          <cell r="B370" t="str">
            <v>13063</v>
          </cell>
          <cell r="C370" t="str">
            <v>SALSA HOISIN (UND:2.27 K)</v>
          </cell>
          <cell r="D370" t="str">
            <v>10100157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6439</v>
          </cell>
          <cell r="K370">
            <v>2270</v>
          </cell>
          <cell r="L370">
            <v>2.8365638766519825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 t="e">
            <v>#N/A</v>
          </cell>
          <cell r="K371">
            <v>50000</v>
          </cell>
          <cell r="L371" t="e">
            <v>#N/A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3554</v>
          </cell>
          <cell r="K372">
            <v>1800</v>
          </cell>
          <cell r="L372">
            <v>1.9744444444444444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 t="e">
            <v>#N/A</v>
          </cell>
          <cell r="K373"/>
          <cell r="L373" t="e">
            <v>#N/A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10028</v>
          </cell>
          <cell r="K374">
            <v>4000</v>
          </cell>
          <cell r="L374">
            <v>2.5070000000000001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 t="e">
            <v>#N/A</v>
          </cell>
          <cell r="K375">
            <v>5160</v>
          </cell>
          <cell r="L375" t="e">
            <v>#N/A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6493</v>
          </cell>
          <cell r="K376">
            <v>4000</v>
          </cell>
          <cell r="L376">
            <v>1.6232500000000001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15269</v>
          </cell>
          <cell r="K377">
            <v>12000</v>
          </cell>
          <cell r="L377">
            <v>1.2724166666666668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 t="e">
            <v>#N/A</v>
          </cell>
          <cell r="K378"/>
          <cell r="L378" t="e">
            <v>#N/A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2217</v>
          </cell>
          <cell r="K379">
            <v>368</v>
          </cell>
          <cell r="L379">
            <v>6.0244565217391308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 t="e">
            <v>#N/A</v>
          </cell>
          <cell r="K380">
            <v>25000</v>
          </cell>
          <cell r="L380" t="e">
            <v>#N/A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 t="e">
            <v>#N/A</v>
          </cell>
          <cell r="K381">
            <v>3785</v>
          </cell>
          <cell r="L381" t="e">
            <v>#N/A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 t="e">
            <v>#N/A</v>
          </cell>
          <cell r="K382">
            <v>25000</v>
          </cell>
          <cell r="L382" t="e">
            <v>#N/A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 t="e">
            <v>#N/A</v>
          </cell>
          <cell r="K383">
            <v>10000</v>
          </cell>
          <cell r="L383" t="e">
            <v>#N/A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 t="e">
            <v>#N/A</v>
          </cell>
          <cell r="K384">
            <v>2000</v>
          </cell>
          <cell r="L384" t="e">
            <v>#N/A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 t="e">
            <v>#N/A</v>
          </cell>
          <cell r="K385">
            <v>4000</v>
          </cell>
          <cell r="L385" t="e">
            <v>#N/A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 t="e">
            <v>#N/A</v>
          </cell>
          <cell r="K386">
            <v>5000</v>
          </cell>
          <cell r="L386" t="e">
            <v>#N/A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1000</v>
          </cell>
          <cell r="L387" t="e">
            <v>#N/A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 t="e">
            <v>#N/A</v>
          </cell>
          <cell r="K388">
            <v>3000</v>
          </cell>
          <cell r="L388" t="e">
            <v>#N/A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 t="e">
            <v>#N/A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 t="e">
            <v>#N/A</v>
          </cell>
          <cell r="K390">
            <v>3785</v>
          </cell>
          <cell r="L390" t="e">
            <v>#N/A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 t="e">
            <v>#N/A</v>
          </cell>
          <cell r="K391">
            <v>1000</v>
          </cell>
          <cell r="L391" t="e">
            <v>#N/A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3602</v>
          </cell>
          <cell r="K392">
            <v>1000</v>
          </cell>
          <cell r="L392">
            <v>3.6019999999999999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 t="e">
            <v>#N/A</v>
          </cell>
          <cell r="K393">
            <v>300</v>
          </cell>
          <cell r="L393" t="e">
            <v>#N/A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 t="e">
            <v>#N/A</v>
          </cell>
          <cell r="K394">
            <v>1000</v>
          </cell>
          <cell r="L394" t="e">
            <v>#N/A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 t="e">
            <v>#N/A</v>
          </cell>
          <cell r="K395">
            <v>18000</v>
          </cell>
          <cell r="L395" t="e">
            <v>#N/A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 t="e">
            <v>#N/A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 t="e">
            <v>#N/A</v>
          </cell>
          <cell r="K399"/>
          <cell r="L399" t="e">
            <v>#N/A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 t="e">
            <v>#N/A</v>
          </cell>
          <cell r="K400">
            <v>25000</v>
          </cell>
          <cell r="L400" t="e">
            <v>#N/A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 t="e">
            <v>#N/A</v>
          </cell>
          <cell r="K401">
            <v>1000</v>
          </cell>
          <cell r="L401" t="e">
            <v>#N/A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 t="e">
            <v>#N/A</v>
          </cell>
          <cell r="K402">
            <v>210</v>
          </cell>
          <cell r="L402" t="e">
            <v>#N/A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 t="e">
            <v>#N/A</v>
          </cell>
          <cell r="K403">
            <v>3785</v>
          </cell>
          <cell r="L403" t="e">
            <v>#N/A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 t="e">
            <v>#N/A</v>
          </cell>
          <cell r="K404">
            <v>5000</v>
          </cell>
          <cell r="L404" t="e">
            <v>#N/A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9135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 t="e">
            <v>#N/A</v>
          </cell>
          <cell r="K406">
            <v>1000</v>
          </cell>
          <cell r="L406" t="e">
            <v>#N/A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 t="e">
            <v>#N/A</v>
          </cell>
          <cell r="K407">
            <v>40</v>
          </cell>
          <cell r="L407" t="e">
            <v>#N/A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 t="e">
            <v>#N/A</v>
          </cell>
          <cell r="K408">
            <v>2500</v>
          </cell>
          <cell r="L408" t="e">
            <v>#N/A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 t="e">
            <v>#N/A</v>
          </cell>
          <cell r="K409"/>
          <cell r="L409" t="e">
            <v>#N/A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 t="e">
            <v>#N/A</v>
          </cell>
          <cell r="K410"/>
          <cell r="L410" t="e">
            <v>#N/A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 t="e">
            <v>#N/A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 t="e">
            <v>#N/A</v>
          </cell>
          <cell r="K412">
            <v>1000</v>
          </cell>
          <cell r="L412" t="e">
            <v>#N/A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 t="e">
            <v>#N/A</v>
          </cell>
          <cell r="K415"/>
          <cell r="L415" t="e">
            <v>#N/A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 t="e">
            <v>#N/A</v>
          </cell>
          <cell r="K416">
            <v>3785</v>
          </cell>
          <cell r="L416" t="e">
            <v>#N/A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 t="e">
            <v>#N/A</v>
          </cell>
          <cell r="K417">
            <v>2300</v>
          </cell>
          <cell r="L417" t="e">
            <v>#N/A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 t="e">
            <v>#N/A</v>
          </cell>
          <cell r="K418">
            <v>3780</v>
          </cell>
          <cell r="L418" t="e">
            <v>#N/A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 t="e">
            <v>#N/A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 t="e">
            <v>#N/A</v>
          </cell>
          <cell r="K420">
            <v>3785</v>
          </cell>
          <cell r="L420" t="e">
            <v>#N/A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 t="e">
            <v>#N/A</v>
          </cell>
          <cell r="K421"/>
          <cell r="L421" t="e">
            <v>#N/A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 t="e">
            <v>#N/A</v>
          </cell>
          <cell r="K422">
            <v>1000</v>
          </cell>
          <cell r="L422" t="e">
            <v>#N/A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41400</v>
          </cell>
          <cell r="K423"/>
          <cell r="L423" t="e">
            <v>#DIV/0!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2225</v>
          </cell>
          <cell r="K424">
            <v>1000</v>
          </cell>
          <cell r="L424">
            <v>2.2250000000000001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 t="e">
            <v>#N/A</v>
          </cell>
          <cell r="K425">
            <v>2000</v>
          </cell>
          <cell r="L425" t="e">
            <v>#N/A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 t="e">
            <v>#N/A</v>
          </cell>
          <cell r="K426"/>
          <cell r="L426" t="e">
            <v>#N/A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 t="e">
            <v>#N/A</v>
          </cell>
          <cell r="K427">
            <v>10432</v>
          </cell>
          <cell r="L427" t="e">
            <v>#N/A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 t="e">
            <v>#N/A</v>
          </cell>
          <cell r="K428">
            <v>1000</v>
          </cell>
          <cell r="L428" t="e">
            <v>#N/A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 t="e">
            <v>#N/A</v>
          </cell>
          <cell r="K430">
            <v>3785</v>
          </cell>
          <cell r="L430" t="e">
            <v>#N/A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 t="e">
            <v>#N/A</v>
          </cell>
          <cell r="K431">
            <v>1000</v>
          </cell>
          <cell r="L431" t="e">
            <v>#N/A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 t="e">
            <v>#N/A</v>
          </cell>
          <cell r="K432">
            <v>25000</v>
          </cell>
          <cell r="L432" t="e">
            <v>#N/A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 t="e">
            <v>#N/A</v>
          </cell>
          <cell r="K433"/>
          <cell r="L433" t="e">
            <v>#N/A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 t="e">
            <v>#N/A</v>
          </cell>
          <cell r="K434">
            <v>3700</v>
          </cell>
          <cell r="L434" t="e">
            <v>#N/A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 t="e">
            <v>#N/A</v>
          </cell>
          <cell r="K435">
            <v>1000</v>
          </cell>
          <cell r="L435" t="e">
            <v>#N/A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9252</v>
          </cell>
          <cell r="K436">
            <v>60</v>
          </cell>
          <cell r="L436">
            <v>154.19999999999999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 t="e">
            <v>#N/A</v>
          </cell>
          <cell r="K438">
            <v>10000</v>
          </cell>
          <cell r="L438" t="e">
            <v>#N/A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 t="e">
            <v>#N/A</v>
          </cell>
          <cell r="K439">
            <v>4000</v>
          </cell>
          <cell r="L439" t="e">
            <v>#N/A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 t="e">
            <v>#N/A</v>
          </cell>
          <cell r="K440">
            <v>2000</v>
          </cell>
          <cell r="L440" t="e">
            <v>#N/A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 t="e">
            <v>#N/A</v>
          </cell>
          <cell r="K441">
            <v>1000</v>
          </cell>
          <cell r="L441" t="e">
            <v>#N/A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 t="e">
            <v>#N/A</v>
          </cell>
          <cell r="K442">
            <v>1000</v>
          </cell>
          <cell r="L442" t="e">
            <v>#N/A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 t="e">
            <v>#N/A</v>
          </cell>
          <cell r="K443">
            <v>500</v>
          </cell>
          <cell r="L443" t="e">
            <v>#N/A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 t="e">
            <v>#N/A</v>
          </cell>
          <cell r="K445">
            <v>3785</v>
          </cell>
          <cell r="L445" t="e">
            <v>#N/A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3956</v>
          </cell>
          <cell r="K446">
            <v>1892.5</v>
          </cell>
          <cell r="L446">
            <v>2.0903566710700132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 t="e">
            <v>#N/A</v>
          </cell>
          <cell r="K447">
            <v>1000</v>
          </cell>
          <cell r="L447" t="e">
            <v>#N/A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5625</v>
          </cell>
          <cell r="K448">
            <v>1</v>
          </cell>
          <cell r="L448">
            <v>5625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7969</v>
          </cell>
          <cell r="K449">
            <v>1</v>
          </cell>
          <cell r="L449">
            <v>7969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5099</v>
          </cell>
          <cell r="K450">
            <v>1</v>
          </cell>
          <cell r="L450">
            <v>5099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8610</v>
          </cell>
          <cell r="K451">
            <v>1</v>
          </cell>
          <cell r="L451">
            <v>8610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5626</v>
          </cell>
          <cell r="K452">
            <v>1</v>
          </cell>
          <cell r="L452">
            <v>5626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 t="e">
            <v>#N/A</v>
          </cell>
          <cell r="K453">
            <v>20000</v>
          </cell>
          <cell r="L453" t="e">
            <v>#N/A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 t="e">
            <v>#N/A</v>
          </cell>
          <cell r="K454">
            <v>400</v>
          </cell>
          <cell r="L454" t="e">
            <v>#N/A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 t="e">
            <v>#N/A</v>
          </cell>
          <cell r="K455">
            <v>106</v>
          </cell>
          <cell r="L455" t="e">
            <v>#N/A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3080</v>
          </cell>
          <cell r="K456">
            <v>3785</v>
          </cell>
          <cell r="L456">
            <v>0.81373844121532368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4971.33</v>
          </cell>
          <cell r="K457">
            <v>800</v>
          </cell>
          <cell r="L457">
            <v>6.2141624999999996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 t="e">
            <v>#N/A</v>
          </cell>
          <cell r="K460"/>
          <cell r="L460" t="e">
            <v>#N/A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 t="e">
            <v>#N/A</v>
          </cell>
          <cell r="K462"/>
          <cell r="L462" t="e">
            <v>#N/A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7427</v>
          </cell>
          <cell r="K468">
            <v>1000</v>
          </cell>
          <cell r="L468">
            <v>7.4269999999999996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 t="e">
            <v>#N/A</v>
          </cell>
          <cell r="K469">
            <v>350</v>
          </cell>
          <cell r="L469" t="e">
            <v>#N/A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 t="e">
            <v>#N/A</v>
          </cell>
          <cell r="K471">
            <v>3100</v>
          </cell>
          <cell r="L471" t="e">
            <v>#N/A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 t="e">
            <v>#N/A</v>
          </cell>
          <cell r="K472">
            <v>500</v>
          </cell>
          <cell r="L472" t="e">
            <v>#N/A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 t="e">
            <v>#N/A</v>
          </cell>
          <cell r="K473">
            <v>1000</v>
          </cell>
          <cell r="L473" t="e">
            <v>#N/A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115417.68</v>
          </cell>
          <cell r="K474">
            <v>13600</v>
          </cell>
          <cell r="L474">
            <v>8.4865941176470585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750</v>
          </cell>
          <cell r="K475">
            <v>250</v>
          </cell>
          <cell r="L475">
            <v>3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 t="e">
            <v>#N/A</v>
          </cell>
          <cell r="K476">
            <v>1000</v>
          </cell>
          <cell r="L476" t="e">
            <v>#N/A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12369.978947</v>
          </cell>
          <cell r="K477">
            <v>2000</v>
          </cell>
          <cell r="L477">
            <v>6.1849894734999999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 t="e">
            <v>#N/A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4225</v>
          </cell>
          <cell r="K479">
            <v>1000</v>
          </cell>
          <cell r="L479">
            <v>4.2249999999999996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 t="e">
            <v>#N/A</v>
          </cell>
          <cell r="K480">
            <v>1000</v>
          </cell>
          <cell r="L480" t="e">
            <v>#N/A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2505</v>
          </cell>
          <cell r="K482">
            <v>1000</v>
          </cell>
          <cell r="L482">
            <v>2.5049999999999999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 t="e">
            <v>#N/A</v>
          </cell>
          <cell r="K483">
            <v>250</v>
          </cell>
          <cell r="L483" t="e">
            <v>#N/A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 t="e">
            <v>#N/A</v>
          </cell>
          <cell r="K484">
            <v>1000</v>
          </cell>
          <cell r="L484" t="e">
            <v>#N/A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6.6863333333333301</v>
          </cell>
          <cell r="K485">
            <v>250</v>
          </cell>
          <cell r="L485">
            <v>2.6745333333333319E-2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 t="e">
            <v>#N/A</v>
          </cell>
          <cell r="K486">
            <v>170</v>
          </cell>
          <cell r="L486" t="e">
            <v>#N/A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15425.7269786</v>
          </cell>
          <cell r="K487">
            <v>1000</v>
          </cell>
          <cell r="L487">
            <v>15.4257269786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1602</v>
          </cell>
          <cell r="K489">
            <v>400</v>
          </cell>
          <cell r="L489">
            <v>4.0049999999999999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 t="e">
            <v>#N/A</v>
          </cell>
          <cell r="K490">
            <v>250</v>
          </cell>
          <cell r="L490" t="e">
            <v>#N/A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1570</v>
          </cell>
          <cell r="K491">
            <v>1000</v>
          </cell>
          <cell r="L491">
            <v>1.57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 t="e">
            <v>#N/A</v>
          </cell>
          <cell r="K492">
            <v>600</v>
          </cell>
          <cell r="L492" t="e">
            <v>#N/A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 t="e">
            <v>#N/A</v>
          </cell>
          <cell r="K497">
            <v>130</v>
          </cell>
          <cell r="L497" t="e">
            <v>#N/A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6151.87</v>
          </cell>
          <cell r="K502">
            <v>1000</v>
          </cell>
          <cell r="L502">
            <v>6.1518699999999997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 t="e">
            <v>#N/A</v>
          </cell>
          <cell r="K503">
            <v>1000</v>
          </cell>
          <cell r="L503" t="e">
            <v>#N/A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2497</v>
          </cell>
          <cell r="K504">
            <v>43</v>
          </cell>
          <cell r="L504">
            <v>58.069767441860463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17249.45</v>
          </cell>
          <cell r="K507">
            <v>215</v>
          </cell>
          <cell r="L507">
            <v>80.23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 t="e">
            <v>#N/A</v>
          </cell>
          <cell r="K508">
            <v>215</v>
          </cell>
          <cell r="L508" t="e">
            <v>#N/A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700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 t="e">
            <v>#N/A</v>
          </cell>
          <cell r="K510">
            <v>200</v>
          </cell>
          <cell r="L510" t="e">
            <v>#N/A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 t="e">
            <v>#N/A</v>
          </cell>
          <cell r="K511">
            <v>2270</v>
          </cell>
          <cell r="L511" t="e">
            <v>#N/A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 t="e">
            <v>#N/A</v>
          </cell>
          <cell r="K512">
            <v>996</v>
          </cell>
          <cell r="L512" t="e">
            <v>#N/A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 t="e">
            <v>#N/A</v>
          </cell>
          <cell r="K513">
            <v>312</v>
          </cell>
          <cell r="L513" t="e">
            <v>#N/A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 t="e">
            <v>#N/A</v>
          </cell>
          <cell r="K514">
            <v>650</v>
          </cell>
          <cell r="L514" t="e">
            <v>#N/A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 t="e">
            <v>#N/A</v>
          </cell>
          <cell r="K515">
            <v>1500</v>
          </cell>
          <cell r="L515" t="e">
            <v>#N/A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 t="e">
            <v>#N/A</v>
          </cell>
          <cell r="K516"/>
          <cell r="L516" t="e">
            <v>#N/A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 t="e">
            <v>#N/A</v>
          </cell>
          <cell r="K517">
            <v>330</v>
          </cell>
          <cell r="L517" t="e">
            <v>#N/A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 t="e">
            <v>#N/A</v>
          </cell>
          <cell r="K518">
            <v>25</v>
          </cell>
          <cell r="L518" t="e">
            <v>#N/A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536.5</v>
          </cell>
          <cell r="K520">
            <v>100</v>
          </cell>
          <cell r="L520">
            <v>5.3650000000000002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 t="e">
            <v>#N/A</v>
          </cell>
          <cell r="K530">
            <v>200</v>
          </cell>
          <cell r="L530" t="e">
            <v>#N/A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521.20000000000005</v>
          </cell>
          <cell r="K531">
            <v>100</v>
          </cell>
          <cell r="L531">
            <v>5.2120000000000006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1046.5</v>
          </cell>
          <cell r="K532">
            <v>500</v>
          </cell>
          <cell r="L532">
            <v>2.093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 t="e">
            <v>#N/A</v>
          </cell>
          <cell r="K533">
            <v>200</v>
          </cell>
          <cell r="L533" t="e">
            <v>#N/A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399</v>
          </cell>
          <cell r="K535">
            <v>250</v>
          </cell>
          <cell r="L535">
            <v>1.5960000000000001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907.8</v>
          </cell>
          <cell r="K536">
            <v>100</v>
          </cell>
          <cell r="L536">
            <v>9.0779999999999994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2200</v>
          </cell>
          <cell r="K539">
            <v>1000</v>
          </cell>
          <cell r="L539">
            <v>2.2000000000000002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13366</v>
          </cell>
          <cell r="K542">
            <v>3785</v>
          </cell>
          <cell r="L542">
            <v>3.5313077939233817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 t="e">
            <v>#N/A</v>
          </cell>
          <cell r="K544">
            <v>1000</v>
          </cell>
          <cell r="L544" t="e">
            <v>#N/A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 t="e">
            <v>#N/A</v>
          </cell>
          <cell r="K546">
            <v>0</v>
          </cell>
          <cell r="L546" t="e">
            <v>#N/A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7875</v>
          </cell>
          <cell r="K547">
            <v>120</v>
          </cell>
          <cell r="L547">
            <v>65.625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2050</v>
          </cell>
          <cell r="K548">
            <v>10</v>
          </cell>
          <cell r="L548">
            <v>205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2400</v>
          </cell>
          <cell r="K549">
            <v>20</v>
          </cell>
          <cell r="L549">
            <v>120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950</v>
          </cell>
          <cell r="K550">
            <v>5</v>
          </cell>
          <cell r="L550">
            <v>190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625</v>
          </cell>
          <cell r="K551">
            <v>5</v>
          </cell>
          <cell r="L551">
            <v>125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25789.63625</v>
          </cell>
          <cell r="K552">
            <v>25000</v>
          </cell>
          <cell r="L552">
            <v>1.0315854499999999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26848.776000000002</v>
          </cell>
          <cell r="K553">
            <v>20000</v>
          </cell>
          <cell r="L553">
            <v>1.3424388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910</v>
          </cell>
          <cell r="K554">
            <v>5</v>
          </cell>
          <cell r="L554">
            <v>182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 t="e">
            <v>#N/A</v>
          </cell>
          <cell r="K555">
            <v>20</v>
          </cell>
          <cell r="L555" t="e">
            <v>#N/A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2200</v>
          </cell>
          <cell r="K556">
            <v>10</v>
          </cell>
          <cell r="L556">
            <v>220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15733</v>
          </cell>
          <cell r="K557">
            <v>25000</v>
          </cell>
          <cell r="L557">
            <v>0.62931999999999999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 t="e">
            <v>#N/A</v>
          </cell>
          <cell r="K558"/>
          <cell r="L558" t="e">
            <v>#N/A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 t="e">
            <v>#N/A</v>
          </cell>
          <cell r="K559">
            <v>25000</v>
          </cell>
          <cell r="L559" t="e">
            <v>#N/A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31465</v>
          </cell>
          <cell r="K560">
            <v>22600</v>
          </cell>
          <cell r="L560">
            <v>1.3922566371681415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 t="e">
            <v>#N/A</v>
          </cell>
          <cell r="K561">
            <v>10</v>
          </cell>
          <cell r="L561" t="e">
            <v>#N/A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2267</v>
          </cell>
          <cell r="L562" t="e">
            <v>#N/A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2629.9389999999999</v>
          </cell>
          <cell r="K563">
            <v>30</v>
          </cell>
          <cell r="L563">
            <v>87.664633333333327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12100</v>
          </cell>
          <cell r="K564">
            <v>5000</v>
          </cell>
          <cell r="L564">
            <v>2.42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24201</v>
          </cell>
          <cell r="K566">
            <v>8340</v>
          </cell>
          <cell r="L566">
            <v>2.9017985611510793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 t="e">
            <v>#N/A</v>
          </cell>
          <cell r="K567">
            <v>500</v>
          </cell>
          <cell r="L567" t="e">
            <v>#N/A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1749.28</v>
          </cell>
          <cell r="K568">
            <v>160</v>
          </cell>
          <cell r="L568">
            <v>10.933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9124</v>
          </cell>
          <cell r="K569">
            <v>3000</v>
          </cell>
          <cell r="L569">
            <v>3.0413333333333332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10495</v>
          </cell>
          <cell r="K570">
            <v>4000</v>
          </cell>
          <cell r="L570">
            <v>2.6237499999999998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10673</v>
          </cell>
          <cell r="K571">
            <v>4000</v>
          </cell>
          <cell r="L571">
            <v>2.66825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8097</v>
          </cell>
          <cell r="K572">
            <v>4000</v>
          </cell>
          <cell r="L572">
            <v>2.0242499999999999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7692</v>
          </cell>
          <cell r="K573">
            <v>4500</v>
          </cell>
          <cell r="L573">
            <v>1.7093333333333334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45840</v>
          </cell>
          <cell r="K575">
            <v>18960</v>
          </cell>
          <cell r="L575">
            <v>2.4177215189873418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6825</v>
          </cell>
          <cell r="K577">
            <v>2000</v>
          </cell>
          <cell r="L577">
            <v>3.4125000000000001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17833</v>
          </cell>
          <cell r="K578">
            <v>11000</v>
          </cell>
          <cell r="L578">
            <v>1.6211818181818183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2031</v>
          </cell>
          <cell r="K579">
            <v>3785</v>
          </cell>
          <cell r="L579">
            <v>0.53659180977542931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6006</v>
          </cell>
          <cell r="K582">
            <v>3030</v>
          </cell>
          <cell r="L582">
            <v>1.9821782178217822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 t="e">
            <v>#N/A</v>
          </cell>
          <cell r="K583">
            <v>250</v>
          </cell>
          <cell r="L583" t="e">
            <v>#N/A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 t="e">
            <v>#N/A</v>
          </cell>
          <cell r="K584">
            <v>25000</v>
          </cell>
          <cell r="L584" t="e">
            <v>#N/A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 t="e">
            <v>#N/A</v>
          </cell>
          <cell r="K585">
            <v>500</v>
          </cell>
          <cell r="L585" t="e">
            <v>#N/A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8005</v>
          </cell>
          <cell r="K586">
            <v>5000</v>
          </cell>
          <cell r="L586">
            <v>1.601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21130</v>
          </cell>
          <cell r="K587">
            <v>1000</v>
          </cell>
          <cell r="L587">
            <v>21.13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 t="e">
            <v>#N/A</v>
          </cell>
          <cell r="K589">
            <v>13600</v>
          </cell>
          <cell r="L589" t="e">
            <v>#N/A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 t="e">
            <v>#N/A</v>
          </cell>
          <cell r="K590">
            <v>454</v>
          </cell>
          <cell r="L590" t="e">
            <v>#N/A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1836</v>
          </cell>
          <cell r="K592"/>
          <cell r="L592" t="e">
            <v>#DIV/0!</v>
          </cell>
          <cell r="M592"/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 t="e">
            <v>#N/A</v>
          </cell>
          <cell r="K593"/>
          <cell r="L593" t="e">
            <v>#N/A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1326.74</v>
          </cell>
          <cell r="K594">
            <v>160</v>
          </cell>
          <cell r="L594">
            <v>8.2921250000000004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 t="e">
            <v>#N/A</v>
          </cell>
          <cell r="K595">
            <v>250</v>
          </cell>
          <cell r="L595" t="e">
            <v>#N/A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475</v>
          </cell>
          <cell r="K597">
            <v>1</v>
          </cell>
          <cell r="L597">
            <v>475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 t="e">
            <v>#N/A</v>
          </cell>
          <cell r="K598">
            <v>20</v>
          </cell>
          <cell r="L598" t="e">
            <v>#N/A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 t="e">
            <v>#N/A</v>
          </cell>
          <cell r="K599"/>
          <cell r="L599" t="e">
            <v>#N/A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1830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3510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 t="e">
            <v>#N/A</v>
          </cell>
          <cell r="K602">
            <v>1000</v>
          </cell>
          <cell r="L602" t="e">
            <v>#N/A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 t="e">
            <v>#N/A</v>
          </cell>
          <cell r="K603"/>
          <cell r="L603" t="e">
            <v>#N/A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 t="e">
            <v>#N/A</v>
          </cell>
          <cell r="K604"/>
          <cell r="L604" t="e">
            <v>#N/A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 t="e">
            <v>#N/A</v>
          </cell>
          <cell r="K605"/>
          <cell r="L605" t="e">
            <v>#N/A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 t="e">
            <v>#N/A</v>
          </cell>
          <cell r="K606"/>
          <cell r="L606" t="e">
            <v>#N/A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6227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2737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 t="e">
            <v>#N/A</v>
          </cell>
          <cell r="K609">
            <v>24</v>
          </cell>
          <cell r="L609" t="e">
            <v>#N/A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 t="e">
            <v>#N/A</v>
          </cell>
          <cell r="K613">
            <v>100</v>
          </cell>
          <cell r="L613" t="e">
            <v>#N/A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 t="e">
            <v>#N/A</v>
          </cell>
          <cell r="K614">
            <v>225</v>
          </cell>
          <cell r="L614" t="e">
            <v>#N/A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 t="e">
            <v>#N/A</v>
          </cell>
          <cell r="K615">
            <v>500</v>
          </cell>
          <cell r="L615" t="e">
            <v>#N/A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135</v>
          </cell>
          <cell r="K617">
            <v>1</v>
          </cell>
          <cell r="L617">
            <v>135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40.31</v>
          </cell>
          <cell r="K618">
            <v>1</v>
          </cell>
          <cell r="L618">
            <v>40.31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 t="e">
            <v>#N/A</v>
          </cell>
          <cell r="K619">
            <v>600</v>
          </cell>
          <cell r="L619" t="e">
            <v>#N/A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225</v>
          </cell>
          <cell r="K621">
            <v>1</v>
          </cell>
          <cell r="L621">
            <v>225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47812.5</v>
          </cell>
          <cell r="K622">
            <v>625</v>
          </cell>
          <cell r="L622">
            <v>76.5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38800</v>
          </cell>
          <cell r="K623">
            <v>400</v>
          </cell>
          <cell r="L623">
            <v>97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 t="e">
            <v>#N/A</v>
          </cell>
          <cell r="K624">
            <v>280</v>
          </cell>
          <cell r="L624" t="e">
            <v>#N/A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62700</v>
          </cell>
          <cell r="K625">
            <v>950</v>
          </cell>
          <cell r="L625">
            <v>66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8600</v>
          </cell>
          <cell r="K629">
            <v>1000</v>
          </cell>
          <cell r="L629">
            <v>8.6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50988</v>
          </cell>
          <cell r="K630">
            <v>1000</v>
          </cell>
          <cell r="L630">
            <v>50.988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62731</v>
          </cell>
          <cell r="K631">
            <v>1000</v>
          </cell>
          <cell r="L631">
            <v>62.731000000000002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34399.5</v>
          </cell>
          <cell r="K632">
            <v>200</v>
          </cell>
          <cell r="L632">
            <v>171.9975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1005</v>
          </cell>
          <cell r="K633">
            <v>250</v>
          </cell>
          <cell r="L633">
            <v>4.0199999999999996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 t="e">
            <v>#N/A</v>
          </cell>
          <cell r="K634">
            <v>200</v>
          </cell>
          <cell r="L634" t="e">
            <v>#N/A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 t="e">
            <v>#N/A</v>
          </cell>
          <cell r="K635">
            <v>500</v>
          </cell>
          <cell r="L635" t="e">
            <v>#N/A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47090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 t="e">
            <v>#N/A</v>
          </cell>
          <cell r="K637">
            <v>250</v>
          </cell>
          <cell r="L637" t="e">
            <v>#N/A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 t="e">
            <v>#N/A</v>
          </cell>
          <cell r="K638">
            <v>180</v>
          </cell>
          <cell r="L638" t="e">
            <v>#N/A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 t="e">
            <v>#N/A</v>
          </cell>
          <cell r="K639">
            <v>500</v>
          </cell>
          <cell r="L639" t="e">
            <v>#N/A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 t="e">
            <v>#N/A</v>
          </cell>
          <cell r="K640">
            <v>250</v>
          </cell>
          <cell r="L640" t="e">
            <v>#N/A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380</v>
          </cell>
          <cell r="K641">
            <v>1</v>
          </cell>
          <cell r="L641">
            <v>380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 t="e">
            <v>#N/A</v>
          </cell>
          <cell r="K642">
            <v>1000</v>
          </cell>
          <cell r="L642" t="e">
            <v>#N/A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52728</v>
          </cell>
          <cell r="K643">
            <v>35</v>
          </cell>
          <cell r="L643">
            <v>1506.5142857142857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29627</v>
          </cell>
          <cell r="K644">
            <v>50</v>
          </cell>
          <cell r="L644">
            <v>592.54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23733</v>
          </cell>
          <cell r="K645">
            <v>100</v>
          </cell>
          <cell r="L645">
            <v>237.33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26583</v>
          </cell>
          <cell r="K646">
            <v>200</v>
          </cell>
          <cell r="L646">
            <v>132.91499999999999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46516</v>
          </cell>
          <cell r="K648">
            <v>100</v>
          </cell>
          <cell r="L648">
            <v>465.16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16875.075000000001</v>
          </cell>
          <cell r="K649">
            <v>125</v>
          </cell>
          <cell r="L649">
            <v>135.00060000000002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17678.650000000001</v>
          </cell>
          <cell r="K650">
            <v>125</v>
          </cell>
          <cell r="L650">
            <v>141.42920000000001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12905</v>
          </cell>
          <cell r="K651">
            <v>125</v>
          </cell>
          <cell r="L651">
            <v>103.24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6637.47</v>
          </cell>
          <cell r="K652">
            <v>50</v>
          </cell>
          <cell r="L652">
            <v>132.74940000000001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138.19999999999999</v>
          </cell>
          <cell r="K653">
            <v>50</v>
          </cell>
          <cell r="L653">
            <v>2.7639999999999998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3548.875</v>
          </cell>
          <cell r="K654">
            <v>50</v>
          </cell>
          <cell r="L654">
            <v>70.977500000000006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5484.63</v>
          </cell>
          <cell r="K655">
            <v>50</v>
          </cell>
          <cell r="L655">
            <v>109.6926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 t="e">
            <v>#N/A</v>
          </cell>
          <cell r="K656">
            <v>125</v>
          </cell>
          <cell r="L656" t="e">
            <v>#N/A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5807.25</v>
          </cell>
          <cell r="K657">
            <v>50</v>
          </cell>
          <cell r="L657">
            <v>116.145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7392.89</v>
          </cell>
          <cell r="K658">
            <v>50</v>
          </cell>
          <cell r="L658">
            <v>147.8578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5142.88</v>
          </cell>
          <cell r="K659">
            <v>50</v>
          </cell>
          <cell r="L659">
            <v>102.85760000000001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5785.74</v>
          </cell>
          <cell r="K660">
            <v>50</v>
          </cell>
          <cell r="L660">
            <v>115.7148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3548.8760000000002</v>
          </cell>
          <cell r="K661">
            <v>50</v>
          </cell>
          <cell r="L661">
            <v>70.977519999999998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 t="e">
            <v>#N/A</v>
          </cell>
          <cell r="K662">
            <v>50</v>
          </cell>
          <cell r="L662" t="e">
            <v>#N/A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 t="e">
            <v>#N/A</v>
          </cell>
          <cell r="K663">
            <v>25</v>
          </cell>
          <cell r="L663" t="e">
            <v>#N/A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1303.25</v>
          </cell>
          <cell r="K665">
            <v>50</v>
          </cell>
          <cell r="L665">
            <v>26.065000000000001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1835.05</v>
          </cell>
          <cell r="K666">
            <v>25</v>
          </cell>
          <cell r="L666">
            <v>73.402000000000001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1073.2</v>
          </cell>
          <cell r="K667">
            <v>50</v>
          </cell>
          <cell r="L667">
            <v>21.464000000000002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 t="e">
            <v>#N/A</v>
          </cell>
          <cell r="K668">
            <v>100</v>
          </cell>
          <cell r="L668" t="e">
            <v>#N/A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 t="e">
            <v>#N/A</v>
          </cell>
          <cell r="K669"/>
          <cell r="L669" t="e">
            <v>#N/A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 t="e">
            <v>#N/A</v>
          </cell>
          <cell r="K670"/>
          <cell r="L670" t="e">
            <v>#N/A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 t="e">
            <v>#N/A</v>
          </cell>
          <cell r="K672"/>
          <cell r="L672" t="e">
            <v>#N/A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 t="e">
            <v>#N/A</v>
          </cell>
          <cell r="K674"/>
          <cell r="L674" t="e">
            <v>#N/A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 t="e">
            <v>#N/A</v>
          </cell>
          <cell r="K675">
            <v>45000</v>
          </cell>
          <cell r="L675" t="e">
            <v>#N/A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 t="e">
            <v>#N/A</v>
          </cell>
          <cell r="K676"/>
          <cell r="L676" t="e">
            <v>#N/A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7420.375</v>
          </cell>
          <cell r="K678">
            <v>50</v>
          </cell>
          <cell r="L678">
            <v>148.4075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11937.13</v>
          </cell>
          <cell r="K679">
            <v>50</v>
          </cell>
          <cell r="L679">
            <v>238.74259999999998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 t="e">
            <v>#N/A</v>
          </cell>
          <cell r="K684">
            <v>1</v>
          </cell>
          <cell r="L684" t="e">
            <v>#N/A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6000</v>
          </cell>
          <cell r="K685">
            <v>1000</v>
          </cell>
          <cell r="L685">
            <v>6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5.6</v>
          </cell>
          <cell r="K686">
            <v>1</v>
          </cell>
          <cell r="L686">
            <v>5.6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2405</v>
          </cell>
          <cell r="K688">
            <v>1000</v>
          </cell>
          <cell r="L688">
            <v>2.4049999999999998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994</v>
          </cell>
          <cell r="K689">
            <v>1000</v>
          </cell>
          <cell r="L689">
            <v>0.99399999999999999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 t="e">
            <v>#N/A</v>
          </cell>
          <cell r="K690">
            <v>1</v>
          </cell>
          <cell r="L690" t="e">
            <v>#N/A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111.25</v>
          </cell>
          <cell r="K691">
            <v>1</v>
          </cell>
          <cell r="L691">
            <v>111.25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 t="e">
            <v>#N/A</v>
          </cell>
          <cell r="K692">
            <v>1</v>
          </cell>
          <cell r="L692" t="e">
            <v>#N/A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 t="e">
            <v>#N/A</v>
          </cell>
          <cell r="K693">
            <v>1</v>
          </cell>
          <cell r="L693" t="e">
            <v>#N/A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 t="e">
            <v>#N/A</v>
          </cell>
          <cell r="K694">
            <v>1</v>
          </cell>
          <cell r="L694" t="e">
            <v>#N/A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 t="e">
            <v>#N/A</v>
          </cell>
          <cell r="K695">
            <v>1</v>
          </cell>
          <cell r="L695" t="e">
            <v>#N/A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 t="e">
            <v>#N/A</v>
          </cell>
          <cell r="K696">
            <v>500</v>
          </cell>
          <cell r="L696" t="e">
            <v>#N/A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 t="e">
            <v>#N/A</v>
          </cell>
          <cell r="K697"/>
          <cell r="L697" t="e">
            <v>#N/A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 t="e">
            <v>#N/A</v>
          </cell>
          <cell r="K698">
            <v>500</v>
          </cell>
          <cell r="L698" t="e">
            <v>#N/A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7093</v>
          </cell>
          <cell r="K702">
            <v>4000</v>
          </cell>
          <cell r="L702">
            <v>1.77325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 t="e">
            <v>#N/A</v>
          </cell>
          <cell r="K703">
            <v>2268</v>
          </cell>
          <cell r="L703" t="e">
            <v>#N/A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 t="e">
            <v>#N/A</v>
          </cell>
          <cell r="K704">
            <v>2500</v>
          </cell>
          <cell r="L704" t="e">
            <v>#N/A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 t="e">
            <v>#N/A</v>
          </cell>
          <cell r="K705">
            <v>946</v>
          </cell>
          <cell r="L705" t="e">
            <v>#N/A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1495.44</v>
          </cell>
          <cell r="K707">
            <v>930</v>
          </cell>
          <cell r="L707">
            <v>1.6080000000000001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9553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 t="e">
            <v>#N/A</v>
          </cell>
          <cell r="K709"/>
          <cell r="L709" t="e">
            <v>#N/A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3320</v>
          </cell>
          <cell r="K710">
            <v>510</v>
          </cell>
          <cell r="L710">
            <v>6.5098039215686274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 t="e">
            <v>#N/A</v>
          </cell>
          <cell r="K711"/>
          <cell r="L711" t="e">
            <v>#N/A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1650</v>
          </cell>
          <cell r="K712">
            <v>500</v>
          </cell>
          <cell r="L712">
            <v>3.3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2445</v>
          </cell>
          <cell r="K713">
            <v>300</v>
          </cell>
          <cell r="L713">
            <v>8.15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 t="e">
            <v>#N/A</v>
          </cell>
          <cell r="K714"/>
          <cell r="L714" t="e">
            <v>#N/A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7457</v>
          </cell>
          <cell r="K715">
            <v>750</v>
          </cell>
          <cell r="L715">
            <v>9.9426666666666659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 t="e">
            <v>#N/A</v>
          </cell>
          <cell r="K716"/>
          <cell r="L716" t="e">
            <v>#N/A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 t="e">
            <v>#N/A</v>
          </cell>
          <cell r="K717"/>
          <cell r="L717" t="e">
            <v>#N/A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9823.92</v>
          </cell>
          <cell r="K718">
            <v>1000</v>
          </cell>
          <cell r="L718">
            <v>9.8239199999999993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2995</v>
          </cell>
          <cell r="K719">
            <v>1000</v>
          </cell>
          <cell r="L719">
            <v>2.9950000000000001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2050</v>
          </cell>
          <cell r="K720">
            <v>1000</v>
          </cell>
          <cell r="L720">
            <v>2.0499999999999998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3214</v>
          </cell>
          <cell r="K723">
            <v>454</v>
          </cell>
          <cell r="L723">
            <v>7.0792951541850222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2086</v>
          </cell>
          <cell r="K724">
            <v>156</v>
          </cell>
          <cell r="L724">
            <v>13.371794871794872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1845</v>
          </cell>
          <cell r="K725">
            <v>57</v>
          </cell>
          <cell r="L725">
            <v>32.368421052631582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7511</v>
          </cell>
          <cell r="K726">
            <v>510</v>
          </cell>
          <cell r="L726">
            <v>14.727450980392156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5108</v>
          </cell>
          <cell r="K727">
            <v>340</v>
          </cell>
          <cell r="L727">
            <v>15.023529411764706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6228</v>
          </cell>
          <cell r="K729">
            <v>2000</v>
          </cell>
          <cell r="L729">
            <v>3.1139999999999999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 t="e">
            <v>#N/A</v>
          </cell>
          <cell r="K730">
            <v>354</v>
          </cell>
          <cell r="L730" t="e">
            <v>#N/A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 t="e">
            <v>#N/A</v>
          </cell>
          <cell r="K731">
            <v>453</v>
          </cell>
          <cell r="L731" t="e">
            <v>#N/A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 t="e">
            <v>#N/A</v>
          </cell>
          <cell r="K732">
            <v>1800</v>
          </cell>
          <cell r="L732" t="e">
            <v>#N/A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 t="e">
            <v>#N/A</v>
          </cell>
          <cell r="K733">
            <v>1000</v>
          </cell>
          <cell r="L733" t="e">
            <v>#N/A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50600</v>
          </cell>
          <cell r="K735">
            <v>23000</v>
          </cell>
          <cell r="L735">
            <v>2.2000000000000002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 t="e">
            <v>#N/A</v>
          </cell>
          <cell r="K736">
            <v>25000</v>
          </cell>
          <cell r="L736" t="e">
            <v>#N/A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 t="e">
            <v>#N/A</v>
          </cell>
          <cell r="K737">
            <v>150</v>
          </cell>
          <cell r="L737" t="e">
            <v>#N/A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 t="e">
            <v>#N/A</v>
          </cell>
          <cell r="K738">
            <v>1000</v>
          </cell>
          <cell r="L738" t="e">
            <v>#N/A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 t="e">
            <v>#N/A</v>
          </cell>
          <cell r="K739">
            <v>800</v>
          </cell>
          <cell r="L739" t="e">
            <v>#N/A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 t="e">
            <v>#N/A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 t="e">
            <v>#N/A</v>
          </cell>
          <cell r="K742">
            <v>3000</v>
          </cell>
          <cell r="L742" t="e">
            <v>#N/A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3741</v>
          </cell>
          <cell r="K744">
            <v>1800</v>
          </cell>
          <cell r="L744">
            <v>2.0783333333333331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13178.8</v>
          </cell>
          <cell r="K745">
            <v>1656</v>
          </cell>
          <cell r="L745">
            <v>7.9582125603864728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 t="e">
            <v>#N/A</v>
          </cell>
          <cell r="K746">
            <v>1130</v>
          </cell>
          <cell r="L746" t="e">
            <v>#N/A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14032.8</v>
          </cell>
          <cell r="K748">
            <v>3000</v>
          </cell>
          <cell r="L748">
            <v>4.6776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1050</v>
          </cell>
          <cell r="K749">
            <v>6</v>
          </cell>
          <cell r="L749">
            <v>175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 t="e">
            <v>#N/A</v>
          </cell>
          <cell r="K750">
            <v>10</v>
          </cell>
          <cell r="L750" t="e">
            <v>#N/A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7867</v>
          </cell>
          <cell r="K751">
            <v>12000</v>
          </cell>
          <cell r="L751">
            <v>0.6555833333333333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9837</v>
          </cell>
          <cell r="K752">
            <v>4000</v>
          </cell>
          <cell r="L752">
            <v>2.4592499999999999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51410</v>
          </cell>
          <cell r="K753">
            <v>25000</v>
          </cell>
          <cell r="L753">
            <v>2.0564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3900</v>
          </cell>
          <cell r="K754">
            <v>3780</v>
          </cell>
          <cell r="L754">
            <v>1.0317460317460319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9410</v>
          </cell>
          <cell r="K755">
            <v>1000</v>
          </cell>
          <cell r="L755">
            <v>9.41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21097.78</v>
          </cell>
          <cell r="K756">
            <v>1000</v>
          </cell>
          <cell r="L756">
            <v>21.09778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 t="e">
            <v>#N/A</v>
          </cell>
          <cell r="K757"/>
          <cell r="L757" t="e">
            <v>#N/A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 t="e">
            <v>#N/A</v>
          </cell>
          <cell r="K758">
            <v>1000</v>
          </cell>
          <cell r="L758" t="e">
            <v>#N/A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5653</v>
          </cell>
          <cell r="K759">
            <v>566</v>
          </cell>
          <cell r="L759">
            <v>9.9876325088339222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 t="e">
            <v>#N/A</v>
          </cell>
          <cell r="K760">
            <v>150</v>
          </cell>
          <cell r="L760" t="e">
            <v>#N/A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 t="e">
            <v>#N/A</v>
          </cell>
          <cell r="K761"/>
          <cell r="L761" t="e">
            <v>#N/A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/>
          <cell r="L762" t="e">
            <v>#N/A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 t="e">
            <v>#N/A</v>
          </cell>
          <cell r="K763"/>
          <cell r="L763" t="e">
            <v>#N/A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 t="e">
            <v>#N/A</v>
          </cell>
          <cell r="K764">
            <v>126</v>
          </cell>
          <cell r="L764" t="e">
            <v>#N/A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 t="e">
            <v>#N/A</v>
          </cell>
          <cell r="K765"/>
          <cell r="L765" t="e">
            <v>#N/A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 t="e">
            <v>#N/A</v>
          </cell>
          <cell r="K766"/>
          <cell r="L766" t="e">
            <v>#N/A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 t="e">
            <v>#N/A</v>
          </cell>
          <cell r="K767"/>
          <cell r="L767" t="e">
            <v>#N/A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/>
          <cell r="L768" t="e">
            <v>#N/A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 t="e">
            <v>#N/A</v>
          </cell>
          <cell r="K769"/>
          <cell r="L769" t="e">
            <v>#N/A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1800</v>
          </cell>
          <cell r="K770">
            <v>430</v>
          </cell>
          <cell r="L770">
            <v>4.1860465116279073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1800</v>
          </cell>
          <cell r="K772">
            <v>250</v>
          </cell>
          <cell r="L772">
            <v>7.2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1400</v>
          </cell>
          <cell r="K773">
            <v>196</v>
          </cell>
          <cell r="L773">
            <v>7.1428571428571432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1800</v>
          </cell>
          <cell r="K774">
            <v>126</v>
          </cell>
          <cell r="L774">
            <v>14.285714285714286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2410.86</v>
          </cell>
          <cell r="K775">
            <v>2500</v>
          </cell>
          <cell r="L775">
            <v>0.96434400000000009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 t="e">
            <v>#N/A</v>
          </cell>
          <cell r="K776">
            <v>1</v>
          </cell>
          <cell r="L776" t="e">
            <v>#N/A</v>
          </cell>
          <cell r="M776"/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 t="e">
            <v>#N/A</v>
          </cell>
          <cell r="K777">
            <v>1</v>
          </cell>
          <cell r="L777" t="e">
            <v>#N/A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 t="e">
            <v>#N/A</v>
          </cell>
          <cell r="K779"/>
          <cell r="L779" t="e">
            <v>#N/A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5900</v>
          </cell>
          <cell r="K780">
            <v>15000</v>
          </cell>
          <cell r="L780">
            <v>0.39333333333333331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11857</v>
          </cell>
          <cell r="K781">
            <v>20000</v>
          </cell>
          <cell r="L781">
            <v>0.59284999999999999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 t="e">
            <v>#N/A</v>
          </cell>
          <cell r="K782">
            <v>50</v>
          </cell>
          <cell r="L782" t="e">
            <v>#N/A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 t="e">
            <v>#N/A</v>
          </cell>
          <cell r="K783">
            <v>1</v>
          </cell>
          <cell r="L783" t="e">
            <v>#N/A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38592</v>
          </cell>
          <cell r="K784">
            <v>25000</v>
          </cell>
          <cell r="L784">
            <v>1.5436799999999999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12041</v>
          </cell>
          <cell r="K785">
            <v>100</v>
          </cell>
          <cell r="L785">
            <v>120.41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 t="e">
            <v>#N/A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 t="e">
            <v>#N/A</v>
          </cell>
          <cell r="K787">
            <v>1</v>
          </cell>
          <cell r="L787" t="e">
            <v>#N/A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1300</v>
          </cell>
          <cell r="K788">
            <v>14000</v>
          </cell>
          <cell r="L788">
            <v>9.285714285714286E-2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5600</v>
          </cell>
          <cell r="K790">
            <v>750</v>
          </cell>
          <cell r="L790">
            <v>7.4666666666666668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 t="e">
            <v>#N/A</v>
          </cell>
          <cell r="K791">
            <v>361</v>
          </cell>
          <cell r="L791" t="e">
            <v>#N/A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8983</v>
          </cell>
          <cell r="K792">
            <v>500</v>
          </cell>
          <cell r="L792">
            <v>17.966000000000001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200</v>
          </cell>
          <cell r="K793">
            <v>900</v>
          </cell>
          <cell r="L793">
            <v>0.22222222222222221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3166</v>
          </cell>
          <cell r="K794">
            <v>2890</v>
          </cell>
          <cell r="L794">
            <v>1.0955017301038061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3449</v>
          </cell>
          <cell r="K796">
            <v>1000</v>
          </cell>
          <cell r="L796">
            <v>3.4489999999999998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106.19468999999999</v>
          </cell>
          <cell r="K798">
            <v>1</v>
          </cell>
          <cell r="L798">
            <v>106.19468999999999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 t="e">
            <v>#N/A</v>
          </cell>
          <cell r="K799">
            <v>196</v>
          </cell>
          <cell r="L799" t="e">
            <v>#N/A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4745</v>
          </cell>
          <cell r="K800">
            <v>1000</v>
          </cell>
          <cell r="L800">
            <v>4.7450000000000001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1345</v>
          </cell>
          <cell r="K801">
            <v>200</v>
          </cell>
          <cell r="L801">
            <v>6.7249999999999996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 t="e">
            <v>#N/A</v>
          </cell>
          <cell r="K802">
            <v>22680</v>
          </cell>
          <cell r="L802" t="e">
            <v>#N/A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11219.43</v>
          </cell>
          <cell r="K803">
            <v>1000</v>
          </cell>
          <cell r="L803">
            <v>11.219430000000001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9750</v>
          </cell>
          <cell r="K804">
            <v>50</v>
          </cell>
          <cell r="L804">
            <v>195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3456</v>
          </cell>
          <cell r="K805">
            <v>1000</v>
          </cell>
          <cell r="L805">
            <v>3.456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951</v>
          </cell>
          <cell r="K806">
            <v>500</v>
          </cell>
          <cell r="L806">
            <v>1.9019999999999999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1780</v>
          </cell>
          <cell r="K807">
            <v>1000</v>
          </cell>
          <cell r="L807">
            <v>1.78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84.84</v>
          </cell>
          <cell r="K808">
            <v>1</v>
          </cell>
          <cell r="L808">
            <v>84.84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7500</v>
          </cell>
          <cell r="K809">
            <v>4500</v>
          </cell>
          <cell r="L809">
            <v>1.6666666666666667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584.33204999999998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105</v>
          </cell>
          <cell r="K811">
            <v>1</v>
          </cell>
          <cell r="L811">
            <v>105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 t="e">
            <v>#N/A</v>
          </cell>
          <cell r="K812">
            <v>1</v>
          </cell>
          <cell r="L812" t="e">
            <v>#N/A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65</v>
          </cell>
          <cell r="K813">
            <v>1</v>
          </cell>
          <cell r="L813">
            <v>65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584.33204999999998</v>
          </cell>
          <cell r="K814">
            <v>1</v>
          </cell>
          <cell r="L814">
            <v>584.33204999999998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 t="e">
            <v>#N/A</v>
          </cell>
          <cell r="K815">
            <v>2900</v>
          </cell>
          <cell r="L815" t="e">
            <v>#N/A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10045</v>
          </cell>
          <cell r="K816">
            <v>2270</v>
          </cell>
          <cell r="L816">
            <v>4.4251101321585899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3000</v>
          </cell>
          <cell r="K817">
            <v>3000</v>
          </cell>
          <cell r="L817">
            <v>1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25635</v>
          </cell>
          <cell r="K818">
            <v>500</v>
          </cell>
          <cell r="L818">
            <v>51.27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20443</v>
          </cell>
          <cell r="K819">
            <v>500</v>
          </cell>
          <cell r="L819">
            <v>40.886000000000003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2590</v>
          </cell>
          <cell r="K820">
            <v>960</v>
          </cell>
          <cell r="L820">
            <v>2.6979166666666665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 t="e">
            <v>#N/A</v>
          </cell>
          <cell r="K822">
            <v>1</v>
          </cell>
          <cell r="L822" t="e">
            <v>#N/A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>
            <v>500</v>
          </cell>
          <cell r="I823">
            <v>9000</v>
          </cell>
          <cell r="J823">
            <v>9380</v>
          </cell>
          <cell r="K823">
            <v>1000</v>
          </cell>
          <cell r="L823">
            <v>9.3800000000000008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1818.0123806632935</v>
          </cell>
          <cell r="H2">
            <v>1.8180123806632935</v>
          </cell>
          <cell r="I2">
            <v>15.79491665813682</v>
          </cell>
          <cell r="J2">
            <v>1.5794916658136822E-2</v>
          </cell>
          <cell r="K2">
            <v>330.08531351785746</v>
          </cell>
          <cell r="L2">
            <v>0.33008531351785747</v>
          </cell>
          <cell r="M2">
            <v>2163.892610839288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1798.0394133527511</v>
          </cell>
          <cell r="H3">
            <v>1.7980394133527511</v>
          </cell>
          <cell r="I3">
            <v>15.790891179982301</v>
          </cell>
          <cell r="J3">
            <v>1.5790891179982301E-2</v>
          </cell>
          <cell r="K3">
            <v>326.48945481589197</v>
          </cell>
          <cell r="L3">
            <v>0.32648945481589198</v>
          </cell>
          <cell r="M3">
            <v>2140.3197593486252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1771.8052497404976</v>
          </cell>
          <cell r="H4">
            <v>1.7718052497404977</v>
          </cell>
          <cell r="I4">
            <v>16.410705586718251</v>
          </cell>
          <cell r="J4">
            <v>1.6410705586718251E-2</v>
          </cell>
          <cell r="K4">
            <v>321.87887195889886</v>
          </cell>
          <cell r="L4">
            <v>0.32187887195889886</v>
          </cell>
          <cell r="M4">
            <v>2110.0948272861147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1872.8575344999999</v>
          </cell>
          <cell r="H5">
            <v>1.8728575345</v>
          </cell>
          <cell r="I5">
            <v>1.1569600000000003E-2</v>
          </cell>
          <cell r="J5">
            <v>1.1569600000000004E-5</v>
          </cell>
          <cell r="K5">
            <v>337.116438738</v>
          </cell>
          <cell r="L5">
            <v>0.33711643873800001</v>
          </cell>
          <cell r="M5">
            <v>2209.9855428380001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3222.0885765903386</v>
          </cell>
          <cell r="H6">
            <v>3.2220885765903384</v>
          </cell>
          <cell r="I6">
            <v>3.5294067063096075</v>
          </cell>
          <cell r="J6">
            <v>3.5294067063096077E-3</v>
          </cell>
          <cell r="K6">
            <v>580.61123699339669</v>
          </cell>
          <cell r="L6">
            <v>0.58061123699339667</v>
          </cell>
          <cell r="M6">
            <v>3806.2292202900449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2335.1460338156021</v>
          </cell>
          <cell r="H8">
            <v>2.3351460338156023</v>
          </cell>
          <cell r="I8">
            <v>5.7784810095238095</v>
          </cell>
          <cell r="J8">
            <v>5.7784810095238091E-3</v>
          </cell>
          <cell r="K8">
            <v>421.36641266852263</v>
          </cell>
          <cell r="L8">
            <v>0.42136641266852265</v>
          </cell>
          <cell r="M8">
            <v>2762.2909274936483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1356.4251519607844</v>
          </cell>
          <cell r="H9">
            <v>1.3564251519607844</v>
          </cell>
          <cell r="I9">
            <v>7.7820665857826832</v>
          </cell>
          <cell r="J9">
            <v>7.7820665857826835E-3</v>
          </cell>
          <cell r="K9">
            <v>245.55729933838208</v>
          </cell>
          <cell r="L9">
            <v>0.24555729933838208</v>
          </cell>
          <cell r="M9">
            <v>1609.7645178849493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1702.7540827727742</v>
          </cell>
          <cell r="H10">
            <v>1.7027540827727741</v>
          </cell>
          <cell r="I10">
            <v>1.6084444444444446</v>
          </cell>
          <cell r="J10">
            <v>1.6084444444444445E-3</v>
          </cell>
          <cell r="K10">
            <v>306.78525489909936</v>
          </cell>
          <cell r="L10">
            <v>0.30678525489909936</v>
          </cell>
          <cell r="M10">
            <v>2011.147782116318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922.34374677530218</v>
          </cell>
          <cell r="H12">
            <v>0.92234374677530218</v>
          </cell>
          <cell r="I12">
            <v>2.3834222222222223</v>
          </cell>
          <cell r="J12">
            <v>2.3834222222222225E-3</v>
          </cell>
          <cell r="K12">
            <v>166.45089041955438</v>
          </cell>
          <cell r="L12">
            <v>0.16645089041955438</v>
          </cell>
          <cell r="M12">
            <v>1091.1780594170787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1083.4899340044426</v>
          </cell>
          <cell r="H13">
            <v>1.0834899340044426</v>
          </cell>
          <cell r="I13">
            <v>47.512199005170856</v>
          </cell>
          <cell r="J13">
            <v>4.7512199005170855E-2</v>
          </cell>
          <cell r="K13">
            <v>203.58038394173042</v>
          </cell>
          <cell r="L13">
            <v>0.20358038394173042</v>
          </cell>
          <cell r="M13">
            <v>1334.5825169513439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1931.6622306927411</v>
          </cell>
          <cell r="H14">
            <v>1.9316622306927411</v>
          </cell>
          <cell r="I14">
            <v>2.423304975509152</v>
          </cell>
          <cell r="J14">
            <v>2.423304975509152E-3</v>
          </cell>
          <cell r="K14">
            <v>348.13539642028502</v>
          </cell>
          <cell r="L14">
            <v>0.34813539642028501</v>
          </cell>
          <cell r="M14">
            <v>2282.2209320885354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888.04119549048255</v>
          </cell>
          <cell r="H15">
            <v>0.88804119549048255</v>
          </cell>
          <cell r="I15">
            <v>4.737632815671307</v>
          </cell>
          <cell r="J15">
            <v>4.7376328156713068E-3</v>
          </cell>
          <cell r="K15">
            <v>160.70018909510767</v>
          </cell>
          <cell r="L15">
            <v>0.16070018909510767</v>
          </cell>
          <cell r="M15">
            <v>1053.4790174012614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1464.8454459273519</v>
          </cell>
          <cell r="H16">
            <v>1.4648454459273519</v>
          </cell>
          <cell r="I16">
            <v>11.280886143749999</v>
          </cell>
          <cell r="J16">
            <v>1.1280886143749998E-2</v>
          </cell>
          <cell r="K16">
            <v>265.70273977279834</v>
          </cell>
          <cell r="L16">
            <v>0.26570273977279835</v>
          </cell>
          <cell r="M16">
            <v>1741.8290718439002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4813.5739999999996</v>
          </cell>
          <cell r="H17">
            <v>4.813574</v>
          </cell>
          <cell r="I17">
            <v>46.743326679973386</v>
          </cell>
          <cell r="J17">
            <v>4.6743326679973385E-2</v>
          </cell>
          <cell r="K17">
            <v>874.85711880239512</v>
          </cell>
          <cell r="L17">
            <v>0.87485711880239514</v>
          </cell>
          <cell r="M17">
            <v>5735.1744454823684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928.03394466590669</v>
          </cell>
          <cell r="H18">
            <v>0.92803394466590672</v>
          </cell>
          <cell r="I18">
            <v>6.1995861311710803</v>
          </cell>
          <cell r="J18">
            <v>6.1995861311710801E-3</v>
          </cell>
          <cell r="K18">
            <v>168.16203554347399</v>
          </cell>
          <cell r="L18">
            <v>0.168162035543474</v>
          </cell>
          <cell r="M18">
            <v>1102.3955663405518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>
            <v>10.240113134023121</v>
          </cell>
          <cell r="J19">
            <v>1.0240113134023121E-2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1515.4528909200446</v>
          </cell>
          <cell r="H20">
            <v>1.5154528909200446</v>
          </cell>
          <cell r="I20">
            <v>4.9659439496379933</v>
          </cell>
          <cell r="J20">
            <v>4.9659439496379937E-3</v>
          </cell>
          <cell r="K20">
            <v>273.67539027654283</v>
          </cell>
          <cell r="L20">
            <v>0.27367539027654281</v>
          </cell>
          <cell r="M20">
            <v>1794.0942251462254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953.27716952722369</v>
          </cell>
          <cell r="H21">
            <v>0.95327716952722374</v>
          </cell>
          <cell r="I21">
            <v>19.048651775144222</v>
          </cell>
          <cell r="J21">
            <v>1.9048651775144223E-2</v>
          </cell>
          <cell r="K21">
            <v>175.01864783442622</v>
          </cell>
          <cell r="L21">
            <v>0.17501864783442622</v>
          </cell>
          <cell r="M21">
            <v>1147.344469136794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4033.0710647769165</v>
          </cell>
          <cell r="H22">
            <v>4.0330710647769168</v>
          </cell>
          <cell r="I22">
            <v>60.435061128304206</v>
          </cell>
          <cell r="J22">
            <v>6.0435061128304206E-2</v>
          </cell>
          <cell r="K22">
            <v>736.83110266293977</v>
          </cell>
          <cell r="L22">
            <v>0.73683110266293972</v>
          </cell>
          <cell r="M22">
            <v>4830.3372285681608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1890.6782982299114</v>
          </cell>
          <cell r="H23">
            <v>1.8906782982299115</v>
          </cell>
          <cell r="I23">
            <v>0</v>
          </cell>
          <cell r="J23">
            <v>0</v>
          </cell>
          <cell r="K23">
            <v>340.32209368138405</v>
          </cell>
          <cell r="L23">
            <v>0.34032209368138405</v>
          </cell>
          <cell r="M23">
            <v>2231.0003919112955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1571.266522765166</v>
          </cell>
          <cell r="H24">
            <v>1.5712665227651659</v>
          </cell>
          <cell r="I24">
            <v>6.6112000000000011E-3</v>
          </cell>
          <cell r="J24">
            <v>6.6112000000000012E-6</v>
          </cell>
          <cell r="K24">
            <v>282.82916411372986</v>
          </cell>
          <cell r="L24">
            <v>0.28282916411372988</v>
          </cell>
          <cell r="M24">
            <v>1854.1022980788957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2055.2562225239599</v>
          </cell>
          <cell r="H25">
            <v>2.0552562225239597</v>
          </cell>
          <cell r="I25">
            <v>3.907117153273056</v>
          </cell>
          <cell r="J25">
            <v>3.9071171532730556E-3</v>
          </cell>
          <cell r="K25">
            <v>370.64940114190193</v>
          </cell>
          <cell r="L25">
            <v>0.37064940114190192</v>
          </cell>
          <cell r="M25">
            <v>2429.8127408191349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2434.3544867520291</v>
          </cell>
          <cell r="H27">
            <v>2.4343544867520293</v>
          </cell>
          <cell r="I27">
            <v>12.949726558811987</v>
          </cell>
          <cell r="J27">
            <v>1.2949726558811986E-2</v>
          </cell>
          <cell r="K27">
            <v>440.51475839595139</v>
          </cell>
          <cell r="L27">
            <v>0.44051475839595139</v>
          </cell>
          <cell r="M27">
            <v>2887.8189717067926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2065.194009797061</v>
          </cell>
          <cell r="H28">
            <v>2.0651940097970609</v>
          </cell>
          <cell r="I28">
            <v>2.3875190384061249E-2</v>
          </cell>
          <cell r="J28">
            <v>2.3875190384061249E-5</v>
          </cell>
          <cell r="K28">
            <v>371.73921929774008</v>
          </cell>
          <cell r="L28">
            <v>0.37173921929774006</v>
          </cell>
          <cell r="M28">
            <v>2436.9571042851849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5843.6903084848482</v>
          </cell>
          <cell r="H29">
            <v>5.8436903084848479</v>
          </cell>
          <cell r="I29">
            <v>35.199318181818178</v>
          </cell>
          <cell r="J29">
            <v>3.5199318181818179E-2</v>
          </cell>
          <cell r="K29">
            <v>1058.2001327999999</v>
          </cell>
          <cell r="L29">
            <v>1.0582001327999999</v>
          </cell>
          <cell r="M29">
            <v>6937.0897594666658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4233.2467172995775</v>
          </cell>
          <cell r="H30">
            <v>4.2332467172995774</v>
          </cell>
          <cell r="I30">
            <v>22.629746835443036</v>
          </cell>
          <cell r="J30">
            <v>2.2629746835443037E-2</v>
          </cell>
          <cell r="K30">
            <v>766.05776354430373</v>
          </cell>
          <cell r="L30">
            <v>0.76605776354430377</v>
          </cell>
          <cell r="M30">
            <v>5021.934227679325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20.764286880408868</v>
          </cell>
          <cell r="J31">
            <v>2.0764286880408867E-2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1498.3169107111612</v>
          </cell>
          <cell r="H33">
            <v>1.4983169107111611</v>
          </cell>
          <cell r="I33">
            <v>9.6181610158730155</v>
          </cell>
          <cell r="J33">
            <v>9.6181610158730148E-3</v>
          </cell>
          <cell r="K33">
            <v>271.42831291086617</v>
          </cell>
          <cell r="L33">
            <v>0.27142831291086617</v>
          </cell>
          <cell r="M33">
            <v>1779.3633846379005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1346.2121915399857</v>
          </cell>
          <cell r="H34">
            <v>1.3462121915399856</v>
          </cell>
          <cell r="I34">
            <v>1.6618652673796792</v>
          </cell>
          <cell r="J34">
            <v>1.6618652673796792E-3</v>
          </cell>
          <cell r="K34">
            <v>242.61733022532576</v>
          </cell>
          <cell r="L34">
            <v>0.24261733022532575</v>
          </cell>
          <cell r="M34">
            <v>1590.4913870326911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2325.0200443920121</v>
          </cell>
          <cell r="H36">
            <v>2.3250200443920122</v>
          </cell>
          <cell r="I36">
            <v>6.2294815804037631</v>
          </cell>
          <cell r="J36">
            <v>6.2294815804037635E-3</v>
          </cell>
          <cell r="K36">
            <v>419.62491467503486</v>
          </cell>
          <cell r="L36">
            <v>0.41962491467503488</v>
          </cell>
          <cell r="M36">
            <v>2750.8744406474507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517.76758357843141</v>
          </cell>
          <cell r="H37">
            <v>0.51776758357843145</v>
          </cell>
          <cell r="I37">
            <v>0.1961452571428571</v>
          </cell>
          <cell r="J37">
            <v>1.9614525714285711E-4</v>
          </cell>
          <cell r="K37">
            <v>93.23347119040335</v>
          </cell>
          <cell r="L37">
            <v>9.3233471190403344E-2</v>
          </cell>
          <cell r="M37">
            <v>611.19720002597751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4233.2467172995775</v>
          </cell>
          <cell r="H39">
            <v>4.2332467172995774</v>
          </cell>
          <cell r="I39">
            <v>28.047430168776373</v>
          </cell>
          <cell r="J39">
            <v>2.8047430168776373E-2</v>
          </cell>
          <cell r="K39">
            <v>767.03294654430363</v>
          </cell>
          <cell r="L39">
            <v>0.76703294654430365</v>
          </cell>
          <cell r="M39">
            <v>5028.3270940126577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3411.5531776470589</v>
          </cell>
          <cell r="H42">
            <v>3.4115531776470589</v>
          </cell>
          <cell r="I42">
            <v>4.1110605714285722</v>
          </cell>
          <cell r="J42">
            <v>4.1110605714285726E-3</v>
          </cell>
          <cell r="K42">
            <v>614.81956287932769</v>
          </cell>
          <cell r="L42">
            <v>0.61481956287932771</v>
          </cell>
          <cell r="M42">
            <v>4030.4838010978151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2292.2463655804545</v>
          </cell>
          <cell r="H43">
            <v>2.2922463655804544</v>
          </cell>
          <cell r="I43">
            <v>3.9657414857142856</v>
          </cell>
          <cell r="J43">
            <v>3.9657414857142857E-3</v>
          </cell>
          <cell r="K43">
            <v>413.31817927191037</v>
          </cell>
          <cell r="L43">
            <v>0.41331817927191039</v>
          </cell>
          <cell r="M43">
            <v>2709.5302863380793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241.72842229637862</v>
          </cell>
          <cell r="H44">
            <v>241.72842229637862</v>
          </cell>
          <cell r="I44">
            <v>1.100563479701357</v>
          </cell>
          <cell r="J44">
            <v>1.100563479701357</v>
          </cell>
          <cell r="K44">
            <v>43.709217439694392</v>
          </cell>
          <cell r="L44">
            <v>43.709217439694392</v>
          </cell>
          <cell r="M44">
            <v>286.53820321577439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1753.7223177108542</v>
          </cell>
          <cell r="H47">
            <v>1.7537223177108543</v>
          </cell>
          <cell r="I47">
            <v>4.6191547428571429</v>
          </cell>
          <cell r="J47">
            <v>4.6191547428571433E-3</v>
          </cell>
          <cell r="K47">
            <v>316.50146504166804</v>
          </cell>
          <cell r="L47">
            <v>0.31650146504166804</v>
          </cell>
          <cell r="M47">
            <v>2074.8429374953794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3595.8861601103431</v>
          </cell>
          <cell r="H48">
            <v>3.5958861601103429</v>
          </cell>
          <cell r="I48">
            <v>40.344450825832752</v>
          </cell>
          <cell r="J48">
            <v>4.0344450825832753E-2</v>
          </cell>
          <cell r="K48">
            <v>654.52150996851162</v>
          </cell>
          <cell r="L48">
            <v>0.65452150996851166</v>
          </cell>
          <cell r="M48">
            <v>4290.7521209046872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>
            <v>50.087619047619043</v>
          </cell>
          <cell r="J50">
            <v>5.0087619047619041E-2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1874.0800532361632</v>
          </cell>
          <cell r="H51">
            <v>1.8740800532361632</v>
          </cell>
          <cell r="I51">
            <v>6.1796581196581197</v>
          </cell>
          <cell r="J51">
            <v>6.1796581196581195E-3</v>
          </cell>
          <cell r="K51">
            <v>338.44674804404781</v>
          </cell>
          <cell r="L51">
            <v>0.33844674804404778</v>
          </cell>
          <cell r="M51">
            <v>2218.7064593998693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1769</v>
          </cell>
          <cell r="H52">
            <v>1.7689999999999999</v>
          </cell>
          <cell r="I52">
            <v>8.9970285714285705</v>
          </cell>
          <cell r="J52">
            <v>8.9970285714285701E-3</v>
          </cell>
          <cell r="K52">
            <v>320.03946514285713</v>
          </cell>
          <cell r="L52">
            <v>0.32003946514285714</v>
          </cell>
          <cell r="M52">
            <v>2098.0364937142858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534.24986644240005</v>
          </cell>
          <cell r="H55">
            <v>0.53424986644240002</v>
          </cell>
          <cell r="I55">
            <v>8.9970285714285705</v>
          </cell>
          <cell r="J55">
            <v>8.9970285714285701E-3</v>
          </cell>
          <cell r="K55">
            <v>97.784441102489154</v>
          </cell>
          <cell r="L55">
            <v>9.7784441102489156E-2</v>
          </cell>
          <cell r="M55">
            <v>641.03133611631779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1647.7999479030996</v>
          </cell>
          <cell r="H57">
            <v>1647.7999479030996</v>
          </cell>
          <cell r="I57">
            <v>13.296556138613681</v>
          </cell>
          <cell r="J57">
            <v>13.296556138613681</v>
          </cell>
          <cell r="K57">
            <v>298.99737072750838</v>
          </cell>
          <cell r="L57">
            <v>298.99737072750838</v>
          </cell>
          <cell r="M57">
            <v>1960.0938747692217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392.6876792443307</v>
          </cell>
          <cell r="H58">
            <v>392.6876792443307</v>
          </cell>
          <cell r="I58">
            <v>1.9735195109788357</v>
          </cell>
          <cell r="J58">
            <v>1.9735195109788357</v>
          </cell>
          <cell r="K58">
            <v>71.039015775955718</v>
          </cell>
          <cell r="L58">
            <v>71.039015775955718</v>
          </cell>
          <cell r="M58">
            <v>465.70021453126526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1048.3369812829751</v>
          </cell>
          <cell r="H59">
            <v>1.048336981282975</v>
          </cell>
          <cell r="I59">
            <v>1.2805203428571428</v>
          </cell>
          <cell r="J59">
            <v>1.2805203428571427E-3</v>
          </cell>
          <cell r="K59">
            <v>188.93115029264982</v>
          </cell>
          <cell r="L59">
            <v>0.18893115029264981</v>
          </cell>
          <cell r="M59">
            <v>1238.5486519184822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1818.0123806632935</v>
          </cell>
          <cell r="H62">
            <v>1.8180123806632935</v>
          </cell>
          <cell r="I62">
            <v>7.0630436422638061</v>
          </cell>
          <cell r="J62">
            <v>7.0630436422638061E-3</v>
          </cell>
          <cell r="K62">
            <v>328.5135763750003</v>
          </cell>
          <cell r="L62">
            <v>0.32851357637500028</v>
          </cell>
          <cell r="M62">
            <v>2153.5890006805575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1798.0394133527511</v>
          </cell>
          <cell r="H63">
            <v>1.7980394133527511</v>
          </cell>
          <cell r="I63">
            <v>7.0590181641092862</v>
          </cell>
          <cell r="J63">
            <v>7.0590181641092863E-3</v>
          </cell>
          <cell r="K63">
            <v>324.91771767303487</v>
          </cell>
          <cell r="L63">
            <v>0.32491771767303484</v>
          </cell>
          <cell r="M63">
            <v>2130.0161491898953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1771.8052497404976</v>
          </cell>
          <cell r="H64">
            <v>1.7718052497404977</v>
          </cell>
          <cell r="I64">
            <v>8.8095944756071418</v>
          </cell>
          <cell r="J64">
            <v>8.8095944756071427E-3</v>
          </cell>
          <cell r="K64">
            <v>320.51067195889885</v>
          </cell>
          <cell r="L64">
            <v>0.32051067195889887</v>
          </cell>
          <cell r="M64">
            <v>2101.1255161750037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1254.8759035576925</v>
          </cell>
          <cell r="H65">
            <v>1.2548759035576924</v>
          </cell>
          <cell r="I65">
            <v>0</v>
          </cell>
          <cell r="J65">
            <v>0</v>
          </cell>
          <cell r="K65">
            <v>225.87766264038464</v>
          </cell>
          <cell r="L65">
            <v>0.22587766264038464</v>
          </cell>
          <cell r="M65">
            <v>1480.7535661980771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1254.8759035576925</v>
          </cell>
          <cell r="H66">
            <v>1.2548759035576924</v>
          </cell>
          <cell r="I66">
            <v>3.8005555555555555</v>
          </cell>
          <cell r="J66">
            <v>3.8005555555555553E-3</v>
          </cell>
          <cell r="K66">
            <v>226.56176264038464</v>
          </cell>
          <cell r="L66">
            <v>0.22656176264038463</v>
          </cell>
          <cell r="M66">
            <v>1485.2382217536326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1387.5555689999999</v>
          </cell>
          <cell r="H67">
            <v>1.3875555689999999</v>
          </cell>
          <cell r="I67">
            <v>4.9466068571428572</v>
          </cell>
          <cell r="J67">
            <v>4.9466068571428568E-3</v>
          </cell>
          <cell r="K67">
            <v>250.65039165428567</v>
          </cell>
          <cell r="L67">
            <v>0.25065039165428565</v>
          </cell>
          <cell r="M67">
            <v>1643.1525675114283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528.54122957716288</v>
          </cell>
          <cell r="H68">
            <v>0.52854122957716287</v>
          </cell>
          <cell r="I68">
            <v>1.2242962962962964E-2</v>
          </cell>
          <cell r="J68">
            <v>1.2242962962962964E-5</v>
          </cell>
          <cell r="K68">
            <v>95.139625057222659</v>
          </cell>
          <cell r="L68">
            <v>9.5139625057222663E-2</v>
          </cell>
          <cell r="M68">
            <v>623.69309759734858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4303.8008292545701</v>
          </cell>
          <cell r="H69">
            <v>4.3038008292545697</v>
          </cell>
          <cell r="I69">
            <v>103.28024261603375</v>
          </cell>
          <cell r="J69">
            <v>0.10328024261603375</v>
          </cell>
          <cell r="K69">
            <v>793.27459293670859</v>
          </cell>
          <cell r="L69">
            <v>0.79327459293670854</v>
          </cell>
          <cell r="M69">
            <v>5200.3556648073118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1965.6428441382477</v>
          </cell>
          <cell r="H70">
            <v>1.9656428441382476</v>
          </cell>
          <cell r="I70">
            <v>27.524308955932465</v>
          </cell>
          <cell r="J70">
            <v>2.7524308955932466E-2</v>
          </cell>
          <cell r="K70">
            <v>358.77008755695238</v>
          </cell>
          <cell r="L70">
            <v>0.35877008755695239</v>
          </cell>
          <cell r="M70">
            <v>2351.9372406511325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4092.9868664081951</v>
          </cell>
          <cell r="H72">
            <v>4.0929868664081948</v>
          </cell>
          <cell r="I72">
            <v>2.3106144000000006E-2</v>
          </cell>
          <cell r="J72">
            <v>2.3106144000000006E-5</v>
          </cell>
          <cell r="K72">
            <v>736.74179505939503</v>
          </cell>
          <cell r="L72">
            <v>0.73674179505939508</v>
          </cell>
          <cell r="M72">
            <v>4829.7517676115904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1797.3747031380506</v>
          </cell>
          <cell r="H73">
            <v>1.7973747031380505</v>
          </cell>
          <cell r="I73">
            <v>0.14222107509119691</v>
          </cell>
          <cell r="J73">
            <v>1.4222107509119692E-4</v>
          </cell>
          <cell r="K73">
            <v>323.55304635836552</v>
          </cell>
          <cell r="L73">
            <v>0.32355304635836551</v>
          </cell>
          <cell r="M73">
            <v>2121.0699705715074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1393.4300758224288</v>
          </cell>
          <cell r="H74">
            <v>1.3934300758224287</v>
          </cell>
          <cell r="I74">
            <v>6.6990066990066988E-2</v>
          </cell>
          <cell r="J74">
            <v>6.6990066990066984E-5</v>
          </cell>
          <cell r="K74">
            <v>250.82947186009537</v>
          </cell>
          <cell r="L74">
            <v>0.25082947186009535</v>
          </cell>
          <cell r="M74">
            <v>1644.326537749514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1357.2224390288413</v>
          </cell>
          <cell r="H75">
            <v>1.3572224390288414</v>
          </cell>
          <cell r="I75">
            <v>0.70361953839320435</v>
          </cell>
          <cell r="J75">
            <v>7.0361953839320431E-4</v>
          </cell>
          <cell r="K75">
            <v>244.42669054210222</v>
          </cell>
          <cell r="L75">
            <v>0.24442669054210223</v>
          </cell>
          <cell r="M75">
            <v>1602.3527491093369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1560.2916159296431</v>
          </cell>
          <cell r="H77">
            <v>1.5602916159296432</v>
          </cell>
          <cell r="I77">
            <v>7.9157755555555542E-2</v>
          </cell>
          <cell r="J77">
            <v>7.915775555555554E-5</v>
          </cell>
          <cell r="K77">
            <v>280.86673926333572</v>
          </cell>
          <cell r="L77">
            <v>0.28086673926333572</v>
          </cell>
          <cell r="M77">
            <v>1841.2375129485345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1342.6758820284781</v>
          </cell>
          <cell r="H78">
            <v>1.3426758820284781</v>
          </cell>
          <cell r="I78">
            <v>14.875920634920634</v>
          </cell>
          <cell r="J78">
            <v>1.4875920634920634E-2</v>
          </cell>
          <cell r="K78">
            <v>244.35932447941178</v>
          </cell>
          <cell r="L78">
            <v>0.24435932447941178</v>
          </cell>
          <cell r="M78">
            <v>1601.9111271428105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1173.9064101127401</v>
          </cell>
          <cell r="H80">
            <v>1.1739064101127401</v>
          </cell>
          <cell r="I80">
            <v>4.90484864255356</v>
          </cell>
          <cell r="J80">
            <v>4.9048486425535597E-3</v>
          </cell>
          <cell r="K80">
            <v>212.18602657595287</v>
          </cell>
          <cell r="L80">
            <v>0.21218602657595287</v>
          </cell>
          <cell r="M80">
            <v>1390.9972853312465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1768.5061734550447</v>
          </cell>
          <cell r="H81">
            <v>1.7685061734550447</v>
          </cell>
          <cell r="I81">
            <v>0</v>
          </cell>
          <cell r="J81">
            <v>0</v>
          </cell>
          <cell r="K81">
            <v>318.33111122190803</v>
          </cell>
          <cell r="L81">
            <v>0.31833111122190805</v>
          </cell>
          <cell r="M81">
            <v>2086.8372846769525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1970.4314960254374</v>
          </cell>
          <cell r="H82">
            <v>1.9704314960254374</v>
          </cell>
          <cell r="I82">
            <v>1.3173173173173174</v>
          </cell>
          <cell r="J82">
            <v>1.3173173173173173E-3</v>
          </cell>
          <cell r="K82">
            <v>354.91478640169584</v>
          </cell>
          <cell r="L82">
            <v>0.35491478640169583</v>
          </cell>
          <cell r="M82">
            <v>2326.6635997444505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1154.8741386648321</v>
          </cell>
          <cell r="H83">
            <v>1.154874138664832</v>
          </cell>
          <cell r="I83">
            <v>15.918022500000001</v>
          </cell>
          <cell r="J83">
            <v>1.59180225E-2</v>
          </cell>
          <cell r="K83">
            <v>210.74258900966979</v>
          </cell>
          <cell r="L83">
            <v>0.21074258900966977</v>
          </cell>
          <cell r="M83">
            <v>1381.5347501745018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1356.4316497777779</v>
          </cell>
          <cell r="H84">
            <v>1.356431649777778</v>
          </cell>
          <cell r="I84">
            <v>1.2540147753086419</v>
          </cell>
          <cell r="J84">
            <v>1.2540147753086418E-3</v>
          </cell>
          <cell r="K84">
            <v>244.38341961955558</v>
          </cell>
          <cell r="L84">
            <v>0.24438341961955559</v>
          </cell>
          <cell r="M84">
            <v>1602.0690841726421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2250.477249407787</v>
          </cell>
          <cell r="H85">
            <v>2.2504772494077869</v>
          </cell>
          <cell r="I85">
            <v>2.3980769230769225E-3</v>
          </cell>
          <cell r="J85">
            <v>2.3980769230769227E-6</v>
          </cell>
          <cell r="K85">
            <v>405.08633654724775</v>
          </cell>
          <cell r="L85">
            <v>0.40508633654724774</v>
          </cell>
          <cell r="M85">
            <v>2655.5659840319577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359.31349302837674</v>
          </cell>
          <cell r="H86">
            <v>359.31349302837674</v>
          </cell>
          <cell r="I86">
            <v>115.55883039094844</v>
          </cell>
          <cell r="J86">
            <v>115.55883039094844</v>
          </cell>
          <cell r="K86">
            <v>85.477018215478537</v>
          </cell>
          <cell r="L86">
            <v>85.477018215478537</v>
          </cell>
          <cell r="M86">
            <v>560.34934163480375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1235.6039507876355</v>
          </cell>
          <cell r="H87">
            <v>1.2356039507876355</v>
          </cell>
          <cell r="I87">
            <v>1.6817964912280698</v>
          </cell>
          <cell r="J87">
            <v>1.6817964912280699E-3</v>
          </cell>
          <cell r="K87">
            <v>222.71143451019546</v>
          </cell>
          <cell r="L87">
            <v>0.22271143451019546</v>
          </cell>
          <cell r="M87">
            <v>1459.9971817890591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1454.6761080432802</v>
          </cell>
          <cell r="H88">
            <v>1.4546761080432802</v>
          </cell>
          <cell r="I88">
            <v>9.8563140613620988</v>
          </cell>
          <cell r="J88">
            <v>9.8563140613620991E-3</v>
          </cell>
          <cell r="K88">
            <v>263.61583597883561</v>
          </cell>
          <cell r="L88">
            <v>0.26361583597883559</v>
          </cell>
          <cell r="M88">
            <v>1728.1482580834779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1756.6847333333333</v>
          </cell>
          <cell r="H89">
            <v>1.7566847333333333</v>
          </cell>
          <cell r="I89">
            <v>2.7258249999999999</v>
          </cell>
          <cell r="J89">
            <v>2.7258249999999999E-3</v>
          </cell>
          <cell r="K89">
            <v>316.69390049999998</v>
          </cell>
          <cell r="L89">
            <v>0.31669390049999996</v>
          </cell>
          <cell r="M89">
            <v>2076.1044588333334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1717.7359772121213</v>
          </cell>
          <cell r="H90">
            <v>1.7177359772121212</v>
          </cell>
          <cell r="I90">
            <v>0</v>
          </cell>
          <cell r="J90">
            <v>0</v>
          </cell>
          <cell r="K90">
            <v>309.19247589818184</v>
          </cell>
          <cell r="L90">
            <v>0.30919247589818183</v>
          </cell>
          <cell r="M90">
            <v>2026.9284531103031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1350.5334261803414</v>
          </cell>
          <cell r="H93">
            <v>1.3505334261803414</v>
          </cell>
          <cell r="I93">
            <v>0.61954538412698423</v>
          </cell>
          <cell r="J93">
            <v>6.1954538412698423E-4</v>
          </cell>
          <cell r="K93">
            <v>243.20753488160429</v>
          </cell>
          <cell r="L93">
            <v>0.24320753488160429</v>
          </cell>
          <cell r="M93">
            <v>1594.3605064460726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2463.228422897791</v>
          </cell>
          <cell r="H94">
            <v>2463.228422897791</v>
          </cell>
          <cell r="I94">
            <v>19.446950906064689</v>
          </cell>
          <cell r="J94">
            <v>19.446950906064689</v>
          </cell>
          <cell r="K94">
            <v>446.88156728469397</v>
          </cell>
          <cell r="L94">
            <v>446.88156728469397</v>
          </cell>
          <cell r="M94">
            <v>2929.5569410885496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2026.8902539808341</v>
          </cell>
          <cell r="H95">
            <v>2.026890253980834</v>
          </cell>
          <cell r="I95">
            <v>7.4358974358974348E-3</v>
          </cell>
          <cell r="J95">
            <v>7.4358974358974352E-6</v>
          </cell>
          <cell r="K95">
            <v>364.84158417808862</v>
          </cell>
          <cell r="L95">
            <v>0.36484158417808865</v>
          </cell>
          <cell r="M95">
            <v>2391.7392740563587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7669.2265458566917</v>
          </cell>
          <cell r="H97">
            <v>7669.2265458566917</v>
          </cell>
          <cell r="I97">
            <v>32</v>
          </cell>
          <cell r="J97">
            <v>32</v>
          </cell>
          <cell r="K97">
            <v>1386.2207782542046</v>
          </cell>
          <cell r="L97">
            <v>1386.2207782542046</v>
          </cell>
          <cell r="M97">
            <v>9087.4473241108972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1883.3133296639778</v>
          </cell>
          <cell r="H98">
            <v>1883.3133296639778</v>
          </cell>
          <cell r="I98">
            <v>85.265090344074082</v>
          </cell>
          <cell r="J98">
            <v>85.265090344074082</v>
          </cell>
          <cell r="K98">
            <v>354.34411560144929</v>
          </cell>
          <cell r="L98">
            <v>354.34411560144929</v>
          </cell>
          <cell r="M98">
            <v>2322.9225356095012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447.52061154343636</v>
          </cell>
          <cell r="H99">
            <v>447.52061154343636</v>
          </cell>
          <cell r="I99">
            <v>0.19413112781799996</v>
          </cell>
          <cell r="J99">
            <v>0.19413112781799996</v>
          </cell>
          <cell r="K99">
            <v>80.588653680825786</v>
          </cell>
          <cell r="L99">
            <v>80.588653680825786</v>
          </cell>
          <cell r="M99">
            <v>528.3033963520802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2751.435058174603</v>
          </cell>
          <cell r="H100">
            <v>2751.435058174603</v>
          </cell>
          <cell r="I100">
            <v>57.402952380952378</v>
          </cell>
          <cell r="J100">
            <v>57.402952380952378</v>
          </cell>
          <cell r="K100">
            <v>505.59084189999993</v>
          </cell>
          <cell r="L100">
            <v>505.59084189999993</v>
          </cell>
          <cell r="M100">
            <v>3314.428852455555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534.5852757509906</v>
          </cell>
          <cell r="H101">
            <v>534.5852757509906</v>
          </cell>
          <cell r="I101">
            <v>278.29596891560846</v>
          </cell>
          <cell r="J101">
            <v>278.29596891560846</v>
          </cell>
          <cell r="K101">
            <v>146.31862403998784</v>
          </cell>
          <cell r="L101">
            <v>146.31862403998784</v>
          </cell>
          <cell r="M101">
            <v>959.19986870658693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927.44011359357967</v>
          </cell>
          <cell r="H102">
            <v>927.44011359357967</v>
          </cell>
          <cell r="I102">
            <v>9.5705723548677248</v>
          </cell>
          <cell r="J102">
            <v>9.5705723548677248</v>
          </cell>
          <cell r="K102">
            <v>168.66192347072052</v>
          </cell>
          <cell r="L102">
            <v>168.66192347072052</v>
          </cell>
          <cell r="M102">
            <v>1105.6726094191679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282.22730011344828</v>
          </cell>
          <cell r="H103">
            <v>282.22730011344828</v>
          </cell>
          <cell r="I103">
            <v>8.5211893146214877</v>
          </cell>
          <cell r="J103">
            <v>8.5211893146214877</v>
          </cell>
          <cell r="K103">
            <v>52.334728097052555</v>
          </cell>
          <cell r="L103">
            <v>52.334728097052555</v>
          </cell>
          <cell r="M103">
            <v>343.08321752512234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114.10892546558429</v>
          </cell>
          <cell r="H104">
            <v>114.10892546558429</v>
          </cell>
          <cell r="I104">
            <v>1.2809221830766282</v>
          </cell>
          <cell r="J104">
            <v>1.2809221830766282</v>
          </cell>
          <cell r="K104">
            <v>20.770172576758963</v>
          </cell>
          <cell r="L104">
            <v>20.770172576758963</v>
          </cell>
          <cell r="M104">
            <v>136.16002022541988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617.86546607438152</v>
          </cell>
          <cell r="H105">
            <v>617.86546607438152</v>
          </cell>
          <cell r="I105">
            <v>4.3289329062812802</v>
          </cell>
          <cell r="J105">
            <v>4.3289329062812802</v>
          </cell>
          <cell r="K105">
            <v>111.99499181651929</v>
          </cell>
          <cell r="L105">
            <v>111.99499181651929</v>
          </cell>
          <cell r="M105">
            <v>734.189390797182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408.95491535345229</v>
          </cell>
          <cell r="H106">
            <v>408.95491535345229</v>
          </cell>
          <cell r="I106">
            <v>3.4683963990294879</v>
          </cell>
          <cell r="J106">
            <v>3.4683963990294879</v>
          </cell>
          <cell r="K106">
            <v>74.236196115446717</v>
          </cell>
          <cell r="L106">
            <v>74.236196115446717</v>
          </cell>
          <cell r="M106">
            <v>486.65950786792848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236.72887259359689</v>
          </cell>
          <cell r="H107">
            <v>236.72887259359689</v>
          </cell>
          <cell r="I107">
            <v>2.5596327979390678</v>
          </cell>
          <cell r="J107">
            <v>2.5596327979390678</v>
          </cell>
          <cell r="K107">
            <v>43.071930970476473</v>
          </cell>
          <cell r="L107">
            <v>43.071930970476473</v>
          </cell>
          <cell r="M107">
            <v>282.36043636201242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2348.6308245745113</v>
          </cell>
          <cell r="H108">
            <v>2348.6308245745113</v>
          </cell>
          <cell r="I108">
            <v>23.538499588918192</v>
          </cell>
          <cell r="J108">
            <v>23.538499588918192</v>
          </cell>
          <cell r="K108">
            <v>426.99047834941729</v>
          </cell>
          <cell r="L108">
            <v>426.99047834941729</v>
          </cell>
          <cell r="M108">
            <v>2799.1598025128465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2148.7648008705337</v>
          </cell>
          <cell r="H109">
            <v>2148.7648008705337</v>
          </cell>
          <cell r="I109">
            <v>11.901056523303392</v>
          </cell>
          <cell r="J109">
            <v>11.901056523303392</v>
          </cell>
          <cell r="K109">
            <v>388.91985433089064</v>
          </cell>
          <cell r="L109">
            <v>388.91985433089064</v>
          </cell>
          <cell r="M109">
            <v>2549.5857117247278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478.72648637471656</v>
          </cell>
          <cell r="H110">
            <v>478.72648637471656</v>
          </cell>
          <cell r="I110">
            <v>4.3638499766937384</v>
          </cell>
          <cell r="J110">
            <v>4.3638499766937384</v>
          </cell>
          <cell r="K110">
            <v>86.956260543253848</v>
          </cell>
          <cell r="L110">
            <v>86.956260543253848</v>
          </cell>
          <cell r="M110">
            <v>570.04659689466416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534.29165239005431</v>
          </cell>
          <cell r="H111">
            <v>534.29165239005431</v>
          </cell>
          <cell r="I111">
            <v>4.3332536691880419</v>
          </cell>
          <cell r="J111">
            <v>4.3332536691880419</v>
          </cell>
          <cell r="K111">
            <v>96.95248309066362</v>
          </cell>
          <cell r="L111">
            <v>96.95248309066362</v>
          </cell>
          <cell r="M111">
            <v>635.57738914990591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776.7444254285972</v>
          </cell>
          <cell r="H113">
            <v>776.7444254285972</v>
          </cell>
          <cell r="I113">
            <v>23.627086579715595</v>
          </cell>
          <cell r="J113">
            <v>23.627086579715595</v>
          </cell>
          <cell r="K113">
            <v>144.06687216149629</v>
          </cell>
          <cell r="L113">
            <v>144.06687216149629</v>
          </cell>
          <cell r="M113">
            <v>944.43838416980907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1041.9136647599446</v>
          </cell>
          <cell r="H114">
            <v>1.0419136647599445</v>
          </cell>
          <cell r="I114">
            <v>4.422821298658862</v>
          </cell>
          <cell r="J114">
            <v>4.4228212986588619E-3</v>
          </cell>
          <cell r="K114">
            <v>188.34056749054861</v>
          </cell>
          <cell r="L114">
            <v>0.18834056749054862</v>
          </cell>
          <cell r="M114">
            <v>1234.6770535491521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202.33740230580051</v>
          </cell>
          <cell r="H115">
            <v>202.33740230580051</v>
          </cell>
          <cell r="I115">
            <v>3.1540561343384139</v>
          </cell>
          <cell r="J115">
            <v>3.1540561343384139</v>
          </cell>
          <cell r="K115">
            <v>36.988462519225003</v>
          </cell>
          <cell r="L115">
            <v>36.988462519225003</v>
          </cell>
          <cell r="M115">
            <v>242.47992095936394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10.251814386359658</v>
          </cell>
          <cell r="H116">
            <v>10.251814386359658</v>
          </cell>
          <cell r="I116">
            <v>4.2438023413321938E-2</v>
          </cell>
          <cell r="J116">
            <v>4.2438023413321938E-2</v>
          </cell>
          <cell r="K116">
            <v>1.8529654337591364</v>
          </cell>
          <cell r="L116">
            <v>1.8529654337591364</v>
          </cell>
          <cell r="M116">
            <v>12.147217843532117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132.71996419580674</v>
          </cell>
          <cell r="H117">
            <v>132.71996419580674</v>
          </cell>
          <cell r="I117">
            <v>1.1863848587142076</v>
          </cell>
          <cell r="J117">
            <v>1.1863848587142076</v>
          </cell>
          <cell r="K117">
            <v>24.10314282981377</v>
          </cell>
          <cell r="L117">
            <v>24.10314282981377</v>
          </cell>
          <cell r="M117">
            <v>158.00949188433472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90.406011398756249</v>
          </cell>
          <cell r="H118">
            <v>90.406011398756249</v>
          </cell>
          <cell r="I118">
            <v>1.1391528602609324</v>
          </cell>
          <cell r="J118">
            <v>1.1391528602609324</v>
          </cell>
          <cell r="K118">
            <v>16.478129566623092</v>
          </cell>
          <cell r="L118">
            <v>16.478129566623092</v>
          </cell>
          <cell r="M118">
            <v>108.02329382564028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860.91949326822566</v>
          </cell>
          <cell r="H119">
            <v>860.91949326822566</v>
          </cell>
          <cell r="I119">
            <v>11.933550554847777</v>
          </cell>
          <cell r="J119">
            <v>11.933550554847777</v>
          </cell>
          <cell r="K119">
            <v>157.11354788815322</v>
          </cell>
          <cell r="L119">
            <v>157.11354788815322</v>
          </cell>
          <cell r="M119">
            <v>1029.9665917112266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547.52353652193062</v>
          </cell>
          <cell r="H120">
            <v>547.52353652193062</v>
          </cell>
          <cell r="I120">
            <v>1.2942970874299997</v>
          </cell>
          <cell r="J120">
            <v>1.2942970874299997</v>
          </cell>
          <cell r="K120">
            <v>98.787210049684901</v>
          </cell>
          <cell r="L120">
            <v>98.787210049684901</v>
          </cell>
          <cell r="M120">
            <v>647.60504365904546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57.837719219887866</v>
          </cell>
          <cell r="H122">
            <v>57.837719219887866</v>
          </cell>
          <cell r="I122">
            <v>0.28739682539682537</v>
          </cell>
          <cell r="J122">
            <v>0.28739682539682537</v>
          </cell>
          <cell r="K122">
            <v>10.462520888151245</v>
          </cell>
          <cell r="L122">
            <v>10.462520888151245</v>
          </cell>
          <cell r="M122">
            <v>68.587636933435931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>
            <v>5.2605450901896802</v>
          </cell>
          <cell r="J123">
            <v>5.2605450901896802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18.613247470887686</v>
          </cell>
          <cell r="H124">
            <v>18.613247470887686</v>
          </cell>
          <cell r="I124">
            <v>9.3303143479614048E-2</v>
          </cell>
          <cell r="J124">
            <v>9.3303143479614048E-2</v>
          </cell>
          <cell r="K124">
            <v>3.3671791105861137</v>
          </cell>
          <cell r="L124">
            <v>3.3671791105861137</v>
          </cell>
          <cell r="M124">
            <v>22.073729724953413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29.550817057689418</v>
          </cell>
          <cell r="H125">
            <v>29.550817057689418</v>
          </cell>
          <cell r="I125">
            <v>0.14928502956738249</v>
          </cell>
          <cell r="J125">
            <v>0.14928502956738249</v>
          </cell>
          <cell r="K125">
            <v>5.3460183757062243</v>
          </cell>
          <cell r="L125">
            <v>5.3460183757062243</v>
          </cell>
          <cell r="M125">
            <v>35.046120462963025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22.188978251793564</v>
          </cell>
          <cell r="H126">
            <v>22.188978251793564</v>
          </cell>
          <cell r="I126">
            <v>0.11196377217553685</v>
          </cell>
          <cell r="J126">
            <v>0.11196377217553685</v>
          </cell>
          <cell r="K126">
            <v>4.0141695643144377</v>
          </cell>
          <cell r="L126">
            <v>4.0141695643144377</v>
          </cell>
          <cell r="M126">
            <v>26.315111588283536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23.781073977903336</v>
          </cell>
          <cell r="H127">
            <v>23.781073977903336</v>
          </cell>
          <cell r="I127">
            <v>0.12357066358178685</v>
          </cell>
          <cell r="J127">
            <v>0.12357066358178685</v>
          </cell>
          <cell r="K127">
            <v>4.3028360354673225</v>
          </cell>
          <cell r="L127">
            <v>4.3028360354673225</v>
          </cell>
          <cell r="M127">
            <v>28.207480676952446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20.685603297736652</v>
          </cell>
          <cell r="H128">
            <v>20.685603297736652</v>
          </cell>
          <cell r="I128">
            <v>0.10382364430682334</v>
          </cell>
          <cell r="J128">
            <v>0.10382364430682334</v>
          </cell>
          <cell r="K128">
            <v>3.7420968495678255</v>
          </cell>
          <cell r="L128">
            <v>3.7420968495678255</v>
          </cell>
          <cell r="M128">
            <v>24.531523791611303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38.479247447318116</v>
          </cell>
          <cell r="H129">
            <v>38.479247447318116</v>
          </cell>
          <cell r="I129">
            <v>0.19466933307529377</v>
          </cell>
          <cell r="J129">
            <v>0.19466933307529377</v>
          </cell>
          <cell r="K129">
            <v>6.9613050204708138</v>
          </cell>
          <cell r="L129">
            <v>6.9613050204708138</v>
          </cell>
          <cell r="M129">
            <v>45.63522180086423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90.240969884097865</v>
          </cell>
          <cell r="H130">
            <v>90.240969884097865</v>
          </cell>
          <cell r="I130">
            <v>0.33272418699999995</v>
          </cell>
          <cell r="J130">
            <v>0.33272418699999995</v>
          </cell>
          <cell r="K130">
            <v>16.303264932797614</v>
          </cell>
          <cell r="L130">
            <v>16.303264932797614</v>
          </cell>
          <cell r="M130">
            <v>106.87695900389548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1204.5464978902955</v>
          </cell>
          <cell r="H131">
            <v>1.2045464978902956</v>
          </cell>
          <cell r="I131">
            <v>6.318509588551783</v>
          </cell>
          <cell r="J131">
            <v>6.3185095885517828E-3</v>
          </cell>
          <cell r="K131">
            <v>217.95570134619248</v>
          </cell>
          <cell r="L131">
            <v>0.21795570134619249</v>
          </cell>
          <cell r="M131">
            <v>1428.8207088250397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18.458111965217395</v>
          </cell>
          <cell r="H132">
            <v>18.458111965217395</v>
          </cell>
          <cell r="I132">
            <v>9.5987972000394384E-2</v>
          </cell>
          <cell r="J132">
            <v>9.5987972000394384E-2</v>
          </cell>
          <cell r="K132">
            <v>3.339737988699202</v>
          </cell>
          <cell r="L132">
            <v>3.339737988699202</v>
          </cell>
          <cell r="M132">
            <v>21.893837925916991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16.130351280242007</v>
          </cell>
          <cell r="H133">
            <v>16.130351280242007</v>
          </cell>
          <cell r="I133">
            <v>6.7921898515118234E-2</v>
          </cell>
          <cell r="J133">
            <v>6.7921898515118234E-2</v>
          </cell>
          <cell r="K133">
            <v>2.9156891721762821</v>
          </cell>
          <cell r="L133">
            <v>2.9156891721762821</v>
          </cell>
          <cell r="M133">
            <v>19.113962350933406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68.481037204221707</v>
          </cell>
          <cell r="H134">
            <v>68.481037204221707</v>
          </cell>
          <cell r="I134">
            <v>2.9525012378680313</v>
          </cell>
          <cell r="J134">
            <v>2.9525012378680313</v>
          </cell>
          <cell r="K134">
            <v>12.858036919576152</v>
          </cell>
          <cell r="L134">
            <v>12.858036919576152</v>
          </cell>
          <cell r="M134">
            <v>84.291575361665892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66.057514026254424</v>
          </cell>
          <cell r="H135">
            <v>66.057514026254424</v>
          </cell>
          <cell r="I135">
            <v>0.24646236074074071</v>
          </cell>
          <cell r="J135">
            <v>0.24646236074074071</v>
          </cell>
          <cell r="K135">
            <v>11.934715749659128</v>
          </cell>
          <cell r="L135">
            <v>11.934715749659128</v>
          </cell>
          <cell r="M135">
            <v>78.238692136654294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1916.9617256532151</v>
          </cell>
          <cell r="H136">
            <v>1.9169617256532152</v>
          </cell>
          <cell r="I136">
            <v>16.62196578278477</v>
          </cell>
          <cell r="J136">
            <v>1.662196578278477E-2</v>
          </cell>
          <cell r="K136">
            <v>348.04506445848</v>
          </cell>
          <cell r="L136">
            <v>0.34804506445847999</v>
          </cell>
          <cell r="M136">
            <v>2281.62875589448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2243.1813333702667</v>
          </cell>
          <cell r="H140">
            <v>2.2431813333702668</v>
          </cell>
          <cell r="I140">
            <v>0.28502403846153845</v>
          </cell>
          <cell r="J140">
            <v>2.8502403846153847E-4</v>
          </cell>
          <cell r="K140">
            <v>403.82394433357103</v>
          </cell>
          <cell r="L140">
            <v>0.40382394433357105</v>
          </cell>
          <cell r="M140">
            <v>2647.2903017422991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1760.528882407704</v>
          </cell>
          <cell r="H146">
            <v>1.7605288824077041</v>
          </cell>
          <cell r="I146">
            <v>18.212851044011543</v>
          </cell>
          <cell r="J146">
            <v>1.8212851044011543E-2</v>
          </cell>
          <cell r="K146">
            <v>320.1735120213088</v>
          </cell>
          <cell r="L146">
            <v>0.32017351202130878</v>
          </cell>
          <cell r="M146">
            <v>2098.9152454730242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1711.0233891864884</v>
          </cell>
          <cell r="H147">
            <v>1.7110233891864883</v>
          </cell>
          <cell r="I147">
            <v>1.5373292261557483</v>
          </cell>
          <cell r="J147">
            <v>1.5373292261557482E-3</v>
          </cell>
          <cell r="K147">
            <v>308.26092931427598</v>
          </cell>
          <cell r="L147">
            <v>0.30826092931427601</v>
          </cell>
          <cell r="M147">
            <v>2020.8216477269202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3102.4773465592707</v>
          </cell>
          <cell r="H149">
            <v>3.1024773465592705</v>
          </cell>
          <cell r="I149">
            <v>2.179881305637982</v>
          </cell>
          <cell r="J149">
            <v>2.1798813056379822E-3</v>
          </cell>
          <cell r="K149">
            <v>558.83830101568356</v>
          </cell>
          <cell r="L149">
            <v>0.55883830101568355</v>
          </cell>
          <cell r="M149">
            <v>3663.4955288805922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21.097712705511537</v>
          </cell>
          <cell r="H150">
            <v>21.097712705511537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140.37018131010288</v>
          </cell>
          <cell r="H151">
            <v>140.37018131010288</v>
          </cell>
          <cell r="I151">
            <v>0.27067793538871676</v>
          </cell>
          <cell r="J151">
            <v>0.27067793538871676</v>
          </cell>
          <cell r="K151">
            <v>25.315354664188483</v>
          </cell>
          <cell r="L151">
            <v>25.315354664188483</v>
          </cell>
          <cell r="M151">
            <v>165.95621390968006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695.56460960477943</v>
          </cell>
          <cell r="H153">
            <v>0.69556460960477939</v>
          </cell>
          <cell r="I153">
            <v>0.71588617857142856</v>
          </cell>
          <cell r="J153">
            <v>7.1588617857142858E-4</v>
          </cell>
          <cell r="K153">
            <v>125.33048924100315</v>
          </cell>
          <cell r="L153">
            <v>0.12533048924100315</v>
          </cell>
          <cell r="M153">
            <v>821.61098502435402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2623.1383892198583</v>
          </cell>
          <cell r="H155">
            <v>2.6231383892198581</v>
          </cell>
          <cell r="I155">
            <v>12.030297872340427</v>
          </cell>
          <cell r="J155">
            <v>1.2030297872340426E-2</v>
          </cell>
          <cell r="K155">
            <v>474.33036367659571</v>
          </cell>
          <cell r="L155">
            <v>0.4743303636765957</v>
          </cell>
          <cell r="M155">
            <v>3109.4990507687944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3155.1262799262113</v>
          </cell>
          <cell r="H156">
            <v>3.1551262799262112</v>
          </cell>
          <cell r="I156">
            <v>30.246685184438547</v>
          </cell>
          <cell r="J156">
            <v>3.0246685184438547E-2</v>
          </cell>
          <cell r="K156">
            <v>573.36713371991686</v>
          </cell>
          <cell r="L156">
            <v>0.57336713371991688</v>
          </cell>
          <cell r="M156">
            <v>3758.7400988305662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599.84445103765529</v>
          </cell>
          <cell r="H157">
            <v>0.59984445103765527</v>
          </cell>
          <cell r="I157">
            <v>14.228400000000001</v>
          </cell>
          <cell r="J157">
            <v>1.42284E-2</v>
          </cell>
          <cell r="K157">
            <v>110.53311318677794</v>
          </cell>
          <cell r="L157">
            <v>0.11053311318677794</v>
          </cell>
          <cell r="M157">
            <v>724.60596422443314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2131.1444129166998</v>
          </cell>
          <cell r="H159">
            <v>2.1311444129166999</v>
          </cell>
          <cell r="I159">
            <v>16.739083347125263</v>
          </cell>
          <cell r="J159">
            <v>1.6739083347125264E-2</v>
          </cell>
          <cell r="K159">
            <v>386.61902932748853</v>
          </cell>
          <cell r="L159">
            <v>0.38661902932748854</v>
          </cell>
          <cell r="M159">
            <v>2534.5025255913138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3619.800762606571</v>
          </cell>
          <cell r="H160">
            <v>3.6198007626065709</v>
          </cell>
          <cell r="I160">
            <v>10.658691253223417</v>
          </cell>
          <cell r="J160">
            <v>1.0658691253223416E-2</v>
          </cell>
          <cell r="K160">
            <v>653.48270169476302</v>
          </cell>
          <cell r="L160">
            <v>0.65348270169476297</v>
          </cell>
          <cell r="M160">
            <v>4283.9421555545578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>
            <v>51.143459448651512</v>
          </cell>
          <cell r="J161">
            <v>5.1143459448651514E-2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4302.0127512652398</v>
          </cell>
          <cell r="H162">
            <v>4.3020127512652397</v>
          </cell>
          <cell r="I162">
            <v>8.7946762108688574</v>
          </cell>
          <cell r="J162">
            <v>8.7946762108688566E-3</v>
          </cell>
          <cell r="K162">
            <v>775.94533694569952</v>
          </cell>
          <cell r="L162">
            <v>0.77594533694569956</v>
          </cell>
          <cell r="M162">
            <v>5086.752764421808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1617.305978510283</v>
          </cell>
          <cell r="H164">
            <v>1.617305978510283</v>
          </cell>
          <cell r="I164">
            <v>5.6927565839591017</v>
          </cell>
          <cell r="J164">
            <v>5.6927565839591018E-3</v>
          </cell>
          <cell r="K164">
            <v>292.13977231696356</v>
          </cell>
          <cell r="L164">
            <v>0.29213977231696353</v>
          </cell>
          <cell r="M164">
            <v>1915.1385074112059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1692.559815818182</v>
          </cell>
          <cell r="H165">
            <v>1.692559815818182</v>
          </cell>
          <cell r="I165">
            <v>0</v>
          </cell>
          <cell r="J165">
            <v>0</v>
          </cell>
          <cell r="K165">
            <v>304.66076684727273</v>
          </cell>
          <cell r="L165">
            <v>0.30466076684727272</v>
          </cell>
          <cell r="M165">
            <v>1997.2205826654547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2509.8161018181813</v>
          </cell>
          <cell r="H166">
            <v>2.5098161018181813</v>
          </cell>
          <cell r="I166">
            <v>0</v>
          </cell>
          <cell r="J166">
            <v>0</v>
          </cell>
          <cell r="K166">
            <v>451.7668983272726</v>
          </cell>
          <cell r="L166">
            <v>0.45176689832727263</v>
          </cell>
          <cell r="M166">
            <v>2961.5830001454538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4104.5189453185185</v>
          </cell>
          <cell r="H167">
            <v>4.1045189453185182</v>
          </cell>
          <cell r="I167">
            <v>0.55385652576131683</v>
          </cell>
          <cell r="J167">
            <v>5.5385652576131678E-4</v>
          </cell>
          <cell r="K167">
            <v>738.91310433197032</v>
          </cell>
          <cell r="L167">
            <v>0.73891310433197033</v>
          </cell>
          <cell r="M167">
            <v>4843.98590617625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1933.6497437493517</v>
          </cell>
          <cell r="H168">
            <v>1.9336497437493518</v>
          </cell>
          <cell r="I168">
            <v>4.0110134052111412</v>
          </cell>
          <cell r="J168">
            <v>4.0110134052111415E-3</v>
          </cell>
          <cell r="K168">
            <v>348.7789362878213</v>
          </cell>
          <cell r="L168">
            <v>0.34877893628782131</v>
          </cell>
          <cell r="M168">
            <v>2286.4396934423839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2236.3231442307692</v>
          </cell>
          <cell r="H170">
            <v>2.2363231442307692</v>
          </cell>
          <cell r="I170">
            <v>0.10230769230769231</v>
          </cell>
          <cell r="J170">
            <v>1.023076923076923E-4</v>
          </cell>
          <cell r="K170">
            <v>402.55658134615379</v>
          </cell>
          <cell r="L170">
            <v>0.4025565813461538</v>
          </cell>
          <cell r="M170">
            <v>2638.9820332692307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2369.8458619999997</v>
          </cell>
          <cell r="H171">
            <v>2.3698458619999996</v>
          </cell>
          <cell r="I171">
            <v>0</v>
          </cell>
          <cell r="J171">
            <v>0</v>
          </cell>
          <cell r="K171">
            <v>426.57225515999994</v>
          </cell>
          <cell r="L171">
            <v>0.42657225515999991</v>
          </cell>
          <cell r="M171">
            <v>2796.4181171599994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2421.3880938775505</v>
          </cell>
          <cell r="H172">
            <v>2.4213880938775505</v>
          </cell>
          <cell r="I172">
            <v>0</v>
          </cell>
          <cell r="J172">
            <v>0</v>
          </cell>
          <cell r="K172">
            <v>435.84985689795906</v>
          </cell>
          <cell r="L172">
            <v>0.43584985689795908</v>
          </cell>
          <cell r="M172">
            <v>2857.2379507755095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2403.3661158555728</v>
          </cell>
          <cell r="H173">
            <v>2.4033661158555728</v>
          </cell>
          <cell r="I173">
            <v>0</v>
          </cell>
          <cell r="J173">
            <v>0</v>
          </cell>
          <cell r="K173">
            <v>432.6059008540031</v>
          </cell>
          <cell r="L173">
            <v>0.43260590085400308</v>
          </cell>
          <cell r="M173">
            <v>2835.9720167095761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4552.0028016666665</v>
          </cell>
          <cell r="H174">
            <v>4.5520028016666663</v>
          </cell>
          <cell r="I174">
            <v>0</v>
          </cell>
          <cell r="J174">
            <v>0</v>
          </cell>
          <cell r="K174">
            <v>819.36050429999989</v>
          </cell>
          <cell r="L174">
            <v>0.81936050429999985</v>
          </cell>
          <cell r="M174">
            <v>5371.3633059666663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2557.7349198529409</v>
          </cell>
          <cell r="H175">
            <v>2.5577349198529409</v>
          </cell>
          <cell r="I175">
            <v>5.4839484126984122</v>
          </cell>
          <cell r="J175">
            <v>5.4839484126984125E-3</v>
          </cell>
          <cell r="K175">
            <v>461.37939628781504</v>
          </cell>
          <cell r="L175">
            <v>0.46137939628781505</v>
          </cell>
          <cell r="M175">
            <v>3024.5982645534541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2265.5029585798816</v>
          </cell>
          <cell r="H176">
            <v>2.2655029585798814</v>
          </cell>
          <cell r="I176">
            <v>18.461538461538463</v>
          </cell>
          <cell r="J176">
            <v>1.8461538461538463E-2</v>
          </cell>
          <cell r="K176">
            <v>411.1136094674556</v>
          </cell>
          <cell r="L176">
            <v>0.41111360946745562</v>
          </cell>
          <cell r="M176">
            <v>2695.0781065088759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1086.3701847256891</v>
          </cell>
          <cell r="H177">
            <v>1086.3701847256891</v>
          </cell>
          <cell r="I177">
            <v>3.3716732577994994</v>
          </cell>
          <cell r="J177">
            <v>3.3716732577994994</v>
          </cell>
          <cell r="K177">
            <v>196.15353443702796</v>
          </cell>
          <cell r="L177">
            <v>196.15353443702796</v>
          </cell>
          <cell r="M177">
            <v>1285.8953924205166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1310.0982328646382</v>
          </cell>
          <cell r="H178">
            <v>1310.0982328646382</v>
          </cell>
          <cell r="I178">
            <v>4.6563490518082045</v>
          </cell>
          <cell r="J178">
            <v>4.6563490518082045</v>
          </cell>
          <cell r="K178">
            <v>236.65582474496034</v>
          </cell>
          <cell r="L178">
            <v>236.65582474496034</v>
          </cell>
          <cell r="M178">
            <v>1551.4104066614068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5733.6756100000002</v>
          </cell>
          <cell r="H180">
            <v>5.7336756100000006</v>
          </cell>
          <cell r="I180">
            <v>0</v>
          </cell>
          <cell r="J180">
            <v>0</v>
          </cell>
          <cell r="K180">
            <v>1032.0616098</v>
          </cell>
          <cell r="L180">
            <v>1.0320616097999999</v>
          </cell>
          <cell r="M180">
            <v>6765.7372198000003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2296.9633069526626</v>
          </cell>
          <cell r="H181">
            <v>2.2969633069526627</v>
          </cell>
          <cell r="I181">
            <v>0.10230769230769231</v>
          </cell>
          <cell r="J181">
            <v>1.023076923076923E-4</v>
          </cell>
          <cell r="K181">
            <v>413.47181063609457</v>
          </cell>
          <cell r="L181">
            <v>0.41347181063609456</v>
          </cell>
          <cell r="M181">
            <v>2710.5374252810648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2273.2993637828399</v>
          </cell>
          <cell r="H182">
            <v>2.27329936378284</v>
          </cell>
          <cell r="I182">
            <v>0.10230769230769231</v>
          </cell>
          <cell r="J182">
            <v>1.023076923076923E-4</v>
          </cell>
          <cell r="K182">
            <v>409.21230086552652</v>
          </cell>
          <cell r="L182">
            <v>0.40921230086552651</v>
          </cell>
          <cell r="M182">
            <v>2682.6139723406741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139.81604417974168</v>
          </cell>
          <cell r="H183">
            <v>139.81604417974168</v>
          </cell>
          <cell r="I183">
            <v>0.55436627441746023</v>
          </cell>
          <cell r="J183">
            <v>0.55436627441746023</v>
          </cell>
          <cell r="K183">
            <v>25.266673881748641</v>
          </cell>
          <cell r="L183">
            <v>25.266673881748641</v>
          </cell>
          <cell r="M183">
            <v>165.63708433590776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107.90311458315523</v>
          </cell>
          <cell r="H184">
            <v>107.90311458315523</v>
          </cell>
          <cell r="I184">
            <v>0.40666289522222215</v>
          </cell>
          <cell r="J184">
            <v>0.40666289522222215</v>
          </cell>
          <cell r="K184">
            <v>19.495759946107942</v>
          </cell>
          <cell r="L184">
            <v>19.495759946107942</v>
          </cell>
          <cell r="M184">
            <v>127.80553742448539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>
            <v>2.204133660943131</v>
          </cell>
          <cell r="J185">
            <v>2.204133660943131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>
            <v>2.7207712704947129</v>
          </cell>
          <cell r="J186">
            <v>2.7207712704947129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224.06233232296555</v>
          </cell>
          <cell r="H187">
            <v>224.06233232296555</v>
          </cell>
          <cell r="I187">
            <v>1.5166800527773141</v>
          </cell>
          <cell r="J187">
            <v>1.5166800527773141</v>
          </cell>
          <cell r="K187">
            <v>40.604222227633713</v>
          </cell>
          <cell r="L187">
            <v>40.604222227633713</v>
          </cell>
          <cell r="M187">
            <v>266.18323460337655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984.21151682911659</v>
          </cell>
          <cell r="H188">
            <v>0.98421151682911656</v>
          </cell>
          <cell r="I188">
            <v>22.453208930556613</v>
          </cell>
          <cell r="J188">
            <v>2.2453208930556613E-2</v>
          </cell>
          <cell r="K188">
            <v>181.19965063674115</v>
          </cell>
          <cell r="L188">
            <v>0.18119965063674115</v>
          </cell>
          <cell r="M188">
            <v>1187.8643763964144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16.741795762708204</v>
          </cell>
          <cell r="H189">
            <v>16.741795762708204</v>
          </cell>
          <cell r="I189">
            <v>7.7796470995010872E-2</v>
          </cell>
          <cell r="J189">
            <v>7.7796470995010872E-2</v>
          </cell>
          <cell r="K189">
            <v>3.0275266020665788</v>
          </cell>
          <cell r="L189">
            <v>3.0275266020665788</v>
          </cell>
          <cell r="M189">
            <v>19.847118835769795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787.53192784854969</v>
          </cell>
          <cell r="H190">
            <v>787.53192784854969</v>
          </cell>
          <cell r="I190">
            <v>33.95376423548236</v>
          </cell>
          <cell r="J190">
            <v>33.95376423548236</v>
          </cell>
          <cell r="K190">
            <v>147.86742457512577</v>
          </cell>
          <cell r="L190">
            <v>147.86742457512577</v>
          </cell>
          <cell r="M190">
            <v>969.35311665915788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26.711455256073034</v>
          </cell>
          <cell r="H191">
            <v>26.711455256073034</v>
          </cell>
          <cell r="I191">
            <v>0.21649974025974028</v>
          </cell>
          <cell r="J191">
            <v>0.21649974025974028</v>
          </cell>
          <cell r="K191">
            <v>4.8470318993398989</v>
          </cell>
          <cell r="L191">
            <v>4.8470318993398989</v>
          </cell>
          <cell r="M191">
            <v>31.774986895672672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11.940719946809883</v>
          </cell>
          <cell r="H192">
            <v>11.940719946809883</v>
          </cell>
          <cell r="I192">
            <v>0.12697977554383394</v>
          </cell>
          <cell r="J192">
            <v>0.12697977554383394</v>
          </cell>
          <cell r="K192">
            <v>2.1721859500236689</v>
          </cell>
          <cell r="L192">
            <v>2.1721859500236689</v>
          </cell>
          <cell r="M192">
            <v>14.239885672377387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129.56239794495883</v>
          </cell>
          <cell r="H193">
            <v>129.56239794495883</v>
          </cell>
          <cell r="I193">
            <v>0.33569126843211616</v>
          </cell>
          <cell r="J193">
            <v>0.33569126843211616</v>
          </cell>
          <cell r="K193">
            <v>23.381656058410371</v>
          </cell>
          <cell r="L193">
            <v>23.381656058410371</v>
          </cell>
          <cell r="M193">
            <v>153.27974527180135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1199.4746852493561</v>
          </cell>
          <cell r="H194">
            <v>1.1994746852493561</v>
          </cell>
          <cell r="I194">
            <v>57.321656367485019</v>
          </cell>
          <cell r="J194">
            <v>5.732165636748502E-2</v>
          </cell>
          <cell r="K194">
            <v>226.22334149103139</v>
          </cell>
          <cell r="L194">
            <v>0.2262233414910314</v>
          </cell>
          <cell r="M194">
            <v>1483.0196831078724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728.50240284223548</v>
          </cell>
          <cell r="H195">
            <v>0.72850240284223544</v>
          </cell>
          <cell r="I195">
            <v>3.7321257391845619</v>
          </cell>
          <cell r="J195">
            <v>3.7321257391845618E-3</v>
          </cell>
          <cell r="K195">
            <v>131.80221514465561</v>
          </cell>
          <cell r="L195">
            <v>0.13180221514465559</v>
          </cell>
          <cell r="M195">
            <v>864.03674372607566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845.20482907936878</v>
          </cell>
          <cell r="H197">
            <v>0.84520482907936878</v>
          </cell>
          <cell r="I197">
            <v>4.3259851794509725</v>
          </cell>
          <cell r="J197">
            <v>4.3259851794509724E-3</v>
          </cell>
          <cell r="K197">
            <v>152.91554656658755</v>
          </cell>
          <cell r="L197">
            <v>0.15291554656658754</v>
          </cell>
          <cell r="M197">
            <v>1002.4463608254073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967.06078539381633</v>
          </cell>
          <cell r="H198">
            <v>0.96706078539381635</v>
          </cell>
          <cell r="I198">
            <v>3.6969354111111108</v>
          </cell>
          <cell r="J198">
            <v>3.6969354111111106E-3</v>
          </cell>
          <cell r="K198">
            <v>174.73638974488694</v>
          </cell>
          <cell r="L198">
            <v>0.17473638974488692</v>
          </cell>
          <cell r="M198">
            <v>1145.4941105498144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1657.7992251703649</v>
          </cell>
          <cell r="H199">
            <v>1.657799225170365</v>
          </cell>
          <cell r="I199">
            <v>15.728764277690562</v>
          </cell>
          <cell r="J199">
            <v>1.5728764277690561E-2</v>
          </cell>
          <cell r="K199">
            <v>301.23503810064994</v>
          </cell>
          <cell r="L199">
            <v>0.30123503810064994</v>
          </cell>
          <cell r="M199">
            <v>1974.7630275487054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1483.9697364485019</v>
          </cell>
          <cell r="H200">
            <v>1.4839697364485018</v>
          </cell>
          <cell r="I200">
            <v>12.027763347763349</v>
          </cell>
          <cell r="J200">
            <v>1.202776334776335E-2</v>
          </cell>
          <cell r="K200">
            <v>269.27954996332772</v>
          </cell>
          <cell r="L200">
            <v>0.2692795499633277</v>
          </cell>
          <cell r="M200">
            <v>1765.277049759593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1105.7553743641677</v>
          </cell>
          <cell r="H201">
            <v>1.1057553743641677</v>
          </cell>
          <cell r="I201">
            <v>12.589646679546425</v>
          </cell>
          <cell r="J201">
            <v>1.2589646679546424E-2</v>
          </cell>
          <cell r="K201">
            <v>201.30210378786853</v>
          </cell>
          <cell r="L201">
            <v>0.20130210378786853</v>
          </cell>
          <cell r="M201">
            <v>1319.6471248315825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7.2823280901269198</v>
          </cell>
          <cell r="H202">
            <v>7.2823280901269198</v>
          </cell>
          <cell r="I202">
            <v>0.34536946277633873</v>
          </cell>
          <cell r="J202">
            <v>0.34536946277633873</v>
          </cell>
          <cell r="K202">
            <v>1.3729855595225866</v>
          </cell>
          <cell r="L202">
            <v>1.3729855595225866</v>
          </cell>
          <cell r="M202">
            <v>9.0006831124258451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67.119951179565732</v>
          </cell>
          <cell r="H203">
            <v>67.119951179565732</v>
          </cell>
          <cell r="I203">
            <v>0.5440157362193363</v>
          </cell>
          <cell r="J203">
            <v>0.5440157362193363</v>
          </cell>
          <cell r="K203">
            <v>12.179514044841312</v>
          </cell>
          <cell r="L203">
            <v>12.179514044841312</v>
          </cell>
          <cell r="M203">
            <v>79.84348096062638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1128.5599365545836</v>
          </cell>
          <cell r="H204">
            <v>1.1285599365545835</v>
          </cell>
          <cell r="I204">
            <v>4.3143236247666659</v>
          </cell>
          <cell r="J204">
            <v>4.3143236247666656E-3</v>
          </cell>
          <cell r="K204">
            <v>203.91736683228305</v>
          </cell>
          <cell r="L204">
            <v>0.20391736683228306</v>
          </cell>
          <cell r="M204">
            <v>1336.7916270116334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27.357660099495881</v>
          </cell>
          <cell r="H205">
            <v>27.357660099495881</v>
          </cell>
          <cell r="I205">
            <v>0.1217359989443584</v>
          </cell>
          <cell r="J205">
            <v>0.1217359989443584</v>
          </cell>
          <cell r="K205">
            <v>4.9462912977192435</v>
          </cell>
          <cell r="L205">
            <v>4.9462912977192435</v>
          </cell>
          <cell r="M205">
            <v>32.425687396159482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1018.4318094758066</v>
          </cell>
          <cell r="H207">
            <v>1.0184318094758067</v>
          </cell>
          <cell r="I207">
            <v>8.7576164874551967</v>
          </cell>
          <cell r="J207">
            <v>8.7576164874551971E-3</v>
          </cell>
          <cell r="K207">
            <v>184.89409667338711</v>
          </cell>
          <cell r="L207">
            <v>0.1848940966733871</v>
          </cell>
          <cell r="M207">
            <v>1212.0835226366489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4813.5739999999996</v>
          </cell>
          <cell r="H208">
            <v>4.813574</v>
          </cell>
          <cell r="I208">
            <v>46.743326679973386</v>
          </cell>
          <cell r="J208">
            <v>4.6743326679973385E-2</v>
          </cell>
          <cell r="K208">
            <v>874.85711880239512</v>
          </cell>
          <cell r="L208">
            <v>0.87485711880239514</v>
          </cell>
          <cell r="M208">
            <v>5735.1744454823684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4813.5739999999996</v>
          </cell>
          <cell r="H209">
            <v>4.813574</v>
          </cell>
          <cell r="I209">
            <v>80.407185628742525</v>
          </cell>
          <cell r="J209">
            <v>8.0407185628742522E-2</v>
          </cell>
          <cell r="K209">
            <v>880.91661341317365</v>
          </cell>
          <cell r="L209">
            <v>0.88091661341317362</v>
          </cell>
          <cell r="M209">
            <v>5774.8977990419162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37014.76</v>
          </cell>
          <cell r="H210">
            <v>37.014760000000003</v>
          </cell>
          <cell r="I210">
            <v>70.051111111111112</v>
          </cell>
          <cell r="J210">
            <v>7.0051111111111106E-2</v>
          </cell>
          <cell r="K210">
            <v>6675.2660000000005</v>
          </cell>
          <cell r="L210">
            <v>6.6752660000000006</v>
          </cell>
          <cell r="M210">
            <v>43760.077111111117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37014.76</v>
          </cell>
          <cell r="H211">
            <v>37.014760000000003</v>
          </cell>
          <cell r="I211">
            <v>128.88888888888889</v>
          </cell>
          <cell r="J211">
            <v>0.12888888888888889</v>
          </cell>
          <cell r="K211">
            <v>6685.8568000000005</v>
          </cell>
          <cell r="L211">
            <v>6.6858568000000007</v>
          </cell>
          <cell r="M211">
            <v>43829.505688888894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4813.5739999999996</v>
          </cell>
          <cell r="H212">
            <v>4.813574</v>
          </cell>
          <cell r="I212">
            <v>101.67844311377246</v>
          </cell>
          <cell r="J212">
            <v>0.10167844311377246</v>
          </cell>
          <cell r="K212">
            <v>884.74543976047892</v>
          </cell>
          <cell r="L212">
            <v>0.88474543976047892</v>
          </cell>
          <cell r="M212">
            <v>5799.9978828742505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821.6499785895536</v>
          </cell>
          <cell r="H213">
            <v>0.82164997858955358</v>
          </cell>
          <cell r="I213">
            <v>5.4569818614762422</v>
          </cell>
          <cell r="J213">
            <v>5.4569818614762424E-3</v>
          </cell>
          <cell r="K213">
            <v>148.87925288118538</v>
          </cell>
          <cell r="L213">
            <v>0.14887925288118539</v>
          </cell>
          <cell r="M213">
            <v>975.98621333221524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654.7378830016944</v>
          </cell>
          <cell r="H214">
            <v>0.65473788300169444</v>
          </cell>
          <cell r="I214">
            <v>4.0823252053278862</v>
          </cell>
          <cell r="J214">
            <v>4.0823252053278861E-3</v>
          </cell>
          <cell r="K214">
            <v>118.587637477264</v>
          </cell>
          <cell r="L214">
            <v>0.118587637477264</v>
          </cell>
          <cell r="M214">
            <v>777.40784568428626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483.02906591401381</v>
          </cell>
          <cell r="H216">
            <v>0.48302906591401379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37014.76</v>
          </cell>
          <cell r="H217">
            <v>37.014760000000003</v>
          </cell>
          <cell r="I217">
            <v>59.669111111111114</v>
          </cell>
          <cell r="J217">
            <v>5.9669111111111117E-2</v>
          </cell>
          <cell r="K217">
            <v>6673.3972400000002</v>
          </cell>
          <cell r="L217">
            <v>6.6733972399999999</v>
          </cell>
          <cell r="M217">
            <v>43747.826351111114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1584.8881838580674</v>
          </cell>
          <cell r="H218">
            <v>1.5848881838580673</v>
          </cell>
          <cell r="I218">
            <v>0.71130507885714289</v>
          </cell>
          <cell r="J218">
            <v>7.113050788571429E-4</v>
          </cell>
          <cell r="K218">
            <v>285.40790800864642</v>
          </cell>
          <cell r="L218">
            <v>0.2854079080086464</v>
          </cell>
          <cell r="M218">
            <v>1871.0073969455709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2562.0680396020098</v>
          </cell>
          <cell r="H219">
            <v>2.5620680396020097</v>
          </cell>
          <cell r="I219">
            <v>1.6634562011900926</v>
          </cell>
          <cell r="J219">
            <v>1.6634562011900926E-3</v>
          </cell>
          <cell r="K219">
            <v>461.47166924457593</v>
          </cell>
          <cell r="L219">
            <v>0.46147166924457594</v>
          </cell>
          <cell r="M219">
            <v>3025.2031650477757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2167.5308380952383</v>
          </cell>
          <cell r="H220">
            <v>2.1675308380952383</v>
          </cell>
          <cell r="I220">
            <v>2.726E-2</v>
          </cell>
          <cell r="J220">
            <v>2.726E-5</v>
          </cell>
          <cell r="K220">
            <v>390.16045765714284</v>
          </cell>
          <cell r="L220">
            <v>0.39016045765714286</v>
          </cell>
          <cell r="M220">
            <v>2557.7185557523808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1770.4979322689076</v>
          </cell>
          <cell r="H221">
            <v>1.7704979322689076</v>
          </cell>
          <cell r="I221">
            <v>0</v>
          </cell>
          <cell r="J221">
            <v>0</v>
          </cell>
          <cell r="K221">
            <v>318.68962780840337</v>
          </cell>
          <cell r="L221">
            <v>0.31868962780840338</v>
          </cell>
          <cell r="M221">
            <v>2089.187560077311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1501.4683696457644</v>
          </cell>
          <cell r="H222">
            <v>1.5014683696457645</v>
          </cell>
          <cell r="I222">
            <v>8.4094605205120843</v>
          </cell>
          <cell r="J222">
            <v>8.4094605205120836E-3</v>
          </cell>
          <cell r="K222">
            <v>271.77800942992974</v>
          </cell>
          <cell r="L222">
            <v>0.27177800942992975</v>
          </cell>
          <cell r="M222">
            <v>1781.6558395962061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2399.3616211179378</v>
          </cell>
          <cell r="H223">
            <v>2.3993616211179378</v>
          </cell>
          <cell r="I223">
            <v>13.655693888382729</v>
          </cell>
          <cell r="J223">
            <v>1.3655693888382728E-2</v>
          </cell>
          <cell r="K223">
            <v>434.34311670113772</v>
          </cell>
          <cell r="L223">
            <v>0.43434311670113773</v>
          </cell>
          <cell r="M223">
            <v>2847.3604317074582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2377.6790569332416</v>
          </cell>
          <cell r="H226">
            <v>2.3776790569332418</v>
          </cell>
          <cell r="I226">
            <v>40.795901125</v>
          </cell>
          <cell r="J226">
            <v>4.0795901124999999E-2</v>
          </cell>
          <cell r="K226">
            <v>435.32549245048347</v>
          </cell>
          <cell r="L226">
            <v>0.43532549245048346</v>
          </cell>
          <cell r="M226">
            <v>2853.8004505087251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1889.0339707843136</v>
          </cell>
          <cell r="H227">
            <v>1.8890339707843136</v>
          </cell>
          <cell r="I227">
            <v>0</v>
          </cell>
          <cell r="J227">
            <v>0</v>
          </cell>
          <cell r="K227">
            <v>340.02611474117646</v>
          </cell>
          <cell r="L227">
            <v>0.34002611474117644</v>
          </cell>
          <cell r="M227">
            <v>2229.0600855254902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6531.2169312169308</v>
          </cell>
          <cell r="H228">
            <v>6.5312169312169308</v>
          </cell>
          <cell r="I228">
            <v>19.604444444444443</v>
          </cell>
          <cell r="J228">
            <v>1.9604444444444442E-2</v>
          </cell>
          <cell r="K228">
            <v>1179.1478476190475</v>
          </cell>
          <cell r="L228">
            <v>1.1791478476190476</v>
          </cell>
          <cell r="M228">
            <v>7729.9692232804227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2165.9483333333333</v>
          </cell>
          <cell r="H229">
            <v>2.1659483333333331</v>
          </cell>
          <cell r="I229">
            <v>20.556000000000001</v>
          </cell>
          <cell r="J229">
            <v>2.0556000000000001E-2</v>
          </cell>
          <cell r="K229">
            <v>393.57077999999996</v>
          </cell>
          <cell r="L229">
            <v>0.39357077999999995</v>
          </cell>
          <cell r="M229">
            <v>2580.0751133333333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1361.1525283253943</v>
          </cell>
          <cell r="H230">
            <v>1.3611525283253942</v>
          </cell>
          <cell r="I230">
            <v>5.5856104008888892</v>
          </cell>
          <cell r="J230">
            <v>5.5856104008888893E-3</v>
          </cell>
          <cell r="K230">
            <v>246.01286497073099</v>
          </cell>
          <cell r="L230">
            <v>0.24601286497073099</v>
          </cell>
          <cell r="M230">
            <v>1612.7510036970143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14.4</v>
          </cell>
          <cell r="J231">
            <v>1.44E-2</v>
          </cell>
          <cell r="K231">
            <v>147.65339999999992</v>
          </cell>
          <cell r="L231">
            <v>0.14765339999999991</v>
          </cell>
          <cell r="M231">
            <v>967.9500666666662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1693.2243654722606</v>
          </cell>
          <cell r="H232">
            <v>1.6932243654722605</v>
          </cell>
          <cell r="I232">
            <v>1.9418745709714287</v>
          </cell>
          <cell r="J232">
            <v>1.9418745709714287E-3</v>
          </cell>
          <cell r="K232">
            <v>305.12992320778176</v>
          </cell>
          <cell r="L232">
            <v>0.30512992320778176</v>
          </cell>
          <cell r="M232">
            <v>2000.2961632510137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1794.9684940656525</v>
          </cell>
          <cell r="H233">
            <v>1794.9684940656525</v>
          </cell>
          <cell r="I233">
            <v>2.3545150877192977</v>
          </cell>
          <cell r="J233">
            <v>2.3545150877192977</v>
          </cell>
          <cell r="K233">
            <v>323.51814164760691</v>
          </cell>
          <cell r="L233">
            <v>323.51814164760691</v>
          </cell>
          <cell r="M233">
            <v>2120.841150800979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2943.4459561764702</v>
          </cell>
          <cell r="H234">
            <v>2943.4459561764702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968.1478742810458</v>
          </cell>
          <cell r="H235">
            <v>968.1478742810458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1914.2936507601407</v>
          </cell>
          <cell r="H236">
            <v>1914.2936507601407</v>
          </cell>
          <cell r="I236">
            <v>0.34120813598811178</v>
          </cell>
          <cell r="J236">
            <v>0.34120813598811178</v>
          </cell>
          <cell r="K236">
            <v>344.63427460130316</v>
          </cell>
          <cell r="L236">
            <v>344.63427460130316</v>
          </cell>
          <cell r="M236">
            <v>2259.269133497432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702.25292199122077</v>
          </cell>
          <cell r="H237">
            <v>702.25292199122077</v>
          </cell>
          <cell r="I237">
            <v>0.31743146271776834</v>
          </cell>
          <cell r="J237">
            <v>0.31743146271776834</v>
          </cell>
          <cell r="K237">
            <v>126.46266362170893</v>
          </cell>
          <cell r="L237">
            <v>126.46266362170893</v>
          </cell>
          <cell r="M237">
            <v>829.03301707564742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1797.3747031380506</v>
          </cell>
          <cell r="H238">
            <v>1.7973747031380505</v>
          </cell>
          <cell r="I238">
            <v>0.14222107509119691</v>
          </cell>
          <cell r="J238">
            <v>1.4222107509119692E-4</v>
          </cell>
          <cell r="K238">
            <v>323.55304635836552</v>
          </cell>
          <cell r="L238">
            <v>0.32355304635836551</v>
          </cell>
          <cell r="M238">
            <v>2121.0699705715074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91.639615416197273</v>
          </cell>
          <cell r="H239">
            <v>91.639615416197273</v>
          </cell>
          <cell r="I239">
            <v>1.0371898994954427</v>
          </cell>
          <cell r="J239">
            <v>1.0371898994954427</v>
          </cell>
          <cell r="K239">
            <v>16.681824956824688</v>
          </cell>
          <cell r="L239">
            <v>16.681824956824688</v>
          </cell>
          <cell r="M239">
            <v>109.3586302725174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1039.8826084307693</v>
          </cell>
          <cell r="H240">
            <v>1.0398826084307693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405.47686446345733</v>
          </cell>
          <cell r="H241">
            <v>405.47686446345733</v>
          </cell>
          <cell r="I241">
            <v>2.413001221882741</v>
          </cell>
          <cell r="J241">
            <v>2.413001221882741</v>
          </cell>
          <cell r="K241">
            <v>73.420175823361205</v>
          </cell>
          <cell r="L241">
            <v>73.420175823361205</v>
          </cell>
          <cell r="M241">
            <v>481.31004150870126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1136.6228907046175</v>
          </cell>
          <cell r="H242">
            <v>1.1366228907046174</v>
          </cell>
          <cell r="I242">
            <v>0.23171102955379566</v>
          </cell>
          <cell r="J242">
            <v>2.3171102955379567E-4</v>
          </cell>
          <cell r="K242">
            <v>204.6338283121508</v>
          </cell>
          <cell r="L242">
            <v>0.2046338283121508</v>
          </cell>
          <cell r="M242">
            <v>1341.488430046322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450.59926753225267</v>
          </cell>
          <cell r="H243">
            <v>450.59926753225267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1135.9317648717495</v>
          </cell>
          <cell r="H244">
            <v>1.1359317648717495</v>
          </cell>
          <cell r="I244">
            <v>0.69990377084032673</v>
          </cell>
          <cell r="J244">
            <v>6.9990377084032677E-4</v>
          </cell>
          <cell r="K244">
            <v>204.59370035566616</v>
          </cell>
          <cell r="L244">
            <v>0.20459370035566615</v>
          </cell>
          <cell r="M244">
            <v>1341.225368998256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401.23940694574827</v>
          </cell>
          <cell r="H245">
            <v>401.23940694574827</v>
          </cell>
          <cell r="I245">
            <v>2.3620542744883037</v>
          </cell>
          <cell r="J245">
            <v>2.3620542744883037</v>
          </cell>
          <cell r="K245">
            <v>72.648263019642584</v>
          </cell>
          <cell r="L245">
            <v>72.648263019642584</v>
          </cell>
          <cell r="M245">
            <v>476.24972423987913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1869.4548399999999</v>
          </cell>
          <cell r="H246">
            <v>1.86945484</v>
          </cell>
          <cell r="I246">
            <v>8.0740740740740744</v>
          </cell>
          <cell r="J246">
            <v>8.0740740740740738E-3</v>
          </cell>
          <cell r="K246">
            <v>337.9552045333333</v>
          </cell>
          <cell r="L246">
            <v>0.33795520453333328</v>
          </cell>
          <cell r="M246">
            <v>2215.4841186074073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2101.1386749999997</v>
          </cell>
          <cell r="H247">
            <v>2.1011386749999996</v>
          </cell>
          <cell r="I247">
            <v>0.11187958333333334</v>
          </cell>
          <cell r="J247">
            <v>1.1187958333333334E-4</v>
          </cell>
          <cell r="K247">
            <v>378.22509982499992</v>
          </cell>
          <cell r="L247">
            <v>0.37822509982499991</v>
          </cell>
          <cell r="M247">
            <v>2479.475654408333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1454.6761080432802</v>
          </cell>
          <cell r="H248">
            <v>1.4546761080432802</v>
          </cell>
          <cell r="I248">
            <v>1.8476740613620986</v>
          </cell>
          <cell r="J248">
            <v>1.8476740613620984E-3</v>
          </cell>
          <cell r="K248">
            <v>262.17428077883562</v>
          </cell>
          <cell r="L248">
            <v>0.26217428077883564</v>
          </cell>
          <cell r="M248">
            <v>1718.6980628834781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1711.4849425346288</v>
          </cell>
          <cell r="H249">
            <v>1711.4849425346288</v>
          </cell>
          <cell r="I249">
            <v>13.927790103373713</v>
          </cell>
          <cell r="J249">
            <v>13.927790103373713</v>
          </cell>
          <cell r="K249">
            <v>310.57429187484047</v>
          </cell>
          <cell r="L249">
            <v>310.57429187484047</v>
          </cell>
          <cell r="M249">
            <v>2035.9870245128432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464.10671101834708</v>
          </cell>
          <cell r="H250">
            <v>464.10671101834708</v>
          </cell>
          <cell r="I250">
            <v>4.1119916801932366</v>
          </cell>
          <cell r="J250">
            <v>4.1119916801932366</v>
          </cell>
          <cell r="K250">
            <v>84.279366485737256</v>
          </cell>
          <cell r="L250">
            <v>84.279366485737256</v>
          </cell>
          <cell r="M250">
            <v>552.4980691842776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1278.780963386997</v>
          </cell>
          <cell r="H251">
            <v>1.2787809633869969</v>
          </cell>
          <cell r="I251">
            <v>0.28362934131736528</v>
          </cell>
          <cell r="J251">
            <v>2.836293413173653E-4</v>
          </cell>
          <cell r="K251">
            <v>230.23162669109658</v>
          </cell>
          <cell r="L251">
            <v>0.23023162669109659</v>
          </cell>
          <cell r="M251">
            <v>1509.296219419411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3211.3106377777781</v>
          </cell>
          <cell r="H252">
            <v>3.2113106377777783</v>
          </cell>
          <cell r="I252">
            <v>0</v>
          </cell>
          <cell r="J252">
            <v>0</v>
          </cell>
          <cell r="K252">
            <v>578.0359148</v>
          </cell>
          <cell r="L252">
            <v>0.57803591480000005</v>
          </cell>
          <cell r="M252">
            <v>3789.3465525777783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1408.7591761461251</v>
          </cell>
          <cell r="H253">
            <v>1408.7591761461251</v>
          </cell>
          <cell r="I253">
            <v>53.487031746031747</v>
          </cell>
          <cell r="J253">
            <v>53.487031746031747</v>
          </cell>
          <cell r="K253">
            <v>263.20431742058821</v>
          </cell>
          <cell r="L253">
            <v>263.20431742058821</v>
          </cell>
          <cell r="M253">
            <v>1725.4505253127452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4620.069813923903</v>
          </cell>
          <cell r="H254">
            <v>4620.069813923903</v>
          </cell>
          <cell r="I254">
            <v>53.487031746031747</v>
          </cell>
          <cell r="J254">
            <v>53.487031746031747</v>
          </cell>
          <cell r="K254">
            <v>841.24023222058827</v>
          </cell>
          <cell r="L254">
            <v>841.24023222058827</v>
          </cell>
          <cell r="M254">
            <v>5514.7970778905228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1596.7280301141611</v>
          </cell>
          <cell r="H255">
            <v>1.5967280301141611</v>
          </cell>
          <cell r="I255">
            <v>6.4479647266313922</v>
          </cell>
          <cell r="J255">
            <v>6.4479647266313918E-3</v>
          </cell>
          <cell r="K255">
            <v>288.57167907134266</v>
          </cell>
          <cell r="L255">
            <v>0.28857167907134268</v>
          </cell>
          <cell r="M255">
            <v>1891.7476739121353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3259.8053412740737</v>
          </cell>
          <cell r="H256">
            <v>3259.8053412740737</v>
          </cell>
          <cell r="I256">
            <v>55.797164021164015</v>
          </cell>
          <cell r="J256">
            <v>55.797164021164015</v>
          </cell>
          <cell r="K256">
            <v>596.80845095314282</v>
          </cell>
          <cell r="L256">
            <v>596.80845095314282</v>
          </cell>
          <cell r="M256">
            <v>3912.4109562483804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678.38484174108407</v>
          </cell>
          <cell r="H257">
            <v>0.67838484174108404</v>
          </cell>
          <cell r="I257">
            <v>9.777874058918707</v>
          </cell>
          <cell r="J257">
            <v>9.7778740589187074E-3</v>
          </cell>
          <cell r="K257">
            <v>123.86928884400049</v>
          </cell>
          <cell r="L257">
            <v>0.12386928884400049</v>
          </cell>
          <cell r="M257">
            <v>812.03200464400322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1193.488779130435</v>
          </cell>
          <cell r="H258">
            <v>1.1934887791304349</v>
          </cell>
          <cell r="I258">
            <v>6.2503795721187032</v>
          </cell>
          <cell r="J258">
            <v>6.2503795721187035E-3</v>
          </cell>
          <cell r="K258">
            <v>215.95304856645964</v>
          </cell>
          <cell r="L258">
            <v>0.21595304856645964</v>
          </cell>
          <cell r="M258">
            <v>1415.6922072690131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1145.938297584268</v>
          </cell>
          <cell r="H259">
            <v>1145.938297584268</v>
          </cell>
          <cell r="I259">
            <v>12.289209821759259</v>
          </cell>
          <cell r="J259">
            <v>12.289209821759259</v>
          </cell>
          <cell r="K259">
            <v>208.48095133308487</v>
          </cell>
          <cell r="L259">
            <v>208.48095133308487</v>
          </cell>
          <cell r="M259">
            <v>1366.7084587391121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747.05352192200121</v>
          </cell>
          <cell r="H260">
            <v>747.05352192200121</v>
          </cell>
          <cell r="I260">
            <v>4.0899089745657715</v>
          </cell>
          <cell r="J260">
            <v>4.0899089745657715</v>
          </cell>
          <cell r="K260">
            <v>135.20581756138205</v>
          </cell>
          <cell r="L260">
            <v>135.20581756138205</v>
          </cell>
          <cell r="M260">
            <v>886.34924845794899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288.41017926504401</v>
          </cell>
          <cell r="H261">
            <v>288.41017926504401</v>
          </cell>
          <cell r="I261">
            <v>0.19929133611111111</v>
          </cell>
          <cell r="J261">
            <v>0.19929133611111111</v>
          </cell>
          <cell r="K261">
            <v>51.949704708207918</v>
          </cell>
          <cell r="L261">
            <v>51.949704708207918</v>
          </cell>
          <cell r="M261">
            <v>340.55917530936301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702.25292199122077</v>
          </cell>
          <cell r="H262">
            <v>702.25292199122077</v>
          </cell>
          <cell r="I262">
            <v>4.2497740517145326</v>
          </cell>
          <cell r="J262">
            <v>4.2497740517145326</v>
          </cell>
          <cell r="K262">
            <v>127.17048528772835</v>
          </cell>
          <cell r="L262">
            <v>127.17048528772835</v>
          </cell>
          <cell r="M262">
            <v>833.67318133066374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512.08397954130157</v>
          </cell>
          <cell r="H263">
            <v>512.08397954130157</v>
          </cell>
          <cell r="I263">
            <v>4.6229261065656564</v>
          </cell>
          <cell r="J263">
            <v>4.6229261065656564</v>
          </cell>
          <cell r="K263">
            <v>93.007243016616087</v>
          </cell>
          <cell r="L263">
            <v>93.007243016616087</v>
          </cell>
          <cell r="M263">
            <v>609.71414866448322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830.63904907617473</v>
          </cell>
          <cell r="H264">
            <v>830.63904907617473</v>
          </cell>
          <cell r="I264">
            <v>9.4910312433786501</v>
          </cell>
          <cell r="J264">
            <v>9.4910312433786501</v>
          </cell>
          <cell r="K264" t="e">
            <v>#N/A</v>
          </cell>
          <cell r="L264" t="e">
            <v>#N/A</v>
          </cell>
          <cell r="M264" t="e">
            <v>#N/A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794.69604348040116</v>
          </cell>
          <cell r="H265">
            <v>794.69604348040116</v>
          </cell>
          <cell r="I265">
            <v>11.00817046629021</v>
          </cell>
          <cell r="J265">
            <v>11.00817046629021</v>
          </cell>
          <cell r="K265">
            <v>145.02675851040445</v>
          </cell>
          <cell r="L265">
            <v>145.02675851040445</v>
          </cell>
          <cell r="M265">
            <v>950.73097245709585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1338.3418556066867</v>
          </cell>
          <cell r="H266">
            <v>1.3383418556066868</v>
          </cell>
          <cell r="I266">
            <v>18.889303937374084</v>
          </cell>
          <cell r="J266">
            <v>1.8889303937374084E-2</v>
          </cell>
          <cell r="K266">
            <v>244.30160871793095</v>
          </cell>
          <cell r="L266">
            <v>0.24430160871793094</v>
          </cell>
          <cell r="M266">
            <v>1601.5327682619918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1132.9404695510932</v>
          </cell>
          <cell r="H267">
            <v>1.1329404695510932</v>
          </cell>
          <cell r="I267">
            <v>24.209029749999999</v>
          </cell>
          <cell r="J267">
            <v>2.420902975E-2</v>
          </cell>
          <cell r="K267">
            <v>208.28690987419674</v>
          </cell>
          <cell r="L267">
            <v>0.20828690987419674</v>
          </cell>
          <cell r="M267">
            <v>1365.4364091752898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4402.3167090909083</v>
          </cell>
          <cell r="H268">
            <v>4.4023167090909086</v>
          </cell>
          <cell r="I268">
            <v>69.294155844155839</v>
          </cell>
          <cell r="J268">
            <v>6.9294155844155839E-2</v>
          </cell>
          <cell r="K268">
            <v>804.8899556883116</v>
          </cell>
          <cell r="L268">
            <v>0.80488995568831156</v>
          </cell>
          <cell r="M268">
            <v>5276.5008206233761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11304.553470900002</v>
          </cell>
          <cell r="H271">
            <v>11.304553470900002</v>
          </cell>
          <cell r="I271">
            <v>9.7624471200781002</v>
          </cell>
          <cell r="J271">
            <v>9.7624471200781007E-3</v>
          </cell>
          <cell r="K271">
            <v>2036.5768652436143</v>
          </cell>
          <cell r="L271">
            <v>2.0365768652436143</v>
          </cell>
          <cell r="M271">
            <v>13350.892783263695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3031.4413262982762</v>
          </cell>
          <cell r="H272">
            <v>3.031441326298276</v>
          </cell>
          <cell r="I272">
            <v>27.717662337662336</v>
          </cell>
          <cell r="J272">
            <v>2.7717662337662336E-2</v>
          </cell>
          <cell r="K272">
            <v>550.64861795446893</v>
          </cell>
          <cell r="L272">
            <v>0.55064861795446896</v>
          </cell>
          <cell r="M272">
            <v>3609.8076065904074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1185.84059284878</v>
          </cell>
          <cell r="H275">
            <v>1.1858405928487801</v>
          </cell>
          <cell r="I275">
            <v>4.2018332373068104</v>
          </cell>
          <cell r="J275">
            <v>4.2018332373068099E-3</v>
          </cell>
          <cell r="K275">
            <v>214.20763669549561</v>
          </cell>
          <cell r="L275">
            <v>0.21420763669549561</v>
          </cell>
          <cell r="M275">
            <v>1404.2500627815825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377.11618697254892</v>
          </cell>
          <cell r="H276">
            <v>0.37711618697254889</v>
          </cell>
          <cell r="I276">
            <v>7.5766229999999997</v>
          </cell>
          <cell r="J276">
            <v>7.5766229999999993E-3</v>
          </cell>
          <cell r="K276">
            <v>69.244705795058806</v>
          </cell>
          <cell r="L276">
            <v>6.92447057950588E-2</v>
          </cell>
          <cell r="M276">
            <v>453.93751576760769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2072.1503847431036</v>
          </cell>
          <cell r="H277">
            <v>2.0721503847431038</v>
          </cell>
          <cell r="I277">
            <v>6.162360141176471</v>
          </cell>
          <cell r="J277">
            <v>6.1623601411764711E-3</v>
          </cell>
          <cell r="K277">
            <v>374.09629407917043</v>
          </cell>
          <cell r="L277">
            <v>0.37409629407917044</v>
          </cell>
          <cell r="M277">
            <v>2452.4090389634507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3285.323227512255</v>
          </cell>
          <cell r="H279">
            <v>3.2853232275122548</v>
          </cell>
          <cell r="I279">
            <v>61.755208333333336</v>
          </cell>
          <cell r="J279">
            <v>6.1755208333333339E-2</v>
          </cell>
          <cell r="K279">
            <v>602.47411845220586</v>
          </cell>
          <cell r="L279">
            <v>0.60247411845220589</v>
          </cell>
          <cell r="M279">
            <v>3949.5525542977944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3907.772487218635</v>
          </cell>
          <cell r="H284">
            <v>3.9077724872186348</v>
          </cell>
          <cell r="I284">
            <v>49.228101527978637</v>
          </cell>
          <cell r="J284">
            <v>4.9228101527978636E-2</v>
          </cell>
          <cell r="K284">
            <v>712.2601059743904</v>
          </cell>
          <cell r="L284">
            <v>0.71226010597439038</v>
          </cell>
          <cell r="M284">
            <v>4669.2606947210043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3716.3390663390664</v>
          </cell>
          <cell r="H285">
            <v>3.7163390663390663</v>
          </cell>
          <cell r="I285">
            <v>1.4250614250614248E-2</v>
          </cell>
          <cell r="J285">
            <v>1.4250614250614247E-5</v>
          </cell>
          <cell r="K285">
            <v>668.94359705159707</v>
          </cell>
          <cell r="L285">
            <v>0.66894359705159712</v>
          </cell>
          <cell r="M285">
            <v>4385.2969140049145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2969.6361690743706</v>
          </cell>
          <cell r="H288">
            <v>2.9696361690743704</v>
          </cell>
          <cell r="I288">
            <v>0</v>
          </cell>
          <cell r="J288">
            <v>0</v>
          </cell>
          <cell r="K288">
            <v>534.53451043338669</v>
          </cell>
          <cell r="L288">
            <v>0.53453451043338673</v>
          </cell>
          <cell r="M288">
            <v>3504.1706795077571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4900.426785714285</v>
          </cell>
          <cell r="H289">
            <v>4.9004267857142851</v>
          </cell>
          <cell r="I289">
            <v>16.938571428571429</v>
          </cell>
          <cell r="J289">
            <v>1.6938571428571428E-2</v>
          </cell>
          <cell r="K289">
            <v>885.12576428571413</v>
          </cell>
          <cell r="L289">
            <v>0.8851257642857141</v>
          </cell>
          <cell r="M289">
            <v>5802.4911214285712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3475.987121135192</v>
          </cell>
          <cell r="H290">
            <v>3.475987121135192</v>
          </cell>
          <cell r="I290">
            <v>62.405263157894737</v>
          </cell>
          <cell r="J290">
            <v>6.2405263157894734E-2</v>
          </cell>
          <cell r="K290">
            <v>636.91062917275553</v>
          </cell>
          <cell r="L290">
            <v>0.63691062917275554</v>
          </cell>
          <cell r="M290">
            <v>4175.303013465842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11528.536465078672</v>
          </cell>
          <cell r="H291">
            <v>11.528536465078671</v>
          </cell>
          <cell r="I291">
            <v>4.2134032634032632</v>
          </cell>
          <cell r="J291">
            <v>4.2134032634032629E-3</v>
          </cell>
          <cell r="K291">
            <v>2075.8949763015735</v>
          </cell>
          <cell r="L291">
            <v>2.0758949763015733</v>
          </cell>
          <cell r="M291">
            <v>13608.64484464365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2093.9329641778945</v>
          </cell>
          <cell r="H292">
            <v>2.0939329641778945</v>
          </cell>
          <cell r="I292">
            <v>2.4103333333333338E-2</v>
          </cell>
          <cell r="J292">
            <v>2.4103333333333337E-5</v>
          </cell>
          <cell r="K292">
            <v>376.91227215202099</v>
          </cell>
          <cell r="L292">
            <v>0.376912272152021</v>
          </cell>
          <cell r="M292">
            <v>2470.8693396632489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1586.8781760429679</v>
          </cell>
          <cell r="H293">
            <v>1.5868781760429678</v>
          </cell>
          <cell r="I293">
            <v>7.3493827160493836</v>
          </cell>
          <cell r="J293">
            <v>7.3493827160493836E-3</v>
          </cell>
          <cell r="K293">
            <v>286.96096057662311</v>
          </cell>
          <cell r="L293">
            <v>0.28696096057662313</v>
          </cell>
          <cell r="M293">
            <v>1881.1885193356404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4339.1983865546217</v>
          </cell>
          <cell r="H295">
            <v>4.3391983865546218</v>
          </cell>
          <cell r="I295">
            <v>0</v>
          </cell>
          <cell r="J295">
            <v>0</v>
          </cell>
          <cell r="K295">
            <v>781.05570957983184</v>
          </cell>
          <cell r="L295">
            <v>0.78105570957983184</v>
          </cell>
          <cell r="M295">
            <v>5120.2540961344539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599.13741574789913</v>
          </cell>
          <cell r="H296">
            <v>0.59913741574789914</v>
          </cell>
          <cell r="I296">
            <v>4.2500571428571436E-2</v>
          </cell>
          <cell r="J296">
            <v>4.2500571428571436E-5</v>
          </cell>
          <cell r="K296">
            <v>107.85238493747899</v>
          </cell>
          <cell r="L296">
            <v>0.10785238493747899</v>
          </cell>
          <cell r="M296">
            <v>707.0323012568067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185.15217777777781</v>
          </cell>
          <cell r="H297">
            <v>0.18515217777777782</v>
          </cell>
          <cell r="I297">
            <v>19.761666666666667</v>
          </cell>
          <cell r="J297">
            <v>1.9761666666666667E-2</v>
          </cell>
          <cell r="K297">
            <v>36.884492000000002</v>
          </cell>
          <cell r="L297">
            <v>3.6884492000000005E-2</v>
          </cell>
          <cell r="M297">
            <v>241.79833644444446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198.42603083687945</v>
          </cell>
          <cell r="H299">
            <v>0.19842603083687946</v>
          </cell>
          <cell r="I299">
            <v>6.5333333333333332</v>
          </cell>
          <cell r="J299">
            <v>6.5333333333333328E-3</v>
          </cell>
          <cell r="K299">
            <v>36.892685550638298</v>
          </cell>
          <cell r="L299">
            <v>3.68926855506383E-2</v>
          </cell>
          <cell r="M299">
            <v>241.85204972085108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2072.1503847431036</v>
          </cell>
          <cell r="H303">
            <v>2.0721503847431038</v>
          </cell>
          <cell r="I303">
            <v>14.370971252287582</v>
          </cell>
          <cell r="J303">
            <v>1.4370971252287581E-2</v>
          </cell>
          <cell r="K303">
            <v>375.57384407917044</v>
          </cell>
          <cell r="L303">
            <v>0.37557384407917044</v>
          </cell>
          <cell r="M303">
            <v>2462.0952000745619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599.13741574789913</v>
          </cell>
          <cell r="H304">
            <v>0.59913741574789914</v>
          </cell>
          <cell r="I304">
            <v>9.0173735873015879</v>
          </cell>
          <cell r="J304">
            <v>9.017373587301588E-3</v>
          </cell>
          <cell r="K304">
            <v>109.46786208033612</v>
          </cell>
          <cell r="L304">
            <v>0.10946786208033611</v>
          </cell>
          <cell r="M304">
            <v>717.62265141553678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1346.2121915399857</v>
          </cell>
          <cell r="H305">
            <v>1.3462121915399856</v>
          </cell>
          <cell r="I305">
            <v>47.381939341453752</v>
          </cell>
          <cell r="J305">
            <v>4.7381939341453752E-2</v>
          </cell>
          <cell r="K305">
            <v>250.84694355865909</v>
          </cell>
          <cell r="L305">
            <v>0.25084694355865911</v>
          </cell>
          <cell r="M305">
            <v>1644.4410744400986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198.42603083687945</v>
          </cell>
          <cell r="H306">
            <v>0.19842603083687946</v>
          </cell>
          <cell r="I306">
            <v>15.574806349206348</v>
          </cell>
          <cell r="J306">
            <v>1.5574806349206348E-2</v>
          </cell>
          <cell r="K306">
            <v>38.520150693495438</v>
          </cell>
          <cell r="L306">
            <v>3.8520150693495438E-2</v>
          </cell>
          <cell r="M306">
            <v>252.52098787958124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3619.800762606571</v>
          </cell>
          <cell r="H307">
            <v>3.6198007626065709</v>
          </cell>
          <cell r="I307">
            <v>16.242098660630823</v>
          </cell>
          <cell r="J307">
            <v>1.6242098660630824E-2</v>
          </cell>
          <cell r="K307">
            <v>654.48771502809632</v>
          </cell>
          <cell r="L307">
            <v>0.65448771502809633</v>
          </cell>
          <cell r="M307">
            <v>4290.5305762952976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4233.2467172995775</v>
          </cell>
          <cell r="H308">
            <v>4.2332467172995774</v>
          </cell>
          <cell r="I308">
            <v>55.753219851316047</v>
          </cell>
          <cell r="J308">
            <v>5.5753219851316045E-2</v>
          </cell>
          <cell r="K308">
            <v>772.01998868716089</v>
          </cell>
          <cell r="L308">
            <v>0.77201998868716093</v>
          </cell>
          <cell r="M308">
            <v>5061.0199258380544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2557.7349198529409</v>
          </cell>
          <cell r="H309">
            <v>2.5577349198529409</v>
          </cell>
          <cell r="I309">
            <v>13.061170634920634</v>
          </cell>
          <cell r="J309">
            <v>1.3061170634920634E-2</v>
          </cell>
          <cell r="K309">
            <v>462.74329628781504</v>
          </cell>
          <cell r="L309">
            <v>0.46274329628781502</v>
          </cell>
          <cell r="M309">
            <v>3033.5393867756766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1454.6761080432802</v>
          </cell>
          <cell r="H310">
            <v>1.4546761080432802</v>
          </cell>
          <cell r="I310">
            <v>9.8563140613620988</v>
          </cell>
          <cell r="J310">
            <v>9.8563140613620991E-3</v>
          </cell>
          <cell r="K310">
            <v>263.61583597883561</v>
          </cell>
          <cell r="L310">
            <v>0.26361583597883559</v>
          </cell>
          <cell r="M310">
            <v>1728.1482580834779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2726.0512628017427</v>
          </cell>
          <cell r="H311">
            <v>2726.0512628017427</v>
          </cell>
          <cell r="I311">
            <v>0</v>
          </cell>
          <cell r="J311">
            <v>0</v>
          </cell>
          <cell r="K311">
            <v>490.68922730431365</v>
          </cell>
          <cell r="L311">
            <v>490.68922730431365</v>
          </cell>
          <cell r="M311">
            <v>3216.7404901060563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1798.7045454545453</v>
          </cell>
          <cell r="H312">
            <v>1.7987045454545452</v>
          </cell>
          <cell r="I312">
            <v>0</v>
          </cell>
          <cell r="J312">
            <v>0</v>
          </cell>
          <cell r="K312">
            <v>323.76681818181811</v>
          </cell>
          <cell r="L312">
            <v>0.32376681818181813</v>
          </cell>
          <cell r="M312">
            <v>2122.4713636363635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522.4788631132717</v>
          </cell>
          <cell r="H313">
            <v>0.52247886311327174</v>
          </cell>
          <cell r="I313">
            <v>10.54962611570248</v>
          </cell>
          <cell r="J313">
            <v>1.054962611570248E-2</v>
          </cell>
          <cell r="K313">
            <v>95.945128061215357</v>
          </cell>
          <cell r="L313">
            <v>9.5945128061215357E-2</v>
          </cell>
          <cell r="M313">
            <v>628.97361729018951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1181.436488700647</v>
          </cell>
          <cell r="H314">
            <v>1.181436488700647</v>
          </cell>
          <cell r="I314">
            <v>3.7521635552000001</v>
          </cell>
          <cell r="J314">
            <v>3.7521635552000003E-3</v>
          </cell>
          <cell r="K314">
            <v>213.33395740605246</v>
          </cell>
          <cell r="L314">
            <v>0.21333395740605246</v>
          </cell>
          <cell r="M314">
            <v>1398.5226096618994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4209.6216486330713</v>
          </cell>
          <cell r="H315">
            <v>4.2096216486330711</v>
          </cell>
          <cell r="I315">
            <v>8.6986582574074074</v>
          </cell>
          <cell r="J315">
            <v>8.6986582574074076E-3</v>
          </cell>
          <cell r="K315">
            <v>759.29765524028608</v>
          </cell>
          <cell r="L315">
            <v>0.75929765524028603</v>
          </cell>
          <cell r="M315">
            <v>4977.6179621307647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1963.0507666666667</v>
          </cell>
          <cell r="H316">
            <v>1.9630507666666668</v>
          </cell>
          <cell r="I316">
            <v>1.9508833333333331</v>
          </cell>
          <cell r="J316">
            <v>1.950883333333333E-3</v>
          </cell>
          <cell r="K316">
            <v>353.70029700000003</v>
          </cell>
          <cell r="L316">
            <v>0.35370029700000005</v>
          </cell>
          <cell r="M316">
            <v>2318.701947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7727.8309210519719</v>
          </cell>
          <cell r="H318">
            <v>7.7278309210519716</v>
          </cell>
          <cell r="I318">
            <v>3.7510993384126983</v>
          </cell>
          <cell r="J318">
            <v>3.7510993384126984E-3</v>
          </cell>
          <cell r="K318">
            <v>1391.6847636702691</v>
          </cell>
          <cell r="L318">
            <v>1.3916847636702692</v>
          </cell>
          <cell r="M318">
            <v>9123.2667840606537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2330.6412214939992</v>
          </cell>
          <cell r="H322">
            <v>2.3306412214939991</v>
          </cell>
          <cell r="I322">
            <v>39.011806852315843</v>
          </cell>
          <cell r="J322">
            <v>3.9011806852315846E-2</v>
          </cell>
          <cell r="K322">
            <v>426.53754510233665</v>
          </cell>
          <cell r="L322">
            <v>0.42653754510233666</v>
          </cell>
          <cell r="M322">
            <v>2796.1905734486513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2261.9944953248619</v>
          </cell>
          <cell r="H324">
            <v>2.2619944953248621</v>
          </cell>
          <cell r="I324">
            <v>0.10203788060417167</v>
          </cell>
          <cell r="J324">
            <v>1.0203788060417167E-4</v>
          </cell>
          <cell r="K324">
            <v>407.17737597698391</v>
          </cell>
          <cell r="L324">
            <v>0.40717737597698389</v>
          </cell>
          <cell r="M324">
            <v>2669.2739091824501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4412.9056035502954</v>
          </cell>
          <cell r="H325">
            <v>4.4129056035502954</v>
          </cell>
          <cell r="I325">
            <v>5.5769230769230758E-2</v>
          </cell>
          <cell r="J325">
            <v>5.5769230769230759E-5</v>
          </cell>
          <cell r="K325">
            <v>794.33304710059167</v>
          </cell>
          <cell r="L325">
            <v>0.79433304710059172</v>
          </cell>
          <cell r="M325">
            <v>5207.2944198816567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2158.232472222222</v>
          </cell>
          <cell r="H326">
            <v>2.1582324722222221</v>
          </cell>
          <cell r="I326">
            <v>9.8518518518518519E-2</v>
          </cell>
          <cell r="J326">
            <v>9.8518518518518521E-5</v>
          </cell>
          <cell r="K326">
            <v>388.49957833333332</v>
          </cell>
          <cell r="L326">
            <v>0.38849957833333332</v>
          </cell>
          <cell r="M326">
            <v>2546.830569074074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2065.194009797061</v>
          </cell>
          <cell r="H327">
            <v>2.0651940097970609</v>
          </cell>
          <cell r="I327">
            <v>2.3875190384061249E-2</v>
          </cell>
          <cell r="J327">
            <v>2.3875190384061249E-5</v>
          </cell>
          <cell r="K327">
            <v>371.73921929774008</v>
          </cell>
          <cell r="L327">
            <v>0.37173921929774006</v>
          </cell>
          <cell r="M327">
            <v>2436.9571042851849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2.7884615384615379E-2</v>
          </cell>
          <cell r="J328">
            <v>2.7884615384615379E-5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2691.0256410256407</v>
          </cell>
          <cell r="H329">
            <v>2.6910256410256408</v>
          </cell>
          <cell r="I329">
            <v>60</v>
          </cell>
          <cell r="J329">
            <v>0.06</v>
          </cell>
          <cell r="K329">
            <v>495.18461538461531</v>
          </cell>
          <cell r="L329">
            <v>0.49518461538461533</v>
          </cell>
          <cell r="M329">
            <v>3246.2102564102561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6266.25</v>
          </cell>
          <cell r="H330">
            <v>6.2662500000000003</v>
          </cell>
          <cell r="I330">
            <v>3.8865624999999997</v>
          </cell>
          <cell r="J330">
            <v>3.8865624999999998E-3</v>
          </cell>
          <cell r="K330">
            <v>1128.6245812499999</v>
          </cell>
          <cell r="L330">
            <v>1.12862458125</v>
          </cell>
          <cell r="M330">
            <v>7398.76114375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849.48765370832632</v>
          </cell>
          <cell r="H332">
            <v>849.48765370832632</v>
          </cell>
          <cell r="I332">
            <v>4.4955643437326662</v>
          </cell>
          <cell r="J332">
            <v>4.4955643437326662</v>
          </cell>
          <cell r="K332">
            <v>153.71697924937061</v>
          </cell>
          <cell r="L332">
            <v>153.71697924937061</v>
          </cell>
          <cell r="M332">
            <v>1007.7001973014296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537.93064976483026</v>
          </cell>
          <cell r="H333">
            <v>0.53793064976483029</v>
          </cell>
          <cell r="I333">
            <v>27.147058823529409</v>
          </cell>
          <cell r="J333">
            <v>2.714705882352941E-2</v>
          </cell>
          <cell r="K333">
            <v>101.71398754590473</v>
          </cell>
          <cell r="L333">
            <v>0.10171398754590473</v>
          </cell>
          <cell r="M333">
            <v>666.79169613426438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1816.1216029684051</v>
          </cell>
          <cell r="H335">
            <v>1816.1216029684051</v>
          </cell>
          <cell r="I335">
            <v>12.110370162177377</v>
          </cell>
          <cell r="J335">
            <v>12.110370162177377</v>
          </cell>
          <cell r="K335">
            <v>329.08175516350485</v>
          </cell>
          <cell r="L335">
            <v>329.08175516350485</v>
          </cell>
          <cell r="M335">
            <v>2157.3137282940875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1114.3790300230949</v>
          </cell>
          <cell r="H336">
            <v>1.1143790300230949</v>
          </cell>
          <cell r="I336">
            <v>15.091195691657585</v>
          </cell>
          <cell r="J336">
            <v>1.5091195691657585E-2</v>
          </cell>
          <cell r="K336">
            <v>203.30464062865542</v>
          </cell>
          <cell r="L336">
            <v>0.20330464062865541</v>
          </cell>
          <cell r="M336">
            <v>1332.7748663434077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678.37369193154029</v>
          </cell>
          <cell r="H337">
            <v>0.67837369193154029</v>
          </cell>
          <cell r="I337">
            <v>19.741012406049084</v>
          </cell>
          <cell r="J337">
            <v>1.9741012406049082E-2</v>
          </cell>
          <cell r="K337">
            <v>125.66064678076609</v>
          </cell>
          <cell r="L337">
            <v>0.12566064678076608</v>
          </cell>
          <cell r="M337">
            <v>823.7753511183555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615.8260264009964</v>
          </cell>
          <cell r="H338">
            <v>0.61582602640099637</v>
          </cell>
          <cell r="I338">
            <v>9.3149367121969853</v>
          </cell>
          <cell r="J338">
            <v>9.3149367121969848E-3</v>
          </cell>
          <cell r="K338">
            <v>112.5253733603748</v>
          </cell>
          <cell r="L338">
            <v>0.1125253733603748</v>
          </cell>
          <cell r="M338">
            <v>737.66633647356821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1355.045818181818</v>
          </cell>
          <cell r="H339">
            <v>1.3550458181818181</v>
          </cell>
          <cell r="I339">
            <v>17.005201717776568</v>
          </cell>
          <cell r="J339">
            <v>1.7005201717776568E-2</v>
          </cell>
          <cell r="K339">
            <v>246.96918358192701</v>
          </cell>
          <cell r="L339">
            <v>0.24696918358192702</v>
          </cell>
          <cell r="M339">
            <v>1619.0202034815215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763.21641290322577</v>
          </cell>
          <cell r="H340">
            <v>0.76321641290322573</v>
          </cell>
          <cell r="I340">
            <v>7.5469534050179217</v>
          </cell>
          <cell r="J340">
            <v>7.5469534050179215E-3</v>
          </cell>
          <cell r="K340">
            <v>138.73740593548385</v>
          </cell>
          <cell r="L340">
            <v>0.13873740593548384</v>
          </cell>
          <cell r="M340">
            <v>909.50077224372751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920.79606817393392</v>
          </cell>
          <cell r="H341">
            <v>0.92079606817393389</v>
          </cell>
          <cell r="I341">
            <v>15.937782849253896</v>
          </cell>
          <cell r="J341">
            <v>1.5937782849253897E-2</v>
          </cell>
          <cell r="K341">
            <v>168.6120931841738</v>
          </cell>
          <cell r="L341">
            <v>0.16861209318417381</v>
          </cell>
          <cell r="M341">
            <v>1105.3459442073618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1498.3169107111612</v>
          </cell>
          <cell r="H342">
            <v>1.4983169107111611</v>
          </cell>
          <cell r="I342">
            <v>0.57668800000000009</v>
          </cell>
          <cell r="J342">
            <v>5.7668800000000011E-4</v>
          </cell>
          <cell r="K342">
            <v>269.80084776800902</v>
          </cell>
          <cell r="L342">
            <v>0.269800847768009</v>
          </cell>
          <cell r="M342">
            <v>1768.6944464791704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7599.2141249999995</v>
          </cell>
          <cell r="H343">
            <v>7.5992141249999996</v>
          </cell>
          <cell r="I343">
            <v>32.903690476190476</v>
          </cell>
          <cell r="J343">
            <v>3.2903690476190475E-2</v>
          </cell>
          <cell r="K343">
            <v>1373.7812067857142</v>
          </cell>
          <cell r="L343">
            <v>1.3737812067857142</v>
          </cell>
          <cell r="M343">
            <v>9005.899022261905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957.85579123999992</v>
          </cell>
          <cell r="H344">
            <v>0.95785579123999987</v>
          </cell>
          <cell r="I344">
            <v>3.6617460317460315</v>
          </cell>
          <cell r="J344">
            <v>3.6617460317460316E-3</v>
          </cell>
          <cell r="K344">
            <v>173.07315670891427</v>
          </cell>
          <cell r="L344">
            <v>0.17307315670891427</v>
          </cell>
          <cell r="M344">
            <v>1134.5906939806603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1045.3750453999999</v>
          </cell>
          <cell r="H346">
            <v>1.0453750453999999</v>
          </cell>
          <cell r="I346">
            <v>4.4420317460317449</v>
          </cell>
          <cell r="J346">
            <v>4.442031746031745E-3</v>
          </cell>
          <cell r="K346">
            <v>188.96707388628568</v>
          </cell>
          <cell r="L346">
            <v>0.18896707388628567</v>
          </cell>
          <cell r="M346">
            <v>1238.7841510323174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876.47254891774901</v>
          </cell>
          <cell r="H347">
            <v>0.87647254891774906</v>
          </cell>
          <cell r="I347">
            <v>5.3320375769355364</v>
          </cell>
          <cell r="J347">
            <v>5.3320375769355362E-3</v>
          </cell>
          <cell r="K347">
            <v>158.72482556904322</v>
          </cell>
          <cell r="L347">
            <v>0.15872482556904322</v>
          </cell>
          <cell r="M347">
            <v>1040.5294120637277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672.98933867098049</v>
          </cell>
          <cell r="H348">
            <v>0.67298933867098054</v>
          </cell>
          <cell r="I348">
            <v>11.24586</v>
          </cell>
          <cell r="J348">
            <v>1.124586E-2</v>
          </cell>
          <cell r="K348">
            <v>123.16233576077649</v>
          </cell>
          <cell r="L348">
            <v>0.12316233576077648</v>
          </cell>
          <cell r="M348">
            <v>807.39753443175698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2172.7029519230769</v>
          </cell>
          <cell r="H350">
            <v>2.1727029519230769</v>
          </cell>
          <cell r="I350">
            <v>2.7884615384615379E-2</v>
          </cell>
          <cell r="J350">
            <v>2.7884615384615379E-5</v>
          </cell>
          <cell r="K350">
            <v>391.09155057692305</v>
          </cell>
          <cell r="L350">
            <v>0.39109155057692307</v>
          </cell>
          <cell r="M350">
            <v>2563.8223871153846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2502.7108439790572</v>
          </cell>
          <cell r="H351">
            <v>2.5027108439790573</v>
          </cell>
          <cell r="I351">
            <v>8.5120000000000001E-2</v>
          </cell>
          <cell r="J351">
            <v>8.5119999999999998E-5</v>
          </cell>
          <cell r="K351">
            <v>450.50327351623031</v>
          </cell>
          <cell r="L351">
            <v>0.45050327351623032</v>
          </cell>
          <cell r="M351">
            <v>2953.2992374952878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642.64384835930628</v>
          </cell>
          <cell r="H352">
            <v>642.64384835930628</v>
          </cell>
          <cell r="I352">
            <v>0.29559201143122221</v>
          </cell>
          <cell r="J352">
            <v>0.29559201143122221</v>
          </cell>
          <cell r="K352">
            <v>115.72909926673276</v>
          </cell>
          <cell r="L352">
            <v>115.72909926673276</v>
          </cell>
          <cell r="M352">
            <v>758.6685396374703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11.942348798414779</v>
          </cell>
          <cell r="H353">
            <v>11.942348798414779</v>
          </cell>
          <cell r="I353">
            <v>0.11010134994383393</v>
          </cell>
          <cell r="J353">
            <v>0.11010134994383393</v>
          </cell>
          <cell r="K353">
            <v>2.1694410267045501</v>
          </cell>
          <cell r="L353">
            <v>2.1694410267045501</v>
          </cell>
          <cell r="M353">
            <v>14.221891175063163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2182.8435765027575</v>
          </cell>
          <cell r="H355">
            <v>2.1828435765027576</v>
          </cell>
          <cell r="I355">
            <v>0</v>
          </cell>
          <cell r="J355">
            <v>0</v>
          </cell>
          <cell r="K355">
            <v>392.91184377049632</v>
          </cell>
          <cell r="L355">
            <v>0.39291184377049632</v>
          </cell>
          <cell r="M355">
            <v>2575.755420273254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554.91457654619023</v>
          </cell>
          <cell r="H357">
            <v>554.91457654619023</v>
          </cell>
          <cell r="I357">
            <v>4.1427814976053634</v>
          </cell>
          <cell r="J357">
            <v>4.1427814976053634</v>
          </cell>
          <cell r="K357">
            <v>100.63032444788321</v>
          </cell>
          <cell r="L357">
            <v>100.63032444788321</v>
          </cell>
          <cell r="M357">
            <v>659.68768249167886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88.899700225213635</v>
          </cell>
          <cell r="H358">
            <v>88.899700225213635</v>
          </cell>
          <cell r="I358">
            <v>1.6613991237520649</v>
          </cell>
          <cell r="J358">
            <v>1.6613991237520649</v>
          </cell>
          <cell r="K358">
            <v>16.300997882813824</v>
          </cell>
          <cell r="L358">
            <v>16.300997882813824</v>
          </cell>
          <cell r="M358">
            <v>106.86209723177953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196.34383962216535</v>
          </cell>
          <cell r="H359">
            <v>196.34383962216535</v>
          </cell>
          <cell r="I359">
            <v>2.3426856814153436</v>
          </cell>
          <cell r="J359">
            <v>2.3426856814153436</v>
          </cell>
          <cell r="K359">
            <v>35.763574554644521</v>
          </cell>
          <cell r="L359">
            <v>35.763574554644521</v>
          </cell>
          <cell r="M359">
            <v>234.4500998582252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2440.8295804081631</v>
          </cell>
          <cell r="H360">
            <v>2.4408295804081632</v>
          </cell>
          <cell r="I360">
            <v>8.5120000000000001E-2</v>
          </cell>
          <cell r="J360">
            <v>8.5119999999999998E-5</v>
          </cell>
          <cell r="K360">
            <v>439.36464607346937</v>
          </cell>
          <cell r="L360">
            <v>0.43936464607346937</v>
          </cell>
          <cell r="M360">
            <v>2880.2793464816327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 t="str">
            <v>907000255</v>
          </cell>
          <cell r="B364"/>
          <cell r="C364"/>
          <cell r="D364"/>
          <cell r="E364" t="str">
            <v>Und</v>
          </cell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mezcla"/>
      <sheetName val="Costo Premezcla "/>
      <sheetName val="Batido"/>
      <sheetName val="Costo Batido"/>
      <sheetName val="Rosquete"/>
      <sheetName val="Costo Rosquete"/>
      <sheetName val="Empaque"/>
      <sheetName val="Costo empaque "/>
    </sheetNames>
    <sheetDataSet>
      <sheetData sheetId="0"/>
      <sheetData sheetId="1"/>
      <sheetData sheetId="2"/>
      <sheetData sheetId="3"/>
      <sheetData sheetId="4"/>
      <sheetData sheetId="5">
        <row r="54">
          <cell r="H54">
            <v>1.8404114285714286</v>
          </cell>
        </row>
        <row r="56">
          <cell r="H56">
            <v>34.010999999999996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3C13-75B5-4E0F-903D-6D819D6EE5F9}">
  <dimension ref="A1:M46"/>
  <sheetViews>
    <sheetView view="pageBreakPreview" zoomScaleNormal="100" zoomScaleSheetLayoutView="100" workbookViewId="0">
      <selection activeCell="C9" sqref="C9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50.85546875" customWidth="1"/>
    <col min="4" max="4" width="13.85546875" customWidth="1"/>
    <col min="7" max="7" width="25.5703125" customWidth="1"/>
    <col min="8" max="8" width="18.5703125" customWidth="1"/>
    <col min="9" max="9" width="19" customWidth="1"/>
  </cols>
  <sheetData>
    <row r="1" spans="1:9" ht="16.5" x14ac:dyDescent="0.3">
      <c r="A1" s="308"/>
      <c r="B1" s="309"/>
      <c r="C1" s="315" t="s">
        <v>33</v>
      </c>
      <c r="D1" s="315"/>
      <c r="E1" s="315"/>
      <c r="F1" s="315"/>
      <c r="G1" s="315"/>
      <c r="H1" s="50" t="s">
        <v>32</v>
      </c>
      <c r="I1" s="49"/>
    </row>
    <row r="2" spans="1:9" ht="17.25" thickBot="1" x14ac:dyDescent="0.35">
      <c r="A2" s="310"/>
      <c r="B2" s="311"/>
      <c r="C2" s="316" t="s">
        <v>31</v>
      </c>
      <c r="D2" s="316"/>
      <c r="E2" s="316"/>
      <c r="F2" s="316"/>
      <c r="G2" s="316"/>
      <c r="H2" s="47" t="s">
        <v>30</v>
      </c>
      <c r="I2" s="48"/>
    </row>
    <row r="3" spans="1:9" ht="50.1" customHeight="1" x14ac:dyDescent="0.25">
      <c r="A3" s="310"/>
      <c r="B3" s="311"/>
      <c r="C3" s="317" t="s">
        <v>159</v>
      </c>
      <c r="D3" s="318"/>
      <c r="E3" s="318"/>
      <c r="F3" s="318"/>
      <c r="G3" s="319"/>
      <c r="H3" s="320" t="s">
        <v>29</v>
      </c>
      <c r="I3" s="297"/>
    </row>
    <row r="4" spans="1:9" ht="16.5" x14ac:dyDescent="0.3">
      <c r="A4" s="310"/>
      <c r="B4" s="311"/>
      <c r="C4" s="47" t="s">
        <v>28</v>
      </c>
      <c r="D4" s="300" t="s">
        <v>35</v>
      </c>
      <c r="E4" s="300"/>
      <c r="F4" s="300"/>
      <c r="G4" s="300"/>
      <c r="H4" s="321"/>
      <c r="I4" s="298"/>
    </row>
    <row r="5" spans="1:9" ht="17.25" thickBot="1" x14ac:dyDescent="0.35">
      <c r="A5" s="312"/>
      <c r="B5" s="313"/>
      <c r="C5" s="46" t="s">
        <v>27</v>
      </c>
      <c r="D5" s="301" t="s">
        <v>26</v>
      </c>
      <c r="E5" s="301"/>
      <c r="F5" s="301"/>
      <c r="G5" s="301"/>
      <c r="H5" s="322"/>
      <c r="I5" s="299"/>
    </row>
    <row r="6" spans="1:9" ht="30.75" customHeight="1" thickBot="1" x14ac:dyDescent="0.3">
      <c r="A6" s="323" t="s">
        <v>25</v>
      </c>
      <c r="B6" s="324"/>
      <c r="C6" s="324"/>
      <c r="D6" s="264" t="s">
        <v>36</v>
      </c>
      <c r="E6" s="264"/>
      <c r="F6" s="264"/>
      <c r="G6" s="314" t="s">
        <v>24</v>
      </c>
      <c r="H6" s="314"/>
      <c r="I6" s="45" t="s">
        <v>36</v>
      </c>
    </row>
    <row r="7" spans="1:9" ht="29.25" customHeight="1" x14ac:dyDescent="0.25">
      <c r="A7" s="302" t="s">
        <v>23</v>
      </c>
      <c r="B7" s="306" t="s">
        <v>34</v>
      </c>
      <c r="C7" s="304" t="s">
        <v>22</v>
      </c>
      <c r="D7" s="304" t="s">
        <v>21</v>
      </c>
      <c r="E7" s="304" t="s">
        <v>20</v>
      </c>
      <c r="F7" s="304"/>
      <c r="G7" s="304" t="s">
        <v>19</v>
      </c>
      <c r="H7" s="304"/>
      <c r="I7" s="44" t="s">
        <v>18</v>
      </c>
    </row>
    <row r="8" spans="1:9" ht="26.25" thickBot="1" x14ac:dyDescent="0.3">
      <c r="A8" s="303"/>
      <c r="B8" s="307"/>
      <c r="C8" s="305"/>
      <c r="D8" s="305"/>
      <c r="E8" s="43" t="s">
        <v>15</v>
      </c>
      <c r="F8" s="42" t="s">
        <v>17</v>
      </c>
      <c r="G8" s="43" t="s">
        <v>15</v>
      </c>
      <c r="H8" s="42" t="s">
        <v>17</v>
      </c>
      <c r="I8" s="41" t="s">
        <v>16</v>
      </c>
    </row>
    <row r="9" spans="1:9" x14ac:dyDescent="0.25">
      <c r="A9" s="58" t="s">
        <v>37</v>
      </c>
      <c r="B9" s="58" t="s">
        <v>51</v>
      </c>
      <c r="C9" s="60" t="s">
        <v>52</v>
      </c>
      <c r="D9" s="75" t="s">
        <v>40</v>
      </c>
      <c r="E9" s="75">
        <v>2250</v>
      </c>
      <c r="F9" s="75" t="s">
        <v>2</v>
      </c>
      <c r="G9" s="11"/>
      <c r="H9" s="40"/>
      <c r="I9" s="39"/>
    </row>
    <row r="10" spans="1:9" x14ac:dyDescent="0.25">
      <c r="A10" s="58" t="s">
        <v>38</v>
      </c>
      <c r="B10" s="58" t="s">
        <v>47</v>
      </c>
      <c r="C10" s="60" t="s">
        <v>48</v>
      </c>
      <c r="D10" s="75" t="s">
        <v>41</v>
      </c>
      <c r="E10" s="75">
        <v>50</v>
      </c>
      <c r="F10" s="75" t="s">
        <v>2</v>
      </c>
      <c r="G10" s="31"/>
      <c r="H10" s="37"/>
      <c r="I10" s="36"/>
    </row>
    <row r="11" spans="1:9" x14ac:dyDescent="0.25">
      <c r="A11" s="58" t="s">
        <v>66</v>
      </c>
      <c r="B11" s="58" t="s">
        <v>67</v>
      </c>
      <c r="C11" s="60" t="s">
        <v>68</v>
      </c>
      <c r="D11" s="75"/>
      <c r="E11" s="75">
        <v>20</v>
      </c>
      <c r="F11" s="75" t="s">
        <v>2</v>
      </c>
      <c r="G11" s="38"/>
      <c r="H11" s="37"/>
      <c r="I11" s="36"/>
    </row>
    <row r="12" spans="1:9" x14ac:dyDescent="0.25">
      <c r="A12" s="58">
        <v>101132</v>
      </c>
      <c r="B12" s="58" t="s">
        <v>77</v>
      </c>
      <c r="C12" s="60" t="s">
        <v>78</v>
      </c>
      <c r="D12" s="75"/>
      <c r="E12" s="75">
        <v>30</v>
      </c>
      <c r="F12" s="75" t="s">
        <v>2</v>
      </c>
      <c r="G12" s="38"/>
      <c r="H12" s="37"/>
      <c r="I12" s="36"/>
    </row>
    <row r="13" spans="1:9" x14ac:dyDescent="0.25">
      <c r="D13" s="61"/>
      <c r="E13" s="61"/>
      <c r="F13" s="61"/>
      <c r="G13" s="38"/>
      <c r="H13" s="37"/>
      <c r="I13" s="36"/>
    </row>
    <row r="14" spans="1:9" x14ac:dyDescent="0.25">
      <c r="A14" s="76" t="s">
        <v>39</v>
      </c>
      <c r="B14" s="76" t="s">
        <v>49</v>
      </c>
      <c r="C14" s="77" t="s">
        <v>50</v>
      </c>
      <c r="D14" s="78"/>
      <c r="E14" s="78">
        <v>1500</v>
      </c>
      <c r="F14" s="78" t="s">
        <v>2</v>
      </c>
      <c r="G14" s="31"/>
      <c r="H14" s="37"/>
      <c r="I14" s="36"/>
    </row>
    <row r="15" spans="1:9" x14ac:dyDescent="0.25">
      <c r="A15" s="59"/>
      <c r="B15" s="53"/>
      <c r="D15" s="61"/>
      <c r="E15" s="61"/>
      <c r="F15" s="61"/>
      <c r="G15" s="31"/>
      <c r="H15" s="37"/>
      <c r="I15" s="36"/>
    </row>
    <row r="16" spans="1:9" x14ac:dyDescent="0.25">
      <c r="A16" s="79" t="s">
        <v>69</v>
      </c>
      <c r="B16" s="79" t="s">
        <v>70</v>
      </c>
      <c r="C16" s="80" t="s">
        <v>71</v>
      </c>
      <c r="D16" s="81"/>
      <c r="E16" s="82">
        <v>2300</v>
      </c>
      <c r="F16" s="82" t="s">
        <v>2</v>
      </c>
      <c r="G16" s="31"/>
      <c r="H16" s="37"/>
      <c r="I16" s="36"/>
    </row>
    <row r="17" spans="1:13" ht="13.5" customHeight="1" thickBot="1" x14ac:dyDescent="0.3">
      <c r="A17" s="59"/>
      <c r="B17" s="52"/>
      <c r="D17" s="61"/>
      <c r="E17" s="61"/>
      <c r="F17" s="61"/>
      <c r="G17" s="265"/>
      <c r="H17" s="265"/>
      <c r="I17" s="35"/>
    </row>
    <row r="18" spans="1:13" ht="13.7" customHeight="1" thickBot="1" x14ac:dyDescent="0.3">
      <c r="A18" s="69"/>
      <c r="B18" s="54"/>
      <c r="C18" s="70" t="s">
        <v>53</v>
      </c>
      <c r="D18" s="71"/>
      <c r="E18" s="72"/>
      <c r="F18" s="73"/>
      <c r="G18" s="291"/>
      <c r="H18" s="292"/>
      <c r="I18" s="34"/>
      <c r="L18" s="33"/>
    </row>
    <row r="19" spans="1:13" x14ac:dyDescent="0.25">
      <c r="A19" s="59" t="s">
        <v>54</v>
      </c>
      <c r="B19" s="59" t="s">
        <v>55</v>
      </c>
      <c r="C19" t="s">
        <v>56</v>
      </c>
      <c r="D19" s="74" t="s">
        <v>42</v>
      </c>
      <c r="E19" s="72">
        <v>1</v>
      </c>
      <c r="F19" s="73" t="s">
        <v>7</v>
      </c>
      <c r="G19" s="25"/>
      <c r="H19" s="32"/>
      <c r="I19" s="29"/>
    </row>
    <row r="20" spans="1:13" x14ac:dyDescent="0.25">
      <c r="A20" s="59" t="s">
        <v>57</v>
      </c>
      <c r="B20" s="59" t="s">
        <v>58</v>
      </c>
      <c r="C20" t="s">
        <v>59</v>
      </c>
      <c r="D20" s="74" t="s">
        <v>42</v>
      </c>
      <c r="E20" s="72">
        <v>2</v>
      </c>
      <c r="F20" s="73" t="s">
        <v>7</v>
      </c>
      <c r="G20" s="25"/>
      <c r="H20" s="32"/>
      <c r="I20" s="29"/>
    </row>
    <row r="21" spans="1:13" x14ac:dyDescent="0.25">
      <c r="A21" s="59" t="s">
        <v>60</v>
      </c>
      <c r="B21" s="59" t="s">
        <v>61</v>
      </c>
      <c r="C21" t="s">
        <v>62</v>
      </c>
      <c r="D21" s="74" t="s">
        <v>43</v>
      </c>
      <c r="E21" s="72">
        <v>2</v>
      </c>
      <c r="F21" s="73" t="s">
        <v>7</v>
      </c>
      <c r="G21" s="25"/>
      <c r="H21" s="32"/>
      <c r="I21" s="30"/>
    </row>
    <row r="22" spans="1:13" x14ac:dyDescent="0.25">
      <c r="A22" s="59" t="s">
        <v>63</v>
      </c>
      <c r="B22" s="59" t="s">
        <v>64</v>
      </c>
      <c r="C22" t="s">
        <v>65</v>
      </c>
      <c r="D22" s="74" t="s">
        <v>43</v>
      </c>
      <c r="E22" s="72">
        <v>2</v>
      </c>
      <c r="F22" s="73" t="s">
        <v>7</v>
      </c>
      <c r="G22" s="9"/>
      <c r="H22" s="23"/>
      <c r="I22" s="30"/>
    </row>
    <row r="23" spans="1:13" ht="15.75" thickBot="1" x14ac:dyDescent="0.3">
      <c r="A23" s="22"/>
      <c r="B23" s="56"/>
      <c r="C23" s="19"/>
      <c r="D23" s="19"/>
      <c r="E23" s="21"/>
      <c r="F23" s="20"/>
      <c r="G23" s="19"/>
      <c r="H23" s="19"/>
      <c r="I23" s="18"/>
      <c r="L23" s="7"/>
    </row>
    <row r="24" spans="1:13" ht="15.75" thickBot="1" x14ac:dyDescent="0.3">
      <c r="A24" s="17"/>
      <c r="B24" s="57"/>
      <c r="C24" s="13"/>
      <c r="D24" s="16" t="s">
        <v>15</v>
      </c>
      <c r="E24" s="15" t="s">
        <v>14</v>
      </c>
      <c r="F24" s="14"/>
      <c r="G24" s="13"/>
      <c r="H24" s="13"/>
      <c r="I24" s="12"/>
      <c r="L24" s="7"/>
    </row>
    <row r="25" spans="1:13" x14ac:dyDescent="0.25">
      <c r="A25" s="270" t="s">
        <v>13</v>
      </c>
      <c r="B25" s="271"/>
      <c r="C25" s="272"/>
      <c r="D25" s="63">
        <v>6120</v>
      </c>
      <c r="E25" s="10" t="s">
        <v>2</v>
      </c>
      <c r="F25" s="273" t="s">
        <v>12</v>
      </c>
      <c r="G25" s="273"/>
      <c r="H25" s="274"/>
      <c r="I25" s="275"/>
      <c r="L25" s="7"/>
    </row>
    <row r="26" spans="1:13" x14ac:dyDescent="0.25">
      <c r="A26" s="276" t="s">
        <v>11</v>
      </c>
      <c r="B26" s="277"/>
      <c r="C26" s="278"/>
      <c r="D26" s="64">
        <v>4</v>
      </c>
      <c r="E26" s="9" t="s">
        <v>10</v>
      </c>
      <c r="F26" s="279" t="s">
        <v>9</v>
      </c>
      <c r="G26" s="279"/>
      <c r="H26" s="280"/>
      <c r="I26" s="281"/>
      <c r="L26" s="7"/>
    </row>
    <row r="27" spans="1:13" x14ac:dyDescent="0.25">
      <c r="A27" s="276" t="s">
        <v>8</v>
      </c>
      <c r="B27" s="277"/>
      <c r="C27" s="278"/>
      <c r="D27" s="65">
        <f>D25/D28</f>
        <v>1</v>
      </c>
      <c r="E27" s="9" t="s">
        <v>7</v>
      </c>
      <c r="F27" s="279" t="s">
        <v>6</v>
      </c>
      <c r="G27" s="279"/>
      <c r="H27" s="280"/>
      <c r="I27" s="281"/>
      <c r="L27" s="7"/>
    </row>
    <row r="28" spans="1:13" x14ac:dyDescent="0.25">
      <c r="A28" s="276" t="s">
        <v>5</v>
      </c>
      <c r="B28" s="277"/>
      <c r="C28" s="278"/>
      <c r="D28" s="65">
        <v>6120</v>
      </c>
      <c r="E28" s="8" t="s">
        <v>2</v>
      </c>
      <c r="F28" s="286" t="s">
        <v>4</v>
      </c>
      <c r="G28" s="286"/>
      <c r="H28" s="280"/>
      <c r="I28" s="281"/>
      <c r="L28" s="7"/>
    </row>
    <row r="29" spans="1:13" ht="15.75" thickBot="1" x14ac:dyDescent="0.3">
      <c r="A29" s="287" t="s">
        <v>3</v>
      </c>
      <c r="B29" s="288"/>
      <c r="C29" s="289"/>
      <c r="D29" s="66">
        <f>SUM(E9:E17)-D25</f>
        <v>30</v>
      </c>
      <c r="E29" s="6" t="s">
        <v>2</v>
      </c>
      <c r="F29" s="290"/>
      <c r="G29" s="290"/>
      <c r="H29" s="354"/>
      <c r="I29" s="355"/>
      <c r="J29" s="5"/>
      <c r="K29" s="5"/>
      <c r="M29" s="5"/>
    </row>
    <row r="30" spans="1:13" ht="15.75" thickBot="1" x14ac:dyDescent="0.3">
      <c r="A30" s="347" t="s">
        <v>1</v>
      </c>
      <c r="B30" s="348"/>
      <c r="C30" s="348"/>
      <c r="D30" s="348"/>
      <c r="E30" s="348"/>
      <c r="F30" s="348"/>
      <c r="G30" s="348"/>
      <c r="H30" s="348"/>
      <c r="I30" s="349"/>
    </row>
    <row r="31" spans="1:13" x14ac:dyDescent="0.25">
      <c r="A31" s="350" t="s">
        <v>92</v>
      </c>
      <c r="B31" s="351"/>
      <c r="C31" s="352"/>
      <c r="D31" s="352"/>
      <c r="E31" s="352"/>
      <c r="F31" s="352"/>
      <c r="G31" s="352"/>
      <c r="H31" s="352"/>
      <c r="I31" s="353"/>
      <c r="J31" s="1"/>
      <c r="K31" s="1"/>
      <c r="L31" s="3"/>
      <c r="M31" s="1"/>
    </row>
    <row r="32" spans="1:13" ht="27.6" customHeight="1" x14ac:dyDescent="0.25">
      <c r="A32" s="282" t="s">
        <v>93</v>
      </c>
      <c r="B32" s="283"/>
      <c r="C32" s="284"/>
      <c r="D32" s="284"/>
      <c r="E32" s="284"/>
      <c r="F32" s="284"/>
      <c r="G32" s="284"/>
      <c r="H32" s="284"/>
      <c r="I32" s="285"/>
      <c r="J32" s="1"/>
      <c r="K32" s="1"/>
      <c r="L32" s="3"/>
      <c r="M32" s="4"/>
    </row>
    <row r="33" spans="1:13" x14ac:dyDescent="0.25">
      <c r="A33" s="325" t="s">
        <v>94</v>
      </c>
      <c r="B33" s="326"/>
      <c r="C33" s="327"/>
      <c r="D33" s="327"/>
      <c r="E33" s="327"/>
      <c r="F33" s="327"/>
      <c r="G33" s="327"/>
      <c r="H33" s="327"/>
      <c r="I33" s="328"/>
      <c r="J33" s="2"/>
      <c r="K33" s="2"/>
      <c r="L33" s="3"/>
      <c r="M33" s="2"/>
    </row>
    <row r="34" spans="1:13" x14ac:dyDescent="0.25">
      <c r="A34" s="344"/>
      <c r="B34" s="345"/>
      <c r="C34" s="345"/>
      <c r="D34" s="345"/>
      <c r="E34" s="345"/>
      <c r="F34" s="345"/>
      <c r="G34" s="345"/>
      <c r="H34" s="345"/>
      <c r="I34" s="346"/>
      <c r="J34" s="2"/>
      <c r="K34" s="2"/>
      <c r="L34" s="3"/>
      <c r="M34" s="2"/>
    </row>
    <row r="35" spans="1:13" x14ac:dyDescent="0.25">
      <c r="A35" s="329"/>
      <c r="B35" s="330"/>
      <c r="C35" s="331"/>
      <c r="D35" s="331"/>
      <c r="E35" s="331"/>
      <c r="F35" s="331"/>
      <c r="G35" s="331"/>
      <c r="H35" s="331"/>
      <c r="I35" s="332"/>
      <c r="J35" s="1"/>
      <c r="K35" s="1"/>
      <c r="L35" s="1"/>
      <c r="M35" s="1"/>
    </row>
    <row r="36" spans="1:13" ht="15.75" thickBot="1" x14ac:dyDescent="0.3">
      <c r="A36" s="333"/>
      <c r="B36" s="334"/>
      <c r="C36" s="335"/>
      <c r="D36" s="335"/>
      <c r="E36" s="335"/>
      <c r="F36" s="335"/>
      <c r="G36" s="335"/>
      <c r="H36" s="335"/>
      <c r="I36" s="336"/>
      <c r="J36" s="1"/>
      <c r="K36" s="1"/>
      <c r="L36" s="1"/>
      <c r="M36" s="1"/>
    </row>
    <row r="37" spans="1:13" x14ac:dyDescent="0.25">
      <c r="A37" s="337" t="s">
        <v>0</v>
      </c>
      <c r="B37" s="338"/>
      <c r="C37" s="338"/>
      <c r="D37" s="338"/>
      <c r="E37" s="338"/>
      <c r="F37" s="338"/>
      <c r="G37" s="338"/>
      <c r="H37" s="338"/>
      <c r="I37" s="339"/>
      <c r="J37" s="1"/>
      <c r="K37" s="1"/>
      <c r="L37" s="1"/>
      <c r="M37" s="1"/>
    </row>
    <row r="38" spans="1:13" ht="15.75" thickBot="1" x14ac:dyDescent="0.3">
      <c r="A38" s="340"/>
      <c r="B38" s="341"/>
      <c r="C38" s="342"/>
      <c r="D38" s="342"/>
      <c r="E38" s="342"/>
      <c r="F38" s="342"/>
      <c r="G38" s="342"/>
      <c r="H38" s="342"/>
      <c r="I38" s="343"/>
      <c r="J38" s="1"/>
      <c r="K38" s="1"/>
      <c r="L38" s="1"/>
      <c r="M38" s="1"/>
    </row>
    <row r="39" spans="1:13" ht="15.75" thickBot="1" x14ac:dyDescent="0.3">
      <c r="A39" s="293"/>
      <c r="B39" s="294"/>
      <c r="C39" s="295"/>
      <c r="D39" s="295"/>
      <c r="E39" s="295"/>
      <c r="F39" s="295"/>
      <c r="G39" s="295"/>
      <c r="H39" s="295"/>
      <c r="I39" s="296"/>
      <c r="J39" s="1"/>
      <c r="K39" s="1"/>
      <c r="L39" s="1"/>
      <c r="M39" s="1"/>
    </row>
    <row r="40" spans="1:13" ht="15.75" thickBot="1" x14ac:dyDescent="0.3">
      <c r="A40" s="293"/>
      <c r="B40" s="294"/>
      <c r="C40" s="295"/>
      <c r="D40" s="295"/>
      <c r="E40" s="295"/>
      <c r="F40" s="295"/>
      <c r="G40" s="295"/>
      <c r="H40" s="295"/>
      <c r="I40" s="296"/>
      <c r="J40" s="1"/>
      <c r="K40" s="1"/>
      <c r="L40" s="1"/>
      <c r="M40" s="1"/>
    </row>
    <row r="41" spans="1:13" ht="15.75" thickBot="1" x14ac:dyDescent="0.3">
      <c r="A41" s="293"/>
      <c r="B41" s="294"/>
      <c r="C41" s="295"/>
      <c r="D41" s="295"/>
      <c r="E41" s="295"/>
      <c r="F41" s="295"/>
      <c r="G41" s="295"/>
      <c r="H41" s="295"/>
      <c r="I41" s="296"/>
    </row>
    <row r="42" spans="1:13" ht="15.75" thickBot="1" x14ac:dyDescent="0.3">
      <c r="A42" s="293"/>
      <c r="B42" s="294"/>
      <c r="C42" s="295"/>
      <c r="D42" s="295"/>
      <c r="E42" s="295"/>
      <c r="F42" s="295"/>
      <c r="G42" s="295"/>
      <c r="H42" s="295"/>
      <c r="I42" s="296"/>
    </row>
    <row r="43" spans="1:13" ht="15.75" thickBot="1" x14ac:dyDescent="0.3">
      <c r="A43" s="293"/>
      <c r="B43" s="294"/>
      <c r="C43" s="295"/>
      <c r="D43" s="295"/>
      <c r="E43" s="295"/>
      <c r="F43" s="295"/>
      <c r="G43" s="295"/>
      <c r="H43" s="295"/>
      <c r="I43" s="296"/>
    </row>
    <row r="44" spans="1:13" ht="15.75" thickBot="1" x14ac:dyDescent="0.3">
      <c r="A44" s="293"/>
      <c r="B44" s="294"/>
      <c r="C44" s="295"/>
      <c r="D44" s="295"/>
      <c r="E44" s="295"/>
      <c r="F44" s="295"/>
      <c r="G44" s="295"/>
      <c r="H44" s="295"/>
      <c r="I44" s="296"/>
    </row>
    <row r="45" spans="1:13" ht="15.75" thickBot="1" x14ac:dyDescent="0.3">
      <c r="A45" s="293"/>
      <c r="B45" s="294"/>
      <c r="C45" s="295"/>
      <c r="D45" s="295"/>
      <c r="E45" s="295"/>
      <c r="F45" s="295"/>
      <c r="G45" s="295"/>
      <c r="H45" s="295"/>
      <c r="I45" s="296"/>
    </row>
    <row r="46" spans="1:13" ht="15" customHeight="1" thickBot="1" x14ac:dyDescent="0.3">
      <c r="A46" s="266"/>
      <c r="B46" s="267"/>
      <c r="C46" s="268"/>
      <c r="D46" s="268"/>
      <c r="E46" s="268"/>
      <c r="F46" s="268"/>
      <c r="G46" s="268"/>
      <c r="H46" s="268"/>
      <c r="I46" s="269"/>
    </row>
  </sheetData>
  <mergeCells count="51">
    <mergeCell ref="A30:I30"/>
    <mergeCell ref="A31:I31"/>
    <mergeCell ref="H29:I29"/>
    <mergeCell ref="A27:C27"/>
    <mergeCell ref="F27:G27"/>
    <mergeCell ref="H27:I27"/>
    <mergeCell ref="A28:C28"/>
    <mergeCell ref="A44:I44"/>
    <mergeCell ref="A43:I43"/>
    <mergeCell ref="A42:I42"/>
    <mergeCell ref="A34:I34"/>
    <mergeCell ref="A41:I41"/>
    <mergeCell ref="A40:I40"/>
    <mergeCell ref="A39:I39"/>
    <mergeCell ref="A33:I33"/>
    <mergeCell ref="A35:I35"/>
    <mergeCell ref="A36:I36"/>
    <mergeCell ref="A37:I37"/>
    <mergeCell ref="A38:I38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G6:H6"/>
    <mergeCell ref="C1:G1"/>
    <mergeCell ref="C2:G2"/>
    <mergeCell ref="C3:G3"/>
    <mergeCell ref="H3:H5"/>
    <mergeCell ref="A6:C6"/>
    <mergeCell ref="D6:F6"/>
    <mergeCell ref="G17:H17"/>
    <mergeCell ref="A46:I46"/>
    <mergeCell ref="A25:C25"/>
    <mergeCell ref="F25:G25"/>
    <mergeCell ref="H25:I25"/>
    <mergeCell ref="A26:C26"/>
    <mergeCell ref="F26:G26"/>
    <mergeCell ref="H26:I26"/>
    <mergeCell ref="A32:I32"/>
    <mergeCell ref="F28:G28"/>
    <mergeCell ref="H28:I28"/>
    <mergeCell ref="A29:C29"/>
    <mergeCell ref="F29:G29"/>
    <mergeCell ref="G18:H18"/>
    <mergeCell ref="A45:I45"/>
  </mergeCells>
  <pageMargins left="0.7" right="0.7" top="0.75" bottom="0.75" header="0.3" footer="0.3"/>
  <pageSetup scale="47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1B23-CF03-4CA2-A716-9B82E5FD3E91}">
  <dimension ref="A1:Q91"/>
  <sheetViews>
    <sheetView topLeftCell="A60" workbookViewId="0">
      <selection activeCell="A12" sqref="A12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99</v>
      </c>
      <c r="F1" s="88" t="s">
        <v>100</v>
      </c>
      <c r="G1" s="88" t="s">
        <v>101</v>
      </c>
      <c r="H1" s="88" t="s">
        <v>102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8215.1122857142873</v>
      </c>
      <c r="F2" s="92">
        <f>IFERROR(H53,"")</f>
        <v>7627.5420000000004</v>
      </c>
      <c r="G2" s="92">
        <f>IFERROR(H54,"")</f>
        <v>111.57028571428572</v>
      </c>
      <c r="H2" s="92">
        <f>IFERROR(H56,"")</f>
        <v>244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357"/>
      <c r="B4" s="357"/>
      <c r="C4" s="357"/>
      <c r="D4" s="357"/>
      <c r="E4" s="357"/>
      <c r="F4" s="357"/>
      <c r="G4" s="357"/>
      <c r="H4" s="357"/>
      <c r="I4" s="95"/>
    </row>
    <row r="5" spans="1:10" ht="19.5" customHeight="1" thickBot="1" x14ac:dyDescent="0.3">
      <c r="A5" s="358" t="s">
        <v>103</v>
      </c>
      <c r="B5" s="359"/>
      <c r="C5" s="359"/>
      <c r="D5" s="359"/>
      <c r="E5" s="359"/>
      <c r="F5" s="359"/>
      <c r="G5" s="359"/>
      <c r="H5" s="360"/>
      <c r="I5" s="96"/>
    </row>
    <row r="6" spans="1:10" ht="19.5" thickBot="1" x14ac:dyDescent="0.3">
      <c r="A6" s="96"/>
      <c r="B6" s="96"/>
      <c r="C6" s="96"/>
      <c r="D6" s="96"/>
      <c r="E6" s="96"/>
      <c r="F6" s="361" t="s">
        <v>104</v>
      </c>
      <c r="G6" s="361"/>
      <c r="H6" s="97">
        <f ca="1">TODAY()</f>
        <v>45679</v>
      </c>
      <c r="I6" s="97"/>
    </row>
    <row r="7" spans="1:10" ht="26.25" thickBot="1" x14ac:dyDescent="0.3">
      <c r="A7" s="98" t="s">
        <v>105</v>
      </c>
      <c r="B7" s="99" t="s">
        <v>106</v>
      </c>
      <c r="C7" s="99" t="s">
        <v>105</v>
      </c>
      <c r="D7" s="100" t="s">
        <v>107</v>
      </c>
      <c r="E7" s="100" t="s">
        <v>108</v>
      </c>
      <c r="F7" s="100" t="s">
        <v>109</v>
      </c>
      <c r="G7" s="100" t="s">
        <v>110</v>
      </c>
      <c r="H7" s="101" t="s">
        <v>111</v>
      </c>
      <c r="I7" s="102"/>
    </row>
    <row r="8" spans="1:10" ht="13.5" x14ac:dyDescent="0.25">
      <c r="A8" s="103">
        <v>2250</v>
      </c>
      <c r="B8" s="91" t="s">
        <v>52</v>
      </c>
      <c r="C8" s="104">
        <f>+A8</f>
        <v>2250</v>
      </c>
      <c r="D8" s="105" t="s">
        <v>112</v>
      </c>
      <c r="E8" s="105">
        <v>0.56000000000000005</v>
      </c>
      <c r="F8" s="105">
        <f>IFERROR(C8*E8,"")</f>
        <v>1260.0000000000002</v>
      </c>
      <c r="G8" s="106">
        <f t="shared" ref="G8:G14" si="0">IFERROR(F8/$F$66,"")</f>
        <v>0.15487366924246584</v>
      </c>
      <c r="H8" s="107" t="s">
        <v>37</v>
      </c>
      <c r="I8" s="107"/>
      <c r="J8" s="108"/>
    </row>
    <row r="9" spans="1:10" ht="13.5" x14ac:dyDescent="0.25">
      <c r="A9" s="103">
        <v>50</v>
      </c>
      <c r="B9" s="91" t="str">
        <f>IFERROR(VLOOKUP(H9,'[1]Consolidado MP Planta'!$A$2:$M$823,3,0),"")</f>
        <v>POLVO HORNEAR FLEISHMAN (PAQ:2.5 K)</v>
      </c>
      <c r="C9" s="104">
        <f t="shared" ref="C9:C14" si="1">+A9</f>
        <v>50</v>
      </c>
      <c r="D9" s="105" t="str">
        <f>IFERROR(VLOOKUP(H9,'[1]Consolidado MP Planta'!$A$2:$M$823,13,0),"")</f>
        <v>Gramos</v>
      </c>
      <c r="E9" s="105">
        <v>1.02</v>
      </c>
      <c r="F9" s="105">
        <f t="shared" ref="F9:F14" si="2">IFERROR(C9*E9,"")</f>
        <v>51</v>
      </c>
      <c r="G9" s="106">
        <f t="shared" si="0"/>
        <v>6.2686961360045685E-3</v>
      </c>
      <c r="H9" s="107" t="s">
        <v>38</v>
      </c>
      <c r="I9" s="107"/>
      <c r="J9" s="108"/>
    </row>
    <row r="10" spans="1:10" ht="13.5" x14ac:dyDescent="0.25">
      <c r="A10" s="103">
        <v>20</v>
      </c>
      <c r="B10" s="91" t="str">
        <f>IFERROR(VLOOKUP(H10,'[1]Consolidado MP Planta'!$A$2:$M$823,3,0),"")</f>
        <v>SAL INDUSTRIA (SACO:25 Kg)</v>
      </c>
      <c r="C10" s="104">
        <f t="shared" si="1"/>
        <v>20</v>
      </c>
      <c r="D10" s="105" t="str">
        <f>IFERROR(VLOOKUP(H10,'[1]Consolidado MP Planta'!$A$2:$M$823,13,0),"")</f>
        <v>Gramos</v>
      </c>
      <c r="E10" s="105">
        <f>IFERROR(VLOOKUP(H10,'[1]Consolidado MP Planta'!$A$2:$M$823,12,0),"")</f>
        <v>0.188</v>
      </c>
      <c r="F10" s="105">
        <f t="shared" si="2"/>
        <v>3.76</v>
      </c>
      <c r="G10" s="106">
        <f t="shared" si="0"/>
        <v>4.6216269551719956E-4</v>
      </c>
      <c r="H10" s="107" t="s">
        <v>66</v>
      </c>
      <c r="I10" s="107"/>
      <c r="J10" s="108"/>
    </row>
    <row r="11" spans="1:10" ht="13.5" x14ac:dyDescent="0.25">
      <c r="A11" s="103">
        <v>30</v>
      </c>
      <c r="B11" s="91" t="s">
        <v>78</v>
      </c>
      <c r="C11" s="104">
        <f t="shared" si="1"/>
        <v>30</v>
      </c>
      <c r="D11" s="105" t="s">
        <v>112</v>
      </c>
      <c r="E11" s="105">
        <v>6</v>
      </c>
      <c r="F11" s="105">
        <f t="shared" si="2"/>
        <v>180</v>
      </c>
      <c r="G11" s="106">
        <f t="shared" si="0"/>
        <v>2.2124809891780832E-2</v>
      </c>
      <c r="H11" s="107" t="s">
        <v>113</v>
      </c>
      <c r="I11" s="107"/>
      <c r="J11" s="108"/>
    </row>
    <row r="12" spans="1:10" ht="13.5" x14ac:dyDescent="0.25">
      <c r="A12" s="103">
        <v>1500</v>
      </c>
      <c r="B12" s="91" t="str">
        <f>IFERROR(VLOOKUP(H12,'[1]Consolidado MP Planta'!$A$2:$M$823,3,0),"")</f>
        <v>LACTOCREMA GRANEL (CAJA:25 KG)</v>
      </c>
      <c r="C12" s="104">
        <f t="shared" si="1"/>
        <v>1500</v>
      </c>
      <c r="D12" s="105" t="str">
        <f>IFERROR(VLOOKUP(H12,'[1]Consolidado MP Planta'!$A$2:$M$823,13,0),"")</f>
        <v>Gramos</v>
      </c>
      <c r="E12" s="105">
        <v>3.49</v>
      </c>
      <c r="F12" s="105">
        <f t="shared" si="2"/>
        <v>5235</v>
      </c>
      <c r="G12" s="106">
        <f t="shared" si="0"/>
        <v>0.64346322101929254</v>
      </c>
      <c r="H12" s="107" t="s">
        <v>39</v>
      </c>
      <c r="I12" s="107"/>
      <c r="J12" s="108"/>
    </row>
    <row r="13" spans="1:10" ht="13.5" x14ac:dyDescent="0.25">
      <c r="A13" s="103">
        <v>2300</v>
      </c>
      <c r="B13" s="91" t="str">
        <f>IFERROR(VLOOKUP(H13,'[1]Consolidado MP Planta'!$A$2:$M$823,3,0),"")</f>
        <v>AZUCAR BLANCO INDUSTRIAL (SACO:50 K)</v>
      </c>
      <c r="C13" s="104">
        <f t="shared" si="1"/>
        <v>2300</v>
      </c>
      <c r="D13" s="105" t="str">
        <f>IFERROR(VLOOKUP(H13,'[1]Consolidado MP Planta'!$A$2:$M$823,13,0),"")</f>
        <v>Gramos</v>
      </c>
      <c r="E13" s="105">
        <f>IFERROR(VLOOKUP(H13,'[1]Consolidado MP Planta'!$A$2:$M$823,12,0),"")</f>
        <v>0.39034000000000002</v>
      </c>
      <c r="F13" s="105">
        <f t="shared" si="2"/>
        <v>897.78200000000004</v>
      </c>
      <c r="G13" s="106">
        <f t="shared" si="0"/>
        <v>0.11035142263479322</v>
      </c>
      <c r="H13" s="107" t="s">
        <v>69</v>
      </c>
      <c r="I13" s="107"/>
      <c r="J13" s="108"/>
    </row>
    <row r="14" spans="1:10" ht="13.5" x14ac:dyDescent="0.25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hidden="1" thickBot="1" x14ac:dyDescent="0.3">
      <c r="A16" s="98" t="s">
        <v>105</v>
      </c>
      <c r="B16" s="99" t="s">
        <v>114</v>
      </c>
      <c r="C16" s="99" t="s">
        <v>105</v>
      </c>
      <c r="D16" s="100" t="s">
        <v>107</v>
      </c>
      <c r="E16" s="100" t="s">
        <v>108</v>
      </c>
      <c r="F16" s="100" t="s">
        <v>109</v>
      </c>
      <c r="G16" s="100" t="s">
        <v>110</v>
      </c>
      <c r="H16" s="101" t="s">
        <v>111</v>
      </c>
      <c r="I16" s="102"/>
      <c r="J16" s="108"/>
    </row>
    <row r="17" spans="1:12" ht="14.25" hidden="1" thickBot="1" x14ac:dyDescent="0.3">
      <c r="A17" s="103"/>
      <c r="B17" s="91" t="str">
        <f>IFERROR(VLOOKUP(H17,[1]SEMIELABORADOS!$A$2:$M$6000,2,0),"")</f>
        <v/>
      </c>
      <c r="C17" s="104">
        <f>+A17</f>
        <v>0</v>
      </c>
      <c r="D17" s="104" t="str">
        <f>IFERROR(VLOOKUP(H17,[1]SEMIELABORADOS!$A$2:$M$6000,6,0),"")</f>
        <v/>
      </c>
      <c r="E17" s="105" t="str">
        <f>IFERROR(VLOOKUP(H17,[1]SEMIELABORADOS!$A$2:$H$65536,8,0),"")</f>
        <v/>
      </c>
      <c r="F17" s="105" t="str">
        <f>IFERROR(E17*C17,"")</f>
        <v/>
      </c>
      <c r="G17" s="106" t="str">
        <f t="shared" ref="G17:G24" si="3">IFERROR(F17/$F$66,"")</f>
        <v/>
      </c>
      <c r="H17" s="107"/>
      <c r="I17" s="107"/>
      <c r="J17" s="108"/>
    </row>
    <row r="18" spans="1:12" ht="14.25" hidden="1" thickBot="1" x14ac:dyDescent="0.3">
      <c r="A18" s="103"/>
      <c r="B18" s="91" t="str">
        <f>IFERROR(VLOOKUP(H18,[1]SEMIELABORADOS!$A$2:$M$6000,2,0),"")</f>
        <v/>
      </c>
      <c r="C18" s="104">
        <f t="shared" ref="C18:C24" si="4">+A18</f>
        <v>0</v>
      </c>
      <c r="D18" s="104" t="str">
        <f>IFERROR(VLOOKUP(H18,[1]SEMIELABORADOS!$A$2:$M$6000,6,0),"")</f>
        <v/>
      </c>
      <c r="E18" s="105" t="str">
        <f>IFERROR(VLOOKUP(H18,[1]SEMIELABORADOS!$A$2:$H$65536,8,0),"")</f>
        <v/>
      </c>
      <c r="F18" s="105" t="str">
        <f t="shared" ref="F18:F24" si="5">IFERROR(E18*C18,"")</f>
        <v/>
      </c>
      <c r="G18" s="106" t="str">
        <f t="shared" si="3"/>
        <v/>
      </c>
      <c r="H18" s="107"/>
      <c r="I18" s="107"/>
      <c r="J18" s="108"/>
    </row>
    <row r="19" spans="1:12" ht="14.25" hidden="1" thickBot="1" x14ac:dyDescent="0.3">
      <c r="A19" s="103"/>
      <c r="B19" s="91" t="str">
        <f>IFERROR(VLOOKUP(H19,[1]SEMIELABORADOS!$A$2:$M$6000,2,0),"")</f>
        <v/>
      </c>
      <c r="C19" s="104">
        <f>+A19</f>
        <v>0</v>
      </c>
      <c r="D19" s="104" t="str">
        <f>IFERROR(VLOOKUP(H19,[1]SEMIELABORADOS!$A$2:$M$6000,6,0),"")</f>
        <v/>
      </c>
      <c r="E19" s="105" t="str">
        <f>IFERROR(VLOOKUP(H19,[1]SEMIELABORADOS!$A$2:$H$65536,8,0),"")</f>
        <v/>
      </c>
      <c r="F19" s="105" t="str">
        <f>IFERROR(E19*C19,"")</f>
        <v/>
      </c>
      <c r="G19" s="106" t="str">
        <f t="shared" si="3"/>
        <v/>
      </c>
      <c r="H19" s="107"/>
      <c r="I19" s="107"/>
      <c r="J19" s="108"/>
    </row>
    <row r="20" spans="1:12" ht="14.25" hidden="1" thickBot="1" x14ac:dyDescent="0.3">
      <c r="A20" s="103"/>
      <c r="B20" s="91" t="str">
        <f>IFERROR(VLOOKUP(H20,[1]SEMIELABORADOS!$A$2:$M$6000,2,0),"")</f>
        <v/>
      </c>
      <c r="C20" s="104">
        <f>+A20</f>
        <v>0</v>
      </c>
      <c r="D20" s="104" t="str">
        <f>IFERROR(VLOOKUP(H20,[1]SEMIELABORADOS!$A$2:$M$6000,6,0),"")</f>
        <v/>
      </c>
      <c r="E20" s="105" t="str">
        <f>IFERROR(VLOOKUP(H20,[1]SEMIELABORADOS!$A$2:$H$65536,8,0),"")</f>
        <v/>
      </c>
      <c r="F20" s="105" t="str">
        <f>IFERROR(E20*C20,"")</f>
        <v/>
      </c>
      <c r="G20" s="106" t="str">
        <f t="shared" si="3"/>
        <v/>
      </c>
      <c r="H20" s="107"/>
      <c r="I20" s="107"/>
      <c r="J20" s="108"/>
    </row>
    <row r="21" spans="1:12" ht="14.25" hidden="1" thickBot="1" x14ac:dyDescent="0.3">
      <c r="A21" s="103"/>
      <c r="B21" s="91" t="str">
        <f>IFERROR(VLOOKUP(H21,[1]SEMIELABORADOS!$A$2:$M$6000,2,0),"")</f>
        <v/>
      </c>
      <c r="C21" s="104">
        <f>+A21</f>
        <v>0</v>
      </c>
      <c r="D21" s="104" t="str">
        <f>IFERROR(VLOOKUP(H21,[1]SEMIELABORADOS!$A$2:$M$6000,6,0),"")</f>
        <v/>
      </c>
      <c r="E21" s="105" t="str">
        <f>IFERROR(VLOOKUP(H21,[1]SEMIELABORADOS!$A$2:$H$65536,8,0),"")</f>
        <v/>
      </c>
      <c r="F21" s="105" t="str">
        <f>IFERROR(E21*C21,"")</f>
        <v/>
      </c>
      <c r="G21" s="106" t="str">
        <f t="shared" si="3"/>
        <v/>
      </c>
      <c r="H21" s="107"/>
      <c r="I21" s="107"/>
      <c r="J21" s="108"/>
    </row>
    <row r="22" spans="1:12" ht="14.25" hidden="1" thickBot="1" x14ac:dyDescent="0.3">
      <c r="A22" s="103"/>
      <c r="B22" s="91" t="str">
        <f>IFERROR(VLOOKUP(H22,[1]SEMIELABORADOS!$A$2:$M$6000,2,0),"")</f>
        <v/>
      </c>
      <c r="C22" s="104">
        <f t="shared" si="4"/>
        <v>0</v>
      </c>
      <c r="D22" s="104" t="str">
        <f>IFERROR(VLOOKUP(H22,[1]SEMIELABORADOS!$A$2:$M$6000,6,0),"")</f>
        <v/>
      </c>
      <c r="E22" s="105" t="str">
        <f>IFERROR(VLOOKUP(H22,[1]SEMIELABORADOS!$A$2:$H$65536,8,0),"")</f>
        <v/>
      </c>
      <c r="F22" s="105" t="str">
        <f t="shared" si="5"/>
        <v/>
      </c>
      <c r="G22" s="106" t="str">
        <f t="shared" si="3"/>
        <v/>
      </c>
      <c r="H22" s="107"/>
      <c r="I22" s="107"/>
      <c r="J22" s="108"/>
    </row>
    <row r="23" spans="1:12" ht="14.25" hidden="1" thickBot="1" x14ac:dyDescent="0.3">
      <c r="A23" s="103"/>
      <c r="B23" s="91" t="str">
        <f>IFERROR(VLOOKUP(H23,[1]SEMIELABORADOS!$A$2:$M$6000,2,0),"")</f>
        <v/>
      </c>
      <c r="C23" s="104">
        <f t="shared" si="4"/>
        <v>0</v>
      </c>
      <c r="D23" s="104" t="str">
        <f>IFERROR(VLOOKUP(H23,[1]SEMIELABORADOS!$A$2:$M$6000,6,0),"")</f>
        <v/>
      </c>
      <c r="E23" s="105" t="str">
        <f>IFERROR(VLOOKUP(H23,[1]SEMIELABORADOS!$A$2:$H$65536,8,0),"")</f>
        <v/>
      </c>
      <c r="F23" s="105" t="str">
        <f t="shared" si="5"/>
        <v/>
      </c>
      <c r="G23" s="106" t="str">
        <f t="shared" si="3"/>
        <v/>
      </c>
      <c r="H23" s="107"/>
      <c r="I23" s="107"/>
      <c r="J23" s="108"/>
    </row>
    <row r="24" spans="1:12" ht="14.25" hidden="1" thickBot="1" x14ac:dyDescent="0.3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hidden="1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105</v>
      </c>
      <c r="B26" s="99" t="s">
        <v>53</v>
      </c>
      <c r="C26" s="99" t="s">
        <v>105</v>
      </c>
      <c r="D26" s="100" t="s">
        <v>107</v>
      </c>
      <c r="E26" s="100" t="s">
        <v>108</v>
      </c>
      <c r="F26" s="100" t="s">
        <v>109</v>
      </c>
      <c r="G26" s="100" t="s">
        <v>110</v>
      </c>
      <c r="H26" s="101" t="s">
        <v>111</v>
      </c>
      <c r="I26" s="102"/>
    </row>
    <row r="27" spans="1:12" ht="13.5" x14ac:dyDescent="0.25">
      <c r="A27" s="103">
        <v>1</v>
      </c>
      <c r="B27" s="109" t="str">
        <f>IFERROR(VLOOKUP(H27,'[1]Consolidado MP Planta'!$A$2:$M$823,3,0),"")</f>
        <v>BOLSA 12x18 TRANSP KILO</v>
      </c>
      <c r="C27" s="104">
        <f t="shared" ref="C27:C32" si="6">+A27</f>
        <v>1</v>
      </c>
      <c r="D27" s="105" t="str">
        <f>IFERROR(VLOOKUP(H27,'[1]Consolidado MP Planta'!$A$2:$M$823,13,0),"")</f>
        <v>Und</v>
      </c>
      <c r="E27" s="105">
        <f>IFERROR(VLOOKUP(H27,'[1]Consolidado MP Planta'!$A$2:$M$823,12,0),"")</f>
        <v>14.4</v>
      </c>
      <c r="F27" s="105">
        <f t="shared" ref="F27:F32" si="7">IFERROR(C27*E27,"")</f>
        <v>14.4</v>
      </c>
      <c r="G27" s="106">
        <f t="shared" ref="G27:G32" si="8">IFERROR(F27/$F$66,"")</f>
        <v>1.7699847913424667E-3</v>
      </c>
      <c r="H27" s="110" t="s">
        <v>54</v>
      </c>
      <c r="I27" s="110"/>
      <c r="J27" s="108"/>
      <c r="K27" s="356"/>
      <c r="L27" s="356"/>
    </row>
    <row r="28" spans="1:12" ht="13.5" x14ac:dyDescent="0.25">
      <c r="A28" s="103">
        <v>2</v>
      </c>
      <c r="B28" s="109" t="str">
        <f>IFERROR(VLOOKUP(H28,'[1]Consolidado MP Planta'!$A$2:$M$823,3,0),"")</f>
        <v>BOLSA 17x25 TRANSP KILO</v>
      </c>
      <c r="C28" s="104">
        <f t="shared" si="6"/>
        <v>2</v>
      </c>
      <c r="D28" s="105" t="str">
        <f>IFERROR(VLOOKUP(H28,'[1]Consolidado MP Planta'!$A$2:$M$823,13,0),"")</f>
        <v>Und</v>
      </c>
      <c r="E28" s="105">
        <f>IFERROR(VLOOKUP(H28,'[1]Consolidado MP Planta'!$A$2:$M$823,12,0),"")</f>
        <v>42.857142857142854</v>
      </c>
      <c r="F28" s="105">
        <f t="shared" si="7"/>
        <v>85.714285714285708</v>
      </c>
      <c r="G28" s="106">
        <f t="shared" si="8"/>
        <v>1.0535623757990871E-2</v>
      </c>
      <c r="H28" s="110" t="s">
        <v>57</v>
      </c>
      <c r="I28" s="110"/>
      <c r="J28" s="108"/>
      <c r="K28" s="356"/>
      <c r="L28" s="356"/>
    </row>
    <row r="29" spans="1:12" ht="13.5" x14ac:dyDescent="0.25">
      <c r="A29" s="103">
        <v>2</v>
      </c>
      <c r="B29" s="109" t="str">
        <f>IFERROR(VLOOKUP(H29,'[1]Consolidado MP Planta'!$A$2:$M$823,3,0),"")</f>
        <v>ETIQUETA ROJA LETRA ALERJENO (UND)</v>
      </c>
      <c r="C29" s="104">
        <f t="shared" si="6"/>
        <v>2</v>
      </c>
      <c r="D29" s="105" t="str">
        <f>IFERROR(VLOOKUP(H29,'[1]Consolidado MP Planta'!$A$2:$M$823,13,0),"")</f>
        <v>Und</v>
      </c>
      <c r="E29" s="105">
        <f>IFERROR(VLOOKUP(H29,'[1]Consolidado MP Planta'!$A$2:$M$823,12,0),"")</f>
        <v>3.6</v>
      </c>
      <c r="F29" s="105">
        <f t="shared" si="7"/>
        <v>7.2</v>
      </c>
      <c r="G29" s="106">
        <f t="shared" si="8"/>
        <v>8.8499239567123333E-4</v>
      </c>
      <c r="H29" s="110" t="s">
        <v>60</v>
      </c>
      <c r="I29" s="110"/>
      <c r="J29" s="108"/>
      <c r="K29" s="356"/>
      <c r="L29" s="356"/>
    </row>
    <row r="30" spans="1:12" ht="13.5" x14ac:dyDescent="0.25">
      <c r="A30" s="103">
        <v>2</v>
      </c>
      <c r="B30" s="109" t="str">
        <f>IFERROR(VLOOKUP(H30,'[1]Consolidado MP Planta'!$A$2:$M$823,3,0),"")</f>
        <v>ETIQUETA BLANCA 2 5/8X1 15/16 (UND)</v>
      </c>
      <c r="C30" s="104">
        <f t="shared" si="6"/>
        <v>2</v>
      </c>
      <c r="D30" s="105" t="str">
        <f>IFERROR(VLOOKUP(H30,'[1]Consolidado MP Planta'!$A$2:$M$823,13,0),"")</f>
        <v>Und</v>
      </c>
      <c r="E30" s="105">
        <f>IFERROR(VLOOKUP(H30,'[1]Consolidado MP Planta'!$A$2:$M$823,12,0),"")</f>
        <v>2.1280000000000001</v>
      </c>
      <c r="F30" s="105">
        <f t="shared" si="7"/>
        <v>4.2560000000000002</v>
      </c>
      <c r="G30" s="106">
        <f t="shared" si="8"/>
        <v>5.2312883833010681E-4</v>
      </c>
      <c r="H30" s="110" t="s">
        <v>63</v>
      </c>
      <c r="I30" s="110"/>
      <c r="J30" s="108"/>
      <c r="K30" s="356"/>
      <c r="L30" s="356"/>
    </row>
    <row r="31" spans="1:12" ht="13.5" hidden="1" x14ac:dyDescent="0.25">
      <c r="A31" s="103"/>
      <c r="B31" s="109" t="str">
        <f>IFERROR(VLOOKUP(H31,'[1]Consolidado MP Planta'!$A$2:$M$823,3,0),"")</f>
        <v/>
      </c>
      <c r="C31" s="104">
        <f t="shared" si="6"/>
        <v>0</v>
      </c>
      <c r="D31" s="105" t="str">
        <f>IFERROR(VLOOKUP(H31,'[1]Consolidado MP Planta'!$A$2:$M$823,13,0),"")</f>
        <v/>
      </c>
      <c r="E31" s="105" t="str">
        <f>IFERROR(VLOOKUP(H31,'[1]Consolidado MP Planta'!$A$2:$M$823,12,0),"")</f>
        <v/>
      </c>
      <c r="F31" s="105" t="str">
        <f t="shared" si="7"/>
        <v/>
      </c>
      <c r="G31" s="106" t="str">
        <f t="shared" si="8"/>
        <v/>
      </c>
      <c r="H31" s="110"/>
      <c r="I31" s="110"/>
      <c r="J31" s="108"/>
      <c r="K31" s="111"/>
      <c r="L31" s="112"/>
    </row>
    <row r="32" spans="1:12" ht="13.5" hidden="1" x14ac:dyDescent="0.25">
      <c r="A32" s="103"/>
      <c r="B32" s="109" t="str">
        <f>IFERROR(VLOOKUP(H32,'[1]Consolidado MP Planta'!$A$2:$M$823,3,0),"")</f>
        <v/>
      </c>
      <c r="C32" s="104">
        <f t="shared" si="6"/>
        <v>0</v>
      </c>
      <c r="D32" s="105" t="str">
        <f>IFERROR(VLOOKUP(H32,'[1]Consolidado MP Planta'!$A$2:$M$823,13,0),"")</f>
        <v/>
      </c>
      <c r="E32" s="105" t="str">
        <f>IFERROR(VLOOKUP(H32,'[1]Consolidado MP Planta'!$A$2:$M$823,12,0),"")</f>
        <v/>
      </c>
      <c r="F32" s="105" t="str">
        <f t="shared" si="7"/>
        <v/>
      </c>
      <c r="G32" s="106" t="str">
        <f t="shared" si="8"/>
        <v/>
      </c>
      <c r="H32" s="110"/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hidden="1" thickBot="1" x14ac:dyDescent="0.25">
      <c r="A34" s="98" t="s">
        <v>105</v>
      </c>
      <c r="B34" s="99" t="s">
        <v>115</v>
      </c>
      <c r="C34" s="99" t="s">
        <v>105</v>
      </c>
      <c r="D34" s="100" t="s">
        <v>107</v>
      </c>
      <c r="E34" s="100" t="s">
        <v>108</v>
      </c>
      <c r="F34" s="100" t="s">
        <v>109</v>
      </c>
      <c r="G34" s="100" t="s">
        <v>110</v>
      </c>
      <c r="H34" s="101" t="s">
        <v>111</v>
      </c>
      <c r="I34" s="110"/>
      <c r="J34" s="108"/>
    </row>
    <row r="35" spans="1:13" ht="14.25" hidden="1" thickBot="1" x14ac:dyDescent="0.3">
      <c r="A35" s="103">
        <f>+A17</f>
        <v>0</v>
      </c>
      <c r="B35" s="109" t="str">
        <f>IFERROR(VLOOKUP(H35,[1]SEMIELABORADOS!$A$2:$M$6000,2,0),"")</f>
        <v/>
      </c>
      <c r="C35" s="104">
        <f>+A35</f>
        <v>0</v>
      </c>
      <c r="D35" s="105" t="str">
        <f>IFERROR(VLOOKUP(H35,[1]SEMIELABORADOS!$A$2:$M$6000,6,0),"")</f>
        <v/>
      </c>
      <c r="E35" s="105" t="str">
        <f>IFERROR(VLOOKUP(H35,[1]SEMIELABORADOS!$A$2:$M$65536,10,0),"")</f>
        <v/>
      </c>
      <c r="F35" s="105" t="str">
        <f>IFERROR(E35*C35,"")</f>
        <v/>
      </c>
      <c r="G35" s="106" t="str">
        <f t="shared" ref="G35:G41" si="9">IFERROR(F35/$F$66,"")</f>
        <v/>
      </c>
      <c r="H35" s="110"/>
      <c r="I35" s="110"/>
      <c r="J35" s="108"/>
    </row>
    <row r="36" spans="1:13" ht="14.25" hidden="1" thickBot="1" x14ac:dyDescent="0.3">
      <c r="A36" s="103">
        <f t="shared" ref="A36:A41" si="10">+A18</f>
        <v>0</v>
      </c>
      <c r="B36" s="109" t="str">
        <f>IFERROR(VLOOKUP(H36,[1]SEMIELABORADOS!$A$2:$M$6000,2,0),"")</f>
        <v/>
      </c>
      <c r="C36" s="104">
        <f t="shared" ref="C36:C41" si="11">+A36</f>
        <v>0</v>
      </c>
      <c r="D36" s="105" t="str">
        <f>IFERROR(VLOOKUP(H36,[1]SEMIELABORADOS!$A$2:$M$6000,6,0),"")</f>
        <v/>
      </c>
      <c r="E36" s="105" t="str">
        <f>IFERROR(VLOOKUP(H36,[1]SEMIELABORADOS!$A$2:$M$65536,10,0),"")</f>
        <v/>
      </c>
      <c r="F36" s="105" t="str">
        <f t="shared" ref="F36:F41" si="12">IFERROR(E36*C36,"")</f>
        <v/>
      </c>
      <c r="G36" s="106" t="str">
        <f t="shared" si="9"/>
        <v/>
      </c>
      <c r="H36" s="110"/>
      <c r="I36" s="110"/>
      <c r="J36" s="108"/>
    </row>
    <row r="37" spans="1:13" ht="14.25" hidden="1" thickBot="1" x14ac:dyDescent="0.3">
      <c r="A37" s="103">
        <f t="shared" si="10"/>
        <v>0</v>
      </c>
      <c r="B37" s="109" t="str">
        <f>IFERROR(VLOOKUP(H37,[1]SEMIELABORADOS!$A$2:$M$6000,2,0),"")</f>
        <v/>
      </c>
      <c r="C37" s="104">
        <f t="shared" si="11"/>
        <v>0</v>
      </c>
      <c r="D37" s="105" t="str">
        <f>IFERROR(VLOOKUP(H37,[1]SEMIELABORADOS!$A$2:$M$6000,6,0),"")</f>
        <v/>
      </c>
      <c r="E37" s="105" t="str">
        <f>IFERROR(VLOOKUP(H37,[1]SEMIELABORADOS!$A$2:$M$65536,10,0),"")</f>
        <v/>
      </c>
      <c r="F37" s="105" t="str">
        <f t="shared" si="12"/>
        <v/>
      </c>
      <c r="G37" s="106" t="str">
        <f t="shared" si="9"/>
        <v/>
      </c>
      <c r="H37" s="110"/>
      <c r="I37" s="110"/>
      <c r="J37" s="108"/>
    </row>
    <row r="38" spans="1:13" ht="14.25" hidden="1" thickBot="1" x14ac:dyDescent="0.3">
      <c r="A38" s="103">
        <f t="shared" si="10"/>
        <v>0</v>
      </c>
      <c r="B38" s="109" t="str">
        <f>IFERROR(VLOOKUP(H38,[1]SEMIELABORADOS!$A$2:$M$6000,2,0),"")</f>
        <v/>
      </c>
      <c r="C38" s="104">
        <f>+A38</f>
        <v>0</v>
      </c>
      <c r="D38" s="105" t="str">
        <f>IFERROR(VLOOKUP(H38,[1]SEMIELABORADOS!$A$2:$M$6000,6,0),"")</f>
        <v/>
      </c>
      <c r="E38" s="105" t="str">
        <f>IFERROR(VLOOKUP(H38,[1]SEMIELABORADOS!$A$2:$M$65536,10,0),"")</f>
        <v/>
      </c>
      <c r="F38" s="105" t="str">
        <f>IFERROR(E38*C38,"")</f>
        <v/>
      </c>
      <c r="G38" s="106" t="str">
        <f t="shared" si="9"/>
        <v/>
      </c>
      <c r="H38" s="110"/>
      <c r="I38" s="110"/>
      <c r="J38" s="108"/>
    </row>
    <row r="39" spans="1:13" ht="14.25" hidden="1" thickBot="1" x14ac:dyDescent="0.3">
      <c r="A39" s="103">
        <f t="shared" si="10"/>
        <v>0</v>
      </c>
      <c r="B39" s="109" t="str">
        <f>IFERROR(VLOOKUP(H39,[1]SEMIELABORADOS!$A$2:$M$6000,2,0),"")</f>
        <v/>
      </c>
      <c r="C39" s="104">
        <f>+A39</f>
        <v>0</v>
      </c>
      <c r="D39" s="105" t="str">
        <f>IFERROR(VLOOKUP(H39,[1]SEMIELABORADOS!$A$2:$M$6000,6,0),"")</f>
        <v/>
      </c>
      <c r="E39" s="105" t="str">
        <f>IFERROR(VLOOKUP(H39,[1]SEMIELABORADOS!$A$2:$M$65536,10,0),"")</f>
        <v/>
      </c>
      <c r="F39" s="105" t="str">
        <f>IFERROR(E39*C39,"")</f>
        <v/>
      </c>
      <c r="G39" s="106" t="str">
        <f t="shared" si="9"/>
        <v/>
      </c>
      <c r="H39" s="110"/>
      <c r="I39" s="110"/>
      <c r="J39" s="108"/>
    </row>
    <row r="40" spans="1:13" ht="14.25" hidden="1" thickBot="1" x14ac:dyDescent="0.3">
      <c r="A40" s="103">
        <f t="shared" si="10"/>
        <v>0</v>
      </c>
      <c r="B40" s="109" t="str">
        <f>IFERROR(VLOOKUP(H40,[1]SEMIELABORADOS!$A$2:$M$6000,2,0),"")</f>
        <v/>
      </c>
      <c r="C40" s="104">
        <f t="shared" si="11"/>
        <v>0</v>
      </c>
      <c r="D40" s="105" t="str">
        <f>IFERROR(VLOOKUP(H40,[1]SEMIELABORADOS!$A$2:$M$6000,6,0),"")</f>
        <v/>
      </c>
      <c r="E40" s="105" t="str">
        <f>IFERROR(VLOOKUP(H40,[1]SEMIELABORADOS!$A$2:$M$65536,10,0),"")</f>
        <v/>
      </c>
      <c r="F40" s="105" t="str">
        <f t="shared" si="12"/>
        <v/>
      </c>
      <c r="G40" s="106" t="str">
        <f t="shared" si="9"/>
        <v/>
      </c>
      <c r="H40" s="110"/>
      <c r="I40" s="110"/>
      <c r="J40" s="108"/>
    </row>
    <row r="41" spans="1:13" ht="14.25" hidden="1" thickBot="1" x14ac:dyDescent="0.3">
      <c r="A41" s="103">
        <f t="shared" si="10"/>
        <v>0</v>
      </c>
      <c r="B41" s="109" t="str">
        <f>IFERROR(VLOOKUP(H41,[1]SEMIELABORADOS!$A$2:$M$6000,2,0),"")</f>
        <v/>
      </c>
      <c r="C41" s="104">
        <f t="shared" si="11"/>
        <v>0</v>
      </c>
      <c r="D41" s="105" t="str">
        <f>IFERROR(VLOOKUP(H41,[1]SEMIELABORADOS!$A$2:$M$6000,6,0),"")</f>
        <v/>
      </c>
      <c r="E41" s="105" t="str">
        <f>IFERROR(VLOOKUP(H41,[1]SEMIELABORADOS!$A$2:$M$65536,10,0),"")</f>
        <v/>
      </c>
      <c r="F41" s="105" t="str">
        <f t="shared" si="12"/>
        <v/>
      </c>
      <c r="G41" s="106" t="str">
        <f t="shared" si="9"/>
        <v/>
      </c>
      <c r="H41" s="110"/>
      <c r="I41" s="110"/>
      <c r="J41" s="108"/>
    </row>
    <row r="42" spans="1:13" ht="14.25" hidden="1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105</v>
      </c>
      <c r="B43" s="99" t="s">
        <v>116</v>
      </c>
      <c r="C43" s="99" t="s">
        <v>105</v>
      </c>
      <c r="D43" s="100" t="s">
        <v>107</v>
      </c>
      <c r="E43" s="100" t="s">
        <v>108</v>
      </c>
      <c r="F43" s="100" t="s">
        <v>109</v>
      </c>
      <c r="G43" s="100" t="s">
        <v>110</v>
      </c>
      <c r="H43" s="101" t="s">
        <v>111</v>
      </c>
      <c r="I43" s="102"/>
      <c r="J43" s="108"/>
    </row>
    <row r="44" spans="1:13" ht="13.5" hidden="1" x14ac:dyDescent="0.25">
      <c r="A44" s="103">
        <f>+A35</f>
        <v>0</v>
      </c>
      <c r="B44" s="109" t="str">
        <f>IFERROR(VLOOKUP(H44,[1]SEMIELABORADOS!$A$2:$M$6000,2,0),"")</f>
        <v/>
      </c>
      <c r="C44" s="104">
        <f>+A44</f>
        <v>0</v>
      </c>
      <c r="D44" s="105" t="str">
        <f>IFERROR(VLOOKUP(H44,[1]SEMIELABORADOS!$A$2:$M$6000,6,0),"")</f>
        <v/>
      </c>
      <c r="E44" s="105" t="str">
        <f>IFERROR(VLOOKUP(H44,[1]SEMIELABORADOS!$A$2:$M$65536,12,0),"")</f>
        <v/>
      </c>
      <c r="F44" s="105" t="str">
        <f>IFERROR(E44*C44,"")</f>
        <v/>
      </c>
      <c r="G44" s="106" t="str">
        <f>IFERROR(F44/$F$66,"")</f>
        <v/>
      </c>
      <c r="H44" s="110"/>
      <c r="I44" s="102"/>
      <c r="J44" s="108"/>
    </row>
    <row r="45" spans="1:13" ht="13.5" hidden="1" x14ac:dyDescent="0.25">
      <c r="A45" s="103">
        <f t="shared" ref="A45:A50" si="13">+A36</f>
        <v>0</v>
      </c>
      <c r="B45" s="109" t="str">
        <f>IFERROR(VLOOKUP(H45,[1]SEMIELABORADOS!$A$2:$M$6000,2,0),"")</f>
        <v/>
      </c>
      <c r="C45" s="104">
        <f t="shared" ref="C45:C50" si="14">+A45</f>
        <v>0</v>
      </c>
      <c r="D45" s="105" t="str">
        <f>IFERROR(VLOOKUP(H45,[1]SEMIELABORADOS!$A$2:$M$6000,6,0),"")</f>
        <v/>
      </c>
      <c r="E45" s="105" t="str">
        <f>IFERROR(VLOOKUP(H45,[1]SEMIELABORADOS!$A$2:$M$65536,12,0),"")</f>
        <v/>
      </c>
      <c r="F45" s="105" t="str">
        <f t="shared" ref="F45:F50" si="15">IFERROR(E45*C45,"")</f>
        <v/>
      </c>
      <c r="G45" s="106" t="str">
        <f t="shared" ref="G45:G50" si="16">IFERROR(F45/$F$66,"")</f>
        <v/>
      </c>
      <c r="H45" s="110"/>
      <c r="I45" s="102"/>
      <c r="J45" s="108"/>
      <c r="M45" s="113"/>
    </row>
    <row r="46" spans="1:13" ht="13.5" hidden="1" x14ac:dyDescent="0.25">
      <c r="A46" s="103">
        <f t="shared" si="13"/>
        <v>0</v>
      </c>
      <c r="B46" s="109" t="str">
        <f>IFERROR(VLOOKUP(H46,[1]SEMIELABORADOS!$A$2:$M$6000,2,0),"")</f>
        <v/>
      </c>
      <c r="C46" s="104">
        <f t="shared" si="14"/>
        <v>0</v>
      </c>
      <c r="D46" s="105" t="str">
        <f>IFERROR(VLOOKUP(H46,[1]SEMIELABORADOS!$A$2:$M$6000,6,0),"")</f>
        <v/>
      </c>
      <c r="E46" s="105" t="str">
        <f>IFERROR(VLOOKUP(H46,[1]SEMIELABORADOS!$A$2:$M$65536,12,0),"")</f>
        <v/>
      </c>
      <c r="F46" s="105" t="str">
        <f t="shared" si="15"/>
        <v/>
      </c>
      <c r="G46" s="106" t="str">
        <f t="shared" si="16"/>
        <v/>
      </c>
      <c r="H46" s="110"/>
      <c r="I46" s="102"/>
      <c r="J46" s="108"/>
    </row>
    <row r="47" spans="1:13" ht="13.5" hidden="1" x14ac:dyDescent="0.25">
      <c r="A47" s="103">
        <f t="shared" si="13"/>
        <v>0</v>
      </c>
      <c r="B47" s="109" t="str">
        <f>IFERROR(VLOOKUP(H47,[1]SEMIELABORADOS!$A$2:$M$6000,2,0),"")</f>
        <v/>
      </c>
      <c r="C47" s="104">
        <f t="shared" si="14"/>
        <v>0</v>
      </c>
      <c r="D47" s="105" t="str">
        <f>IFERROR(VLOOKUP(H47,[1]SEMIELABORADOS!$A$2:$M$6000,6,0),"")</f>
        <v/>
      </c>
      <c r="E47" s="105" t="str">
        <f>IFERROR(VLOOKUP(H47,[1]SEMIELABORADOS!$A$2:$M$65536,12,0),"")</f>
        <v/>
      </c>
      <c r="F47" s="105" t="str">
        <f t="shared" si="15"/>
        <v/>
      </c>
      <c r="G47" s="106" t="str">
        <f t="shared" si="16"/>
        <v/>
      </c>
      <c r="H47" s="110"/>
      <c r="I47" s="102"/>
      <c r="J47" s="108"/>
    </row>
    <row r="48" spans="1:13" ht="13.5" hidden="1" x14ac:dyDescent="0.25">
      <c r="A48" s="103">
        <f t="shared" si="13"/>
        <v>0</v>
      </c>
      <c r="B48" s="109" t="str">
        <f>IFERROR(VLOOKUP(H48,[1]SEMIELABORADOS!$A$2:$M$6000,2,0),"")</f>
        <v/>
      </c>
      <c r="C48" s="104">
        <f t="shared" si="14"/>
        <v>0</v>
      </c>
      <c r="D48" s="105" t="str">
        <f>IFERROR(VLOOKUP(H48,[1]SEMIELABORADOS!$A$2:$M$6000,6,0),"")</f>
        <v/>
      </c>
      <c r="E48" s="105" t="str">
        <f>IFERROR(VLOOKUP(H48,[1]SEMIELABORADOS!$A$2:$M$65536,12,0),"")</f>
        <v/>
      </c>
      <c r="F48" s="105" t="str">
        <f t="shared" si="15"/>
        <v/>
      </c>
      <c r="G48" s="106" t="str">
        <f t="shared" si="16"/>
        <v/>
      </c>
      <c r="H48" s="110"/>
      <c r="I48" s="102"/>
      <c r="J48" s="108"/>
    </row>
    <row r="49" spans="1:17" ht="13.5" hidden="1" x14ac:dyDescent="0.25">
      <c r="A49" s="103">
        <f t="shared" si="13"/>
        <v>0</v>
      </c>
      <c r="B49" s="109" t="str">
        <f>IFERROR(VLOOKUP(H49,[1]SEMIELABORADOS!$A$2:$M$6000,2,0),"")</f>
        <v/>
      </c>
      <c r="C49" s="104">
        <f t="shared" si="14"/>
        <v>0</v>
      </c>
      <c r="D49" s="105" t="str">
        <f>IFERROR(VLOOKUP(H49,[1]SEMIELABORADOS!$A$2:$M$6000,6,0),"")</f>
        <v/>
      </c>
      <c r="E49" s="105" t="str">
        <f>IFERROR(VLOOKUP(H49,[1]SEMIELABORADOS!$A$2:$M$65536,12,0),"")</f>
        <v/>
      </c>
      <c r="F49" s="105" t="str">
        <f t="shared" si="15"/>
        <v/>
      </c>
      <c r="G49" s="106" t="str">
        <f t="shared" si="16"/>
        <v/>
      </c>
      <c r="H49" s="110"/>
      <c r="I49" s="102"/>
      <c r="J49" s="108"/>
    </row>
    <row r="50" spans="1:17" ht="13.5" hidden="1" x14ac:dyDescent="0.25">
      <c r="A50" s="103">
        <f t="shared" si="13"/>
        <v>0</v>
      </c>
      <c r="B50" s="109" t="str">
        <f>IFERROR(VLOOKUP(H50,[1]SEMIELABORADOS!$A$2:$M$6000,2,0),"")</f>
        <v/>
      </c>
      <c r="C50" s="104">
        <f t="shared" si="14"/>
        <v>0</v>
      </c>
      <c r="D50" s="105" t="str">
        <f>IFERROR(VLOOKUP(H50,[1]SEMIELABORADOS!$A$2:$M$6000,6,0),"")</f>
        <v/>
      </c>
      <c r="E50" s="105" t="str">
        <f>IFERROR(VLOOKUP(H50,[1]SEMIELABORADOS!$A$2:$M$65536,12,0),"")</f>
        <v/>
      </c>
      <c r="F50" s="105" t="str">
        <f t="shared" si="15"/>
        <v/>
      </c>
      <c r="G50" s="106" t="str">
        <f t="shared" si="16"/>
        <v/>
      </c>
      <c r="H50" s="109"/>
      <c r="I50" s="102"/>
      <c r="J50" s="108"/>
    </row>
    <row r="51" spans="1:17" ht="13.5" x14ac:dyDescent="0.25">
      <c r="A51" s="103">
        <v>1</v>
      </c>
      <c r="B51" s="109" t="s">
        <v>117</v>
      </c>
      <c r="C51" s="104">
        <f>+A51</f>
        <v>1</v>
      </c>
      <c r="D51" s="104" t="s">
        <v>118</v>
      </c>
      <c r="E51" s="105">
        <f>+F65</f>
        <v>244</v>
      </c>
      <c r="F51" s="105">
        <f>IFERROR(C51*E51,"")</f>
        <v>244</v>
      </c>
      <c r="G51" s="106">
        <f>IFERROR(F51/$F$66,"")</f>
        <v>2.9991408964414015E-2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366" t="s">
        <v>119</v>
      </c>
      <c r="C53" s="366"/>
      <c r="D53" s="366"/>
      <c r="E53" s="366"/>
      <c r="F53" s="117">
        <f>SUM(F8:F14,F17:F24)</f>
        <v>7627.5420000000004</v>
      </c>
      <c r="G53" s="106">
        <f>+F53/$F$66</f>
        <v>0.93754398161985419</v>
      </c>
      <c r="H53" s="118">
        <f>+F53/$D$60</f>
        <v>7627.5420000000004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366" t="s">
        <v>120</v>
      </c>
      <c r="C54" s="366"/>
      <c r="D54" s="366"/>
      <c r="E54" s="366"/>
      <c r="F54" s="117">
        <f>SUM(F27:F32,F35:F41)</f>
        <v>111.57028571428572</v>
      </c>
      <c r="G54" s="106">
        <f>+F54/$F$66</f>
        <v>1.3713729783334679E-2</v>
      </c>
      <c r="H54" s="118">
        <f>+F54/$D$60</f>
        <v>111.57028571428572</v>
      </c>
      <c r="I54" s="118"/>
      <c r="J54" s="122"/>
      <c r="K54" s="367" t="s">
        <v>121</v>
      </c>
      <c r="L54" s="368"/>
      <c r="M54" s="368"/>
      <c r="N54" s="368"/>
      <c r="O54" s="123">
        <f>+F55</f>
        <v>7739.1122857142864</v>
      </c>
      <c r="P54" s="123"/>
      <c r="Q54" s="124"/>
    </row>
    <row r="55" spans="1:17" x14ac:dyDescent="0.2">
      <c r="A55" s="115"/>
      <c r="B55" s="366" t="s">
        <v>122</v>
      </c>
      <c r="C55" s="366"/>
      <c r="D55" s="366"/>
      <c r="E55" s="366"/>
      <c r="F55" s="117">
        <f>+F53+F54</f>
        <v>7739.1122857142864</v>
      </c>
      <c r="G55" s="106">
        <f>+F55/$F$66</f>
        <v>0.95125771140318893</v>
      </c>
      <c r="H55" s="118">
        <f>+F55/$D$60</f>
        <v>7739.1122857142864</v>
      </c>
      <c r="I55" s="118"/>
      <c r="J55" s="125"/>
      <c r="K55" s="126"/>
      <c r="M55" s="127" t="s">
        <v>123</v>
      </c>
      <c r="N55" s="128"/>
      <c r="O55" s="123">
        <f>+H56</f>
        <v>244</v>
      </c>
      <c r="P55" s="123"/>
      <c r="Q55" s="124"/>
    </row>
    <row r="56" spans="1:17" ht="13.5" thickBot="1" x14ac:dyDescent="0.25">
      <c r="A56" s="115"/>
      <c r="B56" s="116"/>
      <c r="C56" s="366" t="s">
        <v>124</v>
      </c>
      <c r="D56" s="366"/>
      <c r="E56" s="366"/>
      <c r="F56" s="117">
        <f>SUM(F44:F51)</f>
        <v>244</v>
      </c>
      <c r="G56" s="106">
        <f>+F56/$F$66</f>
        <v>2.9991408964414015E-2</v>
      </c>
      <c r="H56" s="118">
        <f>+F56/$D$60</f>
        <v>244</v>
      </c>
      <c r="I56" s="118"/>
      <c r="J56" s="125"/>
      <c r="K56" s="126"/>
      <c r="L56" s="126"/>
      <c r="M56" s="126" t="s">
        <v>125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126</v>
      </c>
      <c r="N57" s="135"/>
      <c r="O57" s="136">
        <f>SUM(O54:O56)</f>
        <v>7983.1122857142864</v>
      </c>
      <c r="P57" s="137"/>
      <c r="Q57" s="124"/>
    </row>
    <row r="58" spans="1:17" x14ac:dyDescent="0.2">
      <c r="B58" s="369" t="s">
        <v>127</v>
      </c>
      <c r="C58" s="369"/>
      <c r="D58" s="138">
        <v>6120</v>
      </c>
      <c r="E58" s="139"/>
      <c r="G58" s="106"/>
      <c r="H58" s="132">
        <f>+H56/61</f>
        <v>4</v>
      </c>
      <c r="I58" s="140"/>
      <c r="J58" s="125"/>
      <c r="K58" s="133"/>
      <c r="L58" s="126"/>
      <c r="M58" s="126" t="s">
        <v>128</v>
      </c>
      <c r="N58" s="141"/>
      <c r="O58" s="123">
        <f>+H59</f>
        <v>232</v>
      </c>
      <c r="P58" s="123"/>
      <c r="Q58" s="124"/>
    </row>
    <row r="59" spans="1:17" x14ac:dyDescent="0.2">
      <c r="B59" s="369" t="s">
        <v>129</v>
      </c>
      <c r="C59" s="369"/>
      <c r="D59" s="142">
        <v>6120</v>
      </c>
      <c r="E59" s="139"/>
      <c r="G59" s="106"/>
      <c r="H59" s="132">
        <f>+H58*58</f>
        <v>232</v>
      </c>
      <c r="I59" s="140"/>
      <c r="J59" s="125"/>
      <c r="K59" s="133"/>
      <c r="L59" s="126"/>
      <c r="M59" s="370" t="s">
        <v>126</v>
      </c>
      <c r="N59" s="370"/>
      <c r="O59" s="123">
        <f>SUM(O57:O58)</f>
        <v>8215.1122857142873</v>
      </c>
      <c r="P59" s="123"/>
      <c r="Q59" s="124"/>
    </row>
    <row r="60" spans="1:17" ht="13.5" thickBot="1" x14ac:dyDescent="0.25">
      <c r="B60" s="362" t="s">
        <v>130</v>
      </c>
      <c r="C60" s="362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370"/>
      <c r="M60" s="370"/>
      <c r="N60" s="141"/>
      <c r="O60" s="123">
        <f>+O59*N60</f>
        <v>0</v>
      </c>
      <c r="P60" s="123"/>
      <c r="Q60" s="124"/>
    </row>
    <row r="61" spans="1:17" ht="13.5" thickBot="1" x14ac:dyDescent="0.25">
      <c r="B61" s="362" t="s">
        <v>131</v>
      </c>
      <c r="C61" s="362"/>
      <c r="D61" s="144"/>
      <c r="E61" s="139"/>
      <c r="F61" s="143"/>
      <c r="G61" s="106"/>
      <c r="H61" s="132"/>
      <c r="I61" s="140"/>
      <c r="J61" s="125"/>
      <c r="K61" s="363" t="s">
        <v>132</v>
      </c>
      <c r="L61" s="364"/>
      <c r="M61" s="364"/>
      <c r="N61" s="365"/>
      <c r="O61" s="136">
        <f>SUM(O59:O60)</f>
        <v>8215.1122857142873</v>
      </c>
      <c r="P61" s="145" t="s">
        <v>133</v>
      </c>
      <c r="Q61" s="124"/>
    </row>
    <row r="62" spans="1:17" ht="13.5" thickBot="1" x14ac:dyDescent="0.25">
      <c r="C62" s="115" t="s">
        <v>134</v>
      </c>
      <c r="D62" s="146"/>
      <c r="E62" s="89" t="s">
        <v>135</v>
      </c>
      <c r="F62" s="147" t="s">
        <v>136</v>
      </c>
      <c r="G62" s="106"/>
      <c r="H62" s="132"/>
      <c r="I62" s="140"/>
      <c r="J62" s="148"/>
      <c r="K62" s="149"/>
      <c r="L62" s="376" t="s">
        <v>137</v>
      </c>
      <c r="M62" s="376"/>
      <c r="N62" s="376"/>
      <c r="O62" s="150">
        <f>+O61/D60</f>
        <v>8215.1122857142873</v>
      </c>
      <c r="P62" s="151">
        <f>+O62/D59</f>
        <v>1.3423386087768443</v>
      </c>
      <c r="Q62" s="152"/>
    </row>
    <row r="63" spans="1:17" ht="13.5" thickBot="1" x14ac:dyDescent="0.25">
      <c r="B63" s="377" t="s">
        <v>122</v>
      </c>
      <c r="C63" s="377"/>
      <c r="D63" s="377"/>
      <c r="E63" s="153">
        <f>+F63/F63</f>
        <v>1</v>
      </c>
      <c r="F63" s="154">
        <f>SUM(F55)</f>
        <v>7739.1122857142864</v>
      </c>
      <c r="G63" s="106">
        <f>+F63/$F$66</f>
        <v>0.95125771140318893</v>
      </c>
      <c r="H63" s="132"/>
      <c r="I63" s="140"/>
      <c r="K63" s="378"/>
      <c r="L63" s="379"/>
      <c r="M63" s="379"/>
      <c r="N63" s="379"/>
      <c r="O63" s="155"/>
      <c r="P63" s="156"/>
    </row>
    <row r="64" spans="1:17" ht="13.5" thickBot="1" x14ac:dyDescent="0.3">
      <c r="B64" s="380" t="s">
        <v>138</v>
      </c>
      <c r="C64" s="380"/>
      <c r="D64" s="380"/>
      <c r="E64" s="157">
        <v>0.02</v>
      </c>
      <c r="F64" s="154">
        <f>+F53*E64</f>
        <v>152.55084000000002</v>
      </c>
      <c r="G64" s="106">
        <f>+F64/$F$66</f>
        <v>1.8750879632397084E-2</v>
      </c>
      <c r="H64" s="118"/>
      <c r="I64" s="140"/>
      <c r="J64" s="158"/>
      <c r="O64" s="159"/>
      <c r="P64" s="116"/>
    </row>
    <row r="65" spans="2:13" ht="13.5" thickBot="1" x14ac:dyDescent="0.3">
      <c r="B65" s="381" t="s">
        <v>139</v>
      </c>
      <c r="C65" s="382"/>
      <c r="D65" s="160">
        <v>4</v>
      </c>
      <c r="E65" s="161">
        <v>61</v>
      </c>
      <c r="F65" s="154">
        <f>+E65*D65</f>
        <v>244</v>
      </c>
      <c r="G65" s="106">
        <f>+F65/$F$66</f>
        <v>2.9991408964414015E-2</v>
      </c>
      <c r="H65" s="118"/>
      <c r="I65" s="118"/>
      <c r="J65" s="108"/>
    </row>
    <row r="66" spans="2:13" ht="13.5" thickBot="1" x14ac:dyDescent="0.3">
      <c r="B66" s="383" t="s">
        <v>140</v>
      </c>
      <c r="C66" s="384"/>
      <c r="D66" s="384"/>
      <c r="E66" s="385"/>
      <c r="F66" s="131">
        <f>SUM(F63:F65)</f>
        <v>8135.6631257142863</v>
      </c>
      <c r="G66" s="106">
        <f>+F66/$F$66</f>
        <v>1</v>
      </c>
      <c r="H66" s="386"/>
      <c r="I66" s="118"/>
      <c r="J66" s="108"/>
      <c r="M66" s="91" t="s">
        <v>141</v>
      </c>
    </row>
    <row r="67" spans="2:13" x14ac:dyDescent="0.25">
      <c r="C67" s="113"/>
      <c r="D67" s="113"/>
      <c r="E67" s="163"/>
      <c r="F67" s="154"/>
      <c r="G67" s="106"/>
      <c r="H67" s="386"/>
      <c r="I67" s="162"/>
      <c r="J67" s="91"/>
      <c r="M67" s="91" t="s">
        <v>142</v>
      </c>
    </row>
    <row r="68" spans="2:13" ht="13.5" thickBot="1" x14ac:dyDescent="0.3">
      <c r="B68" s="371" t="s">
        <v>143</v>
      </c>
      <c r="C68" s="371"/>
      <c r="D68" s="371"/>
      <c r="E68" s="371"/>
      <c r="F68" s="371"/>
      <c r="G68" s="106"/>
      <c r="H68" s="165"/>
      <c r="I68" s="162"/>
      <c r="J68" s="91"/>
      <c r="M68" s="91" t="s">
        <v>144</v>
      </c>
    </row>
    <row r="69" spans="2:13" ht="13.5" thickBot="1" x14ac:dyDescent="0.3">
      <c r="B69" s="166" t="s">
        <v>145</v>
      </c>
      <c r="C69" s="167">
        <f>+F53</f>
        <v>7627.5420000000004</v>
      </c>
      <c r="D69" s="167">
        <f>+D58</f>
        <v>6120</v>
      </c>
      <c r="E69" s="168">
        <f>+C69/D69</f>
        <v>1.2463303921568627</v>
      </c>
      <c r="F69" s="106"/>
      <c r="G69" s="165"/>
      <c r="H69" s="108"/>
      <c r="I69" s="165"/>
      <c r="J69" s="91"/>
    </row>
    <row r="70" spans="2:13" x14ac:dyDescent="0.25">
      <c r="B70" s="169"/>
      <c r="C70" s="170"/>
      <c r="D70" s="171"/>
      <c r="E70" s="154"/>
      <c r="F70" s="106"/>
      <c r="G70" s="165"/>
      <c r="H70" s="108"/>
      <c r="I70" s="108"/>
      <c r="J70" s="91"/>
    </row>
    <row r="71" spans="2:13" x14ac:dyDescent="0.25">
      <c r="B71" s="166" t="s">
        <v>146</v>
      </c>
      <c r="C71" s="167">
        <f>SUM(F63:F64)</f>
        <v>7891.6631257142863</v>
      </c>
      <c r="D71" s="167">
        <f>+D58</f>
        <v>6120</v>
      </c>
      <c r="E71" s="172">
        <f>+C71/D71</f>
        <v>1.2894874388422037</v>
      </c>
      <c r="F71" s="106"/>
      <c r="G71" s="165"/>
      <c r="H71" s="108"/>
      <c r="I71" s="108"/>
      <c r="J71" s="91"/>
    </row>
    <row r="72" spans="2:13" x14ac:dyDescent="0.25">
      <c r="B72" s="166"/>
      <c r="C72" s="167"/>
      <c r="D72" s="167"/>
      <c r="E72" s="172"/>
      <c r="F72" s="106"/>
      <c r="G72" s="165"/>
      <c r="H72" s="108"/>
      <c r="I72" s="108"/>
      <c r="J72" s="91"/>
    </row>
    <row r="73" spans="2:13" ht="13.5" thickBot="1" x14ac:dyDescent="0.3">
      <c r="B73" s="166" t="s">
        <v>147</v>
      </c>
      <c r="C73" s="167">
        <f>+F65</f>
        <v>244</v>
      </c>
      <c r="D73" s="167">
        <f>+D58</f>
        <v>6120</v>
      </c>
      <c r="E73" s="172">
        <f>+C73/D73</f>
        <v>3.9869281045751631E-2</v>
      </c>
      <c r="F73" s="106"/>
      <c r="G73" s="165"/>
      <c r="H73" s="108"/>
      <c r="I73" s="108"/>
      <c r="J73" s="91"/>
    </row>
    <row r="74" spans="2:13" ht="13.5" thickBot="1" x14ac:dyDescent="0.3">
      <c r="B74" s="166" t="s">
        <v>148</v>
      </c>
      <c r="C74" s="167">
        <f>+F56</f>
        <v>244</v>
      </c>
      <c r="D74" s="167">
        <f>+D73</f>
        <v>6120</v>
      </c>
      <c r="E74" s="168">
        <f>+C74/D74</f>
        <v>3.9869281045751631E-2</v>
      </c>
      <c r="F74" s="106"/>
      <c r="G74" s="165"/>
      <c r="H74" s="108"/>
      <c r="I74" s="108"/>
      <c r="J74" s="91"/>
    </row>
    <row r="75" spans="2:13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3" ht="13.5" thickBot="1" x14ac:dyDescent="0.3">
      <c r="B76" s="166" t="s">
        <v>149</v>
      </c>
      <c r="C76" s="167">
        <f>+F54</f>
        <v>111.57028571428572</v>
      </c>
      <c r="D76" s="167">
        <f>+D74</f>
        <v>6120</v>
      </c>
      <c r="E76" s="168">
        <f>+C76/D76</f>
        <v>1.8230438842203548E-2</v>
      </c>
      <c r="F76" s="106"/>
      <c r="G76" s="165"/>
      <c r="H76" s="108"/>
      <c r="I76" s="108"/>
      <c r="J76" s="108"/>
    </row>
    <row r="77" spans="2:13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3" ht="13.5" thickBot="1" x14ac:dyDescent="0.3">
      <c r="B78" s="372" t="s">
        <v>150</v>
      </c>
      <c r="C78" s="373"/>
      <c r="D78" s="374"/>
      <c r="E78" s="168">
        <f>+E69+E74</f>
        <v>1.2861996732026144</v>
      </c>
      <c r="G78" s="106"/>
      <c r="H78" s="165"/>
      <c r="I78" s="108"/>
      <c r="J78" s="172"/>
    </row>
    <row r="79" spans="2:13" x14ac:dyDescent="0.25">
      <c r="I79" s="165"/>
      <c r="J79" s="91"/>
    </row>
    <row r="80" spans="2:13" ht="13.5" thickBot="1" x14ac:dyDescent="0.3">
      <c r="B80" s="371" t="s">
        <v>151</v>
      </c>
      <c r="C80" s="371"/>
      <c r="D80" s="371"/>
      <c r="E80" s="371"/>
      <c r="F80" s="371"/>
      <c r="G80" s="106"/>
      <c r="H80" s="165"/>
      <c r="J80" s="91"/>
    </row>
    <row r="81" spans="1:10" ht="13.5" thickBot="1" x14ac:dyDescent="0.3">
      <c r="B81" s="166" t="s">
        <v>145</v>
      </c>
      <c r="C81" s="167">
        <f>+C69</f>
        <v>7627.5420000000004</v>
      </c>
      <c r="D81" s="167">
        <f>+D60</f>
        <v>1</v>
      </c>
      <c r="E81" s="168">
        <f>+C81/D81</f>
        <v>7627.5420000000004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146</v>
      </c>
      <c r="C83" s="167">
        <f>+C71</f>
        <v>7891.6631257142863</v>
      </c>
      <c r="D83" s="167">
        <f>+D60</f>
        <v>1</v>
      </c>
      <c r="E83" s="172">
        <f>+C83/D83</f>
        <v>7891.6631257142863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148</v>
      </c>
      <c r="C85" s="167">
        <f>+C73</f>
        <v>244</v>
      </c>
      <c r="D85" s="167">
        <f>+D60</f>
        <v>1</v>
      </c>
      <c r="E85" s="172">
        <f>+C85/D85</f>
        <v>244</v>
      </c>
      <c r="F85" s="174"/>
      <c r="G85" s="164"/>
      <c r="H85" s="90"/>
      <c r="I85" s="108"/>
    </row>
    <row r="86" spans="1:10" ht="13.5" thickBot="1" x14ac:dyDescent="0.3">
      <c r="B86" s="166" t="s">
        <v>148</v>
      </c>
      <c r="C86" s="167">
        <f>+C74</f>
        <v>244</v>
      </c>
      <c r="D86" s="167">
        <f>+D85</f>
        <v>1</v>
      </c>
      <c r="E86" s="168">
        <f>+C86/D86</f>
        <v>244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375"/>
      <c r="B88" s="375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C590-EB4A-4A70-994A-6FF1C980CDD8}">
  <dimension ref="A1:I38"/>
  <sheetViews>
    <sheetView workbookViewId="0">
      <selection activeCell="B10" sqref="B10"/>
    </sheetView>
  </sheetViews>
  <sheetFormatPr baseColWidth="10" defaultRowHeight="15" x14ac:dyDescent="0.25"/>
  <cols>
    <col min="2" max="2" width="15.85546875" customWidth="1"/>
    <col min="3" max="3" width="45.42578125" customWidth="1"/>
    <col min="8" max="8" width="18.5703125" customWidth="1"/>
    <col min="9" max="9" width="15.85546875" customWidth="1"/>
  </cols>
  <sheetData>
    <row r="1" spans="1:9" ht="16.5" x14ac:dyDescent="0.3">
      <c r="A1" s="308"/>
      <c r="B1" s="309"/>
      <c r="C1" s="315" t="s">
        <v>33</v>
      </c>
      <c r="D1" s="315"/>
      <c r="E1" s="315"/>
      <c r="F1" s="315"/>
      <c r="G1" s="315"/>
      <c r="H1" s="50" t="s">
        <v>32</v>
      </c>
      <c r="I1" s="49"/>
    </row>
    <row r="2" spans="1:9" ht="17.25" thickBot="1" x14ac:dyDescent="0.35">
      <c r="A2" s="310"/>
      <c r="B2" s="311"/>
      <c r="C2" s="316" t="s">
        <v>31</v>
      </c>
      <c r="D2" s="316"/>
      <c r="E2" s="316"/>
      <c r="F2" s="316"/>
      <c r="G2" s="316"/>
      <c r="H2" s="47" t="s">
        <v>30</v>
      </c>
      <c r="I2" s="48"/>
    </row>
    <row r="3" spans="1:9" ht="18" x14ac:dyDescent="0.25">
      <c r="A3" s="310"/>
      <c r="B3" s="311"/>
      <c r="C3" s="317" t="s">
        <v>158</v>
      </c>
      <c r="D3" s="318"/>
      <c r="E3" s="318"/>
      <c r="F3" s="318"/>
      <c r="G3" s="319"/>
      <c r="H3" s="320" t="s">
        <v>29</v>
      </c>
      <c r="I3" s="297"/>
    </row>
    <row r="4" spans="1:9" ht="16.5" x14ac:dyDescent="0.3">
      <c r="A4" s="310"/>
      <c r="B4" s="311"/>
      <c r="C4" s="47" t="s">
        <v>28</v>
      </c>
      <c r="D4" s="300" t="s">
        <v>35</v>
      </c>
      <c r="E4" s="300"/>
      <c r="F4" s="300"/>
      <c r="G4" s="300"/>
      <c r="H4" s="321"/>
      <c r="I4" s="298"/>
    </row>
    <row r="5" spans="1:9" ht="17.25" thickBot="1" x14ac:dyDescent="0.35">
      <c r="A5" s="312"/>
      <c r="B5" s="313"/>
      <c r="C5" s="46" t="s">
        <v>27</v>
      </c>
      <c r="D5" s="301" t="s">
        <v>26</v>
      </c>
      <c r="E5" s="301"/>
      <c r="F5" s="301"/>
      <c r="G5" s="301"/>
      <c r="H5" s="322"/>
      <c r="I5" s="299"/>
    </row>
    <row r="6" spans="1:9" ht="18.75" thickBot="1" x14ac:dyDescent="0.3">
      <c r="A6" s="323" t="s">
        <v>25</v>
      </c>
      <c r="B6" s="324"/>
      <c r="C6" s="324"/>
      <c r="D6" s="264" t="s">
        <v>36</v>
      </c>
      <c r="E6" s="264"/>
      <c r="F6" s="264"/>
      <c r="G6" s="314" t="s">
        <v>24</v>
      </c>
      <c r="H6" s="314"/>
      <c r="I6" s="45" t="s">
        <v>36</v>
      </c>
    </row>
    <row r="7" spans="1:9" ht="25.5" x14ac:dyDescent="0.25">
      <c r="A7" s="302" t="s">
        <v>23</v>
      </c>
      <c r="B7" s="306" t="s">
        <v>34</v>
      </c>
      <c r="C7" s="304" t="s">
        <v>22</v>
      </c>
      <c r="D7" s="304" t="s">
        <v>21</v>
      </c>
      <c r="E7" s="304" t="s">
        <v>20</v>
      </c>
      <c r="F7" s="304"/>
      <c r="G7" s="304" t="s">
        <v>19</v>
      </c>
      <c r="H7" s="304"/>
      <c r="I7" s="44" t="s">
        <v>18</v>
      </c>
    </row>
    <row r="8" spans="1:9" ht="26.25" thickBot="1" x14ac:dyDescent="0.3">
      <c r="A8" s="303"/>
      <c r="B8" s="307"/>
      <c r="C8" s="305"/>
      <c r="D8" s="305"/>
      <c r="E8" s="43" t="s">
        <v>15</v>
      </c>
      <c r="F8" s="42" t="s">
        <v>17</v>
      </c>
      <c r="G8" s="43" t="s">
        <v>15</v>
      </c>
      <c r="H8" s="42" t="s">
        <v>17</v>
      </c>
      <c r="I8" s="41" t="s">
        <v>16</v>
      </c>
    </row>
    <row r="9" spans="1:9" x14ac:dyDescent="0.25">
      <c r="A9" s="67" t="s">
        <v>44</v>
      </c>
      <c r="B9" s="51" t="s">
        <v>160</v>
      </c>
      <c r="C9" s="68" t="s">
        <v>72</v>
      </c>
      <c r="D9" s="61" t="s">
        <v>45</v>
      </c>
      <c r="E9" s="61">
        <v>6120</v>
      </c>
      <c r="F9" s="61" t="s">
        <v>2</v>
      </c>
      <c r="G9" s="11"/>
      <c r="H9" s="40"/>
      <c r="I9" s="39"/>
    </row>
    <row r="10" spans="1:9" x14ac:dyDescent="0.25">
      <c r="A10" s="59" t="s">
        <v>73</v>
      </c>
      <c r="B10" s="59" t="s">
        <v>74</v>
      </c>
      <c r="C10" t="s">
        <v>75</v>
      </c>
      <c r="D10" s="61" t="s">
        <v>46</v>
      </c>
      <c r="E10" s="61">
        <v>1800</v>
      </c>
      <c r="F10" s="61" t="s">
        <v>2</v>
      </c>
      <c r="G10" s="31"/>
      <c r="H10" s="37"/>
      <c r="I10" s="36"/>
    </row>
    <row r="11" spans="1:9" x14ac:dyDescent="0.25">
      <c r="A11" s="67" t="s">
        <v>44</v>
      </c>
      <c r="B11" s="67" t="s">
        <v>44</v>
      </c>
      <c r="C11" s="83" t="s">
        <v>76</v>
      </c>
      <c r="D11" s="61"/>
      <c r="E11" s="61">
        <v>1500</v>
      </c>
      <c r="F11" s="61" t="s">
        <v>2</v>
      </c>
      <c r="G11" s="38"/>
      <c r="H11" s="37"/>
      <c r="I11" s="36"/>
    </row>
    <row r="12" spans="1:9" x14ac:dyDescent="0.25">
      <c r="A12" s="84">
        <v>11400047</v>
      </c>
      <c r="B12" s="84" t="s">
        <v>79</v>
      </c>
      <c r="C12" s="85" t="s">
        <v>80</v>
      </c>
      <c r="D12" s="9" t="s">
        <v>81</v>
      </c>
      <c r="E12" s="61">
        <v>800</v>
      </c>
      <c r="F12" s="61" t="s">
        <v>2</v>
      </c>
      <c r="G12" s="38"/>
      <c r="H12" s="37"/>
      <c r="I12" s="36"/>
    </row>
    <row r="13" spans="1:9" x14ac:dyDescent="0.25">
      <c r="A13" s="59" t="s">
        <v>82</v>
      </c>
      <c r="B13" s="59" t="s">
        <v>83</v>
      </c>
      <c r="C13" t="s">
        <v>84</v>
      </c>
      <c r="D13" s="61"/>
      <c r="E13" s="61">
        <v>50</v>
      </c>
      <c r="F13" s="61" t="s">
        <v>2</v>
      </c>
      <c r="G13" s="31"/>
      <c r="H13" s="37"/>
      <c r="I13" s="36"/>
    </row>
    <row r="14" spans="1:9" x14ac:dyDescent="0.25">
      <c r="A14" s="28"/>
      <c r="B14" s="55"/>
      <c r="C14" s="27"/>
      <c r="D14" s="26"/>
      <c r="E14" s="31"/>
      <c r="F14" s="24"/>
      <c r="G14" s="9"/>
      <c r="H14" s="23"/>
      <c r="I14" s="30"/>
    </row>
    <row r="15" spans="1:9" ht="15.75" thickBot="1" x14ac:dyDescent="0.3">
      <c r="A15" s="22"/>
      <c r="B15" s="56"/>
      <c r="C15" s="19"/>
      <c r="D15" s="19"/>
      <c r="E15" s="21"/>
      <c r="F15" s="20"/>
      <c r="G15" s="19"/>
      <c r="H15" s="19"/>
      <c r="I15" s="18"/>
    </row>
    <row r="16" spans="1:9" ht="15.75" thickBot="1" x14ac:dyDescent="0.3">
      <c r="A16" s="17"/>
      <c r="B16" s="57"/>
      <c r="C16" s="13"/>
      <c r="D16" s="16" t="s">
        <v>15</v>
      </c>
      <c r="E16" s="15" t="s">
        <v>14</v>
      </c>
      <c r="F16" s="14"/>
      <c r="G16" s="13"/>
      <c r="H16" s="13"/>
      <c r="I16" s="12"/>
    </row>
    <row r="17" spans="1:9" x14ac:dyDescent="0.25">
      <c r="A17" s="270" t="s">
        <v>13</v>
      </c>
      <c r="B17" s="271"/>
      <c r="C17" s="272"/>
      <c r="D17" s="63">
        <v>10000</v>
      </c>
      <c r="E17" s="10" t="s">
        <v>2</v>
      </c>
      <c r="F17" s="273" t="s">
        <v>12</v>
      </c>
      <c r="G17" s="273"/>
      <c r="H17" s="274"/>
      <c r="I17" s="275"/>
    </row>
    <row r="18" spans="1:9" x14ac:dyDescent="0.25">
      <c r="A18" s="276" t="s">
        <v>11</v>
      </c>
      <c r="B18" s="277"/>
      <c r="C18" s="278"/>
      <c r="D18" s="64">
        <v>8</v>
      </c>
      <c r="E18" s="9" t="s">
        <v>10</v>
      </c>
      <c r="F18" s="279" t="s">
        <v>9</v>
      </c>
      <c r="G18" s="279"/>
      <c r="H18" s="280"/>
      <c r="I18" s="281"/>
    </row>
    <row r="19" spans="1:9" x14ac:dyDescent="0.25">
      <c r="A19" s="276" t="s">
        <v>8</v>
      </c>
      <c r="B19" s="277"/>
      <c r="C19" s="278"/>
      <c r="D19" s="65">
        <f>D17/D20</f>
        <v>66.666666666666671</v>
      </c>
      <c r="E19" s="9" t="s">
        <v>7</v>
      </c>
      <c r="F19" s="279" t="s">
        <v>6</v>
      </c>
      <c r="G19" s="279"/>
      <c r="H19" s="280"/>
      <c r="I19" s="281"/>
    </row>
    <row r="20" spans="1:9" x14ac:dyDescent="0.25">
      <c r="A20" s="276" t="s">
        <v>5</v>
      </c>
      <c r="B20" s="277"/>
      <c r="C20" s="278"/>
      <c r="D20" s="65">
        <v>150</v>
      </c>
      <c r="E20" s="8" t="s">
        <v>2</v>
      </c>
      <c r="F20" s="286" t="s">
        <v>4</v>
      </c>
      <c r="G20" s="286"/>
      <c r="H20" s="280"/>
      <c r="I20" s="281"/>
    </row>
    <row r="21" spans="1:9" ht="15.75" thickBot="1" x14ac:dyDescent="0.3">
      <c r="A21" s="287" t="s">
        <v>3</v>
      </c>
      <c r="B21" s="288"/>
      <c r="C21" s="289"/>
      <c r="D21" s="66">
        <f>SUM(E9:E12)-D17</f>
        <v>220</v>
      </c>
      <c r="E21" s="6" t="s">
        <v>2</v>
      </c>
      <c r="F21" s="290"/>
      <c r="G21" s="290"/>
      <c r="H21" s="354"/>
      <c r="I21" s="355"/>
    </row>
    <row r="22" spans="1:9" ht="15.75" thickBot="1" x14ac:dyDescent="0.3">
      <c r="A22" s="347" t="s">
        <v>1</v>
      </c>
      <c r="B22" s="348"/>
      <c r="C22" s="348"/>
      <c r="D22" s="348"/>
      <c r="E22" s="348"/>
      <c r="F22" s="348"/>
      <c r="G22" s="348"/>
      <c r="H22" s="348"/>
      <c r="I22" s="349"/>
    </row>
    <row r="23" spans="1:9" x14ac:dyDescent="0.25">
      <c r="A23" s="350" t="s">
        <v>85</v>
      </c>
      <c r="B23" s="351"/>
      <c r="C23" s="352"/>
      <c r="D23" s="352"/>
      <c r="E23" s="352"/>
      <c r="F23" s="352"/>
      <c r="G23" s="352"/>
      <c r="H23" s="352"/>
      <c r="I23" s="353"/>
    </row>
    <row r="24" spans="1:9" x14ac:dyDescent="0.25">
      <c r="A24" s="282" t="s">
        <v>86</v>
      </c>
      <c r="B24" s="283"/>
      <c r="C24" s="284"/>
      <c r="D24" s="284"/>
      <c r="E24" s="284"/>
      <c r="F24" s="284"/>
      <c r="G24" s="284"/>
      <c r="H24" s="284"/>
      <c r="I24" s="285"/>
    </row>
    <row r="25" spans="1:9" x14ac:dyDescent="0.25">
      <c r="A25" s="325" t="s">
        <v>87</v>
      </c>
      <c r="B25" s="326"/>
      <c r="C25" s="327"/>
      <c r="D25" s="327"/>
      <c r="E25" s="327"/>
      <c r="F25" s="327"/>
      <c r="G25" s="327"/>
      <c r="H25" s="327"/>
      <c r="I25" s="328"/>
    </row>
    <row r="26" spans="1:9" x14ac:dyDescent="0.25">
      <c r="A26" s="344" t="s">
        <v>88</v>
      </c>
      <c r="B26" s="345"/>
      <c r="C26" s="345"/>
      <c r="D26" s="345"/>
      <c r="E26" s="345"/>
      <c r="F26" s="345"/>
      <c r="G26" s="345"/>
      <c r="H26" s="345"/>
      <c r="I26" s="346"/>
    </row>
    <row r="27" spans="1:9" x14ac:dyDescent="0.25">
      <c r="A27" s="329"/>
      <c r="B27" s="330"/>
      <c r="C27" s="331"/>
      <c r="D27" s="331"/>
      <c r="E27" s="331"/>
      <c r="F27" s="331"/>
      <c r="G27" s="331"/>
      <c r="H27" s="331"/>
      <c r="I27" s="332"/>
    </row>
    <row r="28" spans="1:9" ht="15.75" thickBot="1" x14ac:dyDescent="0.3">
      <c r="A28" s="333"/>
      <c r="B28" s="334"/>
      <c r="C28" s="335"/>
      <c r="D28" s="335"/>
      <c r="E28" s="335"/>
      <c r="F28" s="335"/>
      <c r="G28" s="335"/>
      <c r="H28" s="335"/>
      <c r="I28" s="336"/>
    </row>
    <row r="29" spans="1:9" x14ac:dyDescent="0.25">
      <c r="A29" s="337" t="s">
        <v>0</v>
      </c>
      <c r="B29" s="338"/>
      <c r="C29" s="338"/>
      <c r="D29" s="338"/>
      <c r="E29" s="338"/>
      <c r="F29" s="338"/>
      <c r="G29" s="338"/>
      <c r="H29" s="338"/>
      <c r="I29" s="339"/>
    </row>
    <row r="30" spans="1:9" ht="15.75" thickBot="1" x14ac:dyDescent="0.3">
      <c r="A30" s="340"/>
      <c r="B30" s="341"/>
      <c r="C30" s="342"/>
      <c r="D30" s="342"/>
      <c r="E30" s="342"/>
      <c r="F30" s="342"/>
      <c r="G30" s="342"/>
      <c r="H30" s="342"/>
      <c r="I30" s="343"/>
    </row>
    <row r="31" spans="1:9" ht="15.75" thickBot="1" x14ac:dyDescent="0.3">
      <c r="A31" s="293"/>
      <c r="B31" s="294"/>
      <c r="C31" s="295"/>
      <c r="D31" s="295"/>
      <c r="E31" s="295"/>
      <c r="F31" s="295"/>
      <c r="G31" s="295"/>
      <c r="H31" s="295"/>
      <c r="I31" s="296"/>
    </row>
    <row r="32" spans="1:9" ht="15.75" thickBot="1" x14ac:dyDescent="0.3">
      <c r="A32" s="293"/>
      <c r="B32" s="294"/>
      <c r="C32" s="295"/>
      <c r="D32" s="295"/>
      <c r="E32" s="295"/>
      <c r="F32" s="295"/>
      <c r="G32" s="295"/>
      <c r="H32" s="295"/>
      <c r="I32" s="296"/>
    </row>
    <row r="33" spans="1:9" ht="15.75" thickBot="1" x14ac:dyDescent="0.3">
      <c r="A33" s="293"/>
      <c r="B33" s="294"/>
      <c r="C33" s="295"/>
      <c r="D33" s="295"/>
      <c r="E33" s="295"/>
      <c r="F33" s="295"/>
      <c r="G33" s="295"/>
      <c r="H33" s="295"/>
      <c r="I33" s="296"/>
    </row>
    <row r="34" spans="1:9" ht="15.75" thickBot="1" x14ac:dyDescent="0.3">
      <c r="A34" s="293"/>
      <c r="B34" s="294"/>
      <c r="C34" s="295"/>
      <c r="D34" s="295"/>
      <c r="E34" s="295"/>
      <c r="F34" s="295"/>
      <c r="G34" s="295"/>
      <c r="H34" s="295"/>
      <c r="I34" s="296"/>
    </row>
    <row r="35" spans="1:9" ht="15.75" thickBot="1" x14ac:dyDescent="0.3">
      <c r="A35" s="293"/>
      <c r="B35" s="294"/>
      <c r="C35" s="295"/>
      <c r="D35" s="295"/>
      <c r="E35" s="295"/>
      <c r="F35" s="295"/>
      <c r="G35" s="295"/>
      <c r="H35" s="295"/>
      <c r="I35" s="296"/>
    </row>
    <row r="36" spans="1:9" ht="15.75" thickBot="1" x14ac:dyDescent="0.3">
      <c r="A36" s="293"/>
      <c r="B36" s="294"/>
      <c r="C36" s="295"/>
      <c r="D36" s="295"/>
      <c r="E36" s="295"/>
      <c r="F36" s="295"/>
      <c r="G36" s="295"/>
      <c r="H36" s="295"/>
      <c r="I36" s="296"/>
    </row>
    <row r="37" spans="1:9" ht="15.75" thickBot="1" x14ac:dyDescent="0.3">
      <c r="A37" s="293"/>
      <c r="B37" s="294"/>
      <c r="C37" s="295"/>
      <c r="D37" s="295"/>
      <c r="E37" s="295"/>
      <c r="F37" s="295"/>
      <c r="G37" s="295"/>
      <c r="H37" s="295"/>
      <c r="I37" s="296"/>
    </row>
    <row r="38" spans="1:9" ht="15.75" thickBot="1" x14ac:dyDescent="0.3">
      <c r="A38" s="266"/>
      <c r="B38" s="267"/>
      <c r="C38" s="268"/>
      <c r="D38" s="268"/>
      <c r="E38" s="268"/>
      <c r="F38" s="268"/>
      <c r="G38" s="268"/>
      <c r="H38" s="268"/>
      <c r="I38" s="269"/>
    </row>
  </sheetData>
  <mergeCells count="49">
    <mergeCell ref="I3:I5"/>
    <mergeCell ref="D4:G4"/>
    <mergeCell ref="D5:G5"/>
    <mergeCell ref="A1:B5"/>
    <mergeCell ref="C1:G1"/>
    <mergeCell ref="C2:G2"/>
    <mergeCell ref="C3:G3"/>
    <mergeCell ref="H3:H5"/>
    <mergeCell ref="A17:C17"/>
    <mergeCell ref="F17:G17"/>
    <mergeCell ref="H17:I1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33:I33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4:I34"/>
    <mergeCell ref="A35:I35"/>
    <mergeCell ref="A36:I36"/>
    <mergeCell ref="A37:I37"/>
    <mergeCell ref="A38:I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7909-615B-4D49-AD32-4FAC64B805E5}">
  <dimension ref="A1:Q91"/>
  <sheetViews>
    <sheetView topLeftCell="A6" workbookViewId="0">
      <selection activeCell="E51" sqref="E51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3" ht="27.75" customHeight="1" x14ac:dyDescent="0.25">
      <c r="A1" s="86"/>
      <c r="B1" s="86"/>
      <c r="C1" s="86"/>
      <c r="D1" s="86"/>
      <c r="E1" s="87" t="s">
        <v>99</v>
      </c>
      <c r="F1" s="88" t="s">
        <v>100</v>
      </c>
      <c r="G1" s="88" t="s">
        <v>101</v>
      </c>
      <c r="H1" s="88" t="s">
        <v>102</v>
      </c>
      <c r="I1" s="89"/>
    </row>
    <row r="2" spans="1:13" ht="30.75" customHeight="1" x14ac:dyDescent="0.25">
      <c r="A2" s="86"/>
      <c r="B2" s="86"/>
      <c r="C2" s="86"/>
      <c r="D2" s="86"/>
      <c r="E2" s="92">
        <f>IFERROR(O62,"")</f>
        <v>18825.612285714287</v>
      </c>
      <c r="F2" s="92">
        <f>IFERROR(H53,"")</f>
        <v>17286.042000000001</v>
      </c>
      <c r="G2" s="92">
        <f>IFERROR(H54,"")</f>
        <v>111.57028571428572</v>
      </c>
      <c r="H2" s="92">
        <f>IFERROR(H56,"")</f>
        <v>732</v>
      </c>
      <c r="I2" s="93"/>
    </row>
    <row r="3" spans="1:13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3" ht="24.75" customHeight="1" thickBot="1" x14ac:dyDescent="0.3">
      <c r="A4" s="357"/>
      <c r="B4" s="357"/>
      <c r="C4" s="357"/>
      <c r="D4" s="357"/>
      <c r="E4" s="357"/>
      <c r="F4" s="357"/>
      <c r="G4" s="357"/>
      <c r="H4" s="357"/>
      <c r="I4" s="95"/>
    </row>
    <row r="5" spans="1:13" ht="19.5" customHeight="1" thickBot="1" x14ac:dyDescent="0.3">
      <c r="A5" s="358" t="s">
        <v>103</v>
      </c>
      <c r="B5" s="359"/>
      <c r="C5" s="359"/>
      <c r="D5" s="359"/>
      <c r="E5" s="359"/>
      <c r="F5" s="359"/>
      <c r="G5" s="359"/>
      <c r="H5" s="360"/>
      <c r="I5" s="96"/>
    </row>
    <row r="6" spans="1:13" ht="19.5" thickBot="1" x14ac:dyDescent="0.3">
      <c r="A6" s="96"/>
      <c r="B6" s="96"/>
      <c r="C6" s="96"/>
      <c r="D6" s="96"/>
      <c r="E6" s="96"/>
      <c r="F6" s="361" t="s">
        <v>104</v>
      </c>
      <c r="G6" s="361"/>
      <c r="H6" s="97">
        <f ca="1">TODAY()</f>
        <v>45679</v>
      </c>
      <c r="I6" s="97"/>
    </row>
    <row r="7" spans="1:13" ht="26.25" thickBot="1" x14ac:dyDescent="0.3">
      <c r="A7" s="98" t="s">
        <v>105</v>
      </c>
      <c r="B7" s="99" t="s">
        <v>106</v>
      </c>
      <c r="C7" s="99" t="s">
        <v>105</v>
      </c>
      <c r="D7" s="100" t="s">
        <v>107</v>
      </c>
      <c r="E7" s="100" t="s">
        <v>108</v>
      </c>
      <c r="F7" s="100" t="s">
        <v>109</v>
      </c>
      <c r="G7" s="100" t="s">
        <v>110</v>
      </c>
      <c r="H7" s="101" t="s">
        <v>111</v>
      </c>
      <c r="I7" s="102"/>
    </row>
    <row r="8" spans="1:13" ht="13.5" x14ac:dyDescent="0.25">
      <c r="A8" s="103">
        <v>1800</v>
      </c>
      <c r="B8" s="91" t="str">
        <f>IFERROR(VLOOKUP(H8,'[1]Consolidado MP Planta'!$A$2:$M$823,3,0),"")</f>
        <v>HUEVO ENTERO PASTERI INNOVO (CAJA:10 K)</v>
      </c>
      <c r="C8" s="104">
        <f>+A8</f>
        <v>1800</v>
      </c>
      <c r="D8" s="105" t="str">
        <f>IFERROR(VLOOKUP(H8,'[1]Consolidado MP Planta'!$A$2:$M$823,13,0),"")</f>
        <v>Gramos</v>
      </c>
      <c r="E8" s="105">
        <v>2.36</v>
      </c>
      <c r="F8" s="105">
        <f>IFERROR(C8*E8,"")</f>
        <v>4248</v>
      </c>
      <c r="G8" s="106">
        <f t="shared" ref="G8:G14" si="0">IFERROR(F8/$F$66,"")</f>
        <v>0.23300545114873858</v>
      </c>
      <c r="H8" s="107" t="s">
        <v>73</v>
      </c>
      <c r="I8" s="107"/>
      <c r="J8" s="108"/>
    </row>
    <row r="9" spans="1:13" ht="13.5" x14ac:dyDescent="0.25">
      <c r="A9" s="103">
        <v>1500</v>
      </c>
      <c r="B9" s="91" t="s">
        <v>76</v>
      </c>
      <c r="C9" s="104">
        <f t="shared" ref="C9:C14" si="1">+A9</f>
        <v>1500</v>
      </c>
      <c r="D9" s="105" t="s">
        <v>112</v>
      </c>
      <c r="E9" s="105">
        <v>3</v>
      </c>
      <c r="F9" s="105">
        <f t="shared" ref="F9:F14" si="2">IFERROR(C9*E9,"")</f>
        <v>4500</v>
      </c>
      <c r="G9" s="106">
        <f t="shared" si="0"/>
        <v>0.24682780842027391</v>
      </c>
      <c r="H9" s="107"/>
      <c r="I9" s="107"/>
      <c r="J9" s="108"/>
      <c r="M9" s="91" t="s">
        <v>152</v>
      </c>
    </row>
    <row r="10" spans="1:13" ht="13.5" x14ac:dyDescent="0.25">
      <c r="A10" s="103">
        <v>800</v>
      </c>
      <c r="B10" s="91" t="str">
        <f>IFERROR(VLOOKUP(H10,'[1]Consolidado MP Planta'!$A$2:$M$823,3,0),"")</f>
        <v>LECHE 2% PASTEURIZADA (UND)</v>
      </c>
      <c r="C10" s="104">
        <f t="shared" si="1"/>
        <v>800</v>
      </c>
      <c r="D10" s="105" t="str">
        <f>IFERROR(VLOOKUP(H10,'[1]Consolidado MP Planta'!$A$2:$M$823,13,0),"")</f>
        <v>Mililitros</v>
      </c>
      <c r="E10" s="105">
        <v>0.55000000000000004</v>
      </c>
      <c r="F10" s="105">
        <f t="shared" si="2"/>
        <v>440.00000000000006</v>
      </c>
      <c r="G10" s="106">
        <f t="shared" si="0"/>
        <v>2.4134274601093453E-2</v>
      </c>
      <c r="H10" s="107" t="s">
        <v>153</v>
      </c>
      <c r="I10" s="107"/>
      <c r="J10" s="108"/>
    </row>
    <row r="11" spans="1:13" ht="13.5" x14ac:dyDescent="0.25">
      <c r="A11" s="103">
        <v>50</v>
      </c>
      <c r="B11" s="91" t="str">
        <f>IFERROR(VLOOKUP(H11,'[1]Consolidado MP Planta'!$A$2:$M$823,3,0),"")</f>
        <v>SEMILLA DE AMAPOLA (UND: 566 G)</v>
      </c>
      <c r="C11" s="104">
        <f t="shared" si="1"/>
        <v>50</v>
      </c>
      <c r="D11" s="105" t="str">
        <f>IFERROR(VLOOKUP(H11,'[1]Consolidado MP Planta'!$A$2:$M$823,13,0),"")</f>
        <v>Gramos</v>
      </c>
      <c r="E11" s="105">
        <v>9.41</v>
      </c>
      <c r="F11" s="105">
        <f t="shared" si="2"/>
        <v>470.5</v>
      </c>
      <c r="G11" s="106">
        <f t="shared" si="0"/>
        <v>2.5807218635941973E-2</v>
      </c>
      <c r="H11" s="107" t="s">
        <v>82</v>
      </c>
      <c r="I11" s="107"/>
      <c r="J11" s="108"/>
    </row>
    <row r="12" spans="1:13" ht="13.5" hidden="1" x14ac:dyDescent="0.25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3" ht="13.5" hidden="1" x14ac:dyDescent="0.25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3" ht="13.5" hidden="1" x14ac:dyDescent="0.25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3" ht="14.25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3" ht="26.25" thickBot="1" x14ac:dyDescent="0.3">
      <c r="A16" s="98" t="s">
        <v>105</v>
      </c>
      <c r="B16" s="99" t="s">
        <v>114</v>
      </c>
      <c r="C16" s="99" t="s">
        <v>105</v>
      </c>
      <c r="D16" s="100" t="s">
        <v>107</v>
      </c>
      <c r="E16" s="100" t="s">
        <v>108</v>
      </c>
      <c r="F16" s="100" t="s">
        <v>109</v>
      </c>
      <c r="G16" s="100" t="s">
        <v>110</v>
      </c>
      <c r="H16" s="101" t="s">
        <v>111</v>
      </c>
      <c r="I16" s="102"/>
      <c r="J16" s="108"/>
    </row>
    <row r="17" spans="1:12" ht="13.5" x14ac:dyDescent="0.25">
      <c r="A17" s="103">
        <v>6120</v>
      </c>
      <c r="B17" s="91" t="s">
        <v>72</v>
      </c>
      <c r="C17" s="104">
        <f>+A17</f>
        <v>6120</v>
      </c>
      <c r="D17" s="104" t="s">
        <v>112</v>
      </c>
      <c r="E17" s="105">
        <f>+'Costo Premezcla '!E69</f>
        <v>1.2463303921568627</v>
      </c>
      <c r="F17" s="105">
        <f>IFERROR(E17*C17,"")</f>
        <v>7627.5419999999995</v>
      </c>
      <c r="G17" s="106">
        <f t="shared" ref="G17:G24" si="3">IFERROR(F17/$F$66,"")</f>
        <v>0.41837543899857615</v>
      </c>
      <c r="H17" s="107"/>
      <c r="I17" s="107"/>
      <c r="J17" s="108"/>
    </row>
    <row r="18" spans="1:12" ht="13.5" hidden="1" x14ac:dyDescent="0.25">
      <c r="A18" s="103"/>
      <c r="B18" s="91" t="str">
        <f>IFERROR(VLOOKUP(H18,[1]SEMIELABORADOS!$A$2:$M$6000,2,0),"")</f>
        <v/>
      </c>
      <c r="C18" s="104">
        <f t="shared" ref="C18:C24" si="4">+A18</f>
        <v>0</v>
      </c>
      <c r="D18" s="104" t="str">
        <f>IFERROR(VLOOKUP(H18,[1]SEMIELABORADOS!$A$2:$M$6000,6,0),"")</f>
        <v/>
      </c>
      <c r="E18" s="105" t="str">
        <f>IFERROR(VLOOKUP(H18,[1]SEMIELABORADOS!$A$2:$H$65536,8,0),"")</f>
        <v/>
      </c>
      <c r="F18" s="105" t="str">
        <f t="shared" ref="F18:F24" si="5">IFERROR(E18*C18,"")</f>
        <v/>
      </c>
      <c r="G18" s="106" t="str">
        <f t="shared" si="3"/>
        <v/>
      </c>
      <c r="H18" s="107"/>
      <c r="I18" s="107"/>
      <c r="J18" s="108"/>
    </row>
    <row r="19" spans="1:12" ht="13.5" hidden="1" x14ac:dyDescent="0.25">
      <c r="A19" s="103"/>
      <c r="B19" s="91" t="str">
        <f>IFERROR(VLOOKUP(H19,[1]SEMIELABORADOS!$A$2:$M$6000,2,0),"")</f>
        <v/>
      </c>
      <c r="C19" s="104">
        <f>+A19</f>
        <v>0</v>
      </c>
      <c r="D19" s="104" t="str">
        <f>IFERROR(VLOOKUP(H19,[1]SEMIELABORADOS!$A$2:$M$6000,6,0),"")</f>
        <v/>
      </c>
      <c r="E19" s="105" t="str">
        <f>IFERROR(VLOOKUP(H19,[1]SEMIELABORADOS!$A$2:$H$65536,8,0),"")</f>
        <v/>
      </c>
      <c r="F19" s="105" t="str">
        <f>IFERROR(E19*C19,"")</f>
        <v/>
      </c>
      <c r="G19" s="106" t="str">
        <f t="shared" si="3"/>
        <v/>
      </c>
      <c r="H19" s="107"/>
      <c r="I19" s="107"/>
      <c r="J19" s="108"/>
    </row>
    <row r="20" spans="1:12" ht="13.5" hidden="1" x14ac:dyDescent="0.25">
      <c r="A20" s="103"/>
      <c r="B20" s="91" t="str">
        <f>IFERROR(VLOOKUP(H20,[1]SEMIELABORADOS!$A$2:$M$6000,2,0),"")</f>
        <v/>
      </c>
      <c r="C20" s="104">
        <f>+A20</f>
        <v>0</v>
      </c>
      <c r="D20" s="104" t="str">
        <f>IFERROR(VLOOKUP(H20,[1]SEMIELABORADOS!$A$2:$M$6000,6,0),"")</f>
        <v/>
      </c>
      <c r="E20" s="105" t="str">
        <f>IFERROR(VLOOKUP(H20,[1]SEMIELABORADOS!$A$2:$H$65536,8,0),"")</f>
        <v/>
      </c>
      <c r="F20" s="105" t="str">
        <f>IFERROR(E20*C20,"")</f>
        <v/>
      </c>
      <c r="G20" s="106" t="str">
        <f t="shared" si="3"/>
        <v/>
      </c>
      <c r="H20" s="107"/>
      <c r="I20" s="107"/>
      <c r="J20" s="108"/>
    </row>
    <row r="21" spans="1:12" ht="13.5" hidden="1" x14ac:dyDescent="0.25">
      <c r="A21" s="103"/>
      <c r="B21" s="91" t="str">
        <f>IFERROR(VLOOKUP(H21,[1]SEMIELABORADOS!$A$2:$M$6000,2,0),"")</f>
        <v/>
      </c>
      <c r="C21" s="104">
        <f>+A21</f>
        <v>0</v>
      </c>
      <c r="D21" s="104" t="str">
        <f>IFERROR(VLOOKUP(H21,[1]SEMIELABORADOS!$A$2:$M$6000,6,0),"")</f>
        <v/>
      </c>
      <c r="E21" s="105" t="str">
        <f>IFERROR(VLOOKUP(H21,[1]SEMIELABORADOS!$A$2:$H$65536,8,0),"")</f>
        <v/>
      </c>
      <c r="F21" s="105" t="str">
        <f>IFERROR(E21*C21,"")</f>
        <v/>
      </c>
      <c r="G21" s="106" t="str">
        <f t="shared" si="3"/>
        <v/>
      </c>
      <c r="H21" s="107"/>
      <c r="I21" s="107"/>
      <c r="J21" s="108"/>
    </row>
    <row r="22" spans="1:12" ht="13.5" hidden="1" x14ac:dyDescent="0.25">
      <c r="A22" s="103"/>
      <c r="B22" s="91" t="str">
        <f>IFERROR(VLOOKUP(H22,[1]SEMIELABORADOS!$A$2:$M$6000,2,0),"")</f>
        <v/>
      </c>
      <c r="C22" s="104">
        <f t="shared" si="4"/>
        <v>0</v>
      </c>
      <c r="D22" s="104" t="str">
        <f>IFERROR(VLOOKUP(H22,[1]SEMIELABORADOS!$A$2:$M$6000,6,0),"")</f>
        <v/>
      </c>
      <c r="E22" s="105" t="str">
        <f>IFERROR(VLOOKUP(H22,[1]SEMIELABORADOS!$A$2:$H$65536,8,0),"")</f>
        <v/>
      </c>
      <c r="F22" s="105" t="str">
        <f t="shared" si="5"/>
        <v/>
      </c>
      <c r="G22" s="106" t="str">
        <f t="shared" si="3"/>
        <v/>
      </c>
      <c r="H22" s="107"/>
      <c r="I22" s="107"/>
      <c r="J22" s="108"/>
    </row>
    <row r="23" spans="1:12" ht="13.5" hidden="1" x14ac:dyDescent="0.25">
      <c r="A23" s="103"/>
      <c r="B23" s="91" t="str">
        <f>IFERROR(VLOOKUP(H23,[1]SEMIELABORADOS!$A$2:$M$6000,2,0),"")</f>
        <v/>
      </c>
      <c r="C23" s="104">
        <f t="shared" si="4"/>
        <v>0</v>
      </c>
      <c r="D23" s="104" t="str">
        <f>IFERROR(VLOOKUP(H23,[1]SEMIELABORADOS!$A$2:$M$6000,6,0),"")</f>
        <v/>
      </c>
      <c r="E23" s="105" t="str">
        <f>IFERROR(VLOOKUP(H23,[1]SEMIELABORADOS!$A$2:$H$65536,8,0),"")</f>
        <v/>
      </c>
      <c r="F23" s="105" t="str">
        <f t="shared" si="5"/>
        <v/>
      </c>
      <c r="G23" s="106" t="str">
        <f t="shared" si="3"/>
        <v/>
      </c>
      <c r="H23" s="107"/>
      <c r="I23" s="107"/>
      <c r="J23" s="108"/>
    </row>
    <row r="24" spans="1:12" ht="13.5" hidden="1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hidden="1" thickBot="1" x14ac:dyDescent="0.3">
      <c r="A26" s="98" t="s">
        <v>105</v>
      </c>
      <c r="B26" s="99" t="s">
        <v>53</v>
      </c>
      <c r="C26" s="99" t="s">
        <v>105</v>
      </c>
      <c r="D26" s="100" t="s">
        <v>107</v>
      </c>
      <c r="E26" s="100" t="s">
        <v>108</v>
      </c>
      <c r="F26" s="100" t="s">
        <v>109</v>
      </c>
      <c r="G26" s="100" t="s">
        <v>110</v>
      </c>
      <c r="H26" s="101" t="s">
        <v>111</v>
      </c>
      <c r="I26" s="102"/>
    </row>
    <row r="27" spans="1:12" ht="14.25" hidden="1" thickBot="1" x14ac:dyDescent="0.3">
      <c r="A27" s="103">
        <v>0</v>
      </c>
      <c r="B27" s="109" t="str">
        <f>IFERROR(VLOOKUP(H27,'[1]Consolidado MP Planta'!$A$2:$M$823,3,0),"")</f>
        <v/>
      </c>
      <c r="C27" s="104">
        <f t="shared" ref="C27:C32" si="6">+A27</f>
        <v>0</v>
      </c>
      <c r="D27" s="105" t="str">
        <f>IFERROR(VLOOKUP(H27,'[1]Consolidado MP Planta'!$A$2:$M$823,13,0),"")</f>
        <v/>
      </c>
      <c r="E27" s="105" t="str">
        <f>IFERROR(VLOOKUP(H27,'[1]Consolidado MP Planta'!$A$2:$M$823,12,0),"")</f>
        <v/>
      </c>
      <c r="F27" s="105" t="str">
        <f t="shared" ref="F27:F32" si="7">IFERROR(C27*E27,"")</f>
        <v/>
      </c>
      <c r="G27" s="106" t="str">
        <f t="shared" ref="G27:G32" si="8">IFERROR(F27/$F$66,"")</f>
        <v/>
      </c>
      <c r="H27" s="110"/>
      <c r="I27" s="110"/>
      <c r="J27" s="108"/>
      <c r="K27" s="356"/>
      <c r="L27" s="356"/>
    </row>
    <row r="28" spans="1:12" ht="14.25" hidden="1" thickBot="1" x14ac:dyDescent="0.3">
      <c r="A28" s="103"/>
      <c r="B28" s="109" t="str">
        <f>IFERROR(VLOOKUP(H28,'[1]Consolidado MP Planta'!$A$2:$M$823,3,0),"")</f>
        <v/>
      </c>
      <c r="C28" s="104">
        <f t="shared" si="6"/>
        <v>0</v>
      </c>
      <c r="D28" s="105" t="str">
        <f>IFERROR(VLOOKUP(H28,'[1]Consolidado MP Planta'!$A$2:$M$823,13,0),"")</f>
        <v/>
      </c>
      <c r="E28" s="105" t="str">
        <f>IFERROR(VLOOKUP(H28,'[1]Consolidado MP Planta'!$A$2:$M$823,12,0),"")</f>
        <v/>
      </c>
      <c r="F28" s="105" t="str">
        <f t="shared" si="7"/>
        <v/>
      </c>
      <c r="G28" s="106" t="str">
        <f t="shared" si="8"/>
        <v/>
      </c>
      <c r="H28" s="110"/>
      <c r="I28" s="110"/>
      <c r="J28" s="108"/>
      <c r="K28" s="356"/>
      <c r="L28" s="356"/>
    </row>
    <row r="29" spans="1:12" ht="14.25" hidden="1" thickBot="1" x14ac:dyDescent="0.3">
      <c r="A29" s="103"/>
      <c r="B29" s="109" t="str">
        <f>IFERROR(VLOOKUP(H29,'[1]Consolidado MP Planta'!$A$2:$M$823,3,0),"")</f>
        <v/>
      </c>
      <c r="C29" s="104">
        <f t="shared" si="6"/>
        <v>0</v>
      </c>
      <c r="D29" s="105" t="str">
        <f>IFERROR(VLOOKUP(H29,'[1]Consolidado MP Planta'!$A$2:$M$823,13,0),"")</f>
        <v/>
      </c>
      <c r="E29" s="105" t="str">
        <f>IFERROR(VLOOKUP(H29,'[1]Consolidado MP Planta'!$A$2:$M$823,12,0),"")</f>
        <v/>
      </c>
      <c r="F29" s="105" t="str">
        <f t="shared" si="7"/>
        <v/>
      </c>
      <c r="G29" s="106" t="str">
        <f t="shared" si="8"/>
        <v/>
      </c>
      <c r="H29" s="110"/>
      <c r="I29" s="110"/>
      <c r="J29" s="108"/>
      <c r="K29" s="356"/>
      <c r="L29" s="356"/>
    </row>
    <row r="30" spans="1:12" ht="14.25" hidden="1" thickBot="1" x14ac:dyDescent="0.3">
      <c r="A30" s="103"/>
      <c r="B30" s="109" t="str">
        <f>IFERROR(VLOOKUP(H30,'[1]Consolidado MP Planta'!$A$2:$M$823,3,0),"")</f>
        <v/>
      </c>
      <c r="C30" s="104">
        <f t="shared" si="6"/>
        <v>0</v>
      </c>
      <c r="D30" s="105" t="str">
        <f>IFERROR(VLOOKUP(H30,'[1]Consolidado MP Planta'!$A$2:$M$823,13,0),"")</f>
        <v/>
      </c>
      <c r="E30" s="105" t="str">
        <f>IFERROR(VLOOKUP(H30,'[1]Consolidado MP Planta'!$A$2:$M$823,12,0),"")</f>
        <v/>
      </c>
      <c r="F30" s="105" t="str">
        <f t="shared" si="7"/>
        <v/>
      </c>
      <c r="G30" s="106" t="str">
        <f t="shared" si="8"/>
        <v/>
      </c>
      <c r="H30" s="110"/>
      <c r="I30" s="110"/>
      <c r="J30" s="108"/>
      <c r="K30" s="356"/>
      <c r="L30" s="356"/>
    </row>
    <row r="31" spans="1:12" ht="14.25" hidden="1" thickBot="1" x14ac:dyDescent="0.3">
      <c r="A31" s="103"/>
      <c r="B31" s="109" t="str">
        <f>IFERROR(VLOOKUP(H31,'[1]Consolidado MP Planta'!$A$2:$M$823,3,0),"")</f>
        <v/>
      </c>
      <c r="C31" s="104">
        <f t="shared" si="6"/>
        <v>0</v>
      </c>
      <c r="D31" s="105" t="str">
        <f>IFERROR(VLOOKUP(H31,'[1]Consolidado MP Planta'!$A$2:$M$823,13,0),"")</f>
        <v/>
      </c>
      <c r="E31" s="105" t="str">
        <f>IFERROR(VLOOKUP(H31,'[1]Consolidado MP Planta'!$A$2:$M$823,12,0),"")</f>
        <v/>
      </c>
      <c r="F31" s="105" t="str">
        <f t="shared" si="7"/>
        <v/>
      </c>
      <c r="G31" s="106" t="str">
        <f t="shared" si="8"/>
        <v/>
      </c>
      <c r="H31" s="110"/>
      <c r="I31" s="110"/>
      <c r="J31" s="108"/>
      <c r="K31" s="111"/>
      <c r="L31" s="112"/>
    </row>
    <row r="32" spans="1:12" ht="14.25" hidden="1" thickBot="1" x14ac:dyDescent="0.3">
      <c r="A32" s="103"/>
      <c r="B32" s="109" t="str">
        <f>IFERROR(VLOOKUP(H32,'[1]Consolidado MP Planta'!$A$2:$M$823,3,0),"")</f>
        <v/>
      </c>
      <c r="C32" s="104">
        <f t="shared" si="6"/>
        <v>0</v>
      </c>
      <c r="D32" s="105" t="str">
        <f>IFERROR(VLOOKUP(H32,'[1]Consolidado MP Planta'!$A$2:$M$823,13,0),"")</f>
        <v/>
      </c>
      <c r="E32" s="105" t="str">
        <f>IFERROR(VLOOKUP(H32,'[1]Consolidado MP Planta'!$A$2:$M$823,12,0),"")</f>
        <v/>
      </c>
      <c r="F32" s="105" t="str">
        <f t="shared" si="7"/>
        <v/>
      </c>
      <c r="G32" s="106" t="str">
        <f t="shared" si="8"/>
        <v/>
      </c>
      <c r="H32" s="110"/>
      <c r="I32" s="110"/>
      <c r="J32" s="108"/>
    </row>
    <row r="33" spans="1:13" ht="14.25" hidden="1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 x14ac:dyDescent="0.25">
      <c r="A34" s="98" t="s">
        <v>105</v>
      </c>
      <c r="B34" s="99" t="s">
        <v>115</v>
      </c>
      <c r="C34" s="99" t="s">
        <v>105</v>
      </c>
      <c r="D34" s="100" t="s">
        <v>107</v>
      </c>
      <c r="E34" s="100" t="s">
        <v>108</v>
      </c>
      <c r="F34" s="100" t="s">
        <v>109</v>
      </c>
      <c r="G34" s="100" t="s">
        <v>110</v>
      </c>
      <c r="H34" s="101" t="s">
        <v>111</v>
      </c>
      <c r="I34" s="110"/>
      <c r="J34" s="108"/>
    </row>
    <row r="35" spans="1:13" ht="13.5" x14ac:dyDescent="0.25">
      <c r="A35" s="103">
        <f>+A17</f>
        <v>6120</v>
      </c>
      <c r="B35" s="109" t="s">
        <v>72</v>
      </c>
      <c r="C35" s="104">
        <f>+A35</f>
        <v>6120</v>
      </c>
      <c r="D35" s="105" t="s">
        <v>112</v>
      </c>
      <c r="E35" s="105">
        <f>+'Costo Premezcla '!E76</f>
        <v>1.8230438842203548E-2</v>
      </c>
      <c r="F35" s="105">
        <f>IFERROR(E35*C35,"")</f>
        <v>111.57028571428572</v>
      </c>
      <c r="G35" s="106">
        <f t="shared" ref="G35:G41" si="9">IFERROR(F35/$F$66,"")</f>
        <v>6.1196998017068746E-3</v>
      </c>
      <c r="H35" s="110"/>
      <c r="I35" s="110"/>
      <c r="J35" s="108"/>
    </row>
    <row r="36" spans="1:13" ht="13.5" hidden="1" x14ac:dyDescent="0.25">
      <c r="A36" s="103">
        <f t="shared" ref="A36:A41" si="10">+A18</f>
        <v>0</v>
      </c>
      <c r="B36" s="109" t="str">
        <f>IFERROR(VLOOKUP(H36,[1]SEMIELABORADOS!$A$2:$M$6000,2,0),"")</f>
        <v/>
      </c>
      <c r="C36" s="104">
        <f t="shared" ref="C36:C41" si="11">+A36</f>
        <v>0</v>
      </c>
      <c r="D36" s="105" t="str">
        <f>IFERROR(VLOOKUP(H36,[1]SEMIELABORADOS!$A$2:$M$6000,6,0),"")</f>
        <v/>
      </c>
      <c r="E36" s="105" t="str">
        <f>IFERROR(VLOOKUP(H36,[1]SEMIELABORADOS!$A$2:$M$65536,10,0),"")</f>
        <v/>
      </c>
      <c r="F36" s="105" t="str">
        <f t="shared" ref="F36:F41" si="12">IFERROR(E36*C36,"")</f>
        <v/>
      </c>
      <c r="G36" s="106" t="str">
        <f t="shared" si="9"/>
        <v/>
      </c>
      <c r="H36" s="110"/>
      <c r="I36" s="110"/>
      <c r="J36" s="108"/>
    </row>
    <row r="37" spans="1:13" ht="13.5" hidden="1" x14ac:dyDescent="0.25">
      <c r="A37" s="103">
        <f t="shared" si="10"/>
        <v>0</v>
      </c>
      <c r="B37" s="109" t="str">
        <f>IFERROR(VLOOKUP(H37,[1]SEMIELABORADOS!$A$2:$M$6000,2,0),"")</f>
        <v/>
      </c>
      <c r="C37" s="104">
        <f t="shared" si="11"/>
        <v>0</v>
      </c>
      <c r="D37" s="105" t="str">
        <f>IFERROR(VLOOKUP(H37,[1]SEMIELABORADOS!$A$2:$M$6000,6,0),"")</f>
        <v/>
      </c>
      <c r="E37" s="105" t="str">
        <f>IFERROR(VLOOKUP(H37,[1]SEMIELABORADOS!$A$2:$M$65536,10,0),"")</f>
        <v/>
      </c>
      <c r="F37" s="105" t="str">
        <f t="shared" si="12"/>
        <v/>
      </c>
      <c r="G37" s="106" t="str">
        <f t="shared" si="9"/>
        <v/>
      </c>
      <c r="H37" s="110"/>
      <c r="I37" s="110"/>
      <c r="J37" s="108"/>
    </row>
    <row r="38" spans="1:13" ht="13.5" hidden="1" x14ac:dyDescent="0.25">
      <c r="A38" s="103">
        <f t="shared" si="10"/>
        <v>0</v>
      </c>
      <c r="B38" s="109" t="str">
        <f>IFERROR(VLOOKUP(H38,[1]SEMIELABORADOS!$A$2:$M$6000,2,0),"")</f>
        <v/>
      </c>
      <c r="C38" s="104">
        <f>+A38</f>
        <v>0</v>
      </c>
      <c r="D38" s="105" t="str">
        <f>IFERROR(VLOOKUP(H38,[1]SEMIELABORADOS!$A$2:$M$6000,6,0),"")</f>
        <v/>
      </c>
      <c r="E38" s="105" t="str">
        <f>IFERROR(VLOOKUP(H38,[1]SEMIELABORADOS!$A$2:$M$65536,10,0),"")</f>
        <v/>
      </c>
      <c r="F38" s="105" t="str">
        <f>IFERROR(E38*C38,"")</f>
        <v/>
      </c>
      <c r="G38" s="106" t="str">
        <f t="shared" si="9"/>
        <v/>
      </c>
      <c r="H38" s="110"/>
      <c r="I38" s="110"/>
      <c r="J38" s="108"/>
    </row>
    <row r="39" spans="1:13" ht="13.5" hidden="1" x14ac:dyDescent="0.25">
      <c r="A39" s="103">
        <f t="shared" si="10"/>
        <v>0</v>
      </c>
      <c r="B39" s="109" t="str">
        <f>IFERROR(VLOOKUP(H39,[1]SEMIELABORADOS!$A$2:$M$6000,2,0),"")</f>
        <v/>
      </c>
      <c r="C39" s="104">
        <f>+A39</f>
        <v>0</v>
      </c>
      <c r="D39" s="105" t="str">
        <f>IFERROR(VLOOKUP(H39,[1]SEMIELABORADOS!$A$2:$M$6000,6,0),"")</f>
        <v/>
      </c>
      <c r="E39" s="105" t="str">
        <f>IFERROR(VLOOKUP(H39,[1]SEMIELABORADOS!$A$2:$M$65536,10,0),"")</f>
        <v/>
      </c>
      <c r="F39" s="105" t="str">
        <f>IFERROR(E39*C39,"")</f>
        <v/>
      </c>
      <c r="G39" s="106" t="str">
        <f t="shared" si="9"/>
        <v/>
      </c>
      <c r="H39" s="110"/>
      <c r="I39" s="110"/>
      <c r="J39" s="108"/>
    </row>
    <row r="40" spans="1:13" ht="13.5" hidden="1" x14ac:dyDescent="0.25">
      <c r="A40" s="103">
        <f t="shared" si="10"/>
        <v>0</v>
      </c>
      <c r="B40" s="109" t="str">
        <f>IFERROR(VLOOKUP(H40,[1]SEMIELABORADOS!$A$2:$M$6000,2,0),"")</f>
        <v/>
      </c>
      <c r="C40" s="104">
        <f t="shared" si="11"/>
        <v>0</v>
      </c>
      <c r="D40" s="105" t="str">
        <f>IFERROR(VLOOKUP(H40,[1]SEMIELABORADOS!$A$2:$M$6000,6,0),"")</f>
        <v/>
      </c>
      <c r="E40" s="105" t="str">
        <f>IFERROR(VLOOKUP(H40,[1]SEMIELABORADOS!$A$2:$M$65536,10,0),"")</f>
        <v/>
      </c>
      <c r="F40" s="105" t="str">
        <f t="shared" si="12"/>
        <v/>
      </c>
      <c r="G40" s="106" t="str">
        <f t="shared" si="9"/>
        <v/>
      </c>
      <c r="H40" s="110"/>
      <c r="I40" s="110"/>
      <c r="J40" s="108"/>
    </row>
    <row r="41" spans="1:13" ht="13.5" hidden="1" x14ac:dyDescent="0.25">
      <c r="A41" s="103">
        <f t="shared" si="10"/>
        <v>0</v>
      </c>
      <c r="B41" s="109" t="str">
        <f>IFERROR(VLOOKUP(H41,[1]SEMIELABORADOS!$A$2:$M$6000,2,0),"")</f>
        <v/>
      </c>
      <c r="C41" s="104">
        <f t="shared" si="11"/>
        <v>0</v>
      </c>
      <c r="D41" s="105" t="str">
        <f>IFERROR(VLOOKUP(H41,[1]SEMIELABORADOS!$A$2:$M$6000,6,0),"")</f>
        <v/>
      </c>
      <c r="E41" s="105" t="str">
        <f>IFERROR(VLOOKUP(H41,[1]SEMIELABORADOS!$A$2:$M$65536,10,0),"")</f>
        <v/>
      </c>
      <c r="F41" s="105" t="str">
        <f t="shared" si="12"/>
        <v/>
      </c>
      <c r="G41" s="106" t="str">
        <f t="shared" si="9"/>
        <v/>
      </c>
      <c r="H41" s="110"/>
      <c r="I41" s="110"/>
      <c r="J41" s="108"/>
    </row>
    <row r="42" spans="1:13" ht="14.25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105</v>
      </c>
      <c r="B43" s="99" t="s">
        <v>116</v>
      </c>
      <c r="C43" s="99" t="s">
        <v>105</v>
      </c>
      <c r="D43" s="100" t="s">
        <v>107</v>
      </c>
      <c r="E43" s="100" t="s">
        <v>108</v>
      </c>
      <c r="F43" s="100" t="s">
        <v>109</v>
      </c>
      <c r="G43" s="100" t="s">
        <v>110</v>
      </c>
      <c r="H43" s="101" t="s">
        <v>111</v>
      </c>
      <c r="I43" s="102"/>
      <c r="J43" s="108"/>
    </row>
    <row r="44" spans="1:13" ht="13.5" x14ac:dyDescent="0.25">
      <c r="A44" s="103">
        <f>+A35</f>
        <v>6120</v>
      </c>
      <c r="B44" s="109" t="s">
        <v>72</v>
      </c>
      <c r="C44" s="104">
        <f>+A44</f>
        <v>6120</v>
      </c>
      <c r="D44" s="105" t="s">
        <v>112</v>
      </c>
      <c r="E44" s="105">
        <f>+'Costo Premezcla '!E74</f>
        <v>3.9869281045751631E-2</v>
      </c>
      <c r="F44" s="105">
        <f>IFERROR(E44*C44,"")</f>
        <v>243.99999999999997</v>
      </c>
      <c r="G44" s="106">
        <f>IFERROR(F44/$F$66,"")</f>
        <v>1.3383552278788183E-2</v>
      </c>
      <c r="H44" s="110"/>
      <c r="I44" s="102"/>
      <c r="J44" s="108"/>
    </row>
    <row r="45" spans="1:13" ht="13.5" hidden="1" x14ac:dyDescent="0.25">
      <c r="A45" s="103">
        <f t="shared" ref="A45:A50" si="13">+A36</f>
        <v>0</v>
      </c>
      <c r="B45" s="109" t="str">
        <f>IFERROR(VLOOKUP(H45,[1]SEMIELABORADOS!$A$2:$M$6000,2,0),"")</f>
        <v/>
      </c>
      <c r="C45" s="104">
        <f t="shared" ref="C45:C50" si="14">+A45</f>
        <v>0</v>
      </c>
      <c r="D45" s="105" t="str">
        <f>IFERROR(VLOOKUP(H45,[1]SEMIELABORADOS!$A$2:$M$6000,6,0),"")</f>
        <v/>
      </c>
      <c r="E45" s="105" t="str">
        <f>IFERROR(VLOOKUP(H45,[1]SEMIELABORADOS!$A$2:$M$65536,12,0),"")</f>
        <v/>
      </c>
      <c r="F45" s="105" t="str">
        <f t="shared" ref="F45:F50" si="15">IFERROR(E45*C45,"")</f>
        <v/>
      </c>
      <c r="G45" s="106" t="str">
        <f t="shared" ref="G45:G50" si="16">IFERROR(F45/$F$66,"")</f>
        <v/>
      </c>
      <c r="H45" s="110"/>
      <c r="I45" s="102"/>
      <c r="J45" s="108"/>
      <c r="M45" s="113"/>
    </row>
    <row r="46" spans="1:13" ht="13.5" hidden="1" x14ac:dyDescent="0.25">
      <c r="A46" s="103">
        <f t="shared" si="13"/>
        <v>0</v>
      </c>
      <c r="B46" s="109" t="str">
        <f>IFERROR(VLOOKUP(H46,[1]SEMIELABORADOS!$A$2:$M$6000,2,0),"")</f>
        <v/>
      </c>
      <c r="C46" s="104">
        <f t="shared" si="14"/>
        <v>0</v>
      </c>
      <c r="D46" s="105" t="str">
        <f>IFERROR(VLOOKUP(H46,[1]SEMIELABORADOS!$A$2:$M$6000,6,0),"")</f>
        <v/>
      </c>
      <c r="E46" s="105" t="str">
        <f>IFERROR(VLOOKUP(H46,[1]SEMIELABORADOS!$A$2:$M$65536,12,0),"")</f>
        <v/>
      </c>
      <c r="F46" s="105" t="str">
        <f t="shared" si="15"/>
        <v/>
      </c>
      <c r="G46" s="106" t="str">
        <f t="shared" si="16"/>
        <v/>
      </c>
      <c r="H46" s="110"/>
      <c r="I46" s="102"/>
      <c r="J46" s="108"/>
    </row>
    <row r="47" spans="1:13" ht="13.5" hidden="1" x14ac:dyDescent="0.25">
      <c r="A47" s="103">
        <f t="shared" si="13"/>
        <v>0</v>
      </c>
      <c r="B47" s="109" t="str">
        <f>IFERROR(VLOOKUP(H47,[1]SEMIELABORADOS!$A$2:$M$6000,2,0),"")</f>
        <v/>
      </c>
      <c r="C47" s="104">
        <f t="shared" si="14"/>
        <v>0</v>
      </c>
      <c r="D47" s="105" t="str">
        <f>IFERROR(VLOOKUP(H47,[1]SEMIELABORADOS!$A$2:$M$6000,6,0),"")</f>
        <v/>
      </c>
      <c r="E47" s="105" t="str">
        <f>IFERROR(VLOOKUP(H47,[1]SEMIELABORADOS!$A$2:$M$65536,12,0),"")</f>
        <v/>
      </c>
      <c r="F47" s="105" t="str">
        <f t="shared" si="15"/>
        <v/>
      </c>
      <c r="G47" s="106" t="str">
        <f t="shared" si="16"/>
        <v/>
      </c>
      <c r="H47" s="110"/>
      <c r="I47" s="102"/>
      <c r="J47" s="108"/>
    </row>
    <row r="48" spans="1:13" ht="13.5" hidden="1" x14ac:dyDescent="0.25">
      <c r="A48" s="103">
        <f t="shared" si="13"/>
        <v>0</v>
      </c>
      <c r="B48" s="109" t="str">
        <f>IFERROR(VLOOKUP(H48,[1]SEMIELABORADOS!$A$2:$M$6000,2,0),"")</f>
        <v/>
      </c>
      <c r="C48" s="104">
        <f t="shared" si="14"/>
        <v>0</v>
      </c>
      <c r="D48" s="105" t="str">
        <f>IFERROR(VLOOKUP(H48,[1]SEMIELABORADOS!$A$2:$M$6000,6,0),"")</f>
        <v/>
      </c>
      <c r="E48" s="105" t="str">
        <f>IFERROR(VLOOKUP(H48,[1]SEMIELABORADOS!$A$2:$M$65536,12,0),"")</f>
        <v/>
      </c>
      <c r="F48" s="105" t="str">
        <f t="shared" si="15"/>
        <v/>
      </c>
      <c r="G48" s="106" t="str">
        <f t="shared" si="16"/>
        <v/>
      </c>
      <c r="H48" s="110"/>
      <c r="I48" s="102"/>
      <c r="J48" s="108"/>
    </row>
    <row r="49" spans="1:17" ht="13.5" hidden="1" x14ac:dyDescent="0.25">
      <c r="A49" s="103">
        <f t="shared" si="13"/>
        <v>0</v>
      </c>
      <c r="B49" s="109" t="str">
        <f>IFERROR(VLOOKUP(H49,[1]SEMIELABORADOS!$A$2:$M$6000,2,0),"")</f>
        <v/>
      </c>
      <c r="C49" s="104">
        <f t="shared" si="14"/>
        <v>0</v>
      </c>
      <c r="D49" s="105" t="str">
        <f>IFERROR(VLOOKUP(H49,[1]SEMIELABORADOS!$A$2:$M$6000,6,0),"")</f>
        <v/>
      </c>
      <c r="E49" s="105" t="str">
        <f>IFERROR(VLOOKUP(H49,[1]SEMIELABORADOS!$A$2:$M$65536,12,0),"")</f>
        <v/>
      </c>
      <c r="F49" s="105" t="str">
        <f t="shared" si="15"/>
        <v/>
      </c>
      <c r="G49" s="106" t="str">
        <f t="shared" si="16"/>
        <v/>
      </c>
      <c r="H49" s="110"/>
      <c r="I49" s="102"/>
      <c r="J49" s="108"/>
    </row>
    <row r="50" spans="1:17" ht="13.5" hidden="1" x14ac:dyDescent="0.25">
      <c r="A50" s="103">
        <f t="shared" si="13"/>
        <v>0</v>
      </c>
      <c r="B50" s="109" t="str">
        <f>IFERROR(VLOOKUP(H50,[1]SEMIELABORADOS!$A$2:$M$6000,2,0),"")</f>
        <v/>
      </c>
      <c r="C50" s="104">
        <f t="shared" si="14"/>
        <v>0</v>
      </c>
      <c r="D50" s="105" t="str">
        <f>IFERROR(VLOOKUP(H50,[1]SEMIELABORADOS!$A$2:$M$6000,6,0),"")</f>
        <v/>
      </c>
      <c r="E50" s="105" t="str">
        <f>IFERROR(VLOOKUP(H50,[1]SEMIELABORADOS!$A$2:$M$65536,12,0),"")</f>
        <v/>
      </c>
      <c r="F50" s="105" t="str">
        <f t="shared" si="15"/>
        <v/>
      </c>
      <c r="G50" s="106" t="str">
        <f t="shared" si="16"/>
        <v/>
      </c>
      <c r="H50" s="109"/>
      <c r="I50" s="102"/>
      <c r="J50" s="108"/>
    </row>
    <row r="51" spans="1:17" ht="13.5" x14ac:dyDescent="0.25">
      <c r="A51" s="103">
        <v>1</v>
      </c>
      <c r="B51" s="109" t="s">
        <v>117</v>
      </c>
      <c r="C51" s="104">
        <f>+A51</f>
        <v>1</v>
      </c>
      <c r="D51" s="104" t="s">
        <v>118</v>
      </c>
      <c r="E51" s="105">
        <f>+F65</f>
        <v>488</v>
      </c>
      <c r="F51" s="105">
        <f>IFERROR(C51*E51,"")</f>
        <v>488</v>
      </c>
      <c r="G51" s="106">
        <f>IFERROR(F51/$F$66,"")</f>
        <v>2.676710455757637E-2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366" t="s">
        <v>119</v>
      </c>
      <c r="C53" s="366"/>
      <c r="D53" s="366"/>
      <c r="E53" s="366"/>
      <c r="F53" s="117">
        <f>SUM(F8:F14,F17:F24)</f>
        <v>17286.042000000001</v>
      </c>
      <c r="G53" s="106">
        <f>+F53/$F$66</f>
        <v>0.94815019180462412</v>
      </c>
      <c r="H53" s="118">
        <f>+F53/$D$60</f>
        <v>17286.042000000001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366" t="s">
        <v>120</v>
      </c>
      <c r="C54" s="366"/>
      <c r="D54" s="366"/>
      <c r="E54" s="366"/>
      <c r="F54" s="117">
        <f>SUM(F27:F32,F35:F41)</f>
        <v>111.57028571428572</v>
      </c>
      <c r="G54" s="106">
        <f>+F54/$F$66</f>
        <v>6.1196998017068746E-3</v>
      </c>
      <c r="H54" s="118">
        <f>+F54/$D$60</f>
        <v>111.57028571428572</v>
      </c>
      <c r="I54" s="118"/>
      <c r="J54" s="122"/>
      <c r="K54" s="367" t="s">
        <v>121</v>
      </c>
      <c r="L54" s="368"/>
      <c r="M54" s="368"/>
      <c r="N54" s="368"/>
      <c r="O54" s="123">
        <f>+F55</f>
        <v>17397.612285714287</v>
      </c>
      <c r="P54" s="123"/>
      <c r="Q54" s="124"/>
    </row>
    <row r="55" spans="1:17" x14ac:dyDescent="0.2">
      <c r="A55" s="115"/>
      <c r="B55" s="366" t="s">
        <v>122</v>
      </c>
      <c r="C55" s="366"/>
      <c r="D55" s="366"/>
      <c r="E55" s="366"/>
      <c r="F55" s="117">
        <f>+F53+F54</f>
        <v>17397.612285714287</v>
      </c>
      <c r="G55" s="106">
        <f>+F55/$F$66</f>
        <v>0.95426989160633102</v>
      </c>
      <c r="H55" s="118">
        <f>+F55/$D$60</f>
        <v>17397.612285714287</v>
      </c>
      <c r="I55" s="118"/>
      <c r="J55" s="125"/>
      <c r="K55" s="126"/>
      <c r="M55" s="127" t="s">
        <v>123</v>
      </c>
      <c r="N55" s="128"/>
      <c r="O55" s="123">
        <f>+H56</f>
        <v>732</v>
      </c>
      <c r="P55" s="123"/>
      <c r="Q55" s="124"/>
    </row>
    <row r="56" spans="1:17" ht="13.5" thickBot="1" x14ac:dyDescent="0.25">
      <c r="A56" s="115"/>
      <c r="B56" s="116"/>
      <c r="C56" s="366" t="s">
        <v>124</v>
      </c>
      <c r="D56" s="366"/>
      <c r="E56" s="366"/>
      <c r="F56" s="117">
        <f>SUM(F44:F51)</f>
        <v>732</v>
      </c>
      <c r="G56" s="106">
        <f>+F56/$F$66</f>
        <v>4.0150656836364554E-2</v>
      </c>
      <c r="H56" s="118">
        <f>+F56/$D$60</f>
        <v>732</v>
      </c>
      <c r="I56" s="118"/>
      <c r="J56" s="125"/>
      <c r="K56" s="126"/>
      <c r="L56" s="126"/>
      <c r="M56" s="126" t="s">
        <v>125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126</v>
      </c>
      <c r="N57" s="135"/>
      <c r="O57" s="136">
        <f>SUM(O54:O56)</f>
        <v>18129.612285714287</v>
      </c>
      <c r="P57" s="137"/>
      <c r="Q57" s="124"/>
    </row>
    <row r="58" spans="1:17" x14ac:dyDescent="0.2">
      <c r="B58" s="369" t="s">
        <v>127</v>
      </c>
      <c r="C58" s="369"/>
      <c r="D58" s="138">
        <v>10000</v>
      </c>
      <c r="E58" s="139"/>
      <c r="G58" s="106"/>
      <c r="H58" s="132">
        <f>+H56/61</f>
        <v>12</v>
      </c>
      <c r="I58" s="140"/>
      <c r="J58" s="125"/>
      <c r="K58" s="133"/>
      <c r="L58" s="126"/>
      <c r="M58" s="126" t="s">
        <v>128</v>
      </c>
      <c r="N58" s="141"/>
      <c r="O58" s="123">
        <f>+H59</f>
        <v>696</v>
      </c>
      <c r="P58" s="123"/>
      <c r="Q58" s="124"/>
    </row>
    <row r="59" spans="1:17" x14ac:dyDescent="0.2">
      <c r="B59" s="369" t="s">
        <v>129</v>
      </c>
      <c r="C59" s="369"/>
      <c r="D59" s="142">
        <v>10000</v>
      </c>
      <c r="E59" s="139"/>
      <c r="G59" s="106"/>
      <c r="H59" s="132">
        <f>+H58*58</f>
        <v>696</v>
      </c>
      <c r="I59" s="140"/>
      <c r="J59" s="125"/>
      <c r="K59" s="133"/>
      <c r="L59" s="126"/>
      <c r="M59" s="370" t="s">
        <v>126</v>
      </c>
      <c r="N59" s="370"/>
      <c r="O59" s="123">
        <f>SUM(O57:O58)</f>
        <v>18825.612285714287</v>
      </c>
      <c r="P59" s="123"/>
      <c r="Q59" s="124"/>
    </row>
    <row r="60" spans="1:17" ht="13.5" thickBot="1" x14ac:dyDescent="0.25">
      <c r="B60" s="362" t="s">
        <v>130</v>
      </c>
      <c r="C60" s="362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370"/>
      <c r="M60" s="370"/>
      <c r="N60" s="141"/>
      <c r="O60" s="123">
        <f>+O59*N60</f>
        <v>0</v>
      </c>
      <c r="P60" s="123"/>
      <c r="Q60" s="124"/>
    </row>
    <row r="61" spans="1:17" ht="13.5" thickBot="1" x14ac:dyDescent="0.25">
      <c r="B61" s="362" t="s">
        <v>131</v>
      </c>
      <c r="C61" s="362"/>
      <c r="D61" s="144"/>
      <c r="E61" s="139"/>
      <c r="F61" s="143"/>
      <c r="G61" s="106"/>
      <c r="H61" s="132"/>
      <c r="I61" s="140"/>
      <c r="J61" s="125"/>
      <c r="K61" s="363" t="s">
        <v>132</v>
      </c>
      <c r="L61" s="364"/>
      <c r="M61" s="364"/>
      <c r="N61" s="365"/>
      <c r="O61" s="136">
        <f>SUM(O59:O60)</f>
        <v>18825.612285714287</v>
      </c>
      <c r="P61" s="145" t="s">
        <v>133</v>
      </c>
      <c r="Q61" s="124"/>
    </row>
    <row r="62" spans="1:17" ht="13.5" thickBot="1" x14ac:dyDescent="0.25">
      <c r="C62" s="115" t="s">
        <v>134</v>
      </c>
      <c r="D62" s="146"/>
      <c r="E62" s="89" t="s">
        <v>135</v>
      </c>
      <c r="F62" s="147" t="s">
        <v>136</v>
      </c>
      <c r="G62" s="106"/>
      <c r="H62" s="132"/>
      <c r="I62" s="140"/>
      <c r="J62" s="148"/>
      <c r="K62" s="149"/>
      <c r="L62" s="376" t="s">
        <v>137</v>
      </c>
      <c r="M62" s="376"/>
      <c r="N62" s="376"/>
      <c r="O62" s="150">
        <f>+O61/D60</f>
        <v>18825.612285714287</v>
      </c>
      <c r="P62" s="151">
        <f>+O62/D59</f>
        <v>1.8825612285714288</v>
      </c>
      <c r="Q62" s="152"/>
    </row>
    <row r="63" spans="1:17" ht="13.5" thickBot="1" x14ac:dyDescent="0.25">
      <c r="B63" s="377" t="s">
        <v>122</v>
      </c>
      <c r="C63" s="377"/>
      <c r="D63" s="377"/>
      <c r="E63" s="153">
        <f>+F63/F63</f>
        <v>1</v>
      </c>
      <c r="F63" s="154">
        <f>SUM(F55)</f>
        <v>17397.612285714287</v>
      </c>
      <c r="G63" s="106">
        <f>+F63/$F$66</f>
        <v>0.95426989160633102</v>
      </c>
      <c r="H63" s="132"/>
      <c r="I63" s="140"/>
      <c r="K63" s="378"/>
      <c r="L63" s="379"/>
      <c r="M63" s="379"/>
      <c r="N63" s="379"/>
      <c r="O63" s="155"/>
      <c r="P63" s="156"/>
    </row>
    <row r="64" spans="1:17" ht="13.5" thickBot="1" x14ac:dyDescent="0.3">
      <c r="B64" s="380" t="s">
        <v>138</v>
      </c>
      <c r="C64" s="380"/>
      <c r="D64" s="380"/>
      <c r="E64" s="157">
        <v>0.02</v>
      </c>
      <c r="F64" s="154">
        <f>+F53*E64</f>
        <v>345.72084000000001</v>
      </c>
      <c r="G64" s="106">
        <f>+F64/$F$66</f>
        <v>1.8963003836092483E-2</v>
      </c>
      <c r="H64" s="118"/>
      <c r="I64" s="140"/>
      <c r="J64" s="158"/>
      <c r="O64" s="159"/>
      <c r="P64" s="116"/>
    </row>
    <row r="65" spans="2:13" ht="13.5" thickBot="1" x14ac:dyDescent="0.3">
      <c r="B65" s="381" t="s">
        <v>139</v>
      </c>
      <c r="C65" s="382"/>
      <c r="D65" s="160">
        <v>8</v>
      </c>
      <c r="E65" s="161">
        <v>61</v>
      </c>
      <c r="F65" s="154">
        <f>+E65*D65</f>
        <v>488</v>
      </c>
      <c r="G65" s="106">
        <f>+F65/$F$66</f>
        <v>2.676710455757637E-2</v>
      </c>
      <c r="H65" s="118"/>
      <c r="I65" s="118"/>
      <c r="J65" s="108"/>
    </row>
    <row r="66" spans="2:13" ht="13.5" thickBot="1" x14ac:dyDescent="0.3">
      <c r="B66" s="383" t="s">
        <v>140</v>
      </c>
      <c r="C66" s="384"/>
      <c r="D66" s="384"/>
      <c r="E66" s="385"/>
      <c r="F66" s="131">
        <f>SUM(F63:F65)</f>
        <v>18231.333125714289</v>
      </c>
      <c r="G66" s="106">
        <f>+F66/$F$66</f>
        <v>1</v>
      </c>
      <c r="H66" s="386"/>
      <c r="I66" s="118"/>
      <c r="J66" s="108"/>
      <c r="M66" s="91" t="s">
        <v>141</v>
      </c>
    </row>
    <row r="67" spans="2:13" x14ac:dyDescent="0.25">
      <c r="C67" s="113"/>
      <c r="D67" s="113"/>
      <c r="E67" s="163"/>
      <c r="F67" s="154"/>
      <c r="G67" s="106"/>
      <c r="H67" s="386"/>
      <c r="I67" s="162"/>
      <c r="J67" s="91"/>
      <c r="M67" s="91" t="s">
        <v>142</v>
      </c>
    </row>
    <row r="68" spans="2:13" ht="13.5" thickBot="1" x14ac:dyDescent="0.3">
      <c r="B68" s="371" t="s">
        <v>143</v>
      </c>
      <c r="C68" s="371"/>
      <c r="D68" s="371"/>
      <c r="E68" s="371"/>
      <c r="F68" s="371"/>
      <c r="G68" s="106"/>
      <c r="H68" s="165"/>
      <c r="I68" s="162"/>
      <c r="J68" s="91"/>
      <c r="M68" s="91" t="s">
        <v>144</v>
      </c>
    </row>
    <row r="69" spans="2:13" ht="13.5" thickBot="1" x14ac:dyDescent="0.3">
      <c r="B69" s="166" t="s">
        <v>145</v>
      </c>
      <c r="C69" s="167">
        <f>+F53</f>
        <v>17286.042000000001</v>
      </c>
      <c r="D69" s="167">
        <f>+D58</f>
        <v>10000</v>
      </c>
      <c r="E69" s="168">
        <f>+C69/D69</f>
        <v>1.7286042000000001</v>
      </c>
      <c r="F69" s="106"/>
      <c r="G69" s="165"/>
      <c r="H69" s="108"/>
      <c r="I69" s="165"/>
      <c r="J69" s="91"/>
    </row>
    <row r="70" spans="2:13" x14ac:dyDescent="0.25">
      <c r="B70" s="169"/>
      <c r="C70" s="170"/>
      <c r="D70" s="171"/>
      <c r="E70" s="154"/>
      <c r="F70" s="106"/>
      <c r="G70" s="165"/>
      <c r="H70" s="108"/>
      <c r="I70" s="108"/>
      <c r="J70" s="91"/>
    </row>
    <row r="71" spans="2:13" x14ac:dyDescent="0.25">
      <c r="B71" s="166" t="s">
        <v>146</v>
      </c>
      <c r="C71" s="167">
        <f>SUM(F63:F64)</f>
        <v>17743.333125714289</v>
      </c>
      <c r="D71" s="167">
        <f>+D58</f>
        <v>10000</v>
      </c>
      <c r="E71" s="172">
        <f>+C71/D71</f>
        <v>1.7743333125714289</v>
      </c>
      <c r="F71" s="106"/>
      <c r="G71" s="165"/>
      <c r="H71" s="108"/>
      <c r="I71" s="108"/>
      <c r="J71" s="91"/>
    </row>
    <row r="72" spans="2:13" x14ac:dyDescent="0.25">
      <c r="B72" s="166"/>
      <c r="C72" s="167"/>
      <c r="D72" s="167"/>
      <c r="E72" s="172"/>
      <c r="F72" s="106"/>
      <c r="G72" s="165"/>
      <c r="H72" s="108"/>
      <c r="I72" s="108"/>
      <c r="J72" s="91"/>
    </row>
    <row r="73" spans="2:13" ht="13.5" thickBot="1" x14ac:dyDescent="0.3">
      <c r="B73" s="166" t="s">
        <v>147</v>
      </c>
      <c r="C73" s="167">
        <f>+F65</f>
        <v>488</v>
      </c>
      <c r="D73" s="167">
        <f>+D58</f>
        <v>10000</v>
      </c>
      <c r="E73" s="172">
        <f>+C73/D73</f>
        <v>4.8800000000000003E-2</v>
      </c>
      <c r="F73" s="106"/>
      <c r="G73" s="165"/>
      <c r="H73" s="108"/>
      <c r="I73" s="108"/>
      <c r="J73" s="91"/>
    </row>
    <row r="74" spans="2:13" ht="13.5" thickBot="1" x14ac:dyDescent="0.3">
      <c r="B74" s="166" t="s">
        <v>148</v>
      </c>
      <c r="C74" s="167">
        <f>+F56</f>
        <v>732</v>
      </c>
      <c r="D74" s="167">
        <f>+D73</f>
        <v>10000</v>
      </c>
      <c r="E74" s="168">
        <f>+C74/D74</f>
        <v>7.3200000000000001E-2</v>
      </c>
      <c r="F74" s="106"/>
      <c r="G74" s="165"/>
      <c r="H74" s="108"/>
      <c r="I74" s="108"/>
      <c r="J74" s="91"/>
    </row>
    <row r="75" spans="2:13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3" ht="13.5" thickBot="1" x14ac:dyDescent="0.3">
      <c r="B76" s="166" t="s">
        <v>149</v>
      </c>
      <c r="C76" s="167">
        <f>+F54</f>
        <v>111.57028571428572</v>
      </c>
      <c r="D76" s="167">
        <f>+D74</f>
        <v>10000</v>
      </c>
      <c r="E76" s="168">
        <f>+C76/D76</f>
        <v>1.1157028571428572E-2</v>
      </c>
      <c r="F76" s="106"/>
      <c r="G76" s="165"/>
      <c r="H76" s="108"/>
      <c r="I76" s="108"/>
      <c r="J76" s="108"/>
    </row>
    <row r="77" spans="2:13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3" ht="13.5" thickBot="1" x14ac:dyDescent="0.3">
      <c r="B78" s="372" t="s">
        <v>150</v>
      </c>
      <c r="C78" s="373"/>
      <c r="D78" s="374"/>
      <c r="E78" s="168">
        <f>+E69+E74</f>
        <v>1.8018042000000001</v>
      </c>
      <c r="G78" s="106"/>
      <c r="H78" s="165"/>
      <c r="I78" s="108"/>
      <c r="J78" s="172"/>
    </row>
    <row r="79" spans="2:13" x14ac:dyDescent="0.25">
      <c r="I79" s="165"/>
      <c r="J79" s="91"/>
    </row>
    <row r="80" spans="2:13" ht="13.5" thickBot="1" x14ac:dyDescent="0.3">
      <c r="B80" s="371" t="s">
        <v>151</v>
      </c>
      <c r="C80" s="371"/>
      <c r="D80" s="371"/>
      <c r="E80" s="371"/>
      <c r="F80" s="371"/>
      <c r="G80" s="106"/>
      <c r="H80" s="165"/>
      <c r="J80" s="91"/>
    </row>
    <row r="81" spans="1:10" ht="13.5" thickBot="1" x14ac:dyDescent="0.3">
      <c r="B81" s="166" t="s">
        <v>145</v>
      </c>
      <c r="C81" s="167">
        <f>+C69</f>
        <v>17286.042000000001</v>
      </c>
      <c r="D81" s="167">
        <f>+D60</f>
        <v>1</v>
      </c>
      <c r="E81" s="168">
        <f>+C81/D81</f>
        <v>17286.042000000001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146</v>
      </c>
      <c r="C83" s="167">
        <f>+C71</f>
        <v>17743.333125714289</v>
      </c>
      <c r="D83" s="167">
        <f>+D60</f>
        <v>1</v>
      </c>
      <c r="E83" s="172">
        <f>+C83/D83</f>
        <v>17743.333125714289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148</v>
      </c>
      <c r="C85" s="167">
        <f>+C73</f>
        <v>488</v>
      </c>
      <c r="D85" s="167">
        <f>+D60</f>
        <v>1</v>
      </c>
      <c r="E85" s="172">
        <f>+C85/D85</f>
        <v>488</v>
      </c>
      <c r="F85" s="174"/>
      <c r="G85" s="164"/>
      <c r="H85" s="90"/>
      <c r="I85" s="108"/>
    </row>
    <row r="86" spans="1:10" ht="13.5" thickBot="1" x14ac:dyDescent="0.3">
      <c r="B86" s="166" t="s">
        <v>148</v>
      </c>
      <c r="C86" s="167">
        <f>+C74</f>
        <v>732</v>
      </c>
      <c r="D86" s="167">
        <f>+D85</f>
        <v>1</v>
      </c>
      <c r="E86" s="168">
        <f>+C86/D86</f>
        <v>732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375"/>
      <c r="B88" s="375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F305-3249-45E8-8F82-F9D82509621D}">
  <dimension ref="A1:I57"/>
  <sheetViews>
    <sheetView tabSelected="1" zoomScale="70" zoomScaleNormal="70" workbookViewId="0">
      <selection activeCell="D16" sqref="D1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308"/>
      <c r="B1" s="309"/>
      <c r="C1" s="315" t="s">
        <v>33</v>
      </c>
      <c r="D1" s="315"/>
      <c r="E1" s="315"/>
      <c r="F1" s="315"/>
      <c r="G1" s="315"/>
      <c r="H1" s="184" t="s">
        <v>32</v>
      </c>
      <c r="I1" s="185" t="s">
        <v>172</v>
      </c>
    </row>
    <row r="2" spans="1:9" ht="18" customHeight="1" thickBot="1" x14ac:dyDescent="0.3">
      <c r="A2" s="310"/>
      <c r="B2" s="311"/>
      <c r="C2" s="396" t="s">
        <v>31</v>
      </c>
      <c r="D2" s="397"/>
      <c r="E2" s="397"/>
      <c r="F2" s="397"/>
      <c r="G2" s="398"/>
      <c r="H2" s="186" t="s">
        <v>30</v>
      </c>
      <c r="I2" s="187" t="s">
        <v>163</v>
      </c>
    </row>
    <row r="3" spans="1:9" ht="31.5" customHeight="1" thickBot="1" x14ac:dyDescent="0.3">
      <c r="A3" s="310"/>
      <c r="B3" s="311"/>
      <c r="C3" s="317" t="s">
        <v>162</v>
      </c>
      <c r="D3" s="318"/>
      <c r="E3" s="318"/>
      <c r="F3" s="318"/>
      <c r="G3" s="319"/>
      <c r="H3" s="320" t="s">
        <v>29</v>
      </c>
      <c r="I3" s="297">
        <v>45619</v>
      </c>
    </row>
    <row r="4" spans="1:9" ht="18" customHeight="1" x14ac:dyDescent="0.25">
      <c r="A4" s="310"/>
      <c r="B4" s="311"/>
      <c r="C4" s="188" t="s">
        <v>28</v>
      </c>
      <c r="D4" s="388" t="s">
        <v>164</v>
      </c>
      <c r="E4" s="389"/>
      <c r="F4" s="389"/>
      <c r="G4" s="390"/>
      <c r="H4" s="321"/>
      <c r="I4" s="298"/>
    </row>
    <row r="5" spans="1:9" ht="15.75" thickBot="1" x14ac:dyDescent="0.3">
      <c r="A5" s="394"/>
      <c r="B5" s="395"/>
      <c r="C5" s="189" t="s">
        <v>27</v>
      </c>
      <c r="D5" s="391" t="s">
        <v>26</v>
      </c>
      <c r="E5" s="392"/>
      <c r="F5" s="392"/>
      <c r="G5" s="393"/>
      <c r="H5" s="322"/>
      <c r="I5" s="387"/>
    </row>
    <row r="6" spans="1:9" ht="18.75" thickBot="1" x14ac:dyDescent="0.3">
      <c r="A6" s="399" t="s">
        <v>25</v>
      </c>
      <c r="B6" s="399"/>
      <c r="C6" s="399"/>
      <c r="D6" s="400" t="s">
        <v>165</v>
      </c>
      <c r="E6" s="400"/>
      <c r="F6" s="400"/>
      <c r="G6" s="401" t="s">
        <v>24</v>
      </c>
      <c r="H6" s="401"/>
      <c r="I6" s="190" t="s">
        <v>165</v>
      </c>
    </row>
    <row r="7" spans="1:9" x14ac:dyDescent="0.25">
      <c r="A7" s="402" t="s">
        <v>23</v>
      </c>
      <c r="B7" s="404" t="s">
        <v>166</v>
      </c>
      <c r="C7" s="406" t="s">
        <v>22</v>
      </c>
      <c r="D7" s="406" t="s">
        <v>21</v>
      </c>
      <c r="E7" s="406" t="s">
        <v>20</v>
      </c>
      <c r="F7" s="406"/>
      <c r="G7" s="406" t="s">
        <v>19</v>
      </c>
      <c r="H7" s="406"/>
      <c r="I7" s="191" t="s">
        <v>18</v>
      </c>
    </row>
    <row r="8" spans="1:9" ht="27" thickBot="1" x14ac:dyDescent="0.3">
      <c r="A8" s="403"/>
      <c r="B8" s="405"/>
      <c r="C8" s="407"/>
      <c r="D8" s="407"/>
      <c r="E8" s="192" t="s">
        <v>15</v>
      </c>
      <c r="F8" s="193" t="s">
        <v>17</v>
      </c>
      <c r="G8" s="192" t="s">
        <v>15</v>
      </c>
      <c r="H8" s="193" t="s">
        <v>17</v>
      </c>
      <c r="I8" s="194" t="s">
        <v>16</v>
      </c>
    </row>
    <row r="9" spans="1:9" ht="18.600000000000001" customHeight="1" x14ac:dyDescent="0.25">
      <c r="A9" s="195"/>
      <c r="B9" s="196"/>
      <c r="C9" s="197" t="s">
        <v>167</v>
      </c>
      <c r="D9" s="198"/>
      <c r="E9" s="199"/>
      <c r="F9" s="200"/>
      <c r="G9" s="199"/>
      <c r="H9" s="200"/>
      <c r="I9" s="201"/>
    </row>
    <row r="10" spans="1:9" ht="18" customHeight="1" x14ac:dyDescent="0.25">
      <c r="A10" s="202"/>
      <c r="B10" s="203" t="s">
        <v>161</v>
      </c>
      <c r="C10" s="204" t="s">
        <v>89</v>
      </c>
      <c r="D10" s="205" t="s">
        <v>45</v>
      </c>
      <c r="E10" s="206">
        <v>10000</v>
      </c>
      <c r="F10" s="207" t="s">
        <v>2</v>
      </c>
      <c r="G10" s="62"/>
      <c r="H10" s="208"/>
      <c r="I10" s="201"/>
    </row>
    <row r="11" spans="1:9" x14ac:dyDescent="0.25">
      <c r="A11" s="205"/>
      <c r="B11" s="205"/>
      <c r="C11" s="209"/>
      <c r="D11" s="205"/>
      <c r="E11" s="206"/>
      <c r="F11" s="207"/>
      <c r="G11" s="62"/>
      <c r="H11" s="208"/>
      <c r="I11" s="201"/>
    </row>
    <row r="12" spans="1:9" x14ac:dyDescent="0.25">
      <c r="A12" s="205">
        <v>95720</v>
      </c>
      <c r="B12" s="205"/>
      <c r="C12" s="209" t="s">
        <v>90</v>
      </c>
      <c r="D12" s="205" t="s">
        <v>45</v>
      </c>
      <c r="E12" s="206">
        <v>520</v>
      </c>
      <c r="F12" s="207" t="s">
        <v>2</v>
      </c>
      <c r="G12" s="62"/>
      <c r="H12" s="208"/>
      <c r="I12" s="201"/>
    </row>
    <row r="13" spans="1:9" x14ac:dyDescent="0.25">
      <c r="A13" s="205"/>
      <c r="B13" s="205"/>
      <c r="C13" s="209"/>
      <c r="D13" s="205"/>
      <c r="E13" s="206"/>
      <c r="F13" s="207"/>
      <c r="G13" s="62"/>
      <c r="H13" s="208"/>
      <c r="I13" s="201"/>
    </row>
    <row r="14" spans="1:9" x14ac:dyDescent="0.25">
      <c r="A14" s="205"/>
      <c r="B14" s="205"/>
      <c r="C14" s="209"/>
      <c r="D14" s="205"/>
      <c r="E14" s="206"/>
      <c r="F14" s="207"/>
      <c r="G14" s="62"/>
      <c r="H14" s="208"/>
      <c r="I14" s="201"/>
    </row>
    <row r="15" spans="1:9" x14ac:dyDescent="0.25">
      <c r="A15" s="205"/>
      <c r="B15" s="205"/>
      <c r="C15" s="209"/>
      <c r="D15" s="205"/>
      <c r="E15" s="206"/>
      <c r="F15" s="207"/>
      <c r="G15" s="62"/>
      <c r="H15" s="208"/>
      <c r="I15" s="201"/>
    </row>
    <row r="16" spans="1:9" x14ac:dyDescent="0.25">
      <c r="A16" s="205"/>
      <c r="B16" s="205"/>
      <c r="C16" s="209"/>
      <c r="D16" s="205"/>
      <c r="E16" s="206"/>
      <c r="F16" s="207"/>
      <c r="G16" s="62"/>
      <c r="H16" s="208"/>
      <c r="I16" s="201"/>
    </row>
    <row r="17" spans="1:9" x14ac:dyDescent="0.25">
      <c r="A17" s="205"/>
      <c r="B17" s="205"/>
      <c r="C17" s="209"/>
      <c r="D17" s="205"/>
      <c r="E17" s="206"/>
      <c r="F17" s="207"/>
      <c r="G17" s="62"/>
      <c r="H17" s="208"/>
      <c r="I17" s="201"/>
    </row>
    <row r="18" spans="1:9" x14ac:dyDescent="0.25">
      <c r="A18" s="205"/>
      <c r="B18" s="205"/>
      <c r="C18" s="209"/>
      <c r="D18" s="205"/>
      <c r="E18" s="206"/>
      <c r="F18" s="207"/>
      <c r="G18" s="62"/>
      <c r="H18" s="208"/>
      <c r="I18" s="201"/>
    </row>
    <row r="19" spans="1:9" x14ac:dyDescent="0.25">
      <c r="A19" s="205"/>
      <c r="B19" s="205"/>
      <c r="C19" s="209"/>
      <c r="D19" s="205"/>
      <c r="E19" s="206"/>
      <c r="F19" s="207"/>
      <c r="G19" s="62"/>
      <c r="H19" s="208"/>
      <c r="I19" s="201"/>
    </row>
    <row r="20" spans="1:9" ht="15.75" x14ac:dyDescent="0.25">
      <c r="A20" s="210"/>
      <c r="B20" s="210"/>
      <c r="C20" s="204"/>
      <c r="D20" s="211"/>
      <c r="E20" s="211"/>
      <c r="F20" s="211"/>
      <c r="G20" s="9"/>
      <c r="H20" s="208"/>
      <c r="I20" s="201"/>
    </row>
    <row r="21" spans="1:9" ht="15.75" x14ac:dyDescent="0.25">
      <c r="A21" s="212"/>
      <c r="B21" s="213"/>
      <c r="C21" s="214" t="s">
        <v>168</v>
      </c>
      <c r="D21" s="211"/>
      <c r="E21" s="211"/>
      <c r="F21" s="211"/>
      <c r="G21" s="9"/>
      <c r="H21" s="208"/>
      <c r="I21" s="201"/>
    </row>
    <row r="22" spans="1:9" x14ac:dyDescent="0.25">
      <c r="A22" s="202"/>
      <c r="B22" s="203"/>
      <c r="C22" s="204"/>
      <c r="D22" s="215"/>
      <c r="E22" s="215"/>
      <c r="F22" s="215"/>
      <c r="G22" s="199"/>
      <c r="H22" s="208"/>
      <c r="I22" s="201"/>
    </row>
    <row r="23" spans="1:9" x14ac:dyDescent="0.25">
      <c r="A23" s="216"/>
      <c r="B23" s="210"/>
      <c r="C23" s="204"/>
      <c r="D23" s="215"/>
      <c r="E23" s="215"/>
      <c r="F23" s="215"/>
      <c r="G23" s="199"/>
      <c r="H23" s="208"/>
      <c r="I23" s="201"/>
    </row>
    <row r="24" spans="1:9" x14ac:dyDescent="0.25">
      <c r="A24" s="216"/>
      <c r="B24" s="210"/>
      <c r="C24" s="204"/>
      <c r="D24" s="215"/>
      <c r="E24" s="215"/>
      <c r="F24" s="215"/>
      <c r="G24" s="199"/>
      <c r="H24" s="208"/>
      <c r="I24" s="201"/>
    </row>
    <row r="25" spans="1:9" ht="15.75" x14ac:dyDescent="0.25">
      <c r="A25" s="212"/>
      <c r="B25" s="213"/>
      <c r="C25" s="214"/>
      <c r="D25" s="217"/>
      <c r="E25" s="218"/>
      <c r="F25" s="219"/>
      <c r="G25" s="199"/>
      <c r="H25" s="208"/>
      <c r="I25" s="201"/>
    </row>
    <row r="26" spans="1:9" x14ac:dyDescent="0.25">
      <c r="A26" s="220"/>
      <c r="B26" s="52"/>
      <c r="C26" s="221"/>
      <c r="D26" s="222"/>
      <c r="E26" s="223"/>
      <c r="F26" s="224"/>
      <c r="G26" s="199"/>
      <c r="H26" s="208"/>
      <c r="I26" s="201"/>
    </row>
    <row r="27" spans="1:9" x14ac:dyDescent="0.25">
      <c r="A27" s="203"/>
      <c r="B27" s="203"/>
      <c r="C27" s="204"/>
      <c r="D27" s="225"/>
      <c r="E27" s="25"/>
      <c r="F27" s="24"/>
      <c r="G27" s="199"/>
      <c r="H27" s="208"/>
      <c r="I27" s="201"/>
    </row>
    <row r="28" spans="1:9" ht="15.75" x14ac:dyDescent="0.25">
      <c r="A28" s="226"/>
      <c r="B28" s="227"/>
      <c r="C28" s="228" t="s">
        <v>169</v>
      </c>
      <c r="D28" s="229"/>
      <c r="E28" s="230"/>
      <c r="F28" s="200"/>
      <c r="G28" s="199"/>
      <c r="H28" s="208"/>
      <c r="I28" s="201"/>
    </row>
    <row r="29" spans="1:9" x14ac:dyDescent="0.25">
      <c r="A29" s="231"/>
      <c r="B29" s="183"/>
      <c r="C29" s="231"/>
      <c r="D29" s="232"/>
      <c r="E29" s="31"/>
      <c r="F29" s="233"/>
      <c r="G29" s="234"/>
      <c r="H29" s="208"/>
      <c r="I29" s="201"/>
    </row>
    <row r="30" spans="1:9" x14ac:dyDescent="0.25">
      <c r="A30" s="231"/>
      <c r="B30" s="183"/>
      <c r="C30" s="231"/>
      <c r="D30" s="232"/>
      <c r="E30" s="31"/>
      <c r="F30" s="233"/>
      <c r="G30" s="234"/>
      <c r="H30" s="208"/>
      <c r="I30" s="201"/>
    </row>
    <row r="31" spans="1:9" x14ac:dyDescent="0.25">
      <c r="A31" s="235"/>
      <c r="B31" s="236"/>
      <c r="C31" s="237"/>
      <c r="D31" s="238"/>
      <c r="E31" s="239"/>
      <c r="F31" s="240"/>
      <c r="G31" s="234"/>
      <c r="H31" s="208"/>
      <c r="I31" s="201"/>
    </row>
    <row r="32" spans="1:9" x14ac:dyDescent="0.25">
      <c r="A32" s="241"/>
      <c r="B32" s="241"/>
      <c r="C32" s="242"/>
      <c r="D32" s="238"/>
      <c r="E32" s="239"/>
      <c r="F32" s="240"/>
      <c r="G32" s="199"/>
      <c r="H32" s="208"/>
      <c r="I32" s="201"/>
    </row>
    <row r="33" spans="1:9" x14ac:dyDescent="0.25">
      <c r="A33" s="241"/>
      <c r="B33" s="241"/>
      <c r="C33" s="242"/>
      <c r="D33" s="238"/>
      <c r="E33" s="239"/>
      <c r="F33" s="240"/>
      <c r="G33" s="199"/>
      <c r="H33" s="208"/>
      <c r="I33" s="201"/>
    </row>
    <row r="34" spans="1:9" x14ac:dyDescent="0.25">
      <c r="A34" s="241"/>
      <c r="B34" s="241"/>
      <c r="C34" s="242"/>
      <c r="D34" s="238"/>
      <c r="E34" s="239"/>
      <c r="F34" s="240"/>
      <c r="G34" s="243"/>
      <c r="H34" s="208"/>
      <c r="I34" s="201"/>
    </row>
    <row r="35" spans="1:9" ht="15.75" x14ac:dyDescent="0.25">
      <c r="A35" s="241"/>
      <c r="B35" s="241"/>
      <c r="C35" s="242"/>
      <c r="D35" s="211"/>
      <c r="E35" s="239"/>
      <c r="F35" s="240"/>
      <c r="G35" s="244"/>
      <c r="H35" s="208"/>
      <c r="I35" s="201"/>
    </row>
    <row r="36" spans="1:9" x14ac:dyDescent="0.25">
      <c r="A36" s="245"/>
      <c r="B36" s="245"/>
      <c r="C36" s="246"/>
      <c r="D36" s="238"/>
      <c r="E36" s="24"/>
      <c r="F36" s="24"/>
      <c r="G36" s="244"/>
      <c r="H36" s="200"/>
      <c r="I36" s="201"/>
    </row>
    <row r="37" spans="1:9" ht="15.75" thickBot="1" x14ac:dyDescent="0.3">
      <c r="A37" s="247"/>
      <c r="B37" s="248"/>
      <c r="C37" s="249" t="s">
        <v>170</v>
      </c>
      <c r="D37" s="249"/>
      <c r="E37" s="250"/>
      <c r="F37" s="251"/>
      <c r="G37" s="249"/>
      <c r="H37" s="249"/>
      <c r="I37" s="252"/>
    </row>
    <row r="38" spans="1:9" ht="15.75" thickBot="1" x14ac:dyDescent="0.3">
      <c r="A38" s="253"/>
      <c r="B38" s="254"/>
      <c r="C38" s="255" t="s">
        <v>170</v>
      </c>
      <c r="D38" s="256" t="s">
        <v>15</v>
      </c>
      <c r="E38" s="257" t="s">
        <v>14</v>
      </c>
      <c r="F38" s="258"/>
      <c r="G38" s="255"/>
      <c r="H38" s="255"/>
      <c r="I38" s="259"/>
    </row>
    <row r="39" spans="1:9" x14ac:dyDescent="0.25">
      <c r="A39" s="408" t="s">
        <v>13</v>
      </c>
      <c r="B39" s="409"/>
      <c r="C39" s="410"/>
      <c r="D39" s="260">
        <v>10000</v>
      </c>
      <c r="E39" s="261" t="s">
        <v>2</v>
      </c>
      <c r="F39" s="411" t="s">
        <v>12</v>
      </c>
      <c r="G39" s="411"/>
      <c r="H39" s="412"/>
      <c r="I39" s="413"/>
    </row>
    <row r="40" spans="1:9" x14ac:dyDescent="0.25">
      <c r="A40" s="414" t="s">
        <v>11</v>
      </c>
      <c r="B40" s="415"/>
      <c r="C40" s="416"/>
      <c r="D40" s="9">
        <v>25</v>
      </c>
      <c r="E40" s="9" t="s">
        <v>10</v>
      </c>
      <c r="F40" s="417" t="s">
        <v>9</v>
      </c>
      <c r="G40" s="417"/>
      <c r="H40" s="418"/>
      <c r="I40" s="419"/>
    </row>
    <row r="41" spans="1:9" x14ac:dyDescent="0.25">
      <c r="A41" s="414" t="s">
        <v>8</v>
      </c>
      <c r="B41" s="415"/>
      <c r="C41" s="416"/>
      <c r="D41" s="25">
        <v>11.111111111111111</v>
      </c>
      <c r="E41" s="9" t="s">
        <v>7</v>
      </c>
      <c r="F41" s="417" t="s">
        <v>6</v>
      </c>
      <c r="G41" s="417"/>
      <c r="H41" s="418"/>
      <c r="I41" s="419"/>
    </row>
    <row r="42" spans="1:9" x14ac:dyDescent="0.25">
      <c r="A42" s="414" t="s">
        <v>5</v>
      </c>
      <c r="B42" s="415"/>
      <c r="C42" s="416"/>
      <c r="D42" s="25">
        <v>900</v>
      </c>
      <c r="E42" s="9" t="s">
        <v>2</v>
      </c>
      <c r="F42" s="420" t="s">
        <v>4</v>
      </c>
      <c r="G42" s="421"/>
      <c r="H42" s="422"/>
      <c r="I42" s="423"/>
    </row>
    <row r="43" spans="1:9" ht="15.75" thickBot="1" x14ac:dyDescent="0.3">
      <c r="A43" s="428" t="s">
        <v>3</v>
      </c>
      <c r="B43" s="429"/>
      <c r="C43" s="430"/>
      <c r="D43" s="262">
        <v>0</v>
      </c>
      <c r="E43" s="263" t="s">
        <v>2</v>
      </c>
      <c r="F43" s="431"/>
      <c r="G43" s="431"/>
      <c r="H43" s="418"/>
      <c r="I43" s="419"/>
    </row>
    <row r="44" spans="1:9" ht="15.75" thickBot="1" x14ac:dyDescent="0.3">
      <c r="A44" s="432" t="s">
        <v>1</v>
      </c>
      <c r="B44" s="433"/>
      <c r="C44" s="433"/>
      <c r="D44" s="433"/>
      <c r="E44" s="433"/>
      <c r="F44" s="433"/>
      <c r="G44" s="433"/>
      <c r="H44" s="433"/>
      <c r="I44" s="434"/>
    </row>
    <row r="45" spans="1:9" ht="14.45" customHeight="1" x14ac:dyDescent="0.25">
      <c r="A45" s="435" t="s">
        <v>95</v>
      </c>
      <c r="B45" s="436"/>
      <c r="C45" s="436"/>
      <c r="D45" s="436"/>
      <c r="E45" s="436"/>
      <c r="F45" s="436"/>
      <c r="G45" s="436"/>
      <c r="H45" s="436"/>
      <c r="I45" s="437"/>
    </row>
    <row r="46" spans="1:9" ht="15.6" customHeight="1" x14ac:dyDescent="0.25">
      <c r="A46" s="438" t="s">
        <v>96</v>
      </c>
      <c r="B46" s="439"/>
      <c r="C46" s="439"/>
      <c r="D46" s="439"/>
      <c r="E46" s="439"/>
      <c r="F46" s="439"/>
      <c r="G46" s="439"/>
      <c r="H46" s="439"/>
      <c r="I46" s="440"/>
    </row>
    <row r="47" spans="1:9" ht="14.45" customHeight="1" x14ac:dyDescent="0.25">
      <c r="A47" s="441"/>
      <c r="B47" s="442"/>
      <c r="C47" s="442"/>
      <c r="D47" s="442"/>
      <c r="E47" s="442"/>
      <c r="F47" s="442"/>
      <c r="G47" s="442"/>
      <c r="H47" s="442"/>
      <c r="I47" s="443"/>
    </row>
    <row r="48" spans="1:9" x14ac:dyDescent="0.25">
      <c r="A48" s="344"/>
      <c r="B48" s="345"/>
      <c r="C48" s="345"/>
      <c r="D48" s="345"/>
      <c r="E48" s="345"/>
      <c r="F48" s="345"/>
      <c r="G48" s="345"/>
      <c r="H48" s="345"/>
      <c r="I48" s="346"/>
    </row>
    <row r="49" spans="1:9" x14ac:dyDescent="0.25">
      <c r="A49" s="444"/>
      <c r="B49" s="445"/>
      <c r="C49" s="446"/>
      <c r="D49" s="446"/>
      <c r="E49" s="446"/>
      <c r="F49" s="446"/>
      <c r="G49" s="446"/>
      <c r="H49" s="446"/>
      <c r="I49" s="447"/>
    </row>
    <row r="50" spans="1:9" ht="14.45" customHeight="1" x14ac:dyDescent="0.25">
      <c r="A50" s="438"/>
      <c r="B50" s="439"/>
      <c r="C50" s="439"/>
      <c r="D50" s="439"/>
      <c r="E50" s="439"/>
      <c r="F50" s="439"/>
      <c r="G50" s="439"/>
      <c r="H50" s="439"/>
      <c r="I50" s="283"/>
    </row>
    <row r="51" spans="1:9" ht="14.45" customHeight="1" x14ac:dyDescent="0.25">
      <c r="A51" s="448"/>
      <c r="B51" s="449"/>
      <c r="C51" s="450"/>
      <c r="D51" s="450"/>
      <c r="E51" s="450"/>
      <c r="F51" s="450"/>
      <c r="G51" s="450"/>
      <c r="H51" s="450"/>
      <c r="I51" s="451"/>
    </row>
    <row r="52" spans="1:9" ht="18" customHeight="1" x14ac:dyDescent="0.25">
      <c r="A52" s="424"/>
      <c r="B52" s="425"/>
      <c r="C52" s="426"/>
      <c r="D52" s="426"/>
      <c r="E52" s="426"/>
      <c r="F52" s="426"/>
      <c r="G52" s="426"/>
      <c r="H52" s="426"/>
      <c r="I52" s="427"/>
    </row>
    <row r="53" spans="1:9" ht="14.45" customHeight="1" thickBot="1" x14ac:dyDescent="0.3">
      <c r="A53" s="452"/>
      <c r="B53" s="453"/>
      <c r="C53" s="454"/>
      <c r="D53" s="454"/>
      <c r="E53" s="454"/>
      <c r="F53" s="454"/>
      <c r="G53" s="454"/>
      <c r="H53" s="454"/>
      <c r="I53" s="455"/>
    </row>
    <row r="54" spans="1:9" ht="14.45" customHeight="1" thickBot="1" x14ac:dyDescent="0.3">
      <c r="A54" s="456"/>
      <c r="B54" s="439"/>
      <c r="C54" s="439"/>
      <c r="D54" s="439"/>
      <c r="E54" s="439"/>
      <c r="F54" s="439"/>
      <c r="G54" s="439"/>
      <c r="H54" s="439"/>
      <c r="I54" s="283"/>
    </row>
    <row r="55" spans="1:9" ht="14.45" customHeight="1" x14ac:dyDescent="0.25">
      <c r="A55" s="457" t="s">
        <v>171</v>
      </c>
      <c r="B55" s="458"/>
      <c r="C55" s="458"/>
      <c r="D55" s="458"/>
      <c r="E55" s="458"/>
      <c r="F55" s="458"/>
      <c r="G55" s="458"/>
      <c r="H55" s="458"/>
      <c r="I55" s="458"/>
    </row>
    <row r="56" spans="1:9" x14ac:dyDescent="0.25">
      <c r="A56" s="459"/>
      <c r="B56" s="460"/>
      <c r="C56" s="460"/>
      <c r="D56" s="460"/>
      <c r="E56" s="460"/>
      <c r="F56" s="460"/>
      <c r="G56" s="460"/>
      <c r="H56" s="460"/>
      <c r="I56" s="460"/>
    </row>
    <row r="57" spans="1:9" x14ac:dyDescent="0.25">
      <c r="A57" s="459"/>
      <c r="B57" s="460"/>
      <c r="C57" s="460"/>
      <c r="D57" s="460"/>
      <c r="E57" s="460"/>
      <c r="F57" s="460"/>
      <c r="G57" s="460"/>
      <c r="H57" s="460"/>
      <c r="I57" s="460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51D5-6069-43DF-B576-49A9BFCB8BF5}">
  <dimension ref="A1:Q91"/>
  <sheetViews>
    <sheetView topLeftCell="A6" workbookViewId="0">
      <selection activeCell="E45" sqref="E45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99</v>
      </c>
      <c r="F1" s="88" t="s">
        <v>100</v>
      </c>
      <c r="G1" s="88" t="s">
        <v>101</v>
      </c>
      <c r="H1" s="88" t="s">
        <v>102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1697.0857427634662</v>
      </c>
      <c r="F2" s="92">
        <f>IFERROR(H53,"")</f>
        <v>1651.21578</v>
      </c>
      <c r="G2" s="92">
        <f>IFERROR(H54,"")</f>
        <v>10.041325714285716</v>
      </c>
      <c r="H2" s="92">
        <f>IFERROR(H56,"")</f>
        <v>204.066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357"/>
      <c r="B4" s="357"/>
      <c r="C4" s="357"/>
      <c r="D4" s="357"/>
      <c r="E4" s="357"/>
      <c r="F4" s="357"/>
      <c r="G4" s="357"/>
      <c r="H4" s="357"/>
      <c r="I4" s="95"/>
    </row>
    <row r="5" spans="1:10" ht="19.5" customHeight="1" thickBot="1" x14ac:dyDescent="0.3">
      <c r="A5" s="358" t="s">
        <v>103</v>
      </c>
      <c r="B5" s="359"/>
      <c r="C5" s="359"/>
      <c r="D5" s="359"/>
      <c r="E5" s="359"/>
      <c r="F5" s="359"/>
      <c r="G5" s="359"/>
      <c r="H5" s="360"/>
      <c r="I5" s="96"/>
    </row>
    <row r="6" spans="1:10" ht="19.5" thickBot="1" x14ac:dyDescent="0.3">
      <c r="A6" s="96"/>
      <c r="B6" s="96"/>
      <c r="C6" s="96"/>
      <c r="D6" s="96"/>
      <c r="E6" s="96"/>
      <c r="F6" s="361" t="s">
        <v>104</v>
      </c>
      <c r="G6" s="361"/>
      <c r="H6" s="97">
        <f ca="1">TODAY()</f>
        <v>45679</v>
      </c>
      <c r="I6" s="97"/>
    </row>
    <row r="7" spans="1:10" ht="26.25" hidden="1" thickBot="1" x14ac:dyDescent="0.3">
      <c r="A7" s="98" t="s">
        <v>105</v>
      </c>
      <c r="B7" s="99" t="s">
        <v>106</v>
      </c>
      <c r="C7" s="99" t="s">
        <v>105</v>
      </c>
      <c r="D7" s="100" t="s">
        <v>107</v>
      </c>
      <c r="E7" s="100" t="s">
        <v>108</v>
      </c>
      <c r="F7" s="100" t="s">
        <v>109</v>
      </c>
      <c r="G7" s="100" t="s">
        <v>110</v>
      </c>
      <c r="H7" s="101" t="s">
        <v>111</v>
      </c>
      <c r="I7" s="102"/>
    </row>
    <row r="8" spans="1:10" ht="14.25" hidden="1" thickBot="1" x14ac:dyDescent="0.3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4.25" hidden="1" thickBot="1" x14ac:dyDescent="0.3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4.25" hidden="1" thickBot="1" x14ac:dyDescent="0.3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4.25" hidden="1" thickBot="1" x14ac:dyDescent="0.3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4.25" hidden="1" thickBot="1" x14ac:dyDescent="0.3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4.25" hidden="1" thickBot="1" x14ac:dyDescent="0.3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4.25" hidden="1" thickBot="1" x14ac:dyDescent="0.3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105</v>
      </c>
      <c r="B16" s="99" t="s">
        <v>114</v>
      </c>
      <c r="C16" s="99" t="s">
        <v>105</v>
      </c>
      <c r="D16" s="100" t="s">
        <v>107</v>
      </c>
      <c r="E16" s="100" t="s">
        <v>108</v>
      </c>
      <c r="F16" s="100" t="s">
        <v>109</v>
      </c>
      <c r="G16" s="100" t="s">
        <v>110</v>
      </c>
      <c r="H16" s="101" t="s">
        <v>111</v>
      </c>
      <c r="I16" s="102"/>
      <c r="J16" s="108"/>
    </row>
    <row r="17" spans="1:12" ht="13.5" x14ac:dyDescent="0.25">
      <c r="A17" s="103">
        <v>10000</v>
      </c>
      <c r="B17" s="91" t="s">
        <v>89</v>
      </c>
      <c r="C17" s="104">
        <f>+A17</f>
        <v>10000</v>
      </c>
      <c r="D17" s="104" t="s">
        <v>112</v>
      </c>
      <c r="E17" s="105">
        <f>+'Costo Batido '!E69</f>
        <v>1.7286042000000001</v>
      </c>
      <c r="F17" s="105">
        <f>IFERROR(E17*C17,"")</f>
        <v>17286.042000000001</v>
      </c>
      <c r="G17" s="106">
        <f t="shared" ref="G17:G24" si="3">IFERROR(F17/$F$66,"")</f>
        <v>0.84942238058008113</v>
      </c>
      <c r="H17" s="107"/>
      <c r="I17" s="107"/>
      <c r="J17" s="108"/>
    </row>
    <row r="18" spans="1:12" ht="13.5" x14ac:dyDescent="0.25">
      <c r="A18" s="103">
        <v>520</v>
      </c>
      <c r="B18" s="91" t="s">
        <v>90</v>
      </c>
      <c r="C18" s="104">
        <f t="shared" ref="C18:C24" si="4">+A18</f>
        <v>520</v>
      </c>
      <c r="D18" s="104" t="s">
        <v>112</v>
      </c>
      <c r="E18" s="105">
        <v>2.04</v>
      </c>
      <c r="F18" s="105">
        <f t="shared" ref="F18:F24" si="5">IFERROR(E18*C18,"")</f>
        <v>1060.8</v>
      </c>
      <c r="G18" s="106">
        <f t="shared" si="3"/>
        <v>5.2126869836330955E-2</v>
      </c>
      <c r="H18" s="107" t="s">
        <v>154</v>
      </c>
      <c r="I18" s="107"/>
      <c r="J18" s="108"/>
    </row>
    <row r="19" spans="1:12" ht="13.5" hidden="1" x14ac:dyDescent="0.25">
      <c r="A19" s="103"/>
      <c r="B19" s="91" t="str">
        <f>IFERROR(VLOOKUP(H19,[1]SEMIELABORADOS!$A$2:$M$6000,2,0),"")</f>
        <v/>
      </c>
      <c r="C19" s="104">
        <f>+A19</f>
        <v>0</v>
      </c>
      <c r="D19" s="104" t="str">
        <f>IFERROR(VLOOKUP(H19,[1]SEMIELABORADOS!$A$2:$M$6000,6,0),"")</f>
        <v/>
      </c>
      <c r="E19" s="105" t="str">
        <f>IFERROR(VLOOKUP(H19,[1]SEMIELABORADOS!$A$2:$H$65536,8,0),"")</f>
        <v/>
      </c>
      <c r="F19" s="105" t="str">
        <f>IFERROR(E19*C19,"")</f>
        <v/>
      </c>
      <c r="G19" s="106" t="str">
        <f t="shared" si="3"/>
        <v/>
      </c>
      <c r="H19" s="107"/>
      <c r="I19" s="107"/>
      <c r="J19" s="108"/>
    </row>
    <row r="20" spans="1:12" ht="13.5" hidden="1" x14ac:dyDescent="0.25">
      <c r="A20" s="103"/>
      <c r="B20" s="91" t="str">
        <f>IFERROR(VLOOKUP(H20,[1]SEMIELABORADOS!$A$2:$M$6000,2,0),"")</f>
        <v/>
      </c>
      <c r="C20" s="104">
        <f>+A20</f>
        <v>0</v>
      </c>
      <c r="D20" s="104" t="str">
        <f>IFERROR(VLOOKUP(H20,[1]SEMIELABORADOS!$A$2:$M$6000,6,0),"")</f>
        <v/>
      </c>
      <c r="E20" s="105" t="str">
        <f>IFERROR(VLOOKUP(H20,[1]SEMIELABORADOS!$A$2:$H$65536,8,0),"")</f>
        <v/>
      </c>
      <c r="F20" s="105" t="str">
        <f>IFERROR(E20*C20,"")</f>
        <v/>
      </c>
      <c r="G20" s="106" t="str">
        <f t="shared" si="3"/>
        <v/>
      </c>
      <c r="H20" s="107"/>
      <c r="I20" s="107"/>
      <c r="J20" s="108"/>
    </row>
    <row r="21" spans="1:12" ht="13.5" hidden="1" x14ac:dyDescent="0.25">
      <c r="A21" s="103"/>
      <c r="B21" s="91" t="str">
        <f>IFERROR(VLOOKUP(H21,[1]SEMIELABORADOS!$A$2:$M$6000,2,0),"")</f>
        <v/>
      </c>
      <c r="C21" s="104">
        <f>+A21</f>
        <v>0</v>
      </c>
      <c r="D21" s="104" t="str">
        <f>IFERROR(VLOOKUP(H21,[1]SEMIELABORADOS!$A$2:$M$6000,6,0),"")</f>
        <v/>
      </c>
      <c r="E21" s="105" t="str">
        <f>IFERROR(VLOOKUP(H21,[1]SEMIELABORADOS!$A$2:$H$65536,8,0),"")</f>
        <v/>
      </c>
      <c r="F21" s="105" t="str">
        <f>IFERROR(E21*C21,"")</f>
        <v/>
      </c>
      <c r="G21" s="106" t="str">
        <f t="shared" si="3"/>
        <v/>
      </c>
      <c r="H21" s="107"/>
      <c r="I21" s="107"/>
      <c r="J21" s="108"/>
    </row>
    <row r="22" spans="1:12" ht="13.5" hidden="1" x14ac:dyDescent="0.25">
      <c r="A22" s="103"/>
      <c r="B22" s="91" t="str">
        <f>IFERROR(VLOOKUP(H22,[1]SEMIELABORADOS!$A$2:$M$6000,2,0),"")</f>
        <v/>
      </c>
      <c r="C22" s="104">
        <f t="shared" si="4"/>
        <v>0</v>
      </c>
      <c r="D22" s="104" t="str">
        <f>IFERROR(VLOOKUP(H22,[1]SEMIELABORADOS!$A$2:$M$6000,6,0),"")</f>
        <v/>
      </c>
      <c r="E22" s="105" t="str">
        <f>IFERROR(VLOOKUP(H22,[1]SEMIELABORADOS!$A$2:$H$65536,8,0),"")</f>
        <v/>
      </c>
      <c r="F22" s="105" t="str">
        <f t="shared" si="5"/>
        <v/>
      </c>
      <c r="G22" s="106" t="str">
        <f t="shared" si="3"/>
        <v/>
      </c>
      <c r="H22" s="107"/>
      <c r="I22" s="107"/>
      <c r="J22" s="108"/>
    </row>
    <row r="23" spans="1:12" ht="13.5" hidden="1" x14ac:dyDescent="0.25">
      <c r="A23" s="103"/>
      <c r="B23" s="91" t="str">
        <f>IFERROR(VLOOKUP(H23,[1]SEMIELABORADOS!$A$2:$M$6000,2,0),"")</f>
        <v/>
      </c>
      <c r="C23" s="104">
        <f t="shared" si="4"/>
        <v>0</v>
      </c>
      <c r="D23" s="104" t="str">
        <f>IFERROR(VLOOKUP(H23,[1]SEMIELABORADOS!$A$2:$M$6000,6,0),"")</f>
        <v/>
      </c>
      <c r="E23" s="105" t="str">
        <f>IFERROR(VLOOKUP(H23,[1]SEMIELABORADOS!$A$2:$H$65536,8,0),"")</f>
        <v/>
      </c>
      <c r="F23" s="105" t="str">
        <f t="shared" si="5"/>
        <v/>
      </c>
      <c r="G23" s="106" t="str">
        <f t="shared" si="3"/>
        <v/>
      </c>
      <c r="H23" s="107"/>
      <c r="I23" s="107"/>
      <c r="J23" s="108"/>
    </row>
    <row r="24" spans="1:12" ht="13.5" hidden="1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hidden="1" thickBot="1" x14ac:dyDescent="0.3">
      <c r="A26" s="98" t="s">
        <v>105</v>
      </c>
      <c r="B26" s="99" t="s">
        <v>53</v>
      </c>
      <c r="C26" s="99" t="s">
        <v>105</v>
      </c>
      <c r="D26" s="100" t="s">
        <v>107</v>
      </c>
      <c r="E26" s="100" t="s">
        <v>108</v>
      </c>
      <c r="F26" s="100" t="s">
        <v>109</v>
      </c>
      <c r="G26" s="100" t="s">
        <v>110</v>
      </c>
      <c r="H26" s="101" t="s">
        <v>111</v>
      </c>
      <c r="I26" s="102"/>
    </row>
    <row r="27" spans="1:12" ht="14.25" hidden="1" thickBot="1" x14ac:dyDescent="0.3">
      <c r="A27" s="103">
        <v>0</v>
      </c>
      <c r="B27" s="109" t="str">
        <f>IFERROR(VLOOKUP(H27,'[1]Consolidado MP Planta'!$A$2:$M$823,3,0),"")</f>
        <v/>
      </c>
      <c r="C27" s="104">
        <f t="shared" ref="C27:C32" si="6">+A27</f>
        <v>0</v>
      </c>
      <c r="D27" s="105" t="str">
        <f>IFERROR(VLOOKUP(H27,'[1]Consolidado MP Planta'!$A$2:$M$823,13,0),"")</f>
        <v/>
      </c>
      <c r="E27" s="105" t="str">
        <f>IFERROR(VLOOKUP(H27,'[1]Consolidado MP Planta'!$A$2:$M$823,12,0),"")</f>
        <v/>
      </c>
      <c r="F27" s="105" t="str">
        <f t="shared" ref="F27:F32" si="7">IFERROR(C27*E27,"")</f>
        <v/>
      </c>
      <c r="G27" s="106" t="str">
        <f t="shared" ref="G27:G32" si="8">IFERROR(F27/$F$66,"")</f>
        <v/>
      </c>
      <c r="H27" s="110"/>
      <c r="I27" s="110"/>
      <c r="J27" s="108"/>
      <c r="K27" s="356"/>
      <c r="L27" s="356"/>
    </row>
    <row r="28" spans="1:12" ht="14.25" hidden="1" thickBot="1" x14ac:dyDescent="0.3">
      <c r="A28" s="103"/>
      <c r="B28" s="109" t="str">
        <f>IFERROR(VLOOKUP(H28,'[1]Consolidado MP Planta'!$A$2:$M$823,3,0),"")</f>
        <v/>
      </c>
      <c r="C28" s="104">
        <f t="shared" si="6"/>
        <v>0</v>
      </c>
      <c r="D28" s="105" t="str">
        <f>IFERROR(VLOOKUP(H28,'[1]Consolidado MP Planta'!$A$2:$M$823,13,0),"")</f>
        <v/>
      </c>
      <c r="E28" s="105" t="str">
        <f>IFERROR(VLOOKUP(H28,'[1]Consolidado MP Planta'!$A$2:$M$823,12,0),"")</f>
        <v/>
      </c>
      <c r="F28" s="105" t="str">
        <f t="shared" si="7"/>
        <v/>
      </c>
      <c r="G28" s="106" t="str">
        <f t="shared" si="8"/>
        <v/>
      </c>
      <c r="H28" s="110"/>
      <c r="I28" s="110"/>
      <c r="J28" s="108"/>
      <c r="K28" s="356"/>
      <c r="L28" s="356"/>
    </row>
    <row r="29" spans="1:12" ht="14.25" hidden="1" thickBot="1" x14ac:dyDescent="0.3">
      <c r="A29" s="103"/>
      <c r="B29" s="109" t="str">
        <f>IFERROR(VLOOKUP(H29,'[1]Consolidado MP Planta'!$A$2:$M$823,3,0),"")</f>
        <v/>
      </c>
      <c r="C29" s="104">
        <f t="shared" si="6"/>
        <v>0</v>
      </c>
      <c r="D29" s="105" t="str">
        <f>IFERROR(VLOOKUP(H29,'[1]Consolidado MP Planta'!$A$2:$M$823,13,0),"")</f>
        <v/>
      </c>
      <c r="E29" s="105" t="str">
        <f>IFERROR(VLOOKUP(H29,'[1]Consolidado MP Planta'!$A$2:$M$823,12,0),"")</f>
        <v/>
      </c>
      <c r="F29" s="105" t="str">
        <f t="shared" si="7"/>
        <v/>
      </c>
      <c r="G29" s="106" t="str">
        <f t="shared" si="8"/>
        <v/>
      </c>
      <c r="H29" s="110"/>
      <c r="I29" s="110"/>
      <c r="J29" s="108"/>
      <c r="K29" s="356"/>
      <c r="L29" s="356"/>
    </row>
    <row r="30" spans="1:12" ht="14.25" hidden="1" thickBot="1" x14ac:dyDescent="0.3">
      <c r="A30" s="103"/>
      <c r="B30" s="109" t="str">
        <f>IFERROR(VLOOKUP(H30,'[1]Consolidado MP Planta'!$A$2:$M$823,3,0),"")</f>
        <v/>
      </c>
      <c r="C30" s="104">
        <f t="shared" si="6"/>
        <v>0</v>
      </c>
      <c r="D30" s="105" t="str">
        <f>IFERROR(VLOOKUP(H30,'[1]Consolidado MP Planta'!$A$2:$M$823,13,0),"")</f>
        <v/>
      </c>
      <c r="E30" s="105" t="str">
        <f>IFERROR(VLOOKUP(H30,'[1]Consolidado MP Planta'!$A$2:$M$823,12,0),"")</f>
        <v/>
      </c>
      <c r="F30" s="105" t="str">
        <f t="shared" si="7"/>
        <v/>
      </c>
      <c r="G30" s="106" t="str">
        <f t="shared" si="8"/>
        <v/>
      </c>
      <c r="H30" s="110"/>
      <c r="I30" s="110"/>
      <c r="J30" s="108"/>
      <c r="K30" s="356"/>
      <c r="L30" s="356"/>
    </row>
    <row r="31" spans="1:12" ht="14.25" hidden="1" thickBot="1" x14ac:dyDescent="0.3">
      <c r="A31" s="103"/>
      <c r="B31" s="109" t="str">
        <f>IFERROR(VLOOKUP(H31,'[1]Consolidado MP Planta'!$A$2:$M$823,3,0),"")</f>
        <v/>
      </c>
      <c r="C31" s="104">
        <f t="shared" si="6"/>
        <v>0</v>
      </c>
      <c r="D31" s="105" t="str">
        <f>IFERROR(VLOOKUP(H31,'[1]Consolidado MP Planta'!$A$2:$M$823,13,0),"")</f>
        <v/>
      </c>
      <c r="E31" s="105" t="str">
        <f>IFERROR(VLOOKUP(H31,'[1]Consolidado MP Planta'!$A$2:$M$823,12,0),"")</f>
        <v/>
      </c>
      <c r="F31" s="105" t="str">
        <f t="shared" si="7"/>
        <v/>
      </c>
      <c r="G31" s="106" t="str">
        <f t="shared" si="8"/>
        <v/>
      </c>
      <c r="H31" s="110"/>
      <c r="I31" s="110"/>
      <c r="J31" s="108"/>
      <c r="K31" s="111"/>
      <c r="L31" s="112"/>
    </row>
    <row r="32" spans="1:12" ht="14.25" hidden="1" thickBot="1" x14ac:dyDescent="0.3">
      <c r="A32" s="103"/>
      <c r="B32" s="109" t="str">
        <f>IFERROR(VLOOKUP(H32,'[1]Consolidado MP Planta'!$A$2:$M$823,3,0),"")</f>
        <v/>
      </c>
      <c r="C32" s="104">
        <f t="shared" si="6"/>
        <v>0</v>
      </c>
      <c r="D32" s="105" t="str">
        <f>IFERROR(VLOOKUP(H32,'[1]Consolidado MP Planta'!$A$2:$M$823,13,0),"")</f>
        <v/>
      </c>
      <c r="E32" s="105" t="str">
        <f>IFERROR(VLOOKUP(H32,'[1]Consolidado MP Planta'!$A$2:$M$823,12,0),"")</f>
        <v/>
      </c>
      <c r="F32" s="105" t="str">
        <f t="shared" si="7"/>
        <v/>
      </c>
      <c r="G32" s="106" t="str">
        <f t="shared" si="8"/>
        <v/>
      </c>
      <c r="H32" s="110"/>
      <c r="I32" s="110"/>
      <c r="J32" s="108"/>
    </row>
    <row r="33" spans="1:13" ht="14.25" hidden="1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 x14ac:dyDescent="0.25">
      <c r="A34" s="98" t="s">
        <v>105</v>
      </c>
      <c r="B34" s="99" t="s">
        <v>115</v>
      </c>
      <c r="C34" s="99" t="s">
        <v>105</v>
      </c>
      <c r="D34" s="100" t="s">
        <v>107</v>
      </c>
      <c r="E34" s="100" t="s">
        <v>108</v>
      </c>
      <c r="F34" s="100" t="s">
        <v>109</v>
      </c>
      <c r="G34" s="100" t="s">
        <v>110</v>
      </c>
      <c r="H34" s="101" t="s">
        <v>111</v>
      </c>
      <c r="I34" s="110"/>
      <c r="J34" s="108"/>
    </row>
    <row r="35" spans="1:13" ht="13.5" x14ac:dyDescent="0.25">
      <c r="A35" s="103">
        <f>+A17</f>
        <v>10000</v>
      </c>
      <c r="B35" s="109" t="s">
        <v>89</v>
      </c>
      <c r="C35" s="104">
        <f>+A35</f>
        <v>10000</v>
      </c>
      <c r="D35" s="105" t="s">
        <v>112</v>
      </c>
      <c r="E35" s="105">
        <f>+'Costo Batido '!E76</f>
        <v>1.1157028571428572E-2</v>
      </c>
      <c r="F35" s="105">
        <f>IFERROR(E35*C35,"")</f>
        <v>111.57028571428572</v>
      </c>
      <c r="G35" s="106">
        <f t="shared" ref="G35:G41" si="9">IFERROR(F35/$F$66,"")</f>
        <v>5.4824752649234795E-3</v>
      </c>
      <c r="H35" s="110"/>
      <c r="I35" s="110"/>
      <c r="J35" s="108"/>
    </row>
    <row r="36" spans="1:13" ht="13.5" x14ac:dyDescent="0.25">
      <c r="A36" s="103">
        <f t="shared" ref="A36:A41" si="10">+A18</f>
        <v>520</v>
      </c>
      <c r="B36" s="109" t="s">
        <v>90</v>
      </c>
      <c r="C36" s="104">
        <f t="shared" ref="C36:C41" si="11">+A36</f>
        <v>520</v>
      </c>
      <c r="D36" s="105" t="s">
        <v>112</v>
      </c>
      <c r="E36" s="105">
        <v>0</v>
      </c>
      <c r="F36" s="105">
        <f t="shared" ref="F36:F41" si="12">IFERROR(E36*C36,"")</f>
        <v>0</v>
      </c>
      <c r="G36" s="106">
        <f t="shared" si="9"/>
        <v>0</v>
      </c>
      <c r="H36" s="110"/>
      <c r="I36" s="110"/>
      <c r="J36" s="108"/>
    </row>
    <row r="37" spans="1:13" ht="13.5" hidden="1" x14ac:dyDescent="0.25">
      <c r="A37" s="103">
        <f t="shared" si="10"/>
        <v>0</v>
      </c>
      <c r="B37" s="109" t="str">
        <f>IFERROR(VLOOKUP(H37,[1]SEMIELABORADOS!$A$2:$M$6000,2,0),"")</f>
        <v/>
      </c>
      <c r="C37" s="104">
        <f t="shared" si="11"/>
        <v>0</v>
      </c>
      <c r="D37" s="105" t="str">
        <f>IFERROR(VLOOKUP(H37,[1]SEMIELABORADOS!$A$2:$M$6000,6,0),"")</f>
        <v/>
      </c>
      <c r="E37" s="105" t="str">
        <f>IFERROR(VLOOKUP(H37,[1]SEMIELABORADOS!$A$2:$M$65536,10,0),"")</f>
        <v/>
      </c>
      <c r="F37" s="105" t="str">
        <f t="shared" si="12"/>
        <v/>
      </c>
      <c r="G37" s="106" t="str">
        <f t="shared" si="9"/>
        <v/>
      </c>
      <c r="H37" s="110"/>
      <c r="I37" s="110"/>
      <c r="J37" s="108"/>
    </row>
    <row r="38" spans="1:13" ht="13.5" hidden="1" x14ac:dyDescent="0.25">
      <c r="A38" s="103">
        <f t="shared" si="10"/>
        <v>0</v>
      </c>
      <c r="B38" s="109" t="str">
        <f>IFERROR(VLOOKUP(H38,[1]SEMIELABORADOS!$A$2:$M$6000,2,0),"")</f>
        <v/>
      </c>
      <c r="C38" s="104">
        <f>+A38</f>
        <v>0</v>
      </c>
      <c r="D38" s="105" t="str">
        <f>IFERROR(VLOOKUP(H38,[1]SEMIELABORADOS!$A$2:$M$6000,6,0),"")</f>
        <v/>
      </c>
      <c r="E38" s="105" t="str">
        <f>IFERROR(VLOOKUP(H38,[1]SEMIELABORADOS!$A$2:$M$65536,10,0),"")</f>
        <v/>
      </c>
      <c r="F38" s="105" t="str">
        <f>IFERROR(E38*C38,"")</f>
        <v/>
      </c>
      <c r="G38" s="106" t="str">
        <f t="shared" si="9"/>
        <v/>
      </c>
      <c r="H38" s="110"/>
      <c r="I38" s="110"/>
      <c r="J38" s="108"/>
    </row>
    <row r="39" spans="1:13" ht="13.5" hidden="1" x14ac:dyDescent="0.25">
      <c r="A39" s="103">
        <f t="shared" si="10"/>
        <v>0</v>
      </c>
      <c r="B39" s="109" t="str">
        <f>IFERROR(VLOOKUP(H39,[1]SEMIELABORADOS!$A$2:$M$6000,2,0),"")</f>
        <v/>
      </c>
      <c r="C39" s="104">
        <f>+A39</f>
        <v>0</v>
      </c>
      <c r="D39" s="105" t="str">
        <f>IFERROR(VLOOKUP(H39,[1]SEMIELABORADOS!$A$2:$M$6000,6,0),"")</f>
        <v/>
      </c>
      <c r="E39" s="105" t="str">
        <f>IFERROR(VLOOKUP(H39,[1]SEMIELABORADOS!$A$2:$M$65536,10,0),"")</f>
        <v/>
      </c>
      <c r="F39" s="105" t="str">
        <f>IFERROR(E39*C39,"")</f>
        <v/>
      </c>
      <c r="G39" s="106" t="str">
        <f t="shared" si="9"/>
        <v/>
      </c>
      <c r="H39" s="110"/>
      <c r="I39" s="110"/>
      <c r="J39" s="108"/>
    </row>
    <row r="40" spans="1:13" ht="13.5" hidden="1" x14ac:dyDescent="0.25">
      <c r="A40" s="103">
        <f t="shared" si="10"/>
        <v>0</v>
      </c>
      <c r="B40" s="109" t="str">
        <f>IFERROR(VLOOKUP(H40,[1]SEMIELABORADOS!$A$2:$M$6000,2,0),"")</f>
        <v/>
      </c>
      <c r="C40" s="104">
        <f t="shared" si="11"/>
        <v>0</v>
      </c>
      <c r="D40" s="105" t="str">
        <f>IFERROR(VLOOKUP(H40,[1]SEMIELABORADOS!$A$2:$M$6000,6,0),"")</f>
        <v/>
      </c>
      <c r="E40" s="105" t="str">
        <f>IFERROR(VLOOKUP(H40,[1]SEMIELABORADOS!$A$2:$M$65536,10,0),"")</f>
        <v/>
      </c>
      <c r="F40" s="105" t="str">
        <f t="shared" si="12"/>
        <v/>
      </c>
      <c r="G40" s="106" t="str">
        <f t="shared" si="9"/>
        <v/>
      </c>
      <c r="H40" s="110"/>
      <c r="I40" s="110"/>
      <c r="J40" s="108"/>
    </row>
    <row r="41" spans="1:13" ht="13.5" hidden="1" x14ac:dyDescent="0.25">
      <c r="A41" s="103">
        <f t="shared" si="10"/>
        <v>0</v>
      </c>
      <c r="B41" s="109" t="str">
        <f>IFERROR(VLOOKUP(H41,[1]SEMIELABORADOS!$A$2:$M$6000,2,0),"")</f>
        <v/>
      </c>
      <c r="C41" s="104">
        <f t="shared" si="11"/>
        <v>0</v>
      </c>
      <c r="D41" s="105" t="str">
        <f>IFERROR(VLOOKUP(H41,[1]SEMIELABORADOS!$A$2:$M$6000,6,0),"")</f>
        <v/>
      </c>
      <c r="E41" s="105" t="str">
        <f>IFERROR(VLOOKUP(H41,[1]SEMIELABORADOS!$A$2:$M$65536,10,0),"")</f>
        <v/>
      </c>
      <c r="F41" s="105" t="str">
        <f t="shared" si="12"/>
        <v/>
      </c>
      <c r="G41" s="106" t="str">
        <f t="shared" si="9"/>
        <v/>
      </c>
      <c r="H41" s="110"/>
      <c r="I41" s="110"/>
      <c r="J41" s="108"/>
    </row>
    <row r="42" spans="1:13" ht="14.25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105</v>
      </c>
      <c r="B43" s="99" t="s">
        <v>116</v>
      </c>
      <c r="C43" s="99" t="s">
        <v>105</v>
      </c>
      <c r="D43" s="100" t="s">
        <v>107</v>
      </c>
      <c r="E43" s="100" t="s">
        <v>108</v>
      </c>
      <c r="F43" s="100" t="s">
        <v>109</v>
      </c>
      <c r="G43" s="100" t="s">
        <v>110</v>
      </c>
      <c r="H43" s="101" t="s">
        <v>111</v>
      </c>
      <c r="I43" s="102"/>
      <c r="J43" s="108"/>
    </row>
    <row r="44" spans="1:13" ht="13.5" x14ac:dyDescent="0.25">
      <c r="A44" s="103">
        <f>+A35</f>
        <v>10000</v>
      </c>
      <c r="B44" s="109" t="s">
        <v>89</v>
      </c>
      <c r="C44" s="104">
        <f>+A44</f>
        <v>10000</v>
      </c>
      <c r="D44" s="105" t="s">
        <v>112</v>
      </c>
      <c r="E44" s="105">
        <f>+'Costo Batido '!E74</f>
        <v>7.3200000000000001E-2</v>
      </c>
      <c r="F44" s="105">
        <f>IFERROR(E44*C44,"")</f>
        <v>732</v>
      </c>
      <c r="G44" s="106">
        <f>IFERROR(F44/$F$66,"")</f>
        <v>3.5969898868961403E-2</v>
      </c>
      <c r="H44" s="110"/>
      <c r="I44" s="102"/>
      <c r="J44" s="108"/>
    </row>
    <row r="45" spans="1:13" ht="13.5" x14ac:dyDescent="0.25">
      <c r="A45" s="103">
        <f t="shared" ref="A45:A50" si="13">+A36</f>
        <v>520</v>
      </c>
      <c r="B45" s="109" t="s">
        <v>90</v>
      </c>
      <c r="C45" s="104">
        <f t="shared" ref="C45:C50" si="14">+A45</f>
        <v>520</v>
      </c>
      <c r="D45" s="105" t="s">
        <v>112</v>
      </c>
      <c r="E45" s="105">
        <v>0.02</v>
      </c>
      <c r="F45" s="105">
        <f t="shared" ref="F45:F50" si="15">IFERROR(E45*C45,"")</f>
        <v>10.4</v>
      </c>
      <c r="G45" s="106">
        <f t="shared" ref="G45:G50" si="16">IFERROR(F45/$F$66,"")</f>
        <v>5.1104774349344079E-4</v>
      </c>
      <c r="H45" s="110"/>
      <c r="I45" s="102"/>
      <c r="J45" s="108"/>
      <c r="M45" s="113"/>
    </row>
    <row r="46" spans="1:13" ht="13.5" hidden="1" x14ac:dyDescent="0.25">
      <c r="A46" s="103">
        <f t="shared" si="13"/>
        <v>0</v>
      </c>
      <c r="B46" s="109" t="str">
        <f>IFERROR(VLOOKUP(H46,[1]SEMIELABORADOS!$A$2:$M$6000,2,0),"")</f>
        <v/>
      </c>
      <c r="C46" s="104">
        <f t="shared" si="14"/>
        <v>0</v>
      </c>
      <c r="D46" s="105" t="str">
        <f>IFERROR(VLOOKUP(H46,[1]SEMIELABORADOS!$A$2:$M$6000,6,0),"")</f>
        <v/>
      </c>
      <c r="E46" s="105" t="str">
        <f>IFERROR(VLOOKUP(H46,[1]SEMIELABORADOS!$A$2:$M$65536,12,0),"")</f>
        <v/>
      </c>
      <c r="F46" s="105" t="str">
        <f t="shared" si="15"/>
        <v/>
      </c>
      <c r="G46" s="106" t="str">
        <f t="shared" si="16"/>
        <v/>
      </c>
      <c r="H46" s="110"/>
      <c r="I46" s="102"/>
      <c r="J46" s="108"/>
    </row>
    <row r="47" spans="1:13" ht="13.5" hidden="1" x14ac:dyDescent="0.25">
      <c r="A47" s="103">
        <f t="shared" si="13"/>
        <v>0</v>
      </c>
      <c r="B47" s="109" t="str">
        <f>IFERROR(VLOOKUP(H47,[1]SEMIELABORADOS!$A$2:$M$6000,2,0),"")</f>
        <v/>
      </c>
      <c r="C47" s="104">
        <f t="shared" si="14"/>
        <v>0</v>
      </c>
      <c r="D47" s="105" t="str">
        <f>IFERROR(VLOOKUP(H47,[1]SEMIELABORADOS!$A$2:$M$6000,6,0),"")</f>
        <v/>
      </c>
      <c r="E47" s="105" t="str">
        <f>IFERROR(VLOOKUP(H47,[1]SEMIELABORADOS!$A$2:$M$65536,12,0),"")</f>
        <v/>
      </c>
      <c r="F47" s="105" t="str">
        <f t="shared" si="15"/>
        <v/>
      </c>
      <c r="G47" s="106" t="str">
        <f t="shared" si="16"/>
        <v/>
      </c>
      <c r="H47" s="110"/>
      <c r="I47" s="102"/>
      <c r="J47" s="108"/>
    </row>
    <row r="48" spans="1:13" ht="13.5" hidden="1" x14ac:dyDescent="0.25">
      <c r="A48" s="103">
        <f t="shared" si="13"/>
        <v>0</v>
      </c>
      <c r="B48" s="109" t="str">
        <f>IFERROR(VLOOKUP(H48,[1]SEMIELABORADOS!$A$2:$M$6000,2,0),"")</f>
        <v/>
      </c>
      <c r="C48" s="104">
        <f t="shared" si="14"/>
        <v>0</v>
      </c>
      <c r="D48" s="105" t="str">
        <f>IFERROR(VLOOKUP(H48,[1]SEMIELABORADOS!$A$2:$M$6000,6,0),"")</f>
        <v/>
      </c>
      <c r="E48" s="105" t="str">
        <f>IFERROR(VLOOKUP(H48,[1]SEMIELABORADOS!$A$2:$M$65536,12,0),"")</f>
        <v/>
      </c>
      <c r="F48" s="105" t="str">
        <f t="shared" si="15"/>
        <v/>
      </c>
      <c r="G48" s="106" t="str">
        <f t="shared" si="16"/>
        <v/>
      </c>
      <c r="H48" s="110"/>
      <c r="I48" s="102"/>
      <c r="J48" s="108"/>
    </row>
    <row r="49" spans="1:17" ht="13.5" hidden="1" x14ac:dyDescent="0.25">
      <c r="A49" s="103">
        <f t="shared" si="13"/>
        <v>0</v>
      </c>
      <c r="B49" s="109" t="str">
        <f>IFERROR(VLOOKUP(H49,[1]SEMIELABORADOS!$A$2:$M$6000,2,0),"")</f>
        <v/>
      </c>
      <c r="C49" s="104">
        <f t="shared" si="14"/>
        <v>0</v>
      </c>
      <c r="D49" s="105" t="str">
        <f>IFERROR(VLOOKUP(H49,[1]SEMIELABORADOS!$A$2:$M$6000,6,0),"")</f>
        <v/>
      </c>
      <c r="E49" s="105" t="str">
        <f>IFERROR(VLOOKUP(H49,[1]SEMIELABORADOS!$A$2:$M$65536,12,0),"")</f>
        <v/>
      </c>
      <c r="F49" s="105" t="str">
        <f t="shared" si="15"/>
        <v/>
      </c>
      <c r="G49" s="106" t="str">
        <f t="shared" si="16"/>
        <v/>
      </c>
      <c r="H49" s="110"/>
      <c r="I49" s="102"/>
      <c r="J49" s="108"/>
    </row>
    <row r="50" spans="1:17" ht="13.5" hidden="1" x14ac:dyDescent="0.25">
      <c r="A50" s="103">
        <f t="shared" si="13"/>
        <v>0</v>
      </c>
      <c r="B50" s="109" t="str">
        <f>IFERROR(VLOOKUP(H50,[1]SEMIELABORADOS!$A$2:$M$6000,2,0),"")</f>
        <v/>
      </c>
      <c r="C50" s="104">
        <f t="shared" si="14"/>
        <v>0</v>
      </c>
      <c r="D50" s="105" t="str">
        <f>IFERROR(VLOOKUP(H50,[1]SEMIELABORADOS!$A$2:$M$6000,6,0),"")</f>
        <v/>
      </c>
      <c r="E50" s="105" t="str">
        <f>IFERROR(VLOOKUP(H50,[1]SEMIELABORADOS!$A$2:$M$65536,12,0),"")</f>
        <v/>
      </c>
      <c r="F50" s="105" t="str">
        <f t="shared" si="15"/>
        <v/>
      </c>
      <c r="G50" s="106" t="str">
        <f t="shared" si="16"/>
        <v/>
      </c>
      <c r="H50" s="109"/>
      <c r="I50" s="102"/>
      <c r="J50" s="108"/>
    </row>
    <row r="51" spans="1:17" ht="13.5" x14ac:dyDescent="0.25">
      <c r="A51" s="103">
        <v>1</v>
      </c>
      <c r="B51" s="109" t="s">
        <v>117</v>
      </c>
      <c r="C51" s="104">
        <f>+A51</f>
        <v>1</v>
      </c>
      <c r="D51" s="104" t="s">
        <v>118</v>
      </c>
      <c r="E51" s="105">
        <f>+F65</f>
        <v>1525</v>
      </c>
      <c r="F51" s="105">
        <f>IFERROR(C51*E51,"")</f>
        <v>1525</v>
      </c>
      <c r="G51" s="106">
        <f>IFERROR(F51/$F$66,"")</f>
        <v>7.4937289310336261E-2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366" t="s">
        <v>119</v>
      </c>
      <c r="C53" s="366"/>
      <c r="D53" s="366"/>
      <c r="E53" s="366"/>
      <c r="F53" s="117">
        <f>SUM(F8:F14,F17:F24)</f>
        <v>18346.842000000001</v>
      </c>
      <c r="G53" s="106">
        <f>+F53/$F$66</f>
        <v>0.9015492504164121</v>
      </c>
      <c r="H53" s="118">
        <f>+F53/$D$60</f>
        <v>1651.21578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366" t="s">
        <v>120</v>
      </c>
      <c r="C54" s="366"/>
      <c r="D54" s="366"/>
      <c r="E54" s="366"/>
      <c r="F54" s="117">
        <f>SUM(F27:F32,F35:F41)</f>
        <v>111.57028571428572</v>
      </c>
      <c r="G54" s="106">
        <f>+F54/$F$66</f>
        <v>5.4824752649234795E-3</v>
      </c>
      <c r="H54" s="118">
        <f>+F54/$D$60</f>
        <v>10.041325714285716</v>
      </c>
      <c r="I54" s="118"/>
      <c r="J54" s="122"/>
      <c r="K54" s="367" t="s">
        <v>121</v>
      </c>
      <c r="L54" s="368"/>
      <c r="M54" s="368"/>
      <c r="N54" s="368"/>
      <c r="O54" s="123">
        <f>+F55</f>
        <v>18458.412285714287</v>
      </c>
      <c r="P54" s="123"/>
      <c r="Q54" s="124"/>
    </row>
    <row r="55" spans="1:17" x14ac:dyDescent="0.2">
      <c r="A55" s="115"/>
      <c r="B55" s="366" t="s">
        <v>122</v>
      </c>
      <c r="C55" s="366"/>
      <c r="D55" s="366"/>
      <c r="E55" s="366"/>
      <c r="F55" s="117">
        <f>+F53+F54</f>
        <v>18458.412285714287</v>
      </c>
      <c r="G55" s="106">
        <f>+F55/$F$66</f>
        <v>0.90703172568133561</v>
      </c>
      <c r="H55" s="118">
        <f>+F55/$D$60</f>
        <v>1661.2571057142859</v>
      </c>
      <c r="I55" s="118"/>
      <c r="J55" s="125"/>
      <c r="K55" s="126"/>
      <c r="M55" s="127" t="s">
        <v>123</v>
      </c>
      <c r="N55" s="128"/>
      <c r="O55" s="123">
        <f>+H56</f>
        <v>204.066</v>
      </c>
      <c r="P55" s="123"/>
      <c r="Q55" s="124"/>
    </row>
    <row r="56" spans="1:17" ht="13.5" thickBot="1" x14ac:dyDescent="0.25">
      <c r="A56" s="115"/>
      <c r="B56" s="116"/>
      <c r="C56" s="366" t="s">
        <v>124</v>
      </c>
      <c r="D56" s="366"/>
      <c r="E56" s="366"/>
      <c r="F56" s="117">
        <f>SUM(F44:F51)</f>
        <v>2267.4</v>
      </c>
      <c r="G56" s="106">
        <f>+F56/$F$66</f>
        <v>0.11141823592279111</v>
      </c>
      <c r="H56" s="118">
        <f>+F56/$D$60</f>
        <v>204.066</v>
      </c>
      <c r="I56" s="118"/>
      <c r="J56" s="125"/>
      <c r="K56" s="126"/>
      <c r="L56" s="126"/>
      <c r="M56" s="126" t="s">
        <v>125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126</v>
      </c>
      <c r="N57" s="135"/>
      <c r="O57" s="136">
        <f>SUM(O54:O56)</f>
        <v>18662.478285714285</v>
      </c>
      <c r="P57" s="137"/>
      <c r="Q57" s="124"/>
    </row>
    <row r="58" spans="1:17" x14ac:dyDescent="0.2">
      <c r="B58" s="369" t="s">
        <v>127</v>
      </c>
      <c r="C58" s="369"/>
      <c r="D58" s="138">
        <v>10000</v>
      </c>
      <c r="E58" s="139"/>
      <c r="G58" s="106"/>
      <c r="H58" s="132">
        <f>+H56/61</f>
        <v>3.345344262295082</v>
      </c>
      <c r="I58" s="140"/>
      <c r="J58" s="125"/>
      <c r="K58" s="133"/>
      <c r="L58" s="126"/>
      <c r="M58" s="126" t="s">
        <v>128</v>
      </c>
      <c r="N58" s="141"/>
      <c r="O58" s="123">
        <f>+H59</f>
        <v>194.02996721311476</v>
      </c>
      <c r="P58" s="123"/>
      <c r="Q58" s="124"/>
    </row>
    <row r="59" spans="1:17" x14ac:dyDescent="0.2">
      <c r="B59" s="369" t="s">
        <v>129</v>
      </c>
      <c r="C59" s="369"/>
      <c r="D59" s="142">
        <v>900</v>
      </c>
      <c r="E59" s="139"/>
      <c r="G59" s="106"/>
      <c r="H59" s="132">
        <f>+H58*58</f>
        <v>194.02996721311476</v>
      </c>
      <c r="I59" s="140"/>
      <c r="J59" s="125"/>
      <c r="K59" s="133"/>
      <c r="L59" s="126"/>
      <c r="M59" s="370" t="s">
        <v>126</v>
      </c>
      <c r="N59" s="370"/>
      <c r="O59" s="123">
        <f>SUM(O57:O58)</f>
        <v>18856.5082529274</v>
      </c>
      <c r="P59" s="123"/>
      <c r="Q59" s="124"/>
    </row>
    <row r="60" spans="1:17" ht="13.5" thickBot="1" x14ac:dyDescent="0.25">
      <c r="B60" s="362" t="s">
        <v>130</v>
      </c>
      <c r="C60" s="362"/>
      <c r="D60" s="138">
        <f>+D58/D59</f>
        <v>11.111111111111111</v>
      </c>
      <c r="E60" s="139"/>
      <c r="F60" s="143"/>
      <c r="G60" s="106"/>
      <c r="H60" s="132"/>
      <c r="I60" s="140"/>
      <c r="J60" s="125"/>
      <c r="K60" s="133"/>
      <c r="L60" s="370"/>
      <c r="M60" s="370"/>
      <c r="N60" s="141"/>
      <c r="O60" s="123">
        <f>+O59*N60</f>
        <v>0</v>
      </c>
      <c r="P60" s="123"/>
      <c r="Q60" s="124"/>
    </row>
    <row r="61" spans="1:17" ht="13.5" thickBot="1" x14ac:dyDescent="0.25">
      <c r="B61" s="362" t="s">
        <v>131</v>
      </c>
      <c r="C61" s="362"/>
      <c r="D61" s="144"/>
      <c r="E61" s="139"/>
      <c r="F61" s="143"/>
      <c r="G61" s="106"/>
      <c r="H61" s="132"/>
      <c r="I61" s="140"/>
      <c r="J61" s="125"/>
      <c r="K61" s="363" t="s">
        <v>132</v>
      </c>
      <c r="L61" s="364"/>
      <c r="M61" s="364"/>
      <c r="N61" s="365"/>
      <c r="O61" s="136">
        <f>SUM(O59:O60)</f>
        <v>18856.5082529274</v>
      </c>
      <c r="P61" s="145" t="s">
        <v>133</v>
      </c>
      <c r="Q61" s="124"/>
    </row>
    <row r="62" spans="1:17" ht="13.5" thickBot="1" x14ac:dyDescent="0.25">
      <c r="C62" s="115" t="s">
        <v>134</v>
      </c>
      <c r="D62" s="146"/>
      <c r="E62" s="89" t="s">
        <v>135</v>
      </c>
      <c r="F62" s="147" t="s">
        <v>136</v>
      </c>
      <c r="G62" s="106"/>
      <c r="H62" s="132"/>
      <c r="I62" s="140"/>
      <c r="J62" s="148"/>
      <c r="K62" s="149"/>
      <c r="L62" s="376" t="s">
        <v>137</v>
      </c>
      <c r="M62" s="376"/>
      <c r="N62" s="376"/>
      <c r="O62" s="150">
        <f>+O61/D60</f>
        <v>1697.0857427634662</v>
      </c>
      <c r="P62" s="151">
        <f>+O62/D59</f>
        <v>1.8856508252927402</v>
      </c>
      <c r="Q62" s="152"/>
    </row>
    <row r="63" spans="1:17" ht="13.5" thickBot="1" x14ac:dyDescent="0.25">
      <c r="B63" s="377" t="s">
        <v>122</v>
      </c>
      <c r="C63" s="377"/>
      <c r="D63" s="377"/>
      <c r="E63" s="153">
        <f>+F63/F63</f>
        <v>1</v>
      </c>
      <c r="F63" s="154">
        <f>SUM(F55)</f>
        <v>18458.412285714287</v>
      </c>
      <c r="G63" s="106">
        <f>+F63/$F$66</f>
        <v>0.90703172568133561</v>
      </c>
      <c r="H63" s="132"/>
      <c r="I63" s="140"/>
      <c r="K63" s="378"/>
      <c r="L63" s="379"/>
      <c r="M63" s="379"/>
      <c r="N63" s="379"/>
      <c r="O63" s="155"/>
      <c r="P63" s="156"/>
    </row>
    <row r="64" spans="1:17" ht="13.5" thickBot="1" x14ac:dyDescent="0.3">
      <c r="B64" s="380" t="s">
        <v>138</v>
      </c>
      <c r="C64" s="380"/>
      <c r="D64" s="380"/>
      <c r="E64" s="157">
        <v>0.02</v>
      </c>
      <c r="F64" s="154">
        <f>+F53*E64</f>
        <v>366.93684000000002</v>
      </c>
      <c r="G64" s="106">
        <f>+F64/$F$66</f>
        <v>1.803098500832824E-2</v>
      </c>
      <c r="H64" s="118"/>
      <c r="I64" s="140"/>
      <c r="J64" s="158"/>
      <c r="O64" s="159"/>
      <c r="P64" s="116"/>
    </row>
    <row r="65" spans="2:13" ht="13.5" thickBot="1" x14ac:dyDescent="0.3">
      <c r="B65" s="381" t="s">
        <v>139</v>
      </c>
      <c r="C65" s="382"/>
      <c r="D65" s="160">
        <v>25</v>
      </c>
      <c r="E65" s="161">
        <v>61</v>
      </c>
      <c r="F65" s="154">
        <f>+E65*D65</f>
        <v>1525</v>
      </c>
      <c r="G65" s="106">
        <f>+F65/$F$66</f>
        <v>7.4937289310336261E-2</v>
      </c>
      <c r="H65" s="118"/>
      <c r="I65" s="118"/>
      <c r="J65" s="108"/>
    </row>
    <row r="66" spans="2:13" ht="13.5" thickBot="1" x14ac:dyDescent="0.3">
      <c r="B66" s="383" t="s">
        <v>140</v>
      </c>
      <c r="C66" s="384"/>
      <c r="D66" s="384"/>
      <c r="E66" s="385"/>
      <c r="F66" s="131">
        <f>SUM(F63:F65)</f>
        <v>20350.349125714285</v>
      </c>
      <c r="G66" s="106">
        <f>+F66/$F$66</f>
        <v>1</v>
      </c>
      <c r="H66" s="386"/>
      <c r="I66" s="118"/>
      <c r="J66" s="108"/>
      <c r="M66" s="91" t="s">
        <v>141</v>
      </c>
    </row>
    <row r="67" spans="2:13" x14ac:dyDescent="0.25">
      <c r="C67" s="113"/>
      <c r="D67" s="113"/>
      <c r="E67" s="163"/>
      <c r="F67" s="154"/>
      <c r="G67" s="106"/>
      <c r="H67" s="386"/>
      <c r="I67" s="162"/>
      <c r="J67" s="91"/>
      <c r="M67" s="91" t="s">
        <v>142</v>
      </c>
    </row>
    <row r="68" spans="2:13" ht="13.5" thickBot="1" x14ac:dyDescent="0.3">
      <c r="B68" s="371" t="s">
        <v>143</v>
      </c>
      <c r="C68" s="371"/>
      <c r="D68" s="371"/>
      <c r="E68" s="371"/>
      <c r="F68" s="371"/>
      <c r="G68" s="106"/>
      <c r="H68" s="165"/>
      <c r="I68" s="162"/>
      <c r="J68" s="91"/>
      <c r="M68" s="91" t="s">
        <v>144</v>
      </c>
    </row>
    <row r="69" spans="2:13" ht="13.5" thickBot="1" x14ac:dyDescent="0.3">
      <c r="B69" s="166" t="s">
        <v>145</v>
      </c>
      <c r="C69" s="167">
        <f>+F53</f>
        <v>18346.842000000001</v>
      </c>
      <c r="D69" s="167">
        <f>+D58</f>
        <v>10000</v>
      </c>
      <c r="E69" s="168">
        <f>+C69/D69</f>
        <v>1.8346842000000001</v>
      </c>
      <c r="F69" s="106"/>
      <c r="G69" s="165"/>
      <c r="H69" s="108"/>
      <c r="I69" s="165"/>
      <c r="J69" s="91"/>
    </row>
    <row r="70" spans="2:13" x14ac:dyDescent="0.25">
      <c r="B70" s="169"/>
      <c r="C70" s="170"/>
      <c r="D70" s="171"/>
      <c r="E70" s="154"/>
      <c r="F70" s="106"/>
      <c r="G70" s="165"/>
      <c r="H70" s="108"/>
      <c r="I70" s="108"/>
      <c r="J70" s="91"/>
    </row>
    <row r="71" spans="2:13" x14ac:dyDescent="0.25">
      <c r="B71" s="166" t="s">
        <v>146</v>
      </c>
      <c r="C71" s="167">
        <f>SUM(F63:F64)</f>
        <v>18825.349125714285</v>
      </c>
      <c r="D71" s="167">
        <f>+D58</f>
        <v>10000</v>
      </c>
      <c r="E71" s="172">
        <f>+C71/D71</f>
        <v>1.8825349125714286</v>
      </c>
      <c r="F71" s="106"/>
      <c r="G71" s="165"/>
      <c r="H71" s="108"/>
      <c r="I71" s="108"/>
      <c r="J71" s="91"/>
    </row>
    <row r="72" spans="2:13" x14ac:dyDescent="0.25">
      <c r="B72" s="166"/>
      <c r="C72" s="167"/>
      <c r="D72" s="167"/>
      <c r="E72" s="172"/>
      <c r="F72" s="106"/>
      <c r="G72" s="165"/>
      <c r="H72" s="108"/>
      <c r="I72" s="108"/>
      <c r="J72" s="91"/>
    </row>
    <row r="73" spans="2:13" ht="13.5" thickBot="1" x14ac:dyDescent="0.3">
      <c r="B73" s="166" t="s">
        <v>147</v>
      </c>
      <c r="C73" s="167">
        <f>+F65</f>
        <v>1525</v>
      </c>
      <c r="D73" s="167">
        <f>+D58</f>
        <v>10000</v>
      </c>
      <c r="E73" s="172">
        <f>+C73/D73</f>
        <v>0.1525</v>
      </c>
      <c r="F73" s="106"/>
      <c r="G73" s="165"/>
      <c r="H73" s="108"/>
      <c r="I73" s="108"/>
      <c r="J73" s="91"/>
    </row>
    <row r="74" spans="2:13" ht="13.5" thickBot="1" x14ac:dyDescent="0.3">
      <c r="B74" s="166" t="s">
        <v>148</v>
      </c>
      <c r="C74" s="167">
        <f>+F56</f>
        <v>2267.4</v>
      </c>
      <c r="D74" s="167">
        <f>+D73</f>
        <v>10000</v>
      </c>
      <c r="E74" s="168">
        <f>+C74/D74</f>
        <v>0.22674</v>
      </c>
      <c r="F74" s="106"/>
      <c r="G74" s="165"/>
      <c r="H74" s="108"/>
      <c r="I74" s="108"/>
      <c r="J74" s="91"/>
    </row>
    <row r="75" spans="2:13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3" ht="13.5" thickBot="1" x14ac:dyDescent="0.3">
      <c r="B76" s="166" t="s">
        <v>149</v>
      </c>
      <c r="C76" s="167">
        <f>+F54</f>
        <v>111.57028571428572</v>
      </c>
      <c r="D76" s="167">
        <f>+D74</f>
        <v>10000</v>
      </c>
      <c r="E76" s="168">
        <f>+C76/D76</f>
        <v>1.1157028571428572E-2</v>
      </c>
      <c r="F76" s="106"/>
      <c r="G76" s="165"/>
      <c r="H76" s="108"/>
      <c r="I76" s="108"/>
      <c r="J76" s="108"/>
    </row>
    <row r="77" spans="2:13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3" ht="13.5" thickBot="1" x14ac:dyDescent="0.3">
      <c r="B78" s="372" t="s">
        <v>150</v>
      </c>
      <c r="C78" s="373"/>
      <c r="D78" s="374"/>
      <c r="E78" s="168">
        <f>+E69+E74</f>
        <v>2.0614242000000003</v>
      </c>
      <c r="G78" s="106"/>
      <c r="H78" s="165"/>
      <c r="I78" s="108"/>
      <c r="J78" s="172"/>
    </row>
    <row r="79" spans="2:13" x14ac:dyDescent="0.25">
      <c r="I79" s="165"/>
      <c r="J79" s="91"/>
    </row>
    <row r="80" spans="2:13" ht="13.5" thickBot="1" x14ac:dyDescent="0.3">
      <c r="B80" s="371" t="s">
        <v>151</v>
      </c>
      <c r="C80" s="371"/>
      <c r="D80" s="371"/>
      <c r="E80" s="371"/>
      <c r="F80" s="371"/>
      <c r="G80" s="106"/>
      <c r="H80" s="165"/>
      <c r="J80" s="91"/>
    </row>
    <row r="81" spans="1:10" ht="13.5" thickBot="1" x14ac:dyDescent="0.3">
      <c r="B81" s="166" t="s">
        <v>145</v>
      </c>
      <c r="C81" s="167">
        <f>+C69</f>
        <v>18346.842000000001</v>
      </c>
      <c r="D81" s="167">
        <f>+D60</f>
        <v>11.111111111111111</v>
      </c>
      <c r="E81" s="168">
        <f>+C81/D81</f>
        <v>1651.21578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146</v>
      </c>
      <c r="C83" s="167">
        <f>+C71</f>
        <v>18825.349125714285</v>
      </c>
      <c r="D83" s="167">
        <f>+D60</f>
        <v>11.111111111111111</v>
      </c>
      <c r="E83" s="172">
        <f>+C83/D83</f>
        <v>1694.2814213142858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148</v>
      </c>
      <c r="C85" s="167">
        <f>+C73</f>
        <v>1525</v>
      </c>
      <c r="D85" s="167">
        <f>+D60</f>
        <v>11.111111111111111</v>
      </c>
      <c r="E85" s="172">
        <f>+C85/D85</f>
        <v>137.25</v>
      </c>
      <c r="F85" s="174"/>
      <c r="G85" s="164"/>
      <c r="H85" s="90"/>
      <c r="I85" s="108"/>
    </row>
    <row r="86" spans="1:10" ht="13.5" thickBot="1" x14ac:dyDescent="0.3">
      <c r="B86" s="166" t="s">
        <v>148</v>
      </c>
      <c r="C86" s="167">
        <f>+C74</f>
        <v>2267.4</v>
      </c>
      <c r="D86" s="167">
        <f>+D85</f>
        <v>11.111111111111111</v>
      </c>
      <c r="E86" s="168">
        <f>+C86/D86</f>
        <v>204.066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375"/>
      <c r="B88" s="375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8D97-7112-4F9D-91CE-35027BDAD6BF}">
  <dimension ref="A1:Q91"/>
  <sheetViews>
    <sheetView topLeftCell="A52" workbookViewId="0">
      <selection activeCell="O65" sqref="O65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99</v>
      </c>
      <c r="F1" s="88" t="s">
        <v>100</v>
      </c>
      <c r="G1" s="88" t="s">
        <v>101</v>
      </c>
      <c r="H1" s="88" t="s">
        <v>102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2570.2455192974239</v>
      </c>
      <c r="F2" s="92">
        <f>IFERROR(H53,"")</f>
        <v>1651.21578</v>
      </c>
      <c r="G2" s="92">
        <f>IFERROR(H54,"")</f>
        <v>376.68041142857146</v>
      </c>
      <c r="H2" s="92">
        <f>IFERROR(H56,"")</f>
        <v>278.01099999999997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357"/>
      <c r="B4" s="357"/>
      <c r="C4" s="357"/>
      <c r="D4" s="357"/>
      <c r="E4" s="357"/>
      <c r="F4" s="357"/>
      <c r="G4" s="357"/>
      <c r="H4" s="357"/>
      <c r="I4" s="95"/>
    </row>
    <row r="5" spans="1:10" ht="19.5" customHeight="1" thickBot="1" x14ac:dyDescent="0.3">
      <c r="A5" s="358" t="s">
        <v>103</v>
      </c>
      <c r="B5" s="359"/>
      <c r="C5" s="359"/>
      <c r="D5" s="359"/>
      <c r="E5" s="359"/>
      <c r="F5" s="359"/>
      <c r="G5" s="359"/>
      <c r="H5" s="360"/>
      <c r="I5" s="96"/>
    </row>
    <row r="6" spans="1:10" ht="19.5" thickBot="1" x14ac:dyDescent="0.3">
      <c r="A6" s="96"/>
      <c r="B6" s="96"/>
      <c r="C6" s="96"/>
      <c r="D6" s="96"/>
      <c r="E6" s="96"/>
      <c r="F6" s="361" t="s">
        <v>104</v>
      </c>
      <c r="G6" s="361"/>
      <c r="H6" s="97">
        <f ca="1">TODAY()</f>
        <v>45679</v>
      </c>
      <c r="I6" s="97"/>
    </row>
    <row r="7" spans="1:10" ht="27" hidden="1" customHeight="1" x14ac:dyDescent="0.25">
      <c r="A7" s="98" t="s">
        <v>105</v>
      </c>
      <c r="B7" s="99" t="s">
        <v>106</v>
      </c>
      <c r="C7" s="99" t="s">
        <v>105</v>
      </c>
      <c r="D7" s="100" t="s">
        <v>107</v>
      </c>
      <c r="E7" s="100" t="s">
        <v>108</v>
      </c>
      <c r="F7" s="100" t="s">
        <v>109</v>
      </c>
      <c r="G7" s="100" t="s">
        <v>110</v>
      </c>
      <c r="H7" s="101" t="s">
        <v>111</v>
      </c>
      <c r="I7" s="102"/>
    </row>
    <row r="8" spans="1:10" ht="14.25" hidden="1" thickBot="1" x14ac:dyDescent="0.3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4.25" hidden="1" thickBot="1" x14ac:dyDescent="0.3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4.25" hidden="1" thickBot="1" x14ac:dyDescent="0.3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4.25" hidden="1" thickBot="1" x14ac:dyDescent="0.3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4.25" hidden="1" thickBot="1" x14ac:dyDescent="0.3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4.25" hidden="1" thickBot="1" x14ac:dyDescent="0.3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4.25" hidden="1" thickBot="1" x14ac:dyDescent="0.3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105</v>
      </c>
      <c r="B16" s="99" t="s">
        <v>114</v>
      </c>
      <c r="C16" s="99" t="s">
        <v>105</v>
      </c>
      <c r="D16" s="100" t="s">
        <v>107</v>
      </c>
      <c r="E16" s="100" t="s">
        <v>108</v>
      </c>
      <c r="F16" s="100" t="s">
        <v>109</v>
      </c>
      <c r="G16" s="100" t="s">
        <v>110</v>
      </c>
      <c r="H16" s="101" t="s">
        <v>111</v>
      </c>
      <c r="I16" s="102"/>
      <c r="J16" s="108"/>
    </row>
    <row r="17" spans="1:12" ht="13.5" x14ac:dyDescent="0.25">
      <c r="A17" s="103">
        <v>1</v>
      </c>
      <c r="B17" s="91" t="s">
        <v>91</v>
      </c>
      <c r="C17" s="104">
        <f>+A17</f>
        <v>1</v>
      </c>
      <c r="D17" s="104" t="s">
        <v>155</v>
      </c>
      <c r="E17" s="105">
        <f>+'Costo Rosquete '!H53</f>
        <v>1651.21578</v>
      </c>
      <c r="F17" s="105">
        <f>IFERROR(E17*C17,"")</f>
        <v>1651.21578</v>
      </c>
      <c r="G17" s="106">
        <f t="shared" ref="G17:G24" si="3">IFERROR(F17/$F$66,"")</f>
        <v>0.71638730054456135</v>
      </c>
      <c r="H17" s="107"/>
      <c r="I17" s="107"/>
      <c r="J17" s="108"/>
    </row>
    <row r="18" spans="1:12" ht="13.5" hidden="1" x14ac:dyDescent="0.25">
      <c r="A18" s="103"/>
      <c r="B18" s="91" t="str">
        <f>IFERROR(VLOOKUP(H18,[1]SEMIELABORADOS!$A$2:$M$6000,2,0),"")</f>
        <v/>
      </c>
      <c r="C18" s="104">
        <f t="shared" ref="C18:C24" si="4">+A18</f>
        <v>0</v>
      </c>
      <c r="D18" s="104" t="str">
        <f>IFERROR(VLOOKUP(H18,[1]SEMIELABORADOS!$A$2:$M$6000,6,0),"")</f>
        <v/>
      </c>
      <c r="E18" s="105" t="str">
        <f>IFERROR(VLOOKUP(H18,[1]SEMIELABORADOS!$A$2:$H$65536,8,0),"")</f>
        <v/>
      </c>
      <c r="F18" s="105" t="str">
        <f t="shared" ref="F18:F24" si="5">IFERROR(E18*C18,"")</f>
        <v/>
      </c>
      <c r="G18" s="106" t="str">
        <f t="shared" si="3"/>
        <v/>
      </c>
      <c r="H18" s="107"/>
      <c r="I18" s="107"/>
      <c r="J18" s="108"/>
    </row>
    <row r="19" spans="1:12" ht="13.5" hidden="1" x14ac:dyDescent="0.25">
      <c r="A19" s="103"/>
      <c r="B19" s="91" t="str">
        <f>IFERROR(VLOOKUP(H19,[1]SEMIELABORADOS!$A$2:$M$6000,2,0),"")</f>
        <v/>
      </c>
      <c r="C19" s="104">
        <f>+A19</f>
        <v>0</v>
      </c>
      <c r="D19" s="104" t="str">
        <f>IFERROR(VLOOKUP(H19,[1]SEMIELABORADOS!$A$2:$M$6000,6,0),"")</f>
        <v/>
      </c>
      <c r="E19" s="105" t="str">
        <f>IFERROR(VLOOKUP(H19,[1]SEMIELABORADOS!$A$2:$H$65536,8,0),"")</f>
        <v/>
      </c>
      <c r="F19" s="105" t="str">
        <f>IFERROR(E19*C19,"")</f>
        <v/>
      </c>
      <c r="G19" s="106" t="str">
        <f t="shared" si="3"/>
        <v/>
      </c>
      <c r="H19" s="107"/>
      <c r="I19" s="107"/>
      <c r="J19" s="108"/>
    </row>
    <row r="20" spans="1:12" ht="13.5" hidden="1" x14ac:dyDescent="0.25">
      <c r="A20" s="103"/>
      <c r="B20" s="91" t="str">
        <f>IFERROR(VLOOKUP(H20,[1]SEMIELABORADOS!$A$2:$M$6000,2,0),"")</f>
        <v/>
      </c>
      <c r="C20" s="104">
        <f>+A20</f>
        <v>0</v>
      </c>
      <c r="D20" s="104" t="str">
        <f>IFERROR(VLOOKUP(H20,[1]SEMIELABORADOS!$A$2:$M$6000,6,0),"")</f>
        <v/>
      </c>
      <c r="E20" s="105" t="str">
        <f>IFERROR(VLOOKUP(H20,[1]SEMIELABORADOS!$A$2:$H$65536,8,0),"")</f>
        <v/>
      </c>
      <c r="F20" s="105" t="str">
        <f>IFERROR(E20*C20,"")</f>
        <v/>
      </c>
      <c r="G20" s="106" t="str">
        <f t="shared" si="3"/>
        <v/>
      </c>
      <c r="H20" s="107"/>
      <c r="I20" s="107"/>
      <c r="J20" s="108"/>
    </row>
    <row r="21" spans="1:12" ht="13.5" hidden="1" x14ac:dyDescent="0.25">
      <c r="A21" s="103"/>
      <c r="B21" s="91" t="str">
        <f>IFERROR(VLOOKUP(H21,[1]SEMIELABORADOS!$A$2:$M$6000,2,0),"")</f>
        <v/>
      </c>
      <c r="C21" s="104">
        <f>+A21</f>
        <v>0</v>
      </c>
      <c r="D21" s="104" t="str">
        <f>IFERROR(VLOOKUP(H21,[1]SEMIELABORADOS!$A$2:$M$6000,6,0),"")</f>
        <v/>
      </c>
      <c r="E21" s="105" t="str">
        <f>IFERROR(VLOOKUP(H21,[1]SEMIELABORADOS!$A$2:$H$65536,8,0),"")</f>
        <v/>
      </c>
      <c r="F21" s="105" t="str">
        <f>IFERROR(E21*C21,"")</f>
        <v/>
      </c>
      <c r="G21" s="106" t="str">
        <f t="shared" si="3"/>
        <v/>
      </c>
      <c r="H21" s="107"/>
      <c r="I21" s="107"/>
      <c r="J21" s="108"/>
    </row>
    <row r="22" spans="1:12" ht="13.5" hidden="1" x14ac:dyDescent="0.25">
      <c r="A22" s="103"/>
      <c r="B22" s="91" t="str">
        <f>IFERROR(VLOOKUP(H22,[1]SEMIELABORADOS!$A$2:$M$6000,2,0),"")</f>
        <v/>
      </c>
      <c r="C22" s="104">
        <f t="shared" si="4"/>
        <v>0</v>
      </c>
      <c r="D22" s="104" t="str">
        <f>IFERROR(VLOOKUP(H22,[1]SEMIELABORADOS!$A$2:$M$6000,6,0),"")</f>
        <v/>
      </c>
      <c r="E22" s="105" t="str">
        <f>IFERROR(VLOOKUP(H22,[1]SEMIELABORADOS!$A$2:$H$65536,8,0),"")</f>
        <v/>
      </c>
      <c r="F22" s="105" t="str">
        <f t="shared" si="5"/>
        <v/>
      </c>
      <c r="G22" s="106" t="str">
        <f t="shared" si="3"/>
        <v/>
      </c>
      <c r="H22" s="107"/>
      <c r="I22" s="107"/>
      <c r="J22" s="108"/>
    </row>
    <row r="23" spans="1:12" ht="13.5" hidden="1" x14ac:dyDescent="0.25">
      <c r="A23" s="103"/>
      <c r="B23" s="91" t="str">
        <f>IFERROR(VLOOKUP(H23,[1]SEMIELABORADOS!$A$2:$M$6000,2,0),"")</f>
        <v/>
      </c>
      <c r="C23" s="104">
        <f t="shared" si="4"/>
        <v>0</v>
      </c>
      <c r="D23" s="104" t="str">
        <f>IFERROR(VLOOKUP(H23,[1]SEMIELABORADOS!$A$2:$M$6000,6,0),"")</f>
        <v/>
      </c>
      <c r="E23" s="105" t="str">
        <f>IFERROR(VLOOKUP(H23,[1]SEMIELABORADOS!$A$2:$H$65536,8,0),"")</f>
        <v/>
      </c>
      <c r="F23" s="105" t="str">
        <f t="shared" si="5"/>
        <v/>
      </c>
      <c r="G23" s="106" t="str">
        <f t="shared" si="3"/>
        <v/>
      </c>
      <c r="H23" s="107"/>
      <c r="I23" s="107"/>
      <c r="J23" s="108"/>
    </row>
    <row r="24" spans="1:12" ht="13.5" hidden="1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105</v>
      </c>
      <c r="B26" s="99" t="s">
        <v>53</v>
      </c>
      <c r="C26" s="99" t="s">
        <v>105</v>
      </c>
      <c r="D26" s="100" t="s">
        <v>107</v>
      </c>
      <c r="E26" s="100" t="s">
        <v>108</v>
      </c>
      <c r="F26" s="100" t="s">
        <v>109</v>
      </c>
      <c r="G26" s="100" t="s">
        <v>110</v>
      </c>
      <c r="H26" s="101" t="s">
        <v>111</v>
      </c>
      <c r="I26" s="102"/>
    </row>
    <row r="27" spans="1:12" ht="13.5" x14ac:dyDescent="0.25">
      <c r="A27" s="103">
        <v>6</v>
      </c>
      <c r="B27" s="109" t="str">
        <f>IFERROR(VLOOKUP(H27,'[1]Consolidado MP Planta'!$A$2:$M$823,3,0),"")</f>
        <v>BOLSA CELOFAN 6 X 9 (KILO)</v>
      </c>
      <c r="C27" s="104">
        <f t="shared" ref="C27:C32" si="6">+A27</f>
        <v>6</v>
      </c>
      <c r="D27" s="105" t="str">
        <f>IFERROR(VLOOKUP(H27,'[1]Consolidado MP Planta'!$A$2:$M$823,13,0),"")</f>
        <v>Unidades</v>
      </c>
      <c r="E27" s="105">
        <v>14.89</v>
      </c>
      <c r="F27" s="105">
        <f t="shared" ref="F27:F32" si="7">IFERROR(C27*E27,"")</f>
        <v>89.34</v>
      </c>
      <c r="G27" s="106">
        <f t="shared" ref="G27:G32" si="8">IFERROR(F27/$F$66,"")</f>
        <v>3.8760555831564979E-2</v>
      </c>
      <c r="H27" s="110" t="s">
        <v>97</v>
      </c>
      <c r="I27" s="110"/>
      <c r="J27" s="108"/>
      <c r="K27" s="356"/>
      <c r="L27" s="356"/>
    </row>
    <row r="28" spans="1:12" ht="13.5" x14ac:dyDescent="0.25">
      <c r="A28" s="103">
        <v>6</v>
      </c>
      <c r="B28" s="109" t="str">
        <f>IFERROR(VLOOKUP(H28,'[1]Consolidado MP Planta'!$A$2:$M$823,3,0),"")</f>
        <v>ETIQUETA BLANCA R-153 (UND)</v>
      </c>
      <c r="C28" s="104">
        <f t="shared" si="6"/>
        <v>6</v>
      </c>
      <c r="D28" s="105" t="str">
        <f>IFERROR(VLOOKUP(H28,'[1]Consolidado MP Planta'!$A$2:$M$823,13,0),"")</f>
        <v>Und</v>
      </c>
      <c r="E28" s="105">
        <v>39</v>
      </c>
      <c r="F28" s="105">
        <f t="shared" si="7"/>
        <v>234</v>
      </c>
      <c r="G28" s="106">
        <f t="shared" si="8"/>
        <v>0.10152193938421988</v>
      </c>
      <c r="H28" s="110" t="s">
        <v>157</v>
      </c>
      <c r="I28" s="110"/>
      <c r="J28" s="108"/>
      <c r="K28" s="356"/>
      <c r="L28" s="356"/>
    </row>
    <row r="29" spans="1:12" ht="13.5" x14ac:dyDescent="0.25">
      <c r="A29" s="103">
        <v>2</v>
      </c>
      <c r="B29" s="109" t="str">
        <f>IFERROR(VLOOKUP(H29,'[1]Consolidado MP Planta'!$A$2:$M$823,3,0),"")</f>
        <v>CAJA BLANCA MINI (PAQ:100 UND)</v>
      </c>
      <c r="C29" s="104">
        <f t="shared" si="6"/>
        <v>2</v>
      </c>
      <c r="D29" s="105" t="str">
        <f>IFERROR(VLOOKUP(H29,'[1]Consolidado MP Planta'!$A$2:$M$823,13,0),"")</f>
        <v>Und</v>
      </c>
      <c r="E29" s="105">
        <v>25.75</v>
      </c>
      <c r="F29" s="105">
        <f t="shared" si="7"/>
        <v>51.5</v>
      </c>
      <c r="G29" s="106">
        <f t="shared" si="8"/>
        <v>2.2343503753364632E-2</v>
      </c>
      <c r="H29" s="110" t="s">
        <v>98</v>
      </c>
      <c r="I29" s="110"/>
      <c r="J29" s="108"/>
      <c r="K29" s="356"/>
      <c r="L29" s="356"/>
    </row>
    <row r="30" spans="1:12" ht="13.5" hidden="1" x14ac:dyDescent="0.25">
      <c r="A30" s="103"/>
      <c r="B30" s="109" t="str">
        <f>IFERROR(VLOOKUP(H30,'[1]Consolidado MP Planta'!$A$2:$M$823,3,0),"")</f>
        <v/>
      </c>
      <c r="C30" s="104">
        <f t="shared" si="6"/>
        <v>0</v>
      </c>
      <c r="D30" s="105" t="str">
        <f>IFERROR(VLOOKUP(H30,'[1]Consolidado MP Planta'!$A$2:$M$823,13,0),"")</f>
        <v/>
      </c>
      <c r="E30" s="105" t="str">
        <f>IFERROR(VLOOKUP(H30,'[1]Consolidado MP Planta'!$A$2:$M$823,12,0),"")</f>
        <v/>
      </c>
      <c r="F30" s="105" t="str">
        <f t="shared" si="7"/>
        <v/>
      </c>
      <c r="G30" s="106" t="str">
        <f t="shared" si="8"/>
        <v/>
      </c>
      <c r="H30" s="110"/>
      <c r="I30" s="110"/>
      <c r="J30" s="108"/>
      <c r="K30" s="356"/>
      <c r="L30" s="356"/>
    </row>
    <row r="31" spans="1:12" ht="13.5" hidden="1" x14ac:dyDescent="0.25">
      <c r="A31" s="103"/>
      <c r="B31" s="109" t="str">
        <f>IFERROR(VLOOKUP(H31,'[1]Consolidado MP Planta'!$A$2:$M$823,3,0),"")</f>
        <v/>
      </c>
      <c r="C31" s="104">
        <f t="shared" si="6"/>
        <v>0</v>
      </c>
      <c r="D31" s="105" t="str">
        <f>IFERROR(VLOOKUP(H31,'[1]Consolidado MP Planta'!$A$2:$M$823,13,0),"")</f>
        <v/>
      </c>
      <c r="E31" s="105" t="str">
        <f>IFERROR(VLOOKUP(H31,'[1]Consolidado MP Planta'!$A$2:$M$823,12,0),"")</f>
        <v/>
      </c>
      <c r="F31" s="105" t="str">
        <f t="shared" si="7"/>
        <v/>
      </c>
      <c r="G31" s="106" t="str">
        <f t="shared" si="8"/>
        <v/>
      </c>
      <c r="H31" s="110"/>
      <c r="I31" s="110"/>
      <c r="J31" s="108"/>
      <c r="K31" s="111"/>
      <c r="L31" s="112"/>
    </row>
    <row r="32" spans="1:12" ht="13.5" hidden="1" x14ac:dyDescent="0.25">
      <c r="A32" s="103"/>
      <c r="B32" s="109" t="str">
        <f>IFERROR(VLOOKUP(H32,'[1]Consolidado MP Planta'!$A$2:$M$823,3,0),"")</f>
        <v/>
      </c>
      <c r="C32" s="104">
        <f t="shared" si="6"/>
        <v>0</v>
      </c>
      <c r="D32" s="105" t="str">
        <f>IFERROR(VLOOKUP(H32,'[1]Consolidado MP Planta'!$A$2:$M$823,13,0),"")</f>
        <v/>
      </c>
      <c r="E32" s="105" t="str">
        <f>IFERROR(VLOOKUP(H32,'[1]Consolidado MP Planta'!$A$2:$M$823,12,0),"")</f>
        <v/>
      </c>
      <c r="F32" s="105" t="str">
        <f t="shared" si="7"/>
        <v/>
      </c>
      <c r="G32" s="106" t="str">
        <f t="shared" si="8"/>
        <v/>
      </c>
      <c r="H32" s="110"/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 x14ac:dyDescent="0.25">
      <c r="A34" s="98" t="s">
        <v>105</v>
      </c>
      <c r="B34" s="99" t="s">
        <v>115</v>
      </c>
      <c r="C34" s="99" t="s">
        <v>105</v>
      </c>
      <c r="D34" s="100" t="s">
        <v>107</v>
      </c>
      <c r="E34" s="100" t="s">
        <v>108</v>
      </c>
      <c r="F34" s="100" t="s">
        <v>109</v>
      </c>
      <c r="G34" s="100" t="s">
        <v>110</v>
      </c>
      <c r="H34" s="101" t="s">
        <v>111</v>
      </c>
      <c r="I34" s="110"/>
      <c r="J34" s="108"/>
    </row>
    <row r="35" spans="1:13" ht="13.5" x14ac:dyDescent="0.25">
      <c r="A35" s="103">
        <f>+A17</f>
        <v>1</v>
      </c>
      <c r="B35" s="109" t="s">
        <v>91</v>
      </c>
      <c r="C35" s="104">
        <f>+A35</f>
        <v>1</v>
      </c>
      <c r="D35" s="105" t="s">
        <v>156</v>
      </c>
      <c r="E35" s="105">
        <f>+'[3]Costo Rosquete'!H54</f>
        <v>1.8404114285714286</v>
      </c>
      <c r="F35" s="105">
        <f>IFERROR(E35*C35,"")</f>
        <v>1.8404114285714286</v>
      </c>
      <c r="G35" s="106">
        <f t="shared" ref="G35:G41" si="9">IFERROR(F35/$F$66,"")</f>
        <v>7.9847067304894906E-4</v>
      </c>
      <c r="H35" s="110"/>
      <c r="I35" s="110"/>
      <c r="J35" s="108"/>
    </row>
    <row r="36" spans="1:13" ht="13.5" hidden="1" x14ac:dyDescent="0.25">
      <c r="A36" s="103">
        <f t="shared" ref="A36:A41" si="10">+A18</f>
        <v>0</v>
      </c>
      <c r="B36" s="109" t="str">
        <f>IFERROR(VLOOKUP(H36,[1]SEMIELABORADOS!$A$2:$M$6000,2,0),"")</f>
        <v/>
      </c>
      <c r="C36" s="104">
        <f t="shared" ref="C36:C41" si="11">+A36</f>
        <v>0</v>
      </c>
      <c r="D36" s="105" t="str">
        <f>IFERROR(VLOOKUP(H36,[1]SEMIELABORADOS!$A$2:$M$6000,6,0),"")</f>
        <v/>
      </c>
      <c r="E36" s="105" t="str">
        <f>IFERROR(VLOOKUP(H36,[1]SEMIELABORADOS!$A$2:$M$65536,10,0),"")</f>
        <v/>
      </c>
      <c r="F36" s="105" t="str">
        <f t="shared" ref="F36:F41" si="12">IFERROR(E36*C36,"")</f>
        <v/>
      </c>
      <c r="G36" s="106" t="str">
        <f t="shared" si="9"/>
        <v/>
      </c>
      <c r="H36" s="110"/>
      <c r="I36" s="110"/>
      <c r="J36" s="108"/>
    </row>
    <row r="37" spans="1:13" ht="13.5" hidden="1" x14ac:dyDescent="0.25">
      <c r="A37" s="103">
        <f t="shared" si="10"/>
        <v>0</v>
      </c>
      <c r="B37" s="109" t="str">
        <f>IFERROR(VLOOKUP(H37,[1]SEMIELABORADOS!$A$2:$M$6000,2,0),"")</f>
        <v/>
      </c>
      <c r="C37" s="104">
        <f t="shared" si="11"/>
        <v>0</v>
      </c>
      <c r="D37" s="105" t="str">
        <f>IFERROR(VLOOKUP(H37,[1]SEMIELABORADOS!$A$2:$M$6000,6,0),"")</f>
        <v/>
      </c>
      <c r="E37" s="105" t="str">
        <f>IFERROR(VLOOKUP(H37,[1]SEMIELABORADOS!$A$2:$M$65536,10,0),"")</f>
        <v/>
      </c>
      <c r="F37" s="105" t="str">
        <f t="shared" si="12"/>
        <v/>
      </c>
      <c r="G37" s="106" t="str">
        <f t="shared" si="9"/>
        <v/>
      </c>
      <c r="H37" s="110"/>
      <c r="I37" s="110"/>
      <c r="J37" s="108"/>
    </row>
    <row r="38" spans="1:13" ht="13.5" hidden="1" x14ac:dyDescent="0.25">
      <c r="A38" s="103">
        <f t="shared" si="10"/>
        <v>0</v>
      </c>
      <c r="B38" s="109" t="str">
        <f>IFERROR(VLOOKUP(H38,[1]SEMIELABORADOS!$A$2:$M$6000,2,0),"")</f>
        <v/>
      </c>
      <c r="C38" s="104">
        <f>+A38</f>
        <v>0</v>
      </c>
      <c r="D38" s="105" t="str">
        <f>IFERROR(VLOOKUP(H38,[1]SEMIELABORADOS!$A$2:$M$6000,6,0),"")</f>
        <v/>
      </c>
      <c r="E38" s="105" t="str">
        <f>IFERROR(VLOOKUP(H38,[1]SEMIELABORADOS!$A$2:$M$65536,10,0),"")</f>
        <v/>
      </c>
      <c r="F38" s="105" t="str">
        <f>IFERROR(E38*C38,"")</f>
        <v/>
      </c>
      <c r="G38" s="106" t="str">
        <f t="shared" si="9"/>
        <v/>
      </c>
      <c r="H38" s="110"/>
      <c r="I38" s="110"/>
      <c r="J38" s="108"/>
    </row>
    <row r="39" spans="1:13" ht="13.5" hidden="1" x14ac:dyDescent="0.25">
      <c r="A39" s="103">
        <f t="shared" si="10"/>
        <v>0</v>
      </c>
      <c r="B39" s="109" t="str">
        <f>IFERROR(VLOOKUP(H39,[1]SEMIELABORADOS!$A$2:$M$6000,2,0),"")</f>
        <v/>
      </c>
      <c r="C39" s="104">
        <f>+A39</f>
        <v>0</v>
      </c>
      <c r="D39" s="105" t="str">
        <f>IFERROR(VLOOKUP(H39,[1]SEMIELABORADOS!$A$2:$M$6000,6,0),"")</f>
        <v/>
      </c>
      <c r="E39" s="105" t="str">
        <f>IFERROR(VLOOKUP(H39,[1]SEMIELABORADOS!$A$2:$M$65536,10,0),"")</f>
        <v/>
      </c>
      <c r="F39" s="105" t="str">
        <f>IFERROR(E39*C39,"")</f>
        <v/>
      </c>
      <c r="G39" s="106" t="str">
        <f t="shared" si="9"/>
        <v/>
      </c>
      <c r="H39" s="110"/>
      <c r="I39" s="110"/>
      <c r="J39" s="108"/>
    </row>
    <row r="40" spans="1:13" ht="13.5" hidden="1" x14ac:dyDescent="0.25">
      <c r="A40" s="103">
        <f t="shared" si="10"/>
        <v>0</v>
      </c>
      <c r="B40" s="109" t="str">
        <f>IFERROR(VLOOKUP(H40,[1]SEMIELABORADOS!$A$2:$M$6000,2,0),"")</f>
        <v/>
      </c>
      <c r="C40" s="104">
        <f t="shared" si="11"/>
        <v>0</v>
      </c>
      <c r="D40" s="105" t="str">
        <f>IFERROR(VLOOKUP(H40,[1]SEMIELABORADOS!$A$2:$M$6000,6,0),"")</f>
        <v/>
      </c>
      <c r="E40" s="105" t="str">
        <f>IFERROR(VLOOKUP(H40,[1]SEMIELABORADOS!$A$2:$M$65536,10,0),"")</f>
        <v/>
      </c>
      <c r="F40" s="105" t="str">
        <f t="shared" si="12"/>
        <v/>
      </c>
      <c r="G40" s="106" t="str">
        <f t="shared" si="9"/>
        <v/>
      </c>
      <c r="H40" s="110"/>
      <c r="I40" s="110"/>
      <c r="J40" s="108"/>
    </row>
    <row r="41" spans="1:13" ht="13.5" hidden="1" x14ac:dyDescent="0.25">
      <c r="A41" s="103">
        <f t="shared" si="10"/>
        <v>0</v>
      </c>
      <c r="B41" s="109" t="str">
        <f>IFERROR(VLOOKUP(H41,[1]SEMIELABORADOS!$A$2:$M$6000,2,0),"")</f>
        <v/>
      </c>
      <c r="C41" s="104">
        <f t="shared" si="11"/>
        <v>0</v>
      </c>
      <c r="D41" s="105" t="str">
        <f>IFERROR(VLOOKUP(H41,[1]SEMIELABORADOS!$A$2:$M$6000,6,0),"")</f>
        <v/>
      </c>
      <c r="E41" s="105" t="str">
        <f>IFERROR(VLOOKUP(H41,[1]SEMIELABORADOS!$A$2:$M$65536,10,0),"")</f>
        <v/>
      </c>
      <c r="F41" s="105" t="str">
        <f t="shared" si="12"/>
        <v/>
      </c>
      <c r="G41" s="106" t="str">
        <f t="shared" si="9"/>
        <v/>
      </c>
      <c r="H41" s="110"/>
      <c r="I41" s="110"/>
      <c r="J41" s="108"/>
    </row>
    <row r="42" spans="1:13" ht="14.25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105</v>
      </c>
      <c r="B43" s="99" t="s">
        <v>116</v>
      </c>
      <c r="C43" s="99" t="s">
        <v>105</v>
      </c>
      <c r="D43" s="100" t="s">
        <v>107</v>
      </c>
      <c r="E43" s="100" t="s">
        <v>108</v>
      </c>
      <c r="F43" s="100" t="s">
        <v>109</v>
      </c>
      <c r="G43" s="100" t="s">
        <v>110</v>
      </c>
      <c r="H43" s="101" t="s">
        <v>111</v>
      </c>
      <c r="I43" s="102"/>
      <c r="J43" s="108"/>
    </row>
    <row r="44" spans="1:13" ht="13.5" x14ac:dyDescent="0.25">
      <c r="A44" s="103">
        <f>+A35</f>
        <v>1</v>
      </c>
      <c r="B44" s="109" t="s">
        <v>91</v>
      </c>
      <c r="C44" s="104">
        <f>+A44</f>
        <v>1</v>
      </c>
      <c r="D44" s="105" t="s">
        <v>156</v>
      </c>
      <c r="E44" s="105">
        <f>+'[3]Costo Rosquete'!H56</f>
        <v>34.010999999999996</v>
      </c>
      <c r="F44" s="105">
        <f>IFERROR(E44*C44,"")</f>
        <v>34.010999999999996</v>
      </c>
      <c r="G44" s="106">
        <f>IFERROR(F44/$F$66,"")</f>
        <v>1.4755823420498726E-2</v>
      </c>
      <c r="H44" s="110"/>
      <c r="I44" s="102"/>
      <c r="J44" s="108"/>
    </row>
    <row r="45" spans="1:13" ht="13.5" hidden="1" x14ac:dyDescent="0.25">
      <c r="A45" s="103">
        <f t="shared" ref="A45:A50" si="13">+A36</f>
        <v>0</v>
      </c>
      <c r="B45" s="109" t="str">
        <f>IFERROR(VLOOKUP(H45,[1]SEMIELABORADOS!$A$2:$M$6000,2,0),"")</f>
        <v/>
      </c>
      <c r="C45" s="104">
        <f t="shared" ref="C45:C50" si="14">+A45</f>
        <v>0</v>
      </c>
      <c r="D45" s="105" t="str">
        <f>IFERROR(VLOOKUP(H45,[1]SEMIELABORADOS!$A$2:$M$6000,6,0),"")</f>
        <v/>
      </c>
      <c r="E45" s="105" t="str">
        <f>IFERROR(VLOOKUP(H45,[1]SEMIELABORADOS!$A$2:$M$65536,12,0),"")</f>
        <v/>
      </c>
      <c r="F45" s="105" t="str">
        <f t="shared" ref="F45:F50" si="15">IFERROR(E45*C45,"")</f>
        <v/>
      </c>
      <c r="G45" s="106" t="str">
        <f t="shared" ref="G45:G50" si="16">IFERROR(F45/$F$66,"")</f>
        <v/>
      </c>
      <c r="H45" s="110"/>
      <c r="I45" s="102"/>
      <c r="J45" s="108"/>
      <c r="M45" s="113"/>
    </row>
    <row r="46" spans="1:13" ht="13.5" hidden="1" x14ac:dyDescent="0.25">
      <c r="A46" s="103">
        <f t="shared" si="13"/>
        <v>0</v>
      </c>
      <c r="B46" s="109" t="str">
        <f>IFERROR(VLOOKUP(H46,[1]SEMIELABORADOS!$A$2:$M$6000,2,0),"")</f>
        <v/>
      </c>
      <c r="C46" s="104">
        <f t="shared" si="14"/>
        <v>0</v>
      </c>
      <c r="D46" s="105" t="str">
        <f>IFERROR(VLOOKUP(H46,[1]SEMIELABORADOS!$A$2:$M$6000,6,0),"")</f>
        <v/>
      </c>
      <c r="E46" s="105" t="str">
        <f>IFERROR(VLOOKUP(H46,[1]SEMIELABORADOS!$A$2:$M$65536,12,0),"")</f>
        <v/>
      </c>
      <c r="F46" s="105" t="str">
        <f t="shared" si="15"/>
        <v/>
      </c>
      <c r="G46" s="106" t="str">
        <f t="shared" si="16"/>
        <v/>
      </c>
      <c r="H46" s="110"/>
      <c r="I46" s="102"/>
      <c r="J46" s="108"/>
    </row>
    <row r="47" spans="1:13" ht="13.5" hidden="1" x14ac:dyDescent="0.25">
      <c r="A47" s="103">
        <f t="shared" si="13"/>
        <v>0</v>
      </c>
      <c r="B47" s="109" t="str">
        <f>IFERROR(VLOOKUP(H47,[1]SEMIELABORADOS!$A$2:$M$6000,2,0),"")</f>
        <v/>
      </c>
      <c r="C47" s="104">
        <f t="shared" si="14"/>
        <v>0</v>
      </c>
      <c r="D47" s="105" t="str">
        <f>IFERROR(VLOOKUP(H47,[1]SEMIELABORADOS!$A$2:$M$6000,6,0),"")</f>
        <v/>
      </c>
      <c r="E47" s="105" t="str">
        <f>IFERROR(VLOOKUP(H47,[1]SEMIELABORADOS!$A$2:$M$65536,12,0),"")</f>
        <v/>
      </c>
      <c r="F47" s="105" t="str">
        <f t="shared" si="15"/>
        <v/>
      </c>
      <c r="G47" s="106" t="str">
        <f t="shared" si="16"/>
        <v/>
      </c>
      <c r="H47" s="110"/>
      <c r="I47" s="102"/>
      <c r="J47" s="108"/>
    </row>
    <row r="48" spans="1:13" ht="13.5" hidden="1" x14ac:dyDescent="0.25">
      <c r="A48" s="103">
        <f t="shared" si="13"/>
        <v>0</v>
      </c>
      <c r="B48" s="109" t="str">
        <f>IFERROR(VLOOKUP(H48,[1]SEMIELABORADOS!$A$2:$M$6000,2,0),"")</f>
        <v/>
      </c>
      <c r="C48" s="104">
        <f t="shared" si="14"/>
        <v>0</v>
      </c>
      <c r="D48" s="105" t="str">
        <f>IFERROR(VLOOKUP(H48,[1]SEMIELABORADOS!$A$2:$M$6000,6,0),"")</f>
        <v/>
      </c>
      <c r="E48" s="105" t="str">
        <f>IFERROR(VLOOKUP(H48,[1]SEMIELABORADOS!$A$2:$M$65536,12,0),"")</f>
        <v/>
      </c>
      <c r="F48" s="105" t="str">
        <f t="shared" si="15"/>
        <v/>
      </c>
      <c r="G48" s="106" t="str">
        <f t="shared" si="16"/>
        <v/>
      </c>
      <c r="H48" s="110"/>
      <c r="I48" s="102"/>
      <c r="J48" s="108"/>
    </row>
    <row r="49" spans="1:17" ht="13.5" hidden="1" x14ac:dyDescent="0.25">
      <c r="A49" s="103">
        <f t="shared" si="13"/>
        <v>0</v>
      </c>
      <c r="B49" s="109" t="str">
        <f>IFERROR(VLOOKUP(H49,[1]SEMIELABORADOS!$A$2:$M$6000,2,0),"")</f>
        <v/>
      </c>
      <c r="C49" s="104">
        <f t="shared" si="14"/>
        <v>0</v>
      </c>
      <c r="D49" s="105" t="str">
        <f>IFERROR(VLOOKUP(H49,[1]SEMIELABORADOS!$A$2:$M$6000,6,0),"")</f>
        <v/>
      </c>
      <c r="E49" s="105" t="str">
        <f>IFERROR(VLOOKUP(H49,[1]SEMIELABORADOS!$A$2:$M$65536,12,0),"")</f>
        <v/>
      </c>
      <c r="F49" s="105" t="str">
        <f t="shared" si="15"/>
        <v/>
      </c>
      <c r="G49" s="106" t="str">
        <f t="shared" si="16"/>
        <v/>
      </c>
      <c r="H49" s="110"/>
      <c r="I49" s="102"/>
      <c r="J49" s="108"/>
    </row>
    <row r="50" spans="1:17" ht="13.5" hidden="1" x14ac:dyDescent="0.25">
      <c r="A50" s="103">
        <f t="shared" si="13"/>
        <v>0</v>
      </c>
      <c r="B50" s="109" t="str">
        <f>IFERROR(VLOOKUP(H50,[1]SEMIELABORADOS!$A$2:$M$6000,2,0),"")</f>
        <v/>
      </c>
      <c r="C50" s="104">
        <f t="shared" si="14"/>
        <v>0</v>
      </c>
      <c r="D50" s="105" t="str">
        <f>IFERROR(VLOOKUP(H50,[1]SEMIELABORADOS!$A$2:$M$6000,6,0),"")</f>
        <v/>
      </c>
      <c r="E50" s="105" t="str">
        <f>IFERROR(VLOOKUP(H50,[1]SEMIELABORADOS!$A$2:$M$65536,12,0),"")</f>
        <v/>
      </c>
      <c r="F50" s="105" t="str">
        <f t="shared" si="15"/>
        <v/>
      </c>
      <c r="G50" s="106" t="str">
        <f t="shared" si="16"/>
        <v/>
      </c>
      <c r="H50" s="109"/>
      <c r="I50" s="102"/>
      <c r="J50" s="108"/>
    </row>
    <row r="51" spans="1:17" ht="13.5" x14ac:dyDescent="0.25">
      <c r="A51" s="103">
        <v>1</v>
      </c>
      <c r="B51" s="109" t="s">
        <v>117</v>
      </c>
      <c r="C51" s="104">
        <f>+A51</f>
        <v>1</v>
      </c>
      <c r="D51" s="104" t="s">
        <v>118</v>
      </c>
      <c r="E51" s="105">
        <f>+F65</f>
        <v>244</v>
      </c>
      <c r="F51" s="105">
        <f>IFERROR(C51*E51,"")</f>
        <v>244</v>
      </c>
      <c r="G51" s="106">
        <f>IFERROR(F51/$F$66,"")</f>
        <v>0.10586048380234894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366" t="s">
        <v>119</v>
      </c>
      <c r="C53" s="366"/>
      <c r="D53" s="366"/>
      <c r="E53" s="366"/>
      <c r="F53" s="117">
        <f>SUM(F8:F14,F17:F24)</f>
        <v>1651.21578</v>
      </c>
      <c r="G53" s="106">
        <f>+F53/$F$66</f>
        <v>0.71638730054456135</v>
      </c>
      <c r="H53" s="118">
        <f>+F53/$D$60</f>
        <v>1651.21578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366" t="s">
        <v>120</v>
      </c>
      <c r="C54" s="366"/>
      <c r="D54" s="366"/>
      <c r="E54" s="366"/>
      <c r="F54" s="117">
        <f>SUM(F27:F32,F35:F41)</f>
        <v>376.68041142857146</v>
      </c>
      <c r="G54" s="106">
        <f>+F54/$F$66</f>
        <v>0.16342446964219845</v>
      </c>
      <c r="H54" s="118">
        <f>+F54/$D$60</f>
        <v>376.68041142857146</v>
      </c>
      <c r="I54" s="118"/>
      <c r="J54" s="122"/>
      <c r="K54" s="367" t="s">
        <v>121</v>
      </c>
      <c r="L54" s="368"/>
      <c r="M54" s="368"/>
      <c r="N54" s="368"/>
      <c r="O54" s="123">
        <f>+F55</f>
        <v>2027.8961914285715</v>
      </c>
      <c r="P54" s="123"/>
      <c r="Q54" s="124"/>
    </row>
    <row r="55" spans="1:17" x14ac:dyDescent="0.2">
      <c r="A55" s="115"/>
      <c r="B55" s="366" t="s">
        <v>122</v>
      </c>
      <c r="C55" s="366"/>
      <c r="D55" s="366"/>
      <c r="E55" s="366"/>
      <c r="F55" s="117">
        <f>+F53+F54</f>
        <v>2027.8961914285715</v>
      </c>
      <c r="G55" s="106">
        <f>+F55/$F$66</f>
        <v>0.87981177018675982</v>
      </c>
      <c r="H55" s="118">
        <f>+F55/$D$60</f>
        <v>2027.8961914285715</v>
      </c>
      <c r="I55" s="118"/>
      <c r="J55" s="125"/>
      <c r="K55" s="126"/>
      <c r="M55" s="127" t="s">
        <v>123</v>
      </c>
      <c r="N55" s="128"/>
      <c r="O55" s="123">
        <f>+H56</f>
        <v>278.01099999999997</v>
      </c>
      <c r="P55" s="123"/>
      <c r="Q55" s="124"/>
    </row>
    <row r="56" spans="1:17" ht="13.5" thickBot="1" x14ac:dyDescent="0.25">
      <c r="A56" s="115"/>
      <c r="B56" s="116"/>
      <c r="C56" s="366" t="s">
        <v>124</v>
      </c>
      <c r="D56" s="366"/>
      <c r="E56" s="366"/>
      <c r="F56" s="117">
        <f>SUM(F44:F51)</f>
        <v>278.01099999999997</v>
      </c>
      <c r="G56" s="106">
        <f>+F56/$F$66</f>
        <v>0.12061630722284765</v>
      </c>
      <c r="H56" s="118">
        <f>+F56/$D$60</f>
        <v>278.01099999999997</v>
      </c>
      <c r="I56" s="118"/>
      <c r="J56" s="125"/>
      <c r="K56" s="126"/>
      <c r="L56" s="126"/>
      <c r="M56" s="126" t="s">
        <v>125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126</v>
      </c>
      <c r="N57" s="135"/>
      <c r="O57" s="136">
        <f>SUM(O54:O56)</f>
        <v>2305.9071914285714</v>
      </c>
      <c r="P57" s="137"/>
      <c r="Q57" s="124"/>
    </row>
    <row r="58" spans="1:17" x14ac:dyDescent="0.2">
      <c r="B58" s="369" t="s">
        <v>127</v>
      </c>
      <c r="C58" s="369"/>
      <c r="D58" s="138">
        <v>840</v>
      </c>
      <c r="E58" s="139"/>
      <c r="G58" s="106"/>
      <c r="H58" s="132">
        <f>+H56/61</f>
        <v>4.5575573770491795</v>
      </c>
      <c r="I58" s="140"/>
      <c r="J58" s="125"/>
      <c r="K58" s="133"/>
      <c r="L58" s="126"/>
      <c r="M58" s="126" t="s">
        <v>128</v>
      </c>
      <c r="N58" s="141"/>
      <c r="O58" s="123">
        <f>+H59</f>
        <v>264.33832786885239</v>
      </c>
      <c r="P58" s="123"/>
      <c r="Q58" s="124"/>
    </row>
    <row r="59" spans="1:17" x14ac:dyDescent="0.2">
      <c r="B59" s="369" t="s">
        <v>129</v>
      </c>
      <c r="C59" s="369"/>
      <c r="D59" s="142">
        <v>840</v>
      </c>
      <c r="E59" s="139"/>
      <c r="G59" s="106"/>
      <c r="H59" s="132">
        <f>+H58*58</f>
        <v>264.33832786885239</v>
      </c>
      <c r="I59" s="140"/>
      <c r="J59" s="125"/>
      <c r="K59" s="133"/>
      <c r="L59" s="126"/>
      <c r="M59" s="370" t="s">
        <v>126</v>
      </c>
      <c r="N59" s="370"/>
      <c r="O59" s="123">
        <f>SUM(O57:O58)</f>
        <v>2570.2455192974239</v>
      </c>
      <c r="P59" s="123"/>
      <c r="Q59" s="124"/>
    </row>
    <row r="60" spans="1:17" ht="13.5" thickBot="1" x14ac:dyDescent="0.25">
      <c r="B60" s="362" t="s">
        <v>130</v>
      </c>
      <c r="C60" s="362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370"/>
      <c r="M60" s="370"/>
      <c r="N60" s="141"/>
      <c r="O60" s="123">
        <f>+O59*N60</f>
        <v>0</v>
      </c>
      <c r="P60" s="123"/>
      <c r="Q60" s="124"/>
    </row>
    <row r="61" spans="1:17" ht="13.5" thickBot="1" x14ac:dyDescent="0.25">
      <c r="B61" s="362" t="s">
        <v>131</v>
      </c>
      <c r="C61" s="362"/>
      <c r="D61" s="144"/>
      <c r="E61" s="139"/>
      <c r="F61" s="143"/>
      <c r="G61" s="106"/>
      <c r="H61" s="132"/>
      <c r="I61" s="140"/>
      <c r="J61" s="125"/>
      <c r="K61" s="363" t="s">
        <v>132</v>
      </c>
      <c r="L61" s="364"/>
      <c r="M61" s="364"/>
      <c r="N61" s="365"/>
      <c r="O61" s="136">
        <f>SUM(O59:O60)</f>
        <v>2570.2455192974239</v>
      </c>
      <c r="P61" s="145" t="s">
        <v>133</v>
      </c>
      <c r="Q61" s="124"/>
    </row>
    <row r="62" spans="1:17" ht="13.5" thickBot="1" x14ac:dyDescent="0.25">
      <c r="C62" s="115" t="s">
        <v>134</v>
      </c>
      <c r="D62" s="146"/>
      <c r="E62" s="89" t="s">
        <v>135</v>
      </c>
      <c r="F62" s="147" t="s">
        <v>136</v>
      </c>
      <c r="G62" s="106"/>
      <c r="H62" s="132"/>
      <c r="I62" s="140"/>
      <c r="J62" s="148"/>
      <c r="K62" s="149"/>
      <c r="L62" s="376" t="s">
        <v>137</v>
      </c>
      <c r="M62" s="376"/>
      <c r="N62" s="376"/>
      <c r="O62" s="150">
        <f>+O61/D60</f>
        <v>2570.2455192974239</v>
      </c>
      <c r="P62" s="151">
        <f>+O62/D59</f>
        <v>3.059816094401695</v>
      </c>
      <c r="Q62" s="152"/>
    </row>
    <row r="63" spans="1:17" ht="13.5" thickBot="1" x14ac:dyDescent="0.25">
      <c r="B63" s="377" t="s">
        <v>122</v>
      </c>
      <c r="C63" s="377"/>
      <c r="D63" s="377"/>
      <c r="E63" s="153">
        <f>+F63/F63</f>
        <v>1</v>
      </c>
      <c r="F63" s="154">
        <f>SUM(F55)</f>
        <v>2027.8961914285715</v>
      </c>
      <c r="G63" s="106">
        <f>+F63/$F$66</f>
        <v>0.87981177018675982</v>
      </c>
      <c r="H63" s="132"/>
      <c r="I63" s="140"/>
      <c r="K63" s="378"/>
      <c r="L63" s="379"/>
      <c r="M63" s="379"/>
      <c r="N63" s="379"/>
      <c r="O63" s="155"/>
      <c r="P63" s="156"/>
    </row>
    <row r="64" spans="1:17" ht="13.5" thickBot="1" x14ac:dyDescent="0.3">
      <c r="B64" s="380" t="s">
        <v>138</v>
      </c>
      <c r="C64" s="380"/>
      <c r="D64" s="380"/>
      <c r="E64" s="157">
        <v>0.02</v>
      </c>
      <c r="F64" s="154">
        <f>+F53*E64</f>
        <v>33.024315600000001</v>
      </c>
      <c r="G64" s="106">
        <f>+F64/$F$66</f>
        <v>1.4327746010891228E-2</v>
      </c>
      <c r="H64" s="118"/>
      <c r="I64" s="140"/>
      <c r="J64" s="158"/>
      <c r="O64" s="159"/>
      <c r="P64" s="116"/>
    </row>
    <row r="65" spans="2:15" ht="13.5" thickBot="1" x14ac:dyDescent="0.3">
      <c r="B65" s="381" t="s">
        <v>139</v>
      </c>
      <c r="C65" s="382"/>
      <c r="D65" s="160">
        <v>4</v>
      </c>
      <c r="E65" s="161">
        <v>61</v>
      </c>
      <c r="F65" s="154">
        <f>+E65*D65</f>
        <v>244</v>
      </c>
      <c r="G65" s="106">
        <f>+F65/$F$66</f>
        <v>0.10586048380234894</v>
      </c>
      <c r="H65" s="118"/>
      <c r="I65" s="118"/>
      <c r="J65" s="108"/>
      <c r="O65" s="91">
        <f>+O62/6</f>
        <v>428.37425321623732</v>
      </c>
    </row>
    <row r="66" spans="2:15" ht="13.5" thickBot="1" x14ac:dyDescent="0.3">
      <c r="B66" s="383" t="s">
        <v>140</v>
      </c>
      <c r="C66" s="384"/>
      <c r="D66" s="384"/>
      <c r="E66" s="385"/>
      <c r="F66" s="131">
        <f>SUM(F63:F65)</f>
        <v>2304.9205070285716</v>
      </c>
      <c r="G66" s="106">
        <f>+F66/$F$66</f>
        <v>1</v>
      </c>
      <c r="H66" s="386"/>
      <c r="I66" s="118"/>
      <c r="J66" s="108"/>
      <c r="M66" s="91" t="s">
        <v>141</v>
      </c>
    </row>
    <row r="67" spans="2:15" x14ac:dyDescent="0.25">
      <c r="C67" s="113"/>
      <c r="D67" s="113"/>
      <c r="E67" s="163"/>
      <c r="F67" s="154"/>
      <c r="G67" s="106"/>
      <c r="H67" s="386"/>
      <c r="I67" s="162"/>
      <c r="J67" s="91"/>
      <c r="M67" s="91" t="s">
        <v>142</v>
      </c>
    </row>
    <row r="68" spans="2:15" ht="13.5" thickBot="1" x14ac:dyDescent="0.3">
      <c r="B68" s="371" t="s">
        <v>143</v>
      </c>
      <c r="C68" s="371"/>
      <c r="D68" s="371"/>
      <c r="E68" s="371"/>
      <c r="F68" s="371"/>
      <c r="G68" s="106"/>
      <c r="H68" s="165"/>
      <c r="I68" s="162"/>
      <c r="J68" s="91"/>
      <c r="M68" s="91" t="s">
        <v>144</v>
      </c>
    </row>
    <row r="69" spans="2:15" ht="13.5" thickBot="1" x14ac:dyDescent="0.3">
      <c r="B69" s="166" t="s">
        <v>145</v>
      </c>
      <c r="C69" s="167">
        <f>+F53</f>
        <v>1651.21578</v>
      </c>
      <c r="D69" s="167">
        <f>+D58</f>
        <v>840</v>
      </c>
      <c r="E69" s="168">
        <f>+C69/D69</f>
        <v>1.9657330714285715</v>
      </c>
      <c r="F69" s="106"/>
      <c r="G69" s="165"/>
      <c r="H69" s="108"/>
      <c r="I69" s="165"/>
      <c r="J69" s="91"/>
    </row>
    <row r="70" spans="2:15" x14ac:dyDescent="0.25">
      <c r="B70" s="169"/>
      <c r="C70" s="170"/>
      <c r="D70" s="171"/>
      <c r="E70" s="154"/>
      <c r="F70" s="106"/>
      <c r="G70" s="165"/>
      <c r="H70" s="108"/>
      <c r="I70" s="108"/>
      <c r="J70" s="91"/>
    </row>
    <row r="71" spans="2:15" x14ac:dyDescent="0.25">
      <c r="B71" s="166" t="s">
        <v>146</v>
      </c>
      <c r="C71" s="167">
        <f>SUM(F63:F64)</f>
        <v>2060.9205070285716</v>
      </c>
      <c r="D71" s="167">
        <f>+D58</f>
        <v>840</v>
      </c>
      <c r="E71" s="172">
        <f>+C71/D71</f>
        <v>2.4534767940816327</v>
      </c>
      <c r="F71" s="106"/>
      <c r="G71" s="165"/>
      <c r="H71" s="108"/>
      <c r="I71" s="108"/>
      <c r="J71" s="91"/>
    </row>
    <row r="72" spans="2:15" x14ac:dyDescent="0.25">
      <c r="B72" s="166"/>
      <c r="C72" s="167"/>
      <c r="D72" s="167"/>
      <c r="E72" s="172"/>
      <c r="F72" s="106"/>
      <c r="G72" s="165"/>
      <c r="H72" s="108"/>
      <c r="I72" s="108"/>
      <c r="J72" s="91"/>
    </row>
    <row r="73" spans="2:15" ht="13.5" thickBot="1" x14ac:dyDescent="0.3">
      <c r="B73" s="166" t="s">
        <v>147</v>
      </c>
      <c r="C73" s="167">
        <f>+F65</f>
        <v>244</v>
      </c>
      <c r="D73" s="167">
        <f>+D58</f>
        <v>840</v>
      </c>
      <c r="E73" s="172">
        <f>+C73/D73</f>
        <v>0.2904761904761905</v>
      </c>
      <c r="F73" s="106"/>
      <c r="G73" s="165"/>
      <c r="H73" s="108"/>
      <c r="I73" s="108"/>
      <c r="J73" s="91"/>
    </row>
    <row r="74" spans="2:15" ht="13.5" thickBot="1" x14ac:dyDescent="0.3">
      <c r="B74" s="166" t="s">
        <v>148</v>
      </c>
      <c r="C74" s="167">
        <f>+F56</f>
        <v>278.01099999999997</v>
      </c>
      <c r="D74" s="167">
        <f>+D73</f>
        <v>840</v>
      </c>
      <c r="E74" s="168">
        <f>+C74/D74</f>
        <v>0.33096547619047617</v>
      </c>
      <c r="F74" s="106"/>
      <c r="G74" s="165"/>
      <c r="H74" s="108"/>
      <c r="I74" s="108"/>
      <c r="J74" s="91"/>
    </row>
    <row r="75" spans="2:15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5" ht="13.5" thickBot="1" x14ac:dyDescent="0.3">
      <c r="B76" s="166" t="s">
        <v>149</v>
      </c>
      <c r="C76" s="167">
        <f>+F54</f>
        <v>376.68041142857146</v>
      </c>
      <c r="D76" s="167">
        <f>+D74</f>
        <v>840</v>
      </c>
      <c r="E76" s="168">
        <f>+C76/D76</f>
        <v>0.44842906122448983</v>
      </c>
      <c r="F76" s="106"/>
      <c r="G76" s="165"/>
      <c r="H76" s="108"/>
      <c r="I76" s="108"/>
      <c r="J76" s="108"/>
    </row>
    <row r="77" spans="2:15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5" ht="13.5" thickBot="1" x14ac:dyDescent="0.3">
      <c r="B78" s="372" t="s">
        <v>150</v>
      </c>
      <c r="C78" s="373"/>
      <c r="D78" s="374"/>
      <c r="E78" s="168">
        <f>+E69+E74</f>
        <v>2.2966985476190476</v>
      </c>
      <c r="G78" s="106"/>
      <c r="H78" s="165"/>
      <c r="I78" s="108"/>
      <c r="J78" s="172"/>
    </row>
    <row r="79" spans="2:15" x14ac:dyDescent="0.25">
      <c r="I79" s="165"/>
      <c r="J79" s="91"/>
    </row>
    <row r="80" spans="2:15" ht="13.5" thickBot="1" x14ac:dyDescent="0.3">
      <c r="B80" s="371" t="s">
        <v>151</v>
      </c>
      <c r="C80" s="371"/>
      <c r="D80" s="371"/>
      <c r="E80" s="371"/>
      <c r="F80" s="371"/>
      <c r="G80" s="106"/>
      <c r="H80" s="165"/>
      <c r="J80" s="91"/>
    </row>
    <row r="81" spans="1:10" ht="13.5" thickBot="1" x14ac:dyDescent="0.3">
      <c r="B81" s="166" t="s">
        <v>145</v>
      </c>
      <c r="C81" s="167">
        <f>+C69</f>
        <v>1651.21578</v>
      </c>
      <c r="D81" s="167">
        <f>+D60</f>
        <v>1</v>
      </c>
      <c r="E81" s="168">
        <f>+C81/D81</f>
        <v>1651.21578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146</v>
      </c>
      <c r="C83" s="167">
        <f>+C71</f>
        <v>2060.9205070285716</v>
      </c>
      <c r="D83" s="167">
        <f>+D60</f>
        <v>1</v>
      </c>
      <c r="E83" s="172">
        <f>+C83/D83</f>
        <v>2060.9205070285716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148</v>
      </c>
      <c r="C85" s="167">
        <f>+C73</f>
        <v>244</v>
      </c>
      <c r="D85" s="167">
        <f>+D60</f>
        <v>1</v>
      </c>
      <c r="E85" s="172">
        <f>+C85/D85</f>
        <v>244</v>
      </c>
      <c r="F85" s="174"/>
      <c r="G85" s="164"/>
      <c r="H85" s="90"/>
      <c r="I85" s="108"/>
    </row>
    <row r="86" spans="1:10" ht="13.5" thickBot="1" x14ac:dyDescent="0.3">
      <c r="B86" s="166" t="s">
        <v>148</v>
      </c>
      <c r="C86" s="167">
        <f>+C74</f>
        <v>278.01099999999997</v>
      </c>
      <c r="D86" s="167">
        <f>+D85</f>
        <v>1</v>
      </c>
      <c r="E86" s="168">
        <f>+C86/D86</f>
        <v>278.01099999999997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375"/>
      <c r="B88" s="375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EE569A7-1855-4042-A272-7E507B2676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Premezcla</vt:lpstr>
      <vt:lpstr>Costo Premezcla </vt:lpstr>
      <vt:lpstr>Batido</vt:lpstr>
      <vt:lpstr>Costo Batido </vt:lpstr>
      <vt:lpstr>Hoja1</vt:lpstr>
      <vt:lpstr>Costo Rosquete </vt:lpstr>
      <vt:lpstr>Costo Empaque </vt:lpstr>
      <vt:lpstr>Premezcla!Área_de_impresión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2024-06-06T14:22:48Z</cp:lastPrinted>
  <dcterms:created xsi:type="dcterms:W3CDTF">2023-07-28T19:10:29Z</dcterms:created>
  <dcterms:modified xsi:type="dcterms:W3CDTF">2025-01-22T17:10:57Z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
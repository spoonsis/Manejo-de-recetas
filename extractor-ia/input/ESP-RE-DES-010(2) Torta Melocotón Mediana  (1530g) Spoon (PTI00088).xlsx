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4EFC4B2E-0226-4276-909B-363F5D104E59}" xr6:coauthVersionLast="47" xr6:coauthVersionMax="47" xr10:uidLastSave="{A8F58944-05F2-46A0-B401-2CFA7EDE0B55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2" l="1"/>
</calcChain>
</file>

<file path=xl/sharedStrings.xml><?xml version="1.0" encoding="utf-8"?>
<sst xmlns="http://schemas.openxmlformats.org/spreadsheetml/2006/main" count="130" uniqueCount="100">
  <si>
    <t>SERVICIOS DE PASTELERIA S.A.</t>
  </si>
  <si>
    <t>CÓDIGO:</t>
  </si>
  <si>
    <t>ESPECIFICACION DE RECETA</t>
  </si>
  <si>
    <t>REVISIÓN:</t>
  </si>
  <si>
    <t>FECHA DE APROBACIÓN: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</si>
  <si>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</si>
  <si>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</si>
  <si>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</si>
  <si>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</si>
  <si>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</si>
  <si>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</si>
  <si>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</si>
  <si>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</si>
  <si>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</si>
  <si>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</si>
  <si>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</si>
  <si>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</si>
  <si>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</si>
  <si>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</si>
  <si>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ALMIBAR (KILO)</t>
  </si>
  <si>
    <t>RELLENO DE LIMÓN</t>
  </si>
  <si>
    <t>Decoración</t>
  </si>
  <si>
    <t>ud</t>
  </si>
  <si>
    <t>Empaque</t>
  </si>
  <si>
    <t>121603</t>
  </si>
  <si>
    <t>QUEQUERA RED  BASE/DOMO 10 (CAJA:50)</t>
  </si>
  <si>
    <t>MAYCA</t>
  </si>
  <si>
    <t>1950692</t>
  </si>
  <si>
    <t>ORLA CARTON 10" DORADA UND</t>
  </si>
  <si>
    <t>RAPIBOX</t>
  </si>
  <si>
    <t>702175</t>
  </si>
  <si>
    <t>ETIQUETA SPOON GRANDE V-272</t>
  </si>
  <si>
    <t>LITOGRAFIA</t>
  </si>
  <si>
    <t>0703020</t>
  </si>
  <si>
    <t>CINTA ADHESIVA TRANSPARENTE 2*100</t>
  </si>
  <si>
    <t>cm</t>
  </si>
  <si>
    <t>0702069</t>
  </si>
  <si>
    <t>ETIQ.BLANCA 1 1/4 * 3/4</t>
  </si>
  <si>
    <t>CEMUSA</t>
  </si>
  <si>
    <t>ETIPLAST</t>
  </si>
  <si>
    <t>0702123</t>
  </si>
  <si>
    <t>ETIQUETA BLANCA 2 5/8X1 15/16 PRE BLANCA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</si>
  <si>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</si>
  <si>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</si>
  <si>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</si>
  <si>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</si>
  <si>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</si>
  <si>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</si>
  <si>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</si>
  <si>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</si>
  <si>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</si>
  <si>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</si>
  <si>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</si>
  <si>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</si>
  <si>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</si>
  <si>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Utilizar 1 1/2 rosquete. Partir el rosquete por la  mitad y humedecer cada capa.</t>
  </si>
  <si>
    <t>AREA QUE PRODUCE:</t>
  </si>
  <si>
    <t xml:space="preserve">AREA QUE EMPACA: </t>
  </si>
  <si>
    <t>EMPAQUE RELLENO MELOCOTON CUBOS PARA TORTA</t>
  </si>
  <si>
    <t>ROSQUETE NUCLEO VAINILLA DAWN REDONDO 320g</t>
  </si>
  <si>
    <t>CREMA BEIDGE (KILO)</t>
  </si>
  <si>
    <t>MEZCLA SIROPE DULCE LECHE KILO</t>
  </si>
  <si>
    <t>3.- Encremar la torta con crema chantilly y pegar borona en los lados acorde a la fotografia.</t>
  </si>
  <si>
    <t>5.- Colocar la torta dentro del domo, etiquetar con etiqueta Spoon, nombre del producto y codigo de barras, fecha juliana y fecha de vencimiento.</t>
  </si>
  <si>
    <t>6.- Guardar en camaras de refrigeración a 4ºC.</t>
  </si>
  <si>
    <t>2.- Rellenar 3 tapas de rosquete con el relleno de limón, seguido del relleno de melocoton en cubos esparcir y por ultimo topping; colocar la ultima tapa de rosquete. Colocar en una orla.</t>
  </si>
  <si>
    <t>SE00448</t>
  </si>
  <si>
    <t>SE00005</t>
  </si>
  <si>
    <t>SE00008</t>
  </si>
  <si>
    <t>SE00446</t>
  </si>
  <si>
    <t>SE00069</t>
  </si>
  <si>
    <t>SE00034</t>
  </si>
  <si>
    <t>EM10009</t>
  </si>
  <si>
    <t>EM10008</t>
  </si>
  <si>
    <t>EM10006</t>
  </si>
  <si>
    <t>EM10248</t>
  </si>
  <si>
    <t>EM10002</t>
  </si>
  <si>
    <t>EM10011</t>
  </si>
  <si>
    <t>EM10124</t>
  </si>
  <si>
    <t xml:space="preserve"> Torta Melocotón Mediana  (1530g) Spoon (PTI00088)  </t>
  </si>
  <si>
    <t>Elaborado</t>
  </si>
  <si>
    <t>Javier Tong, Chef</t>
  </si>
  <si>
    <t>Decoracion</t>
  </si>
  <si>
    <t># Código Netsuite</t>
  </si>
  <si>
    <t>1,5 UND</t>
  </si>
  <si>
    <t>50 GRAMOS - 3 CAPAS</t>
  </si>
  <si>
    <t>1/2 TAZA - 2 CAPAS</t>
  </si>
  <si>
    <t>3/4 TAZA - 2 CAPAS</t>
  </si>
  <si>
    <t>ENCREMAR</t>
  </si>
  <si>
    <t>MARMOLEAR</t>
  </si>
  <si>
    <t>COLOCHO BOQUILLA 127</t>
  </si>
  <si>
    <t>1/2 TAZA</t>
  </si>
  <si>
    <t>ETIQUETA BLANCA R-153</t>
  </si>
  <si>
    <t>CONTROL DE CAMBIOS</t>
  </si>
  <si>
    <t>ESP-RE-DES-010</t>
  </si>
  <si>
    <t xml:space="preserve">Toppin de Melocoton </t>
  </si>
  <si>
    <t xml:space="preserve">4.- En el centro colocar el Toppin de Melocotón. </t>
  </si>
  <si>
    <t>SE00681</t>
  </si>
  <si>
    <t xml:space="preserve">2, Se actualizan datos de receta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</si>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</sst>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  <numFmt numFmtId="167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93">
    <xf numFmtId="0" fontId="0" fillId="0" borderId="0" xfId="0"/>
    <xf numFmtId="0" fontId="5" fillId="2" borderId="0" xfId="3" applyFont="1" applyFill="1" applyAlignment="1">
      <alignment horizontal="right"/>
    </xf>
    <xf numFmtId="0" fontId="5" fillId="2" borderId="0" xfId="3" applyFont="1" applyFill="1"/>
    <xf numFmtId="0" fontId="2" fillId="3" borderId="26" xfId="1" applyFont="1" applyFill="1" applyBorder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2" fillId="2" borderId="34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right"/>
    </xf>
    <xf numFmtId="49" fontId="6" fillId="2" borderId="5" xfId="1" applyNumberFormat="1" applyFont="1" applyFill="1" applyBorder="1" applyAlignment="1">
      <alignment horizontal="center"/>
    </xf>
    <xf numFmtId="0" fontId="2" fillId="2" borderId="7" xfId="1" applyFont="1" applyFill="1" applyBorder="1" applyAlignment="1">
      <alignment horizontal="right" vertical="top" wrapText="1"/>
    </xf>
    <xf numFmtId="14" fontId="6" fillId="2" borderId="8" xfId="1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right"/>
    </xf>
    <xf numFmtId="0" fontId="6" fillId="2" borderId="10" xfId="1" applyFont="1" applyFill="1" applyBorder="1" applyAlignment="1">
      <alignment horizontal="left"/>
    </xf>
    <xf numFmtId="0" fontId="6" fillId="2" borderId="11" xfId="1" applyFont="1" applyFill="1" applyBorder="1" applyAlignment="1">
      <alignment horizontal="left"/>
    </xf>
    <xf numFmtId="0" fontId="6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right" vertical="top" wrapText="1"/>
    </xf>
    <xf numFmtId="14" fontId="6" fillId="2" borderId="14" xfId="1" applyNumberFormat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/>
    </xf>
    <xf numFmtId="0" fontId="6" fillId="2" borderId="4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right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right" vertical="top" wrapText="1"/>
    </xf>
    <xf numFmtId="14" fontId="6" fillId="2" borderId="41" xfId="1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center"/>
    </xf>
    <xf numFmtId="14" fontId="7" fillId="2" borderId="0" xfId="3" applyNumberFormat="1" applyFont="1" applyFill="1" applyAlignment="1">
      <alignment horizontal="center" vertical="center" wrapText="1"/>
    </xf>
    <xf numFmtId="0" fontId="2" fillId="4" borderId="19" xfId="2" applyFont="1" applyFill="1" applyBorder="1" applyAlignment="1">
      <alignment horizontal="center" vertical="center"/>
    </xf>
    <xf numFmtId="0" fontId="2" fillId="4" borderId="19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 wrapText="1"/>
    </xf>
    <xf numFmtId="0" fontId="2" fillId="4" borderId="20" xfId="2" applyFont="1" applyFill="1" applyBorder="1" applyAlignment="1">
      <alignment horizontal="center" vertical="center"/>
    </xf>
    <xf numFmtId="0" fontId="2" fillId="4" borderId="20" xfId="2" applyFont="1" applyFill="1" applyBorder="1" applyAlignment="1">
      <alignment horizontal="center" vertical="center" wrapText="1"/>
    </xf>
    <xf numFmtId="0" fontId="2" fillId="4" borderId="21" xfId="2" applyFont="1" applyFill="1" applyBorder="1" applyAlignment="1">
      <alignment horizontal="center" vertical="center"/>
    </xf>
    <xf numFmtId="1" fontId="2" fillId="4" borderId="21" xfId="2" applyNumberFormat="1" applyFont="1" applyFill="1" applyBorder="1" applyAlignment="1">
      <alignment horizontal="center"/>
    </xf>
    <xf numFmtId="1" fontId="2" fillId="4" borderId="21" xfId="2" applyNumberFormat="1" applyFont="1" applyFill="1" applyBorder="1" applyAlignment="1">
      <alignment horizontal="center" wrapText="1"/>
    </xf>
    <xf numFmtId="0" fontId="2" fillId="4" borderId="22" xfId="2" applyFont="1" applyFill="1" applyBorder="1" applyAlignment="1">
      <alignment horizontal="center"/>
    </xf>
    <xf numFmtId="0" fontId="8" fillId="0" borderId="24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1" fontId="8" fillId="0" borderId="4" xfId="2" applyNumberFormat="1" applyFont="1" applyBorder="1" applyAlignment="1">
      <alignment horizontal="center"/>
    </xf>
    <xf numFmtId="1" fontId="8" fillId="0" borderId="4" xfId="2" applyNumberFormat="1" applyFont="1" applyBorder="1" applyAlignment="1">
      <alignment horizontal="center" wrapText="1"/>
    </xf>
    <xf numFmtId="0" fontId="10" fillId="0" borderId="5" xfId="2" applyFont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9" xfId="0" applyFont="1" applyFill="1" applyBorder="1"/>
    <xf numFmtId="0" fontId="6" fillId="5" borderId="17" xfId="0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12" fontId="6" fillId="0" borderId="9" xfId="0" applyNumberFormat="1" applyFont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1" fillId="5" borderId="4" xfId="0" applyFont="1" applyFill="1" applyBorder="1"/>
    <xf numFmtId="1" fontId="6" fillId="5" borderId="9" xfId="0" applyNumberFormat="1" applyFont="1" applyFill="1" applyBorder="1" applyAlignment="1">
      <alignment horizontal="center"/>
    </xf>
    <xf numFmtId="1" fontId="6" fillId="5" borderId="9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6" borderId="4" xfId="0" applyFont="1" applyFill="1" applyBorder="1"/>
    <xf numFmtId="0" fontId="6" fillId="0" borderId="4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2" fillId="6" borderId="4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12" fillId="6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2" fontId="8" fillId="0" borderId="4" xfId="2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16" fontId="10" fillId="0" borderId="17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49" fontId="10" fillId="0" borderId="24" xfId="2" applyNumberFormat="1" applyFont="1" applyBorder="1" applyAlignment="1">
      <alignment horizontal="center"/>
    </xf>
    <xf numFmtId="49" fontId="10" fillId="0" borderId="17" xfId="2" applyNumberFormat="1" applyFont="1" applyBorder="1" applyAlignment="1">
      <alignment horizontal="center"/>
    </xf>
    <xf numFmtId="0" fontId="8" fillId="5" borderId="4" xfId="2" applyFont="1" applyFill="1" applyBorder="1" applyAlignment="1">
      <alignment horizontal="left"/>
    </xf>
    <xf numFmtId="0" fontId="10" fillId="0" borderId="4" xfId="2" applyFont="1" applyBorder="1" applyAlignment="1">
      <alignment horizontal="center"/>
    </xf>
    <xf numFmtId="165" fontId="10" fillId="0" borderId="4" xfId="2" applyNumberFormat="1" applyFont="1" applyBorder="1" applyAlignment="1">
      <alignment horizontal="center"/>
    </xf>
    <xf numFmtId="1" fontId="10" fillId="0" borderId="4" xfId="2" applyNumberFormat="1" applyFont="1" applyBorder="1" applyAlignment="1">
      <alignment horizontal="center" wrapText="1"/>
    </xf>
    <xf numFmtId="0" fontId="11" fillId="5" borderId="30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8" borderId="9" xfId="0" applyFont="1" applyFill="1" applyBorder="1"/>
    <xf numFmtId="1" fontId="6" fillId="5" borderId="4" xfId="2" applyNumberFormat="1" applyFont="1" applyFill="1" applyBorder="1" applyAlignment="1">
      <alignment horizontal="center"/>
    </xf>
    <xf numFmtId="1" fontId="6" fillId="5" borderId="4" xfId="2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16" fontId="6" fillId="5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 wrapText="1"/>
    </xf>
    <xf numFmtId="16" fontId="6" fillId="0" borderId="4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wrapText="1"/>
    </xf>
    <xf numFmtId="49" fontId="8" fillId="0" borderId="23" xfId="2" applyNumberFormat="1" applyFont="1" applyBorder="1" applyAlignment="1">
      <alignment horizontal="center"/>
    </xf>
    <xf numFmtId="49" fontId="8" fillId="0" borderId="16" xfId="2" applyNumberFormat="1" applyFont="1" applyBorder="1" applyAlignment="1">
      <alignment horizontal="center"/>
    </xf>
    <xf numFmtId="0" fontId="9" fillId="5" borderId="4" xfId="2" applyFont="1" applyFill="1" applyBorder="1" applyAlignment="1">
      <alignment vertical="center"/>
    </xf>
    <xf numFmtId="0" fontId="8" fillId="0" borderId="17" xfId="2" applyFont="1" applyBorder="1" applyAlignment="1">
      <alignment horizontal="center"/>
    </xf>
    <xf numFmtId="165" fontId="8" fillId="0" borderId="4" xfId="2" applyNumberFormat="1" applyFont="1" applyBorder="1" applyAlignment="1">
      <alignment horizontal="center"/>
    </xf>
    <xf numFmtId="167" fontId="2" fillId="5" borderId="4" xfId="7" applyNumberFormat="1" applyFont="1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0" fillId="0" borderId="17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/>
    <xf numFmtId="0" fontId="10" fillId="0" borderId="3" xfId="0" applyFont="1" applyBorder="1" applyAlignment="1">
      <alignment horizontal="center"/>
    </xf>
    <xf numFmtId="12" fontId="10" fillId="0" borderId="4" xfId="2" applyNumberFormat="1" applyFont="1" applyBorder="1" applyAlignment="1">
      <alignment horizontal="center"/>
    </xf>
    <xf numFmtId="0" fontId="10" fillId="5" borderId="24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wrapText="1"/>
    </xf>
    <xf numFmtId="1" fontId="10" fillId="0" borderId="4" xfId="2" applyNumberFormat="1" applyFont="1" applyBorder="1" applyAlignment="1">
      <alignment horizontal="center"/>
    </xf>
    <xf numFmtId="49" fontId="10" fillId="0" borderId="4" xfId="2" applyNumberFormat="1" applyFont="1" applyBorder="1"/>
    <xf numFmtId="49" fontId="17" fillId="2" borderId="6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6" fontId="6" fillId="2" borderId="0" xfId="2" applyNumberFormat="1" applyFont="1" applyFill="1" applyAlignment="1">
      <alignment horizontal="center" wrapText="1"/>
    </xf>
    <xf numFmtId="0" fontId="6" fillId="2" borderId="25" xfId="2" applyFont="1" applyFill="1" applyBorder="1" applyAlignment="1">
      <alignment horizontal="center"/>
    </xf>
    <xf numFmtId="0" fontId="6" fillId="4" borderId="26" xfId="2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27" xfId="2" applyFont="1" applyFill="1" applyBorder="1"/>
    <xf numFmtId="0" fontId="2" fillId="4" borderId="27" xfId="2" applyFont="1" applyFill="1" applyBorder="1" applyAlignment="1">
      <alignment horizontal="center"/>
    </xf>
    <xf numFmtId="1" fontId="2" fillId="4" borderId="27" xfId="2" applyNumberFormat="1" applyFont="1" applyFill="1" applyBorder="1" applyAlignment="1">
      <alignment horizontal="center"/>
    </xf>
    <xf numFmtId="166" fontId="6" fillId="4" borderId="27" xfId="2" applyNumberFormat="1" applyFont="1" applyFill="1" applyBorder="1" applyAlignment="1">
      <alignment horizontal="center" wrapText="1"/>
    </xf>
    <xf numFmtId="0" fontId="6" fillId="4" borderId="28" xfId="2" applyFont="1" applyFill="1" applyBorder="1" applyAlignment="1">
      <alignment horizontal="center"/>
    </xf>
    <xf numFmtId="0" fontId="2" fillId="0" borderId="29" xfId="2" applyFont="1" applyBorder="1" applyAlignment="1">
      <alignment horizontal="right"/>
    </xf>
    <xf numFmtId="0" fontId="2" fillId="0" borderId="42" xfId="2" applyFont="1" applyBorder="1" applyAlignment="1">
      <alignment horizontal="right"/>
    </xf>
    <xf numFmtId="0" fontId="2" fillId="0" borderId="30" xfId="2" applyFont="1" applyBorder="1" applyAlignment="1">
      <alignment horizontal="right"/>
    </xf>
    <xf numFmtId="0" fontId="6" fillId="0" borderId="31" xfId="0" applyFont="1" applyBorder="1" applyAlignment="1">
      <alignment horizontal="center"/>
    </xf>
    <xf numFmtId="166" fontId="6" fillId="0" borderId="9" xfId="2" applyNumberFormat="1" applyFont="1" applyBorder="1" applyAlignment="1">
      <alignment horizontal="right"/>
    </xf>
    <xf numFmtId="0" fontId="6" fillId="2" borderId="31" xfId="2" applyFont="1" applyFill="1" applyBorder="1" applyAlignment="1">
      <alignment horizontal="center"/>
    </xf>
    <xf numFmtId="0" fontId="6" fillId="2" borderId="32" xfId="2" applyFont="1" applyFill="1" applyBorder="1" applyAlignment="1">
      <alignment horizontal="center"/>
    </xf>
    <xf numFmtId="0" fontId="2" fillId="0" borderId="23" xfId="2" applyFont="1" applyBorder="1" applyAlignment="1">
      <alignment horizontal="right"/>
    </xf>
    <xf numFmtId="0" fontId="2" fillId="0" borderId="16" xfId="2" applyFont="1" applyBorder="1" applyAlignment="1">
      <alignment horizontal="right"/>
    </xf>
    <xf numFmtId="0" fontId="2" fillId="0" borderId="17" xfId="2" applyFont="1" applyBorder="1" applyAlignment="1">
      <alignment horizontal="right"/>
    </xf>
    <xf numFmtId="0" fontId="6" fillId="0" borderId="4" xfId="2" applyFont="1" applyBorder="1" applyAlignment="1">
      <alignment horizontal="right"/>
    </xf>
    <xf numFmtId="166" fontId="6" fillId="0" borderId="15" xfId="2" applyNumberFormat="1" applyFont="1" applyBorder="1" applyAlignment="1">
      <alignment horizontal="center"/>
    </xf>
    <xf numFmtId="166" fontId="6" fillId="0" borderId="33" xfId="2" applyNumberFormat="1" applyFont="1" applyBorder="1" applyAlignment="1">
      <alignment horizontal="center"/>
    </xf>
    <xf numFmtId="166" fontId="6" fillId="0" borderId="15" xfId="2" applyNumberFormat="1" applyFont="1" applyBorder="1" applyAlignment="1">
      <alignment horizontal="right" wrapText="1"/>
    </xf>
    <xf numFmtId="166" fontId="6" fillId="0" borderId="17" xfId="2" applyNumberFormat="1" applyFont="1" applyBorder="1" applyAlignment="1">
      <alignment horizontal="right" wrapText="1"/>
    </xf>
    <xf numFmtId="166" fontId="6" fillId="0" borderId="15" xfId="0" applyNumberFormat="1" applyFont="1" applyBorder="1" applyAlignment="1">
      <alignment horizontal="center" wrapText="1"/>
    </xf>
    <xf numFmtId="166" fontId="6" fillId="0" borderId="33" xfId="0" applyNumberFormat="1" applyFont="1" applyBorder="1" applyAlignment="1">
      <alignment horizontal="center" wrapText="1"/>
    </xf>
    <xf numFmtId="0" fontId="2" fillId="0" borderId="20" xfId="2" applyFont="1" applyBorder="1" applyAlignment="1">
      <alignment horizontal="right"/>
    </xf>
    <xf numFmtId="0" fontId="2" fillId="0" borderId="40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1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1" xfId="2" applyFont="1" applyBorder="1" applyAlignment="1">
      <alignment horizontal="right"/>
    </xf>
    <xf numFmtId="0" fontId="2" fillId="4" borderId="26" xfId="2" applyFont="1" applyFill="1" applyBorder="1" applyAlignment="1">
      <alignment horizontal="left"/>
    </xf>
    <xf numFmtId="0" fontId="2" fillId="4" borderId="27" xfId="2" applyFont="1" applyFill="1" applyBorder="1" applyAlignment="1">
      <alignment horizontal="left"/>
    </xf>
    <xf numFmtId="0" fontId="2" fillId="4" borderId="28" xfId="2" applyFont="1" applyFill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4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24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43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2" fillId="7" borderId="44" xfId="1" applyFont="1" applyFill="1" applyBorder="1" applyAlignment="1">
      <alignment horizontal="center"/>
    </xf>
    <xf numFmtId="0" fontId="2" fillId="7" borderId="37" xfId="1" applyFont="1" applyFill="1" applyBorder="1" applyAlignment="1">
      <alignment horizontal="center"/>
    </xf>
    <xf numFmtId="0" fontId="6" fillId="2" borderId="45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</cellXfs>
  <cellStyles count="8">
    <cellStyle name="Millares" xfId="7" builtinId="3"/>
    <cellStyle name="Millares [0] 2 2 2" xfId="4" xr:uid="{00000000-0005-0000-0000-000000000000}"/>
    <cellStyle name="Normal" xfId="0" builtinId="0"/>
    <cellStyle name="Normal 2" xfId="2" xr:uid="{00000000-0005-0000-0000-000002000000}"/>
    <cellStyle name="Normal 5" xfId="6" xr:uid="{20B5DDFD-C6D7-40B9-8907-91BC03761DC0}"/>
    <cellStyle name="Normal_CRITERIOS DE EVALUACION PT DE GB" xfId="1" xr:uid="{00000000-0005-0000-0000-000003000000}"/>
    <cellStyle name="Normal_CRITERIOS DE EVALUACION PT DE GB 2" xfId="3" xr:uid="{00000000-0005-0000-0000-000004000000}"/>
    <cellStyle name="Porcentaj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37BD-8117-45B5-9478-FAFA1528D2F7}">
  <dimension ref="A1:I61"/>
  <sheetViews>
    <sheetView tabSelected="1" view="pageBreakPreview" zoomScale="60" zoomScaleNormal="70" workbookViewId="0">
      <selection activeCell="R21" sqref="R21"/>
    </sheetView>
  </sheetViews>
  <sheetFormatPr baseColWidth="10" defaultRowHeight="15" x14ac:dyDescent="0.25"/>
  <cols>
    <col min="1" max="1" width="15.42578125" bestFit="1" customWidth="1"/>
    <col min="3" max="3" width="49" customWidth="1"/>
    <col min="4" max="4" width="34.42578125" bestFit="1" customWidth="1"/>
    <col min="5" max="5" width="11.5703125" bestFit="1" customWidth="1"/>
    <col min="8" max="8" width="33.7109375" bestFit="1" customWidth="1"/>
    <col min="9" max="9" width="21.28515625" bestFit="1" customWidth="1"/>
  </cols>
  <sheetData>
    <row r="1" spans="1:9" ht="18" x14ac:dyDescent="0.25">
      <c r="A1" s="6"/>
      <c r="B1" s="7"/>
      <c r="C1" s="8" t="s">
        <v>0</v>
      </c>
      <c r="D1" s="8"/>
      <c r="E1" s="8"/>
      <c r="F1" s="8"/>
      <c r="G1" s="8"/>
      <c r="H1" s="9" t="s">
        <v>1</v>
      </c>
      <c r="I1" s="10" t="s">
        <v>94</v>
      </c>
    </row>
    <row r="2" spans="1:9" ht="18" customHeight="1" thickBot="1" x14ac:dyDescent="0.3">
      <c r="A2" s="11"/>
      <c r="B2" s="12"/>
      <c r="C2" s="13" t="s">
        <v>2</v>
      </c>
      <c r="D2" s="14"/>
      <c r="E2" s="14"/>
      <c r="F2" s="14"/>
      <c r="G2" s="15"/>
      <c r="H2" s="16" t="s">
        <v>3</v>
      </c>
      <c r="I2" s="17" t="s">
        <v>99</v>
      </c>
    </row>
    <row r="3" spans="1:9" ht="31.5" customHeight="1" thickBot="1" x14ac:dyDescent="0.3">
      <c r="A3" s="11"/>
      <c r="B3" s="12"/>
      <c r="C3" s="3" t="s">
        <v>79</v>
      </c>
      <c r="D3" s="4"/>
      <c r="E3" s="4"/>
      <c r="F3" s="4"/>
      <c r="G3" s="5"/>
      <c r="H3" s="18" t="s">
        <v>4</v>
      </c>
      <c r="I3" s="19">
        <v>45613</v>
      </c>
    </row>
    <row r="4" spans="1:9" ht="18" customHeight="1" x14ac:dyDescent="0.25">
      <c r="A4" s="11"/>
      <c r="B4" s="12"/>
      <c r="C4" s="20" t="s">
        <v>80</v>
      </c>
      <c r="D4" s="21" t="s">
        <v>81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5</v>
      </c>
      <c r="D5" s="29" t="s">
        <v>6</v>
      </c>
      <c r="E5" s="30"/>
      <c r="F5" s="30"/>
      <c r="G5" s="31"/>
      <c r="H5" s="32"/>
      <c r="I5" s="33"/>
    </row>
    <row r="6" spans="1:9" ht="18.75" thickBot="1" x14ac:dyDescent="0.3">
      <c r="A6" s="1" t="s">
        <v>56</v>
      </c>
      <c r="B6" s="1"/>
      <c r="C6" s="1"/>
      <c r="D6" s="34" t="s">
        <v>21</v>
      </c>
      <c r="E6" s="34"/>
      <c r="F6" s="34"/>
      <c r="G6" s="2" t="s">
        <v>57</v>
      </c>
      <c r="H6" s="2"/>
      <c r="I6" s="35" t="s">
        <v>82</v>
      </c>
    </row>
    <row r="7" spans="1:9" ht="36" x14ac:dyDescent="0.25">
      <c r="A7" s="36" t="s">
        <v>7</v>
      </c>
      <c r="B7" s="37" t="s">
        <v>83</v>
      </c>
      <c r="C7" s="38" t="s">
        <v>8</v>
      </c>
      <c r="D7" s="38" t="s">
        <v>9</v>
      </c>
      <c r="E7" s="38" t="s">
        <v>10</v>
      </c>
      <c r="F7" s="38"/>
      <c r="G7" s="38" t="s">
        <v>11</v>
      </c>
      <c r="H7" s="38"/>
      <c r="I7" s="39" t="s">
        <v>12</v>
      </c>
    </row>
    <row r="8" spans="1:9" ht="54.75" thickBot="1" x14ac:dyDescent="0.3">
      <c r="A8" s="40"/>
      <c r="B8" s="41"/>
      <c r="C8" s="42"/>
      <c r="D8" s="42"/>
      <c r="E8" s="43" t="s">
        <v>13</v>
      </c>
      <c r="F8" s="44" t="s">
        <v>14</v>
      </c>
      <c r="G8" s="43" t="s">
        <v>13</v>
      </c>
      <c r="H8" s="44" t="s">
        <v>14</v>
      </c>
      <c r="I8" s="45" t="s">
        <v>15</v>
      </c>
    </row>
    <row r="9" spans="1:9" ht="18.75" x14ac:dyDescent="0.3">
      <c r="A9" s="46"/>
      <c r="B9" s="47"/>
      <c r="C9" s="48" t="s">
        <v>16</v>
      </c>
      <c r="D9" s="49"/>
      <c r="E9" s="50"/>
      <c r="F9" s="51"/>
      <c r="G9" s="50"/>
      <c r="H9" s="51"/>
      <c r="I9" s="52"/>
    </row>
    <row r="10" spans="1:9" ht="18" customHeight="1" x14ac:dyDescent="0.3">
      <c r="A10" s="53">
        <v>907000310</v>
      </c>
      <c r="B10" s="54" t="s">
        <v>66</v>
      </c>
      <c r="C10" s="55" t="s">
        <v>59</v>
      </c>
      <c r="D10" s="56" t="s">
        <v>17</v>
      </c>
      <c r="E10" s="57">
        <v>390</v>
      </c>
      <c r="F10" s="58" t="s">
        <v>18</v>
      </c>
      <c r="G10" s="59"/>
      <c r="H10" s="60" t="s">
        <v>84</v>
      </c>
      <c r="I10" s="52"/>
    </row>
    <row r="11" spans="1:9" ht="18.75" x14ac:dyDescent="0.3">
      <c r="A11" s="53">
        <v>908000021</v>
      </c>
      <c r="B11" s="61" t="s">
        <v>67</v>
      </c>
      <c r="C11" s="62" t="s">
        <v>19</v>
      </c>
      <c r="D11" s="56" t="s">
        <v>17</v>
      </c>
      <c r="E11" s="63">
        <v>150</v>
      </c>
      <c r="F11" s="64" t="s">
        <v>18</v>
      </c>
      <c r="G11" s="59"/>
      <c r="H11" s="60" t="s">
        <v>85</v>
      </c>
      <c r="I11" s="52"/>
    </row>
    <row r="12" spans="1:9" ht="18.75" x14ac:dyDescent="0.3">
      <c r="A12" s="53">
        <v>902000085</v>
      </c>
      <c r="B12" s="61" t="s">
        <v>68</v>
      </c>
      <c r="C12" s="62" t="s">
        <v>20</v>
      </c>
      <c r="D12" s="56" t="s">
        <v>17</v>
      </c>
      <c r="E12" s="63">
        <v>350</v>
      </c>
      <c r="F12" s="64" t="s">
        <v>18</v>
      </c>
      <c r="G12" s="65"/>
      <c r="H12" s="60" t="s">
        <v>86</v>
      </c>
      <c r="I12" s="52"/>
    </row>
    <row r="13" spans="1:9" ht="18.75" x14ac:dyDescent="0.3">
      <c r="A13" s="53">
        <v>902000151</v>
      </c>
      <c r="B13" s="61" t="s">
        <v>69</v>
      </c>
      <c r="C13" s="62" t="s">
        <v>58</v>
      </c>
      <c r="D13" s="56" t="s">
        <v>17</v>
      </c>
      <c r="E13" s="63">
        <v>360</v>
      </c>
      <c r="F13" s="64" t="s">
        <v>18</v>
      </c>
      <c r="G13" s="65"/>
      <c r="H13" s="60" t="s">
        <v>87</v>
      </c>
      <c r="I13" s="52"/>
    </row>
    <row r="14" spans="1:9" ht="18.75" x14ac:dyDescent="0.3">
      <c r="A14" s="66"/>
      <c r="B14" s="67"/>
      <c r="C14" s="68"/>
      <c r="D14" s="65"/>
      <c r="E14" s="65"/>
      <c r="F14" s="69"/>
      <c r="G14" s="65"/>
      <c r="H14" s="60"/>
      <c r="I14" s="52"/>
    </row>
    <row r="15" spans="1:9" ht="18.75" x14ac:dyDescent="0.3">
      <c r="A15" s="70"/>
      <c r="B15" s="67"/>
      <c r="C15" s="71"/>
      <c r="D15" s="65"/>
      <c r="E15" s="65"/>
      <c r="F15" s="69"/>
      <c r="G15" s="65"/>
      <c r="H15" s="60"/>
      <c r="I15" s="52"/>
    </row>
    <row r="16" spans="1:9" ht="18.75" x14ac:dyDescent="0.3">
      <c r="A16" s="65"/>
      <c r="B16" s="65"/>
      <c r="C16" s="72"/>
      <c r="D16" s="73"/>
      <c r="E16" s="73"/>
      <c r="F16" s="59"/>
      <c r="G16" s="65"/>
      <c r="H16" s="60"/>
      <c r="I16" s="52"/>
    </row>
    <row r="17" spans="1:9" ht="18.75" x14ac:dyDescent="0.3">
      <c r="A17" s="67"/>
      <c r="B17" s="67"/>
      <c r="C17" s="74"/>
      <c r="D17" s="65"/>
      <c r="E17" s="65"/>
      <c r="F17" s="69"/>
      <c r="G17" s="65"/>
      <c r="H17" s="60"/>
      <c r="I17" s="52"/>
    </row>
    <row r="18" spans="1:9" ht="18.75" x14ac:dyDescent="0.3">
      <c r="A18" s="66"/>
      <c r="B18" s="67"/>
      <c r="C18" s="68"/>
      <c r="D18" s="65"/>
      <c r="E18" s="65"/>
      <c r="F18" s="69"/>
      <c r="G18" s="65"/>
      <c r="H18" s="60"/>
      <c r="I18" s="52"/>
    </row>
    <row r="19" spans="1:9" ht="18.75" x14ac:dyDescent="0.3">
      <c r="A19" s="70"/>
      <c r="B19" s="67"/>
      <c r="C19" s="71"/>
      <c r="D19" s="65"/>
      <c r="E19" s="65"/>
      <c r="F19" s="69"/>
      <c r="G19" s="65"/>
      <c r="H19" s="60"/>
      <c r="I19" s="52"/>
    </row>
    <row r="20" spans="1:9" ht="18.75" x14ac:dyDescent="0.3">
      <c r="A20" s="54"/>
      <c r="B20" s="54"/>
      <c r="C20" s="75"/>
      <c r="D20" s="76"/>
      <c r="E20" s="77"/>
      <c r="F20" s="58"/>
      <c r="G20" s="78"/>
      <c r="H20" s="60"/>
      <c r="I20" s="52"/>
    </row>
    <row r="21" spans="1:9" ht="18.75" x14ac:dyDescent="0.3">
      <c r="A21" s="79"/>
      <c r="B21" s="79"/>
      <c r="C21" s="80"/>
      <c r="D21" s="81"/>
      <c r="E21" s="82"/>
      <c r="F21" s="83"/>
      <c r="G21" s="78"/>
      <c r="H21" s="60"/>
      <c r="I21" s="52"/>
    </row>
    <row r="22" spans="1:9" ht="18.75" x14ac:dyDescent="0.3">
      <c r="A22" s="79"/>
      <c r="B22" s="79"/>
      <c r="C22" s="80"/>
      <c r="D22" s="81"/>
      <c r="E22" s="82"/>
      <c r="F22" s="83"/>
      <c r="G22" s="50"/>
      <c r="H22" s="60"/>
      <c r="I22" s="52"/>
    </row>
    <row r="23" spans="1:9" ht="18.75" x14ac:dyDescent="0.3">
      <c r="A23" s="84"/>
      <c r="B23" s="85"/>
      <c r="C23" s="86" t="s">
        <v>21</v>
      </c>
      <c r="D23" s="87"/>
      <c r="E23" s="88"/>
      <c r="F23" s="89"/>
      <c r="G23" s="50"/>
      <c r="H23" s="51"/>
      <c r="I23" s="52"/>
    </row>
    <row r="24" spans="1:9" ht="18.75" x14ac:dyDescent="0.3">
      <c r="A24" s="53">
        <v>910000018</v>
      </c>
      <c r="B24" s="90" t="s">
        <v>70</v>
      </c>
      <c r="C24" s="55" t="s">
        <v>60</v>
      </c>
      <c r="D24" s="56" t="s">
        <v>17</v>
      </c>
      <c r="E24" s="63">
        <v>160</v>
      </c>
      <c r="F24" s="64" t="s">
        <v>18</v>
      </c>
      <c r="G24" s="50"/>
      <c r="H24" s="51" t="s">
        <v>88</v>
      </c>
      <c r="I24" s="52"/>
    </row>
    <row r="25" spans="1:9" ht="18.75" x14ac:dyDescent="0.3">
      <c r="A25" s="53">
        <v>910000006</v>
      </c>
      <c r="B25" s="90" t="s">
        <v>71</v>
      </c>
      <c r="C25" s="55" t="s">
        <v>61</v>
      </c>
      <c r="D25" s="56" t="s">
        <v>17</v>
      </c>
      <c r="E25" s="91">
        <v>20</v>
      </c>
      <c r="F25" s="64" t="s">
        <v>18</v>
      </c>
      <c r="G25" s="50"/>
      <c r="H25" s="51" t="s">
        <v>89</v>
      </c>
      <c r="I25" s="52"/>
    </row>
    <row r="26" spans="1:9" ht="37.5" x14ac:dyDescent="0.3">
      <c r="A26" s="53">
        <v>910000018</v>
      </c>
      <c r="B26" s="90" t="s">
        <v>70</v>
      </c>
      <c r="C26" s="55" t="s">
        <v>60</v>
      </c>
      <c r="D26" s="56" t="s">
        <v>17</v>
      </c>
      <c r="E26" s="63">
        <v>60</v>
      </c>
      <c r="F26" s="64" t="s">
        <v>18</v>
      </c>
      <c r="G26" s="50"/>
      <c r="H26" s="51" t="s">
        <v>90</v>
      </c>
      <c r="I26" s="52"/>
    </row>
    <row r="27" spans="1:9" ht="18.75" x14ac:dyDescent="0.3">
      <c r="A27" s="53"/>
      <c r="B27" s="92" t="s">
        <v>97</v>
      </c>
      <c r="C27" s="93" t="s">
        <v>95</v>
      </c>
      <c r="D27" s="56" t="s">
        <v>17</v>
      </c>
      <c r="E27" s="94">
        <v>130</v>
      </c>
      <c r="F27" s="95" t="s">
        <v>18</v>
      </c>
      <c r="G27" s="50"/>
      <c r="H27" s="51" t="s">
        <v>91</v>
      </c>
      <c r="I27" s="52"/>
    </row>
    <row r="28" spans="1:9" ht="18.75" x14ac:dyDescent="0.3">
      <c r="A28" s="53"/>
      <c r="B28" s="90"/>
      <c r="C28" s="55"/>
      <c r="D28" s="56"/>
      <c r="E28" s="57"/>
      <c r="F28" s="95"/>
      <c r="G28" s="50"/>
      <c r="H28" s="51"/>
      <c r="I28" s="52"/>
    </row>
    <row r="29" spans="1:9" ht="18.75" x14ac:dyDescent="0.3">
      <c r="A29" s="96"/>
      <c r="B29" s="96"/>
      <c r="C29" s="97"/>
      <c r="D29" s="98"/>
      <c r="E29" s="99"/>
      <c r="F29" s="100"/>
      <c r="G29" s="50"/>
      <c r="H29" s="51"/>
      <c r="I29" s="52"/>
    </row>
    <row r="30" spans="1:9" ht="18.75" x14ac:dyDescent="0.3">
      <c r="A30" s="79"/>
      <c r="B30" s="79"/>
      <c r="C30" s="80"/>
      <c r="D30" s="101"/>
      <c r="E30" s="102"/>
      <c r="F30" s="100"/>
      <c r="G30" s="50"/>
      <c r="H30" s="51"/>
      <c r="I30" s="52"/>
    </row>
    <row r="31" spans="1:9" ht="18.75" x14ac:dyDescent="0.3">
      <c r="A31" s="79"/>
      <c r="B31" s="79"/>
      <c r="C31" s="80"/>
      <c r="D31" s="101"/>
      <c r="E31" s="91"/>
      <c r="F31" s="103"/>
      <c r="G31" s="50"/>
      <c r="H31" s="51"/>
      <c r="I31" s="52"/>
    </row>
    <row r="32" spans="1:9" ht="18.75" x14ac:dyDescent="0.3">
      <c r="A32" s="104"/>
      <c r="B32" s="105"/>
      <c r="C32" s="106" t="s">
        <v>23</v>
      </c>
      <c r="D32" s="107"/>
      <c r="E32" s="108"/>
      <c r="F32" s="51"/>
      <c r="G32" s="50"/>
      <c r="H32" s="97"/>
      <c r="I32" s="52"/>
    </row>
    <row r="33" spans="1:9" ht="18.75" x14ac:dyDescent="0.3">
      <c r="A33" s="96" t="s">
        <v>24</v>
      </c>
      <c r="B33" s="96" t="s">
        <v>72</v>
      </c>
      <c r="C33" s="97" t="s">
        <v>25</v>
      </c>
      <c r="D33" s="56" t="s">
        <v>26</v>
      </c>
      <c r="E33" s="63">
        <v>1</v>
      </c>
      <c r="F33" s="64" t="s">
        <v>22</v>
      </c>
      <c r="G33" s="109"/>
      <c r="H33" s="51"/>
      <c r="I33" s="52"/>
    </row>
    <row r="34" spans="1:9" ht="18.75" x14ac:dyDescent="0.3">
      <c r="A34" s="110" t="s">
        <v>27</v>
      </c>
      <c r="B34" s="110" t="s">
        <v>73</v>
      </c>
      <c r="C34" s="111" t="s">
        <v>28</v>
      </c>
      <c r="D34" s="112" t="s">
        <v>29</v>
      </c>
      <c r="E34" s="113">
        <v>1</v>
      </c>
      <c r="F34" s="114" t="s">
        <v>22</v>
      </c>
      <c r="G34" s="109"/>
      <c r="H34" s="51"/>
      <c r="I34" s="52"/>
    </row>
    <row r="35" spans="1:9" ht="18.75" x14ac:dyDescent="0.3">
      <c r="A35" s="115" t="s">
        <v>30</v>
      </c>
      <c r="B35" s="116" t="s">
        <v>74</v>
      </c>
      <c r="C35" s="117" t="s">
        <v>31</v>
      </c>
      <c r="D35" s="113" t="s">
        <v>32</v>
      </c>
      <c r="E35" s="113">
        <v>1</v>
      </c>
      <c r="F35" s="114" t="s">
        <v>22</v>
      </c>
      <c r="G35" s="109"/>
      <c r="H35" s="51"/>
      <c r="I35" s="52"/>
    </row>
    <row r="36" spans="1:9" ht="18.75" x14ac:dyDescent="0.3">
      <c r="A36" s="110" t="s">
        <v>33</v>
      </c>
      <c r="B36" s="110" t="s">
        <v>75</v>
      </c>
      <c r="C36" s="111" t="s">
        <v>34</v>
      </c>
      <c r="D36" s="113" t="s">
        <v>26</v>
      </c>
      <c r="E36" s="118">
        <v>60</v>
      </c>
      <c r="F36" s="114" t="s">
        <v>35</v>
      </c>
      <c r="G36" s="50"/>
      <c r="H36" s="51"/>
      <c r="I36" s="52"/>
    </row>
    <row r="37" spans="1:9" ht="18.75" x14ac:dyDescent="0.3">
      <c r="A37" s="110" t="s">
        <v>36</v>
      </c>
      <c r="B37" s="110" t="s">
        <v>76</v>
      </c>
      <c r="C37" s="111" t="s">
        <v>37</v>
      </c>
      <c r="D37" s="113" t="s">
        <v>38</v>
      </c>
      <c r="E37" s="113">
        <v>1</v>
      </c>
      <c r="F37" s="114" t="s">
        <v>22</v>
      </c>
      <c r="G37" s="50"/>
      <c r="H37" s="51"/>
      <c r="I37" s="52"/>
    </row>
    <row r="38" spans="1:9" ht="18.75" x14ac:dyDescent="0.3">
      <c r="A38" s="110">
        <v>701096</v>
      </c>
      <c r="B38" s="110" t="s">
        <v>78</v>
      </c>
      <c r="C38" s="111" t="s">
        <v>92</v>
      </c>
      <c r="D38" s="113" t="s">
        <v>39</v>
      </c>
      <c r="E38" s="113">
        <v>1</v>
      </c>
      <c r="F38" s="114" t="s">
        <v>22</v>
      </c>
      <c r="G38" s="119"/>
      <c r="H38" s="51"/>
      <c r="I38" s="52"/>
    </row>
    <row r="39" spans="1:9" ht="18.75" x14ac:dyDescent="0.3">
      <c r="A39" s="120" t="s">
        <v>40</v>
      </c>
      <c r="B39" s="121" t="s">
        <v>77</v>
      </c>
      <c r="C39" s="122" t="s">
        <v>41</v>
      </c>
      <c r="D39" s="123" t="s">
        <v>39</v>
      </c>
      <c r="E39" s="123">
        <v>1</v>
      </c>
      <c r="F39" s="124" t="s">
        <v>22</v>
      </c>
      <c r="G39" s="125"/>
      <c r="H39" s="51"/>
      <c r="I39" s="52"/>
    </row>
    <row r="40" spans="1:9" ht="18.75" x14ac:dyDescent="0.3">
      <c r="A40" s="84"/>
      <c r="B40" s="85"/>
      <c r="C40" s="126"/>
      <c r="D40" s="113"/>
      <c r="E40" s="125"/>
      <c r="F40" s="89"/>
      <c r="G40" s="125"/>
      <c r="H40" s="51"/>
      <c r="I40" s="52"/>
    </row>
    <row r="41" spans="1:9" ht="18.75" x14ac:dyDescent="0.3">
      <c r="A41" s="84"/>
      <c r="B41" s="85"/>
      <c r="C41" s="126"/>
      <c r="D41" s="87"/>
      <c r="E41" s="87"/>
      <c r="F41" s="89"/>
      <c r="G41" s="87"/>
      <c r="H41" s="87"/>
      <c r="I41" s="52"/>
    </row>
    <row r="42" spans="1:9" ht="18.75" thickBot="1" x14ac:dyDescent="0.3">
      <c r="A42" s="127"/>
      <c r="B42" s="128"/>
      <c r="C42" s="129"/>
      <c r="D42" s="129"/>
      <c r="E42" s="130"/>
      <c r="F42" s="131"/>
      <c r="G42" s="129"/>
      <c r="H42" s="129"/>
      <c r="I42" s="132"/>
    </row>
    <row r="43" spans="1:9" ht="18.75" thickBot="1" x14ac:dyDescent="0.3">
      <c r="A43" s="133"/>
      <c r="B43" s="134"/>
      <c r="C43" s="135"/>
      <c r="D43" s="136" t="s">
        <v>13</v>
      </c>
      <c r="E43" s="137" t="s">
        <v>42</v>
      </c>
      <c r="F43" s="138"/>
      <c r="G43" s="135"/>
      <c r="H43" s="135"/>
      <c r="I43" s="139"/>
    </row>
    <row r="44" spans="1:9" ht="18" x14ac:dyDescent="0.25">
      <c r="A44" s="140" t="s">
        <v>43</v>
      </c>
      <c r="B44" s="141"/>
      <c r="C44" s="142"/>
      <c r="D44" s="102">
        <v>1310</v>
      </c>
      <c r="E44" s="143" t="s">
        <v>18</v>
      </c>
      <c r="F44" s="144" t="s">
        <v>44</v>
      </c>
      <c r="G44" s="144"/>
      <c r="H44" s="145"/>
      <c r="I44" s="146"/>
    </row>
    <row r="45" spans="1:9" ht="18" x14ac:dyDescent="0.25">
      <c r="A45" s="147" t="s">
        <v>45</v>
      </c>
      <c r="B45" s="148"/>
      <c r="C45" s="149"/>
      <c r="D45" s="65">
        <v>7</v>
      </c>
      <c r="E45" s="65" t="s">
        <v>46</v>
      </c>
      <c r="F45" s="150" t="s">
        <v>47</v>
      </c>
      <c r="G45" s="150"/>
      <c r="H45" s="151"/>
      <c r="I45" s="152"/>
    </row>
    <row r="46" spans="1:9" ht="18" x14ac:dyDescent="0.25">
      <c r="A46" s="147" t="s">
        <v>48</v>
      </c>
      <c r="B46" s="148"/>
      <c r="C46" s="149"/>
      <c r="D46" s="65">
        <v>1</v>
      </c>
      <c r="E46" s="65" t="s">
        <v>49</v>
      </c>
      <c r="F46" s="150" t="s">
        <v>50</v>
      </c>
      <c r="G46" s="150"/>
      <c r="H46" s="151"/>
      <c r="I46" s="152"/>
    </row>
    <row r="47" spans="1:9" ht="18" x14ac:dyDescent="0.25">
      <c r="A47" s="147" t="s">
        <v>51</v>
      </c>
      <c r="B47" s="148"/>
      <c r="C47" s="149"/>
      <c r="D47" s="91">
        <v>1310</v>
      </c>
      <c r="E47" s="65" t="s">
        <v>18</v>
      </c>
      <c r="F47" s="153" t="s">
        <v>52</v>
      </c>
      <c r="G47" s="154"/>
      <c r="H47" s="155"/>
      <c r="I47" s="156"/>
    </row>
    <row r="48" spans="1:9" ht="18.75" thickBot="1" x14ac:dyDescent="0.3">
      <c r="A48" s="157" t="s">
        <v>53</v>
      </c>
      <c r="B48" s="158"/>
      <c r="C48" s="159"/>
      <c r="D48" s="160">
        <f>SUM(E10:E27)-D44</f>
        <v>310</v>
      </c>
      <c r="E48" s="161" t="s">
        <v>18</v>
      </c>
      <c r="F48" s="162"/>
      <c r="G48" s="162"/>
      <c r="H48" s="151"/>
      <c r="I48" s="152"/>
    </row>
    <row r="49" spans="1:9" ht="18.75" thickBot="1" x14ac:dyDescent="0.3">
      <c r="A49" s="163" t="s">
        <v>54</v>
      </c>
      <c r="B49" s="164"/>
      <c r="C49" s="164"/>
      <c r="D49" s="164"/>
      <c r="E49" s="164"/>
      <c r="F49" s="164"/>
      <c r="G49" s="164"/>
      <c r="H49" s="164"/>
      <c r="I49" s="165"/>
    </row>
    <row r="50" spans="1:9" ht="18.399999999999999" customHeight="1" x14ac:dyDescent="0.25">
      <c r="A50" s="166" t="s">
        <v>55</v>
      </c>
      <c r="B50" s="167"/>
      <c r="C50" s="168"/>
      <c r="D50" s="168"/>
      <c r="E50" s="168"/>
      <c r="F50" s="168"/>
      <c r="G50" s="168"/>
      <c r="H50" s="168"/>
      <c r="I50" s="169"/>
    </row>
    <row r="51" spans="1:9" ht="14.65" customHeight="1" x14ac:dyDescent="0.25">
      <c r="A51" s="170" t="s">
        <v>65</v>
      </c>
      <c r="B51" s="171"/>
      <c r="C51" s="172"/>
      <c r="D51" s="172"/>
      <c r="E51" s="172"/>
      <c r="F51" s="172"/>
      <c r="G51" s="172"/>
      <c r="H51" s="172"/>
      <c r="I51" s="173"/>
    </row>
    <row r="52" spans="1:9" ht="14.65" customHeight="1" x14ac:dyDescent="0.25">
      <c r="A52" s="174" t="s">
        <v>62</v>
      </c>
      <c r="B52" s="175"/>
      <c r="C52" s="176"/>
      <c r="D52" s="176"/>
      <c r="E52" s="176"/>
      <c r="F52" s="176"/>
      <c r="G52" s="176"/>
      <c r="H52" s="176"/>
      <c r="I52" s="177"/>
    </row>
    <row r="53" spans="1:9" ht="14.65" customHeight="1" x14ac:dyDescent="0.25">
      <c r="A53" s="178" t="s">
        <v>96</v>
      </c>
      <c r="B53" s="179"/>
      <c r="C53" s="179"/>
      <c r="D53" s="179"/>
      <c r="E53" s="179"/>
      <c r="F53" s="179"/>
      <c r="G53" s="179"/>
      <c r="H53" s="179"/>
      <c r="I53" s="180"/>
    </row>
    <row r="54" spans="1:9" ht="14.65" customHeight="1" x14ac:dyDescent="0.25">
      <c r="A54" s="170" t="s">
        <v>63</v>
      </c>
      <c r="B54" s="171"/>
      <c r="C54" s="172"/>
      <c r="D54" s="172"/>
      <c r="E54" s="172"/>
      <c r="F54" s="172"/>
      <c r="G54" s="172"/>
      <c r="H54" s="172"/>
      <c r="I54" s="173"/>
    </row>
    <row r="55" spans="1:9" ht="14.65" customHeight="1" x14ac:dyDescent="0.25">
      <c r="A55" s="174" t="s">
        <v>64</v>
      </c>
      <c r="B55" s="175"/>
      <c r="C55" s="176"/>
      <c r="D55" s="176"/>
      <c r="E55" s="176"/>
      <c r="F55" s="176"/>
      <c r="G55" s="176"/>
      <c r="H55" s="176"/>
      <c r="I55" s="177"/>
    </row>
    <row r="56" spans="1:9" ht="18" customHeight="1" x14ac:dyDescent="0.25">
      <c r="A56" s="181"/>
      <c r="B56" s="182"/>
      <c r="C56" s="182"/>
      <c r="D56" s="182"/>
      <c r="E56" s="182"/>
      <c r="F56" s="182"/>
      <c r="G56" s="182"/>
      <c r="H56" s="182"/>
      <c r="I56" s="171"/>
    </row>
    <row r="57" spans="1:9" ht="18.75" thickBot="1" x14ac:dyDescent="0.3">
      <c r="A57" s="183"/>
      <c r="B57" s="184"/>
      <c r="C57" s="184"/>
      <c r="D57" s="184"/>
      <c r="E57" s="184"/>
      <c r="F57" s="184"/>
      <c r="G57" s="184"/>
      <c r="H57" s="184"/>
      <c r="I57" s="185"/>
    </row>
    <row r="58" spans="1:9" ht="19.5" thickBot="1" x14ac:dyDescent="0.35">
      <c r="A58" s="186"/>
      <c r="B58" s="187"/>
      <c r="C58" s="187"/>
      <c r="D58" s="187"/>
      <c r="E58" s="187"/>
      <c r="F58" s="187"/>
      <c r="G58" s="187"/>
      <c r="H58" s="187"/>
      <c r="I58" s="188"/>
    </row>
    <row r="59" spans="1:9" ht="18" x14ac:dyDescent="0.25">
      <c r="A59" s="189" t="s">
        <v>93</v>
      </c>
      <c r="B59" s="190"/>
      <c r="C59" s="190"/>
      <c r="D59" s="190"/>
      <c r="E59" s="190"/>
      <c r="F59" s="190"/>
      <c r="G59" s="190"/>
      <c r="H59" s="190"/>
      <c r="I59" s="190"/>
    </row>
    <row r="60" spans="1:9" ht="18" x14ac:dyDescent="0.25">
      <c r="A60" s="29" t="s">
        <v>98</v>
      </c>
      <c r="B60" s="30"/>
      <c r="C60" s="30"/>
      <c r="D60" s="30"/>
      <c r="E60" s="30"/>
      <c r="F60" s="30"/>
      <c r="G60" s="30"/>
      <c r="H60" s="30"/>
      <c r="I60" s="31"/>
    </row>
    <row r="61" spans="1:9" ht="18" x14ac:dyDescent="0.25">
      <c r="A61" s="191"/>
      <c r="B61" s="192"/>
      <c r="C61" s="192"/>
      <c r="D61" s="192"/>
      <c r="E61" s="192"/>
      <c r="F61" s="192"/>
      <c r="G61" s="192"/>
      <c r="H61" s="192"/>
      <c r="I61" s="1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B39D08-389B-49B0-973A-37317C5D70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207572-F14F-4825-9C9C-678D70D6105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010FC15-B3E8-494B-BD63-97B7D0033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2025-02-18T15:28:46Z</cp:lastPrinted>
  <dcterms:created xsi:type="dcterms:W3CDTF">2021-06-10T19:10:06Z</dcterms:created>
  <dcterms:modified xsi:type="dcterms:W3CDTF">2025-02-18T15:28:47Z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766800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
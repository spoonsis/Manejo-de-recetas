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ED10D5A2-7900-4BC5-AF37-B08B4CA99151}" xr6:coauthVersionLast="47" xr6:coauthVersionMax="47" xr10:uidLastSave="{D602D77F-B857-4888-AF25-C2A181789C13}"/>
  <bookViews>
    <workbookView xWindow="20370" yWindow="-120" windowWidth="24240" windowHeight="13020" tabRatio="832" firstSheet="9" activeTab="9" xr2:uid="{86A95AF8-34C1-4DB7-AE30-E3F9DEB6557E}"/>
  </bookViews>
  <sheets>
    <sheet name="Torta Frambuesa Local" sheetId="2" state="hidden" r:id="rId1"/>
    <sheet name="Torta Frambuesa 2" sheetId="12" state="hidden" r:id="rId2"/>
    <sheet name="Torta de Frambuesa 3" sheetId="17" state="hidden" r:id="rId3"/>
    <sheet name="Costo Torta " sheetId="11" state="hidden" r:id="rId4"/>
    <sheet name="Crema Rosada " sheetId="6" state="hidden" r:id="rId5"/>
    <sheet name="Costo Crema Rosada " sheetId="10" state="hidden" r:id="rId6"/>
    <sheet name="Relleno de Frambuesa" sheetId="4" state="hidden" r:id="rId7"/>
    <sheet name="Costo relleno de Frambuesa" sheetId="9" state="hidden" r:id="rId8"/>
    <sheet name="Costo  empaq Relleno Frambuesa" sheetId="8" state="hidden" r:id="rId9"/>
    <sheet name="Relleno Crema Pastelera " sheetId="18" r:id="rId10"/>
    <sheet name="Costo Relleno Crema Pastelera" sheetId="23" state="hidden" r:id="rId11"/>
    <sheet name="Batido Nucleo Vainilla Dawn" sheetId="14" state="hidden" r:id="rId12"/>
    <sheet name="Premezcla Nucleo Vainilla Dawn" sheetId="15" state="hidden" r:id="rId13"/>
    <sheet name="Costo Rosq Vainilla Dawn 200 g " sheetId="7" state="hidden" r:id="rId14"/>
    <sheet name="Crema Beidge " sheetId="13" state="hidden" r:id="rId15"/>
    <sheet name="Crema Blanca Supremo" sheetId="16" state="hidden" r:id="rId16"/>
    <sheet name="Leches Past con agua " sheetId="19" state="hidden" r:id="rId17"/>
    <sheet name="Mezcla leche Pasteurizada " sheetId="20" state="hidden" r:id="rId18"/>
    <sheet name="Caramelo con choc blanco" sheetId="21" state="hidden" r:id="rId19"/>
    <sheet name="Caramelo Crocante" sheetId="22" state="hidden" r:id="rId20"/>
  </sheets>
  <externalReferences>
    <externalReference r:id="rId21"/>
    <externalReference r:id="rId22"/>
  </externalReferences>
  <definedNames>
    <definedName name="_xlnm.Print_Area" localSheetId="9">'Relleno Crema Pastelera '!$A$1:$I$41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8" l="1"/>
  <c r="D73" i="23"/>
  <c r="D74" i="23" s="1"/>
  <c r="D76" i="23" s="1"/>
  <c r="D71" i="23"/>
  <c r="D69" i="23"/>
  <c r="F65" i="23"/>
  <c r="E51" i="23" s="1"/>
  <c r="D60" i="23"/>
  <c r="D85" i="23" s="1"/>
  <c r="D86" i="23" s="1"/>
  <c r="C51" i="23"/>
  <c r="E50" i="23"/>
  <c r="D50" i="23"/>
  <c r="B50" i="23"/>
  <c r="E49" i="23"/>
  <c r="D49" i="23"/>
  <c r="B49" i="23"/>
  <c r="E48" i="23"/>
  <c r="D48" i="23"/>
  <c r="B48" i="23"/>
  <c r="E47" i="23"/>
  <c r="D47" i="23"/>
  <c r="B47" i="23"/>
  <c r="E46" i="23"/>
  <c r="D46" i="23"/>
  <c r="B46" i="23"/>
  <c r="E45" i="23"/>
  <c r="D45" i="23"/>
  <c r="B45" i="23"/>
  <c r="E44" i="23"/>
  <c r="D44" i="23"/>
  <c r="B44" i="23"/>
  <c r="E41" i="23"/>
  <c r="D41" i="23"/>
  <c r="B41" i="23"/>
  <c r="A41" i="23"/>
  <c r="A50" i="23" s="1"/>
  <c r="C50" i="23" s="1"/>
  <c r="E40" i="23"/>
  <c r="D40" i="23"/>
  <c r="B40" i="23"/>
  <c r="A40" i="23"/>
  <c r="A49" i="23" s="1"/>
  <c r="C49" i="23" s="1"/>
  <c r="E39" i="23"/>
  <c r="D39" i="23"/>
  <c r="B39" i="23"/>
  <c r="A39" i="23"/>
  <c r="C39" i="23" s="1"/>
  <c r="E38" i="23"/>
  <c r="D38" i="23"/>
  <c r="B38" i="23"/>
  <c r="A38" i="23"/>
  <c r="C38" i="23" s="1"/>
  <c r="E37" i="23"/>
  <c r="D37" i="23"/>
  <c r="B37" i="23"/>
  <c r="A37" i="23"/>
  <c r="A46" i="23" s="1"/>
  <c r="C46" i="23" s="1"/>
  <c r="E36" i="23"/>
  <c r="D36" i="23"/>
  <c r="B36" i="23"/>
  <c r="A36" i="23"/>
  <c r="A45" i="23" s="1"/>
  <c r="C45" i="23" s="1"/>
  <c r="E35" i="23"/>
  <c r="F35" i="23" s="1"/>
  <c r="D35" i="23"/>
  <c r="B35" i="23"/>
  <c r="A35" i="23"/>
  <c r="C35" i="23" s="1"/>
  <c r="E32" i="23"/>
  <c r="D32" i="23"/>
  <c r="C32" i="23"/>
  <c r="B32" i="23"/>
  <c r="E31" i="23"/>
  <c r="D31" i="23"/>
  <c r="C31" i="23"/>
  <c r="B31" i="23"/>
  <c r="E30" i="23"/>
  <c r="D30" i="23"/>
  <c r="C30" i="23"/>
  <c r="B30" i="23"/>
  <c r="E29" i="23"/>
  <c r="D29" i="23"/>
  <c r="C29" i="23"/>
  <c r="B29" i="23"/>
  <c r="E28" i="23"/>
  <c r="D28" i="23"/>
  <c r="C28" i="23"/>
  <c r="B28" i="23"/>
  <c r="E27" i="23"/>
  <c r="D27" i="23"/>
  <c r="C27" i="23"/>
  <c r="B27" i="23"/>
  <c r="E24" i="23"/>
  <c r="F24" i="23" s="1"/>
  <c r="D24" i="23"/>
  <c r="C24" i="23"/>
  <c r="B24" i="23"/>
  <c r="E23" i="23"/>
  <c r="F23" i="23" s="1"/>
  <c r="D23" i="23"/>
  <c r="C23" i="23"/>
  <c r="B23" i="23"/>
  <c r="E22" i="23"/>
  <c r="F22" i="23" s="1"/>
  <c r="D22" i="23"/>
  <c r="C22" i="23"/>
  <c r="B22" i="23"/>
  <c r="E21" i="23"/>
  <c r="F21" i="23" s="1"/>
  <c r="D21" i="23"/>
  <c r="C21" i="23"/>
  <c r="B21" i="23"/>
  <c r="E20" i="23"/>
  <c r="F20" i="23" s="1"/>
  <c r="D20" i="23"/>
  <c r="C20" i="23"/>
  <c r="B20" i="23"/>
  <c r="E19" i="23"/>
  <c r="F19" i="23" s="1"/>
  <c r="D19" i="23"/>
  <c r="C19" i="23"/>
  <c r="B19" i="23"/>
  <c r="E18" i="23"/>
  <c r="F18" i="23" s="1"/>
  <c r="D18" i="23"/>
  <c r="C18" i="23"/>
  <c r="B18" i="23"/>
  <c r="E17" i="23"/>
  <c r="F17" i="23" s="1"/>
  <c r="D17" i="23"/>
  <c r="C17" i="23"/>
  <c r="B17" i="23"/>
  <c r="B15" i="23"/>
  <c r="C14" i="23"/>
  <c r="F14" i="23" s="1"/>
  <c r="C13" i="23"/>
  <c r="C12" i="23"/>
  <c r="C11" i="23"/>
  <c r="C10" i="23"/>
  <c r="C9" i="23"/>
  <c r="C8" i="23"/>
  <c r="H6" i="23"/>
  <c r="F27" i="23" l="1"/>
  <c r="F30" i="23"/>
  <c r="F29" i="23"/>
  <c r="F32" i="23"/>
  <c r="D81" i="23"/>
  <c r="F45" i="23"/>
  <c r="F41" i="23"/>
  <c r="F49" i="23"/>
  <c r="C41" i="23"/>
  <c r="F28" i="23"/>
  <c r="F31" i="23"/>
  <c r="C36" i="23"/>
  <c r="F39" i="23"/>
  <c r="F36" i="23"/>
  <c r="A44" i="23"/>
  <c r="C44" i="23" s="1"/>
  <c r="F44" i="23" s="1"/>
  <c r="C37" i="23"/>
  <c r="F37" i="23" s="1"/>
  <c r="C40" i="23"/>
  <c r="F40" i="23" s="1"/>
  <c r="F13" i="23"/>
  <c r="F11" i="23"/>
  <c r="F10" i="23"/>
  <c r="F9" i="23"/>
  <c r="F8" i="23"/>
  <c r="F12" i="23"/>
  <c r="F38" i="23"/>
  <c r="F46" i="23"/>
  <c r="F50" i="23"/>
  <c r="F51" i="23"/>
  <c r="A47" i="23"/>
  <c r="C47" i="23" s="1"/>
  <c r="F47" i="23" s="1"/>
  <c r="C73" i="23"/>
  <c r="D83" i="23"/>
  <c r="A48" i="23"/>
  <c r="C48" i="23" s="1"/>
  <c r="F48" i="23" s="1"/>
  <c r="F54" i="23" l="1"/>
  <c r="C76" i="23" s="1"/>
  <c r="E76" i="23" s="1"/>
  <c r="E40" i="11" s="1"/>
  <c r="F53" i="23"/>
  <c r="C69" i="23" s="1"/>
  <c r="F56" i="23"/>
  <c r="C85" i="23"/>
  <c r="E85" i="23" s="1"/>
  <c r="E73" i="23"/>
  <c r="H54" i="23" l="1"/>
  <c r="G2" i="23" s="1"/>
  <c r="H53" i="23"/>
  <c r="F2" i="23" s="1"/>
  <c r="F64" i="23"/>
  <c r="F55" i="23"/>
  <c r="O54" i="23" s="1"/>
  <c r="H56" i="23"/>
  <c r="C74" i="23"/>
  <c r="E69" i="23"/>
  <c r="E22" i="11" s="1"/>
  <c r="C81" i="23"/>
  <c r="E81" i="23" s="1"/>
  <c r="H55" i="23" l="1"/>
  <c r="F63" i="23"/>
  <c r="C71" i="23" s="1"/>
  <c r="O56" i="23"/>
  <c r="C86" i="23"/>
  <c r="E86" i="23" s="1"/>
  <c r="E74" i="23"/>
  <c r="O55" i="23"/>
  <c r="H58" i="23"/>
  <c r="H59" i="23" s="1"/>
  <c r="O58" i="23" s="1"/>
  <c r="H2" i="23"/>
  <c r="F66" i="23" l="1"/>
  <c r="G63" i="23" s="1"/>
  <c r="O57" i="23"/>
  <c r="O59" i="23" s="1"/>
  <c r="E78" i="23"/>
  <c r="E49" i="11"/>
  <c r="E63" i="23"/>
  <c r="C83" i="23"/>
  <c r="E83" i="23" s="1"/>
  <c r="E71" i="23"/>
  <c r="G38" i="23" l="1"/>
  <c r="G50" i="23"/>
  <c r="G14" i="23"/>
  <c r="G22" i="23"/>
  <c r="G37" i="23"/>
  <c r="G45" i="23"/>
  <c r="G11" i="23"/>
  <c r="G17" i="23"/>
  <c r="G55" i="23"/>
  <c r="G46" i="23"/>
  <c r="G20" i="23"/>
  <c r="G36" i="23"/>
  <c r="G12" i="23"/>
  <c r="G56" i="23"/>
  <c r="G39" i="23"/>
  <c r="G27" i="23"/>
  <c r="G29" i="23"/>
  <c r="G51" i="23"/>
  <c r="G41" i="23"/>
  <c r="G32" i="23"/>
  <c r="G35" i="23"/>
  <c r="G53" i="23"/>
  <c r="G21" i="23"/>
  <c r="G9" i="23"/>
  <c r="G49" i="23"/>
  <c r="G54" i="23"/>
  <c r="G19" i="23"/>
  <c r="G13" i="23"/>
  <c r="G65" i="23"/>
  <c r="G64" i="23"/>
  <c r="G30" i="23"/>
  <c r="G44" i="23"/>
  <c r="G40" i="23"/>
  <c r="G24" i="23"/>
  <c r="G66" i="23"/>
  <c r="G18" i="23"/>
  <c r="G48" i="23"/>
  <c r="G28" i="23"/>
  <c r="G10" i="23"/>
  <c r="G31" i="23"/>
  <c r="G47" i="23"/>
  <c r="G8" i="23"/>
  <c r="G23" i="23"/>
  <c r="O60" i="23"/>
  <c r="O61" i="23" s="1"/>
  <c r="O62" i="23" s="1"/>
  <c r="E2" i="23" l="1"/>
  <c r="P62" i="23"/>
  <c r="D20" i="21" l="1"/>
  <c r="D18" i="21"/>
  <c r="L13" i="21"/>
  <c r="D43" i="16" l="1"/>
  <c r="D39" i="16"/>
  <c r="L17" i="16"/>
  <c r="K13" i="16"/>
  <c r="J13" i="16"/>
  <c r="L12" i="16"/>
  <c r="K12" i="16"/>
  <c r="J12" i="16"/>
  <c r="L11" i="16"/>
  <c r="K11" i="16"/>
  <c r="J11" i="16"/>
  <c r="J10" i="16"/>
  <c r="K10" i="16" s="1"/>
  <c r="D45" i="13"/>
  <c r="E10" i="13"/>
  <c r="D81" i="10" l="1"/>
  <c r="D74" i="10"/>
  <c r="D76" i="10" s="1"/>
  <c r="D73" i="10"/>
  <c r="C73" i="10"/>
  <c r="C85" i="10" s="1"/>
  <c r="D71" i="10"/>
  <c r="D69" i="10"/>
  <c r="F65" i="10"/>
  <c r="D60" i="10"/>
  <c r="D85" i="10" s="1"/>
  <c r="D86" i="10" s="1"/>
  <c r="E51" i="10"/>
  <c r="C51" i="10"/>
  <c r="F51" i="10" s="1"/>
  <c r="E50" i="10"/>
  <c r="D50" i="10"/>
  <c r="B50" i="10"/>
  <c r="E49" i="10"/>
  <c r="D49" i="10"/>
  <c r="B49" i="10"/>
  <c r="E48" i="10"/>
  <c r="D48" i="10"/>
  <c r="B48" i="10"/>
  <c r="E47" i="10"/>
  <c r="D47" i="10"/>
  <c r="B47" i="10"/>
  <c r="A47" i="10"/>
  <c r="C47" i="10" s="1"/>
  <c r="E46" i="10"/>
  <c r="D46" i="10"/>
  <c r="B46" i="10"/>
  <c r="A46" i="10"/>
  <c r="C46" i="10" s="1"/>
  <c r="E45" i="10"/>
  <c r="D45" i="10"/>
  <c r="B45" i="10"/>
  <c r="A45" i="10"/>
  <c r="C45" i="10" s="1"/>
  <c r="E41" i="10"/>
  <c r="D41" i="10"/>
  <c r="B41" i="10"/>
  <c r="A41" i="10"/>
  <c r="A50" i="10" s="1"/>
  <c r="C50" i="10" s="1"/>
  <c r="E40" i="10"/>
  <c r="F40" i="10" s="1"/>
  <c r="D40" i="10"/>
  <c r="B40" i="10"/>
  <c r="A40" i="10"/>
  <c r="C40" i="10" s="1"/>
  <c r="E39" i="10"/>
  <c r="F39" i="10" s="1"/>
  <c r="D39" i="10"/>
  <c r="C39" i="10"/>
  <c r="B39" i="10"/>
  <c r="A39" i="10"/>
  <c r="A48" i="10" s="1"/>
  <c r="C48" i="10" s="1"/>
  <c r="E38" i="10"/>
  <c r="F38" i="10" s="1"/>
  <c r="D38" i="10"/>
  <c r="C38" i="10"/>
  <c r="B38" i="10"/>
  <c r="A38" i="10"/>
  <c r="E37" i="10"/>
  <c r="F37" i="10" s="1"/>
  <c r="D37" i="10"/>
  <c r="C37" i="10"/>
  <c r="B37" i="10"/>
  <c r="A37" i="10"/>
  <c r="E36" i="10"/>
  <c r="D36" i="10"/>
  <c r="B36" i="10"/>
  <c r="A36" i="10"/>
  <c r="C36" i="10" s="1"/>
  <c r="A35" i="10"/>
  <c r="C35" i="10" s="1"/>
  <c r="F35" i="10" s="1"/>
  <c r="E32" i="10"/>
  <c r="D32" i="10"/>
  <c r="C32" i="10"/>
  <c r="B32" i="10"/>
  <c r="E31" i="10"/>
  <c r="F31" i="10" s="1"/>
  <c r="D31" i="10"/>
  <c r="C31" i="10"/>
  <c r="B31" i="10"/>
  <c r="E30" i="10"/>
  <c r="D30" i="10"/>
  <c r="C30" i="10"/>
  <c r="B30" i="10"/>
  <c r="E29" i="10"/>
  <c r="F29" i="10" s="1"/>
  <c r="D29" i="10"/>
  <c r="C29" i="10"/>
  <c r="B29" i="10"/>
  <c r="E28" i="10"/>
  <c r="D28" i="10"/>
  <c r="C28" i="10"/>
  <c r="B28" i="10"/>
  <c r="D27" i="10"/>
  <c r="C27" i="10"/>
  <c r="F27" i="10" s="1"/>
  <c r="B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C17" i="10"/>
  <c r="F17" i="10" s="1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C8" i="10"/>
  <c r="F8" i="10" s="1"/>
  <c r="H6" i="10"/>
  <c r="F10" i="10" l="1"/>
  <c r="F13" i="10"/>
  <c r="F9" i="10"/>
  <c r="F14" i="10"/>
  <c r="F12" i="10"/>
  <c r="F11" i="10"/>
  <c r="F28" i="10"/>
  <c r="F32" i="10"/>
  <c r="F30" i="10"/>
  <c r="F46" i="10"/>
  <c r="F50" i="10"/>
  <c r="F47" i="10"/>
  <c r="F36" i="10"/>
  <c r="F48" i="10"/>
  <c r="F45" i="10"/>
  <c r="E85" i="10"/>
  <c r="C41" i="10"/>
  <c r="F41" i="10" s="1"/>
  <c r="A49" i="10"/>
  <c r="C49" i="10" s="1"/>
  <c r="F49" i="10" s="1"/>
  <c r="E73" i="10"/>
  <c r="D83" i="10"/>
  <c r="A44" i="10"/>
  <c r="C44" i="10" s="1"/>
  <c r="F44" i="10" s="1"/>
  <c r="F53" i="10" l="1"/>
  <c r="C69" i="10" s="1"/>
  <c r="F54" i="10"/>
  <c r="F56" i="10"/>
  <c r="F64" i="10" l="1"/>
  <c r="H53" i="10"/>
  <c r="F2" i="10" s="1"/>
  <c r="H56" i="10"/>
  <c r="C74" i="10"/>
  <c r="C76" i="10"/>
  <c r="E76" i="10" s="1"/>
  <c r="H54" i="10"/>
  <c r="G2" i="10" s="1"/>
  <c r="F55" i="10"/>
  <c r="E69" i="10"/>
  <c r="C81" i="10"/>
  <c r="E81" i="10" s="1"/>
  <c r="C86" i="10" l="1"/>
  <c r="E86" i="10" s="1"/>
  <c r="E74" i="10"/>
  <c r="E78" i="10" s="1"/>
  <c r="O55" i="10"/>
  <c r="H2" i="10"/>
  <c r="H58" i="10"/>
  <c r="H59" i="10" s="1"/>
  <c r="O58" i="10" s="1"/>
  <c r="F63" i="10"/>
  <c r="H55" i="10"/>
  <c r="O54" i="10"/>
  <c r="O56" i="10" l="1"/>
  <c r="O57" i="10" s="1"/>
  <c r="O59" i="10" s="1"/>
  <c r="C71" i="10"/>
  <c r="E63" i="10"/>
  <c r="F66" i="10"/>
  <c r="G63" i="10" s="1"/>
  <c r="O60" i="10" l="1"/>
  <c r="O61" i="10" s="1"/>
  <c r="O62" i="10" s="1"/>
  <c r="G66" i="10"/>
  <c r="G29" i="10"/>
  <c r="G27" i="10"/>
  <c r="G32" i="10"/>
  <c r="G40" i="10"/>
  <c r="G38" i="10"/>
  <c r="G37" i="10"/>
  <c r="G10" i="10"/>
  <c r="G31" i="10"/>
  <c r="G13" i="10"/>
  <c r="G39" i="10"/>
  <c r="G18" i="10"/>
  <c r="G11" i="10"/>
  <c r="G21" i="10"/>
  <c r="G14" i="10"/>
  <c r="G24" i="10"/>
  <c r="G19" i="10"/>
  <c r="G9" i="10"/>
  <c r="G35" i="10"/>
  <c r="G22" i="10"/>
  <c r="G12" i="10"/>
  <c r="G17" i="10"/>
  <c r="G30" i="10"/>
  <c r="G65" i="10"/>
  <c r="G20" i="10"/>
  <c r="G51" i="10"/>
  <c r="G28" i="10"/>
  <c r="G23" i="10"/>
  <c r="G8" i="10"/>
  <c r="G46" i="10"/>
  <c r="G49" i="10"/>
  <c r="G41" i="10"/>
  <c r="G36" i="10"/>
  <c r="G50" i="10"/>
  <c r="G44" i="10"/>
  <c r="G45" i="10"/>
  <c r="G47" i="10"/>
  <c r="G48" i="10"/>
  <c r="G53" i="10"/>
  <c r="G54" i="10"/>
  <c r="G64" i="10"/>
  <c r="G56" i="10"/>
  <c r="G55" i="10"/>
  <c r="E71" i="10"/>
  <c r="C83" i="10"/>
  <c r="E83" i="10" s="1"/>
  <c r="P62" i="10" l="1"/>
  <c r="E2" i="10"/>
  <c r="D73" i="11" l="1"/>
  <c r="D74" i="11" s="1"/>
  <c r="D76" i="11" s="1"/>
  <c r="D71" i="11"/>
  <c r="D69" i="11"/>
  <c r="F65" i="11"/>
  <c r="C73" i="11" s="1"/>
  <c r="D60" i="11"/>
  <c r="D83" i="11" s="1"/>
  <c r="C51" i="11"/>
  <c r="E50" i="11"/>
  <c r="D50" i="11"/>
  <c r="B50" i="11"/>
  <c r="E41" i="11"/>
  <c r="D41" i="11"/>
  <c r="B41" i="11"/>
  <c r="A41" i="11"/>
  <c r="A50" i="11" s="1"/>
  <c r="C50" i="11" s="1"/>
  <c r="A40" i="11"/>
  <c r="C40" i="11" s="1"/>
  <c r="A39" i="11"/>
  <c r="C39" i="11" s="1"/>
  <c r="A38" i="11"/>
  <c r="C38" i="11" s="1"/>
  <c r="A37" i="11"/>
  <c r="A46" i="11" s="1"/>
  <c r="C46" i="11" s="1"/>
  <c r="A36" i="11"/>
  <c r="C36" i="11" s="1"/>
  <c r="A35" i="11"/>
  <c r="A44" i="11" s="1"/>
  <c r="C44" i="11" s="1"/>
  <c r="C32" i="11"/>
  <c r="C31" i="11"/>
  <c r="C30" i="11"/>
  <c r="C29" i="11"/>
  <c r="F28" i="11"/>
  <c r="C28" i="11"/>
  <c r="C27" i="11"/>
  <c r="E24" i="11"/>
  <c r="F24" i="11" s="1"/>
  <c r="D24" i="11"/>
  <c r="C24" i="11"/>
  <c r="B24" i="11"/>
  <c r="E23" i="11"/>
  <c r="F23" i="11" s="1"/>
  <c r="D23" i="11"/>
  <c r="C23" i="11"/>
  <c r="B23" i="11"/>
  <c r="C22" i="11"/>
  <c r="C21" i="11"/>
  <c r="C20" i="11"/>
  <c r="F20" i="11" s="1"/>
  <c r="C19" i="11"/>
  <c r="F18" i="11"/>
  <c r="C18" i="11"/>
  <c r="C17" i="11"/>
  <c r="B15" i="11"/>
  <c r="E14" i="11"/>
  <c r="F14" i="11" s="1"/>
  <c r="D14" i="11"/>
  <c r="C14" i="11"/>
  <c r="B14" i="11"/>
  <c r="E13" i="11"/>
  <c r="D13" i="11"/>
  <c r="C13" i="11"/>
  <c r="B13" i="11"/>
  <c r="E12" i="11"/>
  <c r="F12" i="11" s="1"/>
  <c r="D12" i="11"/>
  <c r="C12" i="11"/>
  <c r="B12" i="11"/>
  <c r="E11" i="11"/>
  <c r="F11" i="11" s="1"/>
  <c r="D11" i="11"/>
  <c r="C11" i="11"/>
  <c r="B11" i="11"/>
  <c r="E10" i="11"/>
  <c r="F10" i="11" s="1"/>
  <c r="D10" i="11"/>
  <c r="C10" i="11"/>
  <c r="B10" i="11"/>
  <c r="E9" i="11"/>
  <c r="F9" i="11" s="1"/>
  <c r="D9" i="11"/>
  <c r="C9" i="11"/>
  <c r="B9" i="11"/>
  <c r="E8" i="11"/>
  <c r="F8" i="11" s="1"/>
  <c r="D8" i="11"/>
  <c r="C8" i="11"/>
  <c r="B8" i="11"/>
  <c r="H6" i="11"/>
  <c r="D74" i="9"/>
  <c r="D76" i="9" s="1"/>
  <c r="D73" i="9"/>
  <c r="D71" i="9"/>
  <c r="D69" i="9"/>
  <c r="F65" i="9"/>
  <c r="C73" i="9" s="1"/>
  <c r="D60" i="9"/>
  <c r="D85" i="9" s="1"/>
  <c r="D86" i="9" s="1"/>
  <c r="C51" i="9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5" i="9"/>
  <c r="D45" i="9"/>
  <c r="B45" i="9"/>
  <c r="E44" i="9"/>
  <c r="D44" i="9"/>
  <c r="B44" i="9"/>
  <c r="E41" i="9"/>
  <c r="D41" i="9"/>
  <c r="B41" i="9"/>
  <c r="A41" i="9"/>
  <c r="A50" i="9" s="1"/>
  <c r="C50" i="9" s="1"/>
  <c r="E40" i="9"/>
  <c r="D40" i="9"/>
  <c r="B40" i="9"/>
  <c r="A40" i="9"/>
  <c r="C40" i="9" s="1"/>
  <c r="E39" i="9"/>
  <c r="D39" i="9"/>
  <c r="B39" i="9"/>
  <c r="A39" i="9"/>
  <c r="C39" i="9" s="1"/>
  <c r="E38" i="9"/>
  <c r="D38" i="9"/>
  <c r="B38" i="9"/>
  <c r="A38" i="9"/>
  <c r="C38" i="9" s="1"/>
  <c r="E37" i="9"/>
  <c r="D37" i="9"/>
  <c r="B37" i="9"/>
  <c r="A37" i="9"/>
  <c r="C37" i="9" s="1"/>
  <c r="E36" i="9"/>
  <c r="F36" i="9" s="1"/>
  <c r="D36" i="9"/>
  <c r="B36" i="9"/>
  <c r="A36" i="9"/>
  <c r="C36" i="9" s="1"/>
  <c r="E35" i="9"/>
  <c r="D35" i="9"/>
  <c r="B35" i="9"/>
  <c r="A35" i="9"/>
  <c r="A44" i="9" s="1"/>
  <c r="C44" i="9" s="1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E18" i="9"/>
  <c r="F18" i="9" s="1"/>
  <c r="D18" i="9"/>
  <c r="C18" i="9"/>
  <c r="B18" i="9"/>
  <c r="E17" i="9"/>
  <c r="F17" i="9" s="1"/>
  <c r="D17" i="9"/>
  <c r="C17" i="9"/>
  <c r="B17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F11" i="9" s="1"/>
  <c r="D11" i="9"/>
  <c r="C11" i="9"/>
  <c r="B11" i="9"/>
  <c r="C10" i="9"/>
  <c r="F9" i="9"/>
  <c r="C9" i="9"/>
  <c r="C8" i="9"/>
  <c r="H6" i="9"/>
  <c r="D73" i="8"/>
  <c r="D74" i="8" s="1"/>
  <c r="D76" i="8" s="1"/>
  <c r="D71" i="8"/>
  <c r="D69" i="8"/>
  <c r="F65" i="8"/>
  <c r="D60" i="8"/>
  <c r="D85" i="8" s="1"/>
  <c r="D86" i="8" s="1"/>
  <c r="E51" i="8"/>
  <c r="C51" i="8"/>
  <c r="E50" i="8"/>
  <c r="D50" i="8"/>
  <c r="B50" i="8"/>
  <c r="E49" i="8"/>
  <c r="D49" i="8"/>
  <c r="B49" i="8"/>
  <c r="E48" i="8"/>
  <c r="D48" i="8"/>
  <c r="B48" i="8"/>
  <c r="E47" i="8"/>
  <c r="D47" i="8"/>
  <c r="B47" i="8"/>
  <c r="E46" i="8"/>
  <c r="D46" i="8"/>
  <c r="B46" i="8"/>
  <c r="E45" i="8"/>
  <c r="D45" i="8"/>
  <c r="B45" i="8"/>
  <c r="E41" i="8"/>
  <c r="D41" i="8"/>
  <c r="B41" i="8"/>
  <c r="A41" i="8"/>
  <c r="A50" i="8" s="1"/>
  <c r="C50" i="8" s="1"/>
  <c r="E40" i="8"/>
  <c r="D40" i="8"/>
  <c r="B40" i="8"/>
  <c r="A40" i="8"/>
  <c r="C40" i="8" s="1"/>
  <c r="E39" i="8"/>
  <c r="D39" i="8"/>
  <c r="B39" i="8"/>
  <c r="A39" i="8"/>
  <c r="C39" i="8" s="1"/>
  <c r="E38" i="8"/>
  <c r="D38" i="8"/>
  <c r="B38" i="8"/>
  <c r="A38" i="8"/>
  <c r="A47" i="8" s="1"/>
  <c r="C47" i="8" s="1"/>
  <c r="E37" i="8"/>
  <c r="F37" i="8" s="1"/>
  <c r="D37" i="8"/>
  <c r="B37" i="8"/>
  <c r="A37" i="8"/>
  <c r="C37" i="8" s="1"/>
  <c r="E36" i="8"/>
  <c r="D36" i="8"/>
  <c r="B36" i="8"/>
  <c r="A36" i="8"/>
  <c r="C36" i="8" s="1"/>
  <c r="A35" i="8"/>
  <c r="C35" i="8" s="1"/>
  <c r="E32" i="8"/>
  <c r="D32" i="8"/>
  <c r="C32" i="8"/>
  <c r="B32" i="8"/>
  <c r="E31" i="8"/>
  <c r="F31" i="8" s="1"/>
  <c r="D31" i="8"/>
  <c r="C31" i="8"/>
  <c r="B31" i="8"/>
  <c r="E30" i="8"/>
  <c r="D30" i="8"/>
  <c r="C30" i="8"/>
  <c r="B30" i="8"/>
  <c r="F29" i="8"/>
  <c r="C29" i="8"/>
  <c r="C28" i="8"/>
  <c r="C27" i="8"/>
  <c r="E24" i="8"/>
  <c r="F24" i="8" s="1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C17" i="8"/>
  <c r="B15" i="8"/>
  <c r="E14" i="8"/>
  <c r="F14" i="8" s="1"/>
  <c r="D14" i="8"/>
  <c r="C14" i="8"/>
  <c r="B14" i="8"/>
  <c r="E13" i="8"/>
  <c r="D13" i="8"/>
  <c r="C13" i="8"/>
  <c r="B13" i="8"/>
  <c r="E12" i="8"/>
  <c r="F12" i="8" s="1"/>
  <c r="D12" i="8"/>
  <c r="C12" i="8"/>
  <c r="B12" i="8"/>
  <c r="E11" i="8"/>
  <c r="F11" i="8" s="1"/>
  <c r="D11" i="8"/>
  <c r="C11" i="8"/>
  <c r="B11" i="8"/>
  <c r="E10" i="8"/>
  <c r="F10" i="8" s="1"/>
  <c r="D10" i="8"/>
  <c r="C10" i="8"/>
  <c r="B10" i="8"/>
  <c r="E9" i="8"/>
  <c r="F9" i="8" s="1"/>
  <c r="D9" i="8"/>
  <c r="C9" i="8"/>
  <c r="B9" i="8"/>
  <c r="E8" i="8"/>
  <c r="F8" i="8" s="1"/>
  <c r="D8" i="8"/>
  <c r="C8" i="8"/>
  <c r="B8" i="8"/>
  <c r="H6" i="8"/>
  <c r="D74" i="7"/>
  <c r="D76" i="7" s="1"/>
  <c r="D73" i="7"/>
  <c r="D71" i="7"/>
  <c r="D69" i="7"/>
  <c r="F65" i="7"/>
  <c r="E51" i="7" s="1"/>
  <c r="D60" i="7"/>
  <c r="D85" i="7" s="1"/>
  <c r="D86" i="7" s="1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E45" i="7"/>
  <c r="D45" i="7"/>
  <c r="B45" i="7"/>
  <c r="E41" i="7"/>
  <c r="F41" i="7" s="1"/>
  <c r="D41" i="7"/>
  <c r="C41" i="7"/>
  <c r="B41" i="7"/>
  <c r="A41" i="7"/>
  <c r="A50" i="7" s="1"/>
  <c r="C50" i="7" s="1"/>
  <c r="E40" i="7"/>
  <c r="D40" i="7"/>
  <c r="B40" i="7"/>
  <c r="A40" i="7"/>
  <c r="C40" i="7" s="1"/>
  <c r="E39" i="7"/>
  <c r="F39" i="7" s="1"/>
  <c r="D39" i="7"/>
  <c r="B39" i="7"/>
  <c r="A39" i="7"/>
  <c r="C39" i="7" s="1"/>
  <c r="E38" i="7"/>
  <c r="D38" i="7"/>
  <c r="B38" i="7"/>
  <c r="A38" i="7"/>
  <c r="A47" i="7" s="1"/>
  <c r="C47" i="7" s="1"/>
  <c r="E37" i="7"/>
  <c r="D37" i="7"/>
  <c r="C37" i="7"/>
  <c r="B37" i="7"/>
  <c r="A37" i="7"/>
  <c r="A46" i="7" s="1"/>
  <c r="C46" i="7" s="1"/>
  <c r="E36" i="7"/>
  <c r="D36" i="7"/>
  <c r="B36" i="7"/>
  <c r="A36" i="7"/>
  <c r="C36" i="7" s="1"/>
  <c r="F35" i="7"/>
  <c r="A35" i="7"/>
  <c r="C35" i="7" s="1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D18" i="7"/>
  <c r="C18" i="7"/>
  <c r="B18" i="7"/>
  <c r="C17" i="7"/>
  <c r="B15" i="7"/>
  <c r="E14" i="7"/>
  <c r="F14" i="7" s="1"/>
  <c r="D14" i="7"/>
  <c r="C14" i="7"/>
  <c r="B14" i="7"/>
  <c r="E13" i="7"/>
  <c r="F13" i="7" s="1"/>
  <c r="D13" i="7"/>
  <c r="C13" i="7"/>
  <c r="B13" i="7"/>
  <c r="E12" i="7"/>
  <c r="F12" i="7" s="1"/>
  <c r="D12" i="7"/>
  <c r="C12" i="7"/>
  <c r="B12" i="7"/>
  <c r="E11" i="7"/>
  <c r="F11" i="7" s="1"/>
  <c r="D11" i="7"/>
  <c r="C11" i="7"/>
  <c r="B11" i="7"/>
  <c r="E10" i="7"/>
  <c r="F10" i="7" s="1"/>
  <c r="D10" i="7"/>
  <c r="C10" i="7"/>
  <c r="B10" i="7"/>
  <c r="E9" i="7"/>
  <c r="F9" i="7" s="1"/>
  <c r="D9" i="7"/>
  <c r="C9" i="7"/>
  <c r="B9" i="7"/>
  <c r="E8" i="7"/>
  <c r="F8" i="7" s="1"/>
  <c r="D8" i="7"/>
  <c r="C8" i="7"/>
  <c r="B8" i="7"/>
  <c r="H6" i="7"/>
  <c r="D44" i="6"/>
  <c r="E11" i="4"/>
  <c r="E14" i="4"/>
  <c r="E13" i="4"/>
  <c r="E12" i="4"/>
  <c r="E10" i="4"/>
  <c r="K39" i="4"/>
  <c r="D44" i="2"/>
  <c r="F22" i="11" l="1"/>
  <c r="F32" i="11"/>
  <c r="F13" i="9"/>
  <c r="F13" i="8"/>
  <c r="F13" i="11"/>
  <c r="F21" i="11"/>
  <c r="F50" i="11"/>
  <c r="C41" i="11"/>
  <c r="F41" i="11" s="1"/>
  <c r="F29" i="11"/>
  <c r="F30" i="11"/>
  <c r="F27" i="11"/>
  <c r="F31" i="11"/>
  <c r="F38" i="11"/>
  <c r="E51" i="11"/>
  <c r="F51" i="11" s="1"/>
  <c r="D85" i="11"/>
  <c r="D86" i="11" s="1"/>
  <c r="C37" i="11"/>
  <c r="A45" i="11"/>
  <c r="C45" i="11" s="1"/>
  <c r="F45" i="11" s="1"/>
  <c r="F40" i="8"/>
  <c r="F30" i="8"/>
  <c r="C38" i="8"/>
  <c r="F38" i="8" s="1"/>
  <c r="C41" i="8"/>
  <c r="F41" i="8" s="1"/>
  <c r="F51" i="8"/>
  <c r="F27" i="8"/>
  <c r="C35" i="11"/>
  <c r="F28" i="9"/>
  <c r="F31" i="9"/>
  <c r="F31" i="7"/>
  <c r="F28" i="8"/>
  <c r="F40" i="11"/>
  <c r="F32" i="8"/>
  <c r="E51" i="9"/>
  <c r="F51" i="9" s="1"/>
  <c r="F39" i="9"/>
  <c r="F29" i="9"/>
  <c r="F32" i="9"/>
  <c r="F37" i="9"/>
  <c r="F40" i="9"/>
  <c r="A45" i="9"/>
  <c r="C45" i="9" s="1"/>
  <c r="F45" i="9" s="1"/>
  <c r="F27" i="9"/>
  <c r="F30" i="9"/>
  <c r="C35" i="9"/>
  <c r="C41" i="9"/>
  <c r="F41" i="9" s="1"/>
  <c r="F35" i="9"/>
  <c r="F14" i="9"/>
  <c r="F12" i="9"/>
  <c r="F10" i="9"/>
  <c r="F8" i="9"/>
  <c r="F47" i="11"/>
  <c r="F36" i="11"/>
  <c r="F39" i="11"/>
  <c r="C85" i="11"/>
  <c r="E73" i="11"/>
  <c r="D81" i="11"/>
  <c r="A47" i="11"/>
  <c r="C47" i="11" s="1"/>
  <c r="A49" i="11"/>
  <c r="C49" i="11" s="1"/>
  <c r="F49" i="11" s="1"/>
  <c r="A48" i="11"/>
  <c r="C48" i="11" s="1"/>
  <c r="F48" i="11" s="1"/>
  <c r="F50" i="9"/>
  <c r="F38" i="9"/>
  <c r="F48" i="9"/>
  <c r="C85" i="9"/>
  <c r="E85" i="9" s="1"/>
  <c r="E73" i="9"/>
  <c r="F44" i="9"/>
  <c r="D81" i="9"/>
  <c r="A47" i="9"/>
  <c r="C47" i="9" s="1"/>
  <c r="F47" i="9" s="1"/>
  <c r="A49" i="9"/>
  <c r="C49" i="9" s="1"/>
  <c r="F49" i="9" s="1"/>
  <c r="D83" i="9"/>
  <c r="A46" i="9"/>
  <c r="C46" i="9" s="1"/>
  <c r="F46" i="9" s="1"/>
  <c r="A48" i="9"/>
  <c r="C48" i="9" s="1"/>
  <c r="F50" i="8"/>
  <c r="F47" i="8"/>
  <c r="F36" i="8"/>
  <c r="F39" i="8"/>
  <c r="A45" i="8"/>
  <c r="C45" i="8" s="1"/>
  <c r="F45" i="8" s="1"/>
  <c r="D81" i="8"/>
  <c r="C73" i="8"/>
  <c r="A49" i="8"/>
  <c r="C49" i="8" s="1"/>
  <c r="F49" i="8" s="1"/>
  <c r="D83" i="8"/>
  <c r="A44" i="8"/>
  <c r="C44" i="8" s="1"/>
  <c r="A46" i="8"/>
  <c r="C46" i="8" s="1"/>
  <c r="F46" i="8" s="1"/>
  <c r="A48" i="8"/>
  <c r="C48" i="8" s="1"/>
  <c r="F48" i="8" s="1"/>
  <c r="F37" i="7"/>
  <c r="F32" i="7"/>
  <c r="F30" i="7"/>
  <c r="F40" i="7"/>
  <c r="C38" i="7"/>
  <c r="F38" i="7" s="1"/>
  <c r="F29" i="7"/>
  <c r="F27" i="7"/>
  <c r="F28" i="7"/>
  <c r="F18" i="7"/>
  <c r="F17" i="7"/>
  <c r="F46" i="7"/>
  <c r="F50" i="7"/>
  <c r="F51" i="7"/>
  <c r="F36" i="7"/>
  <c r="F47" i="7"/>
  <c r="A45" i="7"/>
  <c r="C45" i="7" s="1"/>
  <c r="F45" i="7" s="1"/>
  <c r="D81" i="7"/>
  <c r="C73" i="7"/>
  <c r="A49" i="7"/>
  <c r="C49" i="7" s="1"/>
  <c r="F49" i="7" s="1"/>
  <c r="D83" i="7"/>
  <c r="A44" i="7"/>
  <c r="C44" i="7" s="1"/>
  <c r="F44" i="7" s="1"/>
  <c r="A48" i="7"/>
  <c r="C48" i="7" s="1"/>
  <c r="F48" i="7" s="1"/>
  <c r="D44" i="4"/>
  <c r="E85" i="11" l="1"/>
  <c r="F53" i="9"/>
  <c r="F64" i="9" s="1"/>
  <c r="F56" i="9"/>
  <c r="F54" i="9"/>
  <c r="C85" i="8"/>
  <c r="E85" i="8" s="1"/>
  <c r="E73" i="8"/>
  <c r="F53" i="7"/>
  <c r="F64" i="7" s="1"/>
  <c r="F56" i="7"/>
  <c r="F54" i="7"/>
  <c r="C85" i="7"/>
  <c r="E85" i="7" s="1"/>
  <c r="E73" i="7"/>
  <c r="C69" i="7" l="1"/>
  <c r="E69" i="7" s="1"/>
  <c r="F55" i="9"/>
  <c r="H55" i="9" s="1"/>
  <c r="H53" i="9"/>
  <c r="F2" i="9" s="1"/>
  <c r="C69" i="9"/>
  <c r="C81" i="9" s="1"/>
  <c r="E81" i="9" s="1"/>
  <c r="H56" i="9"/>
  <c r="C74" i="9"/>
  <c r="C76" i="9"/>
  <c r="E76" i="9" s="1"/>
  <c r="H54" i="9"/>
  <c r="G2" i="9" s="1"/>
  <c r="H53" i="7"/>
  <c r="C76" i="7"/>
  <c r="E76" i="7" s="1"/>
  <c r="H54" i="7"/>
  <c r="H56" i="7"/>
  <c r="C74" i="7"/>
  <c r="F55" i="7"/>
  <c r="E44" i="11" l="1"/>
  <c r="F44" i="11" s="1"/>
  <c r="F63" i="9"/>
  <c r="C71" i="9" s="1"/>
  <c r="O54" i="9"/>
  <c r="O56" i="9" s="1"/>
  <c r="E69" i="9"/>
  <c r="C81" i="7"/>
  <c r="E81" i="7" s="1"/>
  <c r="E35" i="8"/>
  <c r="F35" i="8" s="1"/>
  <c r="F54" i="8" s="1"/>
  <c r="C76" i="8" s="1"/>
  <c r="E76" i="8" s="1"/>
  <c r="E37" i="11" s="1"/>
  <c r="F37" i="11" s="1"/>
  <c r="F2" i="7"/>
  <c r="E17" i="11"/>
  <c r="F17" i="11" s="1"/>
  <c r="G2" i="7"/>
  <c r="E35" i="11"/>
  <c r="F35" i="11" s="1"/>
  <c r="C86" i="9"/>
  <c r="E86" i="9" s="1"/>
  <c r="E74" i="9"/>
  <c r="O55" i="9"/>
  <c r="H2" i="9"/>
  <c r="H58" i="9"/>
  <c r="H59" i="9" s="1"/>
  <c r="O58" i="9" s="1"/>
  <c r="C86" i="7"/>
  <c r="E86" i="7" s="1"/>
  <c r="E74" i="7"/>
  <c r="E78" i="7" s="1"/>
  <c r="H55" i="7"/>
  <c r="O54" i="7"/>
  <c r="F63" i="7"/>
  <c r="O55" i="7"/>
  <c r="H58" i="7"/>
  <c r="H59" i="7" s="1"/>
  <c r="O58" i="7" s="1"/>
  <c r="H2" i="7"/>
  <c r="E17" i="8" l="1"/>
  <c r="F17" i="8" s="1"/>
  <c r="F53" i="8" s="1"/>
  <c r="C69" i="8" s="1"/>
  <c r="C81" i="8" s="1"/>
  <c r="E81" i="8" s="1"/>
  <c r="F66" i="9"/>
  <c r="G63" i="9" s="1"/>
  <c r="E63" i="9"/>
  <c r="O57" i="9"/>
  <c r="O59" i="9" s="1"/>
  <c r="O60" i="9" s="1"/>
  <c r="O61" i="9" s="1"/>
  <c r="O62" i="9" s="1"/>
  <c r="H54" i="8"/>
  <c r="G2" i="8" s="1"/>
  <c r="F54" i="11"/>
  <c r="H54" i="11" s="1"/>
  <c r="G2" i="11" s="1"/>
  <c r="E78" i="9"/>
  <c r="E44" i="8"/>
  <c r="F44" i="8" s="1"/>
  <c r="F56" i="8" s="1"/>
  <c r="C83" i="9"/>
  <c r="E83" i="9" s="1"/>
  <c r="E71" i="9"/>
  <c r="C71" i="7"/>
  <c r="E63" i="7"/>
  <c r="F66" i="7"/>
  <c r="G63" i="7" s="1"/>
  <c r="O56" i="7"/>
  <c r="O57" i="7" s="1"/>
  <c r="O59" i="7" s="1"/>
  <c r="F55" i="8" l="1"/>
  <c r="F63" i="8" s="1"/>
  <c r="H53" i="8"/>
  <c r="F2" i="8" s="1"/>
  <c r="F64" i="8"/>
  <c r="E69" i="8"/>
  <c r="E19" i="11" s="1"/>
  <c r="F19" i="11" s="1"/>
  <c r="F53" i="11" s="1"/>
  <c r="F55" i="11" s="1"/>
  <c r="G46" i="9"/>
  <c r="G12" i="9"/>
  <c r="G40" i="9"/>
  <c r="G32" i="9"/>
  <c r="G48" i="9"/>
  <c r="G41" i="9"/>
  <c r="G51" i="9"/>
  <c r="G35" i="9"/>
  <c r="G37" i="9"/>
  <c r="G49" i="9"/>
  <c r="G29" i="9"/>
  <c r="G22" i="9"/>
  <c r="G56" i="9"/>
  <c r="G19" i="9"/>
  <c r="G20" i="9"/>
  <c r="G54" i="9"/>
  <c r="G36" i="9"/>
  <c r="G11" i="9"/>
  <c r="G45" i="9"/>
  <c r="G64" i="9"/>
  <c r="G28" i="9"/>
  <c r="G17" i="9"/>
  <c r="G30" i="9"/>
  <c r="G55" i="9"/>
  <c r="G14" i="9"/>
  <c r="G8" i="9"/>
  <c r="G38" i="9"/>
  <c r="G39" i="9"/>
  <c r="G9" i="9"/>
  <c r="G53" i="9"/>
  <c r="G10" i="9"/>
  <c r="G21" i="9"/>
  <c r="G44" i="9"/>
  <c r="G50" i="9"/>
  <c r="G13" i="9"/>
  <c r="G27" i="9"/>
  <c r="G47" i="9"/>
  <c r="G31" i="9"/>
  <c r="G18" i="9"/>
  <c r="G23" i="9"/>
  <c r="G65" i="9"/>
  <c r="G66" i="9"/>
  <c r="G24" i="9"/>
  <c r="C76" i="11"/>
  <c r="E76" i="11" s="1"/>
  <c r="C74" i="8"/>
  <c r="H56" i="8"/>
  <c r="P62" i="9"/>
  <c r="E2" i="9"/>
  <c r="O60" i="7"/>
  <c r="O61" i="7" s="1"/>
  <c r="O62" i="7" s="1"/>
  <c r="G66" i="7"/>
  <c r="G38" i="7"/>
  <c r="G17" i="7"/>
  <c r="G41" i="7"/>
  <c r="G14" i="7"/>
  <c r="G22" i="7"/>
  <c r="G20" i="7"/>
  <c r="G37" i="7"/>
  <c r="G9" i="7"/>
  <c r="G23" i="7"/>
  <c r="G10" i="7"/>
  <c r="G13" i="7"/>
  <c r="G35" i="7"/>
  <c r="G18" i="7"/>
  <c r="G27" i="7"/>
  <c r="G31" i="7"/>
  <c r="G21" i="7"/>
  <c r="G24" i="7"/>
  <c r="G40" i="7"/>
  <c r="G32" i="7"/>
  <c r="G29" i="7"/>
  <c r="G39" i="7"/>
  <c r="G65" i="7"/>
  <c r="G28" i="7"/>
  <c r="G30" i="7"/>
  <c r="G8" i="7"/>
  <c r="G12" i="7"/>
  <c r="G19" i="7"/>
  <c r="G11" i="7"/>
  <c r="G48" i="7"/>
  <c r="G53" i="7"/>
  <c r="G50" i="7"/>
  <c r="G51" i="7"/>
  <c r="G46" i="7"/>
  <c r="G47" i="7"/>
  <c r="G45" i="7"/>
  <c r="G44" i="7"/>
  <c r="G49" i="7"/>
  <c r="G36" i="7"/>
  <c r="G54" i="7"/>
  <c r="G64" i="7"/>
  <c r="G56" i="7"/>
  <c r="G55" i="7"/>
  <c r="C83" i="7"/>
  <c r="E83" i="7" s="1"/>
  <c r="E71" i="7"/>
  <c r="H55" i="8" l="1"/>
  <c r="O54" i="8"/>
  <c r="O56" i="8" s="1"/>
  <c r="H53" i="11"/>
  <c r="F2" i="11" s="1"/>
  <c r="F64" i="11"/>
  <c r="C69" i="11"/>
  <c r="E69" i="11" s="1"/>
  <c r="C71" i="8"/>
  <c r="E63" i="8"/>
  <c r="F66" i="8"/>
  <c r="O55" i="8"/>
  <c r="H58" i="8"/>
  <c r="H59" i="8" s="1"/>
  <c r="O58" i="8" s="1"/>
  <c r="H2" i="8"/>
  <c r="C86" i="8"/>
  <c r="E86" i="8" s="1"/>
  <c r="E74" i="8"/>
  <c r="F63" i="11"/>
  <c r="H55" i="11"/>
  <c r="O54" i="11"/>
  <c r="O56" i="11" s="1"/>
  <c r="P62" i="7"/>
  <c r="E2" i="7"/>
  <c r="O57" i="8" l="1"/>
  <c r="O59" i="8" s="1"/>
  <c r="O60" i="8" s="1"/>
  <c r="O61" i="8" s="1"/>
  <c r="O62" i="8" s="1"/>
  <c r="C81" i="11"/>
  <c r="E81" i="11" s="1"/>
  <c r="G63" i="8"/>
  <c r="G32" i="8"/>
  <c r="G19" i="8"/>
  <c r="G30" i="8"/>
  <c r="G56" i="8"/>
  <c r="G49" i="8"/>
  <c r="G44" i="8"/>
  <c r="G40" i="8"/>
  <c r="G27" i="8"/>
  <c r="G37" i="8"/>
  <c r="G45" i="8"/>
  <c r="G54" i="8"/>
  <c r="G41" i="8"/>
  <c r="G20" i="8"/>
  <c r="G48" i="8"/>
  <c r="G64" i="8"/>
  <c r="G12" i="8"/>
  <c r="G21" i="8"/>
  <c r="G46" i="8"/>
  <c r="G55" i="8"/>
  <c r="G14" i="8"/>
  <c r="G10" i="8"/>
  <c r="G22" i="8"/>
  <c r="G18" i="8"/>
  <c r="G35" i="8"/>
  <c r="G38" i="8"/>
  <c r="G24" i="8"/>
  <c r="G36" i="8"/>
  <c r="G8" i="8"/>
  <c r="G23" i="8"/>
  <c r="G47" i="8"/>
  <c r="G66" i="8"/>
  <c r="G28" i="8"/>
  <c r="G51" i="8"/>
  <c r="G31" i="8"/>
  <c r="G39" i="8"/>
  <c r="G17" i="8"/>
  <c r="G11" i="8"/>
  <c r="G65" i="8"/>
  <c r="G53" i="8"/>
  <c r="G29" i="8"/>
  <c r="G13" i="8"/>
  <c r="G9" i="8"/>
  <c r="G50" i="8"/>
  <c r="E71" i="8"/>
  <c r="C83" i="8"/>
  <c r="E83" i="8" s="1"/>
  <c r="E78" i="8"/>
  <c r="E46" i="11"/>
  <c r="F46" i="11" s="1"/>
  <c r="C71" i="11"/>
  <c r="E63" i="11"/>
  <c r="F66" i="11"/>
  <c r="G63" i="11" l="1"/>
  <c r="G28" i="11"/>
  <c r="G17" i="11"/>
  <c r="G18" i="11"/>
  <c r="G54" i="11"/>
  <c r="G9" i="11"/>
  <c r="G38" i="11"/>
  <c r="G29" i="11"/>
  <c r="G40" i="11"/>
  <c r="G35" i="11"/>
  <c r="G19" i="11"/>
  <c r="G11" i="11"/>
  <c r="G21" i="11"/>
  <c r="G49" i="11"/>
  <c r="G44" i="11"/>
  <c r="G23" i="11"/>
  <c r="G39" i="11"/>
  <c r="G20" i="11"/>
  <c r="G27" i="11"/>
  <c r="G31" i="11"/>
  <c r="G45" i="11"/>
  <c r="G8" i="11"/>
  <c r="G12" i="11"/>
  <c r="G37" i="11"/>
  <c r="G36" i="11"/>
  <c r="G66" i="11"/>
  <c r="G41" i="11"/>
  <c r="G24" i="11"/>
  <c r="G48" i="11"/>
  <c r="G65" i="11"/>
  <c r="G51" i="11"/>
  <c r="G22" i="11"/>
  <c r="G53" i="11"/>
  <c r="G32" i="11"/>
  <c r="G13" i="11"/>
  <c r="G50" i="11"/>
  <c r="G47" i="11"/>
  <c r="G30" i="11"/>
  <c r="G14" i="11"/>
  <c r="G10" i="11"/>
  <c r="G64" i="11"/>
  <c r="G55" i="11"/>
  <c r="P62" i="8"/>
  <c r="E2" i="8"/>
  <c r="E71" i="11"/>
  <c r="C83" i="11"/>
  <c r="E83" i="11" s="1"/>
  <c r="F56" i="11"/>
  <c r="G46" i="11"/>
  <c r="H56" i="11" l="1"/>
  <c r="C74" i="11"/>
  <c r="G56" i="11"/>
  <c r="C86" i="11" l="1"/>
  <c r="E86" i="11" s="1"/>
  <c r="E74" i="11"/>
  <c r="E78" i="11" s="1"/>
  <c r="H2" i="11"/>
  <c r="H58" i="11"/>
  <c r="H59" i="11" s="1"/>
  <c r="O58" i="11" s="1"/>
  <c r="O55" i="11"/>
  <c r="O57" i="11" s="1"/>
  <c r="O59" i="11" l="1"/>
  <c r="O60" i="11" s="1"/>
  <c r="O61" i="11" s="1"/>
  <c r="O62" i="11" s="1"/>
  <c r="P62" i="11" s="1"/>
  <c r="E2" i="11" l="1"/>
</calcChain>
</file>

<file path=xl/sharedStrings.xml><?xml version="1.0" encoding="utf-8"?>
<sst xmlns="http://schemas.openxmlformats.org/spreadsheetml/2006/main" count="1809" uniqueCount="382">
  <si>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</si>
  <si>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</si>
  <si>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</si>
  <si>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</si>
  <si>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</si>
  <si>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</si>
  <si>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</si>
  <si>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</si>
  <si>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</si>
  <si>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</si>
  <si>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</si>
  <si>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</si>
  <si>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</si>
  <si>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</si>
  <si>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</si>
  <si>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</si>
  <si>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</si>
  <si>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</si>
  <si>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</si>
  <si>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</si>
  <si>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</si>
  <si>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</si>
  <si>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</si>
  <si>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</si>
  <si>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</si>
  <si>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</si>
  <si>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</si>
  <si>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</si>
  <si>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</si>
  <si>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</si>
  <si>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</si>
  <si>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</si>
  <si>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</si>
  <si>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</si>
  <si>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Mariela Barrantes Sánchez, Chef</t>
  </si>
  <si>
    <t># Código Netsuite</t>
  </si>
  <si>
    <t>Ensamble</t>
  </si>
  <si>
    <t>CONTROL DE CAMBIOS</t>
  </si>
  <si>
    <t>EMPAQUE</t>
  </si>
  <si>
    <t xml:space="preserve">DECORACIÓN </t>
  </si>
  <si>
    <t xml:space="preserve">Decoración </t>
  </si>
  <si>
    <t>Javier Tong, Chef</t>
  </si>
  <si>
    <t>Batidos</t>
  </si>
  <si>
    <t>BATIDO NUCLEO VAINILLA DAWN</t>
  </si>
  <si>
    <t>Decoración</t>
  </si>
  <si>
    <t>Empaque</t>
  </si>
  <si>
    <t>902000019</t>
  </si>
  <si>
    <t>PLASTICOS P</t>
  </si>
  <si>
    <t>0702007</t>
  </si>
  <si>
    <t>EM10004</t>
  </si>
  <si>
    <t>ETIQ.FECHA VENCIMIENTO BLANCO (ROLLO)</t>
  </si>
  <si>
    <t>ETIPLAST</t>
  </si>
  <si>
    <t>0702069</t>
  </si>
  <si>
    <t>EM10002</t>
  </si>
  <si>
    <t>ETIQ.BLANCA 1 1/4 * 3/4 (UND)</t>
  </si>
  <si>
    <t>CEMUSA</t>
  </si>
  <si>
    <t/>
  </si>
  <si>
    <t>Minutos</t>
  </si>
  <si>
    <t xml:space="preserve"> Rosquete nucleo vainilla Dawn redondo 200g </t>
  </si>
  <si>
    <t>Cocina</t>
  </si>
  <si>
    <t>NUEVO</t>
  </si>
  <si>
    <t>SE00254</t>
  </si>
  <si>
    <t>Leches Pasteurizada Con Agua</t>
  </si>
  <si>
    <t>SE00386</t>
  </si>
  <si>
    <t>Trasvasado de leche condensada cocinada</t>
  </si>
  <si>
    <t>SE00682</t>
  </si>
  <si>
    <t xml:space="preserve">Caramelo con chocolate blanco </t>
  </si>
  <si>
    <t>Crema Rosada</t>
  </si>
  <si>
    <t xml:space="preserve">2ud Rosquetes </t>
  </si>
  <si>
    <t>30g x capa</t>
  </si>
  <si>
    <t>180g x capa</t>
  </si>
  <si>
    <t>83g x capa</t>
  </si>
  <si>
    <t>40g xcapa</t>
  </si>
  <si>
    <t>1/3 taza</t>
  </si>
  <si>
    <t>1/4 taza</t>
  </si>
  <si>
    <t>EM10025</t>
  </si>
  <si>
    <t>ORLA CARTON  8" DORADA</t>
  </si>
  <si>
    <t>ETIQ.BLANCA 1 1/4 * 3/4</t>
  </si>
  <si>
    <t>EM10124</t>
  </si>
  <si>
    <t>ETIQUETA BLANCA R-153</t>
  </si>
  <si>
    <t>EM10011</t>
  </si>
  <si>
    <t>ETIQUETA BLANCA 2 5/8X1 15/16 PRE BLANCA</t>
  </si>
  <si>
    <t>MP10074</t>
  </si>
  <si>
    <t>Azucar Blanco Industrial</t>
  </si>
  <si>
    <t>Frambuesa Congelada</t>
  </si>
  <si>
    <t>LAYCA</t>
  </si>
  <si>
    <t>MP10026</t>
  </si>
  <si>
    <t>Almidon Modificado</t>
  </si>
  <si>
    <t>ASEAL</t>
  </si>
  <si>
    <t>Agua</t>
  </si>
  <si>
    <t xml:space="preserve">Agua </t>
  </si>
  <si>
    <t xml:space="preserve">Para almidon </t>
  </si>
  <si>
    <t>Tanda</t>
  </si>
  <si>
    <t>RELLENO DE FRAMBUESA</t>
  </si>
  <si>
    <t>1, Colocar en una olla todos los ingredientes, excepto el almidon.</t>
  </si>
  <si>
    <t xml:space="preserve">2, Cuando todo este disuelto y empieze a hervir, agregar el almidon y dejar que espese sin dejar de mover. </t>
  </si>
  <si>
    <t xml:space="preserve">3, Dejar enfria y guardar. </t>
  </si>
  <si>
    <t xml:space="preserve">Mariela Barrantes Sánchez </t>
  </si>
  <si>
    <t>EM10016</t>
  </si>
  <si>
    <t>BOLSA 17x25 TRANSP (KILO)</t>
  </si>
  <si>
    <t>Relleno Frambuesa</t>
  </si>
  <si>
    <t>Empaque Relleno de Frambuesa</t>
  </si>
  <si>
    <t xml:space="preserve">1, Cortas los dos rosquetes a la mitad y humedecerlos con las leches pausterizadas. </t>
  </si>
  <si>
    <t xml:space="preserve">2, En la primera mitad del rosquete previamente humedecido, colocar la leche condensada cocinada, el relleno de frambuesa y el caramelo bañado en chocolate blanco. </t>
  </si>
  <si>
    <t xml:space="preserve">3, Colocar la segunda mitad de rosquete humedecido, la lechecondensada cocinada, el relleno de frambuesa y el caramelo bañado en chocolate blanco. </t>
  </si>
  <si>
    <t xml:space="preserve">4, Colocar la tercera mitad de rosquete humedecido, la lechecondensada cocinada, el relleno de frambuesa, el caramelo bañado en chocolate blanco y por ultimo tapar con la ultima mitad de rosquete humedecido </t>
  </si>
  <si>
    <t xml:space="preserve">5, Colocar en la orla y encrema con la crema rosada, dejando un borde alto en la superficie de la torta(estilo pisina) </t>
  </si>
  <si>
    <t xml:space="preserve">6, Colocar el relleno de frambuesa y forma un estilo espiral. </t>
  </si>
  <si>
    <t xml:space="preserve">7, Tapar y etiquetar. </t>
  </si>
  <si>
    <t>SE00010</t>
  </si>
  <si>
    <t>Crema Chantilly Blanca (Spoon-Ind)</t>
  </si>
  <si>
    <t>MP10149</t>
  </si>
  <si>
    <t>Colorante Artificial Rosado F225</t>
  </si>
  <si>
    <t>1, Sacar la crema blanca spoon de la camara (temperatura maxima 18° ya batida).</t>
  </si>
  <si>
    <t>2, Agregar el colorante, mezclar a mano, hasta que este completamente homogeneo.</t>
  </si>
  <si>
    <t>3, Colocar platico para tapar y etiquetar.</t>
  </si>
  <si>
    <t xml:space="preserve">4, Volver a guardar en la camara hasta su uso. </t>
  </si>
  <si>
    <t>0702123</t>
  </si>
  <si>
    <t>ETIQUETA BLANCA 2 5/8X1 15/16 (UND)</t>
  </si>
  <si>
    <t>NUEVA</t>
  </si>
  <si>
    <t>TAPA Y DOMO G50CT ALTA #9</t>
  </si>
  <si>
    <t>TORTA FRAMBUESA LOCAL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</si>
  <si>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</si>
  <si>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</si>
  <si>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</si>
  <si>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</si>
  <si>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</si>
  <si>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</si>
  <si>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</si>
  <si>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</si>
  <si>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</si>
  <si>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</si>
  <si>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</si>
  <si>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</si>
  <si>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</si>
  <si>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</si>
  <si>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</si>
  <si>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</si>
  <si>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</si>
  <si>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</si>
  <si>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</si>
  <si>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</si>
  <si>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</si>
  <si>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</si>
  <si>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</si>
  <si>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</si>
  <si>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</si>
  <si>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</si>
  <si>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</si>
  <si>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</si>
  <si>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</si>
  <si>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</si>
  <si>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</si>
  <si>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</si>
  <si>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</si>
  <si>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</si>
  <si>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</si>
  <si>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</si>
  <si>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</si>
  <si>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</si>
  <si>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</si>
  <si>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</si>
  <si>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</si>
  <si>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</si>
  <si>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</si>
  <si>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</si>
  <si>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</si>
  <si>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</si>
  <si>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</si>
  <si>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</si>
  <si>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</si>
  <si>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</si>
  <si>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</si>
  <si>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907000306</t>
  </si>
  <si>
    <t>Gramos</t>
  </si>
  <si>
    <t>1950928</t>
  </si>
  <si>
    <t xml:space="preserve">UND </t>
  </si>
  <si>
    <t>Gamos</t>
  </si>
  <si>
    <t>UND</t>
  </si>
  <si>
    <t>nuevo</t>
  </si>
  <si>
    <t>Sebastian Díaz, Gte Manufactura</t>
  </si>
  <si>
    <t xml:space="preserve">NUEVO </t>
  </si>
  <si>
    <t>Acetato Duro</t>
  </si>
  <si>
    <t>cm</t>
  </si>
  <si>
    <t xml:space="preserve">1,5 rosquete </t>
  </si>
  <si>
    <t>Crema pastelera 190</t>
  </si>
  <si>
    <t>Relleno Crema Pastelera Espeso</t>
  </si>
  <si>
    <t>190g x capa</t>
  </si>
  <si>
    <t>3/4 taza</t>
  </si>
  <si>
    <t>85g x capa</t>
  </si>
  <si>
    <t>25g xcapa</t>
  </si>
  <si>
    <t>SE00069</t>
  </si>
  <si>
    <t>Crema Beidge</t>
  </si>
  <si>
    <t xml:space="preserve">1, Cortas los rosquetes a la mitad y humedecerlos con las leches pausterizadas. </t>
  </si>
  <si>
    <t xml:space="preserve">2, En la primera mitad del rosquete, colocar el acetato y sellarlo con una etiqueta, humedecerlo, colocar el relleno de crema pastelera espeso, el relleno de frambuesa y el caramelo bañado en chocolate blanco. </t>
  </si>
  <si>
    <t xml:space="preserve">3, Colocar la segunda mitad de rosquete humedecido, el relleno de crema pastelera espeso, el relleno de frambuesa y el caramelo bañado en chocolate blanco. </t>
  </si>
  <si>
    <t xml:space="preserve">4, Taparlo con lla ultima capa de rosquete tambien humedecido. </t>
  </si>
  <si>
    <t xml:space="preserve">5, Colocar en la orla y encrema solamente la parte superior, dejando un borde alto en la superficie de la torta(estilo pisina) </t>
  </si>
  <si>
    <t xml:space="preserve">6, Colocar el relleno de frambuesa. </t>
  </si>
  <si>
    <t>ESP-RE-BAS-027</t>
  </si>
  <si>
    <t>01</t>
  </si>
  <si>
    <t xml:space="preserve"> SE00444 Batido Nucleo vainilla Dawn</t>
  </si>
  <si>
    <t>SE00443</t>
  </si>
  <si>
    <t>PREMEZCLA BATIDO NUCLEO VAINILLA DAWN</t>
  </si>
  <si>
    <t>MP10005</t>
  </si>
  <si>
    <t xml:space="preserve">HUEVO ENTERO PASTERI INNOVO ( CAJA: 10 K) </t>
  </si>
  <si>
    <t>INNOVO</t>
  </si>
  <si>
    <t>10415</t>
  </si>
  <si>
    <t>AGUA POTABLE (PLANTA)</t>
  </si>
  <si>
    <t>MP10315</t>
  </si>
  <si>
    <t>PRESERVANTE MIXTO (UND:17 K)</t>
  </si>
  <si>
    <t>PURATOS</t>
  </si>
  <si>
    <t>1, Colocar los liquidos en la batidora, posterior agregar los ingredientes secos</t>
  </si>
  <si>
    <t>2, Batir por 1 min en velocidad 1. Con paleta</t>
  </si>
  <si>
    <t>3, Batir 4 min en velocidad 3. con paleta</t>
  </si>
  <si>
    <t>ESP-RE-PRES-025</t>
  </si>
  <si>
    <t>SE00443 Premezcla Batido Nucleo Vainilla  Dawn</t>
  </si>
  <si>
    <t>Premezclas</t>
  </si>
  <si>
    <t>AZUCAR BLANCO INDUSTRIAL (SACO:50 K)</t>
  </si>
  <si>
    <t>LAICA</t>
  </si>
  <si>
    <t>MP10142</t>
  </si>
  <si>
    <t>CLARA DE HUEVO DESHIDRATADA</t>
  </si>
  <si>
    <t>MP10478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</si>
  <si>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</si>
  <si>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</si>
  <si>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</si>
  <si>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</si>
  <si>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</si>
  <si>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</si>
  <si>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</si>
  <si>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</si>
  <si>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MP10008</t>
  </si>
  <si>
    <t>PRESERVANTE 1047S (PAQ=5 KILO)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</si>
  <si>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</si>
  <si>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</si>
  <si>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</si>
  <si>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</si>
  <si>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</si>
  <si>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</si>
  <si>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</si>
  <si>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</si>
  <si>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MP10517</t>
  </si>
  <si>
    <t>ACTI EGG</t>
  </si>
  <si>
    <t>EM10013</t>
  </si>
  <si>
    <t>BOLSA 17x25 TRANSP KILO</t>
  </si>
  <si>
    <t>EM10133</t>
  </si>
  <si>
    <t>ETIQUETA ROJA LETRA ALERJENO (UND)</t>
  </si>
  <si>
    <t>EM10037</t>
  </si>
  <si>
    <t>BOLSA 8x12 TRANSPARENTE KILO</t>
  </si>
  <si>
    <t>1, En una bolsa 17x25 empacar el azucar. Etiquetar</t>
  </si>
  <si>
    <t>2, En una bolsa 17x25 empacar las harinas, concentrado,cmc, leche en polvo y la goma. Clara de huevo, acti egg. Etiquetar</t>
  </si>
  <si>
    <t>3, En una bolsa 8*12 pesar el preservante y el bicarbonato (se debe pesar justo antes de su uso)</t>
  </si>
  <si>
    <t>4, En una bolsa 8*12 pesar la clara</t>
  </si>
  <si>
    <t>ESP-RE-DES-021</t>
  </si>
  <si>
    <t>03</t>
  </si>
  <si>
    <t xml:space="preserve"> Crema Beidge SE00069</t>
  </si>
  <si>
    <t>Decoracion</t>
  </si>
  <si>
    <t>SE00670</t>
  </si>
  <si>
    <t>CREMA BLANCA SUPREMO</t>
  </si>
  <si>
    <t>MP10150</t>
  </si>
  <si>
    <t>COLORANTE GEL EGG YELLOW  (UND= 130 ML)</t>
  </si>
  <si>
    <t>MASTER PACK</t>
  </si>
  <si>
    <t>0.2</t>
  </si>
  <si>
    <t>Min</t>
  </si>
  <si>
    <t>1, Sacar la crema blanca suprema de la camara (temperatura maxima 18° ya batida).</t>
  </si>
  <si>
    <t>2, Agregar el colorantes y mezclar a mano, hasta que este completamente homogeneo.</t>
  </si>
  <si>
    <t>3, Colocar plastico para tapar y etiquetar.</t>
  </si>
  <si>
    <t xml:space="preserve">2, Se actualiza procedimiento y tiempo de preparación </t>
  </si>
  <si>
    <t>3, Se actualizan datos de receta y pesos finales</t>
  </si>
  <si>
    <t>ESP-RE-DES-059</t>
  </si>
  <si>
    <t>04</t>
  </si>
  <si>
    <t>SE00670 Crema Blanca Supremo</t>
  </si>
  <si>
    <t>Decoracoración</t>
  </si>
  <si>
    <t>MP10047</t>
  </si>
  <si>
    <t>BETTERCREME SUPREMO (UND:4 K)</t>
  </si>
  <si>
    <t>RICHS</t>
  </si>
  <si>
    <t>AYA</t>
  </si>
  <si>
    <t>Etiplas</t>
  </si>
  <si>
    <t xml:space="preserve">1.- Abrir los galones de bettercreme supremo y verter dentro de la top cream, reservando un poco. </t>
  </si>
  <si>
    <t>2.- Disolver el preservante con el colorante en el  agua, mezclando bien, dejandolo sin grumos (Si hace falta disolver, agregar un poco del bettercream supremo para terminar de disolver)</t>
  </si>
  <si>
    <t>3.- Batir por 15 minutos</t>
  </si>
  <si>
    <t>4- Una vez lista retirar (Temperatura adecuada 15° a 16°) y colocar en una tina plastica y tapar con plastico</t>
  </si>
  <si>
    <t>5.- Etiquetar con nombre y fecha de vencimiento.</t>
  </si>
  <si>
    <t xml:space="preserve">6.- Mantener en refrigeración, hasta su uso. </t>
  </si>
  <si>
    <t xml:space="preserve">2, Se sustituye la crema prestige por crema supremo y procedimiento </t>
  </si>
  <si>
    <t xml:space="preserve">3, Se actualiza tiempo de preparación, se agrega colorante y se actualiza procedimiento. </t>
  </si>
  <si>
    <t>4, Se actualiza cantidad de colorante</t>
  </si>
  <si>
    <t>MP10024</t>
  </si>
  <si>
    <t>Leche Evaporada</t>
  </si>
  <si>
    <t>NESTLE</t>
  </si>
  <si>
    <t>MP10030</t>
  </si>
  <si>
    <t>Leche 2% Pasteurizada</t>
  </si>
  <si>
    <t>MP10385</t>
  </si>
  <si>
    <t>Vainilla Oscura</t>
  </si>
  <si>
    <t>Malluquer</t>
  </si>
  <si>
    <t>MP10037</t>
  </si>
  <si>
    <t>Yema De Huevo Pasteurizada</t>
  </si>
  <si>
    <t>MP10025</t>
  </si>
  <si>
    <t>Preservante 1017S</t>
  </si>
  <si>
    <t>Etiqueta Blanca 2 5/8X1 15/16</t>
  </si>
  <si>
    <t>1, Colocar en una olla la leche evaporada junto con la leche estandar y la vainilla, llevar a hervir</t>
  </si>
  <si>
    <t>2, Colocar en un bolw las yemas y junto con el azúcar, con ayuda de un batidor mezclar bien, agregar el almidon y preservante y terminar de incorporar</t>
  </si>
  <si>
    <t>3, Colocar un poco de leche caliente a la mezcla de yemas, mezclar bien. Y luego esta misma mezcla agregar a la olla con el restante de leche calliente.</t>
  </si>
  <si>
    <t>5, Colocar en bandejas, enviar a empaque a enfriar con nombre en etiqueta</t>
  </si>
  <si>
    <t>ESP-RE-DES-026</t>
  </si>
  <si>
    <t>Leches pasteurizadas con Agua 320g Spoon 910000003(SE00254)</t>
  </si>
  <si>
    <t>907000001</t>
  </si>
  <si>
    <t>SE00031</t>
  </si>
  <si>
    <t xml:space="preserve">MEZCLA DE LECHE PASTEURIZADA </t>
  </si>
  <si>
    <t>AGUA</t>
  </si>
  <si>
    <t>1212412</t>
  </si>
  <si>
    <t>PRESERVANTE 1017 (PAQ=5 KILO)</t>
  </si>
  <si>
    <t>Aseal</t>
  </si>
  <si>
    <t>Tortas</t>
  </si>
  <si>
    <t>1.- Colocar la mezcla de leches con agua y preservante en un balde.</t>
  </si>
  <si>
    <t>ESP-RE-POS-020</t>
  </si>
  <si>
    <t>02</t>
  </si>
  <si>
    <t>Mezcla para Tres Leches Pasteurizada SE00031</t>
  </si>
  <si>
    <t>Postres</t>
  </si>
  <si>
    <t>LECHE 2% PASTEURIZADA (UND)</t>
  </si>
  <si>
    <t xml:space="preserve">g </t>
  </si>
  <si>
    <t>1110414</t>
  </si>
  <si>
    <t>LECHE EVAPORADA (LITRO)</t>
  </si>
  <si>
    <t>MP10050</t>
  </si>
  <si>
    <t>LECHE CONDENSADA</t>
  </si>
  <si>
    <t>MP10048</t>
  </si>
  <si>
    <t xml:space="preserve">CREMA PRESTIGE GRAND </t>
  </si>
  <si>
    <t>RICH</t>
  </si>
  <si>
    <t>SE00016</t>
  </si>
  <si>
    <t>AZUCAR BLANCO INDUSTRIAL KILO</t>
  </si>
  <si>
    <t>Min.</t>
  </si>
  <si>
    <t>tanda</t>
  </si>
  <si>
    <t xml:space="preserve">1. Disolver completamente  el preservante en un litro de leche estandar empleando el homogenizador manual. </t>
  </si>
  <si>
    <t>2. Colocar en un bolw con una paleta manual, la leche fluida, la leche evaporada, el litro de leche con el preservante ya disuelto, el azúcar, la crema prestige líquida y  la leche condensada.</t>
  </si>
  <si>
    <t xml:space="preserve">3. Dosificar la mezcla pasteurizada en recipientes de acero inoxidable previamente lavado de acuerdo a INS-LMP-019 Recipiente para el Almacenamiento de Leche Pasteurizada, tapar el recipiente hermeticamente y reservar hasta su uso. </t>
  </si>
  <si>
    <t xml:space="preserve">4. Identificar los recipientes con nombre del producto, fecha de producción y responsable. </t>
  </si>
  <si>
    <t xml:space="preserve">5. Esta mezcla tiene una vida útil de 2 días envasada en recipientes de acero inoxidable herméticamente cerrados y mantenida en refrigeración </t>
  </si>
  <si>
    <t xml:space="preserve">    0ºC y 5ªC.       Terminado el proceso proceder a la limpieza del equipo y a la sanitización.</t>
  </si>
  <si>
    <t xml:space="preserve">2Actualización procedimiento </t>
  </si>
  <si>
    <t>ESP-RE-POS-072</t>
  </si>
  <si>
    <t>1</t>
  </si>
  <si>
    <t xml:space="preserve"> SE00682 CARAMELO CON CHOCOLATE BLANCO</t>
  </si>
  <si>
    <t>Juan Pablo Brenes-Chef</t>
  </si>
  <si>
    <t xml:space="preserve">Esteban Cartin, Gerente de Manofactura </t>
  </si>
  <si>
    <t xml:space="preserve">Postres </t>
  </si>
  <si>
    <t>SE00355</t>
  </si>
  <si>
    <t>Caramelo Crocante</t>
  </si>
  <si>
    <t>MP10143</t>
  </si>
  <si>
    <t>Cobertura Chocolate Blanco Nacional</t>
  </si>
  <si>
    <t>NACIONAL</t>
  </si>
  <si>
    <t>Bolsa 12X18 Transparente</t>
  </si>
  <si>
    <t>Plasticos P</t>
  </si>
  <si>
    <t>Unid</t>
  </si>
  <si>
    <t>EM10120</t>
  </si>
  <si>
    <t>Etiq.Blanca 1 13/16 * 1 7/8</t>
  </si>
  <si>
    <t>Mayca</t>
  </si>
  <si>
    <t>LLEGO C</t>
  </si>
  <si>
    <t>1.Realizar el Brittle de almendras, una vez listo y procesado, derretir chocolate  blanco y mezclarlo muy bien.</t>
  </si>
  <si>
    <t>2. Exparsirlo bien en una bandeja y dejarlo secar.</t>
  </si>
  <si>
    <t>3. Cuando este bien seco. Se vuelve a procesar para que queden pequeños trozos.</t>
  </si>
  <si>
    <t>4. Guardar y etiquetar.</t>
  </si>
  <si>
    <t>ESP-RE-POS-022</t>
  </si>
  <si>
    <t>Caramelo Crocante 1000g Spoon SE00355</t>
  </si>
  <si>
    <t>MP10078</t>
  </si>
  <si>
    <t xml:space="preserve">AZUCAR REFINO INDUSTRIAL </t>
  </si>
  <si>
    <t>MAYCA</t>
  </si>
  <si>
    <t>BOLSA 12X18 TRANSPARENTE</t>
  </si>
  <si>
    <t>ETIQ.BLANCA 1 13/16 * 1 7/8</t>
  </si>
  <si>
    <t>1.- Derretir el azucar hasta tomar color caramelo. Tener cuidado de no quemar.</t>
  </si>
  <si>
    <t>2.- Retirar del fuego y colocar en una blonda de teflon, dejar enfriar.</t>
  </si>
  <si>
    <t xml:space="preserve">3.- Partir con un maso, trozos pequeños. </t>
  </si>
  <si>
    <t>4.- Enviar a figuras.</t>
  </si>
  <si>
    <t>Acetato</t>
  </si>
  <si>
    <t>CM</t>
  </si>
  <si>
    <t>EM10494</t>
  </si>
  <si>
    <t>MP10896</t>
  </si>
  <si>
    <t>EM10466</t>
  </si>
  <si>
    <t>SE00801 RELLENO CREMA PASTELERA ESPESA</t>
  </si>
  <si>
    <t>ESP-RE-COCS-133</t>
  </si>
  <si>
    <t>Preservante 1047S</t>
  </si>
  <si>
    <t xml:space="preserve">2, Se actualiza rendimiento y se cambio preservante </t>
  </si>
  <si>
    <t>4, Mezclar con batidor globo hasta que hierva por 1 min y hasta que la mezcle corte formando la crema pastelera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</si>
</sst>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0.0"/>
    <numFmt numFmtId="167" formatCode="_(* #,##0.000_);_(* \(#,##0.000\);_(* &quot;-&quot;??_);_(@_)"/>
    <numFmt numFmtId="168" formatCode="_(* #,##0.00_);_(* \(#,##0.00\);_(* &quot;-&quot;??_);_(@_)"/>
    <numFmt numFmtId="169" formatCode="[$-409]d\-mmm\-yy;@"/>
    <numFmt numFmtId="170" formatCode="&quot;$&quot;#,##0_);[Red]\(&quot;$&quot;#,##0\)"/>
    <numFmt numFmtId="171" formatCode="_-* #,##0.0\ _€_-;\-* #,##0.0\ _€_-;_-* &quot;-&quot;??\ _€_-;_-@_-"/>
  </numFmts>
  <fonts count="10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Aptos Narrow"/>
      <family val="2"/>
      <scheme val="minor"/>
    </font>
    <font>
      <sz val="12"/>
      <color indexed="8"/>
      <name val="Century Gothic"/>
      <family val="2"/>
    </font>
    <font>
      <b/>
      <sz val="10"/>
      <name val="Century Gothic"/>
      <family val="2"/>
    </font>
    <font>
      <b/>
      <i/>
      <sz val="12"/>
      <name val="Arial"/>
      <family val="2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color theme="1"/>
      <name val="Century Gothic"/>
      <family val="2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  <font>
      <sz val="11"/>
      <name val="Aptos Display"/>
      <family val="2"/>
      <scheme val="major"/>
    </font>
    <font>
      <sz val="12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name val="Aptos Display"/>
      <family val="2"/>
      <scheme val="major"/>
    </font>
    <font>
      <sz val="12"/>
      <color theme="1"/>
      <name val="Times New Roman"/>
      <family val="1"/>
    </font>
    <font>
      <sz val="11"/>
      <name val="Century Gothic"/>
      <family val="2"/>
    </font>
    <font>
      <b/>
      <sz val="20"/>
      <name val="Century Gothic"/>
      <family val="2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sz val="10"/>
      <color rgb="FF000000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Arial"/>
      <family val="2"/>
    </font>
    <font>
      <sz val="11"/>
      <name val="Aptos Narrow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2"/>
      <color theme="1"/>
      <name val="Aptos Display"/>
      <family val="2"/>
      <scheme val="major"/>
    </font>
    <font>
      <sz val="11"/>
      <name val="Arial"/>
      <family val="2"/>
    </font>
    <font>
      <sz val="9.85"/>
      <color indexed="8"/>
      <name val="Times New Roman"/>
      <family val="1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Aptos Narrow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sz val="11"/>
      <color rgb="FF000000"/>
      <name val="Aptos Narrow"/>
      <family val="2"/>
      <scheme val="minor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5"/>
      <color rgb="FFFF0000"/>
      <name val="Arial"/>
      <family val="2"/>
    </font>
    <font>
      <b/>
      <sz val="15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sz val="15"/>
      <color indexed="8"/>
      <name val="Times New Roman"/>
      <family val="1"/>
    </font>
    <font>
      <sz val="15"/>
      <name val="Arial"/>
      <family val="2"/>
    </font>
    <font>
      <sz val="15"/>
      <color theme="1"/>
      <name val="Century Gothic"/>
      <family val="2"/>
    </font>
    <font>
      <sz val="15"/>
      <color theme="1"/>
      <name val="Aptos Narrow"/>
      <family val="2"/>
      <scheme val="minor"/>
    </font>
    <font>
      <sz val="15"/>
      <color indexed="8"/>
      <name val="Century Gothic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285">
    <xf numFmtId="0" fontId="0" fillId="0" borderId="0" xfId="0"/>
    <xf numFmtId="0" fontId="0" fillId="0" borderId="15" xfId="0" applyBorder="1"/>
    <xf numFmtId="0" fontId="0" fillId="0" borderId="15" xfId="0" applyBorder="1" applyAlignment="1">
      <alignment horizontal="center"/>
    </xf>
    <xf numFmtId="1" fontId="6" fillId="0" borderId="15" xfId="0" applyNumberFormat="1" applyFont="1" applyBorder="1" applyAlignment="1">
      <alignment horizontal="center" wrapText="1"/>
    </xf>
    <xf numFmtId="0" fontId="8" fillId="3" borderId="18" xfId="2" applyFont="1" applyFill="1" applyBorder="1" applyAlignment="1">
      <alignment horizontal="right"/>
    </xf>
    <xf numFmtId="0" fontId="7" fillId="3" borderId="17" xfId="2" applyFont="1" applyFill="1" applyBorder="1" applyAlignment="1">
      <alignment horizontal="center"/>
    </xf>
    <xf numFmtId="0" fontId="8" fillId="3" borderId="15" xfId="2" applyFont="1" applyFill="1" applyBorder="1" applyAlignment="1">
      <alignment horizontal="right"/>
    </xf>
    <xf numFmtId="49" fontId="7" fillId="3" borderId="14" xfId="2" applyNumberFormat="1" applyFont="1" applyFill="1" applyBorder="1" applyAlignment="1">
      <alignment horizontal="center"/>
    </xf>
    <xf numFmtId="0" fontId="7" fillId="3" borderId="11" xfId="2" applyFont="1" applyFill="1" applyBorder="1" applyAlignment="1">
      <alignment horizontal="right"/>
    </xf>
    <xf numFmtId="0" fontId="7" fillId="3" borderId="15" xfId="2" applyFont="1" applyFill="1" applyBorder="1" applyAlignment="1">
      <alignment horizontal="right"/>
    </xf>
    <xf numFmtId="14" fontId="10" fillId="3" borderId="0" xfId="2" applyNumberFormat="1" applyFont="1" applyFill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1" fontId="8" fillId="2" borderId="2" xfId="1" applyNumberFormat="1" applyFont="1" applyFill="1" applyBorder="1" applyAlignment="1">
      <alignment horizontal="center"/>
    </xf>
    <xf numFmtId="1" fontId="8" fillId="2" borderId="2" xfId="1" applyNumberFormat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/>
    </xf>
    <xf numFmtId="0" fontId="11" fillId="0" borderId="16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2" fillId="0" borderId="15" xfId="1" applyFont="1" applyBorder="1" applyAlignment="1">
      <alignment vertical="center"/>
    </xf>
    <xf numFmtId="0" fontId="11" fillId="0" borderId="15" xfId="1" applyFont="1" applyBorder="1" applyAlignment="1">
      <alignment horizontal="center" vertical="center"/>
    </xf>
    <xf numFmtId="1" fontId="11" fillId="0" borderId="15" xfId="1" applyNumberFormat="1" applyFont="1" applyBorder="1" applyAlignment="1">
      <alignment horizontal="center"/>
    </xf>
    <xf numFmtId="1" fontId="11" fillId="0" borderId="15" xfId="1" applyNumberFormat="1" applyFont="1" applyBorder="1" applyAlignment="1">
      <alignment horizontal="center" wrapText="1"/>
    </xf>
    <xf numFmtId="0" fontId="6" fillId="0" borderId="14" xfId="1" applyFont="1" applyBorder="1" applyAlignment="1">
      <alignment horizontal="center"/>
    </xf>
    <xf numFmtId="49" fontId="6" fillId="4" borderId="15" xfId="0" applyNumberFormat="1" applyFont="1" applyFill="1" applyBorder="1" applyAlignment="1">
      <alignment vertical="center"/>
    </xf>
    <xf numFmtId="0" fontId="6" fillId="4" borderId="15" xfId="0" applyFont="1" applyFill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5" xfId="0" applyFont="1" applyBorder="1"/>
    <xf numFmtId="1" fontId="7" fillId="0" borderId="15" xfId="0" applyNumberFormat="1" applyFont="1" applyBorder="1" applyAlignment="1">
      <alignment horizontal="center" wrapText="1"/>
    </xf>
    <xf numFmtId="165" fontId="3" fillId="0" borderId="15" xfId="0" applyNumberFormat="1" applyFont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 wrapText="1"/>
    </xf>
    <xf numFmtId="0" fontId="3" fillId="0" borderId="15" xfId="1" applyFont="1" applyBorder="1" applyAlignment="1">
      <alignment horizontal="center"/>
    </xf>
    <xf numFmtId="49" fontId="6" fillId="0" borderId="15" xfId="1" applyNumberFormat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49" fontId="6" fillId="4" borderId="15" xfId="0" applyNumberFormat="1" applyFont="1" applyFill="1" applyBorder="1" applyAlignment="1">
      <alignment horizontal="center" vertical="center"/>
    </xf>
    <xf numFmtId="49" fontId="6" fillId="0" borderId="15" xfId="0" applyNumberFormat="1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right"/>
    </xf>
    <xf numFmtId="0" fontId="7" fillId="0" borderId="15" xfId="0" quotePrefix="1" applyFont="1" applyBorder="1"/>
    <xf numFmtId="0" fontId="6" fillId="0" borderId="15" xfId="0" applyFont="1" applyBorder="1"/>
    <xf numFmtId="0" fontId="13" fillId="0" borderId="0" xfId="0" applyFont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5" xfId="1" applyNumberFormat="1" applyFont="1" applyBorder="1"/>
    <xf numFmtId="49" fontId="14" fillId="3" borderId="21" xfId="1" applyNumberFormat="1" applyFont="1" applyFill="1" applyBorder="1" applyAlignment="1">
      <alignment horizontal="center" vertical="center"/>
    </xf>
    <xf numFmtId="49" fontId="14" fillId="3" borderId="0" xfId="1" applyNumberFormat="1" applyFont="1" applyFill="1" applyAlignment="1">
      <alignment horizontal="center" vertical="center"/>
    </xf>
    <xf numFmtId="0" fontId="7" fillId="3" borderId="0" xfId="1" applyFont="1" applyFill="1"/>
    <xf numFmtId="1" fontId="7" fillId="3" borderId="0" xfId="1" applyNumberFormat="1" applyFont="1" applyFill="1" applyAlignment="1">
      <alignment horizontal="center"/>
    </xf>
    <xf numFmtId="164" fontId="7" fillId="3" borderId="0" xfId="1" applyNumberFormat="1" applyFont="1" applyFill="1" applyAlignment="1">
      <alignment horizontal="center" wrapText="1"/>
    </xf>
    <xf numFmtId="0" fontId="7" fillId="3" borderId="20" xfId="1" applyFont="1" applyFill="1" applyBorder="1" applyAlignment="1">
      <alignment horizontal="center"/>
    </xf>
    <xf numFmtId="0" fontId="7" fillId="2" borderId="43" xfId="1" applyFont="1" applyFill="1" applyBorder="1" applyAlignment="1">
      <alignment horizontal="center"/>
    </xf>
    <xf numFmtId="0" fontId="7" fillId="2" borderId="38" xfId="1" applyFont="1" applyFill="1" applyBorder="1" applyAlignment="1">
      <alignment horizontal="center"/>
    </xf>
    <xf numFmtId="0" fontId="7" fillId="2" borderId="38" xfId="1" applyFont="1" applyFill="1" applyBorder="1"/>
    <xf numFmtId="0" fontId="8" fillId="2" borderId="38" xfId="1" applyFont="1" applyFill="1" applyBorder="1" applyAlignment="1">
      <alignment horizontal="center"/>
    </xf>
    <xf numFmtId="1" fontId="8" fillId="2" borderId="38" xfId="1" applyNumberFormat="1" applyFont="1" applyFill="1" applyBorder="1" applyAlignment="1">
      <alignment horizontal="center"/>
    </xf>
    <xf numFmtId="164" fontId="7" fillId="2" borderId="38" xfId="1" applyNumberFormat="1" applyFont="1" applyFill="1" applyBorder="1" applyAlignment="1">
      <alignment horizontal="center" wrapText="1"/>
    </xf>
    <xf numFmtId="0" fontId="7" fillId="2" borderId="39" xfId="1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4" borderId="15" xfId="0" applyNumberFormat="1" applyFont="1" applyFill="1" applyBorder="1" applyAlignment="1">
      <alignment horizontal="center"/>
    </xf>
    <xf numFmtId="0" fontId="17" fillId="0" borderId="15" xfId="0" applyFont="1" applyBorder="1"/>
    <xf numFmtId="16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49" fontId="2" fillId="4" borderId="15" xfId="0" applyNumberFormat="1" applyFont="1" applyFill="1" applyBorder="1"/>
    <xf numFmtId="1" fontId="2" fillId="4" borderId="15" xfId="0" applyNumberFormat="1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/>
    </xf>
    <xf numFmtId="49" fontId="18" fillId="4" borderId="15" xfId="0" applyNumberFormat="1" applyFont="1" applyFill="1" applyBorder="1"/>
    <xf numFmtId="16" fontId="2" fillId="4" borderId="15" xfId="0" applyNumberFormat="1" applyFont="1" applyFill="1" applyBorder="1" applyAlignment="1">
      <alignment horizontal="center"/>
    </xf>
    <xf numFmtId="0" fontId="17" fillId="0" borderId="15" xfId="0" quotePrefix="1" applyFont="1" applyBorder="1"/>
    <xf numFmtId="49" fontId="2" fillId="0" borderId="15" xfId="0" applyNumberFormat="1" applyFont="1" applyBorder="1"/>
    <xf numFmtId="49" fontId="18" fillId="0" borderId="15" xfId="1" applyNumberFormat="1" applyFont="1" applyBorder="1" applyAlignment="1">
      <alignment horizontal="center"/>
    </xf>
    <xf numFmtId="0" fontId="19" fillId="4" borderId="15" xfId="1" applyFont="1" applyFill="1" applyBorder="1" applyAlignment="1">
      <alignment vertical="center"/>
    </xf>
    <xf numFmtId="0" fontId="18" fillId="0" borderId="15" xfId="1" applyFont="1" applyBorder="1" applyAlignment="1">
      <alignment horizontal="center"/>
    </xf>
    <xf numFmtId="1" fontId="18" fillId="0" borderId="15" xfId="1" applyNumberFormat="1" applyFont="1" applyBorder="1" applyAlignment="1">
      <alignment horizontal="center"/>
    </xf>
    <xf numFmtId="1" fontId="18" fillId="0" borderId="15" xfId="1" applyNumberFormat="1" applyFont="1" applyBorder="1" applyAlignment="1">
      <alignment horizontal="center" wrapText="1"/>
    </xf>
    <xf numFmtId="12" fontId="5" fillId="0" borderId="15" xfId="0" applyNumberFormat="1" applyFont="1" applyBorder="1" applyAlignment="1">
      <alignment horizontal="center"/>
    </xf>
    <xf numFmtId="12" fontId="5" fillId="0" borderId="15" xfId="0" applyNumberFormat="1" applyFont="1" applyBorder="1"/>
    <xf numFmtId="0" fontId="17" fillId="4" borderId="15" xfId="0" applyFont="1" applyFill="1" applyBorder="1"/>
    <xf numFmtId="16" fontId="5" fillId="0" borderId="15" xfId="1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49" fontId="20" fillId="0" borderId="15" xfId="1" applyNumberFormat="1" applyFont="1" applyBorder="1"/>
    <xf numFmtId="0" fontId="3" fillId="0" borderId="11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49" fontId="20" fillId="0" borderId="15" xfId="0" applyNumberFormat="1" applyFont="1" applyBorder="1" applyAlignment="1">
      <alignment horizontal="center"/>
    </xf>
    <xf numFmtId="49" fontId="21" fillId="0" borderId="15" xfId="0" applyNumberFormat="1" applyFont="1" applyBorder="1" applyAlignment="1">
      <alignment horizontal="left"/>
    </xf>
    <xf numFmtId="16" fontId="20" fillId="0" borderId="15" xfId="0" applyNumberFormat="1" applyFont="1" applyBorder="1" applyAlignment="1">
      <alignment horizontal="center"/>
    </xf>
    <xf numFmtId="1" fontId="20" fillId="0" borderId="15" xfId="0" applyNumberFormat="1" applyFont="1" applyBorder="1" applyAlignment="1">
      <alignment horizontal="center"/>
    </xf>
    <xf numFmtId="49" fontId="20" fillId="0" borderId="15" xfId="0" applyNumberFormat="1" applyFont="1" applyBorder="1"/>
    <xf numFmtId="1" fontId="20" fillId="0" borderId="15" xfId="0" applyNumberFormat="1" applyFont="1" applyBorder="1" applyAlignment="1">
      <alignment horizontal="center" wrapText="1"/>
    </xf>
    <xf numFmtId="0" fontId="22" fillId="0" borderId="15" xfId="0" applyFont="1" applyBorder="1" applyAlignment="1">
      <alignment horizontal="center"/>
    </xf>
    <xf numFmtId="0" fontId="22" fillId="0" borderId="15" xfId="0" applyFont="1" applyBorder="1"/>
    <xf numFmtId="0" fontId="22" fillId="0" borderId="15" xfId="0" applyFont="1" applyBorder="1" applyAlignment="1">
      <alignment horizontal="center" vertical="center"/>
    </xf>
    <xf numFmtId="0" fontId="22" fillId="0" borderId="15" xfId="0" applyFont="1" applyBorder="1" applyAlignment="1">
      <alignment horizontal="left" vertical="center"/>
    </xf>
    <xf numFmtId="0" fontId="22" fillId="0" borderId="0" xfId="0" applyFont="1"/>
    <xf numFmtId="0" fontId="23" fillId="0" borderId="15" xfId="0" applyFont="1" applyBorder="1"/>
    <xf numFmtId="0" fontId="15" fillId="0" borderId="15" xfId="0" applyFont="1" applyBorder="1" applyAlignment="1">
      <alignment horizontal="right"/>
    </xf>
    <xf numFmtId="1" fontId="15" fillId="0" borderId="2" xfId="0" applyNumberFormat="1" applyFont="1" applyBorder="1" applyAlignment="1">
      <alignment horizontal="right"/>
    </xf>
    <xf numFmtId="0" fontId="17" fillId="0" borderId="9" xfId="0" applyFont="1" applyBorder="1"/>
    <xf numFmtId="49" fontId="2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1" fontId="5" fillId="0" borderId="11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 wrapText="1"/>
    </xf>
    <xf numFmtId="16" fontId="5" fillId="0" borderId="15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5" fillId="3" borderId="18" xfId="2" applyFont="1" applyFill="1" applyBorder="1" applyAlignment="1">
      <alignment horizontal="right"/>
    </xf>
    <xf numFmtId="0" fontId="5" fillId="3" borderId="17" xfId="2" applyFont="1" applyFill="1" applyBorder="1" applyAlignment="1">
      <alignment horizontal="center"/>
    </xf>
    <xf numFmtId="0" fontId="15" fillId="3" borderId="15" xfId="2" applyFont="1" applyFill="1" applyBorder="1" applyAlignment="1">
      <alignment horizontal="right"/>
    </xf>
    <xf numFmtId="49" fontId="5" fillId="3" borderId="14" xfId="2" applyNumberFormat="1" applyFont="1" applyFill="1" applyBorder="1" applyAlignment="1">
      <alignment horizontal="center"/>
    </xf>
    <xf numFmtId="0" fontId="5" fillId="3" borderId="11" xfId="2" applyFont="1" applyFill="1" applyBorder="1" applyAlignment="1">
      <alignment horizontal="right"/>
    </xf>
    <xf numFmtId="0" fontId="5" fillId="3" borderId="15" xfId="2" applyFont="1" applyFill="1" applyBorder="1" applyAlignment="1">
      <alignment horizontal="right"/>
    </xf>
    <xf numFmtId="14" fontId="25" fillId="3" borderId="0" xfId="2" applyNumberFormat="1" applyFont="1" applyFill="1" applyAlignment="1">
      <alignment horizontal="center" vertical="center" wrapText="1"/>
    </xf>
    <xf numFmtId="0" fontId="15" fillId="2" borderId="17" xfId="1" applyFont="1" applyFill="1" applyBorder="1" applyAlignment="1">
      <alignment horizontal="center" vertical="center" wrapText="1"/>
    </xf>
    <xf numFmtId="1" fontId="15" fillId="2" borderId="2" xfId="1" applyNumberFormat="1" applyFont="1" applyFill="1" applyBorder="1" applyAlignment="1">
      <alignment horizontal="center"/>
    </xf>
    <xf numFmtId="1" fontId="15" fillId="2" borderId="2" xfId="1" applyNumberFormat="1" applyFont="1" applyFill="1" applyBorder="1" applyAlignment="1">
      <alignment horizontal="center" wrapText="1"/>
    </xf>
    <xf numFmtId="0" fontId="15" fillId="2" borderId="1" xfId="1" applyFont="1" applyFill="1" applyBorder="1" applyAlignment="1">
      <alignment horizontal="center"/>
    </xf>
    <xf numFmtId="0" fontId="18" fillId="0" borderId="16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19" fillId="0" borderId="15" xfId="1" applyFont="1" applyBorder="1" applyAlignment="1">
      <alignment vertical="center"/>
    </xf>
    <xf numFmtId="0" fontId="18" fillId="0" borderId="15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/>
    </xf>
    <xf numFmtId="1" fontId="0" fillId="0" borderId="15" xfId="0" applyNumberFormat="1" applyBorder="1"/>
    <xf numFmtId="0" fontId="5" fillId="0" borderId="15" xfId="0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12" fontId="5" fillId="0" borderId="11" xfId="0" applyNumberFormat="1" applyFont="1" applyBorder="1" applyAlignment="1">
      <alignment horizontal="center"/>
    </xf>
    <xf numFmtId="0" fontId="5" fillId="0" borderId="15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0" fontId="11" fillId="4" borderId="15" xfId="1" applyFont="1" applyFill="1" applyBorder="1" applyAlignment="1">
      <alignment horizontal="left"/>
    </xf>
    <xf numFmtId="0" fontId="5" fillId="4" borderId="15" xfId="1" applyFont="1" applyFill="1" applyBorder="1" applyAlignment="1">
      <alignment horizontal="center"/>
    </xf>
    <xf numFmtId="1" fontId="0" fillId="0" borderId="8" xfId="0" applyNumberFormat="1" applyBorder="1"/>
    <xf numFmtId="0" fontId="2" fillId="0" borderId="15" xfId="1" applyFont="1" applyBorder="1" applyAlignment="1">
      <alignment horizontal="center"/>
    </xf>
    <xf numFmtId="166" fontId="2" fillId="0" borderId="15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 wrapText="1"/>
    </xf>
    <xf numFmtId="0" fontId="26" fillId="4" borderId="16" xfId="0" applyFont="1" applyFill="1" applyBorder="1" applyAlignment="1">
      <alignment horizontal="center"/>
    </xf>
    <xf numFmtId="0" fontId="26" fillId="4" borderId="12" xfId="0" applyFont="1" applyFill="1" applyBorder="1" applyAlignment="1">
      <alignment horizontal="center"/>
    </xf>
    <xf numFmtId="0" fontId="26" fillId="4" borderId="11" xfId="0" applyFont="1" applyFill="1" applyBorder="1"/>
    <xf numFmtId="0" fontId="5" fillId="4" borderId="8" xfId="0" applyFont="1" applyFill="1" applyBorder="1" applyAlignment="1">
      <alignment horizontal="center"/>
    </xf>
    <xf numFmtId="1" fontId="5" fillId="4" borderId="11" xfId="0" applyNumberFormat="1" applyFont="1" applyFill="1" applyBorder="1" applyAlignment="1">
      <alignment horizontal="center"/>
    </xf>
    <xf numFmtId="1" fontId="5" fillId="4" borderId="11" xfId="0" applyNumberFormat="1" applyFont="1" applyFill="1" applyBorder="1" applyAlignment="1">
      <alignment horizontal="center" wrapText="1"/>
    </xf>
    <xf numFmtId="1" fontId="5" fillId="0" borderId="15" xfId="0" applyNumberFormat="1" applyFont="1" applyBorder="1" applyAlignment="1">
      <alignment horizontal="center" wrapText="1"/>
    </xf>
    <xf numFmtId="49" fontId="18" fillId="0" borderId="7" xfId="1" applyNumberFormat="1" applyFont="1" applyBorder="1" applyAlignment="1">
      <alignment horizontal="center"/>
    </xf>
    <xf numFmtId="49" fontId="18" fillId="0" borderId="6" xfId="1" applyNumberFormat="1" applyFont="1" applyBorder="1" applyAlignment="1">
      <alignment horizontal="center"/>
    </xf>
    <xf numFmtId="0" fontId="12" fillId="4" borderId="15" xfId="1" applyFont="1" applyFill="1" applyBorder="1" applyAlignment="1">
      <alignment vertical="center"/>
    </xf>
    <xf numFmtId="0" fontId="18" fillId="0" borderId="8" xfId="1" applyFont="1" applyBorder="1" applyAlignment="1">
      <alignment horizontal="center"/>
    </xf>
    <xf numFmtId="166" fontId="18" fillId="0" borderId="15" xfId="1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1" fillId="0" borderId="15" xfId="0" applyNumberFormat="1" applyFont="1" applyBorder="1"/>
    <xf numFmtId="167" fontId="15" fillId="4" borderId="15" xfId="6" applyNumberFormat="1" applyFont="1" applyFill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8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2" fillId="0" borderId="15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0" fontId="5" fillId="0" borderId="15" xfId="0" quotePrefix="1" applyFont="1" applyBorder="1" applyAlignment="1">
      <alignment horizontal="center"/>
    </xf>
    <xf numFmtId="0" fontId="5" fillId="0" borderId="15" xfId="0" quotePrefix="1" applyFont="1" applyBorder="1"/>
    <xf numFmtId="49" fontId="29" fillId="3" borderId="21" xfId="1" applyNumberFormat="1" applyFont="1" applyFill="1" applyBorder="1" applyAlignment="1">
      <alignment horizontal="center" vertical="center"/>
    </xf>
    <xf numFmtId="49" fontId="29" fillId="3" borderId="0" xfId="1" applyNumberFormat="1" applyFont="1" applyFill="1" applyAlignment="1">
      <alignment horizontal="center" vertical="center"/>
    </xf>
    <xf numFmtId="0" fontId="5" fillId="3" borderId="0" xfId="1" applyFont="1" applyFill="1"/>
    <xf numFmtId="1" fontId="5" fillId="3" borderId="0" xfId="1" applyNumberFormat="1" applyFont="1" applyFill="1" applyAlignment="1">
      <alignment horizontal="center"/>
    </xf>
    <xf numFmtId="164" fontId="5" fillId="3" borderId="0" xfId="1" applyNumberFormat="1" applyFont="1" applyFill="1" applyAlignment="1">
      <alignment horizontal="center" wrapText="1"/>
    </xf>
    <xf numFmtId="0" fontId="5" fillId="3" borderId="20" xfId="1" applyFont="1" applyFill="1" applyBorder="1" applyAlignment="1">
      <alignment horizontal="center"/>
    </xf>
    <xf numFmtId="0" fontId="5" fillId="2" borderId="43" xfId="1" applyFont="1" applyFill="1" applyBorder="1" applyAlignment="1">
      <alignment horizontal="center"/>
    </xf>
    <xf numFmtId="0" fontId="5" fillId="2" borderId="38" xfId="1" applyFont="1" applyFill="1" applyBorder="1" applyAlignment="1">
      <alignment horizontal="center"/>
    </xf>
    <xf numFmtId="0" fontId="5" fillId="2" borderId="38" xfId="1" applyFont="1" applyFill="1" applyBorder="1"/>
    <xf numFmtId="0" fontId="15" fillId="2" borderId="38" xfId="1" applyFont="1" applyFill="1" applyBorder="1" applyAlignment="1">
      <alignment horizontal="center"/>
    </xf>
    <xf numFmtId="1" fontId="15" fillId="2" borderId="38" xfId="1" applyNumberFormat="1" applyFont="1" applyFill="1" applyBorder="1" applyAlignment="1">
      <alignment horizontal="center"/>
    </xf>
    <xf numFmtId="164" fontId="5" fillId="2" borderId="38" xfId="1" applyNumberFormat="1" applyFont="1" applyFill="1" applyBorder="1" applyAlignment="1">
      <alignment horizontal="center" wrapText="1"/>
    </xf>
    <xf numFmtId="0" fontId="5" fillId="2" borderId="39" xfId="1" applyFont="1" applyFill="1" applyBorder="1" applyAlignment="1">
      <alignment horizontal="center"/>
    </xf>
    <xf numFmtId="1" fontId="15" fillId="0" borderId="11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4" borderId="8" xfId="2" applyFill="1" applyBorder="1" applyAlignment="1">
      <alignment vertical="center" wrapText="1"/>
    </xf>
    <xf numFmtId="0" fontId="18" fillId="0" borderId="1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15" xfId="0" applyFont="1" applyBorder="1"/>
    <xf numFmtId="0" fontId="1" fillId="0" borderId="15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0" fillId="0" borderId="15" xfId="0" applyBorder="1" applyAlignment="1">
      <alignment horizontal="left"/>
    </xf>
    <xf numFmtId="1" fontId="34" fillId="0" borderId="11" xfId="0" applyNumberFormat="1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0" fillId="0" borderId="9" xfId="0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16" fontId="2" fillId="0" borderId="15" xfId="1" applyNumberFormat="1" applyFont="1" applyBorder="1" applyAlignment="1">
      <alignment horizontal="center"/>
    </xf>
    <xf numFmtId="1" fontId="5" fillId="0" borderId="11" xfId="1" applyNumberFormat="1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2" fillId="0" borderId="29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1" fontId="1" fillId="0" borderId="15" xfId="0" applyNumberFormat="1" applyFont="1" applyBorder="1" applyAlignment="1">
      <alignment horizontal="left" vertical="center"/>
    </xf>
    <xf numFmtId="16" fontId="21" fillId="0" borderId="15" xfId="1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3" fillId="4" borderId="15" xfId="2" applyFill="1" applyBorder="1" applyAlignment="1">
      <alignment horizontal="center" vertical="center" wrapText="1"/>
    </xf>
    <xf numFmtId="0" fontId="6" fillId="4" borderId="11" xfId="2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2" fontId="0" fillId="0" borderId="0" xfId="0" applyNumberFormat="1"/>
    <xf numFmtId="1" fontId="6" fillId="4" borderId="15" xfId="2" applyNumberFormat="1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/>
    </xf>
    <xf numFmtId="1" fontId="35" fillId="0" borderId="15" xfId="0" applyNumberFormat="1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15" fillId="2" borderId="29" xfId="1" applyNumberFormat="1" applyFont="1" applyFill="1" applyBorder="1" applyAlignment="1">
      <alignment horizontal="center"/>
    </xf>
    <xf numFmtId="1" fontId="15" fillId="2" borderId="29" xfId="1" applyNumberFormat="1" applyFont="1" applyFill="1" applyBorder="1" applyAlignment="1">
      <alignment horizontal="center" wrapText="1"/>
    </xf>
    <xf numFmtId="0" fontId="18" fillId="0" borderId="7" xfId="1" applyFont="1" applyBorder="1" applyAlignment="1">
      <alignment horizontal="center" vertical="center"/>
    </xf>
    <xf numFmtId="0" fontId="1" fillId="0" borderId="15" xfId="0" applyFont="1" applyBorder="1"/>
    <xf numFmtId="1" fontId="38" fillId="0" borderId="15" xfId="1" applyNumberFormat="1" applyFont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12" fontId="39" fillId="0" borderId="15" xfId="1" applyNumberFormat="1" applyFont="1" applyBorder="1" applyAlignment="1">
      <alignment horizontal="center"/>
    </xf>
    <xf numFmtId="12" fontId="39" fillId="0" borderId="8" xfId="1" applyNumberFormat="1" applyFont="1" applyBorder="1" applyAlignment="1">
      <alignment horizontal="left"/>
    </xf>
    <xf numFmtId="12" fontId="38" fillId="0" borderId="15" xfId="1" applyNumberFormat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40" fillId="0" borderId="15" xfId="0" applyFont="1" applyBorder="1" applyAlignment="1">
      <alignment horizontal="center" vertical="center"/>
    </xf>
    <xf numFmtId="0" fontId="1" fillId="4" borderId="15" xfId="1" applyFill="1" applyBorder="1" applyAlignment="1">
      <alignment horizontal="center"/>
    </xf>
    <xf numFmtId="0" fontId="1" fillId="4" borderId="15" xfId="1" applyFill="1" applyBorder="1"/>
    <xf numFmtId="0" fontId="2" fillId="0" borderId="5" xfId="1" applyFont="1" applyBorder="1" applyAlignment="1">
      <alignment horizontal="center"/>
    </xf>
    <xf numFmtId="0" fontId="40" fillId="0" borderId="15" xfId="0" applyFont="1" applyBorder="1" applyAlignment="1">
      <alignment horizontal="center"/>
    </xf>
    <xf numFmtId="0" fontId="40" fillId="7" borderId="15" xfId="0" applyFont="1" applyFill="1" applyBorder="1"/>
    <xf numFmtId="0" fontId="5" fillId="0" borderId="15" xfId="0" applyFont="1" applyBorder="1" applyAlignment="1">
      <alignment horizontal="center" wrapText="1"/>
    </xf>
    <xf numFmtId="0" fontId="40" fillId="7" borderId="15" xfId="0" applyFont="1" applyFill="1" applyBorder="1" applyAlignment="1">
      <alignment horizontal="center"/>
    </xf>
    <xf numFmtId="0" fontId="26" fillId="4" borderId="15" xfId="0" applyFont="1" applyFill="1" applyBorder="1" applyAlignment="1">
      <alignment horizontal="center"/>
    </xf>
    <xf numFmtId="0" fontId="41" fillId="4" borderId="15" xfId="0" applyFont="1" applyFill="1" applyBorder="1" applyAlignment="1">
      <alignment vertical="center"/>
    </xf>
    <xf numFmtId="0" fontId="5" fillId="4" borderId="15" xfId="0" applyFont="1" applyFill="1" applyBorder="1" applyAlignment="1">
      <alignment horizontal="center"/>
    </xf>
    <xf numFmtId="1" fontId="15" fillId="4" borderId="15" xfId="0" applyNumberFormat="1" applyFont="1" applyFill="1" applyBorder="1" applyAlignment="1">
      <alignment horizontal="center"/>
    </xf>
    <xf numFmtId="1" fontId="5" fillId="4" borderId="15" xfId="0" applyNumberFormat="1" applyFont="1" applyFill="1" applyBorder="1" applyAlignment="1">
      <alignment horizontal="center" wrapText="1"/>
    </xf>
    <xf numFmtId="2" fontId="18" fillId="0" borderId="15" xfId="1" applyNumberFormat="1" applyFont="1" applyBorder="1" applyAlignment="1">
      <alignment horizontal="center"/>
    </xf>
    <xf numFmtId="16" fontId="6" fillId="0" borderId="15" xfId="0" applyNumberFormat="1" applyFont="1" applyBorder="1" applyAlignment="1">
      <alignment horizontal="center"/>
    </xf>
    <xf numFmtId="0" fontId="0" fillId="4" borderId="0" xfId="0" applyFill="1"/>
    <xf numFmtId="0" fontId="6" fillId="4" borderId="15" xfId="0" applyFont="1" applyFill="1" applyBorder="1" applyAlignment="1">
      <alignment horizontal="center"/>
    </xf>
    <xf numFmtId="12" fontId="39" fillId="0" borderId="15" xfId="1" applyNumberFormat="1" applyFont="1" applyBorder="1" applyAlignment="1">
      <alignment horizontal="left"/>
    </xf>
    <xf numFmtId="12" fontId="39" fillId="0" borderId="5" xfId="1" applyNumberFormat="1" applyFont="1" applyBorder="1" applyAlignment="1">
      <alignment horizontal="left"/>
    </xf>
    <xf numFmtId="16" fontId="5" fillId="4" borderId="15" xfId="0" applyNumberFormat="1" applyFont="1" applyFill="1" applyBorder="1" applyAlignment="1">
      <alignment horizontal="center"/>
    </xf>
    <xf numFmtId="1" fontId="2" fillId="0" borderId="15" xfId="1" applyNumberFormat="1" applyFont="1" applyBorder="1" applyAlignment="1">
      <alignment horizontal="center" vertical="center" wrapText="1"/>
    </xf>
    <xf numFmtId="0" fontId="6" fillId="0" borderId="15" xfId="1" applyFont="1" applyBorder="1"/>
    <xf numFmtId="0" fontId="5" fillId="4" borderId="2" xfId="1" applyFont="1" applyFill="1" applyBorder="1"/>
    <xf numFmtId="0" fontId="5" fillId="4" borderId="2" xfId="1" applyFont="1" applyFill="1" applyBorder="1" applyAlignment="1">
      <alignment horizontal="center"/>
    </xf>
    <xf numFmtId="0" fontId="2" fillId="0" borderId="15" xfId="8" applyFont="1" applyBorder="1" applyAlignment="1">
      <alignment horizontal="center" vertical="center"/>
    </xf>
    <xf numFmtId="1" fontId="2" fillId="0" borderId="15" xfId="8" applyNumberFormat="1" applyFont="1" applyBorder="1" applyAlignment="1">
      <alignment horizontal="center" vertical="center"/>
    </xf>
    <xf numFmtId="1" fontId="2" fillId="0" borderId="15" xfId="8" applyNumberFormat="1" applyFont="1" applyBorder="1" applyAlignment="1">
      <alignment horizontal="center" vertical="center" wrapText="1"/>
    </xf>
    <xf numFmtId="0" fontId="0" fillId="0" borderId="15" xfId="3" applyFont="1" applyBorder="1" applyAlignment="1">
      <alignment horizontal="center"/>
    </xf>
    <xf numFmtId="1" fontId="2" fillId="0" borderId="15" xfId="1" applyNumberFormat="1" applyFont="1" applyBorder="1" applyAlignment="1">
      <alignment horizontal="center" vertical="center"/>
    </xf>
    <xf numFmtId="49" fontId="31" fillId="8" borderId="15" xfId="0" applyNumberFormat="1" applyFont="1" applyFill="1" applyBorder="1" applyAlignment="1">
      <alignment horizontal="center"/>
    </xf>
    <xf numFmtId="0" fontId="31" fillId="8" borderId="15" xfId="2" applyFont="1" applyFill="1" applyBorder="1" applyAlignment="1">
      <alignment vertical="center" wrapText="1"/>
    </xf>
    <xf numFmtId="0" fontId="0" fillId="8" borderId="9" xfId="0" applyFill="1" applyBorder="1" applyAlignment="1">
      <alignment horizontal="center"/>
    </xf>
    <xf numFmtId="0" fontId="0" fillId="8" borderId="15" xfId="0" applyFill="1" applyBorder="1"/>
    <xf numFmtId="0" fontId="43" fillId="0" borderId="11" xfId="0" applyFont="1" applyBorder="1" applyAlignment="1">
      <alignment horizontal="center"/>
    </xf>
    <xf numFmtId="0" fontId="20" fillId="4" borderId="0" xfId="0" applyFont="1" applyFill="1" applyAlignment="1">
      <alignment vertical="center"/>
    </xf>
    <xf numFmtId="0" fontId="21" fillId="9" borderId="15" xfId="0" applyFont="1" applyFill="1" applyBorder="1" applyAlignment="1">
      <alignment horizontal="center" vertical="center" wrapText="1"/>
    </xf>
    <xf numFmtId="0" fontId="21" fillId="9" borderId="1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43" fontId="21" fillId="0" borderId="15" xfId="6" applyFont="1" applyFill="1" applyBorder="1" applyAlignment="1">
      <alignment horizontal="center" vertical="center"/>
    </xf>
    <xf numFmtId="43" fontId="21" fillId="0" borderId="0" xfId="6" applyFont="1" applyFill="1" applyBorder="1" applyAlignment="1">
      <alignment horizontal="center" vertical="center"/>
    </xf>
    <xf numFmtId="43" fontId="45" fillId="0" borderId="0" xfId="6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169" fontId="48" fillId="0" borderId="0" xfId="0" applyNumberFormat="1" applyFont="1" applyAlignment="1">
      <alignment horizontal="center" vertical="center" wrapText="1"/>
    </xf>
    <xf numFmtId="0" fontId="21" fillId="10" borderId="50" xfId="0" applyFont="1" applyFill="1" applyBorder="1" applyAlignment="1">
      <alignment horizontal="center" vertical="center"/>
    </xf>
    <xf numFmtId="0" fontId="21" fillId="10" borderId="51" xfId="0" applyFont="1" applyFill="1" applyBorder="1" applyAlignment="1">
      <alignment horizontal="center" vertical="center"/>
    </xf>
    <xf numFmtId="0" fontId="21" fillId="10" borderId="51" xfId="0" applyFont="1" applyFill="1" applyBorder="1" applyAlignment="1">
      <alignment horizontal="center" vertical="center" wrapText="1"/>
    </xf>
    <xf numFmtId="0" fontId="21" fillId="10" borderId="5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2" fontId="49" fillId="0" borderId="0" xfId="0" applyNumberFormat="1" applyFont="1" applyAlignment="1">
      <alignment horizontal="center"/>
    </xf>
    <xf numFmtId="4" fontId="49" fillId="0" borderId="0" xfId="9" applyNumberFormat="1" applyFont="1" applyFill="1" applyAlignment="1">
      <alignment horizontal="center" vertical="center"/>
    </xf>
    <xf numFmtId="4" fontId="21" fillId="0" borderId="0" xfId="9" applyNumberFormat="1" applyFont="1" applyFill="1" applyAlignment="1">
      <alignment horizontal="center" vertical="center"/>
    </xf>
    <xf numFmtId="10" fontId="21" fillId="0" borderId="0" xfId="10" applyNumberFormat="1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10" fontId="44" fillId="0" borderId="0" xfId="10" applyNumberFormat="1" applyFont="1" applyFill="1" applyAlignment="1">
      <alignment vertical="center"/>
    </xf>
    <xf numFmtId="0" fontId="20" fillId="0" borderId="0" xfId="0" applyFont="1"/>
    <xf numFmtId="49" fontId="21" fillId="0" borderId="0" xfId="0" applyNumberFormat="1" applyFont="1" applyAlignment="1">
      <alignment horizontal="center"/>
    </xf>
    <xf numFmtId="170" fontId="20" fillId="0" borderId="0" xfId="0" applyNumberFormat="1" applyFont="1" applyAlignment="1">
      <alignment vertical="center"/>
    </xf>
    <xf numFmtId="0" fontId="20" fillId="0" borderId="0" xfId="0" applyFont="1" applyAlignment="1">
      <alignment horizontal="left" vertical="center"/>
    </xf>
    <xf numFmtId="43" fontId="20" fillId="0" borderId="0" xfId="6" applyFont="1" applyFill="1" applyAlignment="1">
      <alignment vertical="center"/>
    </xf>
    <xf numFmtId="49" fontId="5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4" fontId="21" fillId="0" borderId="0" xfId="6" applyNumberFormat="1" applyFont="1" applyFill="1" applyAlignment="1">
      <alignment vertical="center"/>
    </xf>
    <xf numFmtId="43" fontId="51" fillId="0" borderId="0" xfId="6" applyFont="1" applyFill="1" applyAlignment="1">
      <alignment horizontal="center" vertical="center"/>
    </xf>
    <xf numFmtId="10" fontId="44" fillId="10" borderId="53" xfId="10" applyNumberFormat="1" applyFont="1" applyFill="1" applyBorder="1" applyAlignment="1">
      <alignment vertical="center"/>
    </xf>
    <xf numFmtId="0" fontId="20" fillId="10" borderId="38" xfId="0" applyFont="1" applyFill="1" applyBorder="1" applyAlignment="1">
      <alignment vertical="center"/>
    </xf>
    <xf numFmtId="0" fontId="20" fillId="10" borderId="53" xfId="0" applyFont="1" applyFill="1" applyBorder="1" applyAlignment="1">
      <alignment vertical="center"/>
    </xf>
    <xf numFmtId="43" fontId="51" fillId="10" borderId="54" xfId="6" applyFont="1" applyFill="1" applyBorder="1" applyAlignment="1">
      <alignment horizontal="center" vertical="center"/>
    </xf>
    <xf numFmtId="43" fontId="53" fillId="0" borderId="0" xfId="6" applyFont="1" applyFill="1" applyBorder="1" applyAlignment="1">
      <alignment horizontal="right"/>
    </xf>
    <xf numFmtId="0" fontId="20" fillId="10" borderId="54" xfId="0" applyFont="1" applyFill="1" applyBorder="1" applyAlignment="1">
      <alignment vertical="center"/>
    </xf>
    <xf numFmtId="10" fontId="44" fillId="10" borderId="54" xfId="10" applyNumberFormat="1" applyFont="1" applyFill="1" applyBorder="1" applyAlignment="1">
      <alignment vertical="center"/>
    </xf>
    <xf numFmtId="0" fontId="52" fillId="0" borderId="0" xfId="0" applyFont="1" applyAlignment="1">
      <alignment horizontal="right"/>
    </xf>
    <xf numFmtId="0" fontId="52" fillId="0" borderId="0" xfId="0" applyFont="1"/>
    <xf numFmtId="9" fontId="52" fillId="0" borderId="0" xfId="0" applyNumberFormat="1" applyFont="1"/>
    <xf numFmtId="9" fontId="54" fillId="0" borderId="0" xfId="10" applyFont="1" applyFill="1" applyAlignment="1">
      <alignment horizontal="center"/>
    </xf>
    <xf numFmtId="0" fontId="51" fillId="0" borderId="0" xfId="0" applyFont="1" applyAlignment="1">
      <alignment horizontal="right" vertical="center"/>
    </xf>
    <xf numFmtId="4" fontId="51" fillId="0" borderId="0" xfId="6" applyNumberFormat="1" applyFont="1" applyFill="1" applyAlignment="1">
      <alignment vertical="center"/>
    </xf>
    <xf numFmtId="4" fontId="51" fillId="0" borderId="0" xfId="9" applyNumberFormat="1" applyFont="1" applyAlignment="1">
      <alignment horizontal="center" vertical="center"/>
    </xf>
    <xf numFmtId="0" fontId="55" fillId="0" borderId="0" xfId="0" applyFont="1" applyAlignment="1">
      <alignment horizontal="right"/>
    </xf>
    <xf numFmtId="0" fontId="56" fillId="0" borderId="0" xfId="0" applyFont="1" applyAlignment="1">
      <alignment horizontal="right"/>
    </xf>
    <xf numFmtId="0" fontId="56" fillId="0" borderId="20" xfId="0" applyFont="1" applyBorder="1" applyAlignment="1">
      <alignment horizontal="right"/>
    </xf>
    <xf numFmtId="43" fontId="57" fillId="5" borderId="55" xfId="6" applyFont="1" applyFill="1" applyBorder="1" applyAlignment="1">
      <alignment horizontal="right"/>
    </xf>
    <xf numFmtId="43" fontId="57" fillId="0" borderId="0" xfId="6" applyFont="1" applyFill="1" applyBorder="1" applyAlignment="1">
      <alignment horizontal="right"/>
    </xf>
    <xf numFmtId="43" fontId="21" fillId="0" borderId="15" xfId="6" applyFont="1" applyFill="1" applyBorder="1" applyAlignment="1">
      <alignment vertical="center"/>
    </xf>
    <xf numFmtId="0" fontId="58" fillId="0" borderId="0" xfId="0" applyFont="1" applyAlignment="1">
      <alignment horizontal="left" vertical="center"/>
    </xf>
    <xf numFmtId="4" fontId="51" fillId="0" borderId="0" xfId="9" applyNumberFormat="1" applyFont="1" applyFill="1" applyAlignment="1">
      <alignment horizontal="center" vertical="center"/>
    </xf>
    <xf numFmtId="10" fontId="59" fillId="0" borderId="0" xfId="10" applyNumberFormat="1" applyFont="1" applyFill="1" applyAlignment="1">
      <alignment horizontal="right"/>
    </xf>
    <xf numFmtId="171" fontId="21" fillId="10" borderId="15" xfId="6" applyNumberFormat="1" applyFont="1" applyFill="1" applyBorder="1" applyAlignment="1">
      <alignment vertical="center"/>
    </xf>
    <xf numFmtId="4" fontId="20" fillId="0" borderId="0" xfId="0" applyNumberFormat="1" applyFont="1" applyAlignment="1">
      <alignment horizontal="center" vertical="center"/>
    </xf>
    <xf numFmtId="43" fontId="21" fillId="11" borderId="15" xfId="6" applyFont="1" applyFill="1" applyBorder="1" applyAlignment="1">
      <alignment vertical="center"/>
    </xf>
    <xf numFmtId="168" fontId="60" fillId="0" borderId="0" xfId="0" applyNumberFormat="1" applyFon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0" fontId="44" fillId="10" borderId="56" xfId="0" applyFont="1" applyFill="1" applyBorder="1" applyAlignment="1">
      <alignment vertical="center"/>
    </xf>
    <xf numFmtId="0" fontId="62" fillId="0" borderId="0" xfId="0" applyFont="1" applyAlignment="1">
      <alignment vertical="center"/>
    </xf>
    <xf numFmtId="2" fontId="59" fillId="0" borderId="0" xfId="6" applyNumberFormat="1" applyFont="1" applyFill="1" applyBorder="1" applyAlignment="1">
      <alignment horizontal="center"/>
    </xf>
    <xf numFmtId="2" fontId="56" fillId="0" borderId="0" xfId="6" applyNumberFormat="1" applyFont="1" applyFill="1" applyBorder="1" applyAlignment="1">
      <alignment horizontal="center"/>
    </xf>
    <xf numFmtId="0" fontId="20" fillId="10" borderId="56" xfId="0" applyFont="1" applyFill="1" applyBorder="1" applyAlignment="1">
      <alignment vertical="center"/>
    </xf>
    <xf numFmtId="10" fontId="20" fillId="0" borderId="0" xfId="10" applyNumberFormat="1" applyFont="1" applyFill="1" applyAlignment="1">
      <alignment vertical="center"/>
    </xf>
    <xf numFmtId="4" fontId="20" fillId="0" borderId="0" xfId="6" applyNumberFormat="1" applyFont="1" applyFill="1" applyAlignment="1">
      <alignment vertical="center"/>
    </xf>
    <xf numFmtId="43" fontId="57" fillId="10" borderId="38" xfId="6" applyFont="1" applyFill="1" applyBorder="1" applyAlignment="1">
      <alignment horizontal="right"/>
    </xf>
    <xf numFmtId="0" fontId="21" fillId="10" borderId="39" xfId="0" applyFont="1" applyFill="1" applyBorder="1" applyAlignment="1">
      <alignment horizontal="right" vertical="center"/>
    </xf>
    <xf numFmtId="10" fontId="63" fillId="0" borderId="0" xfId="6" applyNumberFormat="1" applyFont="1" applyFill="1" applyAlignment="1">
      <alignment vertical="center"/>
    </xf>
    <xf numFmtId="10" fontId="44" fillId="0" borderId="0" xfId="10" applyNumberFormat="1" applyFont="1" applyFill="1" applyBorder="1" applyAlignment="1">
      <alignment vertical="center"/>
    </xf>
    <xf numFmtId="168" fontId="64" fillId="0" borderId="0" xfId="0" applyNumberFormat="1" applyFont="1" applyAlignment="1">
      <alignment horizontal="center" vertical="center"/>
    </xf>
    <xf numFmtId="0" fontId="20" fillId="4" borderId="55" xfId="0" applyFont="1" applyFill="1" applyBorder="1" applyAlignment="1">
      <alignment horizontal="center" vertical="center"/>
    </xf>
    <xf numFmtId="43" fontId="65" fillId="0" borderId="0" xfId="6" applyFont="1" applyFill="1" applyAlignment="1">
      <alignment vertical="center"/>
    </xf>
    <xf numFmtId="4" fontId="66" fillId="0" borderId="0" xfId="9" applyNumberFormat="1" applyFont="1" applyFill="1" applyAlignment="1">
      <alignment horizontal="center" vertical="center" wrapText="1"/>
    </xf>
    <xf numFmtId="9" fontId="20" fillId="0" borderId="0" xfId="6" applyNumberFormat="1" applyFont="1" applyFill="1" applyAlignment="1">
      <alignment vertical="center"/>
    </xf>
    <xf numFmtId="0" fontId="5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50" fillId="0" borderId="0" xfId="0" applyFont="1" applyAlignment="1">
      <alignment horizontal="right" vertical="center"/>
    </xf>
    <xf numFmtId="4" fontId="50" fillId="0" borderId="0" xfId="6" applyNumberFormat="1" applyFont="1" applyFill="1" applyAlignment="1">
      <alignment vertical="center"/>
    </xf>
    <xf numFmtId="4" fontId="21" fillId="13" borderId="55" xfId="6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43" fontId="28" fillId="0" borderId="0" xfId="6" applyFont="1" applyFill="1" applyAlignment="1">
      <alignment vertical="center"/>
    </xf>
    <xf numFmtId="9" fontId="28" fillId="0" borderId="0" xfId="6" applyNumberFormat="1" applyFont="1" applyFill="1" applyAlignment="1">
      <alignment vertical="center"/>
    </xf>
    <xf numFmtId="4" fontId="21" fillId="0" borderId="0" xfId="6" applyNumberFormat="1" applyFont="1" applyFill="1" applyAlignment="1">
      <alignment horizontal="center" vertical="center"/>
    </xf>
    <xf numFmtId="10" fontId="60" fillId="0" borderId="0" xfId="10" applyNumberFormat="1" applyFont="1" applyFill="1" applyAlignment="1">
      <alignment vertical="center"/>
    </xf>
    <xf numFmtId="43" fontId="60" fillId="0" borderId="0" xfId="6" applyFont="1" applyFill="1" applyBorder="1" applyAlignment="1">
      <alignment vertical="center"/>
    </xf>
    <xf numFmtId="4" fontId="20" fillId="0" borderId="0" xfId="0" applyNumberFormat="1" applyFont="1" applyAlignment="1">
      <alignment horizontal="center"/>
    </xf>
    <xf numFmtId="43" fontId="20" fillId="0" borderId="0" xfId="6" applyFont="1" applyFill="1" applyBorder="1"/>
    <xf numFmtId="10" fontId="60" fillId="0" borderId="0" xfId="10" applyNumberFormat="1" applyFont="1" applyFill="1" applyBorder="1" applyAlignment="1">
      <alignment vertical="center"/>
    </xf>
    <xf numFmtId="0" fontId="60" fillId="0" borderId="0" xfId="0" applyFont="1" applyAlignment="1">
      <alignment horizontal="right"/>
    </xf>
    <xf numFmtId="43" fontId="20" fillId="0" borderId="0" xfId="6" applyFont="1" applyFill="1" applyBorder="1" applyAlignment="1">
      <alignment horizontal="center"/>
    </xf>
    <xf numFmtId="9" fontId="69" fillId="0" borderId="0" xfId="0" applyNumberFormat="1" applyFont="1" applyAlignment="1">
      <alignment horizontal="left"/>
    </xf>
    <xf numFmtId="4" fontId="21" fillId="0" borderId="0" xfId="0" applyNumberFormat="1" applyFont="1" applyAlignment="1">
      <alignment horizontal="center"/>
    </xf>
    <xf numFmtId="168" fontId="21" fillId="0" borderId="0" xfId="0" applyNumberFormat="1" applyFont="1"/>
    <xf numFmtId="10" fontId="21" fillId="0" borderId="0" xfId="11" applyNumberFormat="1" applyFont="1" applyFill="1" applyAlignment="1">
      <alignment vertical="center"/>
    </xf>
    <xf numFmtId="10" fontId="44" fillId="0" borderId="0" xfId="11" applyNumberFormat="1" applyFont="1" applyFill="1" applyAlignment="1">
      <alignment vertical="center"/>
    </xf>
    <xf numFmtId="10" fontId="44" fillId="10" borderId="53" xfId="11" applyNumberFormat="1" applyFont="1" applyFill="1" applyBorder="1" applyAlignment="1">
      <alignment vertical="center"/>
    </xf>
    <xf numFmtId="10" fontId="44" fillId="10" borderId="54" xfId="11" applyNumberFormat="1" applyFont="1" applyFill="1" applyBorder="1" applyAlignment="1">
      <alignment vertical="center"/>
    </xf>
    <xf numFmtId="9" fontId="54" fillId="0" borderId="0" xfId="11" applyFont="1" applyFill="1" applyAlignment="1">
      <alignment horizontal="center"/>
    </xf>
    <xf numFmtId="10" fontId="59" fillId="0" borderId="0" xfId="11" applyNumberFormat="1" applyFont="1" applyFill="1" applyAlignment="1">
      <alignment horizontal="right"/>
    </xf>
    <xf numFmtId="10" fontId="20" fillId="0" borderId="0" xfId="11" applyNumberFormat="1" applyFont="1" applyFill="1" applyAlignment="1">
      <alignment vertical="center"/>
    </xf>
    <xf numFmtId="10" fontId="44" fillId="0" borderId="0" xfId="11" applyNumberFormat="1" applyFont="1" applyFill="1" applyBorder="1" applyAlignment="1">
      <alignment vertical="center"/>
    </xf>
    <xf numFmtId="10" fontId="60" fillId="0" borderId="0" xfId="11" applyNumberFormat="1" applyFont="1" applyFill="1" applyAlignment="1">
      <alignment vertical="center"/>
    </xf>
    <xf numFmtId="10" fontId="60" fillId="0" borderId="0" xfId="11" applyNumberFormat="1" applyFont="1" applyFill="1" applyBorder="1" applyAlignment="1">
      <alignment vertical="center"/>
    </xf>
    <xf numFmtId="0" fontId="33" fillId="14" borderId="0" xfId="0" applyFont="1" applyFill="1" applyAlignment="1">
      <alignment horizontal="center"/>
    </xf>
    <xf numFmtId="0" fontId="33" fillId="14" borderId="15" xfId="0" applyFont="1" applyFill="1" applyBorder="1"/>
    <xf numFmtId="0" fontId="18" fillId="14" borderId="15" xfId="0" applyFont="1" applyFill="1" applyBorder="1" applyAlignment="1">
      <alignment horizontal="center" vertical="center"/>
    </xf>
    <xf numFmtId="0" fontId="33" fillId="14" borderId="15" xfId="0" applyFont="1" applyFill="1" applyBorder="1" applyAlignment="1">
      <alignment horizontal="center"/>
    </xf>
    <xf numFmtId="0" fontId="2" fillId="14" borderId="15" xfId="0" applyFont="1" applyFill="1" applyBorder="1" applyAlignment="1">
      <alignment horizontal="center"/>
    </xf>
    <xf numFmtId="16" fontId="5" fillId="0" borderId="11" xfId="1" applyNumberFormat="1" applyFont="1" applyBorder="1" applyAlignment="1">
      <alignment horizontal="center"/>
    </xf>
    <xf numFmtId="0" fontId="1" fillId="0" borderId="59" xfId="1" applyBorder="1" applyAlignment="1">
      <alignment horizontal="left" vertical="center"/>
    </xf>
    <xf numFmtId="0" fontId="1" fillId="0" borderId="58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33" fillId="8" borderId="0" xfId="0" applyFont="1" applyFill="1" applyAlignment="1">
      <alignment horizontal="center"/>
    </xf>
    <xf numFmtId="0" fontId="33" fillId="8" borderId="15" xfId="0" applyFont="1" applyFill="1" applyBorder="1"/>
    <xf numFmtId="0" fontId="70" fillId="0" borderId="15" xfId="0" applyFont="1" applyBorder="1" applyAlignment="1">
      <alignment horizontal="center"/>
    </xf>
    <xf numFmtId="0" fontId="11" fillId="7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5" xfId="1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9" xfId="0" applyBorder="1"/>
    <xf numFmtId="0" fontId="21" fillId="7" borderId="29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wrapText="1"/>
    </xf>
    <xf numFmtId="1" fontId="5" fillId="0" borderId="29" xfId="0" applyNumberFormat="1" applyFont="1" applyBorder="1" applyAlignment="1">
      <alignment horizontal="center"/>
    </xf>
    <xf numFmtId="1" fontId="32" fillId="0" borderId="15" xfId="0" applyNumberFormat="1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16" fontId="6" fillId="0" borderId="15" xfId="1" applyNumberFormat="1" applyFont="1" applyBorder="1" applyAlignment="1">
      <alignment horizontal="center"/>
    </xf>
    <xf numFmtId="0" fontId="33" fillId="8" borderId="15" xfId="0" applyFont="1" applyFill="1" applyBorder="1" applyAlignment="1">
      <alignment horizontal="center"/>
    </xf>
    <xf numFmtId="1" fontId="5" fillId="0" borderId="15" xfId="1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 wrapText="1"/>
    </xf>
    <xf numFmtId="0" fontId="5" fillId="0" borderId="9" xfId="1" quotePrefix="1" applyFont="1" applyBorder="1" applyAlignment="1">
      <alignment horizontal="center"/>
    </xf>
    <xf numFmtId="0" fontId="5" fillId="0" borderId="15" xfId="1" quotePrefix="1" applyFont="1" applyBorder="1" applyAlignment="1">
      <alignment horizontal="center"/>
    </xf>
    <xf numFmtId="0" fontId="5" fillId="0" borderId="8" xfId="1" quotePrefix="1" applyFont="1" applyBorder="1"/>
    <xf numFmtId="0" fontId="72" fillId="0" borderId="15" xfId="0" applyFont="1" applyBorder="1" applyAlignment="1">
      <alignment horizontal="center" vertical="center"/>
    </xf>
    <xf numFmtId="0" fontId="11" fillId="0" borderId="15" xfId="0" applyFont="1" applyBorder="1"/>
    <xf numFmtId="49" fontId="5" fillId="4" borderId="11" xfId="0" applyNumberFormat="1" applyFont="1" applyFill="1" applyBorder="1" applyAlignment="1">
      <alignment horizontal="center"/>
    </xf>
    <xf numFmtId="1" fontId="5" fillId="4" borderId="15" xfId="1" applyNumberFormat="1" applyFont="1" applyFill="1" applyBorder="1" applyAlignment="1">
      <alignment horizontal="center"/>
    </xf>
    <xf numFmtId="1" fontId="5" fillId="4" borderId="15" xfId="1" applyNumberFormat="1" applyFont="1" applyFill="1" applyBorder="1" applyAlignment="1">
      <alignment horizontal="center" wrapText="1"/>
    </xf>
    <xf numFmtId="0" fontId="73" fillId="4" borderId="16" xfId="0" applyFont="1" applyFill="1" applyBorder="1" applyAlignment="1">
      <alignment horizontal="center"/>
    </xf>
    <xf numFmtId="0" fontId="73" fillId="4" borderId="15" xfId="0" applyFont="1" applyFill="1" applyBorder="1" applyAlignment="1">
      <alignment horizontal="center"/>
    </xf>
    <xf numFmtId="0" fontId="73" fillId="4" borderId="11" xfId="0" applyFont="1" applyFill="1" applyBorder="1"/>
    <xf numFmtId="0" fontId="7" fillId="4" borderId="8" xfId="0" applyFont="1" applyFill="1" applyBorder="1" applyAlignment="1">
      <alignment horizontal="center"/>
    </xf>
    <xf numFmtId="1" fontId="7" fillId="4" borderId="15" xfId="0" applyNumberFormat="1" applyFont="1" applyFill="1" applyBorder="1" applyAlignment="1">
      <alignment horizontal="center"/>
    </xf>
    <xf numFmtId="1" fontId="7" fillId="4" borderId="15" xfId="0" applyNumberFormat="1" applyFont="1" applyFill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12" fontId="7" fillId="0" borderId="11" xfId="0" applyNumberFormat="1" applyFont="1" applyBorder="1" applyAlignment="1">
      <alignment horizontal="center"/>
    </xf>
    <xf numFmtId="0" fontId="73" fillId="4" borderId="8" xfId="0" applyFont="1" applyFill="1" applyBorder="1" applyAlignment="1">
      <alignment horizontal="center"/>
    </xf>
    <xf numFmtId="0" fontId="73" fillId="4" borderId="15" xfId="0" applyFont="1" applyFill="1" applyBorder="1"/>
    <xf numFmtId="1" fontId="7" fillId="4" borderId="11" xfId="0" applyNumberFormat="1" applyFont="1" applyFill="1" applyBorder="1" applyAlignment="1">
      <alignment horizontal="center"/>
    </xf>
    <xf numFmtId="1" fontId="7" fillId="4" borderId="11" xfId="0" applyNumberFormat="1" applyFont="1" applyFill="1" applyBorder="1" applyAlignment="1">
      <alignment horizontal="center" wrapText="1"/>
    </xf>
    <xf numFmtId="0" fontId="7" fillId="0" borderId="15" xfId="0" applyFont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4" fillId="0" borderId="15" xfId="0" applyFont="1" applyBorder="1" applyAlignment="1">
      <alignment horizontal="center"/>
    </xf>
    <xf numFmtId="0" fontId="74" fillId="0" borderId="15" xfId="0" applyFont="1" applyBorder="1" applyAlignment="1">
      <alignment horizontal="center" vertical="center"/>
    </xf>
    <xf numFmtId="0" fontId="74" fillId="7" borderId="15" xfId="0" applyFont="1" applyFill="1" applyBorder="1"/>
    <xf numFmtId="0" fontId="7" fillId="0" borderId="15" xfId="0" applyFont="1" applyBorder="1" applyAlignment="1">
      <alignment horizontal="center" wrapText="1"/>
    </xf>
    <xf numFmtId="0" fontId="74" fillId="7" borderId="0" xfId="0" applyFont="1" applyFill="1" applyAlignment="1">
      <alignment horizontal="center"/>
    </xf>
    <xf numFmtId="0" fontId="74" fillId="7" borderId="0" xfId="0" applyFont="1" applyFill="1"/>
    <xf numFmtId="0" fontId="8" fillId="7" borderId="15" xfId="0" applyFont="1" applyFill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74" fillId="7" borderId="15" xfId="0" applyFont="1" applyFill="1" applyBorder="1" applyAlignment="1">
      <alignment horizontal="left" vertical="center"/>
    </xf>
    <xf numFmtId="0" fontId="3" fillId="0" borderId="15" xfId="0" applyFont="1" applyBorder="1"/>
    <xf numFmtId="16" fontId="6" fillId="0" borderId="8" xfId="0" applyNumberFormat="1" applyFont="1" applyBorder="1" applyAlignment="1">
      <alignment horizontal="center"/>
    </xf>
    <xf numFmtId="166" fontId="6" fillId="0" borderId="15" xfId="1" applyNumberFormat="1" applyFont="1" applyBorder="1" applyAlignment="1">
      <alignment horizontal="center"/>
    </xf>
    <xf numFmtId="0" fontId="73" fillId="4" borderId="12" xfId="0" applyFont="1" applyFill="1" applyBorder="1" applyAlignment="1">
      <alignment horizontal="center"/>
    </xf>
    <xf numFmtId="1" fontId="7" fillId="0" borderId="15" xfId="0" applyNumberFormat="1" applyFont="1" applyBorder="1" applyAlignment="1">
      <alignment horizontal="center"/>
    </xf>
    <xf numFmtId="1" fontId="7" fillId="4" borderId="15" xfId="1" applyNumberFormat="1" applyFont="1" applyFill="1" applyBorder="1" applyAlignment="1">
      <alignment horizontal="center"/>
    </xf>
    <xf numFmtId="1" fontId="7" fillId="4" borderId="15" xfId="1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16" fontId="7" fillId="4" borderId="15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1" fontId="7" fillId="0" borderId="11" xfId="0" applyNumberFormat="1" applyFont="1" applyBorder="1" applyAlignment="1">
      <alignment horizontal="center" wrapText="1"/>
    </xf>
    <xf numFmtId="16" fontId="7" fillId="0" borderId="15" xfId="0" applyNumberFormat="1" applyFont="1" applyBorder="1" applyAlignment="1">
      <alignment horizontal="center"/>
    </xf>
    <xf numFmtId="1" fontId="7" fillId="0" borderId="11" xfId="0" applyNumberFormat="1" applyFont="1" applyBorder="1" applyAlignment="1">
      <alignment horizontal="center"/>
    </xf>
    <xf numFmtId="49" fontId="11" fillId="0" borderId="7" xfId="1" applyNumberFormat="1" applyFont="1" applyBorder="1" applyAlignment="1">
      <alignment horizontal="center"/>
    </xf>
    <xf numFmtId="49" fontId="11" fillId="0" borderId="6" xfId="1" applyNumberFormat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166" fontId="11" fillId="0" borderId="15" xfId="1" applyNumberFormat="1" applyFont="1" applyBorder="1" applyAlignment="1">
      <alignment horizontal="center"/>
    </xf>
    <xf numFmtId="167" fontId="8" fillId="4" borderId="15" xfId="6" applyNumberFormat="1" applyFont="1" applyFill="1" applyBorder="1" applyAlignment="1">
      <alignment horizontal="center"/>
    </xf>
    <xf numFmtId="1" fontId="7" fillId="0" borderId="11" xfId="1" applyNumberFormat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6" fillId="0" borderId="29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1" fontId="3" fillId="0" borderId="15" xfId="0" applyNumberFormat="1" applyFont="1" applyBorder="1" applyAlignment="1">
      <alignment horizontal="left" vertical="center"/>
    </xf>
    <xf numFmtId="12" fontId="6" fillId="0" borderId="15" xfId="1" applyNumberFormat="1" applyFont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75" fillId="4" borderId="0" xfId="0" applyFont="1" applyFill="1" applyAlignment="1">
      <alignment horizontal="center"/>
    </xf>
    <xf numFmtId="1" fontId="6" fillId="4" borderId="15" xfId="0" applyNumberFormat="1" applyFont="1" applyFill="1" applyBorder="1"/>
    <xf numFmtId="0" fontId="6" fillId="4" borderId="15" xfId="0" applyFont="1" applyFill="1" applyBorder="1" applyAlignment="1">
      <alignment horizontal="center" wrapText="1"/>
    </xf>
    <xf numFmtId="0" fontId="7" fillId="0" borderId="28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7" fillId="3" borderId="18" xfId="2" applyFont="1" applyFill="1" applyBorder="1" applyAlignment="1">
      <alignment horizontal="right"/>
    </xf>
    <xf numFmtId="0" fontId="76" fillId="3" borderId="17" xfId="2" applyFont="1" applyFill="1" applyBorder="1" applyAlignment="1">
      <alignment horizontal="center"/>
    </xf>
    <xf numFmtId="0" fontId="77" fillId="3" borderId="15" xfId="2" applyFont="1" applyFill="1" applyBorder="1" applyAlignment="1">
      <alignment horizontal="right"/>
    </xf>
    <xf numFmtId="49" fontId="76" fillId="3" borderId="14" xfId="2" applyNumberFormat="1" applyFont="1" applyFill="1" applyBorder="1" applyAlignment="1">
      <alignment horizontal="center"/>
    </xf>
    <xf numFmtId="0" fontId="76" fillId="3" borderId="11" xfId="2" applyFont="1" applyFill="1" applyBorder="1" applyAlignment="1">
      <alignment horizontal="right"/>
    </xf>
    <xf numFmtId="0" fontId="76" fillId="3" borderId="15" xfId="2" applyFont="1" applyFill="1" applyBorder="1" applyAlignment="1">
      <alignment horizontal="right"/>
    </xf>
    <xf numFmtId="14" fontId="79" fillId="3" borderId="0" xfId="2" applyNumberFormat="1" applyFont="1" applyFill="1" applyAlignment="1">
      <alignment horizontal="center" vertical="center" wrapText="1"/>
    </xf>
    <xf numFmtId="0" fontId="77" fillId="2" borderId="17" xfId="1" applyFont="1" applyFill="1" applyBorder="1" applyAlignment="1">
      <alignment horizontal="center" vertical="center" wrapText="1"/>
    </xf>
    <xf numFmtId="1" fontId="77" fillId="2" borderId="2" xfId="1" applyNumberFormat="1" applyFont="1" applyFill="1" applyBorder="1" applyAlignment="1">
      <alignment horizontal="center"/>
    </xf>
    <xf numFmtId="1" fontId="77" fillId="2" borderId="2" xfId="1" applyNumberFormat="1" applyFont="1" applyFill="1" applyBorder="1" applyAlignment="1">
      <alignment horizontal="center" wrapText="1"/>
    </xf>
    <xf numFmtId="0" fontId="77" fillId="2" borderId="1" xfId="1" applyFont="1" applyFill="1" applyBorder="1" applyAlignment="1">
      <alignment horizontal="center"/>
    </xf>
    <xf numFmtId="1" fontId="0" fillId="0" borderId="0" xfId="0" applyNumberFormat="1"/>
    <xf numFmtId="0" fontId="80" fillId="0" borderId="16" xfId="1" applyFont="1" applyBorder="1" applyAlignment="1">
      <alignment horizontal="center" vertical="center"/>
    </xf>
    <xf numFmtId="0" fontId="80" fillId="0" borderId="8" xfId="1" applyFont="1" applyBorder="1" applyAlignment="1">
      <alignment horizontal="center" vertical="center"/>
    </xf>
    <xf numFmtId="0" fontId="81" fillId="0" borderId="15" xfId="1" applyFont="1" applyBorder="1" applyAlignment="1">
      <alignment vertical="center"/>
    </xf>
    <xf numFmtId="0" fontId="80" fillId="0" borderId="15" xfId="1" applyFont="1" applyBorder="1" applyAlignment="1">
      <alignment horizontal="center" vertical="center"/>
    </xf>
    <xf numFmtId="1" fontId="80" fillId="0" borderId="15" xfId="1" applyNumberFormat="1" applyFont="1" applyBorder="1" applyAlignment="1">
      <alignment horizontal="center"/>
    </xf>
    <xf numFmtId="1" fontId="80" fillId="0" borderId="15" xfId="1" applyNumberFormat="1" applyFont="1" applyBorder="1" applyAlignment="1">
      <alignment horizontal="center" wrapText="1"/>
    </xf>
    <xf numFmtId="0" fontId="82" fillId="0" borderId="14" xfId="1" applyFont="1" applyBorder="1" applyAlignment="1">
      <alignment horizontal="center"/>
    </xf>
    <xf numFmtId="1" fontId="83" fillId="0" borderId="15" xfId="0" applyNumberFormat="1" applyFont="1" applyBorder="1"/>
    <xf numFmtId="0" fontId="83" fillId="0" borderId="15" xfId="0" applyFont="1" applyBorder="1" applyAlignment="1">
      <alignment horizontal="center"/>
    </xf>
    <xf numFmtId="0" fontId="83" fillId="0" borderId="15" xfId="0" applyFont="1" applyBorder="1"/>
    <xf numFmtId="0" fontId="76" fillId="0" borderId="15" xfId="0" applyFont="1" applyBorder="1" applyAlignment="1">
      <alignment horizontal="center" vertical="center"/>
    </xf>
    <xf numFmtId="1" fontId="76" fillId="0" borderId="15" xfId="0" applyNumberFormat="1" applyFont="1" applyBorder="1" applyAlignment="1">
      <alignment horizontal="center" vertical="center"/>
    </xf>
    <xf numFmtId="1" fontId="76" fillId="0" borderId="15" xfId="0" applyNumberFormat="1" applyFont="1" applyBorder="1" applyAlignment="1">
      <alignment horizontal="center" vertical="center" wrapText="1"/>
    </xf>
    <xf numFmtId="0" fontId="76" fillId="0" borderId="11" xfId="0" applyFont="1" applyBorder="1" applyAlignment="1">
      <alignment horizontal="center" wrapText="1"/>
    </xf>
    <xf numFmtId="12" fontId="76" fillId="0" borderId="11" xfId="0" applyNumberFormat="1" applyFont="1" applyBorder="1" applyAlignment="1">
      <alignment horizontal="center"/>
    </xf>
    <xf numFmtId="0" fontId="76" fillId="0" borderId="15" xfId="0" applyFont="1" applyBorder="1" applyAlignment="1">
      <alignment horizontal="left" vertical="center"/>
    </xf>
    <xf numFmtId="0" fontId="83" fillId="0" borderId="8" xfId="0" applyFont="1" applyBorder="1" applyAlignment="1">
      <alignment horizontal="center"/>
    </xf>
    <xf numFmtId="0" fontId="82" fillId="0" borderId="15" xfId="0" applyFont="1" applyBorder="1" applyAlignment="1">
      <alignment horizontal="center"/>
    </xf>
    <xf numFmtId="0" fontId="76" fillId="0" borderId="15" xfId="0" applyFont="1" applyBorder="1" applyAlignment="1">
      <alignment horizontal="center"/>
    </xf>
    <xf numFmtId="49" fontId="82" fillId="0" borderId="16" xfId="1" applyNumberFormat="1" applyFont="1" applyBorder="1" applyAlignment="1">
      <alignment horizontal="center"/>
    </xf>
    <xf numFmtId="49" fontId="82" fillId="0" borderId="8" xfId="1" applyNumberFormat="1" applyFont="1" applyBorder="1" applyAlignment="1">
      <alignment horizontal="center"/>
    </xf>
    <xf numFmtId="0" fontId="80" fillId="4" borderId="15" xfId="1" applyFont="1" applyFill="1" applyBorder="1" applyAlignment="1">
      <alignment horizontal="left"/>
    </xf>
    <xf numFmtId="0" fontId="76" fillId="4" borderId="15" xfId="1" applyFont="1" applyFill="1" applyBorder="1" applyAlignment="1">
      <alignment horizontal="center"/>
    </xf>
    <xf numFmtId="1" fontId="83" fillId="0" borderId="8" xfId="0" applyNumberFormat="1" applyFont="1" applyBorder="1"/>
    <xf numFmtId="0" fontId="82" fillId="0" borderId="15" xfId="1" applyFont="1" applyBorder="1" applyAlignment="1">
      <alignment horizontal="center"/>
    </xf>
    <xf numFmtId="166" fontId="82" fillId="0" borderId="15" xfId="1" applyNumberFormat="1" applyFont="1" applyBorder="1" applyAlignment="1">
      <alignment horizontal="center"/>
    </xf>
    <xf numFmtId="1" fontId="82" fillId="0" borderId="15" xfId="1" applyNumberFormat="1" applyFont="1" applyBorder="1" applyAlignment="1">
      <alignment horizontal="center" wrapText="1"/>
    </xf>
    <xf numFmtId="0" fontId="84" fillId="4" borderId="16" xfId="0" applyFont="1" applyFill="1" applyBorder="1" applyAlignment="1">
      <alignment horizontal="center"/>
    </xf>
    <xf numFmtId="0" fontId="84" fillId="4" borderId="12" xfId="0" applyFont="1" applyFill="1" applyBorder="1" applyAlignment="1">
      <alignment horizontal="center"/>
    </xf>
    <xf numFmtId="0" fontId="84" fillId="4" borderId="11" xfId="0" applyFont="1" applyFill="1" applyBorder="1"/>
    <xf numFmtId="0" fontId="76" fillId="4" borderId="8" xfId="0" applyFont="1" applyFill="1" applyBorder="1" applyAlignment="1">
      <alignment horizontal="center"/>
    </xf>
    <xf numFmtId="1" fontId="76" fillId="4" borderId="11" xfId="0" applyNumberFormat="1" applyFont="1" applyFill="1" applyBorder="1" applyAlignment="1">
      <alignment horizontal="center"/>
    </xf>
    <xf numFmtId="1" fontId="76" fillId="4" borderId="11" xfId="0" applyNumberFormat="1" applyFont="1" applyFill="1" applyBorder="1" applyAlignment="1">
      <alignment horizontal="center" wrapText="1"/>
    </xf>
    <xf numFmtId="16" fontId="76" fillId="0" borderId="15" xfId="0" applyNumberFormat="1" applyFont="1" applyBorder="1" applyAlignment="1">
      <alignment horizontal="center"/>
    </xf>
    <xf numFmtId="1" fontId="76" fillId="0" borderId="15" xfId="0" applyNumberFormat="1" applyFont="1" applyBorder="1" applyAlignment="1">
      <alignment horizontal="center"/>
    </xf>
    <xf numFmtId="1" fontId="76" fillId="0" borderId="15" xfId="0" applyNumberFormat="1" applyFont="1" applyBorder="1" applyAlignment="1">
      <alignment horizontal="center" wrapText="1"/>
    </xf>
    <xf numFmtId="49" fontId="80" fillId="0" borderId="7" xfId="1" applyNumberFormat="1" applyFont="1" applyBorder="1" applyAlignment="1">
      <alignment horizontal="center"/>
    </xf>
    <xf numFmtId="49" fontId="80" fillId="0" borderId="6" xfId="1" applyNumberFormat="1" applyFont="1" applyBorder="1" applyAlignment="1">
      <alignment horizontal="center"/>
    </xf>
    <xf numFmtId="0" fontId="81" fillId="4" borderId="15" xfId="1" applyFont="1" applyFill="1" applyBorder="1" applyAlignment="1">
      <alignment vertical="center"/>
    </xf>
    <xf numFmtId="0" fontId="80" fillId="0" borderId="8" xfId="1" applyFont="1" applyBorder="1" applyAlignment="1">
      <alignment horizontal="center"/>
    </xf>
    <xf numFmtId="166" fontId="80" fillId="0" borderId="15" xfId="1" applyNumberFormat="1" applyFont="1" applyBorder="1" applyAlignment="1">
      <alignment horizontal="center"/>
    </xf>
    <xf numFmtId="49" fontId="82" fillId="0" borderId="16" xfId="0" applyNumberFormat="1" applyFont="1" applyBorder="1" applyAlignment="1">
      <alignment horizontal="center"/>
    </xf>
    <xf numFmtId="49" fontId="82" fillId="0" borderId="8" xfId="0" applyNumberFormat="1" applyFont="1" applyBorder="1" applyAlignment="1">
      <alignment horizontal="center"/>
    </xf>
    <xf numFmtId="49" fontId="80" fillId="0" borderId="15" xfId="0" applyNumberFormat="1" applyFont="1" applyBorder="1"/>
    <xf numFmtId="1" fontId="82" fillId="0" borderId="15" xfId="0" applyNumberFormat="1" applyFont="1" applyBorder="1" applyAlignment="1">
      <alignment horizontal="center"/>
    </xf>
    <xf numFmtId="1" fontId="82" fillId="0" borderId="15" xfId="0" applyNumberFormat="1" applyFont="1" applyBorder="1" applyAlignment="1">
      <alignment horizontal="center" wrapText="1"/>
    </xf>
    <xf numFmtId="167" fontId="77" fillId="4" borderId="15" xfId="6" applyNumberFormat="1" applyFont="1" applyFill="1" applyBorder="1" applyAlignment="1">
      <alignment horizontal="center"/>
    </xf>
    <xf numFmtId="0" fontId="85" fillId="0" borderId="16" xfId="0" applyFont="1" applyBorder="1" applyAlignment="1">
      <alignment horizontal="center"/>
    </xf>
    <xf numFmtId="0" fontId="85" fillId="0" borderId="8" xfId="0" applyFont="1" applyBorder="1" applyAlignment="1">
      <alignment horizontal="center"/>
    </xf>
    <xf numFmtId="0" fontId="85" fillId="0" borderId="15" xfId="0" applyFont="1" applyBorder="1"/>
    <xf numFmtId="0" fontId="83" fillId="0" borderId="15" xfId="0" applyFont="1" applyBorder="1" applyAlignment="1">
      <alignment horizontal="center" vertical="center"/>
    </xf>
    <xf numFmtId="0" fontId="83" fillId="0" borderId="15" xfId="0" applyFont="1" applyBorder="1" applyAlignment="1">
      <alignment horizontal="left" vertical="center"/>
    </xf>
    <xf numFmtId="12" fontId="82" fillId="0" borderId="15" xfId="1" applyNumberFormat="1" applyFont="1" applyBorder="1" applyAlignment="1">
      <alignment horizontal="center"/>
    </xf>
    <xf numFmtId="1" fontId="82" fillId="0" borderId="15" xfId="1" applyNumberFormat="1" applyFont="1" applyBorder="1" applyAlignment="1">
      <alignment horizontal="center"/>
    </xf>
    <xf numFmtId="0" fontId="76" fillId="0" borderId="15" xfId="0" quotePrefix="1" applyFont="1" applyBorder="1" applyAlignment="1">
      <alignment horizontal="center"/>
    </xf>
    <xf numFmtId="0" fontId="76" fillId="0" borderId="15" xfId="0" quotePrefix="1" applyFont="1" applyBorder="1"/>
    <xf numFmtId="49" fontId="86" fillId="3" borderId="21" xfId="1" applyNumberFormat="1" applyFont="1" applyFill="1" applyBorder="1" applyAlignment="1">
      <alignment horizontal="center" vertical="center"/>
    </xf>
    <xf numFmtId="49" fontId="86" fillId="3" borderId="0" xfId="1" applyNumberFormat="1" applyFont="1" applyFill="1" applyAlignment="1">
      <alignment horizontal="center" vertical="center"/>
    </xf>
    <xf numFmtId="0" fontId="76" fillId="3" borderId="0" xfId="1" applyFont="1" applyFill="1"/>
    <xf numFmtId="1" fontId="76" fillId="3" borderId="0" xfId="1" applyNumberFormat="1" applyFont="1" applyFill="1" applyAlignment="1">
      <alignment horizontal="center"/>
    </xf>
    <xf numFmtId="164" fontId="76" fillId="3" borderId="0" xfId="1" applyNumberFormat="1" applyFont="1" applyFill="1" applyAlignment="1">
      <alignment horizontal="center" wrapText="1"/>
    </xf>
    <xf numFmtId="0" fontId="76" fillId="3" borderId="20" xfId="1" applyFont="1" applyFill="1" applyBorder="1" applyAlignment="1">
      <alignment horizontal="center"/>
    </xf>
    <xf numFmtId="0" fontId="76" fillId="2" borderId="43" xfId="1" applyFont="1" applyFill="1" applyBorder="1" applyAlignment="1">
      <alignment horizontal="center"/>
    </xf>
    <xf numFmtId="0" fontId="76" fillId="2" borderId="38" xfId="1" applyFont="1" applyFill="1" applyBorder="1" applyAlignment="1">
      <alignment horizontal="center"/>
    </xf>
    <xf numFmtId="0" fontId="76" fillId="2" borderId="38" xfId="1" applyFont="1" applyFill="1" applyBorder="1"/>
    <xf numFmtId="0" fontId="77" fillId="2" borderId="38" xfId="1" applyFont="1" applyFill="1" applyBorder="1" applyAlignment="1">
      <alignment horizontal="center"/>
    </xf>
    <xf numFmtId="1" fontId="77" fillId="2" borderId="38" xfId="1" applyNumberFormat="1" applyFont="1" applyFill="1" applyBorder="1" applyAlignment="1">
      <alignment horizontal="center"/>
    </xf>
    <xf numFmtId="164" fontId="76" fillId="2" borderId="38" xfId="1" applyNumberFormat="1" applyFont="1" applyFill="1" applyBorder="1" applyAlignment="1">
      <alignment horizontal="center" wrapText="1"/>
    </xf>
    <xf numFmtId="0" fontId="76" fillId="2" borderId="39" xfId="1" applyFont="1" applyFill="1" applyBorder="1" applyAlignment="1">
      <alignment horizontal="center"/>
    </xf>
    <xf numFmtId="1" fontId="77" fillId="0" borderId="11" xfId="0" applyNumberFormat="1" applyFont="1" applyBorder="1" applyAlignment="1">
      <alignment horizontal="center"/>
    </xf>
    <xf numFmtId="0" fontId="76" fillId="0" borderId="28" xfId="0" applyFont="1" applyBorder="1" applyAlignment="1">
      <alignment horizontal="center"/>
    </xf>
    <xf numFmtId="1" fontId="76" fillId="0" borderId="2" xfId="0" applyNumberFormat="1" applyFont="1" applyBorder="1" applyAlignment="1">
      <alignment horizontal="center"/>
    </xf>
    <xf numFmtId="0" fontId="76" fillId="0" borderId="2" xfId="0" applyFont="1" applyBorder="1" applyAlignment="1">
      <alignment horizontal="center"/>
    </xf>
    <xf numFmtId="0" fontId="15" fillId="7" borderId="15" xfId="0" applyFont="1" applyFill="1" applyBorder="1" applyAlignment="1">
      <alignment horizontal="left"/>
    </xf>
    <xf numFmtId="0" fontId="40" fillId="7" borderId="0" xfId="0" applyFont="1" applyFill="1"/>
    <xf numFmtId="0" fontId="26" fillId="4" borderId="8" xfId="0" applyFont="1" applyFill="1" applyBorder="1" applyAlignment="1">
      <alignment horizontal="center"/>
    </xf>
    <xf numFmtId="0" fontId="26" fillId="4" borderId="15" xfId="0" applyFont="1" applyFill="1" applyBorder="1"/>
    <xf numFmtId="0" fontId="40" fillId="7" borderId="15" xfId="0" applyFont="1" applyFill="1" applyBorder="1" applyAlignment="1">
      <alignment horizontal="left" vertical="center"/>
    </xf>
    <xf numFmtId="0" fontId="40" fillId="7" borderId="0" xfId="0" applyFont="1" applyFill="1" applyAlignment="1">
      <alignment horizontal="center"/>
    </xf>
    <xf numFmtId="1" fontId="5" fillId="4" borderId="15" xfId="0" applyNumberFormat="1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0" borderId="11" xfId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87" fillId="4" borderId="0" xfId="0" applyFont="1" applyFill="1" applyAlignment="1">
      <alignment horizontal="center"/>
    </xf>
    <xf numFmtId="1" fontId="20" fillId="4" borderId="15" xfId="0" applyNumberFormat="1" applyFont="1" applyFill="1" applyBorder="1"/>
    <xf numFmtId="0" fontId="20" fillId="4" borderId="15" xfId="0" applyFont="1" applyFill="1" applyBorder="1" applyAlignment="1">
      <alignment horizontal="center"/>
    </xf>
    <xf numFmtId="0" fontId="89" fillId="3" borderId="18" xfId="2" applyFont="1" applyFill="1" applyBorder="1" applyAlignment="1">
      <alignment horizontal="right"/>
    </xf>
    <xf numFmtId="0" fontId="88" fillId="3" borderId="17" xfId="2" applyFont="1" applyFill="1" applyBorder="1" applyAlignment="1">
      <alignment horizontal="center"/>
    </xf>
    <xf numFmtId="0" fontId="89" fillId="3" borderId="15" xfId="2" applyFont="1" applyFill="1" applyBorder="1" applyAlignment="1">
      <alignment horizontal="right"/>
    </xf>
    <xf numFmtId="49" fontId="88" fillId="3" borderId="14" xfId="2" applyNumberFormat="1" applyFont="1" applyFill="1" applyBorder="1" applyAlignment="1">
      <alignment horizontal="center"/>
    </xf>
    <xf numFmtId="0" fontId="88" fillId="3" borderId="11" xfId="2" applyFont="1" applyFill="1" applyBorder="1" applyAlignment="1">
      <alignment horizontal="right"/>
    </xf>
    <xf numFmtId="0" fontId="88" fillId="3" borderId="15" xfId="2" applyFont="1" applyFill="1" applyBorder="1" applyAlignment="1">
      <alignment horizontal="right"/>
    </xf>
    <xf numFmtId="14" fontId="91" fillId="3" borderId="0" xfId="2" applyNumberFormat="1" applyFont="1" applyFill="1" applyAlignment="1">
      <alignment horizontal="center" vertical="center" wrapText="1"/>
    </xf>
    <xf numFmtId="0" fontId="89" fillId="2" borderId="17" xfId="1" applyFont="1" applyFill="1" applyBorder="1" applyAlignment="1">
      <alignment horizontal="center" vertical="center" wrapText="1"/>
    </xf>
    <xf numFmtId="1" fontId="89" fillId="2" borderId="2" xfId="1" applyNumberFormat="1" applyFont="1" applyFill="1" applyBorder="1" applyAlignment="1">
      <alignment horizontal="center"/>
    </xf>
    <xf numFmtId="1" fontId="89" fillId="2" borderId="2" xfId="1" applyNumberFormat="1" applyFont="1" applyFill="1" applyBorder="1" applyAlignment="1">
      <alignment horizontal="center" wrapText="1"/>
    </xf>
    <xf numFmtId="0" fontId="89" fillId="2" borderId="1" xfId="1" applyFont="1" applyFill="1" applyBorder="1" applyAlignment="1">
      <alignment horizontal="center"/>
    </xf>
    <xf numFmtId="0" fontId="92" fillId="0" borderId="16" xfId="1" applyFont="1" applyBorder="1" applyAlignment="1">
      <alignment horizontal="center" vertical="center"/>
    </xf>
    <xf numFmtId="0" fontId="92" fillId="0" borderId="8" xfId="1" applyFont="1" applyBorder="1" applyAlignment="1">
      <alignment horizontal="center" vertical="center"/>
    </xf>
    <xf numFmtId="0" fontId="93" fillId="0" borderId="15" xfId="1" applyFont="1" applyBorder="1" applyAlignment="1">
      <alignment vertical="center"/>
    </xf>
    <xf numFmtId="0" fontId="92" fillId="0" borderId="15" xfId="1" applyFont="1" applyBorder="1" applyAlignment="1">
      <alignment horizontal="center" vertical="center"/>
    </xf>
    <xf numFmtId="1" fontId="92" fillId="0" borderId="15" xfId="1" applyNumberFormat="1" applyFont="1" applyBorder="1" applyAlignment="1">
      <alignment horizontal="center"/>
    </xf>
    <xf numFmtId="1" fontId="92" fillId="0" borderId="15" xfId="1" applyNumberFormat="1" applyFont="1" applyBorder="1" applyAlignment="1">
      <alignment horizontal="center" wrapText="1"/>
    </xf>
    <xf numFmtId="0" fontId="94" fillId="0" borderId="14" xfId="1" applyFont="1" applyBorder="1" applyAlignment="1">
      <alignment horizontal="center"/>
    </xf>
    <xf numFmtId="49" fontId="95" fillId="4" borderId="15" xfId="1" applyNumberFormat="1" applyFont="1" applyFill="1" applyBorder="1" applyAlignment="1">
      <alignment horizontal="center"/>
    </xf>
    <xf numFmtId="0" fontId="95" fillId="0" borderId="15" xfId="1" applyFont="1" applyBorder="1" applyAlignment="1">
      <alignment horizontal="left" wrapText="1"/>
    </xf>
    <xf numFmtId="16" fontId="94" fillId="0" borderId="15" xfId="1" applyNumberFormat="1" applyFont="1" applyBorder="1" applyAlignment="1">
      <alignment horizontal="center"/>
    </xf>
    <xf numFmtId="1" fontId="94" fillId="0" borderId="15" xfId="1" applyNumberFormat="1" applyFont="1" applyBorder="1" applyAlignment="1">
      <alignment horizontal="center"/>
    </xf>
    <xf numFmtId="1" fontId="94" fillId="0" borderId="15" xfId="1" applyNumberFormat="1" applyFont="1" applyBorder="1" applyAlignment="1">
      <alignment horizontal="center" wrapText="1"/>
    </xf>
    <xf numFmtId="0" fontId="88" fillId="0" borderId="11" xfId="0" applyFont="1" applyBorder="1" applyAlignment="1">
      <alignment horizontal="center" wrapText="1"/>
    </xf>
    <xf numFmtId="12" fontId="88" fillId="0" borderId="11" xfId="0" applyNumberFormat="1" applyFont="1" applyBorder="1" applyAlignment="1">
      <alignment horizontal="center"/>
    </xf>
    <xf numFmtId="0" fontId="96" fillId="0" borderId="15" xfId="0" applyFont="1" applyBorder="1" applyAlignment="1">
      <alignment horizontal="center" vertical="top"/>
    </xf>
    <xf numFmtId="0" fontId="96" fillId="0" borderId="8" xfId="0" applyFont="1" applyBorder="1" applyAlignment="1">
      <alignment horizontal="center" vertical="top"/>
    </xf>
    <xf numFmtId="0" fontId="96" fillId="4" borderId="15" xfId="0" applyFont="1" applyFill="1" applyBorder="1"/>
    <xf numFmtId="16" fontId="94" fillId="3" borderId="15" xfId="0" applyNumberFormat="1" applyFont="1" applyFill="1" applyBorder="1" applyAlignment="1">
      <alignment horizontal="center"/>
    </xf>
    <xf numFmtId="1" fontId="94" fillId="3" borderId="15" xfId="0" applyNumberFormat="1" applyFont="1" applyFill="1" applyBorder="1" applyAlignment="1">
      <alignment horizontal="center"/>
    </xf>
    <xf numFmtId="1" fontId="94" fillId="3" borderId="15" xfId="0" applyNumberFormat="1" applyFont="1" applyFill="1" applyBorder="1" applyAlignment="1">
      <alignment horizontal="center" wrapText="1"/>
    </xf>
    <xf numFmtId="0" fontId="96" fillId="0" borderId="16" xfId="0" quotePrefix="1" applyFont="1" applyBorder="1" applyAlignment="1">
      <alignment horizontal="center"/>
    </xf>
    <xf numFmtId="0" fontId="96" fillId="0" borderId="8" xfId="0" quotePrefix="1" applyFont="1" applyBorder="1" applyAlignment="1">
      <alignment horizontal="center"/>
    </xf>
    <xf numFmtId="0" fontId="96" fillId="0" borderId="15" xfId="0" quotePrefix="1" applyFont="1" applyBorder="1"/>
    <xf numFmtId="0" fontId="94" fillId="0" borderId="15" xfId="0" applyFont="1" applyBorder="1" applyAlignment="1">
      <alignment horizontal="center"/>
    </xf>
    <xf numFmtId="0" fontId="88" fillId="0" borderId="15" xfId="0" applyFont="1" applyBorder="1" applyAlignment="1">
      <alignment horizontal="center"/>
    </xf>
    <xf numFmtId="0" fontId="96" fillId="0" borderId="15" xfId="0" applyFont="1" applyBorder="1" applyAlignment="1">
      <alignment horizontal="center"/>
    </xf>
    <xf numFmtId="0" fontId="94" fillId="0" borderId="15" xfId="1" applyFont="1" applyBorder="1" applyAlignment="1">
      <alignment horizontal="center"/>
    </xf>
    <xf numFmtId="1" fontId="96" fillId="0" borderId="15" xfId="0" applyNumberFormat="1" applyFont="1" applyBorder="1"/>
    <xf numFmtId="0" fontId="96" fillId="0" borderId="15" xfId="0" applyFont="1" applyBorder="1"/>
    <xf numFmtId="0" fontId="88" fillId="4" borderId="15" xfId="1" applyFont="1" applyFill="1" applyBorder="1" applyAlignment="1">
      <alignment horizontal="center"/>
    </xf>
    <xf numFmtId="49" fontId="94" fillId="0" borderId="16" xfId="1" applyNumberFormat="1" applyFont="1" applyBorder="1" applyAlignment="1">
      <alignment horizontal="center"/>
    </xf>
    <xf numFmtId="49" fontId="94" fillId="0" borderId="8" xfId="1" applyNumberFormat="1" applyFont="1" applyBorder="1" applyAlignment="1">
      <alignment horizontal="center"/>
    </xf>
    <xf numFmtId="0" fontId="92" fillId="4" borderId="15" xfId="1" applyFont="1" applyFill="1" applyBorder="1" applyAlignment="1">
      <alignment horizontal="left"/>
    </xf>
    <xf numFmtId="166" fontId="94" fillId="0" borderId="15" xfId="1" applyNumberFormat="1" applyFont="1" applyBorder="1" applyAlignment="1">
      <alignment horizontal="center"/>
    </xf>
    <xf numFmtId="0" fontId="97" fillId="4" borderId="16" xfId="0" applyFont="1" applyFill="1" applyBorder="1" applyAlignment="1">
      <alignment horizontal="center"/>
    </xf>
    <xf numFmtId="0" fontId="97" fillId="4" borderId="12" xfId="0" applyFont="1" applyFill="1" applyBorder="1" applyAlignment="1">
      <alignment horizontal="center"/>
    </xf>
    <xf numFmtId="0" fontId="97" fillId="4" borderId="11" xfId="0" applyFont="1" applyFill="1" applyBorder="1"/>
    <xf numFmtId="0" fontId="88" fillId="4" borderId="8" xfId="0" applyFont="1" applyFill="1" applyBorder="1" applyAlignment="1">
      <alignment horizontal="center"/>
    </xf>
    <xf numFmtId="1" fontId="88" fillId="4" borderId="11" xfId="0" applyNumberFormat="1" applyFont="1" applyFill="1" applyBorder="1" applyAlignment="1">
      <alignment horizontal="center"/>
    </xf>
    <xf numFmtId="1" fontId="88" fillId="4" borderId="11" xfId="0" applyNumberFormat="1" applyFont="1" applyFill="1" applyBorder="1" applyAlignment="1">
      <alignment horizontal="center" wrapText="1"/>
    </xf>
    <xf numFmtId="49" fontId="88" fillId="4" borderId="11" xfId="0" applyNumberFormat="1" applyFont="1" applyFill="1" applyBorder="1" applyAlignment="1">
      <alignment horizontal="center"/>
    </xf>
    <xf numFmtId="1" fontId="88" fillId="4" borderId="15" xfId="1" applyNumberFormat="1" applyFont="1" applyFill="1" applyBorder="1" applyAlignment="1">
      <alignment horizontal="center"/>
    </xf>
    <xf numFmtId="1" fontId="88" fillId="4" borderId="15" xfId="1" applyNumberFormat="1" applyFont="1" applyFill="1" applyBorder="1" applyAlignment="1">
      <alignment horizontal="center" wrapText="1"/>
    </xf>
    <xf numFmtId="1" fontId="88" fillId="4" borderId="15" xfId="0" applyNumberFormat="1" applyFont="1" applyFill="1" applyBorder="1" applyAlignment="1">
      <alignment horizontal="center"/>
    </xf>
    <xf numFmtId="0" fontId="96" fillId="0" borderId="0" xfId="0" applyFont="1" applyAlignment="1">
      <alignment horizontal="center"/>
    </xf>
    <xf numFmtId="0" fontId="96" fillId="0" borderId="0" xfId="0" applyFont="1"/>
    <xf numFmtId="16" fontId="88" fillId="4" borderId="15" xfId="0" applyNumberFormat="1" applyFont="1" applyFill="1" applyBorder="1" applyAlignment="1">
      <alignment horizontal="center"/>
    </xf>
    <xf numFmtId="0" fontId="88" fillId="3" borderId="15" xfId="0" applyFont="1" applyFill="1" applyBorder="1" applyAlignment="1">
      <alignment horizontal="center"/>
    </xf>
    <xf numFmtId="1" fontId="88" fillId="0" borderId="11" xfId="0" applyNumberFormat="1" applyFont="1" applyBorder="1" applyAlignment="1">
      <alignment horizontal="center" wrapText="1"/>
    </xf>
    <xf numFmtId="16" fontId="88" fillId="0" borderId="15" xfId="0" applyNumberFormat="1" applyFont="1" applyBorder="1" applyAlignment="1">
      <alignment horizontal="center"/>
    </xf>
    <xf numFmtId="1" fontId="88" fillId="0" borderId="11" xfId="0" applyNumberFormat="1" applyFont="1" applyBorder="1" applyAlignment="1">
      <alignment horizontal="center"/>
    </xf>
    <xf numFmtId="1" fontId="88" fillId="0" borderId="15" xfId="0" applyNumberFormat="1" applyFont="1" applyBorder="1" applyAlignment="1">
      <alignment horizontal="center"/>
    </xf>
    <xf numFmtId="1" fontId="88" fillId="0" borderId="15" xfId="0" applyNumberFormat="1" applyFont="1" applyBorder="1" applyAlignment="1">
      <alignment horizontal="center" wrapText="1"/>
    </xf>
    <xf numFmtId="49" fontId="92" fillId="0" borderId="7" xfId="1" applyNumberFormat="1" applyFont="1" applyBorder="1" applyAlignment="1">
      <alignment horizontal="center"/>
    </xf>
    <xf numFmtId="49" fontId="92" fillId="0" borderId="6" xfId="1" applyNumberFormat="1" applyFont="1" applyBorder="1" applyAlignment="1">
      <alignment horizontal="center"/>
    </xf>
    <xf numFmtId="0" fontId="93" fillId="4" borderId="15" xfId="1" applyFont="1" applyFill="1" applyBorder="1" applyAlignment="1">
      <alignment vertical="center"/>
    </xf>
    <xf numFmtId="0" fontId="92" fillId="0" borderId="8" xfId="1" applyFont="1" applyBorder="1" applyAlignment="1">
      <alignment horizontal="center"/>
    </xf>
    <xf numFmtId="166" fontId="92" fillId="0" borderId="15" xfId="1" applyNumberFormat="1" applyFont="1" applyBorder="1" applyAlignment="1">
      <alignment horizontal="center"/>
    </xf>
    <xf numFmtId="49" fontId="94" fillId="0" borderId="15" xfId="0" applyNumberFormat="1" applyFont="1" applyBorder="1" applyAlignment="1">
      <alignment horizontal="center"/>
    </xf>
    <xf numFmtId="49" fontId="94" fillId="0" borderId="15" xfId="0" applyNumberFormat="1" applyFont="1" applyBorder="1"/>
    <xf numFmtId="1" fontId="94" fillId="0" borderId="15" xfId="0" applyNumberFormat="1" applyFont="1" applyBorder="1" applyAlignment="1">
      <alignment horizontal="center"/>
    </xf>
    <xf numFmtId="1" fontId="94" fillId="0" borderId="15" xfId="0" applyNumberFormat="1" applyFont="1" applyBorder="1" applyAlignment="1">
      <alignment horizontal="center" wrapText="1"/>
    </xf>
    <xf numFmtId="167" fontId="89" fillId="4" borderId="15" xfId="6" applyNumberFormat="1" applyFont="1" applyFill="1" applyBorder="1" applyAlignment="1">
      <alignment horizontal="center"/>
    </xf>
    <xf numFmtId="0" fontId="98" fillId="0" borderId="15" xfId="5" applyFont="1" applyBorder="1" applyAlignment="1">
      <alignment horizontal="center"/>
    </xf>
    <xf numFmtId="0" fontId="98" fillId="0" borderId="15" xfId="5" applyFont="1" applyBorder="1" applyAlignment="1">
      <alignment horizontal="left"/>
    </xf>
    <xf numFmtId="16" fontId="94" fillId="0" borderId="15" xfId="0" applyNumberFormat="1" applyFont="1" applyBorder="1" applyAlignment="1">
      <alignment horizontal="center"/>
    </xf>
    <xf numFmtId="0" fontId="96" fillId="0" borderId="15" xfId="0" applyFont="1" applyBorder="1" applyAlignment="1">
      <alignment horizontal="center" vertical="center"/>
    </xf>
    <xf numFmtId="0" fontId="96" fillId="0" borderId="15" xfId="0" applyFont="1" applyBorder="1" applyAlignment="1">
      <alignment horizontal="left" vertical="center"/>
    </xf>
    <xf numFmtId="12" fontId="94" fillId="0" borderId="15" xfId="1" applyNumberFormat="1" applyFont="1" applyBorder="1" applyAlignment="1">
      <alignment horizontal="center"/>
    </xf>
    <xf numFmtId="0" fontId="88" fillId="0" borderId="15" xfId="0" quotePrefix="1" applyFont="1" applyBorder="1" applyAlignment="1">
      <alignment horizontal="center"/>
    </xf>
    <xf numFmtId="0" fontId="88" fillId="0" borderId="15" xfId="0" quotePrefix="1" applyFont="1" applyBorder="1"/>
    <xf numFmtId="49" fontId="94" fillId="0" borderId="15" xfId="1" applyNumberFormat="1" applyFont="1" applyBorder="1"/>
    <xf numFmtId="49" fontId="99" fillId="3" borderId="21" xfId="1" applyNumberFormat="1" applyFont="1" applyFill="1" applyBorder="1" applyAlignment="1">
      <alignment horizontal="center" vertical="center"/>
    </xf>
    <xf numFmtId="49" fontId="99" fillId="3" borderId="0" xfId="1" applyNumberFormat="1" applyFont="1" applyFill="1" applyAlignment="1">
      <alignment horizontal="center" vertical="center"/>
    </xf>
    <xf numFmtId="0" fontId="88" fillId="3" borderId="0" xfId="1" applyFont="1" applyFill="1"/>
    <xf numFmtId="1" fontId="88" fillId="3" borderId="0" xfId="1" applyNumberFormat="1" applyFont="1" applyFill="1" applyAlignment="1">
      <alignment horizontal="center"/>
    </xf>
    <xf numFmtId="164" fontId="88" fillId="3" borderId="0" xfId="1" applyNumberFormat="1" applyFont="1" applyFill="1" applyAlignment="1">
      <alignment horizontal="center" wrapText="1"/>
    </xf>
    <xf numFmtId="0" fontId="88" fillId="3" borderId="20" xfId="1" applyFont="1" applyFill="1" applyBorder="1" applyAlignment="1">
      <alignment horizontal="center"/>
    </xf>
    <xf numFmtId="0" fontId="88" fillId="2" borderId="43" xfId="1" applyFont="1" applyFill="1" applyBorder="1" applyAlignment="1">
      <alignment horizontal="center"/>
    </xf>
    <xf numFmtId="0" fontId="88" fillId="2" borderId="38" xfId="1" applyFont="1" applyFill="1" applyBorder="1" applyAlignment="1">
      <alignment horizontal="center"/>
    </xf>
    <xf numFmtId="0" fontId="88" fillId="2" borderId="38" xfId="1" applyFont="1" applyFill="1" applyBorder="1"/>
    <xf numFmtId="0" fontId="89" fillId="2" borderId="38" xfId="1" applyFont="1" applyFill="1" applyBorder="1" applyAlignment="1">
      <alignment horizontal="center"/>
    </xf>
    <xf numFmtId="1" fontId="89" fillId="2" borderId="38" xfId="1" applyNumberFormat="1" applyFont="1" applyFill="1" applyBorder="1" applyAlignment="1">
      <alignment horizontal="center"/>
    </xf>
    <xf numFmtId="164" fontId="88" fillId="2" borderId="38" xfId="1" applyNumberFormat="1" applyFont="1" applyFill="1" applyBorder="1" applyAlignment="1">
      <alignment horizontal="center" wrapText="1"/>
    </xf>
    <xf numFmtId="0" fontId="88" fillId="2" borderId="39" xfId="1" applyFont="1" applyFill="1" applyBorder="1" applyAlignment="1">
      <alignment horizontal="center"/>
    </xf>
    <xf numFmtId="0" fontId="88" fillId="0" borderId="28" xfId="0" applyFont="1" applyBorder="1" applyAlignment="1">
      <alignment horizontal="center"/>
    </xf>
    <xf numFmtId="1" fontId="88" fillId="0" borderId="2" xfId="0" applyNumberFormat="1" applyFont="1" applyBorder="1" applyAlignment="1">
      <alignment horizontal="center"/>
    </xf>
    <xf numFmtId="0" fontId="88" fillId="0" borderId="2" xfId="0" applyFont="1" applyBorder="1" applyAlignment="1">
      <alignment horizontal="center"/>
    </xf>
    <xf numFmtId="0" fontId="100" fillId="3" borderId="18" xfId="2" applyFont="1" applyFill="1" applyBorder="1" applyAlignment="1">
      <alignment horizontal="right"/>
    </xf>
    <xf numFmtId="0" fontId="100" fillId="3" borderId="15" xfId="2" applyFont="1" applyFill="1" applyBorder="1" applyAlignment="1">
      <alignment horizontal="right"/>
    </xf>
    <xf numFmtId="0" fontId="1" fillId="3" borderId="15" xfId="2" applyFont="1" applyFill="1" applyBorder="1" applyAlignment="1">
      <alignment horizontal="right"/>
    </xf>
    <xf numFmtId="0" fontId="1" fillId="3" borderId="2" xfId="2" applyFont="1" applyFill="1" applyBorder="1" applyAlignment="1">
      <alignment horizontal="right"/>
    </xf>
    <xf numFmtId="0" fontId="100" fillId="2" borderId="17" xfId="1" applyFont="1" applyFill="1" applyBorder="1" applyAlignment="1">
      <alignment horizontal="center" vertical="center" wrapText="1"/>
    </xf>
    <xf numFmtId="1" fontId="100" fillId="2" borderId="2" xfId="1" applyNumberFormat="1" applyFont="1" applyFill="1" applyBorder="1" applyAlignment="1">
      <alignment horizontal="center"/>
    </xf>
    <xf numFmtId="1" fontId="100" fillId="2" borderId="2" xfId="1" applyNumberFormat="1" applyFont="1" applyFill="1" applyBorder="1" applyAlignment="1">
      <alignment horizontal="center" wrapText="1"/>
    </xf>
    <xf numFmtId="0" fontId="100" fillId="2" borderId="1" xfId="1" applyFont="1" applyFill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101" fillId="0" borderId="15" xfId="0" applyFont="1" applyBorder="1" applyAlignment="1">
      <alignment horizontal="center"/>
    </xf>
    <xf numFmtId="1" fontId="1" fillId="0" borderId="11" xfId="1" applyNumberFormat="1" applyBorder="1" applyAlignment="1">
      <alignment horizontal="center"/>
    </xf>
    <xf numFmtId="0" fontId="1" fillId="0" borderId="11" xfId="1" applyBorder="1" applyAlignment="1">
      <alignment horizontal="center"/>
    </xf>
    <xf numFmtId="0" fontId="100" fillId="4" borderId="10" xfId="1" applyFont="1" applyFill="1" applyBorder="1" applyAlignment="1">
      <alignment horizontal="center"/>
    </xf>
    <xf numFmtId="0" fontId="0" fillId="4" borderId="0" xfId="0" applyFill="1" applyAlignment="1">
      <alignment wrapText="1"/>
    </xf>
    <xf numFmtId="0" fontId="0" fillId="0" borderId="11" xfId="1" applyFont="1" applyBorder="1" applyAlignment="1">
      <alignment horizontal="center"/>
    </xf>
    <xf numFmtId="0" fontId="1" fillId="0" borderId="15" xfId="1" applyBorder="1" applyAlignment="1">
      <alignment horizontal="center"/>
    </xf>
    <xf numFmtId="49" fontId="42" fillId="3" borderId="21" xfId="1" applyNumberFormat="1" applyFont="1" applyFill="1" applyBorder="1" applyAlignment="1">
      <alignment horizontal="center" vertical="center"/>
    </xf>
    <xf numFmtId="49" fontId="42" fillId="3" borderId="0" xfId="1" applyNumberFormat="1" applyFont="1" applyFill="1" applyAlignment="1">
      <alignment horizontal="center" vertical="center"/>
    </xf>
    <xf numFmtId="0" fontId="1" fillId="0" borderId="0" xfId="1"/>
    <xf numFmtId="1" fontId="1" fillId="3" borderId="0" xfId="1" applyNumberFormat="1" applyFill="1" applyAlignment="1">
      <alignment horizontal="center"/>
    </xf>
    <xf numFmtId="164" fontId="1" fillId="3" borderId="0" xfId="1" applyNumberFormat="1" applyFill="1" applyAlignment="1">
      <alignment horizontal="center" wrapText="1"/>
    </xf>
    <xf numFmtId="0" fontId="1" fillId="3" borderId="20" xfId="1" applyFill="1" applyBorder="1" applyAlignment="1">
      <alignment horizontal="center"/>
    </xf>
    <xf numFmtId="0" fontId="1" fillId="3" borderId="0" xfId="1" applyFill="1" applyAlignment="1">
      <alignment horizontal="left" indent="1"/>
    </xf>
    <xf numFmtId="0" fontId="1" fillId="2" borderId="43" xfId="1" applyFill="1" applyBorder="1" applyAlignment="1">
      <alignment horizontal="center"/>
    </xf>
    <xf numFmtId="0" fontId="1" fillId="2" borderId="38" xfId="1" applyFill="1" applyBorder="1" applyAlignment="1">
      <alignment horizontal="center"/>
    </xf>
    <xf numFmtId="0" fontId="1" fillId="2" borderId="38" xfId="1" applyFill="1" applyBorder="1"/>
    <xf numFmtId="0" fontId="100" fillId="2" borderId="38" xfId="1" applyFont="1" applyFill="1" applyBorder="1" applyAlignment="1">
      <alignment horizontal="center"/>
    </xf>
    <xf numFmtId="1" fontId="100" fillId="2" borderId="38" xfId="1" applyNumberFormat="1" applyFont="1" applyFill="1" applyBorder="1" applyAlignment="1">
      <alignment horizontal="center"/>
    </xf>
    <xf numFmtId="164" fontId="1" fillId="2" borderId="38" xfId="1" applyNumberFormat="1" applyFill="1" applyBorder="1" applyAlignment="1">
      <alignment horizontal="center" wrapText="1"/>
    </xf>
    <xf numFmtId="0" fontId="1" fillId="2" borderId="39" xfId="1" applyFill="1" applyBorder="1" applyAlignment="1">
      <alignment horizontal="center"/>
    </xf>
    <xf numFmtId="1" fontId="1" fillId="0" borderId="15" xfId="1" applyNumberFormat="1" applyBorder="1" applyAlignment="1">
      <alignment horizontal="center"/>
    </xf>
    <xf numFmtId="0" fontId="1" fillId="0" borderId="28" xfId="1" applyBorder="1" applyAlignment="1">
      <alignment horizontal="center"/>
    </xf>
    <xf numFmtId="9" fontId="1" fillId="3" borderId="0" xfId="11" applyFill="1"/>
    <xf numFmtId="1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5" fillId="0" borderId="41" xfId="0" applyFont="1" applyBorder="1" applyAlignment="1">
      <alignment horizontal="left"/>
    </xf>
    <xf numFmtId="0" fontId="42" fillId="3" borderId="0" xfId="1" applyFont="1" applyFill="1" applyAlignment="1">
      <alignment vertical="center"/>
    </xf>
    <xf numFmtId="49" fontId="28" fillId="4" borderId="15" xfId="1" applyNumberFormat="1" applyFont="1" applyFill="1" applyBorder="1" applyAlignment="1">
      <alignment horizontal="center"/>
    </xf>
    <xf numFmtId="0" fontId="28" fillId="0" borderId="15" xfId="1" applyFont="1" applyBorder="1" applyAlignment="1">
      <alignment horizontal="left" wrapText="1"/>
    </xf>
    <xf numFmtId="16" fontId="20" fillId="0" borderId="15" xfId="1" applyNumberFormat="1" applyFont="1" applyBorder="1" applyAlignment="1">
      <alignment horizontal="center"/>
    </xf>
    <xf numFmtId="1" fontId="20" fillId="0" borderId="15" xfId="1" applyNumberFormat="1" applyFont="1" applyBorder="1" applyAlignment="1">
      <alignment horizontal="center"/>
    </xf>
    <xf numFmtId="1" fontId="20" fillId="0" borderId="15" xfId="1" applyNumberFormat="1" applyFont="1" applyBorder="1" applyAlignment="1">
      <alignment horizontal="center" wrapText="1"/>
    </xf>
    <xf numFmtId="0" fontId="0" fillId="0" borderId="15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4" borderId="15" xfId="0" applyFill="1" applyBorder="1"/>
    <xf numFmtId="16" fontId="2" fillId="3" borderId="15" xfId="0" applyNumberFormat="1" applyFont="1" applyFill="1" applyBorder="1" applyAlignment="1">
      <alignment horizontal="center"/>
    </xf>
    <xf numFmtId="1" fontId="6" fillId="3" borderId="15" xfId="0" applyNumberFormat="1" applyFont="1" applyFill="1" applyBorder="1" applyAlignment="1">
      <alignment horizontal="center"/>
    </xf>
    <xf numFmtId="1" fontId="2" fillId="3" borderId="15" xfId="0" applyNumberFormat="1" applyFont="1" applyFill="1" applyBorder="1" applyAlignment="1">
      <alignment horizontal="center" wrapText="1"/>
    </xf>
    <xf numFmtId="0" fontId="1" fillId="0" borderId="16" xfId="0" quotePrefix="1" applyFont="1" applyBorder="1" applyAlignment="1">
      <alignment horizontal="center"/>
    </xf>
    <xf numFmtId="0" fontId="1" fillId="0" borderId="8" xfId="0" quotePrefix="1" applyFont="1" applyBorder="1" applyAlignment="1">
      <alignment horizontal="center"/>
    </xf>
    <xf numFmtId="0" fontId="1" fillId="0" borderId="15" xfId="0" quotePrefix="1" applyFont="1" applyBorder="1"/>
    <xf numFmtId="0" fontId="0" fillId="0" borderId="16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4" fillId="0" borderId="15" xfId="5" applyBorder="1" applyAlignment="1">
      <alignment horizontal="center"/>
    </xf>
    <xf numFmtId="0" fontId="4" fillId="0" borderId="15" xfId="5" applyBorder="1" applyAlignment="1">
      <alignment horizontal="left"/>
    </xf>
    <xf numFmtId="2" fontId="49" fillId="16" borderId="0" xfId="0" applyNumberFormat="1" applyFont="1" applyFill="1" applyAlignment="1">
      <alignment horizontal="center"/>
    </xf>
    <xf numFmtId="0" fontId="20" fillId="16" borderId="0" xfId="0" applyFont="1" applyFill="1" applyAlignment="1">
      <alignment vertical="center"/>
    </xf>
    <xf numFmtId="4" fontId="49" fillId="16" borderId="0" xfId="9" applyNumberFormat="1" applyFont="1" applyFill="1" applyAlignment="1">
      <alignment horizontal="center" vertical="center"/>
    </xf>
    <xf numFmtId="0" fontId="20" fillId="16" borderId="0" xfId="0" applyFont="1" applyFill="1"/>
    <xf numFmtId="0" fontId="0" fillId="16" borderId="29" xfId="0" applyFill="1" applyBorder="1"/>
    <xf numFmtId="49" fontId="31" fillId="16" borderId="15" xfId="0" applyNumberFormat="1" applyFont="1" applyFill="1" applyBorder="1" applyAlignment="1">
      <alignment horizontal="center"/>
    </xf>
    <xf numFmtId="0" fontId="31" fillId="16" borderId="15" xfId="2" applyFont="1" applyFill="1" applyBorder="1" applyAlignment="1">
      <alignment vertical="center" wrapText="1"/>
    </xf>
    <xf numFmtId="0" fontId="33" fillId="16" borderId="15" xfId="0" applyFont="1" applyFill="1" applyBorder="1" applyAlignment="1">
      <alignment horizontal="center"/>
    </xf>
    <xf numFmtId="0" fontId="33" fillId="16" borderId="15" xfId="0" applyFont="1" applyFill="1" applyBorder="1"/>
    <xf numFmtId="0" fontId="1" fillId="16" borderId="15" xfId="0" applyFont="1" applyFill="1" applyBorder="1" applyAlignment="1">
      <alignment horizontal="center"/>
    </xf>
    <xf numFmtId="0" fontId="1" fillId="16" borderId="15" xfId="0" applyFont="1" applyFill="1" applyBorder="1" applyAlignment="1">
      <alignment horizontal="left"/>
    </xf>
    <xf numFmtId="0" fontId="18" fillId="16" borderId="15" xfId="0" applyFont="1" applyFill="1" applyBorder="1" applyAlignment="1">
      <alignment horizontal="center" vertical="center"/>
    </xf>
    <xf numFmtId="0" fontId="6" fillId="16" borderId="15" xfId="0" applyFont="1" applyFill="1" applyBorder="1" applyAlignment="1">
      <alignment horizontal="center"/>
    </xf>
    <xf numFmtId="0" fontId="13" fillId="16" borderId="15" xfId="0" applyFont="1" applyFill="1" applyBorder="1" applyAlignment="1">
      <alignment horizontal="center"/>
    </xf>
    <xf numFmtId="0" fontId="13" fillId="16" borderId="15" xfId="0" applyFont="1" applyFill="1" applyBorder="1"/>
    <xf numFmtId="0" fontId="6" fillId="0" borderId="15" xfId="1" applyFont="1" applyBorder="1" applyAlignment="1">
      <alignment horizontal="center" vertical="center"/>
    </xf>
    <xf numFmtId="0" fontId="103" fillId="0" borderId="16" xfId="1" applyFont="1" applyBorder="1" applyAlignment="1">
      <alignment horizontal="center" vertical="center"/>
    </xf>
    <xf numFmtId="0" fontId="105" fillId="0" borderId="14" xfId="1" applyFont="1" applyBorder="1" applyAlignment="1">
      <alignment horizontal="center"/>
    </xf>
    <xf numFmtId="49" fontId="105" fillId="0" borderId="15" xfId="0" applyNumberFormat="1" applyFont="1" applyBorder="1" applyAlignment="1">
      <alignment horizontal="center"/>
    </xf>
    <xf numFmtId="0" fontId="106" fillId="0" borderId="15" xfId="0" applyFont="1" applyBorder="1" applyAlignment="1">
      <alignment horizontal="center"/>
    </xf>
    <xf numFmtId="0" fontId="106" fillId="0" borderId="15" xfId="0" applyFont="1" applyBorder="1"/>
    <xf numFmtId="0" fontId="105" fillId="0" borderId="15" xfId="0" applyFont="1" applyBorder="1" applyAlignment="1">
      <alignment horizontal="center"/>
    </xf>
    <xf numFmtId="0" fontId="105" fillId="0" borderId="15" xfId="0" applyFont="1" applyBorder="1" applyAlignment="1">
      <alignment horizontal="center" vertical="center"/>
    </xf>
    <xf numFmtId="1" fontId="105" fillId="0" borderId="15" xfId="0" applyNumberFormat="1" applyFont="1" applyBorder="1" applyAlignment="1">
      <alignment horizontal="center" vertical="center"/>
    </xf>
    <xf numFmtId="1" fontId="105" fillId="0" borderId="15" xfId="0" applyNumberFormat="1" applyFont="1" applyBorder="1" applyAlignment="1">
      <alignment horizontal="center"/>
    </xf>
    <xf numFmtId="49" fontId="105" fillId="4" borderId="15" xfId="0" applyNumberFormat="1" applyFont="1" applyFill="1" applyBorder="1"/>
    <xf numFmtId="1" fontId="105" fillId="4" borderId="15" xfId="0" applyNumberFormat="1" applyFont="1" applyFill="1" applyBorder="1" applyAlignment="1">
      <alignment horizontal="center" vertical="center" wrapText="1"/>
    </xf>
    <xf numFmtId="0" fontId="105" fillId="4" borderId="15" xfId="0" applyFont="1" applyFill="1" applyBorder="1" applyAlignment="1">
      <alignment horizontal="center"/>
    </xf>
    <xf numFmtId="1" fontId="105" fillId="0" borderId="15" xfId="0" applyNumberFormat="1" applyFont="1" applyBorder="1" applyAlignment="1">
      <alignment horizontal="center" wrapText="1"/>
    </xf>
    <xf numFmtId="49" fontId="105" fillId="4" borderId="15" xfId="0" applyNumberFormat="1" applyFont="1" applyFill="1" applyBorder="1" applyAlignment="1">
      <alignment horizontal="center"/>
    </xf>
    <xf numFmtId="49" fontId="105" fillId="4" borderId="9" xfId="0" applyNumberFormat="1" applyFont="1" applyFill="1" applyBorder="1" applyAlignment="1">
      <alignment horizontal="center"/>
    </xf>
    <xf numFmtId="49" fontId="103" fillId="4" borderId="15" xfId="0" applyNumberFormat="1" applyFont="1" applyFill="1" applyBorder="1"/>
    <xf numFmtId="16" fontId="105" fillId="4" borderId="15" xfId="0" applyNumberFormat="1" applyFont="1" applyFill="1" applyBorder="1" applyAlignment="1">
      <alignment horizontal="center"/>
    </xf>
    <xf numFmtId="0" fontId="106" fillId="0" borderId="15" xfId="0" quotePrefix="1" applyFont="1" applyBorder="1"/>
    <xf numFmtId="12" fontId="105" fillId="0" borderId="15" xfId="0" applyNumberFormat="1" applyFont="1" applyBorder="1" applyAlignment="1">
      <alignment horizontal="center"/>
    </xf>
    <xf numFmtId="49" fontId="105" fillId="0" borderId="15" xfId="0" applyNumberFormat="1" applyFont="1" applyBorder="1"/>
    <xf numFmtId="16" fontId="105" fillId="0" borderId="15" xfId="0" applyNumberFormat="1" applyFont="1" applyBorder="1" applyAlignment="1">
      <alignment horizontal="center"/>
    </xf>
    <xf numFmtId="49" fontId="103" fillId="0" borderId="15" xfId="0" applyNumberFormat="1" applyFont="1" applyBorder="1" applyAlignment="1">
      <alignment horizontal="left"/>
    </xf>
    <xf numFmtId="1" fontId="105" fillId="0" borderId="11" xfId="0" applyNumberFormat="1" applyFont="1" applyBorder="1" applyAlignment="1">
      <alignment horizontal="center"/>
    </xf>
    <xf numFmtId="0" fontId="105" fillId="0" borderId="11" xfId="0" applyFont="1" applyBorder="1" applyAlignment="1">
      <alignment horizontal="center"/>
    </xf>
    <xf numFmtId="49" fontId="105" fillId="0" borderId="15" xfId="1" applyNumberFormat="1" applyFont="1" applyBorder="1"/>
    <xf numFmtId="0" fontId="105" fillId="0" borderId="15" xfId="1" applyFont="1" applyBorder="1" applyAlignment="1">
      <alignment horizontal="center"/>
    </xf>
    <xf numFmtId="1" fontId="105" fillId="0" borderId="15" xfId="1" applyNumberFormat="1" applyFont="1" applyBorder="1" applyAlignment="1">
      <alignment horizontal="center"/>
    </xf>
    <xf numFmtId="0" fontId="106" fillId="0" borderId="0" xfId="0" applyFont="1" applyAlignment="1">
      <alignment horizontal="center"/>
    </xf>
    <xf numFmtId="49" fontId="105" fillId="0" borderId="16" xfId="1" applyNumberFormat="1" applyFont="1" applyBorder="1" applyAlignment="1">
      <alignment horizontal="center"/>
    </xf>
    <xf numFmtId="49" fontId="105" fillId="0" borderId="8" xfId="1" applyNumberFormat="1" applyFont="1" applyBorder="1" applyAlignment="1">
      <alignment horizontal="center"/>
    </xf>
    <xf numFmtId="1" fontId="105" fillId="0" borderId="15" xfId="1" applyNumberFormat="1" applyFont="1" applyBorder="1" applyAlignment="1">
      <alignment horizontal="center" wrapText="1"/>
    </xf>
    <xf numFmtId="49" fontId="107" fillId="3" borderId="21" xfId="1" applyNumberFormat="1" applyFont="1" applyFill="1" applyBorder="1" applyAlignment="1">
      <alignment horizontal="center" vertical="center"/>
    </xf>
    <xf numFmtId="49" fontId="107" fillId="3" borderId="0" xfId="1" applyNumberFormat="1" applyFont="1" applyFill="1" applyAlignment="1">
      <alignment horizontal="center" vertical="center"/>
    </xf>
    <xf numFmtId="0" fontId="105" fillId="3" borderId="0" xfId="1" applyFont="1" applyFill="1"/>
    <xf numFmtId="1" fontId="105" fillId="3" borderId="0" xfId="1" applyNumberFormat="1" applyFont="1" applyFill="1" applyAlignment="1">
      <alignment horizontal="center"/>
    </xf>
    <xf numFmtId="164" fontId="105" fillId="3" borderId="0" xfId="1" applyNumberFormat="1" applyFont="1" applyFill="1" applyAlignment="1">
      <alignment horizontal="center" wrapText="1"/>
    </xf>
    <xf numFmtId="0" fontId="105" fillId="3" borderId="20" xfId="1" applyFont="1" applyFill="1" applyBorder="1" applyAlignment="1">
      <alignment horizontal="center"/>
    </xf>
    <xf numFmtId="0" fontId="105" fillId="2" borderId="43" xfId="1" applyFont="1" applyFill="1" applyBorder="1" applyAlignment="1">
      <alignment horizontal="center"/>
    </xf>
    <xf numFmtId="0" fontId="105" fillId="2" borderId="38" xfId="1" applyFont="1" applyFill="1" applyBorder="1" applyAlignment="1">
      <alignment horizontal="center"/>
    </xf>
    <xf numFmtId="0" fontId="105" fillId="2" borderId="38" xfId="1" applyFont="1" applyFill="1" applyBorder="1"/>
    <xf numFmtId="0" fontId="103" fillId="2" borderId="38" xfId="1" applyFont="1" applyFill="1" applyBorder="1" applyAlignment="1">
      <alignment horizontal="center"/>
    </xf>
    <xf numFmtId="1" fontId="103" fillId="2" borderId="38" xfId="1" applyNumberFormat="1" applyFont="1" applyFill="1" applyBorder="1" applyAlignment="1">
      <alignment horizontal="center"/>
    </xf>
    <xf numFmtId="164" fontId="105" fillId="2" borderId="38" xfId="1" applyNumberFormat="1" applyFont="1" applyFill="1" applyBorder="1" applyAlignment="1">
      <alignment horizontal="center" wrapText="1"/>
    </xf>
    <xf numFmtId="0" fontId="105" fillId="2" borderId="39" xfId="1" applyFont="1" applyFill="1" applyBorder="1" applyAlignment="1">
      <alignment horizontal="center"/>
    </xf>
    <xf numFmtId="0" fontId="103" fillId="0" borderId="15" xfId="0" applyFont="1" applyBorder="1" applyAlignment="1">
      <alignment horizontal="center"/>
    </xf>
    <xf numFmtId="0" fontId="105" fillId="0" borderId="28" xfId="0" applyFont="1" applyBorder="1" applyAlignment="1">
      <alignment horizontal="center"/>
    </xf>
    <xf numFmtId="1" fontId="103" fillId="0" borderId="2" xfId="0" applyNumberFormat="1" applyFont="1" applyBorder="1" applyAlignment="1">
      <alignment horizontal="center"/>
    </xf>
    <xf numFmtId="0" fontId="105" fillId="0" borderId="2" xfId="0" applyFont="1" applyBorder="1" applyAlignment="1">
      <alignment horizontal="center"/>
    </xf>
    <xf numFmtId="0" fontId="103" fillId="0" borderId="35" xfId="1" applyFont="1" applyBorder="1" applyAlignment="1">
      <alignment horizontal="center" vertical="center"/>
    </xf>
    <xf numFmtId="0" fontId="104" fillId="0" borderId="29" xfId="1" applyFont="1" applyBorder="1" applyAlignment="1">
      <alignment vertical="center"/>
    </xf>
    <xf numFmtId="0" fontId="103" fillId="0" borderId="29" xfId="1" applyFont="1" applyBorder="1" applyAlignment="1">
      <alignment horizontal="center" vertical="center"/>
    </xf>
    <xf numFmtId="1" fontId="103" fillId="0" borderId="29" xfId="1" applyNumberFormat="1" applyFont="1" applyBorder="1" applyAlignment="1">
      <alignment horizontal="center"/>
    </xf>
    <xf numFmtId="1" fontId="103" fillId="0" borderId="29" xfId="1" applyNumberFormat="1" applyFont="1" applyBorder="1" applyAlignment="1">
      <alignment horizontal="center" wrapText="1"/>
    </xf>
    <xf numFmtId="0" fontId="105" fillId="4" borderId="15" xfId="2" applyFont="1" applyFill="1" applyBorder="1" applyAlignment="1">
      <alignment vertical="center" wrapText="1"/>
    </xf>
    <xf numFmtId="0" fontId="5" fillId="3" borderId="46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0" fontId="36" fillId="0" borderId="16" xfId="0" applyFont="1" applyBorder="1" applyAlignment="1">
      <alignment horizontal="left"/>
    </xf>
    <xf numFmtId="0" fontId="36" fillId="0" borderId="8" xfId="0" applyFont="1" applyBorder="1" applyAlignment="1">
      <alignment horizontal="left"/>
    </xf>
    <xf numFmtId="0" fontId="36" fillId="0" borderId="15" xfId="0" applyFont="1" applyBorder="1" applyAlignment="1">
      <alignment horizontal="left"/>
    </xf>
    <xf numFmtId="0" fontId="36" fillId="0" borderId="14" xfId="0" applyFont="1" applyBorder="1" applyAlignment="1">
      <alignment horizontal="left"/>
    </xf>
    <xf numFmtId="0" fontId="36" fillId="0" borderId="16" xfId="0" applyFont="1" applyBorder="1" applyAlignment="1">
      <alignment horizontal="left" wrapText="1"/>
    </xf>
    <xf numFmtId="0" fontId="36" fillId="0" borderId="8" xfId="0" applyFont="1" applyBorder="1" applyAlignment="1">
      <alignment horizontal="left" wrapText="1"/>
    </xf>
    <xf numFmtId="0" fontId="36" fillId="0" borderId="15" xfId="0" applyFont="1" applyBorder="1" applyAlignment="1">
      <alignment horizontal="left" wrapText="1"/>
    </xf>
    <xf numFmtId="0" fontId="36" fillId="0" borderId="14" xfId="0" applyFont="1" applyBorder="1" applyAlignment="1">
      <alignment horizontal="left" wrapText="1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3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5" xfId="1" applyFont="1" applyBorder="1" applyAlignment="1">
      <alignment horizontal="left"/>
    </xf>
    <xf numFmtId="0" fontId="7" fillId="0" borderId="24" xfId="1" applyFont="1" applyBorder="1" applyAlignment="1">
      <alignment horizontal="left"/>
    </xf>
    <xf numFmtId="0" fontId="7" fillId="0" borderId="22" xfId="1" applyFont="1" applyBorder="1" applyAlignment="1">
      <alignment horizontal="left"/>
    </xf>
    <xf numFmtId="0" fontId="15" fillId="6" borderId="45" xfId="2" applyFont="1" applyFill="1" applyBorder="1" applyAlignment="1">
      <alignment horizontal="center"/>
    </xf>
    <xf numFmtId="0" fontId="15" fillId="6" borderId="36" xfId="2" applyFont="1" applyFill="1" applyBorder="1" applyAlignment="1">
      <alignment horizontal="center"/>
    </xf>
    <xf numFmtId="0" fontId="36" fillId="0" borderId="13" xfId="0" applyFont="1" applyBorder="1" applyAlignment="1">
      <alignment horizontal="left"/>
    </xf>
    <xf numFmtId="0" fontId="36" fillId="0" borderId="12" xfId="0" applyFont="1" applyBorder="1" applyAlignment="1">
      <alignment horizontal="left"/>
    </xf>
    <xf numFmtId="0" fontId="36" fillId="0" borderId="11" xfId="0" applyFont="1" applyBorder="1" applyAlignment="1">
      <alignment horizontal="left"/>
    </xf>
    <xf numFmtId="0" fontId="36" fillId="0" borderId="10" xfId="0" applyFont="1" applyBorder="1" applyAlignment="1">
      <alignment horizontal="left"/>
    </xf>
    <xf numFmtId="0" fontId="8" fillId="0" borderId="7" xfId="1" applyFont="1" applyBorder="1" applyAlignment="1">
      <alignment horizontal="right"/>
    </xf>
    <xf numFmtId="0" fontId="8" fillId="0" borderId="6" xfId="1" applyFont="1" applyBorder="1" applyAlignment="1">
      <alignment horizontal="right"/>
    </xf>
    <xf numFmtId="0" fontId="8" fillId="0" borderId="8" xfId="1" applyFont="1" applyBorder="1" applyAlignment="1">
      <alignment horizontal="right"/>
    </xf>
    <xf numFmtId="0" fontId="7" fillId="0" borderId="15" xfId="1" applyFont="1" applyBorder="1" applyAlignment="1">
      <alignment horizontal="right"/>
    </xf>
    <xf numFmtId="164" fontId="7" fillId="0" borderId="9" xfId="1" applyNumberFormat="1" applyFont="1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164" fontId="7" fillId="0" borderId="9" xfId="1" applyNumberFormat="1" applyFont="1" applyBorder="1" applyAlignment="1">
      <alignment horizontal="right" wrapText="1"/>
    </xf>
    <xf numFmtId="164" fontId="7" fillId="0" borderId="8" xfId="1" applyNumberFormat="1" applyFont="1" applyBorder="1" applyAlignment="1">
      <alignment horizontal="right" wrapText="1"/>
    </xf>
    <xf numFmtId="0" fontId="8" fillId="0" borderId="4" xfId="1" applyFont="1" applyBorder="1" applyAlignment="1">
      <alignment horizontal="right"/>
    </xf>
    <xf numFmtId="0" fontId="8" fillId="0" borderId="3" xfId="1" applyFont="1" applyBorder="1" applyAlignment="1">
      <alignment horizontal="right"/>
    </xf>
    <xf numFmtId="0" fontId="8" fillId="0" borderId="2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164" fontId="7" fillId="0" borderId="23" xfId="1" applyNumberFormat="1" applyFont="1" applyBorder="1" applyAlignment="1">
      <alignment horizontal="center"/>
    </xf>
    <xf numFmtId="164" fontId="7" fillId="0" borderId="22" xfId="1" applyNumberFormat="1" applyFont="1" applyBorder="1" applyAlignment="1">
      <alignment horizontal="center"/>
    </xf>
    <xf numFmtId="0" fontId="8" fillId="2" borderId="43" xfId="1" applyFont="1" applyFill="1" applyBorder="1" applyAlignment="1">
      <alignment horizontal="left"/>
    </xf>
    <xf numFmtId="0" fontId="8" fillId="2" borderId="38" xfId="1" applyFont="1" applyFill="1" applyBorder="1" applyAlignment="1">
      <alignment horizontal="left"/>
    </xf>
    <xf numFmtId="0" fontId="8" fillId="2" borderId="39" xfId="1" applyFont="1" applyFill="1" applyBorder="1" applyAlignment="1">
      <alignment horizontal="left"/>
    </xf>
    <xf numFmtId="0" fontId="8" fillId="0" borderId="40" xfId="1" applyFont="1" applyBorder="1" applyAlignment="1">
      <alignment horizontal="right"/>
    </xf>
    <xf numFmtId="0" fontId="8" fillId="0" borderId="41" xfId="1" applyFont="1" applyBorder="1" applyAlignment="1">
      <alignment horizontal="right"/>
    </xf>
    <xf numFmtId="0" fontId="8" fillId="0" borderId="12" xfId="1" applyFont="1" applyBorder="1" applyAlignment="1">
      <alignment horizontal="right"/>
    </xf>
    <xf numFmtId="164" fontId="7" fillId="0" borderId="11" xfId="1" applyNumberFormat="1" applyFont="1" applyBorder="1" applyAlignment="1">
      <alignment horizontal="right"/>
    </xf>
    <xf numFmtId="0" fontId="7" fillId="3" borderId="28" xfId="1" applyFont="1" applyFill="1" applyBorder="1" applyAlignment="1">
      <alignment horizontal="center"/>
    </xf>
    <xf numFmtId="0" fontId="7" fillId="3" borderId="44" xfId="1" applyFont="1" applyFill="1" applyBorder="1" applyAlignment="1">
      <alignment horizontal="center"/>
    </xf>
    <xf numFmtId="0" fontId="9" fillId="3" borderId="0" xfId="2" applyFont="1" applyFill="1" applyAlignment="1">
      <alignment horizontal="right"/>
    </xf>
    <xf numFmtId="0" fontId="10" fillId="3" borderId="31" xfId="2" applyFont="1" applyFill="1" applyBorder="1" applyAlignment="1">
      <alignment horizontal="center"/>
    </xf>
    <xf numFmtId="0" fontId="9" fillId="3" borderId="0" xfId="2" applyFont="1" applyFill="1"/>
    <xf numFmtId="0" fontId="8" fillId="2" borderId="42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42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14" fontId="7" fillId="3" borderId="34" xfId="2" applyNumberFormat="1" applyFont="1" applyFill="1" applyBorder="1" applyAlignment="1">
      <alignment horizontal="center" vertical="center" wrapText="1"/>
    </xf>
    <xf numFmtId="14" fontId="7" fillId="3" borderId="32" xfId="2" applyNumberFormat="1" applyFont="1" applyFill="1" applyBorder="1" applyAlignment="1">
      <alignment horizontal="center" vertical="center" wrapText="1"/>
    </xf>
    <xf numFmtId="14" fontId="7" fillId="3" borderId="10" xfId="2" applyNumberFormat="1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left"/>
    </xf>
    <xf numFmtId="0" fontId="7" fillId="3" borderId="27" xfId="2" applyFont="1" applyFill="1" applyBorder="1" applyAlignment="1">
      <alignment horizontal="left"/>
    </xf>
    <xf numFmtId="0" fontId="7" fillId="3" borderId="19" xfId="2" applyFont="1" applyFill="1" applyBorder="1" applyAlignment="1">
      <alignment horizontal="left"/>
    </xf>
    <xf numFmtId="0" fontId="7" fillId="3" borderId="9" xfId="2" applyFont="1" applyFill="1" applyBorder="1" applyAlignment="1">
      <alignment horizontal="left"/>
    </xf>
    <xf numFmtId="0" fontId="7" fillId="3" borderId="6" xfId="2" applyFont="1" applyFill="1" applyBorder="1" applyAlignment="1">
      <alignment horizontal="left"/>
    </xf>
    <xf numFmtId="0" fontId="7" fillId="3" borderId="8" xfId="2" applyFont="1" applyFill="1" applyBorder="1" applyAlignment="1">
      <alignment horizontal="left"/>
    </xf>
    <xf numFmtId="0" fontId="7" fillId="3" borderId="37" xfId="2" applyFont="1" applyFill="1" applyBorder="1" applyAlignment="1">
      <alignment horizontal="center"/>
    </xf>
    <xf numFmtId="0" fontId="7" fillId="3" borderId="36" xfId="2" applyFont="1" applyFill="1" applyBorder="1" applyAlignment="1">
      <alignment horizontal="center"/>
    </xf>
    <xf numFmtId="0" fontId="7" fillId="3" borderId="21" xfId="2" applyFont="1" applyFill="1" applyBorder="1" applyAlignment="1">
      <alignment horizontal="center"/>
    </xf>
    <xf numFmtId="0" fontId="7" fillId="3" borderId="0" xfId="2" applyFont="1" applyFill="1" applyAlignment="1">
      <alignment horizontal="center"/>
    </xf>
    <xf numFmtId="0" fontId="7" fillId="3" borderId="40" xfId="2" applyFont="1" applyFill="1" applyBorder="1" applyAlignment="1">
      <alignment horizontal="center"/>
    </xf>
    <xf numFmtId="0" fontId="7" fillId="3" borderId="41" xfId="2" applyFont="1" applyFill="1" applyBorder="1" applyAlignment="1">
      <alignment horizontal="center"/>
    </xf>
    <xf numFmtId="0" fontId="8" fillId="3" borderId="18" xfId="2" applyFont="1" applyFill="1" applyBorder="1" applyAlignment="1">
      <alignment horizontal="center"/>
    </xf>
    <xf numFmtId="0" fontId="8" fillId="3" borderId="29" xfId="2" applyFont="1" applyFill="1" applyBorder="1" applyAlignment="1">
      <alignment horizontal="center"/>
    </xf>
    <xf numFmtId="0" fontId="24" fillId="5" borderId="15" xfId="2" applyFont="1" applyFill="1" applyBorder="1" applyAlignment="1">
      <alignment horizontal="center" vertical="center" wrapText="1"/>
    </xf>
    <xf numFmtId="0" fontId="8" fillId="3" borderId="35" xfId="2" applyFont="1" applyFill="1" applyBorder="1" applyAlignment="1">
      <alignment horizontal="right" vertical="top" wrapText="1"/>
    </xf>
    <xf numFmtId="0" fontId="8" fillId="3" borderId="33" xfId="2" applyFont="1" applyFill="1" applyBorder="1" applyAlignment="1">
      <alignment horizontal="right" vertical="top" wrapText="1"/>
    </xf>
    <xf numFmtId="0" fontId="8" fillId="3" borderId="30" xfId="2" applyFont="1" applyFill="1" applyBorder="1" applyAlignment="1">
      <alignment horizontal="right" vertical="top" wrapText="1"/>
    </xf>
    <xf numFmtId="0" fontId="36" fillId="0" borderId="13" xfId="0" applyFont="1" applyBorder="1" applyAlignment="1">
      <alignment horizontal="left" wrapText="1"/>
    </xf>
    <xf numFmtId="0" fontId="36" fillId="0" borderId="12" xfId="0" applyFont="1" applyBorder="1" applyAlignment="1">
      <alignment horizontal="left" wrapText="1"/>
    </xf>
    <xf numFmtId="0" fontId="36" fillId="0" borderId="11" xfId="0" applyFont="1" applyBorder="1" applyAlignment="1">
      <alignment horizontal="left" wrapText="1"/>
    </xf>
    <xf numFmtId="0" fontId="36" fillId="0" borderId="10" xfId="0" applyFont="1" applyBorder="1" applyAlignment="1">
      <alignment horizontal="left" wrapText="1"/>
    </xf>
    <xf numFmtId="0" fontId="51" fillId="0" borderId="0" xfId="0" applyFont="1" applyAlignment="1">
      <alignment horizontal="center" vertical="center"/>
    </xf>
    <xf numFmtId="0" fontId="67" fillId="0" borderId="43" xfId="0" applyFont="1" applyBorder="1" applyAlignment="1">
      <alignment horizontal="right" vertical="center"/>
    </xf>
    <xf numFmtId="0" fontId="67" fillId="0" borderId="38" xfId="0" applyFont="1" applyBorder="1" applyAlignment="1">
      <alignment horizontal="right" vertical="center"/>
    </xf>
    <xf numFmtId="0" fontId="67" fillId="0" borderId="39" xfId="0" applyFont="1" applyBorder="1" applyAlignment="1">
      <alignment horizontal="right" vertical="center"/>
    </xf>
    <xf numFmtId="0" fontId="68" fillId="0" borderId="0" xfId="0" applyFont="1" applyAlignment="1">
      <alignment horizontal="right"/>
    </xf>
    <xf numFmtId="0" fontId="59" fillId="0" borderId="31" xfId="0" applyFont="1" applyBorder="1" applyAlignment="1">
      <alignment horizontal="right"/>
    </xf>
    <xf numFmtId="0" fontId="51" fillId="0" borderId="0" xfId="0" applyFont="1" applyAlignment="1">
      <alignment horizontal="right" vertical="center"/>
    </xf>
    <xf numFmtId="0" fontId="57" fillId="10" borderId="43" xfId="0" applyFont="1" applyFill="1" applyBorder="1" applyAlignment="1">
      <alignment horizontal="right"/>
    </xf>
    <xf numFmtId="0" fontId="57" fillId="10" borderId="38" xfId="0" applyFont="1" applyFill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57" xfId="0" applyFont="1" applyBorder="1" applyAlignment="1">
      <alignment horizontal="right" vertical="center"/>
    </xf>
    <xf numFmtId="0" fontId="21" fillId="12" borderId="43" xfId="0" applyFont="1" applyFill="1" applyBorder="1" applyAlignment="1">
      <alignment horizontal="right" vertical="center"/>
    </xf>
    <xf numFmtId="0" fontId="21" fillId="12" borderId="38" xfId="0" applyFont="1" applyFill="1" applyBorder="1" applyAlignment="1">
      <alignment horizontal="right" vertical="center"/>
    </xf>
    <xf numFmtId="0" fontId="21" fillId="12" borderId="39" xfId="0" applyFont="1" applyFill="1" applyBorder="1" applyAlignment="1">
      <alignment horizontal="right" vertical="center"/>
    </xf>
    <xf numFmtId="4" fontId="66" fillId="0" borderId="0" xfId="9" applyNumberFormat="1" applyFont="1" applyFill="1" applyAlignment="1">
      <alignment horizontal="center" vertical="center" wrapText="1"/>
    </xf>
    <xf numFmtId="0" fontId="60" fillId="0" borderId="15" xfId="0" applyFont="1" applyBorder="1" applyAlignment="1">
      <alignment horizontal="right" vertical="center"/>
    </xf>
    <xf numFmtId="0" fontId="61" fillId="0" borderId="21" xfId="0" applyFont="1" applyBorder="1" applyAlignment="1">
      <alignment horizontal="right"/>
    </xf>
    <xf numFmtId="0" fontId="61" fillId="0" borderId="0" xfId="0" applyFont="1" applyAlignment="1">
      <alignment horizontal="right"/>
    </xf>
    <xf numFmtId="0" fontId="61" fillId="0" borderId="20" xfId="0" applyFont="1" applyBorder="1" applyAlignment="1">
      <alignment horizontal="right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52" fillId="0" borderId="37" xfId="0" applyFont="1" applyBorder="1" applyAlignment="1">
      <alignment horizontal="right"/>
    </xf>
    <xf numFmtId="0" fontId="52" fillId="0" borderId="36" xfId="0" applyFont="1" applyBorder="1" applyAlignment="1">
      <alignment horizontal="right"/>
    </xf>
    <xf numFmtId="0" fontId="20" fillId="0" borderId="15" xfId="0" applyFont="1" applyBorder="1" applyAlignment="1">
      <alignment horizontal="right" vertical="center"/>
    </xf>
    <xf numFmtId="0" fontId="52" fillId="0" borderId="0" xfId="0" applyFont="1" applyAlignment="1">
      <alignment horizontal="right"/>
    </xf>
    <xf numFmtId="0" fontId="46" fillId="0" borderId="31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 wrapText="1"/>
    </xf>
    <xf numFmtId="0" fontId="47" fillId="0" borderId="38" xfId="0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0" fontId="48" fillId="0" borderId="38" xfId="0" applyFont="1" applyBorder="1" applyAlignment="1">
      <alignment horizontal="right" vertical="center" wrapText="1"/>
    </xf>
    <xf numFmtId="14" fontId="5" fillId="3" borderId="34" xfId="2" applyNumberFormat="1" applyFont="1" applyFill="1" applyBorder="1" applyAlignment="1">
      <alignment horizontal="center" vertical="center" wrapText="1"/>
    </xf>
    <xf numFmtId="14" fontId="5" fillId="3" borderId="32" xfId="2" applyNumberFormat="1" applyFont="1" applyFill="1" applyBorder="1" applyAlignment="1">
      <alignment horizontal="center" vertical="center" wrapText="1"/>
    </xf>
    <xf numFmtId="14" fontId="5" fillId="3" borderId="10" xfId="2" applyNumberFormat="1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left"/>
    </xf>
    <xf numFmtId="0" fontId="5" fillId="3" borderId="27" xfId="2" applyFont="1" applyFill="1" applyBorder="1" applyAlignment="1">
      <alignment horizontal="left"/>
    </xf>
    <xf numFmtId="0" fontId="5" fillId="3" borderId="19" xfId="2" applyFont="1" applyFill="1" applyBorder="1" applyAlignment="1">
      <alignment horizontal="left"/>
    </xf>
    <xf numFmtId="0" fontId="5" fillId="3" borderId="9" xfId="2" applyFont="1" applyFill="1" applyBorder="1" applyAlignment="1">
      <alignment horizontal="left"/>
    </xf>
    <xf numFmtId="0" fontId="5" fillId="3" borderId="6" xfId="2" applyFont="1" applyFill="1" applyBorder="1" applyAlignment="1">
      <alignment horizontal="left"/>
    </xf>
    <xf numFmtId="0" fontId="5" fillId="3" borderId="8" xfId="2" applyFont="1" applyFill="1" applyBorder="1" applyAlignment="1">
      <alignment horizontal="left"/>
    </xf>
    <xf numFmtId="0" fontId="5" fillId="3" borderId="37" xfId="2" applyFont="1" applyFill="1" applyBorder="1" applyAlignment="1">
      <alignment horizontal="center"/>
    </xf>
    <xf numFmtId="0" fontId="5" fillId="3" borderId="36" xfId="2" applyFont="1" applyFill="1" applyBorder="1" applyAlignment="1">
      <alignment horizontal="center"/>
    </xf>
    <xf numFmtId="0" fontId="5" fillId="3" borderId="21" xfId="2" applyFont="1" applyFill="1" applyBorder="1" applyAlignment="1">
      <alignment horizontal="center"/>
    </xf>
    <xf numFmtId="0" fontId="5" fillId="3" borderId="0" xfId="2" applyFont="1" applyFill="1" applyAlignment="1">
      <alignment horizontal="center"/>
    </xf>
    <xf numFmtId="0" fontId="5" fillId="3" borderId="40" xfId="2" applyFont="1" applyFill="1" applyBorder="1" applyAlignment="1">
      <alignment horizontal="center"/>
    </xf>
    <xf numFmtId="0" fontId="5" fillId="3" borderId="41" xfId="2" applyFont="1" applyFill="1" applyBorder="1" applyAlignment="1">
      <alignment horizontal="center"/>
    </xf>
    <xf numFmtId="0" fontId="8" fillId="3" borderId="23" xfId="2" applyFont="1" applyFill="1" applyBorder="1" applyAlignment="1">
      <alignment horizontal="center"/>
    </xf>
    <xf numFmtId="0" fontId="8" fillId="3" borderId="24" xfId="2" applyFont="1" applyFill="1" applyBorder="1" applyAlignment="1">
      <alignment horizontal="center"/>
    </xf>
    <xf numFmtId="0" fontId="8" fillId="3" borderId="3" xfId="2" applyFont="1" applyFill="1" applyBorder="1" applyAlignment="1">
      <alignment horizontal="center"/>
    </xf>
    <xf numFmtId="0" fontId="37" fillId="5" borderId="38" xfId="2" applyFont="1" applyFill="1" applyBorder="1" applyAlignment="1">
      <alignment horizontal="center" vertical="center" wrapText="1"/>
    </xf>
    <xf numFmtId="0" fontId="37" fillId="5" borderId="39" xfId="2" applyFont="1" applyFill="1" applyBorder="1" applyAlignment="1">
      <alignment horizontal="center" vertical="center" wrapText="1"/>
    </xf>
    <xf numFmtId="0" fontId="15" fillId="3" borderId="35" xfId="2" applyFont="1" applyFill="1" applyBorder="1" applyAlignment="1">
      <alignment horizontal="right" vertical="top" wrapText="1"/>
    </xf>
    <xf numFmtId="0" fontId="15" fillId="3" borderId="33" xfId="2" applyFont="1" applyFill="1" applyBorder="1" applyAlignment="1">
      <alignment horizontal="right" vertical="top" wrapText="1"/>
    </xf>
    <xf numFmtId="0" fontId="15" fillId="3" borderId="30" xfId="2" applyFont="1" applyFill="1" applyBorder="1" applyAlignment="1">
      <alignment horizontal="right" vertical="top" wrapText="1"/>
    </xf>
    <xf numFmtId="0" fontId="24" fillId="3" borderId="0" xfId="2" applyFont="1" applyFill="1" applyAlignment="1">
      <alignment horizontal="right"/>
    </xf>
    <xf numFmtId="0" fontId="25" fillId="3" borderId="31" xfId="2" applyFont="1" applyFill="1" applyBorder="1" applyAlignment="1">
      <alignment horizontal="center"/>
    </xf>
    <xf numFmtId="0" fontId="24" fillId="3" borderId="0" xfId="2" applyFont="1" applyFill="1"/>
    <xf numFmtId="0" fontId="15" fillId="2" borderId="42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42" xfId="1" applyFont="1" applyFill="1" applyBorder="1" applyAlignment="1">
      <alignment horizontal="center" vertical="center" wrapText="1"/>
    </xf>
    <xf numFmtId="0" fontId="15" fillId="2" borderId="49" xfId="1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/>
    </xf>
    <xf numFmtId="0" fontId="15" fillId="2" borderId="29" xfId="1" applyFont="1" applyFill="1" applyBorder="1" applyAlignment="1">
      <alignment horizontal="center" vertical="center"/>
    </xf>
    <xf numFmtId="0" fontId="15" fillId="0" borderId="40" xfId="1" applyFont="1" applyBorder="1" applyAlignment="1">
      <alignment horizontal="right"/>
    </xf>
    <xf numFmtId="0" fontId="15" fillId="0" borderId="41" xfId="1" applyFont="1" applyBorder="1" applyAlignment="1">
      <alignment horizontal="right"/>
    </xf>
    <xf numFmtId="0" fontId="15" fillId="0" borderId="12" xfId="1" applyFont="1" applyBorder="1" applyAlignment="1">
      <alignment horizontal="right"/>
    </xf>
    <xf numFmtId="164" fontId="5" fillId="0" borderId="11" xfId="1" applyNumberFormat="1" applyFont="1" applyBorder="1" applyAlignment="1">
      <alignment horizontal="right"/>
    </xf>
    <xf numFmtId="0" fontId="5" fillId="3" borderId="28" xfId="1" applyFont="1" applyFill="1" applyBorder="1" applyAlignment="1">
      <alignment horizontal="center"/>
    </xf>
    <xf numFmtId="0" fontId="5" fillId="3" borderId="44" xfId="1" applyFont="1" applyFill="1" applyBorder="1" applyAlignment="1">
      <alignment horizontal="center"/>
    </xf>
    <xf numFmtId="0" fontId="15" fillId="0" borderId="7" xfId="1" applyFont="1" applyBorder="1" applyAlignment="1">
      <alignment horizontal="right"/>
    </xf>
    <xf numFmtId="0" fontId="15" fillId="0" borderId="6" xfId="1" applyFont="1" applyBorder="1" applyAlignment="1">
      <alignment horizontal="right"/>
    </xf>
    <xf numFmtId="0" fontId="15" fillId="0" borderId="8" xfId="1" applyFont="1" applyBorder="1" applyAlignment="1">
      <alignment horizontal="right"/>
    </xf>
    <xf numFmtId="0" fontId="5" fillId="0" borderId="15" xfId="1" applyFont="1" applyBorder="1" applyAlignment="1">
      <alignment horizontal="right"/>
    </xf>
    <xf numFmtId="164" fontId="5" fillId="0" borderId="9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0" fontId="2" fillId="0" borderId="40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164" fontId="5" fillId="0" borderId="9" xfId="1" applyNumberFormat="1" applyFont="1" applyBorder="1" applyAlignment="1">
      <alignment horizontal="right" wrapText="1"/>
    </xf>
    <xf numFmtId="164" fontId="5" fillId="0" borderId="8" xfId="1" applyNumberFormat="1" applyFont="1" applyBorder="1" applyAlignment="1">
      <alignment horizontal="right" wrapText="1"/>
    </xf>
    <xf numFmtId="164" fontId="5" fillId="0" borderId="9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0" fontId="15" fillId="0" borderId="4" xfId="1" applyFont="1" applyBorder="1" applyAlignment="1">
      <alignment horizontal="right"/>
    </xf>
    <xf numFmtId="0" fontId="15" fillId="0" borderId="3" xfId="1" applyFont="1" applyBorder="1" applyAlignment="1">
      <alignment horizontal="right"/>
    </xf>
    <xf numFmtId="0" fontId="15" fillId="0" borderId="2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15" fillId="2" borderId="43" xfId="1" applyFont="1" applyFill="1" applyBorder="1" applyAlignment="1">
      <alignment horizontal="left"/>
    </xf>
    <xf numFmtId="0" fontId="15" fillId="2" borderId="38" xfId="1" applyFont="1" applyFill="1" applyBorder="1" applyAlignment="1">
      <alignment horizontal="left"/>
    </xf>
    <xf numFmtId="0" fontId="15" fillId="2" borderId="39" xfId="1" applyFont="1" applyFill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6" fillId="0" borderId="7" xfId="1" applyFont="1" applyBorder="1" applyAlignment="1">
      <alignment horizontal="left" wrapText="1"/>
    </xf>
    <xf numFmtId="0" fontId="6" fillId="0" borderId="6" xfId="1" applyFont="1" applyBorder="1" applyAlignment="1">
      <alignment horizontal="left" wrapText="1"/>
    </xf>
    <xf numFmtId="0" fontId="6" fillId="0" borderId="5" xfId="1" applyFont="1" applyBorder="1" applyAlignment="1">
      <alignment horizontal="left" wrapText="1"/>
    </xf>
    <xf numFmtId="0" fontId="5" fillId="0" borderId="25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9" fillId="5" borderId="15" xfId="2" applyFont="1" applyFill="1" applyBorder="1" applyAlignment="1">
      <alignment horizontal="center" vertical="center" wrapText="1"/>
    </xf>
    <xf numFmtId="0" fontId="36" fillId="0" borderId="25" xfId="0" applyFont="1" applyBorder="1" applyAlignment="1">
      <alignment horizontal="left"/>
    </xf>
    <xf numFmtId="0" fontId="36" fillId="0" borderId="24" xfId="0" applyFont="1" applyBorder="1" applyAlignment="1">
      <alignment horizontal="left"/>
    </xf>
    <xf numFmtId="0" fontId="36" fillId="0" borderId="22" xfId="0" applyFont="1" applyBorder="1" applyAlignment="1">
      <alignment horizontal="left"/>
    </xf>
    <xf numFmtId="0" fontId="5" fillId="0" borderId="47" xfId="1" applyFont="1" applyBorder="1" applyAlignment="1">
      <alignment horizontal="left" vertical="center" wrapText="1"/>
    </xf>
    <xf numFmtId="0" fontId="5" fillId="0" borderId="27" xfId="1" applyFont="1" applyBorder="1" applyAlignment="1">
      <alignment horizontal="left" vertical="center" wrapText="1"/>
    </xf>
    <xf numFmtId="0" fontId="5" fillId="0" borderId="48" xfId="1" applyFont="1" applyBorder="1" applyAlignment="1">
      <alignment horizontal="left" vertical="center" wrapText="1"/>
    </xf>
    <xf numFmtId="0" fontId="108" fillId="5" borderId="15" xfId="2" applyFont="1" applyFill="1" applyBorder="1" applyAlignment="1">
      <alignment horizontal="center" vertical="center" wrapText="1"/>
    </xf>
    <xf numFmtId="0" fontId="103" fillId="0" borderId="40" xfId="1" applyFont="1" applyBorder="1" applyAlignment="1">
      <alignment horizontal="right"/>
    </xf>
    <xf numFmtId="0" fontId="103" fillId="0" borderId="41" xfId="1" applyFont="1" applyBorder="1" applyAlignment="1">
      <alignment horizontal="right"/>
    </xf>
    <xf numFmtId="0" fontId="103" fillId="0" borderId="12" xfId="1" applyFont="1" applyBorder="1" applyAlignment="1">
      <alignment horizontal="right"/>
    </xf>
    <xf numFmtId="164" fontId="105" fillId="0" borderId="11" xfId="1" applyNumberFormat="1" applyFont="1" applyBorder="1" applyAlignment="1">
      <alignment horizontal="right"/>
    </xf>
    <xf numFmtId="0" fontId="105" fillId="3" borderId="28" xfId="1" applyFont="1" applyFill="1" applyBorder="1" applyAlignment="1">
      <alignment horizontal="center"/>
    </xf>
    <xf numFmtId="0" fontId="105" fillId="3" borderId="44" xfId="1" applyFont="1" applyFill="1" applyBorder="1" applyAlignment="1">
      <alignment horizontal="center"/>
    </xf>
    <xf numFmtId="0" fontId="103" fillId="0" borderId="7" xfId="1" applyFont="1" applyBorder="1" applyAlignment="1">
      <alignment horizontal="right"/>
    </xf>
    <xf numFmtId="0" fontId="103" fillId="0" borderId="6" xfId="1" applyFont="1" applyBorder="1" applyAlignment="1">
      <alignment horizontal="right"/>
    </xf>
    <xf numFmtId="0" fontId="103" fillId="0" borderId="8" xfId="1" applyFont="1" applyBorder="1" applyAlignment="1">
      <alignment horizontal="right"/>
    </xf>
    <xf numFmtId="0" fontId="105" fillId="0" borderId="15" xfId="1" applyFont="1" applyBorder="1" applyAlignment="1">
      <alignment horizontal="right"/>
    </xf>
    <xf numFmtId="164" fontId="105" fillId="0" borderId="9" xfId="1" applyNumberFormat="1" applyFont="1" applyBorder="1" applyAlignment="1">
      <alignment horizontal="center"/>
    </xf>
    <xf numFmtId="164" fontId="105" fillId="0" borderId="5" xfId="1" applyNumberFormat="1" applyFont="1" applyBorder="1" applyAlignment="1">
      <alignment horizontal="center"/>
    </xf>
    <xf numFmtId="164" fontId="105" fillId="0" borderId="9" xfId="1" applyNumberFormat="1" applyFont="1" applyBorder="1" applyAlignment="1">
      <alignment horizontal="right" wrapText="1"/>
    </xf>
    <xf numFmtId="164" fontId="105" fillId="0" borderId="8" xfId="1" applyNumberFormat="1" applyFont="1" applyBorder="1" applyAlignment="1">
      <alignment horizontal="right" wrapText="1"/>
    </xf>
    <xf numFmtId="0" fontId="105" fillId="0" borderId="7" xfId="0" applyFont="1" applyBorder="1" applyAlignment="1">
      <alignment horizontal="left" vertical="center" wrapText="1"/>
    </xf>
    <xf numFmtId="0" fontId="105" fillId="0" borderId="6" xfId="0" applyFont="1" applyBorder="1" applyAlignment="1">
      <alignment horizontal="left" vertical="center" wrapText="1"/>
    </xf>
    <xf numFmtId="0" fontId="105" fillId="0" borderId="5" xfId="0" applyFont="1" applyBorder="1" applyAlignment="1">
      <alignment horizontal="left" vertical="center" wrapText="1"/>
    </xf>
    <xf numFmtId="0" fontId="105" fillId="0" borderId="15" xfId="0" applyFont="1" applyBorder="1" applyAlignment="1">
      <alignment horizontal="left" vertical="center" wrapText="1"/>
    </xf>
    <xf numFmtId="0" fontId="105" fillId="0" borderId="40" xfId="0" applyFont="1" applyBorder="1" applyAlignment="1">
      <alignment horizontal="left" vertical="center"/>
    </xf>
    <xf numFmtId="0" fontId="105" fillId="0" borderId="41" xfId="0" applyFont="1" applyBorder="1" applyAlignment="1">
      <alignment horizontal="left" vertical="center"/>
    </xf>
    <xf numFmtId="0" fontId="105" fillId="0" borderId="44" xfId="0" applyFont="1" applyBorder="1" applyAlignment="1">
      <alignment horizontal="left" vertical="center"/>
    </xf>
    <xf numFmtId="0" fontId="103" fillId="0" borderId="4" xfId="1" applyFont="1" applyBorder="1" applyAlignment="1">
      <alignment horizontal="right"/>
    </xf>
    <xf numFmtId="0" fontId="103" fillId="0" borderId="3" xfId="1" applyFont="1" applyBorder="1" applyAlignment="1">
      <alignment horizontal="right"/>
    </xf>
    <xf numFmtId="0" fontId="103" fillId="0" borderId="2" xfId="1" applyFont="1" applyBorder="1" applyAlignment="1">
      <alignment horizontal="right"/>
    </xf>
    <xf numFmtId="0" fontId="105" fillId="0" borderId="2" xfId="1" applyFont="1" applyBorder="1" applyAlignment="1">
      <alignment horizontal="right"/>
    </xf>
    <xf numFmtId="164" fontId="105" fillId="0" borderId="23" xfId="1" applyNumberFormat="1" applyFont="1" applyBorder="1" applyAlignment="1">
      <alignment horizontal="center"/>
    </xf>
    <xf numFmtId="164" fontId="105" fillId="0" borderId="22" xfId="1" applyNumberFormat="1" applyFont="1" applyBorder="1" applyAlignment="1">
      <alignment horizontal="center"/>
    </xf>
    <xf numFmtId="0" fontId="103" fillId="2" borderId="43" xfId="1" applyFont="1" applyFill="1" applyBorder="1" applyAlignment="1">
      <alignment horizontal="center"/>
    </xf>
    <xf numFmtId="0" fontId="103" fillId="2" borderId="38" xfId="1" applyFont="1" applyFill="1" applyBorder="1" applyAlignment="1">
      <alignment horizontal="center"/>
    </xf>
    <xf numFmtId="0" fontId="103" fillId="2" borderId="39" xfId="1" applyFont="1" applyFill="1" applyBorder="1" applyAlignment="1">
      <alignment horizontal="center"/>
    </xf>
    <xf numFmtId="0" fontId="105" fillId="0" borderId="47" xfId="0" applyFont="1" applyBorder="1" applyAlignment="1">
      <alignment horizontal="left" vertical="center" wrapText="1"/>
    </xf>
    <xf numFmtId="0" fontId="105" fillId="0" borderId="27" xfId="0" applyFont="1" applyBorder="1" applyAlignment="1">
      <alignment horizontal="left" vertical="center" wrapText="1"/>
    </xf>
    <xf numFmtId="0" fontId="105" fillId="0" borderId="48" xfId="0" applyFont="1" applyBorder="1" applyAlignment="1">
      <alignment horizontal="left" vertical="center" wrapText="1"/>
    </xf>
    <xf numFmtId="0" fontId="105" fillId="0" borderId="7" xfId="0" applyFont="1" applyBorder="1" applyAlignment="1">
      <alignment horizontal="left" vertical="center"/>
    </xf>
    <xf numFmtId="0" fontId="105" fillId="0" borderId="6" xfId="0" applyFont="1" applyBorder="1" applyAlignment="1">
      <alignment horizontal="left" vertical="center"/>
    </xf>
    <xf numFmtId="0" fontId="105" fillId="0" borderId="5" xfId="0" applyFont="1" applyBorder="1" applyAlignment="1">
      <alignment horizontal="left" vertical="center"/>
    </xf>
    <xf numFmtId="0" fontId="105" fillId="3" borderId="15" xfId="2" applyFont="1" applyFill="1" applyBorder="1" applyAlignment="1">
      <alignment horizontal="left"/>
    </xf>
    <xf numFmtId="0" fontId="105" fillId="0" borderId="62" xfId="1" applyFont="1" applyBorder="1" applyAlignment="1">
      <alignment horizontal="left"/>
    </xf>
    <xf numFmtId="0" fontId="105" fillId="0" borderId="63" xfId="1" applyFont="1" applyBorder="1" applyAlignment="1">
      <alignment horizontal="left"/>
    </xf>
    <xf numFmtId="0" fontId="105" fillId="0" borderId="64" xfId="1" applyFont="1" applyBorder="1" applyAlignment="1">
      <alignment horizontal="left"/>
    </xf>
    <xf numFmtId="0" fontId="103" fillId="6" borderId="15" xfId="2" applyFont="1" applyFill="1" applyBorder="1" applyAlignment="1">
      <alignment horizontal="center"/>
    </xf>
    <xf numFmtId="0" fontId="5" fillId="0" borderId="4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5" fillId="0" borderId="9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13" xfId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5" fillId="0" borderId="11" xfId="1" applyFont="1" applyBorder="1" applyAlignment="1">
      <alignment horizontal="left"/>
    </xf>
    <xf numFmtId="0" fontId="5" fillId="0" borderId="10" xfId="1" applyFont="1" applyBorder="1" applyAlignment="1">
      <alignment horizontal="left"/>
    </xf>
    <xf numFmtId="0" fontId="30" fillId="0" borderId="40" xfId="1" applyFont="1" applyBorder="1" applyAlignment="1">
      <alignment horizontal="left" wrapText="1"/>
    </xf>
    <xf numFmtId="0" fontId="30" fillId="0" borderId="41" xfId="1" applyFont="1" applyBorder="1" applyAlignment="1">
      <alignment horizontal="left" wrapText="1"/>
    </xf>
    <xf numFmtId="0" fontId="30" fillId="0" borderId="44" xfId="1" applyFont="1" applyBorder="1" applyAlignment="1">
      <alignment horizontal="left" wrapText="1"/>
    </xf>
    <xf numFmtId="0" fontId="5" fillId="0" borderId="13" xfId="1" applyFont="1" applyBorder="1" applyAlignment="1">
      <alignment horizontal="left" wrapText="1"/>
    </xf>
    <xf numFmtId="0" fontId="5" fillId="0" borderId="12" xfId="1" applyFont="1" applyBorder="1" applyAlignment="1">
      <alignment horizontal="left" wrapText="1"/>
    </xf>
    <xf numFmtId="0" fontId="5" fillId="0" borderId="11" xfId="1" applyFont="1" applyBorder="1" applyAlignment="1">
      <alignment horizontal="left" wrapText="1"/>
    </xf>
    <xf numFmtId="0" fontId="5" fillId="0" borderId="10" xfId="1" applyFont="1" applyBorder="1" applyAlignment="1">
      <alignment horizontal="left" wrapText="1"/>
    </xf>
    <xf numFmtId="164" fontId="5" fillId="0" borderId="9" xfId="0" applyNumberFormat="1" applyFont="1" applyBorder="1" applyAlignment="1">
      <alignment horizontal="center" wrapText="1"/>
    </xf>
    <xf numFmtId="164" fontId="5" fillId="0" borderId="5" xfId="0" applyNumberFormat="1" applyFont="1" applyBorder="1" applyAlignment="1">
      <alignment horizontal="center" wrapText="1"/>
    </xf>
    <xf numFmtId="0" fontId="15" fillId="2" borderId="4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/>
    </xf>
    <xf numFmtId="0" fontId="16" fillId="5" borderId="9" xfId="2" applyFont="1" applyFill="1" applyBorder="1" applyAlignment="1">
      <alignment horizontal="center" vertical="center" wrapText="1"/>
    </xf>
    <xf numFmtId="0" fontId="16" fillId="5" borderId="6" xfId="2" applyFont="1" applyFill="1" applyBorder="1" applyAlignment="1">
      <alignment horizontal="center" vertical="center" wrapText="1"/>
    </xf>
    <xf numFmtId="0" fontId="16" fillId="5" borderId="8" xfId="2" applyFont="1" applyFill="1" applyBorder="1" applyAlignment="1">
      <alignment horizontal="center" vertical="center" wrapText="1"/>
    </xf>
    <xf numFmtId="0" fontId="71" fillId="0" borderId="40" xfId="1" applyFont="1" applyBorder="1" applyAlignment="1">
      <alignment horizontal="left"/>
    </xf>
    <xf numFmtId="0" fontId="71" fillId="0" borderId="41" xfId="1" applyFont="1" applyBorder="1" applyAlignment="1">
      <alignment horizontal="left"/>
    </xf>
    <xf numFmtId="0" fontId="71" fillId="0" borderId="44" xfId="1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8" fillId="6" borderId="45" xfId="2" applyFont="1" applyFill="1" applyBorder="1" applyAlignment="1">
      <alignment horizontal="center"/>
    </xf>
    <xf numFmtId="0" fontId="8" fillId="6" borderId="36" xfId="2" applyFont="1" applyFill="1" applyBorder="1" applyAlignment="1">
      <alignment horizontal="center"/>
    </xf>
    <xf numFmtId="0" fontId="6" fillId="0" borderId="40" xfId="0" applyFont="1" applyBorder="1" applyAlignment="1">
      <alignment horizontal="left"/>
    </xf>
    <xf numFmtId="0" fontId="6" fillId="0" borderId="41" xfId="0" applyFont="1" applyBorder="1" applyAlignment="1">
      <alignment horizontal="left"/>
    </xf>
    <xf numFmtId="0" fontId="6" fillId="0" borderId="44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6" fillId="0" borderId="60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57" xfId="0" applyFont="1" applyBorder="1" applyAlignment="1">
      <alignment horizontal="left"/>
    </xf>
    <xf numFmtId="0" fontId="7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7" fillId="0" borderId="25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164" fontId="7" fillId="0" borderId="9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wrapText="1"/>
    </xf>
    <xf numFmtId="0" fontId="8" fillId="5" borderId="43" xfId="2" applyFont="1" applyFill="1" applyBorder="1" applyAlignment="1">
      <alignment horizontal="center" vertical="center" wrapText="1"/>
    </xf>
    <xf numFmtId="0" fontId="8" fillId="5" borderId="38" xfId="2" applyFont="1" applyFill="1" applyBorder="1" applyAlignment="1">
      <alignment horizontal="center" vertical="center" wrapText="1"/>
    </xf>
    <xf numFmtId="0" fontId="8" fillId="5" borderId="39" xfId="2" applyFont="1" applyFill="1" applyBorder="1" applyAlignment="1">
      <alignment horizontal="center" vertical="center" wrapText="1"/>
    </xf>
    <xf numFmtId="0" fontId="76" fillId="3" borderId="9" xfId="2" applyFont="1" applyFill="1" applyBorder="1" applyAlignment="1">
      <alignment horizontal="left"/>
    </xf>
    <xf numFmtId="0" fontId="76" fillId="3" borderId="6" xfId="2" applyFont="1" applyFill="1" applyBorder="1" applyAlignment="1">
      <alignment horizontal="left"/>
    </xf>
    <xf numFmtId="0" fontId="76" fillId="3" borderId="8" xfId="2" applyFont="1" applyFill="1" applyBorder="1" applyAlignment="1">
      <alignment horizontal="left"/>
    </xf>
    <xf numFmtId="0" fontId="76" fillId="0" borderId="15" xfId="1" applyFont="1" applyBorder="1" applyAlignment="1">
      <alignment horizontal="left"/>
    </xf>
    <xf numFmtId="0" fontId="76" fillId="0" borderId="9" xfId="0" applyFont="1" applyBorder="1" applyAlignment="1">
      <alignment horizontal="left" wrapText="1"/>
    </xf>
    <xf numFmtId="0" fontId="76" fillId="0" borderId="6" xfId="0" applyFont="1" applyBorder="1" applyAlignment="1">
      <alignment horizontal="left" wrapText="1"/>
    </xf>
    <xf numFmtId="0" fontId="76" fillId="0" borderId="8" xfId="0" applyFont="1" applyBorder="1" applyAlignment="1">
      <alignment horizontal="left" wrapText="1"/>
    </xf>
    <xf numFmtId="0" fontId="77" fillId="6" borderId="45" xfId="2" applyFont="1" applyFill="1" applyBorder="1" applyAlignment="1">
      <alignment horizontal="center"/>
    </xf>
    <xf numFmtId="0" fontId="77" fillId="6" borderId="36" xfId="2" applyFont="1" applyFill="1" applyBorder="1" applyAlignment="1">
      <alignment horizontal="center"/>
    </xf>
    <xf numFmtId="0" fontId="76" fillId="3" borderId="15" xfId="2" applyFont="1" applyFill="1" applyBorder="1" applyAlignment="1">
      <alignment horizontal="left"/>
    </xf>
    <xf numFmtId="0" fontId="77" fillId="0" borderId="4" xfId="1" applyFont="1" applyBorder="1" applyAlignment="1">
      <alignment horizontal="right"/>
    </xf>
    <xf numFmtId="0" fontId="77" fillId="0" borderId="3" xfId="1" applyFont="1" applyBorder="1" applyAlignment="1">
      <alignment horizontal="right"/>
    </xf>
    <xf numFmtId="0" fontId="77" fillId="0" borderId="2" xfId="1" applyFont="1" applyBorder="1" applyAlignment="1">
      <alignment horizontal="right"/>
    </xf>
    <xf numFmtId="0" fontId="76" fillId="0" borderId="2" xfId="1" applyFont="1" applyBorder="1" applyAlignment="1">
      <alignment horizontal="right"/>
    </xf>
    <xf numFmtId="164" fontId="76" fillId="0" borderId="9" xfId="1" applyNumberFormat="1" applyFont="1" applyBorder="1" applyAlignment="1">
      <alignment horizontal="center"/>
    </xf>
    <xf numFmtId="164" fontId="76" fillId="0" borderId="5" xfId="1" applyNumberFormat="1" applyFont="1" applyBorder="1" applyAlignment="1">
      <alignment horizontal="center"/>
    </xf>
    <xf numFmtId="0" fontId="77" fillId="2" borderId="43" xfId="1" applyFont="1" applyFill="1" applyBorder="1" applyAlignment="1">
      <alignment horizontal="left"/>
    </xf>
    <xf numFmtId="0" fontId="77" fillId="2" borderId="38" xfId="1" applyFont="1" applyFill="1" applyBorder="1" applyAlignment="1">
      <alignment horizontal="left"/>
    </xf>
    <xf numFmtId="0" fontId="77" fillId="2" borderId="39" xfId="1" applyFont="1" applyFill="1" applyBorder="1" applyAlignment="1">
      <alignment horizontal="left"/>
    </xf>
    <xf numFmtId="0" fontId="82" fillId="0" borderId="40" xfId="0" applyFont="1" applyBorder="1" applyAlignment="1">
      <alignment horizontal="left"/>
    </xf>
    <xf numFmtId="0" fontId="82" fillId="0" borderId="41" xfId="0" applyFont="1" applyBorder="1" applyAlignment="1">
      <alignment horizontal="left"/>
    </xf>
    <xf numFmtId="0" fontId="82" fillId="0" borderId="44" xfId="0" applyFont="1" applyBorder="1" applyAlignment="1">
      <alignment horizontal="left"/>
    </xf>
    <xf numFmtId="0" fontId="82" fillId="0" borderId="7" xfId="0" applyFont="1" applyBorder="1" applyAlignment="1">
      <alignment horizontal="left"/>
    </xf>
    <xf numFmtId="0" fontId="82" fillId="0" borderId="6" xfId="0" applyFont="1" applyBorder="1" applyAlignment="1">
      <alignment horizontal="left"/>
    </xf>
    <xf numFmtId="0" fontId="82" fillId="0" borderId="5" xfId="0" applyFont="1" applyBorder="1" applyAlignment="1">
      <alignment horizontal="left"/>
    </xf>
    <xf numFmtId="0" fontId="77" fillId="0" borderId="7" xfId="1" applyFont="1" applyBorder="1" applyAlignment="1">
      <alignment horizontal="right"/>
    </xf>
    <xf numFmtId="0" fontId="77" fillId="0" borderId="6" xfId="1" applyFont="1" applyBorder="1" applyAlignment="1">
      <alignment horizontal="right"/>
    </xf>
    <xf numFmtId="0" fontId="77" fillId="0" borderId="8" xfId="1" applyFont="1" applyBorder="1" applyAlignment="1">
      <alignment horizontal="right"/>
    </xf>
    <xf numFmtId="0" fontId="76" fillId="0" borderId="15" xfId="1" applyFont="1" applyBorder="1" applyAlignment="1">
      <alignment horizontal="right"/>
    </xf>
    <xf numFmtId="164" fontId="76" fillId="0" borderId="9" xfId="1" applyNumberFormat="1" applyFont="1" applyBorder="1" applyAlignment="1">
      <alignment horizontal="right" wrapText="1"/>
    </xf>
    <xf numFmtId="164" fontId="76" fillId="0" borderId="8" xfId="1" applyNumberFormat="1" applyFont="1" applyBorder="1" applyAlignment="1">
      <alignment horizontal="right" wrapText="1"/>
    </xf>
    <xf numFmtId="164" fontId="76" fillId="0" borderId="9" xfId="0" applyNumberFormat="1" applyFont="1" applyBorder="1" applyAlignment="1">
      <alignment horizontal="center" wrapText="1"/>
    </xf>
    <xf numFmtId="164" fontId="76" fillId="0" borderId="5" xfId="0" applyNumberFormat="1" applyFont="1" applyBorder="1" applyAlignment="1">
      <alignment horizontal="center" wrapText="1"/>
    </xf>
    <xf numFmtId="0" fontId="77" fillId="0" borderId="40" xfId="1" applyFont="1" applyBorder="1" applyAlignment="1">
      <alignment horizontal="right"/>
    </xf>
    <xf numFmtId="0" fontId="77" fillId="0" borderId="41" xfId="1" applyFont="1" applyBorder="1" applyAlignment="1">
      <alignment horizontal="right"/>
    </xf>
    <xf numFmtId="0" fontId="77" fillId="0" borderId="12" xfId="1" applyFont="1" applyBorder="1" applyAlignment="1">
      <alignment horizontal="right"/>
    </xf>
    <xf numFmtId="164" fontId="76" fillId="0" borderId="11" xfId="1" applyNumberFormat="1" applyFont="1" applyBorder="1" applyAlignment="1">
      <alignment horizontal="right"/>
    </xf>
    <xf numFmtId="0" fontId="76" fillId="3" borderId="28" xfId="1" applyFont="1" applyFill="1" applyBorder="1" applyAlignment="1">
      <alignment horizontal="center"/>
    </xf>
    <xf numFmtId="0" fontId="76" fillId="3" borderId="44" xfId="1" applyFont="1" applyFill="1" applyBorder="1" applyAlignment="1">
      <alignment horizontal="center"/>
    </xf>
    <xf numFmtId="0" fontId="79" fillId="3" borderId="31" xfId="2" applyFont="1" applyFill="1" applyBorder="1" applyAlignment="1">
      <alignment horizontal="center"/>
    </xf>
    <xf numFmtId="0" fontId="77" fillId="2" borderId="42" xfId="1" applyFont="1" applyFill="1" applyBorder="1" applyAlignment="1">
      <alignment horizontal="center" vertical="center"/>
    </xf>
    <xf numFmtId="0" fontId="77" fillId="2" borderId="4" xfId="1" applyFont="1" applyFill="1" applyBorder="1" applyAlignment="1">
      <alignment horizontal="center" vertical="center"/>
    </xf>
    <xf numFmtId="0" fontId="77" fillId="2" borderId="42" xfId="1" applyFont="1" applyFill="1" applyBorder="1" applyAlignment="1">
      <alignment horizontal="center" vertical="center" wrapText="1"/>
    </xf>
    <xf numFmtId="0" fontId="77" fillId="2" borderId="4" xfId="1" applyFont="1" applyFill="1" applyBorder="1" applyAlignment="1">
      <alignment horizontal="center" vertical="center" wrapText="1"/>
    </xf>
    <xf numFmtId="0" fontId="77" fillId="2" borderId="18" xfId="1" applyFont="1" applyFill="1" applyBorder="1" applyAlignment="1">
      <alignment horizontal="center" vertical="center"/>
    </xf>
    <xf numFmtId="0" fontId="77" fillId="2" borderId="2" xfId="1" applyFont="1" applyFill="1" applyBorder="1" applyAlignment="1">
      <alignment horizontal="center" vertical="center"/>
    </xf>
    <xf numFmtId="14" fontId="76" fillId="3" borderId="34" xfId="2" applyNumberFormat="1" applyFont="1" applyFill="1" applyBorder="1" applyAlignment="1">
      <alignment horizontal="center" vertical="center" wrapText="1"/>
    </xf>
    <xf numFmtId="14" fontId="76" fillId="3" borderId="32" xfId="2" applyNumberFormat="1" applyFont="1" applyFill="1" applyBorder="1" applyAlignment="1">
      <alignment horizontal="center" vertical="center" wrapText="1"/>
    </xf>
    <xf numFmtId="14" fontId="76" fillId="3" borderId="10" xfId="2" applyNumberFormat="1" applyFont="1" applyFill="1" applyBorder="1" applyAlignment="1">
      <alignment horizontal="center" vertical="center" wrapText="1"/>
    </xf>
    <xf numFmtId="0" fontId="76" fillId="3" borderId="26" xfId="2" applyFont="1" applyFill="1" applyBorder="1" applyAlignment="1">
      <alignment horizontal="left"/>
    </xf>
    <xf numFmtId="0" fontId="76" fillId="3" borderId="27" xfId="2" applyFont="1" applyFill="1" applyBorder="1" applyAlignment="1">
      <alignment horizontal="left"/>
    </xf>
    <xf numFmtId="0" fontId="76" fillId="3" borderId="19" xfId="2" applyFont="1" applyFill="1" applyBorder="1" applyAlignment="1">
      <alignment horizontal="left"/>
    </xf>
    <xf numFmtId="0" fontId="76" fillId="3" borderId="37" xfId="2" applyFont="1" applyFill="1" applyBorder="1" applyAlignment="1">
      <alignment horizontal="center"/>
    </xf>
    <xf numFmtId="0" fontId="76" fillId="3" borderId="36" xfId="2" applyFont="1" applyFill="1" applyBorder="1" applyAlignment="1">
      <alignment horizontal="center"/>
    </xf>
    <xf numFmtId="0" fontId="76" fillId="3" borderId="21" xfId="2" applyFont="1" applyFill="1" applyBorder="1" applyAlignment="1">
      <alignment horizontal="center"/>
    </xf>
    <xf numFmtId="0" fontId="76" fillId="3" borderId="0" xfId="2" applyFont="1" applyFill="1" applyAlignment="1">
      <alignment horizontal="center"/>
    </xf>
    <xf numFmtId="0" fontId="76" fillId="3" borderId="40" xfId="2" applyFont="1" applyFill="1" applyBorder="1" applyAlignment="1">
      <alignment horizontal="center"/>
    </xf>
    <xf numFmtId="0" fontId="76" fillId="3" borderId="41" xfId="2" applyFont="1" applyFill="1" applyBorder="1" applyAlignment="1">
      <alignment horizontal="center"/>
    </xf>
    <xf numFmtId="0" fontId="77" fillId="3" borderId="18" xfId="2" applyFont="1" applyFill="1" applyBorder="1" applyAlignment="1">
      <alignment horizontal="center"/>
    </xf>
    <xf numFmtId="0" fontId="77" fillId="3" borderId="23" xfId="2" applyFont="1" applyFill="1" applyBorder="1" applyAlignment="1">
      <alignment horizontal="center"/>
    </xf>
    <xf numFmtId="0" fontId="77" fillId="3" borderId="24" xfId="2" applyFont="1" applyFill="1" applyBorder="1" applyAlignment="1">
      <alignment horizontal="center"/>
    </xf>
    <xf numFmtId="0" fontId="77" fillId="3" borderId="3" xfId="2" applyFont="1" applyFill="1" applyBorder="1" applyAlignment="1">
      <alignment horizontal="center"/>
    </xf>
    <xf numFmtId="0" fontId="78" fillId="5" borderId="15" xfId="2" applyFont="1" applyFill="1" applyBorder="1" applyAlignment="1">
      <alignment horizontal="center" vertical="center" wrapText="1"/>
    </xf>
    <xf numFmtId="0" fontId="77" fillId="3" borderId="35" xfId="2" applyFont="1" applyFill="1" applyBorder="1" applyAlignment="1">
      <alignment horizontal="right" vertical="top" wrapText="1"/>
    </xf>
    <xf numFmtId="0" fontId="77" fillId="3" borderId="33" xfId="2" applyFont="1" applyFill="1" applyBorder="1" applyAlignment="1">
      <alignment horizontal="right" vertical="top" wrapText="1"/>
    </xf>
    <xf numFmtId="0" fontId="77" fillId="3" borderId="30" xfId="2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77" fillId="5" borderId="38" xfId="2" applyFont="1" applyFill="1" applyBorder="1" applyAlignment="1">
      <alignment horizontal="center" vertical="center" wrapText="1"/>
    </xf>
    <xf numFmtId="0" fontId="77" fillId="5" borderId="39" xfId="2" applyFont="1" applyFill="1" applyBorder="1" applyAlignment="1">
      <alignment horizontal="center" vertical="center" wrapText="1"/>
    </xf>
    <xf numFmtId="0" fontId="89" fillId="6" borderId="45" xfId="2" applyFont="1" applyFill="1" applyBorder="1" applyAlignment="1">
      <alignment horizontal="center"/>
    </xf>
    <xf numFmtId="0" fontId="89" fillId="6" borderId="36" xfId="2" applyFont="1" applyFill="1" applyBorder="1" applyAlignment="1">
      <alignment horizontal="center"/>
    </xf>
    <xf numFmtId="0" fontId="88" fillId="3" borderId="9" xfId="2" applyFont="1" applyFill="1" applyBorder="1" applyAlignment="1">
      <alignment horizontal="left"/>
    </xf>
    <xf numFmtId="0" fontId="88" fillId="3" borderId="6" xfId="2" applyFont="1" applyFill="1" applyBorder="1" applyAlignment="1">
      <alignment horizontal="left"/>
    </xf>
    <xf numFmtId="0" fontId="88" fillId="3" borderId="8" xfId="2" applyFont="1" applyFill="1" applyBorder="1" applyAlignment="1">
      <alignment horizontal="left"/>
    </xf>
    <xf numFmtId="0" fontId="88" fillId="3" borderId="46" xfId="2" applyFont="1" applyFill="1" applyBorder="1" applyAlignment="1">
      <alignment horizontal="left"/>
    </xf>
    <xf numFmtId="0" fontId="88" fillId="3" borderId="0" xfId="2" applyFont="1" applyFill="1" applyAlignment="1">
      <alignment horizontal="left"/>
    </xf>
    <xf numFmtId="0" fontId="94" fillId="0" borderId="15" xfId="0" applyFont="1" applyBorder="1" applyAlignment="1">
      <alignment horizontal="left" wrapText="1"/>
    </xf>
    <xf numFmtId="0" fontId="94" fillId="0" borderId="15" xfId="0" applyFont="1" applyBorder="1" applyAlignment="1">
      <alignment horizontal="left"/>
    </xf>
    <xf numFmtId="0" fontId="89" fillId="0" borderId="40" xfId="1" applyFont="1" applyBorder="1" applyAlignment="1">
      <alignment horizontal="left" wrapText="1"/>
    </xf>
    <xf numFmtId="0" fontId="89" fillId="0" borderId="41" xfId="1" applyFont="1" applyBorder="1" applyAlignment="1">
      <alignment horizontal="left" wrapText="1"/>
    </xf>
    <xf numFmtId="0" fontId="89" fillId="0" borderId="44" xfId="1" applyFont="1" applyBorder="1" applyAlignment="1">
      <alignment horizontal="left" wrapText="1"/>
    </xf>
    <xf numFmtId="0" fontId="92" fillId="0" borderId="7" xfId="0" applyFont="1" applyBorder="1" applyAlignment="1">
      <alignment horizontal="left"/>
    </xf>
    <xf numFmtId="0" fontId="92" fillId="0" borderId="6" xfId="0" applyFont="1" applyBorder="1" applyAlignment="1">
      <alignment horizontal="left"/>
    </xf>
    <xf numFmtId="0" fontId="92" fillId="0" borderId="5" xfId="0" applyFont="1" applyBorder="1" applyAlignment="1">
      <alignment horizontal="left"/>
    </xf>
    <xf numFmtId="0" fontId="89" fillId="0" borderId="7" xfId="1" applyFont="1" applyBorder="1" applyAlignment="1">
      <alignment horizontal="right"/>
    </xf>
    <xf numFmtId="0" fontId="89" fillId="0" borderId="6" xfId="1" applyFont="1" applyBorder="1" applyAlignment="1">
      <alignment horizontal="right"/>
    </xf>
    <xf numFmtId="0" fontId="89" fillId="0" borderId="8" xfId="1" applyFont="1" applyBorder="1" applyAlignment="1">
      <alignment horizontal="right"/>
    </xf>
    <xf numFmtId="0" fontId="88" fillId="0" borderId="15" xfId="1" applyFont="1" applyBorder="1" applyAlignment="1">
      <alignment horizontal="right"/>
    </xf>
    <xf numFmtId="164" fontId="88" fillId="0" borderId="9" xfId="1" applyNumberFormat="1" applyFont="1" applyBorder="1" applyAlignment="1">
      <alignment horizontal="center"/>
    </xf>
    <xf numFmtId="164" fontId="88" fillId="0" borderId="5" xfId="1" applyNumberFormat="1" applyFont="1" applyBorder="1" applyAlignment="1">
      <alignment horizontal="center"/>
    </xf>
    <xf numFmtId="164" fontId="88" fillId="0" borderId="9" xfId="1" applyNumberFormat="1" applyFont="1" applyBorder="1" applyAlignment="1">
      <alignment horizontal="right" wrapText="1"/>
    </xf>
    <xf numFmtId="164" fontId="88" fillId="0" borderId="8" xfId="1" applyNumberFormat="1" applyFont="1" applyBorder="1" applyAlignment="1">
      <alignment horizontal="right" wrapText="1"/>
    </xf>
    <xf numFmtId="164" fontId="88" fillId="0" borderId="9" xfId="0" applyNumberFormat="1" applyFont="1" applyBorder="1" applyAlignment="1">
      <alignment horizontal="center" wrapText="1"/>
    </xf>
    <xf numFmtId="164" fontId="88" fillId="0" borderId="5" xfId="0" applyNumberFormat="1" applyFont="1" applyBorder="1" applyAlignment="1">
      <alignment horizontal="center" wrapText="1"/>
    </xf>
    <xf numFmtId="0" fontId="89" fillId="0" borderId="4" xfId="1" applyFont="1" applyBorder="1" applyAlignment="1">
      <alignment horizontal="right"/>
    </xf>
    <xf numFmtId="0" fontId="89" fillId="0" borderId="3" xfId="1" applyFont="1" applyBorder="1" applyAlignment="1">
      <alignment horizontal="right"/>
    </xf>
    <xf numFmtId="0" fontId="89" fillId="0" borderId="2" xfId="1" applyFont="1" applyBorder="1" applyAlignment="1">
      <alignment horizontal="right"/>
    </xf>
    <xf numFmtId="0" fontId="88" fillId="0" borderId="2" xfId="1" applyFont="1" applyBorder="1" applyAlignment="1">
      <alignment horizontal="right"/>
    </xf>
    <xf numFmtId="0" fontId="89" fillId="2" borderId="43" xfId="1" applyFont="1" applyFill="1" applyBorder="1" applyAlignment="1">
      <alignment horizontal="left"/>
    </xf>
    <xf numFmtId="0" fontId="89" fillId="2" borderId="38" xfId="1" applyFont="1" applyFill="1" applyBorder="1" applyAlignment="1">
      <alignment horizontal="left"/>
    </xf>
    <xf numFmtId="0" fontId="89" fillId="2" borderId="39" xfId="1" applyFont="1" applyFill="1" applyBorder="1" applyAlignment="1">
      <alignment horizontal="left"/>
    </xf>
    <xf numFmtId="0" fontId="89" fillId="0" borderId="40" xfId="1" applyFont="1" applyBorder="1" applyAlignment="1">
      <alignment horizontal="right"/>
    </xf>
    <xf numFmtId="0" fontId="89" fillId="0" borderId="41" xfId="1" applyFont="1" applyBorder="1" applyAlignment="1">
      <alignment horizontal="right"/>
    </xf>
    <xf numFmtId="0" fontId="89" fillId="0" borderId="12" xfId="1" applyFont="1" applyBorder="1" applyAlignment="1">
      <alignment horizontal="right"/>
    </xf>
    <xf numFmtId="164" fontId="88" fillId="0" borderId="11" xfId="1" applyNumberFormat="1" applyFont="1" applyBorder="1" applyAlignment="1">
      <alignment horizontal="right"/>
    </xf>
    <xf numFmtId="0" fontId="88" fillId="3" borderId="28" xfId="1" applyFont="1" applyFill="1" applyBorder="1" applyAlignment="1">
      <alignment horizontal="center"/>
    </xf>
    <xf numFmtId="0" fontId="88" fillId="3" borderId="44" xfId="1" applyFont="1" applyFill="1" applyBorder="1" applyAlignment="1">
      <alignment horizontal="center"/>
    </xf>
    <xf numFmtId="0" fontId="90" fillId="3" borderId="0" xfId="2" applyFont="1" applyFill="1" applyAlignment="1">
      <alignment horizontal="right"/>
    </xf>
    <xf numFmtId="0" fontId="91" fillId="3" borderId="31" xfId="2" applyFont="1" applyFill="1" applyBorder="1" applyAlignment="1">
      <alignment horizontal="center"/>
    </xf>
    <xf numFmtId="0" fontId="90" fillId="3" borderId="0" xfId="2" applyFont="1" applyFill="1"/>
    <xf numFmtId="0" fontId="89" fillId="2" borderId="42" xfId="1" applyFont="1" applyFill="1" applyBorder="1" applyAlignment="1">
      <alignment horizontal="center" vertical="center"/>
    </xf>
    <xf numFmtId="0" fontId="89" fillId="2" borderId="4" xfId="1" applyFont="1" applyFill="1" applyBorder="1" applyAlignment="1">
      <alignment horizontal="center" vertical="center"/>
    </xf>
    <xf numFmtId="0" fontId="89" fillId="2" borderId="42" xfId="1" applyFont="1" applyFill="1" applyBorder="1" applyAlignment="1">
      <alignment horizontal="center" vertical="center" wrapText="1"/>
    </xf>
    <xf numFmtId="0" fontId="89" fillId="2" borderId="4" xfId="1" applyFont="1" applyFill="1" applyBorder="1" applyAlignment="1">
      <alignment horizontal="center" vertical="center" wrapText="1"/>
    </xf>
    <xf numFmtId="0" fontId="89" fillId="2" borderId="18" xfId="1" applyFont="1" applyFill="1" applyBorder="1" applyAlignment="1">
      <alignment horizontal="center" vertical="center"/>
    </xf>
    <xf numFmtId="0" fontId="89" fillId="2" borderId="2" xfId="1" applyFont="1" applyFill="1" applyBorder="1" applyAlignment="1">
      <alignment horizontal="center" vertical="center"/>
    </xf>
    <xf numFmtId="14" fontId="88" fillId="3" borderId="34" xfId="2" applyNumberFormat="1" applyFont="1" applyFill="1" applyBorder="1" applyAlignment="1">
      <alignment horizontal="center" vertical="center" wrapText="1"/>
    </xf>
    <xf numFmtId="14" fontId="88" fillId="3" borderId="32" xfId="2" applyNumberFormat="1" applyFont="1" applyFill="1" applyBorder="1" applyAlignment="1">
      <alignment horizontal="center" vertical="center" wrapText="1"/>
    </xf>
    <xf numFmtId="14" fontId="88" fillId="3" borderId="10" xfId="2" applyNumberFormat="1" applyFont="1" applyFill="1" applyBorder="1" applyAlignment="1">
      <alignment horizontal="center" vertical="center" wrapText="1"/>
    </xf>
    <xf numFmtId="0" fontId="88" fillId="3" borderId="26" xfId="2" applyFont="1" applyFill="1" applyBorder="1" applyAlignment="1">
      <alignment horizontal="left"/>
    </xf>
    <xf numFmtId="0" fontId="88" fillId="3" borderId="27" xfId="2" applyFont="1" applyFill="1" applyBorder="1" applyAlignment="1">
      <alignment horizontal="left"/>
    </xf>
    <xf numFmtId="0" fontId="88" fillId="3" borderId="19" xfId="2" applyFont="1" applyFill="1" applyBorder="1" applyAlignment="1">
      <alignment horizontal="left"/>
    </xf>
    <xf numFmtId="0" fontId="88" fillId="3" borderId="37" xfId="2" applyFont="1" applyFill="1" applyBorder="1" applyAlignment="1">
      <alignment horizontal="center"/>
    </xf>
    <xf numFmtId="0" fontId="88" fillId="3" borderId="36" xfId="2" applyFont="1" applyFill="1" applyBorder="1" applyAlignment="1">
      <alignment horizontal="center"/>
    </xf>
    <xf numFmtId="0" fontId="88" fillId="3" borderId="21" xfId="2" applyFont="1" applyFill="1" applyBorder="1" applyAlignment="1">
      <alignment horizontal="center"/>
    </xf>
    <xf numFmtId="0" fontId="88" fillId="3" borderId="0" xfId="2" applyFont="1" applyFill="1" applyAlignment="1">
      <alignment horizontal="center"/>
    </xf>
    <xf numFmtId="0" fontId="88" fillId="3" borderId="40" xfId="2" applyFont="1" applyFill="1" applyBorder="1" applyAlignment="1">
      <alignment horizontal="center"/>
    </xf>
    <xf numFmtId="0" fontId="88" fillId="3" borderId="41" xfId="2" applyFont="1" applyFill="1" applyBorder="1" applyAlignment="1">
      <alignment horizontal="center"/>
    </xf>
    <xf numFmtId="0" fontId="89" fillId="3" borderId="18" xfId="2" applyFont="1" applyFill="1" applyBorder="1" applyAlignment="1">
      <alignment horizontal="center"/>
    </xf>
    <xf numFmtId="0" fontId="89" fillId="3" borderId="23" xfId="2" applyFont="1" applyFill="1" applyBorder="1" applyAlignment="1">
      <alignment horizontal="center"/>
    </xf>
    <xf numFmtId="0" fontId="89" fillId="3" borderId="24" xfId="2" applyFont="1" applyFill="1" applyBorder="1" applyAlignment="1">
      <alignment horizontal="center"/>
    </xf>
    <xf numFmtId="0" fontId="89" fillId="3" borderId="3" xfId="2" applyFont="1" applyFill="1" applyBorder="1" applyAlignment="1">
      <alignment horizontal="center"/>
    </xf>
    <xf numFmtId="0" fontId="89" fillId="5" borderId="43" xfId="2" applyFont="1" applyFill="1" applyBorder="1" applyAlignment="1">
      <alignment horizontal="center" vertical="center" wrapText="1"/>
    </xf>
    <xf numFmtId="0" fontId="89" fillId="5" borderId="38" xfId="2" applyFont="1" applyFill="1" applyBorder="1" applyAlignment="1">
      <alignment horizontal="center" vertical="center" wrapText="1"/>
    </xf>
    <xf numFmtId="0" fontId="89" fillId="5" borderId="39" xfId="2" applyFont="1" applyFill="1" applyBorder="1" applyAlignment="1">
      <alignment horizontal="center" vertical="center" wrapText="1"/>
    </xf>
    <xf numFmtId="0" fontId="89" fillId="3" borderId="35" xfId="2" applyFont="1" applyFill="1" applyBorder="1" applyAlignment="1">
      <alignment horizontal="right" vertical="top" wrapText="1"/>
    </xf>
    <xf numFmtId="0" fontId="89" fillId="3" borderId="33" xfId="2" applyFont="1" applyFill="1" applyBorder="1" applyAlignment="1">
      <alignment horizontal="right" vertical="top" wrapText="1"/>
    </xf>
    <xf numFmtId="0" fontId="89" fillId="3" borderId="30" xfId="2" applyFont="1" applyFill="1" applyBorder="1" applyAlignment="1">
      <alignment horizontal="right" vertical="top" wrapText="1"/>
    </xf>
    <xf numFmtId="0" fontId="71" fillId="0" borderId="60" xfId="1" applyFont="1" applyBorder="1" applyAlignment="1">
      <alignment horizontal="left"/>
    </xf>
    <xf numFmtId="0" fontId="71" fillId="0" borderId="31" xfId="1" applyFont="1" applyBorder="1" applyAlignment="1">
      <alignment horizontal="left"/>
    </xf>
    <xf numFmtId="0" fontId="71" fillId="0" borderId="57" xfId="1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102" fillId="0" borderId="9" xfId="0" applyFont="1" applyBorder="1"/>
    <xf numFmtId="0" fontId="102" fillId="0" borderId="6" xfId="0" applyFont="1" applyBorder="1"/>
    <xf numFmtId="0" fontId="102" fillId="0" borderId="8" xfId="0" applyFont="1" applyBorder="1"/>
    <xf numFmtId="0" fontId="30" fillId="15" borderId="40" xfId="1" applyFont="1" applyFill="1" applyBorder="1" applyAlignment="1">
      <alignment horizontal="left"/>
    </xf>
    <xf numFmtId="0" fontId="30" fillId="15" borderId="41" xfId="1" applyFont="1" applyFill="1" applyBorder="1" applyAlignment="1">
      <alignment horizontal="left"/>
    </xf>
    <xf numFmtId="0" fontId="30" fillId="15" borderId="44" xfId="1" applyFont="1" applyFill="1" applyBorder="1" applyAlignment="1">
      <alignment horizontal="left"/>
    </xf>
    <xf numFmtId="0" fontId="100" fillId="0" borderId="7" xfId="1" applyFont="1" applyBorder="1" applyAlignment="1">
      <alignment horizontal="right"/>
    </xf>
    <xf numFmtId="0" fontId="100" fillId="0" borderId="6" xfId="1" applyFont="1" applyBorder="1" applyAlignment="1">
      <alignment horizontal="right"/>
    </xf>
    <xf numFmtId="0" fontId="100" fillId="0" borderId="8" xfId="1" applyFont="1" applyBorder="1" applyAlignment="1">
      <alignment horizontal="right"/>
    </xf>
    <xf numFmtId="0" fontId="1" fillId="0" borderId="15" xfId="1" applyBorder="1" applyAlignment="1">
      <alignment horizontal="right"/>
    </xf>
    <xf numFmtId="164" fontId="1" fillId="0" borderId="9" xfId="1" applyNumberFormat="1" applyBorder="1" applyAlignment="1">
      <alignment horizontal="center"/>
    </xf>
    <xf numFmtId="164" fontId="1" fillId="0" borderId="5" xfId="1" applyNumberFormat="1" applyBorder="1" applyAlignment="1">
      <alignment horizontal="center"/>
    </xf>
    <xf numFmtId="164" fontId="1" fillId="0" borderId="9" xfId="1" applyNumberFormat="1" applyBorder="1" applyAlignment="1">
      <alignment horizontal="right" wrapText="1"/>
    </xf>
    <xf numFmtId="164" fontId="1" fillId="0" borderId="8" xfId="1" applyNumberFormat="1" applyBorder="1" applyAlignment="1">
      <alignment horizontal="right" wrapText="1"/>
    </xf>
    <xf numFmtId="0" fontId="100" fillId="0" borderId="4" xfId="1" applyFont="1" applyBorder="1" applyAlignment="1">
      <alignment horizontal="right"/>
    </xf>
    <xf numFmtId="0" fontId="100" fillId="0" borderId="3" xfId="1" applyFont="1" applyBorder="1" applyAlignment="1">
      <alignment horizontal="right"/>
    </xf>
    <xf numFmtId="0" fontId="100" fillId="0" borderId="2" xfId="1" applyFont="1" applyBorder="1" applyAlignment="1">
      <alignment horizontal="right"/>
    </xf>
    <xf numFmtId="0" fontId="1" fillId="0" borderId="2" xfId="1" applyBorder="1" applyAlignment="1">
      <alignment horizontal="right"/>
    </xf>
    <xf numFmtId="164" fontId="1" fillId="0" borderId="23" xfId="1" applyNumberFormat="1" applyBorder="1" applyAlignment="1">
      <alignment horizontal="center"/>
    </xf>
    <xf numFmtId="164" fontId="1" fillId="0" borderId="22" xfId="1" applyNumberFormat="1" applyBorder="1" applyAlignment="1">
      <alignment horizontal="center"/>
    </xf>
    <xf numFmtId="0" fontId="100" fillId="2" borderId="43" xfId="1" applyFont="1" applyFill="1" applyBorder="1" applyAlignment="1">
      <alignment horizontal="left"/>
    </xf>
    <xf numFmtId="0" fontId="100" fillId="2" borderId="38" xfId="1" applyFont="1" applyFill="1" applyBorder="1" applyAlignment="1">
      <alignment horizontal="left"/>
    </xf>
    <xf numFmtId="0" fontId="100" fillId="2" borderId="39" xfId="1" applyFont="1" applyFill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100" fillId="0" borderId="40" xfId="1" applyFont="1" applyBorder="1" applyAlignment="1">
      <alignment horizontal="right"/>
    </xf>
    <xf numFmtId="0" fontId="100" fillId="0" borderId="41" xfId="1" applyFont="1" applyBorder="1" applyAlignment="1">
      <alignment horizontal="right"/>
    </xf>
    <xf numFmtId="0" fontId="100" fillId="0" borderId="12" xfId="1" applyFont="1" applyBorder="1" applyAlignment="1">
      <alignment horizontal="right"/>
    </xf>
    <xf numFmtId="164" fontId="1" fillId="0" borderId="11" xfId="1" applyNumberFormat="1" applyBorder="1" applyAlignment="1">
      <alignment horizontal="right"/>
    </xf>
    <xf numFmtId="0" fontId="1" fillId="3" borderId="28" xfId="1" applyFill="1" applyBorder="1" applyAlignment="1">
      <alignment horizontal="center"/>
    </xf>
    <xf numFmtId="0" fontId="1" fillId="3" borderId="44" xfId="1" applyFill="1" applyBorder="1" applyAlignment="1">
      <alignment horizontal="center"/>
    </xf>
    <xf numFmtId="0" fontId="100" fillId="2" borderId="42" xfId="1" applyFont="1" applyFill="1" applyBorder="1" applyAlignment="1">
      <alignment horizontal="center" vertical="center"/>
    </xf>
    <xf numFmtId="0" fontId="100" fillId="2" borderId="4" xfId="1" applyFont="1" applyFill="1" applyBorder="1" applyAlignment="1">
      <alignment horizontal="center" vertical="center"/>
    </xf>
    <xf numFmtId="0" fontId="100" fillId="2" borderId="49" xfId="1" applyFont="1" applyFill="1" applyBorder="1" applyAlignment="1">
      <alignment horizontal="center" vertical="center"/>
    </xf>
    <xf numFmtId="0" fontId="100" fillId="2" borderId="18" xfId="1" applyFont="1" applyFill="1" applyBorder="1" applyAlignment="1">
      <alignment horizontal="center" vertical="center"/>
    </xf>
    <xf numFmtId="0" fontId="100" fillId="2" borderId="29" xfId="1" applyFont="1" applyFill="1" applyBorder="1" applyAlignment="1">
      <alignment horizontal="center" vertical="center"/>
    </xf>
    <xf numFmtId="0" fontId="100" fillId="2" borderId="2" xfId="1" applyFont="1" applyFill="1" applyBorder="1" applyAlignment="1">
      <alignment horizontal="center" vertical="center"/>
    </xf>
    <xf numFmtId="0" fontId="0" fillId="3" borderId="15" xfId="2" applyFont="1" applyFill="1" applyBorder="1" applyAlignment="1">
      <alignment horizontal="left"/>
    </xf>
    <xf numFmtId="0" fontId="1" fillId="3" borderId="15" xfId="2" applyFont="1" applyFill="1" applyBorder="1" applyAlignment="1">
      <alignment horizontal="left"/>
    </xf>
    <xf numFmtId="0" fontId="0" fillId="3" borderId="2" xfId="2" applyFont="1" applyFill="1" applyBorder="1" applyAlignment="1">
      <alignment horizontal="left"/>
    </xf>
    <xf numFmtId="0" fontId="1" fillId="3" borderId="2" xfId="2" applyFont="1" applyFill="1" applyBorder="1" applyAlignment="1">
      <alignment horizontal="left"/>
    </xf>
    <xf numFmtId="0" fontId="1" fillId="3" borderId="37" xfId="2" applyFont="1" applyFill="1" applyBorder="1" applyAlignment="1">
      <alignment horizontal="center"/>
    </xf>
    <xf numFmtId="0" fontId="1" fillId="3" borderId="61" xfId="2" applyFont="1" applyFill="1" applyBorder="1" applyAlignment="1">
      <alignment horizontal="center"/>
    </xf>
    <xf numFmtId="0" fontId="1" fillId="3" borderId="21" xfId="2" applyFont="1" applyFill="1" applyBorder="1" applyAlignment="1">
      <alignment horizontal="center"/>
    </xf>
    <xf numFmtId="0" fontId="1" fillId="3" borderId="33" xfId="2" applyFont="1" applyFill="1" applyBorder="1" applyAlignment="1">
      <alignment horizontal="center"/>
    </xf>
    <xf numFmtId="0" fontId="1" fillId="3" borderId="60" xfId="2" applyFont="1" applyFill="1" applyBorder="1" applyAlignment="1">
      <alignment horizontal="center"/>
    </xf>
    <xf numFmtId="0" fontId="1" fillId="3" borderId="30" xfId="2" applyFont="1" applyFill="1" applyBorder="1" applyAlignment="1">
      <alignment horizontal="center"/>
    </xf>
    <xf numFmtId="0" fontId="24" fillId="3" borderId="18" xfId="2" applyFont="1" applyFill="1" applyBorder="1" applyAlignment="1">
      <alignment horizontal="center"/>
    </xf>
    <xf numFmtId="0" fontId="24" fillId="3" borderId="15" xfId="2" applyFont="1" applyFill="1" applyBorder="1" applyAlignment="1">
      <alignment horizontal="center"/>
    </xf>
    <xf numFmtId="0" fontId="16" fillId="5" borderId="15" xfId="2" applyFont="1" applyFill="1" applyBorder="1" applyAlignment="1">
      <alignment horizontal="center" vertical="center" wrapText="1"/>
    </xf>
    <xf numFmtId="0" fontId="100" fillId="3" borderId="15" xfId="2" applyFont="1" applyFill="1" applyBorder="1" applyAlignment="1">
      <alignment horizontal="right" vertical="top" wrapText="1"/>
    </xf>
    <xf numFmtId="0" fontId="100" fillId="3" borderId="2" xfId="2" applyFont="1" applyFill="1" applyBorder="1" applyAlignment="1">
      <alignment horizontal="right" vertical="top" wrapText="1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77" fillId="5" borderId="47" xfId="2" applyFont="1" applyFill="1" applyBorder="1" applyAlignment="1">
      <alignment horizontal="center" vertical="center" wrapText="1"/>
    </xf>
    <xf numFmtId="0" fontId="77" fillId="5" borderId="27" xfId="2" applyFont="1" applyFill="1" applyBorder="1" applyAlignment="1">
      <alignment horizontal="center" vertical="center" wrapText="1"/>
    </xf>
    <xf numFmtId="0" fontId="77" fillId="5" borderId="48" xfId="2" applyFont="1" applyFill="1" applyBorder="1" applyAlignment="1">
      <alignment horizontal="center" vertical="center" wrapText="1"/>
    </xf>
  </cellXfs>
  <cellStyles count="14">
    <cellStyle name="Millares" xfId="6" builtinId="3"/>
    <cellStyle name="Millares [0]" xfId="9" builtinId="6"/>
    <cellStyle name="Millares 2" xfId="12" xr:uid="{BCFC5818-6F4A-4075-BDBE-A749249E9CAD}"/>
    <cellStyle name="Millares 3" xfId="13" xr:uid="{99121557-4948-43D0-8322-B88B3F0E6492}"/>
    <cellStyle name="Normal" xfId="0" builtinId="0"/>
    <cellStyle name="Normal 2" xfId="1" xr:uid="{2DDBC5E7-0E7E-4491-99E3-7A5940DF1256}"/>
    <cellStyle name="Normal 2 2" xfId="7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B9CEC152-9DE5-4975-9264-454B34BB2513}"/>
    <cellStyle name="Normal 5" xfId="3" xr:uid="{9E162E44-7FEC-4CBF-A2D3-215B3357159E}"/>
    <cellStyle name="Normal_CRITERIOS DE EVALUACION PT DE GB 2" xfId="2" xr:uid="{91D1D7B8-FF69-4D3C-B5A7-139D9BD47895}"/>
    <cellStyle name="Porcentaje" xfId="10" builtinId="5"/>
    <cellStyle name="Porcentaje 2" xfId="11" xr:uid="{3E8C13B0-B0D0-4653-A9B3-8C55A5B74C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607836</xdr:colOff>
      <xdr:row>4</xdr:row>
      <xdr:rowOff>21465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6C810D-151B-7440-522D-A760D0F58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2033" cy="794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53340</xdr:rowOff>
    </xdr:from>
    <xdr:to>
      <xdr:col>1</xdr:col>
      <xdr:colOff>678180</xdr:colOff>
      <xdr:row>3</xdr:row>
      <xdr:rowOff>22860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5918FC1A-2D55-4BA2-984D-E24EB22F4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251460"/>
          <a:ext cx="14249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100989</xdr:rowOff>
    </xdr:from>
    <xdr:to>
      <xdr:col>1</xdr:col>
      <xdr:colOff>635398</xdr:colOff>
      <xdr:row>4</xdr:row>
      <xdr:rowOff>62705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E4EBA92-0F48-4DCE-B181-93BA94ED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89"/>
          <a:ext cx="14249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1</xdr:row>
      <xdr:rowOff>35718</xdr:rowOff>
    </xdr:from>
    <xdr:to>
      <xdr:col>1</xdr:col>
      <xdr:colOff>904875</xdr:colOff>
      <xdr:row>3</xdr:row>
      <xdr:rowOff>193947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447CDCC-C0DB-4EDE-A220-FA1566814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250031"/>
          <a:ext cx="1631156" cy="777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156482</xdr:colOff>
      <xdr:row>1</xdr:row>
      <xdr:rowOff>163286</xdr:rowOff>
    </xdr:from>
    <xdr:to>
      <xdr:col>1</xdr:col>
      <xdr:colOff>563062</xdr:colOff>
      <xdr:row>6</xdr:row>
      <xdr:rowOff>105047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2DBD15A-0CCA-4483-94B2-823507375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82" y="384266"/>
          <a:ext cx="1252400" cy="856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</xdr:row>
      <xdr:rowOff>22860</xdr:rowOff>
    </xdr:from>
    <xdr:to>
      <xdr:col>1</xdr:col>
      <xdr:colOff>754380</xdr:colOff>
      <xdr:row>4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EE0B3D-5162-4AC1-9991-84B205F4E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243840"/>
          <a:ext cx="147828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21B2-88D0-4D0A-98D0-059750B19291}">
  <dimension ref="A1:I59"/>
  <sheetViews>
    <sheetView topLeftCell="A3" zoomScale="83" workbookViewId="0">
      <selection activeCell="E20" activeCellId="1" sqref="E13 E20"/>
    </sheetView>
  </sheetViews>
  <sheetFormatPr baseColWidth="10" defaultRowHeight="15" x14ac:dyDescent="0.25"/>
  <cols>
    <col min="3" max="3" width="53.140625" customWidth="1"/>
    <col min="4" max="4" width="34.28515625" bestFit="1" customWidth="1"/>
    <col min="5" max="5" width="15.140625" customWidth="1"/>
    <col min="7" max="7" width="14.28515625" customWidth="1"/>
    <col min="8" max="8" width="27" customWidth="1"/>
    <col min="9" max="9" width="23.42578125" bestFit="1" customWidth="1"/>
  </cols>
  <sheetData>
    <row r="1" spans="1:9" ht="17.25" x14ac:dyDescent="0.3">
      <c r="A1" s="853"/>
      <c r="B1" s="854"/>
      <c r="C1" s="859" t="s">
        <v>33</v>
      </c>
      <c r="D1" s="859"/>
      <c r="E1" s="859"/>
      <c r="F1" s="859"/>
      <c r="G1" s="859"/>
      <c r="H1" s="4" t="s">
        <v>32</v>
      </c>
      <c r="I1" s="5"/>
    </row>
    <row r="2" spans="1:9" ht="17.25" x14ac:dyDescent="0.3">
      <c r="A2" s="855"/>
      <c r="B2" s="856"/>
      <c r="C2" s="860" t="s">
        <v>31</v>
      </c>
      <c r="D2" s="860"/>
      <c r="E2" s="860"/>
      <c r="F2" s="860"/>
      <c r="G2" s="860"/>
      <c r="H2" s="6" t="s">
        <v>30</v>
      </c>
      <c r="I2" s="7"/>
    </row>
    <row r="3" spans="1:9" ht="15.95" customHeight="1" thickBot="1" x14ac:dyDescent="0.3">
      <c r="A3" s="855"/>
      <c r="B3" s="856"/>
      <c r="C3" s="861" t="s">
        <v>121</v>
      </c>
      <c r="D3" s="861"/>
      <c r="E3" s="861"/>
      <c r="F3" s="861"/>
      <c r="G3" s="861"/>
      <c r="H3" s="862" t="s">
        <v>29</v>
      </c>
      <c r="I3" s="844"/>
    </row>
    <row r="4" spans="1:9" ht="17.25" x14ac:dyDescent="0.3">
      <c r="A4" s="855"/>
      <c r="B4" s="856"/>
      <c r="C4" s="8" t="s">
        <v>28</v>
      </c>
      <c r="D4" s="847" t="s">
        <v>34</v>
      </c>
      <c r="E4" s="848"/>
      <c r="F4" s="848"/>
      <c r="G4" s="849"/>
      <c r="H4" s="863"/>
      <c r="I4" s="845"/>
    </row>
    <row r="5" spans="1:9" ht="18" thickBot="1" x14ac:dyDescent="0.35">
      <c r="A5" s="857"/>
      <c r="B5" s="858"/>
      <c r="C5" s="9" t="s">
        <v>27</v>
      </c>
      <c r="D5" s="850" t="s">
        <v>26</v>
      </c>
      <c r="E5" s="851"/>
      <c r="F5" s="851"/>
      <c r="G5" s="852"/>
      <c r="H5" s="864"/>
      <c r="I5" s="846"/>
    </row>
    <row r="6" spans="1:9" ht="16.5" thickBot="1" x14ac:dyDescent="0.3">
      <c r="A6" s="835" t="s">
        <v>25</v>
      </c>
      <c r="B6" s="835"/>
      <c r="C6" s="835"/>
      <c r="D6" s="836" t="s">
        <v>40</v>
      </c>
      <c r="E6" s="836"/>
      <c r="F6" s="836"/>
      <c r="G6" s="837" t="s">
        <v>24</v>
      </c>
      <c r="H6" s="837"/>
      <c r="I6" s="10" t="s">
        <v>40</v>
      </c>
    </row>
    <row r="7" spans="1:9" x14ac:dyDescent="0.25">
      <c r="A7" s="838" t="s">
        <v>23</v>
      </c>
      <c r="B7" s="840" t="s">
        <v>35</v>
      </c>
      <c r="C7" s="842" t="s">
        <v>22</v>
      </c>
      <c r="D7" s="842" t="s">
        <v>21</v>
      </c>
      <c r="E7" s="842" t="s">
        <v>20</v>
      </c>
      <c r="F7" s="842"/>
      <c r="G7" s="842" t="s">
        <v>19</v>
      </c>
      <c r="H7" s="842"/>
      <c r="I7" s="11" t="s">
        <v>18</v>
      </c>
    </row>
    <row r="8" spans="1:9" ht="31.5" thickBot="1" x14ac:dyDescent="0.3">
      <c r="A8" s="839"/>
      <c r="B8" s="841"/>
      <c r="C8" s="843"/>
      <c r="D8" s="843"/>
      <c r="E8" s="12" t="s">
        <v>14</v>
      </c>
      <c r="F8" s="13" t="s">
        <v>17</v>
      </c>
      <c r="G8" s="12" t="s">
        <v>14</v>
      </c>
      <c r="H8" s="13" t="s">
        <v>17</v>
      </c>
      <c r="I8" s="14" t="s">
        <v>16</v>
      </c>
    </row>
    <row r="9" spans="1:9" ht="15.75" x14ac:dyDescent="0.25">
      <c r="A9" s="15"/>
      <c r="B9" s="16"/>
      <c r="C9" s="17" t="s">
        <v>36</v>
      </c>
      <c r="D9" s="18"/>
      <c r="E9" s="19"/>
      <c r="F9" s="20"/>
      <c r="G9" s="19"/>
      <c r="H9" s="20"/>
      <c r="I9" s="21"/>
    </row>
    <row r="10" spans="1:9" ht="15.95" customHeight="1" x14ac:dyDescent="0.25">
      <c r="A10" s="64"/>
      <c r="B10" s="257" t="s">
        <v>60</v>
      </c>
      <c r="C10" s="258" t="s">
        <v>58</v>
      </c>
      <c r="D10" s="188" t="s">
        <v>15</v>
      </c>
      <c r="E10" s="195">
        <v>342</v>
      </c>
      <c r="F10" s="110" t="s">
        <v>1</v>
      </c>
      <c r="G10" s="1"/>
      <c r="H10" s="2" t="s">
        <v>68</v>
      </c>
      <c r="I10" s="21"/>
    </row>
    <row r="11" spans="1:9" ht="15.75" x14ac:dyDescent="0.25">
      <c r="A11" s="64"/>
      <c r="B11" s="190" t="s">
        <v>61</v>
      </c>
      <c r="C11" s="191" t="s">
        <v>62</v>
      </c>
      <c r="D11" s="188" t="s">
        <v>15</v>
      </c>
      <c r="E11" s="196">
        <v>120</v>
      </c>
      <c r="F11" s="110" t="s">
        <v>1</v>
      </c>
      <c r="G11" s="2" t="s">
        <v>69</v>
      </c>
      <c r="H11" s="63"/>
      <c r="I11" s="21"/>
    </row>
    <row r="12" spans="1:9" ht="15.75" x14ac:dyDescent="0.25">
      <c r="A12" s="66"/>
      <c r="B12" s="190" t="s">
        <v>63</v>
      </c>
      <c r="C12" s="191" t="s">
        <v>64</v>
      </c>
      <c r="D12" s="188" t="s">
        <v>15</v>
      </c>
      <c r="E12" s="197">
        <v>330</v>
      </c>
      <c r="F12" s="110" t="s">
        <v>1</v>
      </c>
      <c r="G12" s="2" t="s">
        <v>70</v>
      </c>
      <c r="H12" s="63" t="s">
        <v>73</v>
      </c>
      <c r="I12" s="21"/>
    </row>
    <row r="13" spans="1:9" ht="15.75" x14ac:dyDescent="0.25">
      <c r="A13" s="66"/>
      <c r="B13" s="369" t="s">
        <v>60</v>
      </c>
      <c r="C13" s="370" t="s">
        <v>101</v>
      </c>
      <c r="D13" s="371" t="s">
        <v>15</v>
      </c>
      <c r="E13" s="372">
        <v>249</v>
      </c>
      <c r="F13" s="110" t="s">
        <v>1</v>
      </c>
      <c r="G13" s="2" t="s">
        <v>71</v>
      </c>
      <c r="H13" s="63" t="s">
        <v>73</v>
      </c>
      <c r="I13" s="21"/>
    </row>
    <row r="14" spans="1:9" ht="15.75" x14ac:dyDescent="0.25">
      <c r="A14" s="66"/>
      <c r="B14" s="88" t="s">
        <v>65</v>
      </c>
      <c r="C14" s="192" t="s">
        <v>66</v>
      </c>
      <c r="D14" s="188" t="s">
        <v>15</v>
      </c>
      <c r="E14" s="74">
        <v>120</v>
      </c>
      <c r="F14" s="110" t="s">
        <v>1</v>
      </c>
      <c r="G14" s="2" t="s">
        <v>72</v>
      </c>
      <c r="H14" s="62" t="s">
        <v>74</v>
      </c>
      <c r="I14" s="21"/>
    </row>
    <row r="15" spans="1:9" ht="15.75" x14ac:dyDescent="0.25">
      <c r="A15" s="66"/>
      <c r="B15" s="193"/>
      <c r="C15" s="192"/>
      <c r="D15" s="188"/>
      <c r="E15" s="74"/>
      <c r="F15" s="110"/>
      <c r="G15" s="2"/>
      <c r="H15" s="62"/>
      <c r="I15" s="21"/>
    </row>
    <row r="16" spans="1:9" ht="15.75" x14ac:dyDescent="0.25">
      <c r="A16" s="66"/>
      <c r="B16" s="193"/>
      <c r="C16" s="192"/>
      <c r="D16" s="188"/>
      <c r="E16" s="74"/>
      <c r="F16" s="110"/>
      <c r="G16" s="1"/>
      <c r="H16" s="62"/>
      <c r="I16" s="21"/>
    </row>
    <row r="17" spans="1:9" ht="15.75" x14ac:dyDescent="0.25">
      <c r="A17" s="66"/>
      <c r="B17" s="106"/>
      <c r="C17" s="72"/>
      <c r="D17" s="73"/>
      <c r="E17" s="74"/>
      <c r="F17" s="110"/>
      <c r="G17" s="1"/>
      <c r="H17" s="62"/>
      <c r="I17" s="21"/>
    </row>
    <row r="18" spans="1:9" ht="15.75" x14ac:dyDescent="0.25">
      <c r="A18" s="65"/>
      <c r="B18" s="107"/>
      <c r="C18" s="75" t="s">
        <v>39</v>
      </c>
      <c r="D18" s="76"/>
      <c r="E18" s="74"/>
      <c r="F18" s="110"/>
      <c r="G18" s="1"/>
      <c r="H18" s="62"/>
      <c r="I18" s="21"/>
    </row>
    <row r="19" spans="1:9" ht="15.75" x14ac:dyDescent="0.25">
      <c r="A19" s="66"/>
      <c r="B19" s="259" t="s">
        <v>60</v>
      </c>
      <c r="C19" s="260" t="s">
        <v>67</v>
      </c>
      <c r="D19" s="207" t="s">
        <v>15</v>
      </c>
      <c r="E19" s="26">
        <v>196</v>
      </c>
      <c r="F19" s="110" t="s">
        <v>1</v>
      </c>
      <c r="G19" s="1"/>
      <c r="H19" s="62"/>
      <c r="I19" s="21"/>
    </row>
    <row r="20" spans="1:9" ht="15.75" x14ac:dyDescent="0.25">
      <c r="A20" s="66"/>
      <c r="B20" s="369" t="s">
        <v>60</v>
      </c>
      <c r="C20" s="370" t="s">
        <v>101</v>
      </c>
      <c r="D20" s="371" t="s">
        <v>15</v>
      </c>
      <c r="E20" s="373">
        <v>65</v>
      </c>
      <c r="F20" s="110" t="s">
        <v>1</v>
      </c>
      <c r="G20" s="1"/>
      <c r="H20" s="62" t="s">
        <v>74</v>
      </c>
      <c r="I20" s="21"/>
    </row>
    <row r="21" spans="1:9" ht="15.75" x14ac:dyDescent="0.25">
      <c r="A21" s="66"/>
      <c r="B21" s="86"/>
      <c r="C21" s="72"/>
      <c r="D21" s="73"/>
      <c r="E21" s="74"/>
      <c r="F21" s="69"/>
      <c r="G21" s="1"/>
      <c r="H21" s="62"/>
      <c r="I21" s="21"/>
    </row>
    <row r="22" spans="1:9" ht="15.75" x14ac:dyDescent="0.25">
      <c r="A22" s="66"/>
      <c r="B22" s="1"/>
      <c r="C22" s="1"/>
      <c r="D22" s="71"/>
      <c r="E22" s="68"/>
      <c r="F22" s="69"/>
      <c r="G22" s="85"/>
      <c r="H22" s="85"/>
      <c r="I22" s="21"/>
    </row>
    <row r="23" spans="1:9" ht="15.75" x14ac:dyDescent="0.25">
      <c r="A23" s="66"/>
      <c r="B23" s="66"/>
      <c r="C23" s="77"/>
      <c r="D23" s="71"/>
      <c r="E23" s="68"/>
      <c r="F23" s="69"/>
      <c r="G23" s="84"/>
      <c r="H23" s="84"/>
      <c r="I23" s="21"/>
    </row>
    <row r="24" spans="1:9" ht="15.75" x14ac:dyDescent="0.25">
      <c r="A24" s="64"/>
      <c r="B24" s="64"/>
      <c r="C24" s="78"/>
      <c r="D24" s="67"/>
      <c r="E24" s="68"/>
      <c r="F24" s="69"/>
      <c r="G24" s="62"/>
      <c r="H24" s="63"/>
      <c r="I24" s="21"/>
    </row>
    <row r="25" spans="1:9" ht="15.75" x14ac:dyDescent="0.25">
      <c r="A25" s="92"/>
      <c r="B25" s="92"/>
      <c r="C25" s="93" t="s">
        <v>38</v>
      </c>
      <c r="D25" s="94"/>
      <c r="E25" s="95"/>
      <c r="F25" s="91"/>
      <c r="G25" s="62"/>
      <c r="H25" s="63"/>
      <c r="I25" s="21"/>
    </row>
    <row r="26" spans="1:9" ht="15.75" x14ac:dyDescent="0.25">
      <c r="A26" s="64"/>
      <c r="B26" s="138" t="s">
        <v>75</v>
      </c>
      <c r="C26" s="89" t="s">
        <v>76</v>
      </c>
      <c r="D26" s="199" t="s">
        <v>56</v>
      </c>
      <c r="E26" s="167">
        <v>1</v>
      </c>
      <c r="F26" s="199" t="s">
        <v>6</v>
      </c>
      <c r="G26" s="1"/>
      <c r="H26" s="63"/>
      <c r="I26" s="21"/>
    </row>
    <row r="27" spans="1:9" ht="15.75" x14ac:dyDescent="0.25">
      <c r="A27" s="64"/>
      <c r="B27" s="199" t="s">
        <v>119</v>
      </c>
      <c r="C27" s="89" t="s">
        <v>120</v>
      </c>
      <c r="D27" s="70" t="s">
        <v>51</v>
      </c>
      <c r="E27" s="201">
        <v>1</v>
      </c>
      <c r="F27" s="199" t="s">
        <v>6</v>
      </c>
      <c r="G27" s="1"/>
      <c r="H27" s="63"/>
      <c r="I27" s="21"/>
    </row>
    <row r="28" spans="1:9" ht="15.75" x14ac:dyDescent="0.25">
      <c r="A28" s="100"/>
      <c r="B28" s="202" t="s">
        <v>53</v>
      </c>
      <c r="C28" s="203" t="s">
        <v>77</v>
      </c>
      <c r="D28" s="70" t="s">
        <v>55</v>
      </c>
      <c r="E28" s="204">
        <v>2</v>
      </c>
      <c r="F28" s="205" t="s">
        <v>6</v>
      </c>
      <c r="G28" s="1"/>
      <c r="H28" s="62"/>
      <c r="I28" s="21"/>
    </row>
    <row r="29" spans="1:9" ht="15.75" x14ac:dyDescent="0.25">
      <c r="A29" s="100"/>
      <c r="B29" s="202" t="s">
        <v>78</v>
      </c>
      <c r="C29" s="206" t="s">
        <v>79</v>
      </c>
      <c r="D29" s="70" t="s">
        <v>51</v>
      </c>
      <c r="E29" s="70">
        <v>1</v>
      </c>
      <c r="F29" s="205" t="s">
        <v>6</v>
      </c>
      <c r="H29" s="62"/>
      <c r="I29" s="21"/>
    </row>
    <row r="30" spans="1:9" ht="15.75" x14ac:dyDescent="0.25">
      <c r="A30" s="103"/>
      <c r="B30" s="202" t="s">
        <v>80</v>
      </c>
      <c r="C30" s="206" t="s">
        <v>81</v>
      </c>
      <c r="D30" s="70" t="s">
        <v>51</v>
      </c>
      <c r="E30" s="70">
        <v>1</v>
      </c>
      <c r="F30" s="205" t="s">
        <v>6</v>
      </c>
      <c r="G30" s="62"/>
      <c r="H30" s="62"/>
      <c r="I30" s="21"/>
    </row>
    <row r="31" spans="1:9" ht="15.75" x14ac:dyDescent="0.25">
      <c r="A31" s="66"/>
      <c r="B31" s="66"/>
      <c r="C31" s="66"/>
      <c r="D31" s="70"/>
      <c r="E31" s="68"/>
      <c r="F31" s="69"/>
      <c r="G31" s="62"/>
      <c r="H31" s="62"/>
      <c r="I31" s="21"/>
    </row>
    <row r="32" spans="1:9" ht="15.75" x14ac:dyDescent="0.25">
      <c r="A32" s="79"/>
      <c r="B32" s="79"/>
      <c r="C32" s="80"/>
      <c r="D32" s="81"/>
      <c r="E32" s="82"/>
      <c r="F32" s="83"/>
      <c r="G32" s="19"/>
      <c r="H32" s="33"/>
      <c r="I32" s="21"/>
    </row>
    <row r="33" spans="1:9" ht="16.149999999999999" customHeight="1" x14ac:dyDescent="0.25">
      <c r="A33" s="36"/>
      <c r="B33" s="36"/>
      <c r="C33" s="22"/>
      <c r="D33" s="23"/>
      <c r="E33" s="36"/>
      <c r="F33" s="34"/>
      <c r="G33" s="30"/>
      <c r="H33" s="33"/>
      <c r="I33" s="21"/>
    </row>
    <row r="34" spans="1:9" ht="15.75" x14ac:dyDescent="0.25">
      <c r="A34" s="24"/>
      <c r="B34" s="24"/>
      <c r="C34" s="37"/>
      <c r="D34" s="38"/>
      <c r="E34" s="24"/>
      <c r="F34" s="3"/>
      <c r="G34" s="31"/>
      <c r="H34" s="33"/>
      <c r="I34" s="21"/>
    </row>
    <row r="35" spans="1:9" ht="17.25" x14ac:dyDescent="0.3">
      <c r="A35" s="39"/>
      <c r="B35" s="27"/>
      <c r="C35" s="40"/>
      <c r="D35" s="41"/>
      <c r="E35" s="29"/>
      <c r="F35" s="29"/>
      <c r="G35" s="31"/>
      <c r="H35" s="33"/>
      <c r="I35" s="21"/>
    </row>
    <row r="36" spans="1:9" ht="15.75" x14ac:dyDescent="0.25">
      <c r="A36" s="27"/>
      <c r="B36" s="42"/>
      <c r="C36" s="28"/>
      <c r="D36" s="26"/>
      <c r="E36" s="25"/>
      <c r="F36" s="3"/>
      <c r="G36" s="31"/>
      <c r="H36" s="35"/>
      <c r="I36" s="21"/>
    </row>
    <row r="37" spans="1:9" ht="15.75" x14ac:dyDescent="0.25">
      <c r="A37" s="43"/>
      <c r="B37" s="44"/>
      <c r="C37" s="45"/>
      <c r="D37" s="35"/>
      <c r="E37" s="35"/>
      <c r="F37" s="32"/>
      <c r="G37" s="35"/>
      <c r="H37" s="35"/>
      <c r="I37" s="21"/>
    </row>
    <row r="38" spans="1:9" ht="18" thickBot="1" x14ac:dyDescent="0.35">
      <c r="A38" s="46"/>
      <c r="B38" s="47"/>
      <c r="C38" s="48"/>
      <c r="D38" s="48"/>
      <c r="E38" s="49"/>
      <c r="F38" s="50"/>
      <c r="G38" s="48"/>
      <c r="H38" s="48"/>
      <c r="I38" s="51"/>
    </row>
    <row r="39" spans="1:9" ht="18" thickBot="1" x14ac:dyDescent="0.35">
      <c r="A39" s="52"/>
      <c r="B39" s="53"/>
      <c r="C39" s="54"/>
      <c r="D39" s="55" t="s">
        <v>14</v>
      </c>
      <c r="E39" s="56" t="s">
        <v>13</v>
      </c>
      <c r="F39" s="57"/>
      <c r="G39" s="54"/>
      <c r="H39" s="54"/>
      <c r="I39" s="58"/>
    </row>
    <row r="40" spans="1:9" ht="17.25" x14ac:dyDescent="0.3">
      <c r="A40" s="829" t="s">
        <v>12</v>
      </c>
      <c r="B40" s="830"/>
      <c r="C40" s="831"/>
      <c r="D40" s="104">
        <v>1406</v>
      </c>
      <c r="E40" s="59" t="s">
        <v>1</v>
      </c>
      <c r="F40" s="832" t="s">
        <v>11</v>
      </c>
      <c r="G40" s="832"/>
      <c r="H40" s="833"/>
      <c r="I40" s="834"/>
    </row>
    <row r="41" spans="1:9" ht="17.25" x14ac:dyDescent="0.3">
      <c r="A41" s="812" t="s">
        <v>10</v>
      </c>
      <c r="B41" s="813"/>
      <c r="C41" s="814"/>
      <c r="D41" s="104">
        <v>7</v>
      </c>
      <c r="E41" s="60" t="s">
        <v>9</v>
      </c>
      <c r="F41" s="815" t="s">
        <v>8</v>
      </c>
      <c r="G41" s="815"/>
      <c r="H41" s="816"/>
      <c r="I41" s="817"/>
    </row>
    <row r="42" spans="1:9" ht="17.25" x14ac:dyDescent="0.3">
      <c r="A42" s="812" t="s">
        <v>7</v>
      </c>
      <c r="B42" s="813"/>
      <c r="C42" s="814"/>
      <c r="D42" s="104">
        <v>1</v>
      </c>
      <c r="E42" s="60" t="s">
        <v>6</v>
      </c>
      <c r="F42" s="815" t="s">
        <v>5</v>
      </c>
      <c r="G42" s="815"/>
      <c r="H42" s="816"/>
      <c r="I42" s="817"/>
    </row>
    <row r="43" spans="1:9" ht="17.25" x14ac:dyDescent="0.3">
      <c r="A43" s="812" t="s">
        <v>4</v>
      </c>
      <c r="B43" s="813"/>
      <c r="C43" s="814"/>
      <c r="D43" s="104">
        <v>1406</v>
      </c>
      <c r="E43" s="60" t="s">
        <v>1</v>
      </c>
      <c r="F43" s="818" t="s">
        <v>3</v>
      </c>
      <c r="G43" s="819"/>
      <c r="H43" s="816"/>
      <c r="I43" s="817"/>
    </row>
    <row r="44" spans="1:9" ht="18" thickBot="1" x14ac:dyDescent="0.35">
      <c r="A44" s="820" t="s">
        <v>2</v>
      </c>
      <c r="B44" s="821"/>
      <c r="C44" s="822"/>
      <c r="D44" s="105">
        <f>SUM(E10:E20)-D40</f>
        <v>16</v>
      </c>
      <c r="E44" s="61" t="s">
        <v>1</v>
      </c>
      <c r="F44" s="823"/>
      <c r="G44" s="823"/>
      <c r="H44" s="824"/>
      <c r="I44" s="825"/>
    </row>
    <row r="45" spans="1:9" ht="16.5" thickBot="1" x14ac:dyDescent="0.3">
      <c r="A45" s="826" t="s">
        <v>0</v>
      </c>
      <c r="B45" s="827"/>
      <c r="C45" s="827"/>
      <c r="D45" s="827"/>
      <c r="E45" s="827"/>
      <c r="F45" s="827"/>
      <c r="G45" s="827"/>
      <c r="H45" s="827"/>
      <c r="I45" s="828"/>
    </row>
    <row r="46" spans="1:9" ht="20.45" customHeight="1" x14ac:dyDescent="0.3">
      <c r="A46" s="808" t="s">
        <v>102</v>
      </c>
      <c r="B46" s="809"/>
      <c r="C46" s="810"/>
      <c r="D46" s="810"/>
      <c r="E46" s="810"/>
      <c r="F46" s="810"/>
      <c r="G46" s="810"/>
      <c r="H46" s="810"/>
      <c r="I46" s="811"/>
    </row>
    <row r="47" spans="1:9" ht="15" customHeight="1" x14ac:dyDescent="0.3">
      <c r="A47" s="808" t="s">
        <v>103</v>
      </c>
      <c r="B47" s="809"/>
      <c r="C47" s="810"/>
      <c r="D47" s="810"/>
      <c r="E47" s="810"/>
      <c r="F47" s="810"/>
      <c r="G47" s="810"/>
      <c r="H47" s="810"/>
      <c r="I47" s="811"/>
    </row>
    <row r="48" spans="1:9" ht="14.45" customHeight="1" x14ac:dyDescent="0.3">
      <c r="A48" s="784" t="s">
        <v>104</v>
      </c>
      <c r="B48" s="785"/>
      <c r="C48" s="786"/>
      <c r="D48" s="786"/>
      <c r="E48" s="786"/>
      <c r="F48" s="786"/>
      <c r="G48" s="786"/>
      <c r="H48" s="786"/>
      <c r="I48" s="787"/>
    </row>
    <row r="49" spans="1:9" ht="30" customHeight="1" x14ac:dyDescent="0.3">
      <c r="A49" s="788" t="s">
        <v>105</v>
      </c>
      <c r="B49" s="789"/>
      <c r="C49" s="790"/>
      <c r="D49" s="790"/>
      <c r="E49" s="790"/>
      <c r="F49" s="790"/>
      <c r="G49" s="790"/>
      <c r="H49" s="790"/>
      <c r="I49" s="791"/>
    </row>
    <row r="50" spans="1:9" ht="14.45" customHeight="1" x14ac:dyDescent="0.25">
      <c r="A50" s="792" t="s">
        <v>106</v>
      </c>
      <c r="B50" s="793"/>
      <c r="C50" s="794"/>
      <c r="D50" s="794"/>
      <c r="E50" s="794"/>
      <c r="F50" s="794"/>
      <c r="G50" s="794"/>
      <c r="H50" s="794"/>
      <c r="I50" s="795"/>
    </row>
    <row r="51" spans="1:9" ht="15.6" customHeight="1" x14ac:dyDescent="0.25">
      <c r="A51" s="796" t="s">
        <v>107</v>
      </c>
      <c r="B51" s="797"/>
      <c r="C51" s="798"/>
      <c r="D51" s="798"/>
      <c r="E51" s="798"/>
      <c r="F51" s="798"/>
      <c r="G51" s="798"/>
      <c r="H51" s="798"/>
      <c r="I51" s="799"/>
    </row>
    <row r="52" spans="1:9" x14ac:dyDescent="0.25">
      <c r="A52" s="792" t="s">
        <v>108</v>
      </c>
      <c r="B52" s="793"/>
      <c r="C52" s="794"/>
      <c r="D52" s="794"/>
      <c r="E52" s="794"/>
      <c r="F52" s="794"/>
      <c r="G52" s="794"/>
      <c r="H52" s="794"/>
      <c r="I52" s="795"/>
    </row>
    <row r="53" spans="1:9" x14ac:dyDescent="0.25">
      <c r="A53" s="792"/>
      <c r="B53" s="793"/>
      <c r="C53" s="794"/>
      <c r="D53" s="794"/>
      <c r="E53" s="794"/>
      <c r="F53" s="794"/>
      <c r="G53" s="794"/>
      <c r="H53" s="794"/>
      <c r="I53" s="795"/>
    </row>
    <row r="54" spans="1:9" ht="18" customHeight="1" x14ac:dyDescent="0.3">
      <c r="A54" s="800"/>
      <c r="B54" s="801"/>
      <c r="C54" s="801"/>
      <c r="D54" s="801"/>
      <c r="E54" s="801"/>
      <c r="F54" s="801"/>
      <c r="G54" s="801"/>
      <c r="H54" s="801"/>
      <c r="I54" s="802"/>
    </row>
    <row r="55" spans="1:9" ht="17.25" x14ac:dyDescent="0.3">
      <c r="A55" s="800"/>
      <c r="B55" s="801"/>
      <c r="C55" s="801"/>
      <c r="D55" s="801"/>
      <c r="E55" s="801"/>
      <c r="F55" s="801"/>
      <c r="G55" s="801"/>
      <c r="H55" s="801"/>
      <c r="I55" s="802"/>
    </row>
    <row r="56" spans="1:9" ht="18" thickBot="1" x14ac:dyDescent="0.35">
      <c r="A56" s="803"/>
      <c r="B56" s="804"/>
      <c r="C56" s="804"/>
      <c r="D56" s="804"/>
      <c r="E56" s="804"/>
      <c r="F56" s="804"/>
      <c r="G56" s="804"/>
      <c r="H56" s="804"/>
      <c r="I56" s="805"/>
    </row>
    <row r="57" spans="1:9" x14ac:dyDescent="0.25">
      <c r="A57" s="806" t="s">
        <v>37</v>
      </c>
      <c r="B57" s="807"/>
      <c r="C57" s="807"/>
      <c r="D57" s="807"/>
      <c r="E57" s="807"/>
      <c r="F57" s="807"/>
      <c r="G57" s="807"/>
      <c r="H57" s="807"/>
      <c r="I57" s="807"/>
    </row>
    <row r="58" spans="1:9" x14ac:dyDescent="0.25">
      <c r="A58" s="782"/>
      <c r="B58" s="783"/>
      <c r="C58" s="783"/>
      <c r="D58" s="783"/>
      <c r="E58" s="783"/>
      <c r="F58" s="783"/>
      <c r="G58" s="783"/>
      <c r="H58" s="783"/>
      <c r="I58" s="783"/>
    </row>
    <row r="59" spans="1:9" x14ac:dyDescent="0.25">
      <c r="A59" s="782"/>
      <c r="B59" s="783"/>
      <c r="C59" s="783"/>
      <c r="D59" s="783"/>
      <c r="E59" s="783"/>
      <c r="F59" s="783"/>
      <c r="G59" s="783"/>
      <c r="H59" s="783"/>
      <c r="I59" s="783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59:I59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B688-C938-49EF-857A-360ECE6CB967}">
  <dimension ref="A1:J60"/>
  <sheetViews>
    <sheetView workbookViewId="0">
      <selection activeCell="H18" sqref="H18"/>
    </sheetView>
  </sheetViews>
  <sheetFormatPr baseColWidth="10" defaultRowHeight="15" x14ac:dyDescent="0.25"/>
  <cols>
    <col min="3" max="3" width="42.42578125" customWidth="1"/>
  </cols>
  <sheetData>
    <row r="1" spans="1:10" ht="17.25" x14ac:dyDescent="0.3">
      <c r="A1" s="853"/>
      <c r="B1" s="854"/>
      <c r="C1" s="859" t="s">
        <v>33</v>
      </c>
      <c r="D1" s="859"/>
      <c r="E1" s="859"/>
      <c r="F1" s="859"/>
      <c r="G1" s="859"/>
      <c r="H1" s="4" t="s">
        <v>32</v>
      </c>
      <c r="I1" s="5"/>
    </row>
    <row r="2" spans="1:10" ht="17.25" x14ac:dyDescent="0.3">
      <c r="A2" s="855"/>
      <c r="B2" s="856"/>
      <c r="C2" s="860" t="s">
        <v>31</v>
      </c>
      <c r="D2" s="860"/>
      <c r="E2" s="860"/>
      <c r="F2" s="860"/>
      <c r="G2" s="860"/>
      <c r="H2" s="6" t="s">
        <v>30</v>
      </c>
      <c r="I2" s="7"/>
    </row>
    <row r="3" spans="1:10" ht="18.75" thickBot="1" x14ac:dyDescent="0.3">
      <c r="A3" s="855"/>
      <c r="B3" s="856"/>
      <c r="C3" s="861" t="s">
        <v>121</v>
      </c>
      <c r="D3" s="861"/>
      <c r="E3" s="861"/>
      <c r="F3" s="861"/>
      <c r="G3" s="861"/>
      <c r="H3" s="862" t="s">
        <v>29</v>
      </c>
      <c r="I3" s="844"/>
    </row>
    <row r="4" spans="1:10" ht="17.25" x14ac:dyDescent="0.3">
      <c r="A4" s="855"/>
      <c r="B4" s="856"/>
      <c r="C4" s="8" t="s">
        <v>28</v>
      </c>
      <c r="D4" s="847" t="s">
        <v>34</v>
      </c>
      <c r="E4" s="848"/>
      <c r="F4" s="848"/>
      <c r="G4" s="849"/>
      <c r="H4" s="863"/>
      <c r="I4" s="845"/>
    </row>
    <row r="5" spans="1:10" ht="18" thickBot="1" x14ac:dyDescent="0.35">
      <c r="A5" s="857"/>
      <c r="B5" s="858"/>
      <c r="C5" s="9" t="s">
        <v>27</v>
      </c>
      <c r="D5" s="850" t="s">
        <v>180</v>
      </c>
      <c r="E5" s="851"/>
      <c r="F5" s="851"/>
      <c r="G5" s="852"/>
      <c r="H5" s="864"/>
      <c r="I5" s="846"/>
    </row>
    <row r="6" spans="1:10" ht="32.25" thickBot="1" x14ac:dyDescent="0.3">
      <c r="A6" s="835" t="s">
        <v>25</v>
      </c>
      <c r="B6" s="835"/>
      <c r="C6" s="835"/>
      <c r="D6" s="836" t="s">
        <v>40</v>
      </c>
      <c r="E6" s="836"/>
      <c r="F6" s="836"/>
      <c r="G6" s="837" t="s">
        <v>24</v>
      </c>
      <c r="H6" s="837"/>
      <c r="I6" s="10" t="s">
        <v>40</v>
      </c>
    </row>
    <row r="7" spans="1:10" ht="45" x14ac:dyDescent="0.25">
      <c r="A7" s="838" t="s">
        <v>23</v>
      </c>
      <c r="B7" s="840" t="s">
        <v>35</v>
      </c>
      <c r="C7" s="842" t="s">
        <v>22</v>
      </c>
      <c r="D7" s="842" t="s">
        <v>21</v>
      </c>
      <c r="E7" s="842" t="s">
        <v>20</v>
      </c>
      <c r="F7" s="842"/>
      <c r="G7" s="842" t="s">
        <v>19</v>
      </c>
      <c r="H7" s="842"/>
      <c r="I7" s="11" t="s">
        <v>18</v>
      </c>
    </row>
    <row r="8" spans="1:10" ht="31.5" thickBot="1" x14ac:dyDescent="0.3">
      <c r="A8" s="839"/>
      <c r="B8" s="841"/>
      <c r="C8" s="843"/>
      <c r="D8" s="843"/>
      <c r="E8" s="12" t="s">
        <v>14</v>
      </c>
      <c r="F8" s="13" t="s">
        <v>17</v>
      </c>
      <c r="G8" s="12" t="s">
        <v>14</v>
      </c>
      <c r="H8" s="13" t="s">
        <v>17</v>
      </c>
      <c r="I8" s="14" t="s">
        <v>16</v>
      </c>
    </row>
    <row r="9" spans="1:10" ht="15.75" x14ac:dyDescent="0.25">
      <c r="A9" s="15"/>
      <c r="B9" s="16"/>
      <c r="C9" s="17" t="s">
        <v>36</v>
      </c>
      <c r="D9" s="18"/>
      <c r="E9" s="19"/>
      <c r="F9" s="20"/>
      <c r="G9" s="19"/>
      <c r="H9" s="20"/>
      <c r="I9" s="21"/>
    </row>
    <row r="10" spans="1:10" ht="15.75" x14ac:dyDescent="0.25">
      <c r="A10" s="383"/>
      <c r="B10" s="384" t="s">
        <v>181</v>
      </c>
      <c r="C10" s="385" t="s">
        <v>182</v>
      </c>
      <c r="D10" s="386" t="s">
        <v>15</v>
      </c>
      <c r="E10" s="204">
        <v>55</v>
      </c>
      <c r="F10" s="387" t="s">
        <v>183</v>
      </c>
      <c r="G10" s="385"/>
      <c r="H10" s="388"/>
      <c r="I10" s="35"/>
    </row>
    <row r="11" spans="1:10" ht="15.75" x14ac:dyDescent="0.25">
      <c r="A11" s="64"/>
      <c r="B11" s="257" t="s">
        <v>60</v>
      </c>
      <c r="C11" s="258" t="s">
        <v>58</v>
      </c>
      <c r="D11" s="188" t="s">
        <v>15</v>
      </c>
      <c r="E11" s="389">
        <v>226</v>
      </c>
      <c r="F11" s="151" t="s">
        <v>1</v>
      </c>
      <c r="G11" s="1"/>
      <c r="H11" s="35" t="s">
        <v>184</v>
      </c>
      <c r="I11" s="1"/>
    </row>
    <row r="12" spans="1:10" ht="15.75" x14ac:dyDescent="0.25">
      <c r="A12" s="64"/>
      <c r="B12" s="190" t="s">
        <v>61</v>
      </c>
      <c r="C12" s="191" t="s">
        <v>62</v>
      </c>
      <c r="D12" s="188" t="s">
        <v>15</v>
      </c>
      <c r="E12" s="390">
        <v>120</v>
      </c>
      <c r="F12" s="151" t="s">
        <v>1</v>
      </c>
      <c r="G12" s="2" t="s">
        <v>69</v>
      </c>
      <c r="H12" s="63"/>
      <c r="I12" s="35"/>
      <c r="J12" t="s">
        <v>185</v>
      </c>
    </row>
    <row r="13" spans="1:10" ht="15.75" hidden="1" x14ac:dyDescent="0.25">
      <c r="A13" s="66"/>
      <c r="B13" s="190" t="s">
        <v>60</v>
      </c>
      <c r="C13" s="191" t="s">
        <v>186</v>
      </c>
      <c r="D13" s="188" t="s">
        <v>15</v>
      </c>
      <c r="E13" s="390">
        <v>380</v>
      </c>
      <c r="F13" s="151" t="s">
        <v>1</v>
      </c>
      <c r="G13" s="2" t="s">
        <v>187</v>
      </c>
      <c r="H13" s="63" t="s">
        <v>188</v>
      </c>
      <c r="I13" s="391"/>
    </row>
    <row r="14" spans="1:10" ht="15.75" hidden="1" x14ac:dyDescent="0.25">
      <c r="A14" s="66"/>
      <c r="B14" s="392" t="s">
        <v>60</v>
      </c>
      <c r="C14" s="379" t="s">
        <v>101</v>
      </c>
      <c r="D14" s="188" t="s">
        <v>15</v>
      </c>
      <c r="E14" s="380">
        <v>255</v>
      </c>
      <c r="F14" s="151" t="s">
        <v>1</v>
      </c>
      <c r="G14" s="2" t="s">
        <v>189</v>
      </c>
      <c r="H14" s="63" t="s">
        <v>73</v>
      </c>
      <c r="I14" s="35"/>
    </row>
    <row r="15" spans="1:10" ht="15.75" hidden="1" x14ac:dyDescent="0.25">
      <c r="A15" s="66"/>
      <c r="B15" s="88" t="s">
        <v>65</v>
      </c>
      <c r="C15" s="192" t="s">
        <v>66</v>
      </c>
      <c r="D15" s="188" t="s">
        <v>15</v>
      </c>
      <c r="E15" s="244">
        <v>75</v>
      </c>
      <c r="F15" s="151" t="s">
        <v>1</v>
      </c>
      <c r="G15" s="2" t="s">
        <v>190</v>
      </c>
      <c r="H15" s="62" t="s">
        <v>74</v>
      </c>
      <c r="I15" s="35"/>
    </row>
    <row r="16" spans="1:10" ht="15.75" x14ac:dyDescent="0.25">
      <c r="A16" s="66"/>
      <c r="B16" s="1"/>
      <c r="C16" s="1"/>
      <c r="D16" s="1"/>
      <c r="E16" s="1"/>
      <c r="F16" s="1"/>
      <c r="G16" s="1"/>
      <c r="H16" s="1"/>
      <c r="I16" s="35"/>
    </row>
    <row r="17" spans="1:9" ht="15.75" x14ac:dyDescent="0.25">
      <c r="A17" s="66"/>
      <c r="B17" s="88"/>
      <c r="C17" s="192"/>
      <c r="D17" s="188"/>
      <c r="E17" s="74"/>
      <c r="F17" s="151"/>
      <c r="G17" s="1"/>
      <c r="H17" s="62"/>
      <c r="I17" s="35"/>
    </row>
    <row r="18" spans="1:9" ht="15.75" x14ac:dyDescent="0.25">
      <c r="A18" s="66"/>
      <c r="B18" s="66"/>
      <c r="C18" s="72"/>
      <c r="D18" s="73"/>
      <c r="E18" s="74"/>
      <c r="F18" s="151"/>
      <c r="G18" s="1"/>
      <c r="H18" s="62"/>
      <c r="I18" s="35"/>
    </row>
    <row r="19" spans="1:9" ht="15.75" x14ac:dyDescent="0.25">
      <c r="A19" s="65"/>
      <c r="B19" s="65"/>
      <c r="C19" s="75" t="s">
        <v>39</v>
      </c>
      <c r="D19" s="76"/>
      <c r="E19" s="74"/>
      <c r="F19" s="151"/>
      <c r="G19" s="1"/>
      <c r="H19" s="62"/>
      <c r="I19" s="35"/>
    </row>
    <row r="20" spans="1:9" ht="15.75" x14ac:dyDescent="0.25">
      <c r="A20" s="66"/>
      <c r="B20" s="27" t="s">
        <v>191</v>
      </c>
      <c r="C20" s="28" t="s">
        <v>192</v>
      </c>
      <c r="D20" s="381" t="s">
        <v>15</v>
      </c>
      <c r="E20" s="26">
        <v>25</v>
      </c>
      <c r="F20" s="110" t="s">
        <v>1</v>
      </c>
      <c r="G20" s="1"/>
      <c r="H20" s="62"/>
      <c r="I20" s="21"/>
    </row>
    <row r="21" spans="1:9" ht="15.75" x14ac:dyDescent="0.25">
      <c r="A21" s="66"/>
      <c r="B21" s="378" t="s">
        <v>60</v>
      </c>
      <c r="C21" s="379" t="s">
        <v>101</v>
      </c>
      <c r="D21" s="382" t="s">
        <v>15</v>
      </c>
      <c r="E21" s="244">
        <v>70</v>
      </c>
      <c r="F21" s="110" t="s">
        <v>1</v>
      </c>
      <c r="G21" s="1"/>
      <c r="H21" s="62" t="s">
        <v>74</v>
      </c>
      <c r="I21" s="21"/>
    </row>
    <row r="22" spans="1:9" ht="15.75" x14ac:dyDescent="0.25">
      <c r="A22" s="66"/>
      <c r="B22" s="86"/>
      <c r="C22" s="72"/>
      <c r="D22" s="73"/>
      <c r="E22" s="74"/>
      <c r="F22" s="69"/>
      <c r="G22" s="1"/>
      <c r="H22" s="62"/>
      <c r="I22" s="21"/>
    </row>
    <row r="23" spans="1:9" ht="15.75" x14ac:dyDescent="0.25">
      <c r="A23" s="66"/>
      <c r="B23" s="1"/>
      <c r="C23" s="1"/>
      <c r="D23" s="71"/>
      <c r="E23" s="68"/>
      <c r="F23" s="69"/>
      <c r="G23" s="85"/>
      <c r="H23" s="85"/>
      <c r="I23" s="21"/>
    </row>
    <row r="24" spans="1:9" ht="15.75" x14ac:dyDescent="0.25">
      <c r="A24" s="66"/>
      <c r="B24" s="66"/>
      <c r="C24" s="77"/>
      <c r="D24" s="71"/>
      <c r="E24" s="68"/>
      <c r="F24" s="69"/>
      <c r="G24" s="84"/>
      <c r="H24" s="84"/>
      <c r="I24" s="21"/>
    </row>
    <row r="25" spans="1:9" ht="15.75" x14ac:dyDescent="0.25">
      <c r="A25" s="64"/>
      <c r="B25" s="64"/>
      <c r="C25" s="78"/>
      <c r="D25" s="67"/>
      <c r="E25" s="68"/>
      <c r="F25" s="69"/>
      <c r="G25" s="62"/>
      <c r="H25" s="63"/>
      <c r="I25" s="21"/>
    </row>
    <row r="26" spans="1:9" ht="15.75" x14ac:dyDescent="0.25">
      <c r="A26" s="92"/>
      <c r="B26" s="92"/>
      <c r="C26" s="93" t="s">
        <v>38</v>
      </c>
      <c r="D26" s="94"/>
      <c r="E26" s="95"/>
      <c r="F26" s="91"/>
      <c r="G26" s="62"/>
      <c r="H26" s="63"/>
      <c r="I26" s="21"/>
    </row>
    <row r="27" spans="1:9" ht="15.75" x14ac:dyDescent="0.25">
      <c r="A27" s="64"/>
      <c r="B27" s="138" t="s">
        <v>75</v>
      </c>
      <c r="C27" s="89" t="s">
        <v>76</v>
      </c>
      <c r="D27" s="199" t="s">
        <v>56</v>
      </c>
      <c r="E27" s="167">
        <v>1</v>
      </c>
      <c r="F27" s="199" t="s">
        <v>6</v>
      </c>
      <c r="G27" s="1"/>
      <c r="H27" s="63"/>
      <c r="I27" s="21"/>
    </row>
    <row r="28" spans="1:9" ht="15.75" x14ac:dyDescent="0.25">
      <c r="A28" s="64"/>
      <c r="B28" s="199" t="s">
        <v>119</v>
      </c>
      <c r="C28" s="89" t="s">
        <v>120</v>
      </c>
      <c r="D28" s="70" t="s">
        <v>51</v>
      </c>
      <c r="E28" s="201">
        <v>1</v>
      </c>
      <c r="F28" s="199" t="s">
        <v>6</v>
      </c>
      <c r="G28" s="1"/>
      <c r="H28" s="63"/>
      <c r="I28" s="21"/>
    </row>
    <row r="29" spans="1:9" ht="15.75" x14ac:dyDescent="0.25">
      <c r="A29" s="100"/>
      <c r="B29" s="202" t="s">
        <v>53</v>
      </c>
      <c r="C29" s="203" t="s">
        <v>77</v>
      </c>
      <c r="D29" s="70" t="s">
        <v>55</v>
      </c>
      <c r="E29" s="204">
        <v>2</v>
      </c>
      <c r="F29" s="205" t="s">
        <v>6</v>
      </c>
      <c r="G29" s="1"/>
      <c r="H29" s="62"/>
      <c r="I29" s="21"/>
    </row>
    <row r="30" spans="1:9" ht="15.75" x14ac:dyDescent="0.25">
      <c r="A30" s="100"/>
      <c r="B30" s="202" t="s">
        <v>78</v>
      </c>
      <c r="C30" s="206" t="s">
        <v>79</v>
      </c>
      <c r="D30" s="70" t="s">
        <v>51</v>
      </c>
      <c r="E30" s="70">
        <v>1</v>
      </c>
      <c r="F30" s="205" t="s">
        <v>6</v>
      </c>
      <c r="H30" s="62"/>
      <c r="I30" s="21"/>
    </row>
    <row r="31" spans="1:9" ht="15.75" x14ac:dyDescent="0.25">
      <c r="A31" s="103"/>
      <c r="B31" s="202" t="s">
        <v>80</v>
      </c>
      <c r="C31" s="206" t="s">
        <v>81</v>
      </c>
      <c r="D31" s="70" t="s">
        <v>51</v>
      </c>
      <c r="E31" s="70">
        <v>1</v>
      </c>
      <c r="F31" s="205" t="s">
        <v>6</v>
      </c>
      <c r="G31" s="62"/>
      <c r="H31" s="62"/>
      <c r="I31" s="21"/>
    </row>
    <row r="32" spans="1:9" ht="15.75" x14ac:dyDescent="0.25">
      <c r="A32" s="66"/>
      <c r="B32" s="66"/>
      <c r="C32" s="66"/>
      <c r="D32" s="70"/>
      <c r="E32" s="68"/>
      <c r="F32" s="69"/>
      <c r="G32" s="62"/>
      <c r="H32" s="62"/>
      <c r="I32" s="21"/>
    </row>
    <row r="33" spans="1:10" ht="15.75" x14ac:dyDescent="0.25">
      <c r="A33" s="79"/>
      <c r="B33" s="79"/>
      <c r="C33" s="80"/>
      <c r="D33" s="81"/>
      <c r="E33" s="82"/>
      <c r="F33" s="83"/>
      <c r="G33" s="19"/>
      <c r="H33" s="33"/>
      <c r="I33" s="21"/>
    </row>
    <row r="34" spans="1:10" ht="15.75" x14ac:dyDescent="0.25">
      <c r="A34" s="36"/>
      <c r="B34" s="36"/>
      <c r="C34" s="22"/>
      <c r="D34" s="23"/>
      <c r="E34" s="36"/>
      <c r="F34" s="34"/>
      <c r="G34" s="30"/>
      <c r="H34" s="33"/>
      <c r="I34" s="21"/>
    </row>
    <row r="35" spans="1:10" ht="15.75" x14ac:dyDescent="0.25">
      <c r="A35" s="24"/>
      <c r="B35" s="24"/>
      <c r="C35" s="37"/>
      <c r="D35" s="38"/>
      <c r="E35" s="24"/>
      <c r="F35" s="3"/>
      <c r="G35" s="31"/>
      <c r="H35" s="33"/>
      <c r="I35" s="21"/>
    </row>
    <row r="36" spans="1:10" ht="17.25" x14ac:dyDescent="0.3">
      <c r="A36" s="39"/>
      <c r="B36" s="27"/>
      <c r="C36" s="40"/>
      <c r="D36" s="41"/>
      <c r="E36" s="29"/>
      <c r="F36" s="29"/>
      <c r="G36" s="31"/>
      <c r="H36" s="33"/>
      <c r="I36" s="21"/>
    </row>
    <row r="37" spans="1:10" ht="15.75" x14ac:dyDescent="0.25">
      <c r="A37" s="27"/>
      <c r="B37" s="42"/>
      <c r="C37" s="28"/>
      <c r="D37" s="26"/>
      <c r="E37" s="25"/>
      <c r="F37" s="3"/>
      <c r="G37" s="31"/>
      <c r="H37" s="35"/>
      <c r="I37" s="21"/>
    </row>
    <row r="38" spans="1:10" ht="15.75" x14ac:dyDescent="0.25">
      <c r="A38" s="43"/>
      <c r="B38" s="44"/>
      <c r="C38" s="45"/>
      <c r="D38" s="35"/>
      <c r="E38" s="35"/>
      <c r="F38" s="32"/>
      <c r="G38" s="35"/>
      <c r="H38" s="35"/>
      <c r="I38" s="21"/>
    </row>
    <row r="39" spans="1:10" ht="18" thickBot="1" x14ac:dyDescent="0.35">
      <c r="A39" s="46"/>
      <c r="B39" s="47"/>
      <c r="C39" s="48"/>
      <c r="D39" s="48"/>
      <c r="E39" s="49"/>
      <c r="F39" s="50"/>
      <c r="G39" s="48"/>
      <c r="H39" s="48"/>
      <c r="I39" s="51"/>
    </row>
    <row r="40" spans="1:10" ht="18" thickBot="1" x14ac:dyDescent="0.35">
      <c r="A40" s="52"/>
      <c r="B40" s="53"/>
      <c r="C40" s="54"/>
      <c r="D40" s="55" t="s">
        <v>14</v>
      </c>
      <c r="E40" s="56" t="s">
        <v>13</v>
      </c>
      <c r="F40" s="57"/>
      <c r="G40" s="54"/>
      <c r="H40" s="54"/>
      <c r="I40" s="58"/>
    </row>
    <row r="41" spans="1:10" ht="17.25" x14ac:dyDescent="0.3">
      <c r="A41" s="829" t="s">
        <v>12</v>
      </c>
      <c r="B41" s="830"/>
      <c r="C41" s="831"/>
      <c r="D41" s="104">
        <v>1096</v>
      </c>
      <c r="E41" s="59" t="s">
        <v>1</v>
      </c>
      <c r="F41" s="832" t="s">
        <v>11</v>
      </c>
      <c r="G41" s="832"/>
      <c r="H41" s="833"/>
      <c r="I41" s="834"/>
      <c r="J41">
        <v>1096</v>
      </c>
    </row>
    <row r="42" spans="1:10" ht="17.25" x14ac:dyDescent="0.3">
      <c r="A42" s="812" t="s">
        <v>10</v>
      </c>
      <c r="B42" s="813"/>
      <c r="C42" s="814"/>
      <c r="D42" s="104">
        <v>7</v>
      </c>
      <c r="E42" s="60" t="s">
        <v>9</v>
      </c>
      <c r="F42" s="815" t="s">
        <v>8</v>
      </c>
      <c r="G42" s="815"/>
      <c r="H42" s="816"/>
      <c r="I42" s="817"/>
    </row>
    <row r="43" spans="1:10" ht="17.25" x14ac:dyDescent="0.3">
      <c r="A43" s="812" t="s">
        <v>7</v>
      </c>
      <c r="B43" s="813"/>
      <c r="C43" s="814"/>
      <c r="D43" s="104">
        <v>1</v>
      </c>
      <c r="E43" s="60" t="s">
        <v>6</v>
      </c>
      <c r="F43" s="815" t="s">
        <v>5</v>
      </c>
      <c r="G43" s="815"/>
      <c r="H43" s="816"/>
      <c r="I43" s="817"/>
    </row>
    <row r="44" spans="1:10" ht="17.25" x14ac:dyDescent="0.3">
      <c r="A44" s="812" t="s">
        <v>4</v>
      </c>
      <c r="B44" s="813"/>
      <c r="C44" s="814"/>
      <c r="D44" s="104">
        <v>1096</v>
      </c>
      <c r="E44" s="60" t="s">
        <v>1</v>
      </c>
      <c r="F44" s="818" t="s">
        <v>3</v>
      </c>
      <c r="G44" s="819"/>
      <c r="H44" s="816"/>
      <c r="I44" s="817"/>
    </row>
    <row r="45" spans="1:10" ht="18" thickBot="1" x14ac:dyDescent="0.35">
      <c r="A45" s="820" t="s">
        <v>2</v>
      </c>
      <c r="B45" s="821"/>
      <c r="C45" s="822"/>
      <c r="D45" s="105">
        <v>55</v>
      </c>
      <c r="E45" s="61" t="s">
        <v>1</v>
      </c>
      <c r="F45" s="823"/>
      <c r="G45" s="823"/>
      <c r="H45" s="824"/>
      <c r="I45" s="825"/>
    </row>
    <row r="46" spans="1:10" ht="16.5" thickBot="1" x14ac:dyDescent="0.3">
      <c r="A46" s="826" t="s">
        <v>0</v>
      </c>
      <c r="B46" s="827"/>
      <c r="C46" s="827"/>
      <c r="D46" s="827"/>
      <c r="E46" s="827"/>
      <c r="F46" s="827"/>
      <c r="G46" s="827"/>
      <c r="H46" s="827"/>
      <c r="I46" s="828"/>
    </row>
    <row r="47" spans="1:10" ht="16.5" x14ac:dyDescent="0.3">
      <c r="A47" s="808" t="s">
        <v>193</v>
      </c>
      <c r="B47" s="809"/>
      <c r="C47" s="810"/>
      <c r="D47" s="810"/>
      <c r="E47" s="810"/>
      <c r="F47" s="810"/>
      <c r="G47" s="810"/>
      <c r="H47" s="810"/>
      <c r="I47" s="811"/>
    </row>
    <row r="48" spans="1:10" ht="16.5" x14ac:dyDescent="0.3">
      <c r="A48" s="865" t="s">
        <v>194</v>
      </c>
      <c r="B48" s="866"/>
      <c r="C48" s="867"/>
      <c r="D48" s="867"/>
      <c r="E48" s="867"/>
      <c r="F48" s="867"/>
      <c r="G48" s="867"/>
      <c r="H48" s="867"/>
      <c r="I48" s="868"/>
    </row>
    <row r="49" spans="1:9" ht="16.5" x14ac:dyDescent="0.3">
      <c r="A49" s="784" t="s">
        <v>195</v>
      </c>
      <c r="B49" s="785"/>
      <c r="C49" s="786"/>
      <c r="D49" s="786"/>
      <c r="E49" s="786"/>
      <c r="F49" s="786"/>
      <c r="G49" s="786"/>
      <c r="H49" s="786"/>
      <c r="I49" s="787"/>
    </row>
    <row r="50" spans="1:9" ht="16.5" x14ac:dyDescent="0.3">
      <c r="A50" s="788" t="s">
        <v>196</v>
      </c>
      <c r="B50" s="789"/>
      <c r="C50" s="790"/>
      <c r="D50" s="790"/>
      <c r="E50" s="790"/>
      <c r="F50" s="790"/>
      <c r="G50" s="790"/>
      <c r="H50" s="790"/>
      <c r="I50" s="791"/>
    </row>
    <row r="51" spans="1:9" x14ac:dyDescent="0.25">
      <c r="A51" s="792" t="s">
        <v>197</v>
      </c>
      <c r="B51" s="793"/>
      <c r="C51" s="794"/>
      <c r="D51" s="794"/>
      <c r="E51" s="794"/>
      <c r="F51" s="794"/>
      <c r="G51" s="794"/>
      <c r="H51" s="794"/>
      <c r="I51" s="795"/>
    </row>
    <row r="52" spans="1:9" x14ac:dyDescent="0.25">
      <c r="A52" s="796" t="s">
        <v>198</v>
      </c>
      <c r="B52" s="797"/>
      <c r="C52" s="798"/>
      <c r="D52" s="798"/>
      <c r="E52" s="798"/>
      <c r="F52" s="798"/>
      <c r="G52" s="798"/>
      <c r="H52" s="798"/>
      <c r="I52" s="799"/>
    </row>
    <row r="53" spans="1:9" x14ac:dyDescent="0.25">
      <c r="A53" s="792" t="s">
        <v>108</v>
      </c>
      <c r="B53" s="793"/>
      <c r="C53" s="794"/>
      <c r="D53" s="794"/>
      <c r="E53" s="794"/>
      <c r="F53" s="794"/>
      <c r="G53" s="794"/>
      <c r="H53" s="794"/>
      <c r="I53" s="795"/>
    </row>
    <row r="54" spans="1:9" x14ac:dyDescent="0.25">
      <c r="A54" s="792"/>
      <c r="B54" s="793"/>
      <c r="C54" s="794"/>
      <c r="D54" s="794"/>
      <c r="E54" s="794"/>
      <c r="F54" s="794"/>
      <c r="G54" s="794"/>
      <c r="H54" s="794"/>
      <c r="I54" s="795"/>
    </row>
    <row r="55" spans="1:9" ht="17.25" x14ac:dyDescent="0.3">
      <c r="A55" s="800"/>
      <c r="B55" s="801"/>
      <c r="C55" s="801"/>
      <c r="D55" s="801"/>
      <c r="E55" s="801"/>
      <c r="F55" s="801"/>
      <c r="G55" s="801"/>
      <c r="H55" s="801"/>
      <c r="I55" s="802"/>
    </row>
    <row r="56" spans="1:9" ht="17.25" x14ac:dyDescent="0.3">
      <c r="A56" s="800"/>
      <c r="B56" s="801"/>
      <c r="C56" s="801"/>
      <c r="D56" s="801"/>
      <c r="E56" s="801"/>
      <c r="F56" s="801"/>
      <c r="G56" s="801"/>
      <c r="H56" s="801"/>
      <c r="I56" s="802"/>
    </row>
    <row r="57" spans="1:9" ht="18" thickBot="1" x14ac:dyDescent="0.35">
      <c r="A57" s="803"/>
      <c r="B57" s="804"/>
      <c r="C57" s="804"/>
      <c r="D57" s="804"/>
      <c r="E57" s="804"/>
      <c r="F57" s="804"/>
      <c r="G57" s="804"/>
      <c r="H57" s="804"/>
      <c r="I57" s="805"/>
    </row>
    <row r="58" spans="1:9" x14ac:dyDescent="0.25">
      <c r="A58" s="806" t="s">
        <v>37</v>
      </c>
      <c r="B58" s="807"/>
      <c r="C58" s="807"/>
      <c r="D58" s="807"/>
      <c r="E58" s="807"/>
      <c r="F58" s="807"/>
      <c r="G58" s="807"/>
      <c r="H58" s="807"/>
      <c r="I58" s="807"/>
    </row>
    <row r="59" spans="1:9" x14ac:dyDescent="0.25">
      <c r="A59" s="782"/>
      <c r="B59" s="783"/>
      <c r="C59" s="783"/>
      <c r="D59" s="783"/>
      <c r="E59" s="783"/>
      <c r="F59" s="783"/>
      <c r="G59" s="783"/>
      <c r="H59" s="783"/>
      <c r="I59" s="783"/>
    </row>
    <row r="60" spans="1:9" x14ac:dyDescent="0.25">
      <c r="A60" s="782"/>
      <c r="B60" s="783"/>
      <c r="C60" s="783"/>
      <c r="D60" s="783"/>
      <c r="E60" s="783"/>
      <c r="F60" s="783"/>
      <c r="G60" s="783"/>
      <c r="H60" s="783"/>
      <c r="I60" s="783"/>
    </row>
  </sheetData>
  <mergeCells count="47">
    <mergeCell ref="A60:I60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1ECC-3BD0-4B89-91EE-5EA82524B587}">
  <dimension ref="A1:J60"/>
  <sheetViews>
    <sheetView topLeftCell="A9" workbookViewId="0">
      <selection activeCell="B28" sqref="B28"/>
    </sheetView>
  </sheetViews>
  <sheetFormatPr baseColWidth="10" defaultRowHeight="15" x14ac:dyDescent="0.25"/>
  <cols>
    <col min="3" max="3" width="42.28515625" bestFit="1" customWidth="1"/>
    <col min="9" max="9" width="12.85546875" customWidth="1"/>
  </cols>
  <sheetData>
    <row r="1" spans="1:10" ht="17.25" x14ac:dyDescent="0.3">
      <c r="A1" s="853"/>
      <c r="B1" s="854"/>
      <c r="C1" s="859" t="s">
        <v>33</v>
      </c>
      <c r="D1" s="859"/>
      <c r="E1" s="859"/>
      <c r="F1" s="859"/>
      <c r="G1" s="859"/>
      <c r="H1" s="4" t="s">
        <v>32</v>
      </c>
      <c r="I1" s="5"/>
    </row>
    <row r="2" spans="1:10" ht="17.25" x14ac:dyDescent="0.3">
      <c r="A2" s="855"/>
      <c r="B2" s="856"/>
      <c r="C2" s="860" t="s">
        <v>31</v>
      </c>
      <c r="D2" s="860"/>
      <c r="E2" s="860"/>
      <c r="F2" s="860"/>
      <c r="G2" s="860"/>
      <c r="H2" s="6" t="s">
        <v>30</v>
      </c>
      <c r="I2" s="7"/>
    </row>
    <row r="3" spans="1:10" ht="18.75" thickBot="1" x14ac:dyDescent="0.3">
      <c r="A3" s="855"/>
      <c r="B3" s="856"/>
      <c r="C3" s="861" t="s">
        <v>121</v>
      </c>
      <c r="D3" s="861"/>
      <c r="E3" s="861"/>
      <c r="F3" s="861"/>
      <c r="G3" s="861"/>
      <c r="H3" s="862" t="s">
        <v>29</v>
      </c>
      <c r="I3" s="844"/>
    </row>
    <row r="4" spans="1:10" ht="17.25" x14ac:dyDescent="0.3">
      <c r="A4" s="855"/>
      <c r="B4" s="856"/>
      <c r="C4" s="8" t="s">
        <v>28</v>
      </c>
      <c r="D4" s="847" t="s">
        <v>34</v>
      </c>
      <c r="E4" s="848"/>
      <c r="F4" s="848"/>
      <c r="G4" s="849"/>
      <c r="H4" s="863"/>
      <c r="I4" s="845"/>
    </row>
    <row r="5" spans="1:10" ht="18" thickBot="1" x14ac:dyDescent="0.35">
      <c r="A5" s="857"/>
      <c r="B5" s="858"/>
      <c r="C5" s="9" t="s">
        <v>27</v>
      </c>
      <c r="D5" s="850" t="s">
        <v>180</v>
      </c>
      <c r="E5" s="851"/>
      <c r="F5" s="851"/>
      <c r="G5" s="852"/>
      <c r="H5" s="864"/>
      <c r="I5" s="846"/>
    </row>
    <row r="6" spans="1:10" ht="32.25" thickBot="1" x14ac:dyDescent="0.3">
      <c r="A6" s="835" t="s">
        <v>25</v>
      </c>
      <c r="B6" s="835"/>
      <c r="C6" s="835"/>
      <c r="D6" s="836" t="s">
        <v>40</v>
      </c>
      <c r="E6" s="836"/>
      <c r="F6" s="836"/>
      <c r="G6" s="837" t="s">
        <v>24</v>
      </c>
      <c r="H6" s="837"/>
      <c r="I6" s="10" t="s">
        <v>40</v>
      </c>
    </row>
    <row r="7" spans="1:10" ht="45" x14ac:dyDescent="0.25">
      <c r="A7" s="838" t="s">
        <v>23</v>
      </c>
      <c r="B7" s="840" t="s">
        <v>35</v>
      </c>
      <c r="C7" s="842" t="s">
        <v>22</v>
      </c>
      <c r="D7" s="842" t="s">
        <v>21</v>
      </c>
      <c r="E7" s="842" t="s">
        <v>20</v>
      </c>
      <c r="F7" s="842"/>
      <c r="G7" s="842" t="s">
        <v>19</v>
      </c>
      <c r="H7" s="842"/>
      <c r="I7" s="11" t="s">
        <v>18</v>
      </c>
    </row>
    <row r="8" spans="1:10" ht="31.5" thickBot="1" x14ac:dyDescent="0.3">
      <c r="A8" s="839"/>
      <c r="B8" s="841"/>
      <c r="C8" s="843"/>
      <c r="D8" s="843"/>
      <c r="E8" s="12" t="s">
        <v>14</v>
      </c>
      <c r="F8" s="13" t="s">
        <v>17</v>
      </c>
      <c r="G8" s="12" t="s">
        <v>14</v>
      </c>
      <c r="H8" s="13" t="s">
        <v>17</v>
      </c>
      <c r="I8" s="14" t="s">
        <v>16</v>
      </c>
    </row>
    <row r="9" spans="1:10" ht="15.75" x14ac:dyDescent="0.25">
      <c r="A9" s="15"/>
      <c r="B9" s="16"/>
      <c r="C9" s="17" t="s">
        <v>36</v>
      </c>
      <c r="D9" s="18"/>
      <c r="E9" s="19"/>
      <c r="F9" s="20"/>
      <c r="G9" s="19"/>
      <c r="H9" s="20"/>
      <c r="I9" s="21"/>
    </row>
    <row r="10" spans="1:10" ht="15.75" x14ac:dyDescent="0.25">
      <c r="A10" s="383"/>
      <c r="B10" s="727" t="s">
        <v>376</v>
      </c>
      <c r="C10" s="716" t="s">
        <v>182</v>
      </c>
      <c r="D10" s="386" t="s">
        <v>15</v>
      </c>
      <c r="E10" s="204">
        <v>55</v>
      </c>
      <c r="F10" s="387" t="s">
        <v>183</v>
      </c>
      <c r="G10" s="385"/>
      <c r="H10" s="388"/>
      <c r="I10" s="35"/>
    </row>
    <row r="11" spans="1:10" ht="21" customHeight="1" x14ac:dyDescent="0.25">
      <c r="A11" s="64"/>
      <c r="B11" s="717" t="s">
        <v>60</v>
      </c>
      <c r="C11" s="718" t="s">
        <v>58</v>
      </c>
      <c r="D11" s="188" t="s">
        <v>15</v>
      </c>
      <c r="E11" s="389">
        <v>226</v>
      </c>
      <c r="F11" s="151" t="s">
        <v>1</v>
      </c>
      <c r="G11" s="1"/>
      <c r="H11" s="35" t="s">
        <v>184</v>
      </c>
      <c r="I11" s="1"/>
    </row>
    <row r="12" spans="1:10" ht="15.75" x14ac:dyDescent="0.25">
      <c r="A12" s="64"/>
      <c r="B12" s="719" t="s">
        <v>61</v>
      </c>
      <c r="C12" s="720" t="s">
        <v>62</v>
      </c>
      <c r="D12" s="188" t="s">
        <v>15</v>
      </c>
      <c r="E12" s="390">
        <v>120</v>
      </c>
      <c r="F12" s="151" t="s">
        <v>1</v>
      </c>
      <c r="G12" s="2" t="s">
        <v>69</v>
      </c>
      <c r="H12" s="63"/>
      <c r="I12" s="35"/>
      <c r="J12" t="s">
        <v>185</v>
      </c>
    </row>
    <row r="13" spans="1:10" ht="15.75" x14ac:dyDescent="0.25">
      <c r="A13" s="66"/>
      <c r="B13" s="719" t="s">
        <v>60</v>
      </c>
      <c r="C13" s="720" t="s">
        <v>186</v>
      </c>
      <c r="D13" s="188" t="s">
        <v>15</v>
      </c>
      <c r="E13" s="390">
        <v>380</v>
      </c>
      <c r="F13" s="151" t="s">
        <v>1</v>
      </c>
      <c r="G13" s="2" t="s">
        <v>187</v>
      </c>
      <c r="H13" s="63" t="s">
        <v>188</v>
      </c>
      <c r="I13" s="391"/>
    </row>
    <row r="14" spans="1:10" ht="15.75" x14ac:dyDescent="0.25">
      <c r="A14" s="66"/>
      <c r="B14" s="392" t="s">
        <v>60</v>
      </c>
      <c r="C14" s="379" t="s">
        <v>101</v>
      </c>
      <c r="D14" s="188" t="s">
        <v>15</v>
      </c>
      <c r="E14" s="380">
        <v>255</v>
      </c>
      <c r="F14" s="151" t="s">
        <v>1</v>
      </c>
      <c r="G14" s="2" t="s">
        <v>189</v>
      </c>
      <c r="H14" s="63" t="s">
        <v>73</v>
      </c>
      <c r="I14" s="35"/>
    </row>
    <row r="15" spans="1:10" ht="15.75" x14ac:dyDescent="0.25">
      <c r="A15" s="66"/>
      <c r="B15" s="721" t="s">
        <v>65</v>
      </c>
      <c r="C15" s="722" t="s">
        <v>66</v>
      </c>
      <c r="D15" s="723" t="s">
        <v>15</v>
      </c>
      <c r="E15" s="724">
        <v>75</v>
      </c>
      <c r="F15" s="151" t="s">
        <v>1</v>
      </c>
      <c r="G15" s="2" t="s">
        <v>190</v>
      </c>
      <c r="H15" s="62" t="s">
        <v>74</v>
      </c>
      <c r="I15" s="35"/>
    </row>
    <row r="16" spans="1:10" ht="15.75" x14ac:dyDescent="0.25">
      <c r="A16" s="66"/>
      <c r="B16" s="1"/>
      <c r="C16" s="1"/>
      <c r="D16" s="1"/>
      <c r="E16" s="1"/>
      <c r="F16" s="1"/>
      <c r="G16" s="1"/>
      <c r="H16" s="1"/>
      <c r="I16" s="35"/>
    </row>
    <row r="17" spans="1:9" ht="15.75" x14ac:dyDescent="0.25">
      <c r="A17" s="66"/>
      <c r="B17" s="88"/>
      <c r="C17" s="192"/>
      <c r="D17" s="188"/>
      <c r="E17" s="74"/>
      <c r="F17" s="151"/>
      <c r="G17" s="1"/>
      <c r="H17" s="62"/>
      <c r="I17" s="35"/>
    </row>
    <row r="18" spans="1:9" ht="15.75" x14ac:dyDescent="0.25">
      <c r="A18" s="66"/>
      <c r="B18" s="66"/>
      <c r="C18" s="72"/>
      <c r="D18" s="73"/>
      <c r="E18" s="74"/>
      <c r="F18" s="151"/>
      <c r="G18" s="1"/>
      <c r="H18" s="62"/>
      <c r="I18" s="35"/>
    </row>
    <row r="19" spans="1:9" ht="15.75" x14ac:dyDescent="0.25">
      <c r="A19" s="65"/>
      <c r="B19" s="65"/>
      <c r="C19" s="75" t="s">
        <v>39</v>
      </c>
      <c r="D19" s="76"/>
      <c r="E19" s="74"/>
      <c r="F19" s="151"/>
      <c r="G19" s="1"/>
      <c r="H19" s="62"/>
      <c r="I19" s="35"/>
    </row>
    <row r="20" spans="1:9" ht="15.75" x14ac:dyDescent="0.25">
      <c r="A20" s="66"/>
      <c r="B20" s="725" t="s">
        <v>191</v>
      </c>
      <c r="C20" s="726" t="s">
        <v>192</v>
      </c>
      <c r="D20" s="381" t="s">
        <v>15</v>
      </c>
      <c r="E20" s="26">
        <v>25</v>
      </c>
      <c r="F20" s="110" t="s">
        <v>1</v>
      </c>
      <c r="G20" s="1"/>
      <c r="H20" s="62"/>
      <c r="I20" s="21"/>
    </row>
    <row r="21" spans="1:9" ht="15.75" x14ac:dyDescent="0.25">
      <c r="A21" s="66"/>
      <c r="B21" s="378" t="s">
        <v>60</v>
      </c>
      <c r="C21" s="379" t="s">
        <v>101</v>
      </c>
      <c r="D21" s="382" t="s">
        <v>15</v>
      </c>
      <c r="E21" s="244">
        <v>70</v>
      </c>
      <c r="F21" s="110" t="s">
        <v>1</v>
      </c>
      <c r="G21" s="1"/>
      <c r="H21" s="62" t="s">
        <v>74</v>
      </c>
      <c r="I21" s="21"/>
    </row>
    <row r="22" spans="1:9" ht="15.75" x14ac:dyDescent="0.25">
      <c r="A22" s="66"/>
      <c r="B22" s="86"/>
      <c r="C22" s="72"/>
      <c r="D22" s="73"/>
      <c r="E22" s="74"/>
      <c r="F22" s="69"/>
      <c r="G22" s="1"/>
      <c r="H22" s="62"/>
      <c r="I22" s="21"/>
    </row>
    <row r="23" spans="1:9" ht="15.75" x14ac:dyDescent="0.25">
      <c r="A23" s="66"/>
      <c r="B23" s="1"/>
      <c r="C23" s="1"/>
      <c r="D23" s="71"/>
      <c r="E23" s="68"/>
      <c r="F23" s="69"/>
      <c r="G23" s="85"/>
      <c r="H23" s="85"/>
      <c r="I23" s="21"/>
    </row>
    <row r="24" spans="1:9" ht="15.75" x14ac:dyDescent="0.25">
      <c r="A24" s="66"/>
      <c r="B24" s="66"/>
      <c r="C24" s="77"/>
      <c r="D24" s="71"/>
      <c r="E24" s="68"/>
      <c r="F24" s="69"/>
      <c r="G24" s="84"/>
      <c r="H24" s="84"/>
      <c r="I24" s="21"/>
    </row>
    <row r="25" spans="1:9" ht="15.75" x14ac:dyDescent="0.25">
      <c r="A25" s="64"/>
      <c r="B25" s="64"/>
      <c r="C25" s="78"/>
      <c r="D25" s="67"/>
      <c r="E25" s="68"/>
      <c r="F25" s="69"/>
      <c r="G25" s="62"/>
      <c r="H25" s="63"/>
      <c r="I25" s="21"/>
    </row>
    <row r="26" spans="1:9" ht="15.75" x14ac:dyDescent="0.25">
      <c r="A26" s="92"/>
      <c r="B26" s="92"/>
      <c r="C26" s="93" t="s">
        <v>38</v>
      </c>
      <c r="D26" s="94"/>
      <c r="E26" s="95"/>
      <c r="F26" s="91"/>
      <c r="G26" s="62"/>
      <c r="H26" s="63"/>
      <c r="I26" s="21"/>
    </row>
    <row r="27" spans="1:9" ht="15.75" x14ac:dyDescent="0.25">
      <c r="A27" s="64"/>
      <c r="B27" s="138" t="s">
        <v>75</v>
      </c>
      <c r="C27" s="89" t="s">
        <v>76</v>
      </c>
      <c r="D27" s="199" t="s">
        <v>56</v>
      </c>
      <c r="E27" s="167">
        <v>1</v>
      </c>
      <c r="F27" s="199" t="s">
        <v>6</v>
      </c>
      <c r="G27" s="1"/>
      <c r="H27" s="63"/>
      <c r="I27" s="21"/>
    </row>
    <row r="28" spans="1:9" ht="15.75" x14ac:dyDescent="0.25">
      <c r="A28" s="64"/>
      <c r="B28" s="199" t="s">
        <v>374</v>
      </c>
      <c r="C28" s="89" t="s">
        <v>120</v>
      </c>
      <c r="D28" s="70" t="s">
        <v>51</v>
      </c>
      <c r="E28" s="201">
        <v>1</v>
      </c>
      <c r="F28" s="199" t="s">
        <v>6</v>
      </c>
      <c r="G28" s="1"/>
      <c r="H28" s="63"/>
      <c r="I28" s="21"/>
    </row>
    <row r="29" spans="1:9" ht="15.75" x14ac:dyDescent="0.25">
      <c r="A29" s="100"/>
      <c r="B29" s="202" t="s">
        <v>53</v>
      </c>
      <c r="C29" s="203" t="s">
        <v>77</v>
      </c>
      <c r="D29" s="70" t="s">
        <v>55</v>
      </c>
      <c r="E29" s="204">
        <v>2</v>
      </c>
      <c r="F29" s="205" t="s">
        <v>6</v>
      </c>
      <c r="G29" s="1"/>
      <c r="H29" s="62"/>
      <c r="I29" s="21"/>
    </row>
    <row r="30" spans="1:9" ht="15.75" x14ac:dyDescent="0.25">
      <c r="A30" s="100"/>
      <c r="B30" s="202" t="s">
        <v>78</v>
      </c>
      <c r="C30" s="206" t="s">
        <v>79</v>
      </c>
      <c r="D30" s="70" t="s">
        <v>51</v>
      </c>
      <c r="E30" s="70">
        <v>1</v>
      </c>
      <c r="F30" s="205" t="s">
        <v>6</v>
      </c>
      <c r="H30" s="62"/>
      <c r="I30" s="21"/>
    </row>
    <row r="31" spans="1:9" ht="15.75" x14ac:dyDescent="0.25">
      <c r="A31" s="103"/>
      <c r="B31" s="202" t="s">
        <v>80</v>
      </c>
      <c r="C31" s="206" t="s">
        <v>81</v>
      </c>
      <c r="D31" s="70" t="s">
        <v>51</v>
      </c>
      <c r="E31" s="70">
        <v>1</v>
      </c>
      <c r="F31" s="205" t="s">
        <v>6</v>
      </c>
      <c r="G31" s="62"/>
      <c r="H31" s="62"/>
      <c r="I31" s="21"/>
    </row>
    <row r="32" spans="1:9" ht="15.75" x14ac:dyDescent="0.25">
      <c r="A32" s="66"/>
      <c r="B32" s="66"/>
      <c r="C32" s="66"/>
      <c r="D32" s="70"/>
      <c r="E32" s="68"/>
      <c r="F32" s="69"/>
      <c r="G32" s="62"/>
      <c r="H32" s="62"/>
      <c r="I32" s="21"/>
    </row>
    <row r="33" spans="1:10" ht="15.75" x14ac:dyDescent="0.25">
      <c r="A33" s="79"/>
      <c r="B33" s="79"/>
      <c r="C33" s="80"/>
      <c r="D33" s="81"/>
      <c r="E33" s="82"/>
      <c r="F33" s="83"/>
      <c r="G33" s="19"/>
      <c r="H33" s="33"/>
      <c r="I33" s="21"/>
    </row>
    <row r="34" spans="1:10" ht="15.75" x14ac:dyDescent="0.25">
      <c r="A34" s="36"/>
      <c r="B34" s="36"/>
      <c r="C34" s="22"/>
      <c r="D34" s="23"/>
      <c r="E34" s="36"/>
      <c r="F34" s="34"/>
      <c r="G34" s="30"/>
      <c r="H34" s="33"/>
      <c r="I34" s="21"/>
    </row>
    <row r="35" spans="1:10" ht="15.75" x14ac:dyDescent="0.25">
      <c r="A35" s="24"/>
      <c r="B35" s="24"/>
      <c r="C35" s="37"/>
      <c r="D35" s="38"/>
      <c r="E35" s="24"/>
      <c r="F35" s="3"/>
      <c r="G35" s="31"/>
      <c r="H35" s="33"/>
      <c r="I35" s="21"/>
    </row>
    <row r="36" spans="1:10" ht="17.25" x14ac:dyDescent="0.3">
      <c r="A36" s="39"/>
      <c r="B36" s="27"/>
      <c r="C36" s="40"/>
      <c r="D36" s="41"/>
      <c r="E36" s="29"/>
      <c r="F36" s="29"/>
      <c r="G36" s="31"/>
      <c r="H36" s="33"/>
      <c r="I36" s="21"/>
    </row>
    <row r="37" spans="1:10" ht="15.75" x14ac:dyDescent="0.25">
      <c r="A37" s="27"/>
      <c r="B37" s="42"/>
      <c r="C37" s="28"/>
      <c r="D37" s="26"/>
      <c r="E37" s="25"/>
      <c r="F37" s="3"/>
      <c r="G37" s="31"/>
      <c r="H37" s="35"/>
      <c r="I37" s="21"/>
    </row>
    <row r="38" spans="1:10" ht="15.75" x14ac:dyDescent="0.25">
      <c r="A38" s="43"/>
      <c r="B38" s="44"/>
      <c r="C38" s="45"/>
      <c r="D38" s="35"/>
      <c r="E38" s="35"/>
      <c r="F38" s="32"/>
      <c r="G38" s="35"/>
      <c r="H38" s="35"/>
      <c r="I38" s="21"/>
    </row>
    <row r="39" spans="1:10" ht="18" thickBot="1" x14ac:dyDescent="0.35">
      <c r="A39" s="46"/>
      <c r="B39" s="47"/>
      <c r="C39" s="48"/>
      <c r="D39" s="48"/>
      <c r="E39" s="49"/>
      <c r="F39" s="50"/>
      <c r="G39" s="48"/>
      <c r="H39" s="48"/>
      <c r="I39" s="51"/>
    </row>
    <row r="40" spans="1:10" ht="18" thickBot="1" x14ac:dyDescent="0.35">
      <c r="A40" s="52"/>
      <c r="B40" s="53"/>
      <c r="C40" s="54"/>
      <c r="D40" s="55" t="s">
        <v>14</v>
      </c>
      <c r="E40" s="56" t="s">
        <v>13</v>
      </c>
      <c r="F40" s="57"/>
      <c r="G40" s="54"/>
      <c r="H40" s="54"/>
      <c r="I40" s="58"/>
    </row>
    <row r="41" spans="1:10" ht="17.25" x14ac:dyDescent="0.3">
      <c r="A41" s="829" t="s">
        <v>12</v>
      </c>
      <c r="B41" s="830"/>
      <c r="C41" s="831"/>
      <c r="D41" s="104">
        <v>1096</v>
      </c>
      <c r="E41" s="59" t="s">
        <v>1</v>
      </c>
      <c r="F41" s="832" t="s">
        <v>11</v>
      </c>
      <c r="G41" s="832"/>
      <c r="H41" s="833"/>
      <c r="I41" s="834"/>
      <c r="J41">
        <v>1096</v>
      </c>
    </row>
    <row r="42" spans="1:10" ht="17.25" x14ac:dyDescent="0.3">
      <c r="A42" s="812" t="s">
        <v>10</v>
      </c>
      <c r="B42" s="813"/>
      <c r="C42" s="814"/>
      <c r="D42" s="104">
        <v>7</v>
      </c>
      <c r="E42" s="60" t="s">
        <v>9</v>
      </c>
      <c r="F42" s="815" t="s">
        <v>8</v>
      </c>
      <c r="G42" s="815"/>
      <c r="H42" s="816"/>
      <c r="I42" s="817"/>
    </row>
    <row r="43" spans="1:10" ht="17.25" x14ac:dyDescent="0.3">
      <c r="A43" s="812" t="s">
        <v>7</v>
      </c>
      <c r="B43" s="813"/>
      <c r="C43" s="814"/>
      <c r="D43" s="104">
        <v>1</v>
      </c>
      <c r="E43" s="60" t="s">
        <v>6</v>
      </c>
      <c r="F43" s="815" t="s">
        <v>5</v>
      </c>
      <c r="G43" s="815"/>
      <c r="H43" s="816"/>
      <c r="I43" s="817"/>
    </row>
    <row r="44" spans="1:10" ht="17.25" x14ac:dyDescent="0.3">
      <c r="A44" s="812" t="s">
        <v>4</v>
      </c>
      <c r="B44" s="813"/>
      <c r="C44" s="814"/>
      <c r="D44" s="104">
        <v>1096</v>
      </c>
      <c r="E44" s="60" t="s">
        <v>1</v>
      </c>
      <c r="F44" s="818" t="s">
        <v>3</v>
      </c>
      <c r="G44" s="819"/>
      <c r="H44" s="816"/>
      <c r="I44" s="817"/>
    </row>
    <row r="45" spans="1:10" ht="18" thickBot="1" x14ac:dyDescent="0.35">
      <c r="A45" s="820" t="s">
        <v>2</v>
      </c>
      <c r="B45" s="821"/>
      <c r="C45" s="822"/>
      <c r="D45" s="105">
        <v>55</v>
      </c>
      <c r="E45" s="61" t="s">
        <v>1</v>
      </c>
      <c r="F45" s="823"/>
      <c r="G45" s="823"/>
      <c r="H45" s="824"/>
      <c r="I45" s="825"/>
    </row>
    <row r="46" spans="1:10" ht="16.5" thickBot="1" x14ac:dyDescent="0.3">
      <c r="A46" s="826" t="s">
        <v>0</v>
      </c>
      <c r="B46" s="827"/>
      <c r="C46" s="827"/>
      <c r="D46" s="827"/>
      <c r="E46" s="827"/>
      <c r="F46" s="827"/>
      <c r="G46" s="827"/>
      <c r="H46" s="827"/>
      <c r="I46" s="828"/>
    </row>
    <row r="47" spans="1:10" ht="16.5" x14ac:dyDescent="0.3">
      <c r="A47" s="808" t="s">
        <v>193</v>
      </c>
      <c r="B47" s="809"/>
      <c r="C47" s="810"/>
      <c r="D47" s="810"/>
      <c r="E47" s="810"/>
      <c r="F47" s="810"/>
      <c r="G47" s="810"/>
      <c r="H47" s="810"/>
      <c r="I47" s="811"/>
    </row>
    <row r="48" spans="1:10" ht="16.5" x14ac:dyDescent="0.3">
      <c r="A48" s="865" t="s">
        <v>194</v>
      </c>
      <c r="B48" s="866"/>
      <c r="C48" s="867"/>
      <c r="D48" s="867"/>
      <c r="E48" s="867"/>
      <c r="F48" s="867"/>
      <c r="G48" s="867"/>
      <c r="H48" s="867"/>
      <c r="I48" s="868"/>
    </row>
    <row r="49" spans="1:9" ht="16.5" x14ac:dyDescent="0.3">
      <c r="A49" s="784" t="s">
        <v>195</v>
      </c>
      <c r="B49" s="785"/>
      <c r="C49" s="786"/>
      <c r="D49" s="786"/>
      <c r="E49" s="786"/>
      <c r="F49" s="786"/>
      <c r="G49" s="786"/>
      <c r="H49" s="786"/>
      <c r="I49" s="787"/>
    </row>
    <row r="50" spans="1:9" ht="16.5" x14ac:dyDescent="0.3">
      <c r="A50" s="788" t="s">
        <v>196</v>
      </c>
      <c r="B50" s="789"/>
      <c r="C50" s="790"/>
      <c r="D50" s="790"/>
      <c r="E50" s="790"/>
      <c r="F50" s="790"/>
      <c r="G50" s="790"/>
      <c r="H50" s="790"/>
      <c r="I50" s="791"/>
    </row>
    <row r="51" spans="1:9" x14ac:dyDescent="0.25">
      <c r="A51" s="792" t="s">
        <v>197</v>
      </c>
      <c r="B51" s="793"/>
      <c r="C51" s="794"/>
      <c r="D51" s="794"/>
      <c r="E51" s="794"/>
      <c r="F51" s="794"/>
      <c r="G51" s="794"/>
      <c r="H51" s="794"/>
      <c r="I51" s="795"/>
    </row>
    <row r="52" spans="1:9" x14ac:dyDescent="0.25">
      <c r="A52" s="796" t="s">
        <v>198</v>
      </c>
      <c r="B52" s="797"/>
      <c r="C52" s="798"/>
      <c r="D52" s="798"/>
      <c r="E52" s="798"/>
      <c r="F52" s="798"/>
      <c r="G52" s="798"/>
      <c r="H52" s="798"/>
      <c r="I52" s="799"/>
    </row>
    <row r="53" spans="1:9" x14ac:dyDescent="0.25">
      <c r="A53" s="792" t="s">
        <v>108</v>
      </c>
      <c r="B53" s="793"/>
      <c r="C53" s="794"/>
      <c r="D53" s="794"/>
      <c r="E53" s="794"/>
      <c r="F53" s="794"/>
      <c r="G53" s="794"/>
      <c r="H53" s="794"/>
      <c r="I53" s="795"/>
    </row>
    <row r="54" spans="1:9" x14ac:dyDescent="0.25">
      <c r="A54" s="792"/>
      <c r="B54" s="793"/>
      <c r="C54" s="794"/>
      <c r="D54" s="794"/>
      <c r="E54" s="794"/>
      <c r="F54" s="794"/>
      <c r="G54" s="794"/>
      <c r="H54" s="794"/>
      <c r="I54" s="795"/>
    </row>
    <row r="55" spans="1:9" ht="17.25" x14ac:dyDescent="0.3">
      <c r="A55" s="800"/>
      <c r="B55" s="801"/>
      <c r="C55" s="801"/>
      <c r="D55" s="801"/>
      <c r="E55" s="801"/>
      <c r="F55" s="801"/>
      <c r="G55" s="801"/>
      <c r="H55" s="801"/>
      <c r="I55" s="802"/>
    </row>
    <row r="56" spans="1:9" ht="17.25" x14ac:dyDescent="0.3">
      <c r="A56" s="800"/>
      <c r="B56" s="801"/>
      <c r="C56" s="801"/>
      <c r="D56" s="801"/>
      <c r="E56" s="801"/>
      <c r="F56" s="801"/>
      <c r="G56" s="801"/>
      <c r="H56" s="801"/>
      <c r="I56" s="802"/>
    </row>
    <row r="57" spans="1:9" ht="18" thickBot="1" x14ac:dyDescent="0.35">
      <c r="A57" s="803"/>
      <c r="B57" s="804"/>
      <c r="C57" s="804"/>
      <c r="D57" s="804"/>
      <c r="E57" s="804"/>
      <c r="F57" s="804"/>
      <c r="G57" s="804"/>
      <c r="H57" s="804"/>
      <c r="I57" s="805"/>
    </row>
    <row r="58" spans="1:9" x14ac:dyDescent="0.25">
      <c r="A58" s="806" t="s">
        <v>37</v>
      </c>
      <c r="B58" s="807"/>
      <c r="C58" s="807"/>
      <c r="D58" s="807"/>
      <c r="E58" s="807"/>
      <c r="F58" s="807"/>
      <c r="G58" s="807"/>
      <c r="H58" s="807"/>
      <c r="I58" s="807"/>
    </row>
    <row r="59" spans="1:9" x14ac:dyDescent="0.25">
      <c r="A59" s="782"/>
      <c r="B59" s="783"/>
      <c r="C59" s="783"/>
      <c r="D59" s="783"/>
      <c r="E59" s="783"/>
      <c r="F59" s="783"/>
      <c r="G59" s="783"/>
      <c r="H59" s="783"/>
      <c r="I59" s="783"/>
    </row>
    <row r="60" spans="1:9" x14ac:dyDescent="0.25">
      <c r="A60" s="782"/>
      <c r="B60" s="783"/>
      <c r="C60" s="783"/>
      <c r="D60" s="783"/>
      <c r="E60" s="783"/>
      <c r="F60" s="783"/>
      <c r="G60" s="783"/>
      <c r="H60" s="783"/>
      <c r="I60" s="783"/>
    </row>
  </sheetData>
  <mergeCells count="47">
    <mergeCell ref="A60:I60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6BB4-743C-4227-AAFB-5A0C2F032F6D}">
  <dimension ref="A1:Q91"/>
  <sheetViews>
    <sheetView workbookViewId="0">
      <selection activeCell="F19" sqref="F19"/>
    </sheetView>
  </sheetViews>
  <sheetFormatPr baseColWidth="10" defaultColWidth="8.42578125" defaultRowHeight="12.75" x14ac:dyDescent="0.25"/>
  <cols>
    <col min="1" max="1" width="10" style="267" bestFit="1" customWidth="1"/>
    <col min="2" max="2" width="44.28515625" style="267" bestFit="1" customWidth="1"/>
    <col min="3" max="3" width="10.42578125" style="267" bestFit="1" customWidth="1"/>
    <col min="4" max="4" width="10.42578125" style="267" customWidth="1"/>
    <col min="5" max="5" width="11" style="267" customWidth="1"/>
    <col min="6" max="6" width="9.5703125" style="267" bestFit="1" customWidth="1"/>
    <col min="7" max="7" width="10.85546875" style="349" customWidth="1"/>
    <col min="8" max="8" width="10.42578125" style="340" bestFit="1" customWidth="1"/>
    <col min="9" max="9" width="4.5703125" style="340" customWidth="1"/>
    <col min="10" max="10" width="1.85546875" style="266" customWidth="1"/>
    <col min="11" max="11" width="7" style="267" bestFit="1" customWidth="1"/>
    <col min="12" max="12" width="6.28515625" style="267" customWidth="1"/>
    <col min="13" max="13" width="20.42578125" style="267" customWidth="1"/>
    <col min="14" max="14" width="6.42578125" style="267" bestFit="1" customWidth="1"/>
    <col min="15" max="16" width="8.42578125" style="267"/>
    <col min="17" max="17" width="3.28515625" style="267" customWidth="1"/>
    <col min="18" max="16384" width="8.42578125" style="267"/>
  </cols>
  <sheetData>
    <row r="1" spans="1:10" ht="27.75" customHeight="1" x14ac:dyDescent="0.25">
      <c r="A1" s="262"/>
      <c r="B1" s="262"/>
      <c r="C1" s="262"/>
      <c r="D1" s="262"/>
      <c r="E1" s="263" t="s">
        <v>122</v>
      </c>
      <c r="F1" s="264" t="s">
        <v>123</v>
      </c>
      <c r="G1" s="264" t="s">
        <v>124</v>
      </c>
      <c r="H1" s="264" t="s">
        <v>125</v>
      </c>
      <c r="I1" s="265"/>
    </row>
    <row r="2" spans="1:10" ht="30.75" customHeight="1" x14ac:dyDescent="0.25">
      <c r="A2" s="262"/>
      <c r="B2" s="262"/>
      <c r="C2" s="262"/>
      <c r="D2" s="262"/>
      <c r="E2" s="268">
        <f>IFERROR(O62,"")</f>
        <v>5869.9971680812432</v>
      </c>
      <c r="F2" s="268">
        <f>IFERROR(H53,"")</f>
        <v>3472.1472698717948</v>
      </c>
      <c r="G2" s="268">
        <f>IFERROR(H54,"")</f>
        <v>791.4139730833333</v>
      </c>
      <c r="H2" s="268">
        <f>IFERROR(H56,"")</f>
        <v>773.09728896694287</v>
      </c>
      <c r="I2" s="269"/>
    </row>
    <row r="3" spans="1:10" ht="15" customHeight="1" x14ac:dyDescent="0.25">
      <c r="A3" s="262"/>
      <c r="B3" s="262"/>
      <c r="C3" s="262"/>
      <c r="D3" s="262"/>
      <c r="E3" s="262"/>
      <c r="F3" s="270"/>
      <c r="G3" s="270"/>
      <c r="H3" s="270"/>
      <c r="I3" s="270"/>
    </row>
    <row r="4" spans="1:10" ht="24.75" customHeight="1" thickBot="1" x14ac:dyDescent="0.3">
      <c r="A4" s="895"/>
      <c r="B4" s="895"/>
      <c r="C4" s="895"/>
      <c r="D4" s="895"/>
      <c r="E4" s="895"/>
      <c r="F4" s="895"/>
      <c r="G4" s="895"/>
      <c r="H4" s="895"/>
      <c r="I4" s="271"/>
    </row>
    <row r="5" spans="1:10" ht="19.5" customHeight="1" thickBot="1" x14ac:dyDescent="0.3">
      <c r="A5" s="896" t="s">
        <v>126</v>
      </c>
      <c r="B5" s="897"/>
      <c r="C5" s="897"/>
      <c r="D5" s="897"/>
      <c r="E5" s="897"/>
      <c r="F5" s="897"/>
      <c r="G5" s="897"/>
      <c r="H5" s="898"/>
      <c r="I5" s="272"/>
    </row>
    <row r="6" spans="1:10" ht="19.5" thickBot="1" x14ac:dyDescent="0.3">
      <c r="A6" s="272"/>
      <c r="B6" s="272"/>
      <c r="C6" s="272"/>
      <c r="D6" s="272"/>
      <c r="E6" s="272"/>
      <c r="F6" s="899" t="s">
        <v>127</v>
      </c>
      <c r="G6" s="899"/>
      <c r="H6" s="273">
        <f ca="1">TODAY()</f>
        <v>46083</v>
      </c>
      <c r="I6" s="273"/>
    </row>
    <row r="7" spans="1:10" ht="26.25" hidden="1" thickBot="1" x14ac:dyDescent="0.3">
      <c r="A7" s="274" t="s">
        <v>128</v>
      </c>
      <c r="B7" s="275" t="s">
        <v>129</v>
      </c>
      <c r="C7" s="275" t="s">
        <v>128</v>
      </c>
      <c r="D7" s="276" t="s">
        <v>130</v>
      </c>
      <c r="E7" s="276" t="s">
        <v>131</v>
      </c>
      <c r="F7" s="276" t="s">
        <v>132</v>
      </c>
      <c r="G7" s="276" t="s">
        <v>133</v>
      </c>
      <c r="H7" s="277" t="s">
        <v>134</v>
      </c>
      <c r="I7" s="278"/>
    </row>
    <row r="8" spans="1:10" ht="13.5" hidden="1" x14ac:dyDescent="0.25">
      <c r="A8" s="279"/>
      <c r="B8" s="267" t="str">
        <f>IFERROR(VLOOKUP(H8,'[1]Consolidado MP Planta'!$A$2:$M$823,3,0),"")</f>
        <v/>
      </c>
      <c r="C8" s="280">
        <f>+A8</f>
        <v>0</v>
      </c>
      <c r="D8" s="281" t="str">
        <f>IFERROR(VLOOKUP(H8,'[1]Consolidado MP Planta'!$A$2:$M$823,13,0),"")</f>
        <v/>
      </c>
      <c r="E8" s="281" t="str">
        <f>IFERROR(VLOOKUP(H8,'[1]Consolidado MP Planta'!$A$2:$M$823,12,0),"")</f>
        <v/>
      </c>
      <c r="F8" s="281" t="str">
        <f>IFERROR(C8*E8,"")</f>
        <v/>
      </c>
      <c r="G8" s="282" t="str">
        <f t="shared" ref="G8:G14" si="0">IFERROR(F8/$F$66,"")</f>
        <v/>
      </c>
      <c r="H8" s="283"/>
      <c r="I8" s="283"/>
      <c r="J8" s="284"/>
    </row>
    <row r="9" spans="1:10" ht="13.5" hidden="1" x14ac:dyDescent="0.25">
      <c r="A9" s="279"/>
      <c r="B9" s="267" t="str">
        <f>IFERROR(VLOOKUP(H9,'[1]Consolidado MP Planta'!$A$2:$M$823,3,0),"")</f>
        <v/>
      </c>
      <c r="C9" s="280">
        <f t="shared" ref="C9:C14" si="1">+A9</f>
        <v>0</v>
      </c>
      <c r="D9" s="281" t="str">
        <f>IFERROR(VLOOKUP(H9,'[1]Consolidado MP Planta'!$A$2:$M$823,13,0),"")</f>
        <v/>
      </c>
      <c r="E9" s="281" t="str">
        <f>IFERROR(VLOOKUP(H9,'[1]Consolidado MP Planta'!$A$2:$M$823,12,0),"")</f>
        <v/>
      </c>
      <c r="F9" s="281" t="str">
        <f t="shared" ref="F9:F14" si="2">IFERROR(C9*E9,"")</f>
        <v/>
      </c>
      <c r="G9" s="282" t="str">
        <f t="shared" si="0"/>
        <v/>
      </c>
      <c r="H9" s="283"/>
      <c r="I9" s="283"/>
      <c r="J9" s="284"/>
    </row>
    <row r="10" spans="1:10" ht="13.5" hidden="1" x14ac:dyDescent="0.25">
      <c r="A10" s="279"/>
      <c r="B10" s="267" t="str">
        <f>IFERROR(VLOOKUP(H10,'[1]Consolidado MP Planta'!$A$2:$M$823,3,0),"")</f>
        <v/>
      </c>
      <c r="C10" s="280">
        <f t="shared" si="1"/>
        <v>0</v>
      </c>
      <c r="D10" s="281" t="str">
        <f>IFERROR(VLOOKUP(H10,'[1]Consolidado MP Planta'!$A$2:$M$823,13,0),"")</f>
        <v/>
      </c>
      <c r="E10" s="281" t="str">
        <f>IFERROR(VLOOKUP(H10,'[1]Consolidado MP Planta'!$A$2:$M$823,12,0),"")</f>
        <v/>
      </c>
      <c r="F10" s="281" t="str">
        <f t="shared" si="2"/>
        <v/>
      </c>
      <c r="G10" s="282" t="str">
        <f t="shared" si="0"/>
        <v/>
      </c>
      <c r="H10" s="283"/>
      <c r="I10" s="283"/>
      <c r="J10" s="284"/>
    </row>
    <row r="11" spans="1:10" ht="13.5" hidden="1" x14ac:dyDescent="0.25">
      <c r="A11" s="279"/>
      <c r="B11" s="267" t="str">
        <f>IFERROR(VLOOKUP(H11,'[1]Consolidado MP Planta'!$A$2:$M$823,3,0),"")</f>
        <v/>
      </c>
      <c r="C11" s="280">
        <f t="shared" si="1"/>
        <v>0</v>
      </c>
      <c r="D11" s="281" t="str">
        <f>IFERROR(VLOOKUP(H11,'[1]Consolidado MP Planta'!$A$2:$M$823,13,0),"")</f>
        <v/>
      </c>
      <c r="E11" s="281" t="str">
        <f>IFERROR(VLOOKUP(H11,'[1]Consolidado MP Planta'!$A$2:$M$823,12,0),"")</f>
        <v/>
      </c>
      <c r="F11" s="281" t="str">
        <f t="shared" si="2"/>
        <v/>
      </c>
      <c r="G11" s="282" t="str">
        <f t="shared" si="0"/>
        <v/>
      </c>
      <c r="H11" s="283"/>
      <c r="I11" s="283"/>
      <c r="J11" s="284"/>
    </row>
    <row r="12" spans="1:10" ht="13.5" hidden="1" x14ac:dyDescent="0.25">
      <c r="A12" s="279"/>
      <c r="B12" s="267" t="str">
        <f>IFERROR(VLOOKUP(H12,'[1]Consolidado MP Planta'!$A$2:$M$823,3,0),"")</f>
        <v/>
      </c>
      <c r="C12" s="280">
        <f t="shared" si="1"/>
        <v>0</v>
      </c>
      <c r="D12" s="281" t="str">
        <f>IFERROR(VLOOKUP(H12,'[1]Consolidado MP Planta'!$A$2:$M$823,13,0),"")</f>
        <v/>
      </c>
      <c r="E12" s="281" t="str">
        <f>IFERROR(VLOOKUP(H12,'[1]Consolidado MP Planta'!$A$2:$M$823,12,0),"")</f>
        <v/>
      </c>
      <c r="F12" s="281" t="str">
        <f t="shared" si="2"/>
        <v/>
      </c>
      <c r="G12" s="282" t="str">
        <f t="shared" si="0"/>
        <v/>
      </c>
      <c r="H12" s="283"/>
      <c r="I12" s="283"/>
      <c r="J12" s="284"/>
    </row>
    <row r="13" spans="1:10" ht="13.5" hidden="1" x14ac:dyDescent="0.25">
      <c r="A13" s="279"/>
      <c r="B13" s="267" t="str">
        <f>IFERROR(VLOOKUP(H13,'[1]Consolidado MP Planta'!$A$2:$M$823,3,0),"")</f>
        <v/>
      </c>
      <c r="C13" s="280">
        <f t="shared" si="1"/>
        <v>0</v>
      </c>
      <c r="D13" s="281" t="str">
        <f>IFERROR(VLOOKUP(H13,'[1]Consolidado MP Planta'!$A$2:$M$823,13,0),"")</f>
        <v/>
      </c>
      <c r="E13" s="281" t="str">
        <f>IFERROR(VLOOKUP(H13,'[1]Consolidado MP Planta'!$A$2:$M$823,12,0),"")</f>
        <v/>
      </c>
      <c r="F13" s="281" t="str">
        <f t="shared" si="2"/>
        <v/>
      </c>
      <c r="G13" s="282" t="str">
        <f t="shared" si="0"/>
        <v/>
      </c>
      <c r="H13" s="283"/>
      <c r="I13" s="283"/>
      <c r="J13" s="284"/>
    </row>
    <row r="14" spans="1:10" ht="13.5" hidden="1" x14ac:dyDescent="0.25">
      <c r="A14" s="279"/>
      <c r="B14" s="267" t="str">
        <f>IFERROR(VLOOKUP(H14,'[1]Consolidado MP Planta'!$A$2:$M$823,3,0),"")</f>
        <v/>
      </c>
      <c r="C14" s="280">
        <f t="shared" si="1"/>
        <v>0</v>
      </c>
      <c r="D14" s="281" t="str">
        <f>IFERROR(VLOOKUP(H14,'[1]Consolidado MP Planta'!$A$2:$M$823,13,0),"")</f>
        <v/>
      </c>
      <c r="E14" s="281" t="str">
        <f>IFERROR(VLOOKUP(H14,'[1]Consolidado MP Planta'!$A$2:$M$823,12,0),"")</f>
        <v/>
      </c>
      <c r="F14" s="281" t="str">
        <f t="shared" si="2"/>
        <v/>
      </c>
      <c r="G14" s="282" t="str">
        <f t="shared" si="0"/>
        <v/>
      </c>
      <c r="H14" s="283"/>
      <c r="I14" s="283"/>
      <c r="J14" s="284"/>
    </row>
    <row r="15" spans="1:10" ht="14.25" hidden="1" thickBot="1" x14ac:dyDescent="0.3">
      <c r="A15" s="279"/>
      <c r="B15" s="267" t="str">
        <f>IFERROR(VLOOKUP(H15,[2]Hoja2!$A$2:$G$589,2,0),"")</f>
        <v/>
      </c>
      <c r="C15" s="280"/>
      <c r="D15" s="281"/>
      <c r="E15" s="281"/>
      <c r="F15" s="281"/>
      <c r="G15" s="282"/>
      <c r="H15" s="283"/>
      <c r="I15" s="283"/>
      <c r="J15" s="284"/>
    </row>
    <row r="16" spans="1:10" ht="26.25" thickBot="1" x14ac:dyDescent="0.3">
      <c r="A16" s="274" t="s">
        <v>128</v>
      </c>
      <c r="B16" s="275" t="s">
        <v>135</v>
      </c>
      <c r="C16" s="275" t="s">
        <v>128</v>
      </c>
      <c r="D16" s="276" t="s">
        <v>130</v>
      </c>
      <c r="E16" s="276" t="s">
        <v>131</v>
      </c>
      <c r="F16" s="276" t="s">
        <v>132</v>
      </c>
      <c r="G16" s="276" t="s">
        <v>133</v>
      </c>
      <c r="H16" s="277" t="s">
        <v>134</v>
      </c>
      <c r="I16" s="278"/>
      <c r="J16" s="284"/>
    </row>
    <row r="17" spans="1:12" ht="13.5" x14ac:dyDescent="0.25">
      <c r="A17" s="712">
        <v>1.5</v>
      </c>
      <c r="B17" s="713" t="s">
        <v>58</v>
      </c>
      <c r="C17" s="714">
        <f>+A17</f>
        <v>1.5</v>
      </c>
      <c r="D17" s="714" t="s">
        <v>176</v>
      </c>
      <c r="E17" s="281">
        <f>+'Costo Rosq Vainilla Dawn 200 g '!H53</f>
        <v>372.24786324786322</v>
      </c>
      <c r="F17" s="281">
        <f>IFERROR(E17*C17,"")</f>
        <v>558.3717948717948</v>
      </c>
      <c r="G17" s="282">
        <f t="shared" ref="G17:G24" si="3">IFERROR(F17/$F$66,"")</f>
        <v>0.11460823375453716</v>
      </c>
      <c r="H17" s="283" t="s">
        <v>179</v>
      </c>
      <c r="I17" s="283"/>
      <c r="J17" s="284"/>
    </row>
    <row r="18" spans="1:12" ht="13.5" x14ac:dyDescent="0.25">
      <c r="A18" s="712">
        <v>120</v>
      </c>
      <c r="B18" s="713" t="s">
        <v>62</v>
      </c>
      <c r="C18" s="714">
        <f t="shared" ref="C18:C24" si="4">+A18</f>
        <v>120</v>
      </c>
      <c r="D18" s="280" t="s">
        <v>174</v>
      </c>
      <c r="E18" s="281">
        <v>1.1000000000000001</v>
      </c>
      <c r="F18" s="281">
        <f t="shared" ref="F18:F24" si="5">IFERROR(E18*C18,"")</f>
        <v>132</v>
      </c>
      <c r="G18" s="282">
        <f t="shared" si="3"/>
        <v>2.7093572767357351E-2</v>
      </c>
      <c r="H18" s="283" t="s">
        <v>61</v>
      </c>
      <c r="I18" s="283"/>
      <c r="J18" s="284"/>
    </row>
    <row r="19" spans="1:12" ht="13.5" x14ac:dyDescent="0.25">
      <c r="A19" s="712">
        <v>325</v>
      </c>
      <c r="B19" s="713" t="s">
        <v>101</v>
      </c>
      <c r="C19" s="714">
        <f>+A19</f>
        <v>325</v>
      </c>
      <c r="D19" s="280" t="s">
        <v>174</v>
      </c>
      <c r="E19" s="281">
        <f>+'Costo  empaq Relleno Frambuesa'!E69</f>
        <v>5.9992149999999995</v>
      </c>
      <c r="F19" s="281">
        <f>IFERROR(E19*C19,"")</f>
        <v>1949.7448749999999</v>
      </c>
      <c r="G19" s="282">
        <f t="shared" si="3"/>
        <v>0.40019359582268604</v>
      </c>
      <c r="H19" s="283" t="s">
        <v>179</v>
      </c>
      <c r="I19" s="283"/>
      <c r="J19" s="284"/>
    </row>
    <row r="20" spans="1:12" ht="13.5" x14ac:dyDescent="0.25">
      <c r="A20" s="712">
        <v>75</v>
      </c>
      <c r="B20" s="713" t="s">
        <v>66</v>
      </c>
      <c r="C20" s="714">
        <f>+A20</f>
        <v>75</v>
      </c>
      <c r="D20" s="280" t="s">
        <v>174</v>
      </c>
      <c r="E20" s="281">
        <v>2.33</v>
      </c>
      <c r="F20" s="281">
        <f>IFERROR(E20*C20,"")</f>
        <v>174.75</v>
      </c>
      <c r="G20" s="282">
        <f t="shared" si="3"/>
        <v>3.5868195765876493E-2</v>
      </c>
      <c r="H20" s="283" t="s">
        <v>65</v>
      </c>
      <c r="I20" s="283"/>
      <c r="J20" s="284"/>
    </row>
    <row r="21" spans="1:12" ht="13.5" x14ac:dyDescent="0.25">
      <c r="A21" s="279">
        <v>25</v>
      </c>
      <c r="B21" s="267" t="s">
        <v>192</v>
      </c>
      <c r="C21" s="280">
        <f>+A21</f>
        <v>25</v>
      </c>
      <c r="D21" s="280" t="s">
        <v>174</v>
      </c>
      <c r="E21" s="281">
        <v>2.2999999999999998</v>
      </c>
      <c r="F21" s="281">
        <f>IFERROR(E21*C21,"")</f>
        <v>57.499999999999993</v>
      </c>
      <c r="G21" s="282">
        <f t="shared" si="3"/>
        <v>1.1802124500932178E-2</v>
      </c>
      <c r="H21" s="283" t="s">
        <v>191</v>
      </c>
      <c r="I21" s="283"/>
      <c r="J21" s="284"/>
    </row>
    <row r="22" spans="1:12" ht="13.5" x14ac:dyDescent="0.25">
      <c r="A22" s="712">
        <v>380</v>
      </c>
      <c r="B22" s="713" t="s">
        <v>186</v>
      </c>
      <c r="C22" s="280">
        <f t="shared" si="4"/>
        <v>380</v>
      </c>
      <c r="D22" s="280" t="s">
        <v>174</v>
      </c>
      <c r="E22" s="281">
        <f>+'Costo Relleno Crema Pastelera'!E69</f>
        <v>1.5783699999999998</v>
      </c>
      <c r="F22" s="281">
        <f t="shared" si="5"/>
        <v>599.78059999999994</v>
      </c>
      <c r="G22" s="282">
        <f t="shared" si="3"/>
        <v>0.12310757068597918</v>
      </c>
      <c r="H22" s="283"/>
      <c r="I22" s="283"/>
      <c r="J22" s="284"/>
    </row>
    <row r="23" spans="1:12" ht="13.5" x14ac:dyDescent="0.25">
      <c r="A23" s="279"/>
      <c r="B23" s="267" t="str">
        <f>IFERROR(VLOOKUP(H23,[1]SEMIELABORADOS!$A$2:$M$6000,2,0),"")</f>
        <v/>
      </c>
      <c r="C23" s="280">
        <f t="shared" si="4"/>
        <v>0</v>
      </c>
      <c r="D23" s="280" t="str">
        <f>IFERROR(VLOOKUP(H23,[1]SEMIELABORADOS!$A$2:$M$6000,6,0),"")</f>
        <v/>
      </c>
      <c r="E23" s="281" t="str">
        <f>IFERROR(VLOOKUP(H23,[1]SEMIELABORADOS!$A$2:$H$65536,8,0),"")</f>
        <v/>
      </c>
      <c r="F23" s="281" t="str">
        <f t="shared" si="5"/>
        <v/>
      </c>
      <c r="G23" s="282" t="str">
        <f t="shared" si="3"/>
        <v/>
      </c>
      <c r="H23" s="283"/>
      <c r="I23" s="283"/>
      <c r="J23" s="284"/>
    </row>
    <row r="24" spans="1:12" ht="13.5" x14ac:dyDescent="0.25">
      <c r="A24" s="279"/>
      <c r="B24" s="267" t="str">
        <f>IFERROR(VLOOKUP(H24,[1]SEMIELABORADOS!$A$2:$M$6000,2,0),"")</f>
        <v/>
      </c>
      <c r="C24" s="280">
        <f t="shared" si="4"/>
        <v>0</v>
      </c>
      <c r="D24" s="280" t="str">
        <f>IFERROR(VLOOKUP(H24,[1]SEMIELABORADOS!$A$2:$M$6000,6,0),"")</f>
        <v/>
      </c>
      <c r="E24" s="281" t="str">
        <f>IFERROR(VLOOKUP(H24,[1]SEMIELABORADOS!$A$2:$H$65536,8,0),"")</f>
        <v/>
      </c>
      <c r="F24" s="281" t="str">
        <f t="shared" si="5"/>
        <v/>
      </c>
      <c r="G24" s="282" t="str">
        <f t="shared" si="3"/>
        <v/>
      </c>
      <c r="H24" s="283"/>
      <c r="I24" s="283"/>
      <c r="J24" s="284"/>
    </row>
    <row r="25" spans="1:12" ht="14.25" thickBot="1" x14ac:dyDescent="0.3">
      <c r="A25" s="279"/>
      <c r="C25" s="280"/>
      <c r="D25" s="280"/>
      <c r="E25" s="281"/>
      <c r="F25" s="281"/>
      <c r="G25" s="282"/>
      <c r="H25" s="283"/>
      <c r="I25" s="283"/>
      <c r="J25" s="284"/>
    </row>
    <row r="26" spans="1:12" ht="26.25" thickBot="1" x14ac:dyDescent="0.3">
      <c r="A26" s="274" t="s">
        <v>128</v>
      </c>
      <c r="B26" s="275" t="s">
        <v>38</v>
      </c>
      <c r="C26" s="275" t="s">
        <v>128</v>
      </c>
      <c r="D26" s="276" t="s">
        <v>130</v>
      </c>
      <c r="E26" s="276" t="s">
        <v>131</v>
      </c>
      <c r="F26" s="276" t="s">
        <v>132</v>
      </c>
      <c r="G26" s="276" t="s">
        <v>133</v>
      </c>
      <c r="H26" s="277" t="s">
        <v>134</v>
      </c>
      <c r="I26" s="278"/>
    </row>
    <row r="27" spans="1:12" ht="13.5" x14ac:dyDescent="0.25">
      <c r="A27" s="279">
        <v>1</v>
      </c>
      <c r="B27" s="285" t="s">
        <v>76</v>
      </c>
      <c r="C27" s="280">
        <f t="shared" ref="C27:C32" si="6">+A27</f>
        <v>1</v>
      </c>
      <c r="D27" s="281" t="s">
        <v>178</v>
      </c>
      <c r="E27" s="281">
        <v>78</v>
      </c>
      <c r="F27" s="281">
        <f t="shared" ref="F27:F32" si="7">IFERROR(C27*E27,"")</f>
        <v>78</v>
      </c>
      <c r="G27" s="282">
        <f t="shared" ref="G27:G32" si="8">IFERROR(F27/$F$66,"")</f>
        <v>1.6009838453438435E-2</v>
      </c>
      <c r="H27" s="286" t="s">
        <v>75</v>
      </c>
      <c r="I27" s="286"/>
      <c r="J27" s="284"/>
      <c r="K27" s="889"/>
      <c r="L27" s="889"/>
    </row>
    <row r="28" spans="1:12" ht="13.5" x14ac:dyDescent="0.25">
      <c r="A28" s="279">
        <v>1</v>
      </c>
      <c r="B28" s="285" t="s">
        <v>120</v>
      </c>
      <c r="C28" s="280">
        <f t="shared" si="6"/>
        <v>1</v>
      </c>
      <c r="D28" s="281" t="s">
        <v>178</v>
      </c>
      <c r="E28" s="281">
        <v>470</v>
      </c>
      <c r="F28" s="281">
        <f t="shared" si="7"/>
        <v>470</v>
      </c>
      <c r="G28" s="282">
        <f t="shared" si="8"/>
        <v>9.6469539398923901E-2</v>
      </c>
      <c r="H28" s="286" t="s">
        <v>119</v>
      </c>
      <c r="I28" s="286"/>
      <c r="J28" s="284"/>
      <c r="K28" s="889"/>
      <c r="L28" s="889"/>
    </row>
    <row r="29" spans="1:12" ht="13.5" x14ac:dyDescent="0.25">
      <c r="A29" s="279">
        <v>2</v>
      </c>
      <c r="B29" s="285" t="s">
        <v>77</v>
      </c>
      <c r="C29" s="280">
        <f t="shared" si="6"/>
        <v>2</v>
      </c>
      <c r="D29" s="281" t="s">
        <v>178</v>
      </c>
      <c r="E29" s="281">
        <v>0.57999999999999996</v>
      </c>
      <c r="F29" s="281">
        <f t="shared" si="7"/>
        <v>1.1599999999999999</v>
      </c>
      <c r="G29" s="282">
        <f t="shared" si="8"/>
        <v>2.3809503341011004E-4</v>
      </c>
      <c r="H29" s="286" t="s">
        <v>53</v>
      </c>
      <c r="I29" s="286"/>
      <c r="J29" s="284"/>
      <c r="K29" s="889"/>
      <c r="L29" s="889"/>
    </row>
    <row r="30" spans="1:12" ht="13.5" x14ac:dyDescent="0.25">
      <c r="A30" s="279">
        <v>1</v>
      </c>
      <c r="B30" s="285" t="s">
        <v>79</v>
      </c>
      <c r="C30" s="280">
        <f t="shared" si="6"/>
        <v>1</v>
      </c>
      <c r="D30" s="281" t="s">
        <v>178</v>
      </c>
      <c r="E30" s="281">
        <v>0.39</v>
      </c>
      <c r="F30" s="281">
        <f t="shared" si="7"/>
        <v>0.39</v>
      </c>
      <c r="G30" s="282">
        <f t="shared" si="8"/>
        <v>8.0049192267192177E-5</v>
      </c>
      <c r="H30" s="286" t="s">
        <v>78</v>
      </c>
      <c r="I30" s="286"/>
      <c r="J30" s="284"/>
      <c r="K30" s="889"/>
      <c r="L30" s="889"/>
    </row>
    <row r="31" spans="1:12" ht="13.5" x14ac:dyDescent="0.25">
      <c r="A31" s="279">
        <v>1</v>
      </c>
      <c r="B31" s="285" t="s">
        <v>81</v>
      </c>
      <c r="C31" s="280">
        <f t="shared" si="6"/>
        <v>1</v>
      </c>
      <c r="D31" s="281" t="s">
        <v>178</v>
      </c>
      <c r="E31" s="281">
        <v>2.13</v>
      </c>
      <c r="F31" s="281">
        <f t="shared" si="7"/>
        <v>2.13</v>
      </c>
      <c r="G31" s="282">
        <f t="shared" si="8"/>
        <v>4.3719174238235722E-4</v>
      </c>
      <c r="H31" s="286" t="s">
        <v>80</v>
      </c>
      <c r="I31" s="286"/>
      <c r="J31" s="284"/>
      <c r="K31" s="287"/>
      <c r="L31" s="288"/>
    </row>
    <row r="32" spans="1:12" ht="13.5" x14ac:dyDescent="0.25">
      <c r="A32" s="712">
        <v>55</v>
      </c>
      <c r="B32" s="715" t="s">
        <v>372</v>
      </c>
      <c r="C32" s="280">
        <f t="shared" si="6"/>
        <v>55</v>
      </c>
      <c r="D32" s="281" t="s">
        <v>373</v>
      </c>
      <c r="E32" s="281">
        <v>4.1500000000000004</v>
      </c>
      <c r="F32" s="281">
        <f t="shared" si="7"/>
        <v>228.25000000000003</v>
      </c>
      <c r="G32" s="282">
        <f t="shared" si="8"/>
        <v>4.6849302910222095E-2</v>
      </c>
      <c r="H32" s="286"/>
      <c r="I32" s="286"/>
      <c r="J32" s="284"/>
    </row>
    <row r="33" spans="1:13" ht="14.25" thickBot="1" x14ac:dyDescent="0.3">
      <c r="A33" s="279"/>
      <c r="B33" s="285"/>
      <c r="C33" s="280"/>
      <c r="D33" s="281"/>
      <c r="E33" s="281"/>
      <c r="F33" s="281"/>
      <c r="G33" s="282"/>
      <c r="H33" s="286"/>
      <c r="I33" s="286"/>
      <c r="J33" s="284"/>
    </row>
    <row r="34" spans="1:13" ht="26.25" thickBot="1" x14ac:dyDescent="0.25">
      <c r="A34" s="274" t="s">
        <v>128</v>
      </c>
      <c r="B34" s="275" t="s">
        <v>136</v>
      </c>
      <c r="C34" s="275" t="s">
        <v>128</v>
      </c>
      <c r="D34" s="276" t="s">
        <v>130</v>
      </c>
      <c r="E34" s="276" t="s">
        <v>131</v>
      </c>
      <c r="F34" s="276" t="s">
        <v>132</v>
      </c>
      <c r="G34" s="276" t="s">
        <v>133</v>
      </c>
      <c r="H34" s="277" t="s">
        <v>134</v>
      </c>
      <c r="I34" s="286"/>
      <c r="J34" s="284"/>
    </row>
    <row r="35" spans="1:13" ht="13.5" x14ac:dyDescent="0.25">
      <c r="A35" s="279">
        <f>+A17</f>
        <v>1.5</v>
      </c>
      <c r="B35" s="285" t="s">
        <v>58</v>
      </c>
      <c r="C35" s="280">
        <f>+A35</f>
        <v>1.5</v>
      </c>
      <c r="D35" s="281" t="s">
        <v>176</v>
      </c>
      <c r="E35" s="281">
        <f>+'Costo Rosq Vainilla Dawn 200 g '!H54</f>
        <v>4.9015153888888898</v>
      </c>
      <c r="F35" s="281">
        <f>IFERROR(E35*C35,"")</f>
        <v>7.3522730833333352</v>
      </c>
      <c r="G35" s="282">
        <f t="shared" ref="G35:G41" si="9">IFERROR(F35/$F$66,"")</f>
        <v>1.5090859529452614E-3</v>
      </c>
      <c r="H35" s="283" t="s">
        <v>179</v>
      </c>
      <c r="I35" s="286"/>
      <c r="J35" s="284"/>
    </row>
    <row r="36" spans="1:13" ht="13.5" x14ac:dyDescent="0.25">
      <c r="A36" s="279">
        <f t="shared" ref="A36:A41" si="10">+A18</f>
        <v>120</v>
      </c>
      <c r="B36" s="285" t="s">
        <v>62</v>
      </c>
      <c r="C36" s="280">
        <f t="shared" ref="C36:C41" si="11">+A36</f>
        <v>120</v>
      </c>
      <c r="D36" s="281" t="s">
        <v>174</v>
      </c>
      <c r="E36" s="281">
        <v>0.01</v>
      </c>
      <c r="F36" s="281">
        <f t="shared" ref="F36:F41" si="12">IFERROR(E36*C36,"")</f>
        <v>1.2</v>
      </c>
      <c r="G36" s="282">
        <f t="shared" si="9"/>
        <v>2.463052069759759E-4</v>
      </c>
      <c r="H36" s="283" t="s">
        <v>61</v>
      </c>
      <c r="I36" s="286"/>
      <c r="J36" s="284"/>
    </row>
    <row r="37" spans="1:13" ht="13.5" x14ac:dyDescent="0.25">
      <c r="A37" s="279">
        <f t="shared" si="10"/>
        <v>325</v>
      </c>
      <c r="B37" s="285" t="s">
        <v>101</v>
      </c>
      <c r="C37" s="280">
        <f t="shared" si="11"/>
        <v>325</v>
      </c>
      <c r="D37" s="281" t="s">
        <v>174</v>
      </c>
      <c r="E37" s="281">
        <f>+'Costo  empaq Relleno Frambuesa'!E76</f>
        <v>3.6359999999999999E-3</v>
      </c>
      <c r="F37" s="281">
        <f t="shared" si="12"/>
        <v>1.1817</v>
      </c>
      <c r="G37" s="282">
        <f t="shared" si="9"/>
        <v>2.4254905256959229E-4</v>
      </c>
      <c r="H37" s="283" t="s">
        <v>179</v>
      </c>
      <c r="I37" s="286"/>
      <c r="J37" s="284"/>
    </row>
    <row r="38" spans="1:13" ht="13.5" x14ac:dyDescent="0.25">
      <c r="A38" s="279">
        <f t="shared" si="10"/>
        <v>75</v>
      </c>
      <c r="B38" s="285" t="s">
        <v>66</v>
      </c>
      <c r="C38" s="280">
        <f>+A38</f>
        <v>75</v>
      </c>
      <c r="D38" s="281" t="s">
        <v>174</v>
      </c>
      <c r="E38" s="281">
        <v>0.02</v>
      </c>
      <c r="F38" s="281">
        <f>IFERROR(E38*C38,"")</f>
        <v>1.5</v>
      </c>
      <c r="G38" s="282">
        <f t="shared" si="9"/>
        <v>3.0788150871996988E-4</v>
      </c>
      <c r="H38" s="286" t="s">
        <v>65</v>
      </c>
      <c r="I38" s="286"/>
      <c r="J38" s="284"/>
    </row>
    <row r="39" spans="1:13" ht="13.5" x14ac:dyDescent="0.25">
      <c r="A39" s="279">
        <f t="shared" si="10"/>
        <v>25</v>
      </c>
      <c r="B39" s="285" t="s">
        <v>192</v>
      </c>
      <c r="C39" s="280">
        <f>+A39</f>
        <v>25</v>
      </c>
      <c r="D39" s="281" t="s">
        <v>174</v>
      </c>
      <c r="E39" s="281">
        <v>0.01</v>
      </c>
      <c r="F39" s="281">
        <f>IFERROR(E39*C39,"")</f>
        <v>0.25</v>
      </c>
      <c r="G39" s="282">
        <f t="shared" si="9"/>
        <v>5.1313584786661649E-5</v>
      </c>
      <c r="H39" s="286" t="s">
        <v>191</v>
      </c>
      <c r="I39" s="286"/>
      <c r="J39" s="284"/>
    </row>
    <row r="40" spans="1:13" ht="13.5" x14ac:dyDescent="0.25">
      <c r="A40" s="279">
        <f t="shared" si="10"/>
        <v>380</v>
      </c>
      <c r="B40" s="285" t="s">
        <v>186</v>
      </c>
      <c r="C40" s="280">
        <f t="shared" si="11"/>
        <v>380</v>
      </c>
      <c r="D40" s="281" t="s">
        <v>174</v>
      </c>
      <c r="E40" s="281">
        <f>+'Costo Relleno Crema Pastelera'!E76</f>
        <v>0</v>
      </c>
      <c r="F40" s="281">
        <f t="shared" si="12"/>
        <v>0</v>
      </c>
      <c r="G40" s="282">
        <f t="shared" si="9"/>
        <v>0</v>
      </c>
      <c r="H40" s="286"/>
      <c r="I40" s="286"/>
      <c r="J40" s="284"/>
    </row>
    <row r="41" spans="1:13" ht="13.5" x14ac:dyDescent="0.25">
      <c r="A41" s="279">
        <f t="shared" si="10"/>
        <v>0</v>
      </c>
      <c r="B41" s="285" t="str">
        <f>IFERROR(VLOOKUP(H41,[1]SEMIELABORADOS!$A$2:$M$6000,2,0),"")</f>
        <v/>
      </c>
      <c r="C41" s="280">
        <f t="shared" si="11"/>
        <v>0</v>
      </c>
      <c r="D41" s="281" t="str">
        <f>IFERROR(VLOOKUP(H41,[1]SEMIELABORADOS!$A$2:$M$6000,6,0),"")</f>
        <v/>
      </c>
      <c r="E41" s="281" t="str">
        <f>IFERROR(VLOOKUP(H41,[1]SEMIELABORADOS!$A$2:$M$65536,10,0),"")</f>
        <v/>
      </c>
      <c r="F41" s="281" t="str">
        <f t="shared" si="12"/>
        <v/>
      </c>
      <c r="G41" s="282" t="str">
        <f t="shared" si="9"/>
        <v/>
      </c>
      <c r="H41" s="286"/>
      <c r="I41" s="286"/>
      <c r="J41" s="284"/>
    </row>
    <row r="42" spans="1:13" ht="14.25" thickBot="1" x14ac:dyDescent="0.3">
      <c r="A42" s="279"/>
      <c r="B42" s="285"/>
      <c r="C42" s="280"/>
      <c r="D42" s="281"/>
      <c r="E42" s="281"/>
      <c r="F42" s="281"/>
      <c r="G42" s="282"/>
      <c r="H42" s="286"/>
      <c r="I42" s="286"/>
      <c r="J42" s="284"/>
    </row>
    <row r="43" spans="1:13" ht="26.25" thickBot="1" x14ac:dyDescent="0.3">
      <c r="A43" s="274" t="s">
        <v>128</v>
      </c>
      <c r="B43" s="275" t="s">
        <v>137</v>
      </c>
      <c r="C43" s="275" t="s">
        <v>128</v>
      </c>
      <c r="D43" s="276" t="s">
        <v>130</v>
      </c>
      <c r="E43" s="276" t="s">
        <v>131</v>
      </c>
      <c r="F43" s="276" t="s">
        <v>132</v>
      </c>
      <c r="G43" s="276" t="s">
        <v>133</v>
      </c>
      <c r="H43" s="277" t="s">
        <v>134</v>
      </c>
      <c r="I43" s="278"/>
      <c r="J43" s="284"/>
    </row>
    <row r="44" spans="1:13" ht="13.5" x14ac:dyDescent="0.25">
      <c r="A44" s="279">
        <f>+A35</f>
        <v>1.5</v>
      </c>
      <c r="B44" s="285" t="s">
        <v>58</v>
      </c>
      <c r="C44" s="280">
        <f>+A44</f>
        <v>1.5</v>
      </c>
      <c r="D44" s="281" t="s">
        <v>176</v>
      </c>
      <c r="E44" s="281">
        <f>+'Costo Rosq Vainilla Dawn 200 g '!H56</f>
        <v>22.108192644628577</v>
      </c>
      <c r="F44" s="281">
        <f>IFERROR(E44*C44,"")</f>
        <v>33.162288966942867</v>
      </c>
      <c r="G44" s="282">
        <f>IFERROR(F44/$F$66,"")</f>
        <v>6.8067037064999877E-3</v>
      </c>
      <c r="H44" s="283" t="s">
        <v>179</v>
      </c>
      <c r="I44" s="278"/>
      <c r="J44" s="284"/>
    </row>
    <row r="45" spans="1:13" ht="13.5" x14ac:dyDescent="0.25">
      <c r="A45" s="279">
        <f t="shared" ref="A45:A50" si="13">+A36</f>
        <v>120</v>
      </c>
      <c r="B45" s="285" t="s">
        <v>62</v>
      </c>
      <c r="C45" s="280">
        <f t="shared" ref="C45:C50" si="14">+A45</f>
        <v>120</v>
      </c>
      <c r="D45" s="281" t="s">
        <v>174</v>
      </c>
      <c r="E45" s="281">
        <v>0.13</v>
      </c>
      <c r="F45" s="281">
        <f t="shared" ref="F45:F50" si="15">IFERROR(E45*C45,"")</f>
        <v>15.600000000000001</v>
      </c>
      <c r="G45" s="282">
        <f t="shared" ref="G45:G50" si="16">IFERROR(F45/$F$66,"")</f>
        <v>3.2019676906876872E-3</v>
      </c>
      <c r="H45" s="283" t="s">
        <v>61</v>
      </c>
      <c r="I45" s="278"/>
      <c r="J45" s="284"/>
      <c r="M45" s="289"/>
    </row>
    <row r="46" spans="1:13" ht="13.5" x14ac:dyDescent="0.25">
      <c r="A46" s="279">
        <f t="shared" si="13"/>
        <v>325</v>
      </c>
      <c r="B46" s="285" t="s">
        <v>101</v>
      </c>
      <c r="C46" s="280">
        <f t="shared" si="14"/>
        <v>325</v>
      </c>
      <c r="D46" s="281" t="s">
        <v>174</v>
      </c>
      <c r="E46" s="281">
        <f>+'Costo  empaq Relleno Frambuesa'!E74</f>
        <v>0.1694</v>
      </c>
      <c r="F46" s="281">
        <f t="shared" si="15"/>
        <v>55.055</v>
      </c>
      <c r="G46" s="282">
        <f t="shared" si="16"/>
        <v>1.1300277641718629E-2</v>
      </c>
      <c r="H46" s="283" t="s">
        <v>179</v>
      </c>
      <c r="I46" s="278"/>
      <c r="J46" s="284"/>
    </row>
    <row r="47" spans="1:13" ht="13.5" x14ac:dyDescent="0.25">
      <c r="A47" s="279">
        <f t="shared" si="13"/>
        <v>75</v>
      </c>
      <c r="B47" s="285" t="s">
        <v>66</v>
      </c>
      <c r="C47" s="280">
        <f t="shared" si="14"/>
        <v>75</v>
      </c>
      <c r="D47" s="281" t="s">
        <v>174</v>
      </c>
      <c r="E47" s="281">
        <v>0.49</v>
      </c>
      <c r="F47" s="281">
        <f t="shared" si="15"/>
        <v>36.75</v>
      </c>
      <c r="G47" s="282">
        <f t="shared" si="16"/>
        <v>7.543096963639263E-3</v>
      </c>
      <c r="H47" s="286" t="s">
        <v>65</v>
      </c>
      <c r="I47" s="278"/>
      <c r="J47" s="284"/>
    </row>
    <row r="48" spans="1:13" ht="13.5" x14ac:dyDescent="0.25">
      <c r="A48" s="279">
        <f t="shared" si="13"/>
        <v>25</v>
      </c>
      <c r="B48" s="285" t="s">
        <v>192</v>
      </c>
      <c r="C48" s="280">
        <f t="shared" si="14"/>
        <v>25</v>
      </c>
      <c r="D48" s="281" t="s">
        <v>174</v>
      </c>
      <c r="E48" s="281">
        <v>0.23</v>
      </c>
      <c r="F48" s="281">
        <f t="shared" si="15"/>
        <v>5.75</v>
      </c>
      <c r="G48" s="282">
        <f t="shared" si="16"/>
        <v>1.180212450093218E-3</v>
      </c>
      <c r="H48" s="286" t="s">
        <v>191</v>
      </c>
      <c r="I48" s="278"/>
      <c r="J48" s="284"/>
    </row>
    <row r="49" spans="1:17" ht="13.5" x14ac:dyDescent="0.25">
      <c r="A49" s="279">
        <f t="shared" si="13"/>
        <v>380</v>
      </c>
      <c r="B49" s="285" t="s">
        <v>186</v>
      </c>
      <c r="C49" s="280">
        <f t="shared" si="14"/>
        <v>380</v>
      </c>
      <c r="D49" s="281" t="s">
        <v>174</v>
      </c>
      <c r="E49" s="281">
        <f>+'Costo Relleno Crema Pastelera'!E74</f>
        <v>0.23100000000000001</v>
      </c>
      <c r="F49" s="281">
        <f t="shared" si="15"/>
        <v>87.78</v>
      </c>
      <c r="G49" s="282">
        <f t="shared" si="16"/>
        <v>1.801722589029264E-2</v>
      </c>
      <c r="H49" s="286"/>
      <c r="I49" s="278"/>
      <c r="J49" s="284"/>
    </row>
    <row r="50" spans="1:17" ht="13.5" x14ac:dyDescent="0.25">
      <c r="A50" s="279">
        <f t="shared" si="13"/>
        <v>0</v>
      </c>
      <c r="B50" s="285" t="str">
        <f>IFERROR(VLOOKUP(H50,[1]SEMIELABORADOS!$A$2:$M$6000,2,0),"")</f>
        <v/>
      </c>
      <c r="C50" s="280">
        <f t="shared" si="14"/>
        <v>0</v>
      </c>
      <c r="D50" s="281" t="str">
        <f>IFERROR(VLOOKUP(H50,[1]SEMIELABORADOS!$A$2:$M$6000,6,0),"")</f>
        <v/>
      </c>
      <c r="E50" s="281" t="str">
        <f>IFERROR(VLOOKUP(H50,[1]SEMIELABORADOS!$A$2:$M$65536,12,0),"")</f>
        <v/>
      </c>
      <c r="F50" s="281" t="str">
        <f t="shared" si="15"/>
        <v/>
      </c>
      <c r="G50" s="282" t="str">
        <f t="shared" si="16"/>
        <v/>
      </c>
      <c r="H50" s="285"/>
      <c r="I50" s="278"/>
      <c r="J50" s="284"/>
    </row>
    <row r="51" spans="1:17" ht="13.5" x14ac:dyDescent="0.25">
      <c r="A51" s="279">
        <v>1</v>
      </c>
      <c r="B51" s="285" t="s">
        <v>138</v>
      </c>
      <c r="C51" s="280">
        <f>+A51</f>
        <v>1</v>
      </c>
      <c r="D51" s="280" t="s">
        <v>139</v>
      </c>
      <c r="E51" s="281">
        <f>+F65</f>
        <v>539</v>
      </c>
      <c r="F51" s="281">
        <f>IFERROR(C51*E51,"")</f>
        <v>539</v>
      </c>
      <c r="G51" s="282">
        <f>IFERROR(F51/$F$66,"")</f>
        <v>0.11063208880004252</v>
      </c>
      <c r="H51" s="290"/>
      <c r="I51" s="290"/>
      <c r="J51" s="284"/>
    </row>
    <row r="52" spans="1:17" ht="14.25" thickBot="1" x14ac:dyDescent="0.3">
      <c r="A52" s="279"/>
      <c r="B52" s="285"/>
      <c r="C52" s="280"/>
      <c r="D52" s="280"/>
      <c r="E52" s="281"/>
      <c r="F52" s="281"/>
      <c r="G52" s="282"/>
      <c r="H52" s="290"/>
      <c r="I52" s="290"/>
      <c r="J52" s="284"/>
    </row>
    <row r="53" spans="1:17" ht="13.5" thickBot="1" x14ac:dyDescent="0.3">
      <c r="A53" s="291"/>
      <c r="B53" s="890" t="s">
        <v>140</v>
      </c>
      <c r="C53" s="890"/>
      <c r="D53" s="890"/>
      <c r="E53" s="890"/>
      <c r="F53" s="293">
        <f>SUM(F8:F14,F17:F24)</f>
        <v>3472.1472698717948</v>
      </c>
      <c r="G53" s="282">
        <f>+F53/$F$66</f>
        <v>0.7126732932973685</v>
      </c>
      <c r="H53" s="294">
        <f>+F53/$D$60</f>
        <v>3472.1472698717948</v>
      </c>
      <c r="I53" s="294"/>
      <c r="J53" s="295"/>
      <c r="K53" s="296"/>
      <c r="L53" s="296"/>
      <c r="M53" s="296"/>
      <c r="N53" s="296"/>
      <c r="O53" s="296"/>
      <c r="P53" s="296"/>
      <c r="Q53" s="297"/>
    </row>
    <row r="54" spans="1:17" x14ac:dyDescent="0.2">
      <c r="A54" s="291"/>
      <c r="B54" s="890" t="s">
        <v>141</v>
      </c>
      <c r="C54" s="890"/>
      <c r="D54" s="890"/>
      <c r="E54" s="890"/>
      <c r="F54" s="293">
        <f>SUM(F27:F32,F35:F41)</f>
        <v>791.4139730833333</v>
      </c>
      <c r="G54" s="282">
        <f>+F54/$F$66</f>
        <v>0.16244115203664153</v>
      </c>
      <c r="H54" s="294">
        <f>+F54/$D$60</f>
        <v>791.4139730833333</v>
      </c>
      <c r="I54" s="294"/>
      <c r="J54" s="298"/>
      <c r="K54" s="891" t="s">
        <v>142</v>
      </c>
      <c r="L54" s="892"/>
      <c r="M54" s="892"/>
      <c r="N54" s="892"/>
      <c r="O54" s="299">
        <f>+F55</f>
        <v>4263.5612429551284</v>
      </c>
      <c r="P54" s="299"/>
      <c r="Q54" s="300"/>
    </row>
    <row r="55" spans="1:17" x14ac:dyDescent="0.2">
      <c r="A55" s="291"/>
      <c r="B55" s="890" t="s">
        <v>143</v>
      </c>
      <c r="C55" s="890"/>
      <c r="D55" s="890"/>
      <c r="E55" s="890"/>
      <c r="F55" s="293">
        <f>+F53+F54</f>
        <v>4263.5612429551284</v>
      </c>
      <c r="G55" s="282">
        <f>+F55/$F$66</f>
        <v>0.87511444533401006</v>
      </c>
      <c r="H55" s="294">
        <f>+F55/$D$60</f>
        <v>4263.5612429551284</v>
      </c>
      <c r="I55" s="294"/>
      <c r="J55" s="301"/>
      <c r="K55" s="302"/>
      <c r="M55" s="303" t="s">
        <v>144</v>
      </c>
      <c r="N55" s="304"/>
      <c r="O55" s="299">
        <f>+H56</f>
        <v>773.09728896694287</v>
      </c>
      <c r="P55" s="299"/>
      <c r="Q55" s="300"/>
    </row>
    <row r="56" spans="1:17" ht="13.5" thickBot="1" x14ac:dyDescent="0.25">
      <c r="A56" s="291"/>
      <c r="B56" s="292"/>
      <c r="C56" s="890" t="s">
        <v>145</v>
      </c>
      <c r="D56" s="890"/>
      <c r="E56" s="890"/>
      <c r="F56" s="293">
        <f>SUM(F44:F51)</f>
        <v>773.09728896694287</v>
      </c>
      <c r="G56" s="282">
        <f>+F56/$F$66</f>
        <v>0.15868157314297393</v>
      </c>
      <c r="H56" s="294">
        <f>+F56/$D$60</f>
        <v>773.09728896694287</v>
      </c>
      <c r="I56" s="294"/>
      <c r="J56" s="301"/>
      <c r="K56" s="302"/>
      <c r="L56" s="302"/>
      <c r="M56" s="302" t="s">
        <v>146</v>
      </c>
      <c r="N56" s="305"/>
      <c r="O56" s="299">
        <f>O54*N56</f>
        <v>0</v>
      </c>
      <c r="P56" s="299"/>
      <c r="Q56" s="300"/>
    </row>
    <row r="57" spans="1:17" ht="13.5" thickBot="1" x14ac:dyDescent="0.25">
      <c r="A57" s="291"/>
      <c r="B57" s="306"/>
      <c r="C57" s="306"/>
      <c r="D57" s="306"/>
      <c r="E57" s="306"/>
      <c r="F57" s="307"/>
      <c r="G57" s="282"/>
      <c r="H57" s="308"/>
      <c r="I57" s="294"/>
      <c r="J57" s="301"/>
      <c r="K57" s="309"/>
      <c r="M57" s="310" t="s">
        <v>147</v>
      </c>
      <c r="N57" s="311"/>
      <c r="O57" s="312">
        <f>SUM(O54:O56)</f>
        <v>5036.6585319220712</v>
      </c>
      <c r="P57" s="313"/>
      <c r="Q57" s="300"/>
    </row>
    <row r="58" spans="1:17" x14ac:dyDescent="0.2">
      <c r="B58" s="893" t="s">
        <v>148</v>
      </c>
      <c r="C58" s="893"/>
      <c r="D58" s="314">
        <v>1096</v>
      </c>
      <c r="E58" s="315"/>
      <c r="G58" s="282"/>
      <c r="H58" s="308">
        <f>+H56/77</f>
        <v>10.04022453203822</v>
      </c>
      <c r="I58" s="316"/>
      <c r="J58" s="301"/>
      <c r="K58" s="309"/>
      <c r="L58" s="302"/>
      <c r="M58" s="302" t="s">
        <v>149</v>
      </c>
      <c r="N58" s="317"/>
      <c r="O58" s="299">
        <f>+H59</f>
        <v>833.33863615917221</v>
      </c>
      <c r="P58" s="299"/>
      <c r="Q58" s="300"/>
    </row>
    <row r="59" spans="1:17" x14ac:dyDescent="0.2">
      <c r="B59" s="893" t="s">
        <v>150</v>
      </c>
      <c r="C59" s="893"/>
      <c r="D59" s="318">
        <v>1096</v>
      </c>
      <c r="E59" s="315"/>
      <c r="G59" s="282"/>
      <c r="H59" s="308">
        <f>+H58*83</f>
        <v>833.33863615917221</v>
      </c>
      <c r="I59" s="316"/>
      <c r="J59" s="301"/>
      <c r="K59" s="309"/>
      <c r="L59" s="302"/>
      <c r="M59" s="894" t="s">
        <v>147</v>
      </c>
      <c r="N59" s="894"/>
      <c r="O59" s="299">
        <f>SUM(O57:O58)</f>
        <v>5869.9971680812432</v>
      </c>
      <c r="P59" s="299"/>
      <c r="Q59" s="300"/>
    </row>
    <row r="60" spans="1:17" ht="13.5" thickBot="1" x14ac:dyDescent="0.25">
      <c r="B60" s="885" t="s">
        <v>151</v>
      </c>
      <c r="C60" s="885"/>
      <c r="D60" s="314">
        <f>+D58/D59</f>
        <v>1</v>
      </c>
      <c r="E60" s="315"/>
      <c r="F60" s="319"/>
      <c r="G60" s="282"/>
      <c r="H60" s="308"/>
      <c r="I60" s="316"/>
      <c r="J60" s="301"/>
      <c r="K60" s="309"/>
      <c r="L60" s="894"/>
      <c r="M60" s="894"/>
      <c r="N60" s="317"/>
      <c r="O60" s="299">
        <f>+O59*N60</f>
        <v>0</v>
      </c>
      <c r="P60" s="299"/>
      <c r="Q60" s="300"/>
    </row>
    <row r="61" spans="1:17" ht="13.5" thickBot="1" x14ac:dyDescent="0.25">
      <c r="B61" s="885" t="s">
        <v>152</v>
      </c>
      <c r="C61" s="885"/>
      <c r="D61" s="320"/>
      <c r="E61" s="315"/>
      <c r="F61" s="319"/>
      <c r="G61" s="282"/>
      <c r="H61" s="308"/>
      <c r="I61" s="316"/>
      <c r="J61" s="301"/>
      <c r="K61" s="886" t="s">
        <v>153</v>
      </c>
      <c r="L61" s="887"/>
      <c r="M61" s="887"/>
      <c r="N61" s="888"/>
      <c r="O61" s="312">
        <f>SUM(O59:O60)</f>
        <v>5869.9971680812432</v>
      </c>
      <c r="P61" s="321" t="s">
        <v>154</v>
      </c>
      <c r="Q61" s="300"/>
    </row>
    <row r="62" spans="1:17" ht="13.5" thickBot="1" x14ac:dyDescent="0.25">
      <c r="C62" s="291" t="s">
        <v>155</v>
      </c>
      <c r="D62" s="322"/>
      <c r="E62" s="265" t="s">
        <v>156</v>
      </c>
      <c r="F62" s="323" t="s">
        <v>157</v>
      </c>
      <c r="G62" s="282"/>
      <c r="H62" s="308"/>
      <c r="I62" s="316"/>
      <c r="J62" s="324"/>
      <c r="K62" s="325"/>
      <c r="L62" s="874" t="s">
        <v>158</v>
      </c>
      <c r="M62" s="874"/>
      <c r="N62" s="874"/>
      <c r="O62" s="326">
        <f>+O61/D60</f>
        <v>5869.9971680812432</v>
      </c>
      <c r="P62" s="327">
        <f>+O62/D59</f>
        <v>5.3558368321909153</v>
      </c>
      <c r="Q62" s="328"/>
    </row>
    <row r="63" spans="1:17" ht="13.5" thickBot="1" x14ac:dyDescent="0.25">
      <c r="B63" s="875" t="s">
        <v>143</v>
      </c>
      <c r="C63" s="875"/>
      <c r="D63" s="875"/>
      <c r="E63" s="329">
        <f>+F63/F63</f>
        <v>1</v>
      </c>
      <c r="F63" s="330">
        <f>SUM(F55)</f>
        <v>4263.5612429551284</v>
      </c>
      <c r="G63" s="282">
        <f>+F63/$F$66</f>
        <v>0.87511444533401006</v>
      </c>
      <c r="H63" s="308"/>
      <c r="I63" s="316"/>
      <c r="K63" s="876"/>
      <c r="L63" s="877"/>
      <c r="M63" s="877"/>
      <c r="N63" s="877"/>
      <c r="O63" s="331"/>
      <c r="P63" s="332"/>
    </row>
    <row r="64" spans="1:17" ht="13.5" thickBot="1" x14ac:dyDescent="0.3">
      <c r="B64" s="878" t="s">
        <v>159</v>
      </c>
      <c r="C64" s="878"/>
      <c r="D64" s="878"/>
      <c r="E64" s="333">
        <v>0.02</v>
      </c>
      <c r="F64" s="330">
        <f>+F53*E64</f>
        <v>69.442945397435892</v>
      </c>
      <c r="G64" s="282">
        <f>+F64/$F$66</f>
        <v>1.4253465865947368E-2</v>
      </c>
      <c r="H64" s="294"/>
      <c r="I64" s="316"/>
      <c r="J64" s="334"/>
      <c r="O64" s="335"/>
      <c r="P64" s="292"/>
    </row>
    <row r="65" spans="2:13" ht="13.5" thickBot="1" x14ac:dyDescent="0.3">
      <c r="B65" s="879" t="s">
        <v>160</v>
      </c>
      <c r="C65" s="880"/>
      <c r="D65" s="336">
        <v>7</v>
      </c>
      <c r="E65" s="337">
        <v>77</v>
      </c>
      <c r="F65" s="330">
        <f>+E65*D65</f>
        <v>539</v>
      </c>
      <c r="G65" s="282">
        <f>+F65/$F$66</f>
        <v>0.11063208880004252</v>
      </c>
      <c r="H65" s="294"/>
      <c r="I65" s="294"/>
      <c r="J65" s="284"/>
    </row>
    <row r="66" spans="2:13" ht="13.5" thickBot="1" x14ac:dyDescent="0.3">
      <c r="B66" s="881" t="s">
        <v>161</v>
      </c>
      <c r="C66" s="882"/>
      <c r="D66" s="882"/>
      <c r="E66" s="883"/>
      <c r="F66" s="307">
        <f>SUM(F63:F65)</f>
        <v>4872.0041883525646</v>
      </c>
      <c r="G66" s="282">
        <f>+F66/$F$66</f>
        <v>1</v>
      </c>
      <c r="H66" s="884"/>
      <c r="I66" s="294"/>
      <c r="J66" s="284"/>
      <c r="M66" s="267" t="s">
        <v>162</v>
      </c>
    </row>
    <row r="67" spans="2:13" x14ac:dyDescent="0.25">
      <c r="C67" s="289"/>
      <c r="D67" s="289"/>
      <c r="E67" s="339"/>
      <c r="F67" s="330"/>
      <c r="G67" s="282"/>
      <c r="H67" s="884"/>
      <c r="I67" s="338"/>
      <c r="J67" s="267"/>
      <c r="M67" s="267" t="s">
        <v>163</v>
      </c>
    </row>
    <row r="68" spans="2:13" ht="13.5" thickBot="1" x14ac:dyDescent="0.3">
      <c r="B68" s="869" t="s">
        <v>164</v>
      </c>
      <c r="C68" s="869"/>
      <c r="D68" s="869"/>
      <c r="E68" s="869"/>
      <c r="F68" s="869"/>
      <c r="G68" s="282"/>
      <c r="H68" s="341"/>
      <c r="I68" s="338"/>
      <c r="J68" s="267"/>
      <c r="M68" s="267" t="s">
        <v>165</v>
      </c>
    </row>
    <row r="69" spans="2:13" ht="13.5" thickBot="1" x14ac:dyDescent="0.3">
      <c r="B69" s="342" t="s">
        <v>166</v>
      </c>
      <c r="C69" s="343">
        <f>+F53</f>
        <v>3472.1472698717948</v>
      </c>
      <c r="D69" s="343">
        <f>+D58</f>
        <v>1096</v>
      </c>
      <c r="E69" s="344">
        <f>+C69/D69</f>
        <v>3.1680175819998126</v>
      </c>
      <c r="F69" s="282"/>
      <c r="G69" s="341"/>
      <c r="H69" s="284"/>
      <c r="I69" s="341"/>
      <c r="J69" s="267"/>
    </row>
    <row r="70" spans="2:13" x14ac:dyDescent="0.25">
      <c r="B70" s="345"/>
      <c r="C70" s="346"/>
      <c r="D70" s="347"/>
      <c r="E70" s="330"/>
      <c r="F70" s="282"/>
      <c r="G70" s="341"/>
      <c r="H70" s="284"/>
      <c r="I70" s="284"/>
      <c r="J70" s="267"/>
    </row>
    <row r="71" spans="2:13" x14ac:dyDescent="0.25">
      <c r="B71" s="342" t="s">
        <v>167</v>
      </c>
      <c r="C71" s="343">
        <f>SUM(F63:F64)</f>
        <v>4333.0041883525646</v>
      </c>
      <c r="D71" s="343">
        <f>+D58</f>
        <v>1096</v>
      </c>
      <c r="E71" s="348">
        <f>+C71/D71</f>
        <v>3.9534709747742376</v>
      </c>
      <c r="F71" s="282"/>
      <c r="G71" s="341"/>
      <c r="H71" s="284"/>
      <c r="I71" s="284"/>
      <c r="J71" s="267"/>
    </row>
    <row r="72" spans="2:13" x14ac:dyDescent="0.25">
      <c r="B72" s="342"/>
      <c r="C72" s="343"/>
      <c r="D72" s="343"/>
      <c r="E72" s="348"/>
      <c r="F72" s="282"/>
      <c r="G72" s="341"/>
      <c r="H72" s="284"/>
      <c r="I72" s="284"/>
      <c r="J72" s="267"/>
    </row>
    <row r="73" spans="2:13" ht="13.5" thickBot="1" x14ac:dyDescent="0.3">
      <c r="B73" s="342" t="s">
        <v>168</v>
      </c>
      <c r="C73" s="343">
        <f>+F65</f>
        <v>539</v>
      </c>
      <c r="D73" s="343">
        <f>+D58</f>
        <v>1096</v>
      </c>
      <c r="E73" s="348">
        <f>+C73/D73</f>
        <v>0.49178832116788324</v>
      </c>
      <c r="F73" s="282"/>
      <c r="G73" s="341"/>
      <c r="H73" s="284"/>
      <c r="I73" s="284"/>
      <c r="J73" s="267"/>
    </row>
    <row r="74" spans="2:13" ht="13.5" thickBot="1" x14ac:dyDescent="0.3">
      <c r="B74" s="342" t="s">
        <v>169</v>
      </c>
      <c r="C74" s="343">
        <f>+F56</f>
        <v>773.09728896694287</v>
      </c>
      <c r="D74" s="343">
        <f>+D73</f>
        <v>1096</v>
      </c>
      <c r="E74" s="344">
        <f>+C74/D74</f>
        <v>0.70538073810852453</v>
      </c>
      <c r="F74" s="282"/>
      <c r="G74" s="341"/>
      <c r="H74" s="284"/>
      <c r="I74" s="284"/>
      <c r="J74" s="267"/>
    </row>
    <row r="75" spans="2:13" ht="13.5" thickBot="1" x14ac:dyDescent="0.3">
      <c r="B75" s="306"/>
      <c r="C75" s="307"/>
      <c r="D75" s="307"/>
      <c r="E75" s="348"/>
      <c r="F75" s="282"/>
      <c r="G75" s="341"/>
      <c r="H75" s="284"/>
      <c r="I75" s="284"/>
      <c r="J75" s="267"/>
    </row>
    <row r="76" spans="2:13" ht="13.5" thickBot="1" x14ac:dyDescent="0.3">
      <c r="B76" s="342" t="s">
        <v>170</v>
      </c>
      <c r="C76" s="343">
        <f>+F54</f>
        <v>791.4139730833333</v>
      </c>
      <c r="D76" s="343">
        <f>+D74</f>
        <v>1096</v>
      </c>
      <c r="E76" s="344">
        <f>+C76/D76</f>
        <v>0.72209304113442818</v>
      </c>
      <c r="F76" s="282"/>
      <c r="G76" s="341"/>
      <c r="H76" s="284"/>
      <c r="I76" s="284"/>
      <c r="J76" s="284"/>
    </row>
    <row r="77" spans="2:13" ht="13.5" thickBot="1" x14ac:dyDescent="0.3">
      <c r="B77" s="306"/>
      <c r="C77" s="307"/>
      <c r="D77" s="307"/>
      <c r="E77" s="348"/>
      <c r="F77" s="282"/>
      <c r="G77" s="341"/>
      <c r="H77" s="284"/>
      <c r="I77" s="284"/>
    </row>
    <row r="78" spans="2:13" ht="13.5" thickBot="1" x14ac:dyDescent="0.3">
      <c r="B78" s="870" t="s">
        <v>171</v>
      </c>
      <c r="C78" s="871"/>
      <c r="D78" s="872"/>
      <c r="E78" s="344">
        <f>+E69+E74</f>
        <v>3.8733983201083371</v>
      </c>
      <c r="G78" s="282"/>
      <c r="H78" s="341"/>
      <c r="I78" s="284"/>
      <c r="J78" s="348"/>
    </row>
    <row r="79" spans="2:13" x14ac:dyDescent="0.25">
      <c r="I79" s="341"/>
      <c r="J79" s="267"/>
    </row>
    <row r="80" spans="2:13" ht="13.5" thickBot="1" x14ac:dyDescent="0.3">
      <c r="B80" s="869" t="s">
        <v>172</v>
      </c>
      <c r="C80" s="869"/>
      <c r="D80" s="869"/>
      <c r="E80" s="869"/>
      <c r="F80" s="869"/>
      <c r="G80" s="282"/>
      <c r="H80" s="341"/>
      <c r="J80" s="267"/>
    </row>
    <row r="81" spans="1:10" ht="13.5" thickBot="1" x14ac:dyDescent="0.3">
      <c r="B81" s="342" t="s">
        <v>166</v>
      </c>
      <c r="C81" s="343">
        <f>+C69</f>
        <v>3472.1472698717948</v>
      </c>
      <c r="D81" s="343">
        <f>+D60</f>
        <v>1</v>
      </c>
      <c r="E81" s="344">
        <f>+C81/D81</f>
        <v>3472.1472698717948</v>
      </c>
      <c r="F81" s="282"/>
      <c r="G81" s="341"/>
      <c r="H81" s="284"/>
      <c r="I81" s="341"/>
      <c r="J81" s="267"/>
    </row>
    <row r="82" spans="1:10" x14ac:dyDescent="0.25">
      <c r="B82" s="345"/>
      <c r="C82" s="346"/>
      <c r="D82" s="347"/>
      <c r="E82" s="330"/>
      <c r="F82" s="282"/>
      <c r="G82" s="341"/>
      <c r="H82" s="284"/>
      <c r="I82" s="284"/>
      <c r="J82" s="267"/>
    </row>
    <row r="83" spans="1:10" x14ac:dyDescent="0.25">
      <c r="B83" s="342" t="s">
        <v>167</v>
      </c>
      <c r="C83" s="343">
        <f>+C71</f>
        <v>4333.0041883525646</v>
      </c>
      <c r="D83" s="343">
        <f>+D60</f>
        <v>1</v>
      </c>
      <c r="E83" s="348">
        <f>+C83/D83</f>
        <v>4333.0041883525646</v>
      </c>
      <c r="F83" s="282"/>
      <c r="G83" s="341"/>
      <c r="H83" s="284"/>
      <c r="I83" s="284"/>
      <c r="J83" s="267"/>
    </row>
    <row r="84" spans="1:10" x14ac:dyDescent="0.25">
      <c r="B84" s="342"/>
      <c r="C84" s="343"/>
      <c r="D84" s="343"/>
      <c r="E84" s="348"/>
      <c r="F84" s="282"/>
      <c r="G84" s="341"/>
      <c r="H84" s="284"/>
      <c r="I84" s="284"/>
      <c r="J84" s="267"/>
    </row>
    <row r="85" spans="1:10" ht="13.5" thickBot="1" x14ac:dyDescent="0.3">
      <c r="B85" s="342" t="s">
        <v>169</v>
      </c>
      <c r="C85" s="343">
        <f>+C73</f>
        <v>539</v>
      </c>
      <c r="D85" s="343">
        <f>+D60</f>
        <v>1</v>
      </c>
      <c r="E85" s="348">
        <f>+C85/D85</f>
        <v>539</v>
      </c>
      <c r="F85" s="350"/>
      <c r="G85" s="340"/>
      <c r="H85" s="266"/>
      <c r="I85" s="284"/>
    </row>
    <row r="86" spans="1:10" ht="13.5" thickBot="1" x14ac:dyDescent="0.3">
      <c r="B86" s="342" t="s">
        <v>169</v>
      </c>
      <c r="C86" s="343">
        <f>+C74</f>
        <v>773.09728896694287</v>
      </c>
      <c r="D86" s="343">
        <f>+D85</f>
        <v>1</v>
      </c>
      <c r="E86" s="344">
        <f>+C86/D86</f>
        <v>773.09728896694287</v>
      </c>
      <c r="F86" s="349"/>
      <c r="G86" s="340"/>
      <c r="H86" s="266"/>
      <c r="I86" s="266"/>
    </row>
    <row r="87" spans="1:10" x14ac:dyDescent="0.25">
      <c r="I87" s="266"/>
    </row>
    <row r="88" spans="1:10" x14ac:dyDescent="0.2">
      <c r="A88" s="873"/>
      <c r="B88" s="873"/>
      <c r="C88" s="351"/>
      <c r="D88" s="351"/>
      <c r="E88" s="352"/>
      <c r="G88" s="353"/>
    </row>
    <row r="89" spans="1:10" x14ac:dyDescent="0.2">
      <c r="A89" s="285"/>
      <c r="B89" s="354"/>
      <c r="C89" s="355"/>
      <c r="D89" s="355"/>
      <c r="E89" s="356"/>
      <c r="G89" s="353"/>
    </row>
    <row r="90" spans="1:10" x14ac:dyDescent="0.2">
      <c r="A90" s="285"/>
      <c r="B90" s="354"/>
      <c r="C90" s="357"/>
      <c r="D90" s="357"/>
      <c r="E90" s="285"/>
      <c r="G90" s="353"/>
    </row>
    <row r="91" spans="1:10" x14ac:dyDescent="0.2">
      <c r="A91" s="285"/>
      <c r="B91" s="354"/>
      <c r="C91" s="358"/>
      <c r="D91" s="358"/>
      <c r="E91" s="285"/>
      <c r="G91" s="35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CC00-AFEB-49D4-80A5-6B467BD5B762}">
  <dimension ref="A1:M57"/>
  <sheetViews>
    <sheetView topLeftCell="A4" workbookViewId="0">
      <selection activeCell="D14" sqref="D14"/>
    </sheetView>
  </sheetViews>
  <sheetFormatPr baseColWidth="10" defaultRowHeight="15" x14ac:dyDescent="0.25"/>
  <cols>
    <col min="3" max="3" width="40.28515625" customWidth="1"/>
    <col min="4" max="4" width="32.140625" customWidth="1"/>
    <col min="7" max="7" width="15.5703125" customWidth="1"/>
    <col min="8" max="8" width="33.7109375" bestFit="1" customWidth="1"/>
    <col min="9" max="9" width="22.140625" bestFit="1" customWidth="1"/>
  </cols>
  <sheetData>
    <row r="1" spans="1:9" ht="15.75" x14ac:dyDescent="0.25">
      <c r="A1" s="909"/>
      <c r="B1" s="910"/>
      <c r="C1" s="859" t="s">
        <v>33</v>
      </c>
      <c r="D1" s="859"/>
      <c r="E1" s="859"/>
      <c r="F1" s="859"/>
      <c r="G1" s="859"/>
      <c r="H1" s="113" t="s">
        <v>32</v>
      </c>
      <c r="I1" s="114"/>
    </row>
    <row r="2" spans="1:9" ht="18" customHeight="1" thickBot="1" x14ac:dyDescent="0.3">
      <c r="A2" s="911"/>
      <c r="B2" s="912"/>
      <c r="C2" s="915" t="s">
        <v>31</v>
      </c>
      <c r="D2" s="916"/>
      <c r="E2" s="916"/>
      <c r="F2" s="916"/>
      <c r="G2" s="917"/>
      <c r="H2" s="115" t="s">
        <v>30</v>
      </c>
      <c r="I2" s="116"/>
    </row>
    <row r="3" spans="1:9" ht="45" customHeight="1" thickBot="1" x14ac:dyDescent="0.3">
      <c r="A3" s="911"/>
      <c r="B3" s="912"/>
      <c r="C3" s="918" t="s">
        <v>67</v>
      </c>
      <c r="D3" s="918"/>
      <c r="E3" s="918"/>
      <c r="F3" s="918"/>
      <c r="G3" s="919"/>
      <c r="H3" s="920" t="s">
        <v>29</v>
      </c>
      <c r="I3" s="900"/>
    </row>
    <row r="4" spans="1:9" ht="18" customHeight="1" x14ac:dyDescent="0.25">
      <c r="A4" s="911"/>
      <c r="B4" s="912"/>
      <c r="C4" s="117" t="s">
        <v>28</v>
      </c>
      <c r="D4" s="903" t="s">
        <v>97</v>
      </c>
      <c r="E4" s="904"/>
      <c r="F4" s="904"/>
      <c r="G4" s="905"/>
      <c r="H4" s="921"/>
      <c r="I4" s="901"/>
    </row>
    <row r="5" spans="1:9" ht="15.75" thickBot="1" x14ac:dyDescent="0.3">
      <c r="A5" s="913"/>
      <c r="B5" s="914"/>
      <c r="C5" s="118" t="s">
        <v>27</v>
      </c>
      <c r="D5" s="906" t="s">
        <v>26</v>
      </c>
      <c r="E5" s="907"/>
      <c r="F5" s="907"/>
      <c r="G5" s="908"/>
      <c r="H5" s="922"/>
      <c r="I5" s="902"/>
    </row>
    <row r="6" spans="1:9" ht="18.75" thickBot="1" x14ac:dyDescent="0.3">
      <c r="A6" s="923" t="s">
        <v>25</v>
      </c>
      <c r="B6" s="923"/>
      <c r="C6" s="923"/>
      <c r="D6" s="924" t="s">
        <v>40</v>
      </c>
      <c r="E6" s="924"/>
      <c r="F6" s="924"/>
      <c r="G6" s="925" t="s">
        <v>24</v>
      </c>
      <c r="H6" s="925"/>
      <c r="I6" s="119" t="s">
        <v>40</v>
      </c>
    </row>
    <row r="7" spans="1:9" x14ac:dyDescent="0.25">
      <c r="A7" s="926" t="s">
        <v>23</v>
      </c>
      <c r="B7" s="928" t="s">
        <v>35</v>
      </c>
      <c r="C7" s="930" t="s">
        <v>22</v>
      </c>
      <c r="D7" s="930" t="s">
        <v>21</v>
      </c>
      <c r="E7" s="930" t="s">
        <v>20</v>
      </c>
      <c r="F7" s="930"/>
      <c r="G7" s="930" t="s">
        <v>19</v>
      </c>
      <c r="H7" s="930"/>
      <c r="I7" s="120" t="s">
        <v>18</v>
      </c>
    </row>
    <row r="8" spans="1:9" ht="27" thickBot="1" x14ac:dyDescent="0.3">
      <c r="A8" s="927"/>
      <c r="B8" s="929"/>
      <c r="C8" s="931"/>
      <c r="D8" s="931"/>
      <c r="E8" s="218" t="s">
        <v>14</v>
      </c>
      <c r="F8" s="219" t="s">
        <v>17</v>
      </c>
      <c r="G8" s="218" t="s">
        <v>14</v>
      </c>
      <c r="H8" s="219" t="s">
        <v>17</v>
      </c>
      <c r="I8" s="123" t="s">
        <v>16</v>
      </c>
    </row>
    <row r="9" spans="1:9" ht="18.399999999999999" customHeight="1" x14ac:dyDescent="0.25">
      <c r="A9" s="220"/>
      <c r="B9" s="127"/>
      <c r="C9" s="126" t="s">
        <v>36</v>
      </c>
      <c r="D9" s="127"/>
      <c r="E9" s="82"/>
      <c r="F9" s="83"/>
      <c r="G9" s="82"/>
      <c r="H9" s="83"/>
      <c r="I9" s="128"/>
    </row>
    <row r="10" spans="1:9" ht="15.75" x14ac:dyDescent="0.25">
      <c r="A10" s="198"/>
      <c r="B10" s="2" t="s">
        <v>109</v>
      </c>
      <c r="C10" s="194" t="s">
        <v>110</v>
      </c>
      <c r="D10" s="261" t="s">
        <v>15</v>
      </c>
      <c r="E10" s="90">
        <v>1000</v>
      </c>
      <c r="F10" s="90"/>
      <c r="G10" s="83"/>
      <c r="H10" s="222"/>
      <c r="I10" s="1"/>
    </row>
    <row r="11" spans="1:9" ht="15.75" x14ac:dyDescent="0.25">
      <c r="A11" s="1"/>
      <c r="B11" s="189" t="s">
        <v>111</v>
      </c>
      <c r="C11" s="194" t="s">
        <v>112</v>
      </c>
      <c r="D11" s="60"/>
      <c r="E11" s="223">
        <v>0.2</v>
      </c>
      <c r="F11" s="223"/>
      <c r="G11" s="144"/>
      <c r="H11" s="224"/>
      <c r="I11" s="225"/>
    </row>
    <row r="12" spans="1:9" x14ac:dyDescent="0.25">
      <c r="A12" s="1"/>
      <c r="B12" s="2"/>
      <c r="C12" s="1"/>
      <c r="D12" s="2"/>
      <c r="E12" s="144"/>
      <c r="F12" s="144"/>
      <c r="G12" s="226"/>
      <c r="H12" s="166"/>
      <c r="I12" s="227"/>
    </row>
    <row r="13" spans="1:9" ht="15.75" x14ac:dyDescent="0.25">
      <c r="A13" s="228"/>
      <c r="B13" s="229"/>
      <c r="C13" s="230"/>
      <c r="D13" s="200"/>
      <c r="E13" s="223"/>
      <c r="F13" s="144"/>
      <c r="G13" s="226"/>
      <c r="H13" s="224"/>
      <c r="I13" s="231"/>
    </row>
    <row r="14" spans="1:9" x14ac:dyDescent="0.25">
      <c r="A14" s="232"/>
      <c r="B14" s="228"/>
      <c r="C14" s="233"/>
      <c r="D14" s="63"/>
      <c r="E14" s="63"/>
      <c r="F14" s="234"/>
      <c r="G14" s="63"/>
      <c r="H14" s="84"/>
      <c r="I14" s="231"/>
    </row>
    <row r="15" spans="1:9" x14ac:dyDescent="0.25">
      <c r="A15" s="235"/>
      <c r="B15" s="228"/>
      <c r="C15" s="233"/>
      <c r="D15" s="63"/>
      <c r="E15" s="63"/>
      <c r="F15" s="234"/>
      <c r="G15" s="63"/>
      <c r="H15" s="84"/>
      <c r="I15" s="231"/>
    </row>
    <row r="16" spans="1:9" x14ac:dyDescent="0.25">
      <c r="A16" s="236"/>
      <c r="B16" s="236"/>
      <c r="C16" s="237"/>
      <c r="D16" s="238"/>
      <c r="E16" s="239"/>
      <c r="F16" s="240"/>
      <c r="G16" s="241"/>
      <c r="H16" s="84"/>
      <c r="I16" s="231"/>
    </row>
    <row r="17" spans="1:13" ht="15.75" x14ac:dyDescent="0.25">
      <c r="A17" s="2"/>
      <c r="B17" s="2"/>
      <c r="C17" s="1"/>
      <c r="D17" s="242"/>
      <c r="E17" s="25"/>
      <c r="F17" s="3"/>
      <c r="G17" s="241"/>
      <c r="H17" s="84"/>
      <c r="I17" s="231"/>
    </row>
    <row r="18" spans="1:13" ht="15.75" x14ac:dyDescent="0.25">
      <c r="A18" s="2"/>
      <c r="B18" s="2"/>
      <c r="C18" s="1"/>
      <c r="D18" s="242"/>
      <c r="E18" s="25"/>
      <c r="F18" s="3"/>
      <c r="G18" s="82"/>
      <c r="H18" s="84"/>
      <c r="I18" s="231"/>
    </row>
    <row r="19" spans="1:13" ht="15.75" x14ac:dyDescent="0.25">
      <c r="A19" s="199"/>
      <c r="B19" s="199"/>
      <c r="C19" s="139" t="s">
        <v>44</v>
      </c>
      <c r="D19" s="142"/>
      <c r="E19" s="143"/>
      <c r="F19" s="144"/>
      <c r="G19" s="82"/>
      <c r="H19" s="83"/>
      <c r="I19" s="231"/>
      <c r="M19" s="243"/>
    </row>
    <row r="20" spans="1:13" ht="15.75" x14ac:dyDescent="0.25">
      <c r="A20" s="1"/>
      <c r="B20" s="2"/>
      <c r="C20" s="1"/>
      <c r="D20" s="60"/>
      <c r="E20" s="244"/>
      <c r="F20" s="144"/>
      <c r="G20" s="245"/>
      <c r="H20" s="224"/>
      <c r="I20" s="246"/>
    </row>
    <row r="21" spans="1:13" ht="15.75" x14ac:dyDescent="0.25">
      <c r="A21" s="1"/>
      <c r="B21" s="2"/>
      <c r="C21" s="221"/>
      <c r="D21" s="60"/>
      <c r="E21" s="244"/>
      <c r="F21" s="144"/>
      <c r="G21" s="245"/>
      <c r="H21" s="224"/>
      <c r="I21" s="246"/>
    </row>
    <row r="22" spans="1:13" ht="15.75" x14ac:dyDescent="0.25">
      <c r="A22" s="1"/>
      <c r="B22" s="2"/>
      <c r="C22" s="194"/>
      <c r="D22" s="26"/>
      <c r="E22" s="244"/>
      <c r="F22" s="144"/>
      <c r="G22" s="245"/>
      <c r="H22" s="224"/>
      <c r="I22" s="246"/>
    </row>
    <row r="23" spans="1:13" ht="15.75" x14ac:dyDescent="0.25">
      <c r="A23" s="236"/>
      <c r="B23" s="2"/>
      <c r="C23" s="1"/>
      <c r="D23" s="60"/>
      <c r="E23" s="244"/>
      <c r="F23" s="144"/>
      <c r="G23" s="245"/>
      <c r="H23" s="224"/>
      <c r="I23" s="246"/>
    </row>
    <row r="24" spans="1:13" ht="15.75" x14ac:dyDescent="0.25">
      <c r="A24" s="2"/>
      <c r="B24" s="2"/>
      <c r="C24" s="1"/>
      <c r="D24" s="247"/>
      <c r="E24" s="244"/>
      <c r="F24" s="144"/>
      <c r="G24" s="245"/>
      <c r="H24" s="245"/>
      <c r="I24" s="246"/>
    </row>
    <row r="25" spans="1:13" x14ac:dyDescent="0.25">
      <c r="A25" s="2"/>
      <c r="B25" s="2"/>
      <c r="C25" s="1"/>
      <c r="D25" s="111"/>
      <c r="E25" s="62"/>
      <c r="F25" s="151"/>
      <c r="G25" s="82"/>
      <c r="H25" s="83"/>
      <c r="I25" s="231"/>
    </row>
    <row r="26" spans="1:13" x14ac:dyDescent="0.25">
      <c r="A26" s="2"/>
      <c r="B26" s="2"/>
      <c r="C26" s="1"/>
      <c r="D26" s="111"/>
      <c r="E26" s="62"/>
      <c r="F26" s="151"/>
      <c r="G26" s="82"/>
      <c r="H26" s="83"/>
      <c r="I26" s="128"/>
    </row>
    <row r="27" spans="1:13" ht="15.75" x14ac:dyDescent="0.25">
      <c r="A27" s="79"/>
      <c r="B27" s="79"/>
      <c r="C27" s="154" t="s">
        <v>45</v>
      </c>
      <c r="D27" s="81"/>
      <c r="E27" s="156"/>
      <c r="F27" s="83"/>
      <c r="G27" s="82"/>
      <c r="H27" s="1"/>
      <c r="I27" s="142"/>
    </row>
    <row r="28" spans="1:13" ht="15.75" x14ac:dyDescent="0.25">
      <c r="A28" s="2" t="s">
        <v>117</v>
      </c>
      <c r="B28" s="88" t="s">
        <v>80</v>
      </c>
      <c r="C28" s="1" t="s">
        <v>118</v>
      </c>
      <c r="D28" s="67" t="s">
        <v>51</v>
      </c>
      <c r="E28" s="25">
        <v>1</v>
      </c>
      <c r="F28" s="3" t="s">
        <v>6</v>
      </c>
      <c r="G28" s="82"/>
      <c r="H28" s="1"/>
      <c r="I28" s="142"/>
    </row>
    <row r="29" spans="1:13" x14ac:dyDescent="0.25">
      <c r="A29" s="1"/>
      <c r="B29" s="1"/>
      <c r="C29" s="194"/>
      <c r="D29" s="67"/>
      <c r="E29" s="68"/>
      <c r="F29" s="69"/>
      <c r="G29" s="82"/>
      <c r="H29" s="1"/>
      <c r="I29" s="142"/>
    </row>
    <row r="30" spans="1:13" x14ac:dyDescent="0.25">
      <c r="A30" s="1"/>
      <c r="B30" s="1"/>
      <c r="C30" s="194"/>
      <c r="D30" s="67"/>
      <c r="E30" s="68"/>
      <c r="F30" s="69"/>
      <c r="G30" s="248"/>
      <c r="H30" s="226"/>
      <c r="I30" s="245"/>
    </row>
    <row r="31" spans="1:13" ht="15.75" x14ac:dyDescent="0.25">
      <c r="A31" s="1"/>
      <c r="B31" s="2"/>
      <c r="C31" s="1"/>
      <c r="D31" s="111"/>
      <c r="E31" s="68"/>
      <c r="F31" s="69"/>
      <c r="G31" s="248"/>
      <c r="H31" s="35"/>
      <c r="I31" s="249"/>
    </row>
    <row r="32" spans="1:13" ht="16.5" thickBot="1" x14ac:dyDescent="0.3">
      <c r="A32" s="1"/>
      <c r="B32" s="140"/>
      <c r="C32" s="250"/>
      <c r="D32" s="251"/>
      <c r="E32" s="109"/>
      <c r="F32" s="112"/>
      <c r="G32" s="248"/>
      <c r="H32" s="35"/>
      <c r="I32" s="249"/>
    </row>
    <row r="33" spans="1:9" ht="15.75" x14ac:dyDescent="0.25">
      <c r="A33" s="1"/>
      <c r="B33" s="2"/>
      <c r="C33" s="1"/>
      <c r="D33" s="26"/>
      <c r="E33" s="25"/>
      <c r="F33" s="69"/>
      <c r="G33" s="248"/>
      <c r="H33" s="35"/>
      <c r="I33" s="249"/>
    </row>
    <row r="34" spans="1:9" ht="15.75" x14ac:dyDescent="0.25">
      <c r="A34" s="202"/>
      <c r="B34" s="2"/>
      <c r="C34" s="194"/>
      <c r="D34" s="252"/>
      <c r="E34" s="253"/>
      <c r="F34" s="253"/>
      <c r="G34" s="254"/>
      <c r="H34" s="35"/>
      <c r="I34" s="249"/>
    </row>
    <row r="35" spans="1:9" x14ac:dyDescent="0.25">
      <c r="A35" s="74"/>
      <c r="B35" s="2"/>
      <c r="C35" s="194"/>
      <c r="D35" s="255"/>
      <c r="E35" s="256"/>
      <c r="F35" s="256"/>
      <c r="G35" s="248"/>
      <c r="H35" s="245"/>
      <c r="I35" s="245"/>
    </row>
    <row r="36" spans="1:9" x14ac:dyDescent="0.25">
      <c r="A36" s="199"/>
      <c r="B36" s="2"/>
      <c r="C36" s="194"/>
      <c r="D36" s="255"/>
      <c r="E36" s="256"/>
      <c r="F36" s="256"/>
      <c r="G36" s="248"/>
      <c r="H36" s="245"/>
      <c r="I36" s="245"/>
    </row>
    <row r="37" spans="1:9" ht="15.75" x14ac:dyDescent="0.25">
      <c r="A37" s="137"/>
      <c r="B37" s="138"/>
      <c r="C37" s="89"/>
      <c r="D37" s="142"/>
      <c r="E37" s="142"/>
      <c r="F37" s="144"/>
      <c r="G37" s="35"/>
      <c r="H37" s="35"/>
      <c r="I37" s="128"/>
    </row>
    <row r="38" spans="1:9" ht="15.75" thickBot="1" x14ac:dyDescent="0.3">
      <c r="A38" s="170"/>
      <c r="B38" s="171"/>
      <c r="C38" s="172"/>
      <c r="D38" s="172"/>
      <c r="E38" s="173"/>
      <c r="F38" s="174"/>
      <c r="G38" s="172"/>
      <c r="H38" s="172"/>
      <c r="I38" s="175"/>
    </row>
    <row r="39" spans="1:9" ht="15.75" thickBot="1" x14ac:dyDescent="0.3">
      <c r="A39" s="176"/>
      <c r="B39" s="177"/>
      <c r="C39" s="178"/>
      <c r="D39" s="179" t="s">
        <v>14</v>
      </c>
      <c r="E39" s="180" t="s">
        <v>13</v>
      </c>
      <c r="F39" s="181"/>
      <c r="G39" s="178"/>
      <c r="H39" s="178"/>
      <c r="I39" s="182"/>
    </row>
    <row r="40" spans="1:9" x14ac:dyDescent="0.25">
      <c r="A40" s="932" t="s">
        <v>12</v>
      </c>
      <c r="B40" s="933"/>
      <c r="C40" s="934"/>
      <c r="D40" s="109">
        <v>1000</v>
      </c>
      <c r="E40" s="184" t="s">
        <v>1</v>
      </c>
      <c r="F40" s="935" t="s">
        <v>11</v>
      </c>
      <c r="G40" s="935"/>
      <c r="H40" s="936"/>
      <c r="I40" s="937"/>
    </row>
    <row r="41" spans="1:9" x14ac:dyDescent="0.25">
      <c r="A41" s="938" t="s">
        <v>10</v>
      </c>
      <c r="B41" s="939"/>
      <c r="C41" s="940"/>
      <c r="D41" s="63">
        <v>2</v>
      </c>
      <c r="E41" s="63" t="s">
        <v>9</v>
      </c>
      <c r="F41" s="941" t="s">
        <v>8</v>
      </c>
      <c r="G41" s="941"/>
      <c r="H41" s="942"/>
      <c r="I41" s="943"/>
    </row>
    <row r="42" spans="1:9" ht="18.399999999999999" customHeight="1" x14ac:dyDescent="0.25">
      <c r="A42" s="938" t="s">
        <v>7</v>
      </c>
      <c r="B42" s="939"/>
      <c r="C42" s="940"/>
      <c r="D42" s="63">
        <v>1</v>
      </c>
      <c r="E42" s="63" t="s">
        <v>92</v>
      </c>
      <c r="F42" s="941" t="s">
        <v>5</v>
      </c>
      <c r="G42" s="941"/>
      <c r="H42" s="942"/>
      <c r="I42" s="943"/>
    </row>
    <row r="43" spans="1:9" ht="14.65" customHeight="1" x14ac:dyDescent="0.25">
      <c r="A43" s="938" t="s">
        <v>4</v>
      </c>
      <c r="B43" s="939"/>
      <c r="C43" s="940"/>
      <c r="D43" s="62">
        <v>1000</v>
      </c>
      <c r="E43" s="63" t="s">
        <v>1</v>
      </c>
      <c r="F43" s="947" t="s">
        <v>3</v>
      </c>
      <c r="G43" s="948"/>
      <c r="H43" s="949"/>
      <c r="I43" s="950"/>
    </row>
    <row r="44" spans="1:9" ht="14.65" customHeight="1" thickBot="1" x14ac:dyDescent="0.3">
      <c r="A44" s="951" t="s">
        <v>2</v>
      </c>
      <c r="B44" s="952"/>
      <c r="C44" s="953"/>
      <c r="D44" s="185">
        <f>SUM(E10:E11)-D40</f>
        <v>0.20000000000004547</v>
      </c>
      <c r="E44" s="186" t="s">
        <v>1</v>
      </c>
      <c r="F44" s="954"/>
      <c r="G44" s="954"/>
      <c r="H44" s="942"/>
      <c r="I44" s="943"/>
    </row>
    <row r="45" spans="1:9" ht="14.65" customHeight="1" thickBot="1" x14ac:dyDescent="0.3">
      <c r="A45" s="955" t="s">
        <v>0</v>
      </c>
      <c r="B45" s="956"/>
      <c r="C45" s="956"/>
      <c r="D45" s="956"/>
      <c r="E45" s="956"/>
      <c r="F45" s="956"/>
      <c r="G45" s="956"/>
      <c r="H45" s="956"/>
      <c r="I45" s="957"/>
    </row>
    <row r="46" spans="1:9" ht="14.65" customHeight="1" x14ac:dyDescent="0.25">
      <c r="A46" s="944" t="s">
        <v>113</v>
      </c>
      <c r="B46" s="945"/>
      <c r="C46" s="945"/>
      <c r="D46" s="945"/>
      <c r="E46" s="945"/>
      <c r="F46" s="945"/>
      <c r="G46" s="945"/>
      <c r="H46" s="945"/>
      <c r="I46" s="946"/>
    </row>
    <row r="47" spans="1:9" ht="22.9" customHeight="1" x14ac:dyDescent="0.25">
      <c r="A47" s="944" t="s">
        <v>114</v>
      </c>
      <c r="B47" s="945"/>
      <c r="C47" s="945"/>
      <c r="D47" s="945"/>
      <c r="E47" s="945"/>
      <c r="F47" s="945"/>
      <c r="G47" s="945"/>
      <c r="H47" s="945"/>
      <c r="I47" s="946"/>
    </row>
    <row r="48" spans="1:9" ht="18" customHeight="1" x14ac:dyDescent="0.25">
      <c r="A48" s="944" t="s">
        <v>115</v>
      </c>
      <c r="B48" s="945"/>
      <c r="C48" s="945"/>
      <c r="D48" s="945"/>
      <c r="E48" s="945"/>
      <c r="F48" s="945"/>
      <c r="G48" s="945"/>
      <c r="H48" s="945"/>
      <c r="I48" s="946"/>
    </row>
    <row r="49" spans="1:9" x14ac:dyDescent="0.25">
      <c r="A49" s="944" t="s">
        <v>116</v>
      </c>
      <c r="B49" s="945"/>
      <c r="C49" s="945"/>
      <c r="D49" s="945"/>
      <c r="E49" s="945"/>
      <c r="F49" s="945"/>
      <c r="G49" s="945"/>
      <c r="H49" s="945"/>
      <c r="I49" s="946"/>
    </row>
    <row r="50" spans="1:9" ht="15.75" x14ac:dyDescent="0.25">
      <c r="A50" s="961"/>
      <c r="B50" s="962"/>
      <c r="C50" s="962"/>
      <c r="D50" s="962"/>
      <c r="E50" s="962"/>
      <c r="F50" s="962"/>
      <c r="G50" s="962"/>
      <c r="H50" s="962"/>
      <c r="I50" s="963"/>
    </row>
    <row r="51" spans="1:9" x14ac:dyDescent="0.25">
      <c r="A51" s="964"/>
      <c r="B51" s="965"/>
      <c r="C51" s="965"/>
      <c r="D51" s="965"/>
      <c r="E51" s="965"/>
      <c r="F51" s="965"/>
      <c r="G51" s="965"/>
      <c r="H51" s="965"/>
      <c r="I51" s="966"/>
    </row>
    <row r="52" spans="1:9" ht="15.75" x14ac:dyDescent="0.25">
      <c r="A52" s="967"/>
      <c r="B52" s="968"/>
      <c r="C52" s="968"/>
      <c r="D52" s="968"/>
      <c r="E52" s="968"/>
      <c r="F52" s="968"/>
      <c r="G52" s="968"/>
      <c r="H52" s="968"/>
      <c r="I52" s="969"/>
    </row>
    <row r="53" spans="1:9" ht="15.75" thickBot="1" x14ac:dyDescent="0.3">
      <c r="A53" s="970"/>
      <c r="B53" s="971"/>
      <c r="C53" s="971"/>
      <c r="D53" s="971"/>
      <c r="E53" s="971"/>
      <c r="F53" s="971"/>
      <c r="G53" s="971"/>
      <c r="H53" s="971"/>
      <c r="I53" s="972"/>
    </row>
    <row r="54" spans="1:9" ht="15.75" thickBot="1" x14ac:dyDescent="0.3">
      <c r="A54" s="958"/>
      <c r="B54" s="959"/>
      <c r="C54" s="959"/>
      <c r="D54" s="959"/>
      <c r="E54" s="959"/>
      <c r="F54" s="959"/>
      <c r="G54" s="959"/>
      <c r="H54" s="959"/>
      <c r="I54" s="960"/>
    </row>
    <row r="55" spans="1:9" x14ac:dyDescent="0.25">
      <c r="A55" s="806" t="s">
        <v>37</v>
      </c>
      <c r="B55" s="807"/>
      <c r="C55" s="807"/>
      <c r="D55" s="807"/>
      <c r="E55" s="807"/>
      <c r="F55" s="807"/>
      <c r="G55" s="807"/>
      <c r="H55" s="807"/>
      <c r="I55" s="807"/>
    </row>
    <row r="56" spans="1:9" x14ac:dyDescent="0.25">
      <c r="A56" s="782"/>
      <c r="B56" s="783"/>
      <c r="C56" s="783"/>
      <c r="D56" s="783"/>
      <c r="E56" s="783"/>
      <c r="F56" s="783"/>
      <c r="G56" s="783"/>
      <c r="H56" s="783"/>
      <c r="I56" s="783"/>
    </row>
    <row r="57" spans="1:9" x14ac:dyDescent="0.25">
      <c r="A57" s="782"/>
      <c r="B57" s="783"/>
      <c r="C57" s="783"/>
      <c r="D57" s="783"/>
      <c r="E57" s="783"/>
      <c r="F57" s="783"/>
      <c r="G57" s="783"/>
      <c r="H57" s="783"/>
      <c r="I57" s="783"/>
    </row>
  </sheetData>
  <mergeCells count="45">
    <mergeCell ref="A54:I54"/>
    <mergeCell ref="A55:I55"/>
    <mergeCell ref="A56:I56"/>
    <mergeCell ref="A57:I57"/>
    <mergeCell ref="A48:I48"/>
    <mergeCell ref="A49:I49"/>
    <mergeCell ref="A50:I50"/>
    <mergeCell ref="A51:I51"/>
    <mergeCell ref="A52:I52"/>
    <mergeCell ref="A53:I53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B574-F2D4-4AA8-9BCA-4080FF98A100}">
  <dimension ref="A1:Q91"/>
  <sheetViews>
    <sheetView topLeftCell="A4" workbookViewId="0">
      <selection activeCell="M26" sqref="M26"/>
    </sheetView>
  </sheetViews>
  <sheetFormatPr baseColWidth="10" defaultColWidth="8.42578125" defaultRowHeight="12.75" x14ac:dyDescent="0.25"/>
  <cols>
    <col min="1" max="1" width="10" style="267" bestFit="1" customWidth="1"/>
    <col min="2" max="2" width="44.28515625" style="267" bestFit="1" customWidth="1"/>
    <col min="3" max="3" width="10.42578125" style="267" bestFit="1" customWidth="1"/>
    <col min="4" max="4" width="10.42578125" style="267" customWidth="1"/>
    <col min="5" max="5" width="11" style="267" customWidth="1"/>
    <col min="6" max="6" width="9.5703125" style="267" bestFit="1" customWidth="1"/>
    <col min="7" max="7" width="10.85546875" style="367" customWidth="1"/>
    <col min="8" max="8" width="10.42578125" style="340" bestFit="1" customWidth="1"/>
    <col min="9" max="9" width="4.5703125" style="340" customWidth="1"/>
    <col min="10" max="10" width="1.85546875" style="266" customWidth="1"/>
    <col min="11" max="11" width="7" style="267" bestFit="1" customWidth="1"/>
    <col min="12" max="12" width="6.28515625" style="267" customWidth="1"/>
    <col min="13" max="13" width="20.42578125" style="267" customWidth="1"/>
    <col min="14" max="14" width="6.42578125" style="267" bestFit="1" customWidth="1"/>
    <col min="15" max="16" width="8.42578125" style="267"/>
    <col min="17" max="17" width="3.28515625" style="267" customWidth="1"/>
    <col min="18" max="16384" width="8.42578125" style="267"/>
  </cols>
  <sheetData>
    <row r="1" spans="1:10" ht="27.75" customHeight="1" x14ac:dyDescent="0.25">
      <c r="A1" s="262"/>
      <c r="B1" s="262"/>
      <c r="C1" s="262"/>
      <c r="D1" s="262"/>
      <c r="E1" s="263" t="s">
        <v>122</v>
      </c>
      <c r="F1" s="264" t="s">
        <v>123</v>
      </c>
      <c r="G1" s="264" t="s">
        <v>124</v>
      </c>
      <c r="H1" s="264" t="s">
        <v>125</v>
      </c>
      <c r="I1" s="265"/>
    </row>
    <row r="2" spans="1:10" ht="30.75" customHeight="1" x14ac:dyDescent="0.25">
      <c r="A2" s="262"/>
      <c r="B2" s="262"/>
      <c r="C2" s="262"/>
      <c r="D2" s="262"/>
      <c r="E2" s="268">
        <f>IFERROR(O62,"")</f>
        <v>2555.6956623376627</v>
      </c>
      <c r="F2" s="268">
        <f>IFERROR(H53,"")</f>
        <v>2171.2280000000001</v>
      </c>
      <c r="G2" s="268">
        <f>IFERROR(H54,"")</f>
        <v>2.13</v>
      </c>
      <c r="H2" s="268">
        <f>IFERROR(H56,"")</f>
        <v>184</v>
      </c>
      <c r="I2" s="269"/>
    </row>
    <row r="3" spans="1:10" ht="15" customHeight="1" x14ac:dyDescent="0.25">
      <c r="A3" s="262"/>
      <c r="B3" s="262"/>
      <c r="C3" s="262"/>
      <c r="D3" s="262"/>
      <c r="E3" s="262"/>
      <c r="F3" s="270"/>
      <c r="G3" s="270"/>
      <c r="H3" s="270"/>
      <c r="I3" s="270"/>
    </row>
    <row r="4" spans="1:10" ht="24.75" customHeight="1" thickBot="1" x14ac:dyDescent="0.3">
      <c r="A4" s="895"/>
      <c r="B4" s="895"/>
      <c r="C4" s="895"/>
      <c r="D4" s="895"/>
      <c r="E4" s="895"/>
      <c r="F4" s="895"/>
      <c r="G4" s="895"/>
      <c r="H4" s="895"/>
      <c r="I4" s="271"/>
    </row>
    <row r="5" spans="1:10" ht="19.5" customHeight="1" thickBot="1" x14ac:dyDescent="0.3">
      <c r="A5" s="896" t="s">
        <v>126</v>
      </c>
      <c r="B5" s="897"/>
      <c r="C5" s="897"/>
      <c r="D5" s="897"/>
      <c r="E5" s="897"/>
      <c r="F5" s="897"/>
      <c r="G5" s="897"/>
      <c r="H5" s="898"/>
      <c r="I5" s="272"/>
    </row>
    <row r="6" spans="1:10" ht="19.5" thickBot="1" x14ac:dyDescent="0.3">
      <c r="A6" s="272"/>
      <c r="B6" s="272"/>
      <c r="C6" s="272"/>
      <c r="D6" s="272"/>
      <c r="E6" s="272"/>
      <c r="F6" s="899" t="s">
        <v>127</v>
      </c>
      <c r="G6" s="899"/>
      <c r="H6" s="273">
        <f ca="1">TODAY()</f>
        <v>46083</v>
      </c>
      <c r="I6" s="273"/>
    </row>
    <row r="7" spans="1:10" ht="26.25" thickBot="1" x14ac:dyDescent="0.3">
      <c r="A7" s="274" t="s">
        <v>128</v>
      </c>
      <c r="B7" s="275" t="s">
        <v>129</v>
      </c>
      <c r="C7" s="275" t="s">
        <v>128</v>
      </c>
      <c r="D7" s="276" t="s">
        <v>130</v>
      </c>
      <c r="E7" s="276" t="s">
        <v>131</v>
      </c>
      <c r="F7" s="276" t="s">
        <v>132</v>
      </c>
      <c r="G7" s="276" t="s">
        <v>133</v>
      </c>
      <c r="H7" s="277" t="s">
        <v>134</v>
      </c>
      <c r="I7" s="278"/>
    </row>
    <row r="8" spans="1:10" ht="13.5" x14ac:dyDescent="0.25">
      <c r="A8" s="279">
        <v>0.2</v>
      </c>
      <c r="B8" s="267" t="s">
        <v>112</v>
      </c>
      <c r="C8" s="280">
        <f>+A8</f>
        <v>0.2</v>
      </c>
      <c r="D8" s="281" t="s">
        <v>174</v>
      </c>
      <c r="E8" s="281">
        <v>6.14</v>
      </c>
      <c r="F8" s="281">
        <f>IFERROR(C8*E8,"")</f>
        <v>1.228</v>
      </c>
      <c r="G8" s="359">
        <f t="shared" ref="G8:G14" si="0">IFERROR(F8/$F$66,"")</f>
        <v>5.1797242847948064E-4</v>
      </c>
      <c r="H8" s="283" t="s">
        <v>111</v>
      </c>
      <c r="I8" s="283"/>
      <c r="J8" s="360"/>
    </row>
    <row r="9" spans="1:10" ht="13.5" hidden="1" x14ac:dyDescent="0.25">
      <c r="A9" s="279"/>
      <c r="B9" s="267" t="str">
        <f>IFERROR(VLOOKUP(H9,'[1]Consolidado MP Planta'!$A$2:$M$823,3,0),"")</f>
        <v/>
      </c>
      <c r="C9" s="280">
        <f t="shared" ref="C9:C14" si="1">+A9</f>
        <v>0</v>
      </c>
      <c r="D9" s="281" t="str">
        <f>IFERROR(VLOOKUP(H9,'[1]Consolidado MP Planta'!$A$2:$M$823,13,0),"")</f>
        <v/>
      </c>
      <c r="E9" s="281" t="str">
        <f>IFERROR(VLOOKUP(H9,'[1]Consolidado MP Planta'!$A$2:$M$823,12,0),"")</f>
        <v/>
      </c>
      <c r="F9" s="281" t="str">
        <f t="shared" ref="F9:F14" si="2">IFERROR(C9*E9,"")</f>
        <v/>
      </c>
      <c r="G9" s="359" t="str">
        <f t="shared" si="0"/>
        <v/>
      </c>
      <c r="H9" s="283"/>
      <c r="I9" s="283"/>
      <c r="J9" s="360"/>
    </row>
    <row r="10" spans="1:10" ht="13.5" hidden="1" x14ac:dyDescent="0.25">
      <c r="A10" s="279"/>
      <c r="B10" s="267" t="str">
        <f>IFERROR(VLOOKUP(H10,'[1]Consolidado MP Planta'!$A$2:$M$823,3,0),"")</f>
        <v/>
      </c>
      <c r="C10" s="280">
        <f t="shared" si="1"/>
        <v>0</v>
      </c>
      <c r="D10" s="281" t="str">
        <f>IFERROR(VLOOKUP(H10,'[1]Consolidado MP Planta'!$A$2:$M$823,13,0),"")</f>
        <v/>
      </c>
      <c r="E10" s="281" t="str">
        <f>IFERROR(VLOOKUP(H10,'[1]Consolidado MP Planta'!$A$2:$M$823,12,0),"")</f>
        <v/>
      </c>
      <c r="F10" s="281" t="str">
        <f t="shared" si="2"/>
        <v/>
      </c>
      <c r="G10" s="359" t="str">
        <f t="shared" si="0"/>
        <v/>
      </c>
      <c r="H10" s="283"/>
      <c r="I10" s="283"/>
      <c r="J10" s="360"/>
    </row>
    <row r="11" spans="1:10" ht="13.5" hidden="1" x14ac:dyDescent="0.25">
      <c r="A11" s="279"/>
      <c r="B11" s="267" t="str">
        <f>IFERROR(VLOOKUP(H11,'[1]Consolidado MP Planta'!$A$2:$M$823,3,0),"")</f>
        <v/>
      </c>
      <c r="C11" s="280">
        <f t="shared" si="1"/>
        <v>0</v>
      </c>
      <c r="D11" s="281" t="str">
        <f>IFERROR(VLOOKUP(H11,'[1]Consolidado MP Planta'!$A$2:$M$823,13,0),"")</f>
        <v/>
      </c>
      <c r="E11" s="281" t="str">
        <f>IFERROR(VLOOKUP(H11,'[1]Consolidado MP Planta'!$A$2:$M$823,12,0),"")</f>
        <v/>
      </c>
      <c r="F11" s="281" t="str">
        <f t="shared" si="2"/>
        <v/>
      </c>
      <c r="G11" s="359" t="str">
        <f t="shared" si="0"/>
        <v/>
      </c>
      <c r="H11" s="283"/>
      <c r="I11" s="283"/>
      <c r="J11" s="360"/>
    </row>
    <row r="12" spans="1:10" ht="13.5" hidden="1" x14ac:dyDescent="0.25">
      <c r="A12" s="279"/>
      <c r="B12" s="267" t="str">
        <f>IFERROR(VLOOKUP(H12,'[1]Consolidado MP Planta'!$A$2:$M$823,3,0),"")</f>
        <v/>
      </c>
      <c r="C12" s="280">
        <f t="shared" si="1"/>
        <v>0</v>
      </c>
      <c r="D12" s="281" t="str">
        <f>IFERROR(VLOOKUP(H12,'[1]Consolidado MP Planta'!$A$2:$M$823,13,0),"")</f>
        <v/>
      </c>
      <c r="E12" s="281" t="str">
        <f>IFERROR(VLOOKUP(H12,'[1]Consolidado MP Planta'!$A$2:$M$823,12,0),"")</f>
        <v/>
      </c>
      <c r="F12" s="281" t="str">
        <f t="shared" si="2"/>
        <v/>
      </c>
      <c r="G12" s="359" t="str">
        <f t="shared" si="0"/>
        <v/>
      </c>
      <c r="H12" s="283"/>
      <c r="I12" s="283"/>
      <c r="J12" s="360"/>
    </row>
    <row r="13" spans="1:10" ht="13.5" hidden="1" x14ac:dyDescent="0.25">
      <c r="A13" s="279"/>
      <c r="B13" s="267" t="str">
        <f>IFERROR(VLOOKUP(H13,'[1]Consolidado MP Planta'!$A$2:$M$823,3,0),"")</f>
        <v/>
      </c>
      <c r="C13" s="280">
        <f t="shared" si="1"/>
        <v>0</v>
      </c>
      <c r="D13" s="281" t="str">
        <f>IFERROR(VLOOKUP(H13,'[1]Consolidado MP Planta'!$A$2:$M$823,13,0),"")</f>
        <v/>
      </c>
      <c r="E13" s="281" t="str">
        <f>IFERROR(VLOOKUP(H13,'[1]Consolidado MP Planta'!$A$2:$M$823,12,0),"")</f>
        <v/>
      </c>
      <c r="F13" s="281" t="str">
        <f t="shared" si="2"/>
        <v/>
      </c>
      <c r="G13" s="359" t="str">
        <f t="shared" si="0"/>
        <v/>
      </c>
      <c r="H13" s="283"/>
      <c r="I13" s="283"/>
      <c r="J13" s="360"/>
    </row>
    <row r="14" spans="1:10" ht="13.5" hidden="1" x14ac:dyDescent="0.25">
      <c r="A14" s="279"/>
      <c r="B14" s="267" t="str">
        <f>IFERROR(VLOOKUP(H14,'[1]Consolidado MP Planta'!$A$2:$M$823,3,0),"")</f>
        <v/>
      </c>
      <c r="C14" s="280">
        <f t="shared" si="1"/>
        <v>0</v>
      </c>
      <c r="D14" s="281" t="str">
        <f>IFERROR(VLOOKUP(H14,'[1]Consolidado MP Planta'!$A$2:$M$823,13,0),"")</f>
        <v/>
      </c>
      <c r="E14" s="281" t="str">
        <f>IFERROR(VLOOKUP(H14,'[1]Consolidado MP Planta'!$A$2:$M$823,12,0),"")</f>
        <v/>
      </c>
      <c r="F14" s="281" t="str">
        <f t="shared" si="2"/>
        <v/>
      </c>
      <c r="G14" s="359" t="str">
        <f t="shared" si="0"/>
        <v/>
      </c>
      <c r="H14" s="283"/>
      <c r="I14" s="283"/>
      <c r="J14" s="360"/>
    </row>
    <row r="15" spans="1:10" ht="14.25" thickBot="1" x14ac:dyDescent="0.3">
      <c r="A15" s="279"/>
      <c r="B15" s="267" t="str">
        <f>IFERROR(VLOOKUP(H15,[2]Hoja2!$A$2:$G$589,2,0),"")</f>
        <v/>
      </c>
      <c r="C15" s="280"/>
      <c r="D15" s="281"/>
      <c r="E15" s="281"/>
      <c r="F15" s="281"/>
      <c r="G15" s="359"/>
      <c r="H15" s="283"/>
      <c r="I15" s="283"/>
      <c r="J15" s="360"/>
    </row>
    <row r="16" spans="1:10" ht="26.25" thickBot="1" x14ac:dyDescent="0.3">
      <c r="A16" s="274" t="s">
        <v>128</v>
      </c>
      <c r="B16" s="275" t="s">
        <v>135</v>
      </c>
      <c r="C16" s="275" t="s">
        <v>128</v>
      </c>
      <c r="D16" s="276" t="s">
        <v>130</v>
      </c>
      <c r="E16" s="276" t="s">
        <v>131</v>
      </c>
      <c r="F16" s="276" t="s">
        <v>132</v>
      </c>
      <c r="G16" s="276" t="s">
        <v>133</v>
      </c>
      <c r="H16" s="277" t="s">
        <v>134</v>
      </c>
      <c r="I16" s="278"/>
      <c r="J16" s="360"/>
    </row>
    <row r="17" spans="1:12" ht="13.5" x14ac:dyDescent="0.25">
      <c r="A17" s="279">
        <v>1000</v>
      </c>
      <c r="B17" s="267" t="s">
        <v>110</v>
      </c>
      <c r="C17" s="280">
        <f>+A17</f>
        <v>1000</v>
      </c>
      <c r="D17" s="280" t="s">
        <v>174</v>
      </c>
      <c r="E17" s="281">
        <v>2.17</v>
      </c>
      <c r="F17" s="281">
        <f>IFERROR(E17*C17,"")</f>
        <v>2170</v>
      </c>
      <c r="G17" s="359">
        <f t="shared" ref="G17:G24" si="3">IFERROR(F17/$F$66,"")</f>
        <v>0.91530958452807243</v>
      </c>
      <c r="H17" s="283" t="s">
        <v>109</v>
      </c>
      <c r="I17" s="283"/>
      <c r="J17" s="360"/>
    </row>
    <row r="18" spans="1:12" ht="13.5" hidden="1" x14ac:dyDescent="0.25">
      <c r="A18" s="279"/>
      <c r="B18" s="267" t="str">
        <f>IFERROR(VLOOKUP(H18,[1]SEMIELABORADOS!$A$2:$M$6000,2,0),"")</f>
        <v/>
      </c>
      <c r="C18" s="280">
        <f t="shared" ref="C18:C24" si="4">+A18</f>
        <v>0</v>
      </c>
      <c r="D18" s="280" t="str">
        <f>IFERROR(VLOOKUP(H18,[1]SEMIELABORADOS!$A$2:$M$6000,6,0),"")</f>
        <v/>
      </c>
      <c r="E18" s="281" t="str">
        <f>IFERROR(VLOOKUP(H18,[1]SEMIELABORADOS!$A$2:$H$65536,8,0),"")</f>
        <v/>
      </c>
      <c r="F18" s="281" t="str">
        <f t="shared" ref="F18:F24" si="5">IFERROR(E18*C18,"")</f>
        <v/>
      </c>
      <c r="G18" s="359" t="str">
        <f t="shared" si="3"/>
        <v/>
      </c>
      <c r="H18" s="283"/>
      <c r="I18" s="283"/>
      <c r="J18" s="360"/>
    </row>
    <row r="19" spans="1:12" ht="13.5" hidden="1" x14ac:dyDescent="0.25">
      <c r="A19" s="279"/>
      <c r="B19" s="267" t="str">
        <f>IFERROR(VLOOKUP(H19,[1]SEMIELABORADOS!$A$2:$M$6000,2,0),"")</f>
        <v/>
      </c>
      <c r="C19" s="280">
        <f>+A19</f>
        <v>0</v>
      </c>
      <c r="D19" s="280" t="str">
        <f>IFERROR(VLOOKUP(H19,[1]SEMIELABORADOS!$A$2:$M$6000,6,0),"")</f>
        <v/>
      </c>
      <c r="E19" s="281" t="str">
        <f>IFERROR(VLOOKUP(H19,[1]SEMIELABORADOS!$A$2:$H$65536,8,0),"")</f>
        <v/>
      </c>
      <c r="F19" s="281" t="str">
        <f>IFERROR(E19*C19,"")</f>
        <v/>
      </c>
      <c r="G19" s="359" t="str">
        <f t="shared" si="3"/>
        <v/>
      </c>
      <c r="H19" s="283"/>
      <c r="I19" s="283"/>
      <c r="J19" s="360"/>
    </row>
    <row r="20" spans="1:12" ht="13.5" hidden="1" x14ac:dyDescent="0.25">
      <c r="A20" s="279"/>
      <c r="B20" s="267" t="str">
        <f>IFERROR(VLOOKUP(H20,[1]SEMIELABORADOS!$A$2:$M$6000,2,0),"")</f>
        <v/>
      </c>
      <c r="C20" s="280">
        <f>+A20</f>
        <v>0</v>
      </c>
      <c r="D20" s="280" t="str">
        <f>IFERROR(VLOOKUP(H20,[1]SEMIELABORADOS!$A$2:$M$6000,6,0),"")</f>
        <v/>
      </c>
      <c r="E20" s="281" t="str">
        <f>IFERROR(VLOOKUP(H20,[1]SEMIELABORADOS!$A$2:$H$65536,8,0),"")</f>
        <v/>
      </c>
      <c r="F20" s="281" t="str">
        <f>IFERROR(E20*C20,"")</f>
        <v/>
      </c>
      <c r="G20" s="359" t="str">
        <f t="shared" si="3"/>
        <v/>
      </c>
      <c r="H20" s="283"/>
      <c r="I20" s="283"/>
      <c r="J20" s="360"/>
    </row>
    <row r="21" spans="1:12" ht="13.5" hidden="1" x14ac:dyDescent="0.25">
      <c r="A21" s="279"/>
      <c r="B21" s="267" t="str">
        <f>IFERROR(VLOOKUP(H21,[1]SEMIELABORADOS!$A$2:$M$6000,2,0),"")</f>
        <v/>
      </c>
      <c r="C21" s="280">
        <f>+A21</f>
        <v>0</v>
      </c>
      <c r="D21" s="280" t="str">
        <f>IFERROR(VLOOKUP(H21,[1]SEMIELABORADOS!$A$2:$M$6000,6,0),"")</f>
        <v/>
      </c>
      <c r="E21" s="281" t="str">
        <f>IFERROR(VLOOKUP(H21,[1]SEMIELABORADOS!$A$2:$H$65536,8,0),"")</f>
        <v/>
      </c>
      <c r="F21" s="281" t="str">
        <f>IFERROR(E21*C21,"")</f>
        <v/>
      </c>
      <c r="G21" s="359" t="str">
        <f t="shared" si="3"/>
        <v/>
      </c>
      <c r="H21" s="283"/>
      <c r="I21" s="283"/>
      <c r="J21" s="360"/>
    </row>
    <row r="22" spans="1:12" ht="13.5" hidden="1" x14ac:dyDescent="0.25">
      <c r="A22" s="279"/>
      <c r="B22" s="267" t="str">
        <f>IFERROR(VLOOKUP(H22,[1]SEMIELABORADOS!$A$2:$M$6000,2,0),"")</f>
        <v/>
      </c>
      <c r="C22" s="280">
        <f t="shared" si="4"/>
        <v>0</v>
      </c>
      <c r="D22" s="280" t="str">
        <f>IFERROR(VLOOKUP(H22,[1]SEMIELABORADOS!$A$2:$M$6000,6,0),"")</f>
        <v/>
      </c>
      <c r="E22" s="281" t="str">
        <f>IFERROR(VLOOKUP(H22,[1]SEMIELABORADOS!$A$2:$H$65536,8,0),"")</f>
        <v/>
      </c>
      <c r="F22" s="281" t="str">
        <f t="shared" si="5"/>
        <v/>
      </c>
      <c r="G22" s="359" t="str">
        <f t="shared" si="3"/>
        <v/>
      </c>
      <c r="H22" s="283"/>
      <c r="I22" s="283"/>
      <c r="J22" s="360"/>
    </row>
    <row r="23" spans="1:12" ht="13.5" hidden="1" x14ac:dyDescent="0.25">
      <c r="A23" s="279"/>
      <c r="B23" s="267" t="str">
        <f>IFERROR(VLOOKUP(H23,[1]SEMIELABORADOS!$A$2:$M$6000,2,0),"")</f>
        <v/>
      </c>
      <c r="C23" s="280">
        <f t="shared" si="4"/>
        <v>0</v>
      </c>
      <c r="D23" s="280" t="str">
        <f>IFERROR(VLOOKUP(H23,[1]SEMIELABORADOS!$A$2:$M$6000,6,0),"")</f>
        <v/>
      </c>
      <c r="E23" s="281" t="str">
        <f>IFERROR(VLOOKUP(H23,[1]SEMIELABORADOS!$A$2:$H$65536,8,0),"")</f>
        <v/>
      </c>
      <c r="F23" s="281" t="str">
        <f t="shared" si="5"/>
        <v/>
      </c>
      <c r="G23" s="359" t="str">
        <f t="shared" si="3"/>
        <v/>
      </c>
      <c r="H23" s="283"/>
      <c r="I23" s="283"/>
      <c r="J23" s="360"/>
    </row>
    <row r="24" spans="1:12" ht="13.5" hidden="1" x14ac:dyDescent="0.25">
      <c r="A24" s="279"/>
      <c r="B24" s="267" t="str">
        <f>IFERROR(VLOOKUP(H24,[1]SEMIELABORADOS!$A$2:$M$6000,2,0),"")</f>
        <v/>
      </c>
      <c r="C24" s="280">
        <f t="shared" si="4"/>
        <v>0</v>
      </c>
      <c r="D24" s="280" t="str">
        <f>IFERROR(VLOOKUP(H24,[1]SEMIELABORADOS!$A$2:$M$6000,6,0),"")</f>
        <v/>
      </c>
      <c r="E24" s="281" t="str">
        <f>IFERROR(VLOOKUP(H24,[1]SEMIELABORADOS!$A$2:$H$65536,8,0),"")</f>
        <v/>
      </c>
      <c r="F24" s="281" t="str">
        <f t="shared" si="5"/>
        <v/>
      </c>
      <c r="G24" s="359" t="str">
        <f t="shared" si="3"/>
        <v/>
      </c>
      <c r="H24" s="283"/>
      <c r="I24" s="283"/>
      <c r="J24" s="360"/>
    </row>
    <row r="25" spans="1:12" ht="14.25" thickBot="1" x14ac:dyDescent="0.3">
      <c r="A25" s="279"/>
      <c r="C25" s="280"/>
      <c r="D25" s="280"/>
      <c r="E25" s="281"/>
      <c r="F25" s="281"/>
      <c r="G25" s="359"/>
      <c r="H25" s="283"/>
      <c r="I25" s="283"/>
      <c r="J25" s="360"/>
    </row>
    <row r="26" spans="1:12" ht="26.25" thickBot="1" x14ac:dyDescent="0.3">
      <c r="A26" s="274" t="s">
        <v>128</v>
      </c>
      <c r="B26" s="275" t="s">
        <v>38</v>
      </c>
      <c r="C26" s="275" t="s">
        <v>128</v>
      </c>
      <c r="D26" s="276" t="s">
        <v>130</v>
      </c>
      <c r="E26" s="276" t="s">
        <v>131</v>
      </c>
      <c r="F26" s="276" t="s">
        <v>132</v>
      </c>
      <c r="G26" s="276" t="s">
        <v>133</v>
      </c>
      <c r="H26" s="277" t="s">
        <v>134</v>
      </c>
      <c r="I26" s="278"/>
    </row>
    <row r="27" spans="1:12" ht="13.5" x14ac:dyDescent="0.25">
      <c r="A27" s="279">
        <v>1</v>
      </c>
      <c r="B27" s="285" t="str">
        <f>IFERROR(VLOOKUP(H27,'[1]Consolidado MP Planta'!$A$2:$M$823,3,0),"")</f>
        <v>ETIQUETA BLANCA 2 5/8X1 15/16 (UND)</v>
      </c>
      <c r="C27" s="280">
        <f t="shared" ref="C27:C32" si="6">+A27</f>
        <v>1</v>
      </c>
      <c r="D27" s="281" t="str">
        <f>IFERROR(VLOOKUP(H27,'[1]Consolidado MP Planta'!$A$2:$M$823,13,0),"")</f>
        <v>Und</v>
      </c>
      <c r="E27" s="281">
        <v>2.13</v>
      </c>
      <c r="F27" s="281">
        <f t="shared" ref="F27:F32" si="7">IFERROR(C27*E27,"")</f>
        <v>2.13</v>
      </c>
      <c r="G27" s="359">
        <f t="shared" ref="G27:G32" si="8">IFERROR(F27/$F$66,"")</f>
        <v>8.9843751845382217E-4</v>
      </c>
      <c r="H27" s="286" t="s">
        <v>117</v>
      </c>
      <c r="I27" s="286"/>
      <c r="J27" s="360"/>
      <c r="K27" s="889"/>
      <c r="L27" s="889"/>
    </row>
    <row r="28" spans="1:12" ht="13.5" hidden="1" x14ac:dyDescent="0.25">
      <c r="A28" s="279"/>
      <c r="B28" s="285" t="str">
        <f>IFERROR(VLOOKUP(H28,'[1]Consolidado MP Planta'!$A$2:$M$823,3,0),"")</f>
        <v/>
      </c>
      <c r="C28" s="280">
        <f t="shared" si="6"/>
        <v>0</v>
      </c>
      <c r="D28" s="281" t="str">
        <f>IFERROR(VLOOKUP(H28,'[1]Consolidado MP Planta'!$A$2:$M$823,13,0),"")</f>
        <v/>
      </c>
      <c r="E28" s="281" t="str">
        <f>IFERROR(VLOOKUP(H28,'[1]Consolidado MP Planta'!$A$2:$M$823,12,0),"")</f>
        <v/>
      </c>
      <c r="F28" s="281" t="str">
        <f t="shared" si="7"/>
        <v/>
      </c>
      <c r="G28" s="359" t="str">
        <f t="shared" si="8"/>
        <v/>
      </c>
      <c r="H28" s="286"/>
      <c r="I28" s="286"/>
      <c r="J28" s="360"/>
      <c r="K28" s="889"/>
      <c r="L28" s="889"/>
    </row>
    <row r="29" spans="1:12" ht="13.5" hidden="1" x14ac:dyDescent="0.25">
      <c r="A29" s="279"/>
      <c r="B29" s="285" t="str">
        <f>IFERROR(VLOOKUP(H29,'[1]Consolidado MP Planta'!$A$2:$M$823,3,0),"")</f>
        <v/>
      </c>
      <c r="C29" s="280">
        <f t="shared" si="6"/>
        <v>0</v>
      </c>
      <c r="D29" s="281" t="str">
        <f>IFERROR(VLOOKUP(H29,'[1]Consolidado MP Planta'!$A$2:$M$823,13,0),"")</f>
        <v/>
      </c>
      <c r="E29" s="281" t="str">
        <f>IFERROR(VLOOKUP(H29,'[1]Consolidado MP Planta'!$A$2:$M$823,12,0),"")</f>
        <v/>
      </c>
      <c r="F29" s="281" t="str">
        <f t="shared" si="7"/>
        <v/>
      </c>
      <c r="G29" s="359" t="str">
        <f t="shared" si="8"/>
        <v/>
      </c>
      <c r="H29" s="286"/>
      <c r="I29" s="286"/>
      <c r="J29" s="360"/>
      <c r="K29" s="889"/>
      <c r="L29" s="889"/>
    </row>
    <row r="30" spans="1:12" ht="13.5" hidden="1" x14ac:dyDescent="0.25">
      <c r="A30" s="279"/>
      <c r="B30" s="285" t="str">
        <f>IFERROR(VLOOKUP(H30,'[1]Consolidado MP Planta'!$A$2:$M$823,3,0),"")</f>
        <v/>
      </c>
      <c r="C30" s="280">
        <f t="shared" si="6"/>
        <v>0</v>
      </c>
      <c r="D30" s="281" t="str">
        <f>IFERROR(VLOOKUP(H30,'[1]Consolidado MP Planta'!$A$2:$M$823,13,0),"")</f>
        <v/>
      </c>
      <c r="E30" s="281" t="str">
        <f>IFERROR(VLOOKUP(H30,'[1]Consolidado MP Planta'!$A$2:$M$823,12,0),"")</f>
        <v/>
      </c>
      <c r="F30" s="281" t="str">
        <f t="shared" si="7"/>
        <v/>
      </c>
      <c r="G30" s="359" t="str">
        <f t="shared" si="8"/>
        <v/>
      </c>
      <c r="H30" s="286"/>
      <c r="I30" s="286"/>
      <c r="J30" s="360"/>
      <c r="K30" s="889"/>
      <c r="L30" s="889"/>
    </row>
    <row r="31" spans="1:12" ht="13.5" hidden="1" x14ac:dyDescent="0.25">
      <c r="A31" s="279"/>
      <c r="B31" s="285" t="str">
        <f>IFERROR(VLOOKUP(H31,'[1]Consolidado MP Planta'!$A$2:$M$823,3,0),"")</f>
        <v/>
      </c>
      <c r="C31" s="280">
        <f t="shared" si="6"/>
        <v>0</v>
      </c>
      <c r="D31" s="281" t="str">
        <f>IFERROR(VLOOKUP(H31,'[1]Consolidado MP Planta'!$A$2:$M$823,13,0),"")</f>
        <v/>
      </c>
      <c r="E31" s="281" t="str">
        <f>IFERROR(VLOOKUP(H31,'[1]Consolidado MP Planta'!$A$2:$M$823,12,0),"")</f>
        <v/>
      </c>
      <c r="F31" s="281" t="str">
        <f t="shared" si="7"/>
        <v/>
      </c>
      <c r="G31" s="359" t="str">
        <f t="shared" si="8"/>
        <v/>
      </c>
      <c r="H31" s="286"/>
      <c r="I31" s="286"/>
      <c r="J31" s="360"/>
      <c r="K31" s="287"/>
      <c r="L31" s="288"/>
    </row>
    <row r="32" spans="1:12" ht="13.5" hidden="1" x14ac:dyDescent="0.25">
      <c r="A32" s="279"/>
      <c r="B32" s="285" t="str">
        <f>IFERROR(VLOOKUP(H32,'[1]Consolidado MP Planta'!$A$2:$M$823,3,0),"")</f>
        <v/>
      </c>
      <c r="C32" s="280">
        <f t="shared" si="6"/>
        <v>0</v>
      </c>
      <c r="D32" s="281" t="str">
        <f>IFERROR(VLOOKUP(H32,'[1]Consolidado MP Planta'!$A$2:$M$823,13,0),"")</f>
        <v/>
      </c>
      <c r="E32" s="281" t="str">
        <f>IFERROR(VLOOKUP(H32,'[1]Consolidado MP Planta'!$A$2:$M$823,12,0),"")</f>
        <v/>
      </c>
      <c r="F32" s="281" t="str">
        <f t="shared" si="7"/>
        <v/>
      </c>
      <c r="G32" s="359" t="str">
        <f t="shared" si="8"/>
        <v/>
      </c>
      <c r="H32" s="286"/>
      <c r="I32" s="286"/>
      <c r="J32" s="360"/>
    </row>
    <row r="33" spans="1:13" ht="14.25" thickBot="1" x14ac:dyDescent="0.3">
      <c r="A33" s="279"/>
      <c r="B33" s="285"/>
      <c r="C33" s="280"/>
      <c r="D33" s="281"/>
      <c r="E33" s="281"/>
      <c r="F33" s="281"/>
      <c r="G33" s="359"/>
      <c r="H33" s="286"/>
      <c r="I33" s="286"/>
      <c r="J33" s="360"/>
    </row>
    <row r="34" spans="1:13" ht="26.25" thickBot="1" x14ac:dyDescent="0.25">
      <c r="A34" s="274" t="s">
        <v>128</v>
      </c>
      <c r="B34" s="275" t="s">
        <v>136</v>
      </c>
      <c r="C34" s="275" t="s">
        <v>128</v>
      </c>
      <c r="D34" s="276" t="s">
        <v>130</v>
      </c>
      <c r="E34" s="276" t="s">
        <v>131</v>
      </c>
      <c r="F34" s="276" t="s">
        <v>132</v>
      </c>
      <c r="G34" s="276" t="s">
        <v>133</v>
      </c>
      <c r="H34" s="277" t="s">
        <v>134</v>
      </c>
      <c r="I34" s="286"/>
      <c r="J34" s="360"/>
    </row>
    <row r="35" spans="1:13" ht="13.5" x14ac:dyDescent="0.25">
      <c r="A35" s="279">
        <f>+A17</f>
        <v>1000</v>
      </c>
      <c r="B35" s="285" t="s">
        <v>110</v>
      </c>
      <c r="C35" s="280">
        <f>+A35</f>
        <v>1000</v>
      </c>
      <c r="D35" s="281" t="s">
        <v>174</v>
      </c>
      <c r="E35" s="281">
        <v>0</v>
      </c>
      <c r="F35" s="281">
        <f>IFERROR(E35*C35,"")</f>
        <v>0</v>
      </c>
      <c r="G35" s="359">
        <f t="shared" ref="G35:G41" si="9">IFERROR(F35/$F$66,"")</f>
        <v>0</v>
      </c>
      <c r="H35" s="286" t="s">
        <v>109</v>
      </c>
      <c r="I35" s="286"/>
      <c r="J35" s="360"/>
    </row>
    <row r="36" spans="1:13" ht="13.5" hidden="1" x14ac:dyDescent="0.25">
      <c r="A36" s="279">
        <f t="shared" ref="A36:A41" si="10">+A18</f>
        <v>0</v>
      </c>
      <c r="B36" s="285" t="str">
        <f>IFERROR(VLOOKUP(H36,[1]SEMIELABORADOS!$A$2:$M$6000,2,0),"")</f>
        <v/>
      </c>
      <c r="C36" s="280">
        <f t="shared" ref="C36:C41" si="11">+A36</f>
        <v>0</v>
      </c>
      <c r="D36" s="281" t="str">
        <f>IFERROR(VLOOKUP(H36,[1]SEMIELABORADOS!$A$2:$M$6000,6,0),"")</f>
        <v/>
      </c>
      <c r="E36" s="281" t="str">
        <f>IFERROR(VLOOKUP(H36,[1]SEMIELABORADOS!$A$2:$M$65536,10,0),"")</f>
        <v/>
      </c>
      <c r="F36" s="281" t="str">
        <f t="shared" ref="F36:F41" si="12">IFERROR(E36*C36,"")</f>
        <v/>
      </c>
      <c r="G36" s="359" t="str">
        <f t="shared" si="9"/>
        <v/>
      </c>
      <c r="H36" s="286"/>
      <c r="I36" s="286"/>
      <c r="J36" s="360"/>
    </row>
    <row r="37" spans="1:13" ht="13.5" hidden="1" x14ac:dyDescent="0.25">
      <c r="A37" s="279">
        <f t="shared" si="10"/>
        <v>0</v>
      </c>
      <c r="B37" s="285" t="str">
        <f>IFERROR(VLOOKUP(H37,[1]SEMIELABORADOS!$A$2:$M$6000,2,0),"")</f>
        <v/>
      </c>
      <c r="C37" s="280">
        <f t="shared" si="11"/>
        <v>0</v>
      </c>
      <c r="D37" s="281" t="str">
        <f>IFERROR(VLOOKUP(H37,[1]SEMIELABORADOS!$A$2:$M$6000,6,0),"")</f>
        <v/>
      </c>
      <c r="E37" s="281" t="str">
        <f>IFERROR(VLOOKUP(H37,[1]SEMIELABORADOS!$A$2:$M$65536,10,0),"")</f>
        <v/>
      </c>
      <c r="F37" s="281" t="str">
        <f t="shared" si="12"/>
        <v/>
      </c>
      <c r="G37" s="359" t="str">
        <f t="shared" si="9"/>
        <v/>
      </c>
      <c r="H37" s="286"/>
      <c r="I37" s="286"/>
      <c r="J37" s="360"/>
    </row>
    <row r="38" spans="1:13" ht="13.5" hidden="1" x14ac:dyDescent="0.25">
      <c r="A38" s="279">
        <f t="shared" si="10"/>
        <v>0</v>
      </c>
      <c r="B38" s="285" t="str">
        <f>IFERROR(VLOOKUP(H38,[1]SEMIELABORADOS!$A$2:$M$6000,2,0),"")</f>
        <v/>
      </c>
      <c r="C38" s="280">
        <f>+A38</f>
        <v>0</v>
      </c>
      <c r="D38" s="281" t="str">
        <f>IFERROR(VLOOKUP(H38,[1]SEMIELABORADOS!$A$2:$M$6000,6,0),"")</f>
        <v/>
      </c>
      <c r="E38" s="281" t="str">
        <f>IFERROR(VLOOKUP(H38,[1]SEMIELABORADOS!$A$2:$M$65536,10,0),"")</f>
        <v/>
      </c>
      <c r="F38" s="281" t="str">
        <f>IFERROR(E38*C38,"")</f>
        <v/>
      </c>
      <c r="G38" s="359" t="str">
        <f t="shared" si="9"/>
        <v/>
      </c>
      <c r="H38" s="286"/>
      <c r="I38" s="286"/>
      <c r="J38" s="360"/>
    </row>
    <row r="39" spans="1:13" ht="13.5" hidden="1" x14ac:dyDescent="0.25">
      <c r="A39" s="279">
        <f t="shared" si="10"/>
        <v>0</v>
      </c>
      <c r="B39" s="285" t="str">
        <f>IFERROR(VLOOKUP(H39,[1]SEMIELABORADOS!$A$2:$M$6000,2,0),"")</f>
        <v/>
      </c>
      <c r="C39" s="280">
        <f>+A39</f>
        <v>0</v>
      </c>
      <c r="D39" s="281" t="str">
        <f>IFERROR(VLOOKUP(H39,[1]SEMIELABORADOS!$A$2:$M$6000,6,0),"")</f>
        <v/>
      </c>
      <c r="E39" s="281" t="str">
        <f>IFERROR(VLOOKUP(H39,[1]SEMIELABORADOS!$A$2:$M$65536,10,0),"")</f>
        <v/>
      </c>
      <c r="F39" s="281" t="str">
        <f>IFERROR(E39*C39,"")</f>
        <v/>
      </c>
      <c r="G39" s="359" t="str">
        <f t="shared" si="9"/>
        <v/>
      </c>
      <c r="H39" s="286"/>
      <c r="I39" s="286"/>
      <c r="J39" s="360"/>
    </row>
    <row r="40" spans="1:13" ht="13.5" hidden="1" x14ac:dyDescent="0.25">
      <c r="A40" s="279">
        <f t="shared" si="10"/>
        <v>0</v>
      </c>
      <c r="B40" s="285" t="str">
        <f>IFERROR(VLOOKUP(H40,[1]SEMIELABORADOS!$A$2:$M$6000,2,0),"")</f>
        <v/>
      </c>
      <c r="C40" s="280">
        <f t="shared" si="11"/>
        <v>0</v>
      </c>
      <c r="D40" s="281" t="str">
        <f>IFERROR(VLOOKUP(H40,[1]SEMIELABORADOS!$A$2:$M$6000,6,0),"")</f>
        <v/>
      </c>
      <c r="E40" s="281" t="str">
        <f>IFERROR(VLOOKUP(H40,[1]SEMIELABORADOS!$A$2:$M$65536,10,0),"")</f>
        <v/>
      </c>
      <c r="F40" s="281" t="str">
        <f t="shared" si="12"/>
        <v/>
      </c>
      <c r="G40" s="359" t="str">
        <f t="shared" si="9"/>
        <v/>
      </c>
      <c r="H40" s="286"/>
      <c r="I40" s="286"/>
      <c r="J40" s="360"/>
    </row>
    <row r="41" spans="1:13" ht="13.5" hidden="1" x14ac:dyDescent="0.25">
      <c r="A41" s="279">
        <f t="shared" si="10"/>
        <v>0</v>
      </c>
      <c r="B41" s="285" t="str">
        <f>IFERROR(VLOOKUP(H41,[1]SEMIELABORADOS!$A$2:$M$6000,2,0),"")</f>
        <v/>
      </c>
      <c r="C41" s="280">
        <f t="shared" si="11"/>
        <v>0</v>
      </c>
      <c r="D41" s="281" t="str">
        <f>IFERROR(VLOOKUP(H41,[1]SEMIELABORADOS!$A$2:$M$6000,6,0),"")</f>
        <v/>
      </c>
      <c r="E41" s="281" t="str">
        <f>IFERROR(VLOOKUP(H41,[1]SEMIELABORADOS!$A$2:$M$65536,10,0),"")</f>
        <v/>
      </c>
      <c r="F41" s="281" t="str">
        <f t="shared" si="12"/>
        <v/>
      </c>
      <c r="G41" s="359" t="str">
        <f t="shared" si="9"/>
        <v/>
      </c>
      <c r="H41" s="286"/>
      <c r="I41" s="286"/>
      <c r="J41" s="360"/>
    </row>
    <row r="42" spans="1:13" ht="14.25" thickBot="1" x14ac:dyDescent="0.3">
      <c r="A42" s="279"/>
      <c r="B42" s="285"/>
      <c r="C42" s="280"/>
      <c r="D42" s="281"/>
      <c r="E42" s="281"/>
      <c r="F42" s="281"/>
      <c r="G42" s="359"/>
      <c r="H42" s="286"/>
      <c r="I42" s="286"/>
      <c r="J42" s="360"/>
    </row>
    <row r="43" spans="1:13" ht="26.25" thickBot="1" x14ac:dyDescent="0.3">
      <c r="A43" s="274" t="s">
        <v>128</v>
      </c>
      <c r="B43" s="275" t="s">
        <v>137</v>
      </c>
      <c r="C43" s="275" t="s">
        <v>128</v>
      </c>
      <c r="D43" s="276" t="s">
        <v>130</v>
      </c>
      <c r="E43" s="276" t="s">
        <v>131</v>
      </c>
      <c r="F43" s="276" t="s">
        <v>132</v>
      </c>
      <c r="G43" s="276" t="s">
        <v>133</v>
      </c>
      <c r="H43" s="277" t="s">
        <v>134</v>
      </c>
      <c r="I43" s="278"/>
      <c r="J43" s="360"/>
    </row>
    <row r="44" spans="1:13" ht="13.5" x14ac:dyDescent="0.25">
      <c r="A44" s="279">
        <f>+A35</f>
        <v>1000</v>
      </c>
      <c r="B44" s="285" t="s">
        <v>110</v>
      </c>
      <c r="C44" s="280">
        <f>+A44</f>
        <v>1000</v>
      </c>
      <c r="D44" s="281" t="s">
        <v>174</v>
      </c>
      <c r="E44" s="281">
        <v>0.03</v>
      </c>
      <c r="F44" s="281">
        <f>IFERROR(E44*C44,"")</f>
        <v>30</v>
      </c>
      <c r="G44" s="359">
        <f>IFERROR(F44/$F$66,"")</f>
        <v>1.2654049555687637E-2</v>
      </c>
      <c r="H44" s="286" t="s">
        <v>109</v>
      </c>
      <c r="I44" s="278"/>
      <c r="J44" s="360"/>
    </row>
    <row r="45" spans="1:13" ht="13.5" hidden="1" x14ac:dyDescent="0.25">
      <c r="A45" s="279">
        <f t="shared" ref="A45:A50" si="13">+A36</f>
        <v>0</v>
      </c>
      <c r="B45" s="285" t="str">
        <f>IFERROR(VLOOKUP(H45,[1]SEMIELABORADOS!$A$2:$M$6000,2,0),"")</f>
        <v/>
      </c>
      <c r="C45" s="280">
        <f t="shared" ref="C45:C50" si="14">+A45</f>
        <v>0</v>
      </c>
      <c r="D45" s="281" t="str">
        <f>IFERROR(VLOOKUP(H45,[1]SEMIELABORADOS!$A$2:$M$6000,6,0),"")</f>
        <v/>
      </c>
      <c r="E45" s="281" t="str">
        <f>IFERROR(VLOOKUP(H45,[1]SEMIELABORADOS!$A$2:$M$65536,12,0),"")</f>
        <v/>
      </c>
      <c r="F45" s="281" t="str">
        <f t="shared" ref="F45:F50" si="15">IFERROR(E45*C45,"")</f>
        <v/>
      </c>
      <c r="G45" s="359" t="str">
        <f t="shared" ref="G45:G50" si="16">IFERROR(F45/$F$66,"")</f>
        <v/>
      </c>
      <c r="H45" s="286"/>
      <c r="I45" s="278"/>
      <c r="J45" s="360"/>
      <c r="M45" s="289"/>
    </row>
    <row r="46" spans="1:13" ht="13.5" hidden="1" x14ac:dyDescent="0.25">
      <c r="A46" s="279">
        <f t="shared" si="13"/>
        <v>0</v>
      </c>
      <c r="B46" s="285" t="str">
        <f>IFERROR(VLOOKUP(H46,[1]SEMIELABORADOS!$A$2:$M$6000,2,0),"")</f>
        <v/>
      </c>
      <c r="C46" s="280">
        <f t="shared" si="14"/>
        <v>0</v>
      </c>
      <c r="D46" s="281" t="str">
        <f>IFERROR(VLOOKUP(H46,[1]SEMIELABORADOS!$A$2:$M$6000,6,0),"")</f>
        <v/>
      </c>
      <c r="E46" s="281" t="str">
        <f>IFERROR(VLOOKUP(H46,[1]SEMIELABORADOS!$A$2:$M$65536,12,0),"")</f>
        <v/>
      </c>
      <c r="F46" s="281" t="str">
        <f t="shared" si="15"/>
        <v/>
      </c>
      <c r="G46" s="359" t="str">
        <f t="shared" si="16"/>
        <v/>
      </c>
      <c r="H46" s="286"/>
      <c r="I46" s="278"/>
      <c r="J46" s="360"/>
    </row>
    <row r="47" spans="1:13" ht="13.5" hidden="1" x14ac:dyDescent="0.25">
      <c r="A47" s="279">
        <f t="shared" si="13"/>
        <v>0</v>
      </c>
      <c r="B47" s="285" t="str">
        <f>IFERROR(VLOOKUP(H47,[1]SEMIELABORADOS!$A$2:$M$6000,2,0),"")</f>
        <v/>
      </c>
      <c r="C47" s="280">
        <f t="shared" si="14"/>
        <v>0</v>
      </c>
      <c r="D47" s="281" t="str">
        <f>IFERROR(VLOOKUP(H47,[1]SEMIELABORADOS!$A$2:$M$6000,6,0),"")</f>
        <v/>
      </c>
      <c r="E47" s="281" t="str">
        <f>IFERROR(VLOOKUP(H47,[1]SEMIELABORADOS!$A$2:$M$65536,12,0),"")</f>
        <v/>
      </c>
      <c r="F47" s="281" t="str">
        <f t="shared" si="15"/>
        <v/>
      </c>
      <c r="G47" s="359" t="str">
        <f t="shared" si="16"/>
        <v/>
      </c>
      <c r="H47" s="286"/>
      <c r="I47" s="278"/>
      <c r="J47" s="360"/>
    </row>
    <row r="48" spans="1:13" ht="13.5" hidden="1" x14ac:dyDescent="0.25">
      <c r="A48" s="279">
        <f t="shared" si="13"/>
        <v>0</v>
      </c>
      <c r="B48" s="285" t="str">
        <f>IFERROR(VLOOKUP(H48,[1]SEMIELABORADOS!$A$2:$M$6000,2,0),"")</f>
        <v/>
      </c>
      <c r="C48" s="280">
        <f t="shared" si="14"/>
        <v>0</v>
      </c>
      <c r="D48" s="281" t="str">
        <f>IFERROR(VLOOKUP(H48,[1]SEMIELABORADOS!$A$2:$M$6000,6,0),"")</f>
        <v/>
      </c>
      <c r="E48" s="281" t="str">
        <f>IFERROR(VLOOKUP(H48,[1]SEMIELABORADOS!$A$2:$M$65536,12,0),"")</f>
        <v/>
      </c>
      <c r="F48" s="281" t="str">
        <f t="shared" si="15"/>
        <v/>
      </c>
      <c r="G48" s="359" t="str">
        <f t="shared" si="16"/>
        <v/>
      </c>
      <c r="H48" s="286"/>
      <c r="I48" s="278"/>
      <c r="J48" s="360"/>
    </row>
    <row r="49" spans="1:17" ht="13.5" hidden="1" x14ac:dyDescent="0.25">
      <c r="A49" s="279">
        <f t="shared" si="13"/>
        <v>0</v>
      </c>
      <c r="B49" s="285" t="str">
        <f>IFERROR(VLOOKUP(H49,[1]SEMIELABORADOS!$A$2:$M$6000,2,0),"")</f>
        <v/>
      </c>
      <c r="C49" s="280">
        <f t="shared" si="14"/>
        <v>0</v>
      </c>
      <c r="D49" s="281" t="str">
        <f>IFERROR(VLOOKUP(H49,[1]SEMIELABORADOS!$A$2:$M$6000,6,0),"")</f>
        <v/>
      </c>
      <c r="E49" s="281" t="str">
        <f>IFERROR(VLOOKUP(H49,[1]SEMIELABORADOS!$A$2:$M$65536,12,0),"")</f>
        <v/>
      </c>
      <c r="F49" s="281" t="str">
        <f t="shared" si="15"/>
        <v/>
      </c>
      <c r="G49" s="359" t="str">
        <f t="shared" si="16"/>
        <v/>
      </c>
      <c r="H49" s="286"/>
      <c r="I49" s="278"/>
      <c r="J49" s="360"/>
    </row>
    <row r="50" spans="1:17" ht="13.5" hidden="1" x14ac:dyDescent="0.25">
      <c r="A50" s="279">
        <f t="shared" si="13"/>
        <v>0</v>
      </c>
      <c r="B50" s="285" t="str">
        <f>IFERROR(VLOOKUP(H50,[1]SEMIELABORADOS!$A$2:$M$6000,2,0),"")</f>
        <v/>
      </c>
      <c r="C50" s="280">
        <f t="shared" si="14"/>
        <v>0</v>
      </c>
      <c r="D50" s="281" t="str">
        <f>IFERROR(VLOOKUP(H50,[1]SEMIELABORADOS!$A$2:$M$6000,6,0),"")</f>
        <v/>
      </c>
      <c r="E50" s="281" t="str">
        <f>IFERROR(VLOOKUP(H50,[1]SEMIELABORADOS!$A$2:$M$65536,12,0),"")</f>
        <v/>
      </c>
      <c r="F50" s="281" t="str">
        <f t="shared" si="15"/>
        <v/>
      </c>
      <c r="G50" s="359" t="str">
        <f t="shared" si="16"/>
        <v/>
      </c>
      <c r="H50" s="285"/>
      <c r="I50" s="278"/>
      <c r="J50" s="360"/>
    </row>
    <row r="51" spans="1:17" ht="13.5" x14ac:dyDescent="0.25">
      <c r="A51" s="279">
        <v>1</v>
      </c>
      <c r="B51" s="285" t="s">
        <v>138</v>
      </c>
      <c r="C51" s="280">
        <f>+A51</f>
        <v>1</v>
      </c>
      <c r="D51" s="280" t="s">
        <v>139</v>
      </c>
      <c r="E51" s="281">
        <f>+F65</f>
        <v>154</v>
      </c>
      <c r="F51" s="281">
        <f>IFERROR(C51*E51,"")</f>
        <v>154</v>
      </c>
      <c r="G51" s="359">
        <f>IFERROR(F51/$F$66,"")</f>
        <v>6.49574543858632E-2</v>
      </c>
      <c r="H51" s="290"/>
      <c r="I51" s="290"/>
      <c r="J51" s="360"/>
    </row>
    <row r="52" spans="1:17" ht="14.25" thickBot="1" x14ac:dyDescent="0.3">
      <c r="A52" s="279"/>
      <c r="B52" s="285"/>
      <c r="C52" s="280"/>
      <c r="D52" s="280"/>
      <c r="E52" s="281"/>
      <c r="F52" s="281"/>
      <c r="G52" s="359"/>
      <c r="H52" s="290"/>
      <c r="I52" s="290"/>
      <c r="J52" s="360"/>
    </row>
    <row r="53" spans="1:17" ht="13.5" thickBot="1" x14ac:dyDescent="0.3">
      <c r="A53" s="291"/>
      <c r="B53" s="890" t="s">
        <v>140</v>
      </c>
      <c r="C53" s="890"/>
      <c r="D53" s="890"/>
      <c r="E53" s="890"/>
      <c r="F53" s="293">
        <f>SUM(F8:F14,F17:F24)</f>
        <v>2171.2280000000001</v>
      </c>
      <c r="G53" s="359">
        <f>+F53/$F$66</f>
        <v>0.91582755695655194</v>
      </c>
      <c r="H53" s="294">
        <f>+F53/$D$60</f>
        <v>2171.2280000000001</v>
      </c>
      <c r="I53" s="294"/>
      <c r="J53" s="361"/>
      <c r="K53" s="296"/>
      <c r="L53" s="296"/>
      <c r="M53" s="296"/>
      <c r="N53" s="296"/>
      <c r="O53" s="296"/>
      <c r="P53" s="296"/>
      <c r="Q53" s="297"/>
    </row>
    <row r="54" spans="1:17" x14ac:dyDescent="0.2">
      <c r="A54" s="291"/>
      <c r="B54" s="890" t="s">
        <v>141</v>
      </c>
      <c r="C54" s="890"/>
      <c r="D54" s="890"/>
      <c r="E54" s="890"/>
      <c r="F54" s="293">
        <f>SUM(F27:F32,F35:F41)</f>
        <v>2.13</v>
      </c>
      <c r="G54" s="359">
        <f>+F54/$F$66</f>
        <v>8.9843751845382217E-4</v>
      </c>
      <c r="H54" s="294">
        <f>+F54/$D$60</f>
        <v>2.13</v>
      </c>
      <c r="I54" s="294"/>
      <c r="J54" s="298"/>
      <c r="K54" s="891" t="s">
        <v>142</v>
      </c>
      <c r="L54" s="892"/>
      <c r="M54" s="892"/>
      <c r="N54" s="892"/>
      <c r="O54" s="299">
        <f>+F55</f>
        <v>2173.3580000000002</v>
      </c>
      <c r="P54" s="299"/>
      <c r="Q54" s="300"/>
    </row>
    <row r="55" spans="1:17" x14ac:dyDescent="0.2">
      <c r="A55" s="291"/>
      <c r="B55" s="890" t="s">
        <v>143</v>
      </c>
      <c r="C55" s="890"/>
      <c r="D55" s="890"/>
      <c r="E55" s="890"/>
      <c r="F55" s="293">
        <f>+F53+F54</f>
        <v>2173.3580000000002</v>
      </c>
      <c r="G55" s="359">
        <f>+F55/$F$66</f>
        <v>0.9167259944750058</v>
      </c>
      <c r="H55" s="294">
        <f>+F55/$D$60</f>
        <v>2173.3580000000002</v>
      </c>
      <c r="I55" s="294"/>
      <c r="J55" s="362"/>
      <c r="K55" s="302"/>
      <c r="M55" s="303" t="s">
        <v>144</v>
      </c>
      <c r="N55" s="304"/>
      <c r="O55" s="299">
        <f>+H56</f>
        <v>184</v>
      </c>
      <c r="P55" s="299"/>
      <c r="Q55" s="300"/>
    </row>
    <row r="56" spans="1:17" ht="13.5" thickBot="1" x14ac:dyDescent="0.25">
      <c r="A56" s="291"/>
      <c r="B56" s="292"/>
      <c r="C56" s="890" t="s">
        <v>145</v>
      </c>
      <c r="D56" s="890"/>
      <c r="E56" s="890"/>
      <c r="F56" s="293">
        <f>SUM(F44:F51)</f>
        <v>184</v>
      </c>
      <c r="G56" s="359">
        <f>+F56/$F$66</f>
        <v>7.7611503941550836E-2</v>
      </c>
      <c r="H56" s="294">
        <f>+F56/$D$60</f>
        <v>184</v>
      </c>
      <c r="I56" s="294"/>
      <c r="J56" s="362"/>
      <c r="K56" s="302"/>
      <c r="L56" s="302"/>
      <c r="M56" s="302" t="s">
        <v>146</v>
      </c>
      <c r="N56" s="363"/>
      <c r="O56" s="299">
        <f>O54*N56</f>
        <v>0</v>
      </c>
      <c r="P56" s="299"/>
      <c r="Q56" s="300"/>
    </row>
    <row r="57" spans="1:17" ht="13.5" thickBot="1" x14ac:dyDescent="0.25">
      <c r="A57" s="291"/>
      <c r="B57" s="306"/>
      <c r="C57" s="306"/>
      <c r="D57" s="306"/>
      <c r="E57" s="306"/>
      <c r="F57" s="307"/>
      <c r="G57" s="359"/>
      <c r="H57" s="308"/>
      <c r="I57" s="294"/>
      <c r="J57" s="362"/>
      <c r="K57" s="309"/>
      <c r="M57" s="310" t="s">
        <v>147</v>
      </c>
      <c r="N57" s="311"/>
      <c r="O57" s="312">
        <f>SUM(O54:O56)</f>
        <v>2357.3580000000002</v>
      </c>
      <c r="P57" s="313"/>
      <c r="Q57" s="300"/>
    </row>
    <row r="58" spans="1:17" x14ac:dyDescent="0.2">
      <c r="B58" s="893" t="s">
        <v>148</v>
      </c>
      <c r="C58" s="893"/>
      <c r="D58" s="314">
        <v>1000</v>
      </c>
      <c r="E58" s="315"/>
      <c r="G58" s="359"/>
      <c r="H58" s="308">
        <f>+H56/77</f>
        <v>2.3896103896103895</v>
      </c>
      <c r="I58" s="316"/>
      <c r="J58" s="362"/>
      <c r="K58" s="309"/>
      <c r="L58" s="302"/>
      <c r="M58" s="302" t="s">
        <v>149</v>
      </c>
      <c r="N58" s="364"/>
      <c r="O58" s="299">
        <f>+H59</f>
        <v>198.33766233766232</v>
      </c>
      <c r="P58" s="299"/>
      <c r="Q58" s="300"/>
    </row>
    <row r="59" spans="1:17" x14ac:dyDescent="0.2">
      <c r="B59" s="893" t="s">
        <v>150</v>
      </c>
      <c r="C59" s="893"/>
      <c r="D59" s="318">
        <v>1000</v>
      </c>
      <c r="E59" s="315"/>
      <c r="G59" s="359"/>
      <c r="H59" s="308">
        <f>+H58*83</f>
        <v>198.33766233766232</v>
      </c>
      <c r="I59" s="316"/>
      <c r="J59" s="362"/>
      <c r="K59" s="309"/>
      <c r="L59" s="302"/>
      <c r="M59" s="894" t="s">
        <v>147</v>
      </c>
      <c r="N59" s="894"/>
      <c r="O59" s="299">
        <f>SUM(O57:O58)</f>
        <v>2555.6956623376627</v>
      </c>
      <c r="P59" s="299"/>
      <c r="Q59" s="300"/>
    </row>
    <row r="60" spans="1:17" ht="13.5" thickBot="1" x14ac:dyDescent="0.25">
      <c r="B60" s="885" t="s">
        <v>151</v>
      </c>
      <c r="C60" s="885"/>
      <c r="D60" s="314">
        <f>+D58/D59</f>
        <v>1</v>
      </c>
      <c r="E60" s="315"/>
      <c r="F60" s="319"/>
      <c r="G60" s="359"/>
      <c r="H60" s="308"/>
      <c r="I60" s="316"/>
      <c r="J60" s="362"/>
      <c r="K60" s="309"/>
      <c r="L60" s="894"/>
      <c r="M60" s="894"/>
      <c r="N60" s="364"/>
      <c r="O60" s="299">
        <f>+O59*N60</f>
        <v>0</v>
      </c>
      <c r="P60" s="299"/>
      <c r="Q60" s="300"/>
    </row>
    <row r="61" spans="1:17" ht="13.5" thickBot="1" x14ac:dyDescent="0.25">
      <c r="B61" s="885" t="s">
        <v>152</v>
      </c>
      <c r="C61" s="885"/>
      <c r="D61" s="320"/>
      <c r="E61" s="315"/>
      <c r="F61" s="319"/>
      <c r="G61" s="359"/>
      <c r="H61" s="308"/>
      <c r="I61" s="316"/>
      <c r="J61" s="362"/>
      <c r="K61" s="886" t="s">
        <v>153</v>
      </c>
      <c r="L61" s="887"/>
      <c r="M61" s="887"/>
      <c r="N61" s="888"/>
      <c r="O61" s="312">
        <f>SUM(O59:O60)</f>
        <v>2555.6956623376627</v>
      </c>
      <c r="P61" s="321" t="s">
        <v>154</v>
      </c>
      <c r="Q61" s="300"/>
    </row>
    <row r="62" spans="1:17" ht="13.5" thickBot="1" x14ac:dyDescent="0.25">
      <c r="C62" s="291" t="s">
        <v>155</v>
      </c>
      <c r="D62" s="322"/>
      <c r="E62" s="265" t="s">
        <v>156</v>
      </c>
      <c r="F62" s="323" t="s">
        <v>157</v>
      </c>
      <c r="G62" s="359"/>
      <c r="H62" s="308"/>
      <c r="I62" s="316"/>
      <c r="J62" s="324"/>
      <c r="K62" s="325"/>
      <c r="L62" s="874" t="s">
        <v>158</v>
      </c>
      <c r="M62" s="874"/>
      <c r="N62" s="874"/>
      <c r="O62" s="326">
        <f>+O61/D60</f>
        <v>2555.6956623376627</v>
      </c>
      <c r="P62" s="327">
        <f>+O62/D59</f>
        <v>2.5556956623376625</v>
      </c>
      <c r="Q62" s="328"/>
    </row>
    <row r="63" spans="1:17" ht="13.5" thickBot="1" x14ac:dyDescent="0.25">
      <c r="B63" s="875" t="s">
        <v>143</v>
      </c>
      <c r="C63" s="875"/>
      <c r="D63" s="875"/>
      <c r="E63" s="365">
        <f>+F63/F63</f>
        <v>1</v>
      </c>
      <c r="F63" s="330">
        <f>SUM(F55)</f>
        <v>2173.3580000000002</v>
      </c>
      <c r="G63" s="359">
        <f>+F63/$F$66</f>
        <v>0.9167259944750058</v>
      </c>
      <c r="H63" s="308"/>
      <c r="I63" s="316"/>
      <c r="K63" s="876"/>
      <c r="L63" s="877"/>
      <c r="M63" s="877"/>
      <c r="N63" s="877"/>
      <c r="O63" s="331"/>
      <c r="P63" s="332"/>
    </row>
    <row r="64" spans="1:17" ht="13.5" thickBot="1" x14ac:dyDescent="0.3">
      <c r="B64" s="878" t="s">
        <v>159</v>
      </c>
      <c r="C64" s="878"/>
      <c r="D64" s="878"/>
      <c r="E64" s="333">
        <v>0.02</v>
      </c>
      <c r="F64" s="330">
        <f>+F53*E64</f>
        <v>43.42456</v>
      </c>
      <c r="G64" s="359">
        <f>+F64/$F$66</f>
        <v>1.8316551139131037E-2</v>
      </c>
      <c r="H64" s="294"/>
      <c r="I64" s="316"/>
      <c r="J64" s="366"/>
      <c r="O64" s="335"/>
      <c r="P64" s="292"/>
    </row>
    <row r="65" spans="2:13" ht="13.5" thickBot="1" x14ac:dyDescent="0.3">
      <c r="B65" s="879" t="s">
        <v>160</v>
      </c>
      <c r="C65" s="880"/>
      <c r="D65" s="336">
        <v>2</v>
      </c>
      <c r="E65" s="337">
        <v>77</v>
      </c>
      <c r="F65" s="330">
        <f>+E65*D65</f>
        <v>154</v>
      </c>
      <c r="G65" s="359">
        <f>+F65/$F$66</f>
        <v>6.49574543858632E-2</v>
      </c>
      <c r="H65" s="294"/>
      <c r="I65" s="294"/>
      <c r="J65" s="360"/>
    </row>
    <row r="66" spans="2:13" ht="13.5" thickBot="1" x14ac:dyDescent="0.3">
      <c r="B66" s="881" t="s">
        <v>161</v>
      </c>
      <c r="C66" s="882"/>
      <c r="D66" s="882"/>
      <c r="E66" s="883"/>
      <c r="F66" s="307">
        <f>SUM(F63:F65)</f>
        <v>2370.7825600000001</v>
      </c>
      <c r="G66" s="359">
        <f>+F66/$F$66</f>
        <v>1</v>
      </c>
      <c r="H66" s="884"/>
      <c r="I66" s="294"/>
      <c r="J66" s="360"/>
      <c r="M66" s="267" t="s">
        <v>162</v>
      </c>
    </row>
    <row r="67" spans="2:13" x14ac:dyDescent="0.25">
      <c r="C67" s="289"/>
      <c r="D67" s="289"/>
      <c r="E67" s="339"/>
      <c r="F67" s="330"/>
      <c r="G67" s="359"/>
      <c r="H67" s="884"/>
      <c r="I67" s="338"/>
      <c r="J67" s="267"/>
      <c r="M67" s="267" t="s">
        <v>163</v>
      </c>
    </row>
    <row r="68" spans="2:13" ht="13.5" thickBot="1" x14ac:dyDescent="0.3">
      <c r="B68" s="869" t="s">
        <v>164</v>
      </c>
      <c r="C68" s="869"/>
      <c r="D68" s="869"/>
      <c r="E68" s="869"/>
      <c r="F68" s="869"/>
      <c r="G68" s="359"/>
      <c r="H68" s="341"/>
      <c r="I68" s="338"/>
      <c r="J68" s="267"/>
      <c r="M68" s="267" t="s">
        <v>165</v>
      </c>
    </row>
    <row r="69" spans="2:13" ht="13.5" thickBot="1" x14ac:dyDescent="0.3">
      <c r="B69" s="342" t="s">
        <v>166</v>
      </c>
      <c r="C69" s="343">
        <f>+F53</f>
        <v>2171.2280000000001</v>
      </c>
      <c r="D69" s="343">
        <f>+D58</f>
        <v>1000</v>
      </c>
      <c r="E69" s="344">
        <f>+C69/D69</f>
        <v>2.1712280000000002</v>
      </c>
      <c r="F69" s="359"/>
      <c r="G69" s="341"/>
      <c r="H69" s="360"/>
      <c r="I69" s="341"/>
      <c r="J69" s="267"/>
    </row>
    <row r="70" spans="2:13" x14ac:dyDescent="0.25">
      <c r="B70" s="345"/>
      <c r="C70" s="346"/>
      <c r="D70" s="347"/>
      <c r="E70" s="330"/>
      <c r="F70" s="359"/>
      <c r="G70" s="341"/>
      <c r="H70" s="360"/>
      <c r="I70" s="360"/>
      <c r="J70" s="267"/>
    </row>
    <row r="71" spans="2:13" x14ac:dyDescent="0.25">
      <c r="B71" s="342" t="s">
        <v>167</v>
      </c>
      <c r="C71" s="343">
        <f>SUM(F63:F64)</f>
        <v>2216.7825600000001</v>
      </c>
      <c r="D71" s="343">
        <f>+D58</f>
        <v>1000</v>
      </c>
      <c r="E71" s="348">
        <f>+C71/D71</f>
        <v>2.21678256</v>
      </c>
      <c r="F71" s="359"/>
      <c r="G71" s="341"/>
      <c r="H71" s="360"/>
      <c r="I71" s="360"/>
      <c r="J71" s="267"/>
    </row>
    <row r="72" spans="2:13" x14ac:dyDescent="0.25">
      <c r="B72" s="342"/>
      <c r="C72" s="343"/>
      <c r="D72" s="343"/>
      <c r="E72" s="348"/>
      <c r="F72" s="359"/>
      <c r="G72" s="341"/>
      <c r="H72" s="360"/>
      <c r="I72" s="360"/>
      <c r="J72" s="267"/>
    </row>
    <row r="73" spans="2:13" ht="13.5" thickBot="1" x14ac:dyDescent="0.3">
      <c r="B73" s="342" t="s">
        <v>168</v>
      </c>
      <c r="C73" s="343">
        <f>+F65</f>
        <v>154</v>
      </c>
      <c r="D73" s="343">
        <f>+D58</f>
        <v>1000</v>
      </c>
      <c r="E73" s="348">
        <f>+C73/D73</f>
        <v>0.154</v>
      </c>
      <c r="F73" s="359"/>
      <c r="G73" s="341"/>
      <c r="H73" s="360"/>
      <c r="I73" s="360"/>
      <c r="J73" s="267"/>
    </row>
    <row r="74" spans="2:13" ht="13.5" thickBot="1" x14ac:dyDescent="0.3">
      <c r="B74" s="342" t="s">
        <v>169</v>
      </c>
      <c r="C74" s="343">
        <f>+F56</f>
        <v>184</v>
      </c>
      <c r="D74" s="343">
        <f>+D73</f>
        <v>1000</v>
      </c>
      <c r="E74" s="344">
        <f>+C74/D74</f>
        <v>0.184</v>
      </c>
      <c r="F74" s="359"/>
      <c r="G74" s="341"/>
      <c r="H74" s="360"/>
      <c r="I74" s="360"/>
      <c r="J74" s="267"/>
    </row>
    <row r="75" spans="2:13" ht="13.5" thickBot="1" x14ac:dyDescent="0.3">
      <c r="B75" s="306"/>
      <c r="C75" s="307"/>
      <c r="D75" s="307"/>
      <c r="E75" s="348"/>
      <c r="F75" s="359"/>
      <c r="G75" s="341"/>
      <c r="H75" s="360"/>
      <c r="I75" s="360"/>
      <c r="J75" s="267"/>
    </row>
    <row r="76" spans="2:13" ht="13.5" thickBot="1" x14ac:dyDescent="0.3">
      <c r="B76" s="342" t="s">
        <v>170</v>
      </c>
      <c r="C76" s="343">
        <f>+F54</f>
        <v>2.13</v>
      </c>
      <c r="D76" s="343">
        <f>+D74</f>
        <v>1000</v>
      </c>
      <c r="E76" s="344">
        <f>+C76/D76</f>
        <v>2.1299999999999999E-3</v>
      </c>
      <c r="F76" s="359"/>
      <c r="G76" s="341"/>
      <c r="H76" s="360"/>
      <c r="I76" s="360"/>
      <c r="J76" s="360"/>
    </row>
    <row r="77" spans="2:13" ht="13.5" thickBot="1" x14ac:dyDescent="0.3">
      <c r="B77" s="306"/>
      <c r="C77" s="307"/>
      <c r="D77" s="307"/>
      <c r="E77" s="348"/>
      <c r="F77" s="359"/>
      <c r="G77" s="341"/>
      <c r="H77" s="360"/>
      <c r="I77" s="360"/>
    </row>
    <row r="78" spans="2:13" ht="13.5" thickBot="1" x14ac:dyDescent="0.3">
      <c r="B78" s="870" t="s">
        <v>171</v>
      </c>
      <c r="C78" s="871"/>
      <c r="D78" s="872"/>
      <c r="E78" s="344">
        <f>+E69+E74</f>
        <v>2.3552280000000003</v>
      </c>
      <c r="G78" s="359"/>
      <c r="H78" s="341"/>
      <c r="I78" s="360"/>
      <c r="J78" s="348"/>
    </row>
    <row r="79" spans="2:13" x14ac:dyDescent="0.25">
      <c r="I79" s="341"/>
      <c r="J79" s="267"/>
    </row>
    <row r="80" spans="2:13" ht="13.5" thickBot="1" x14ac:dyDescent="0.3">
      <c r="B80" s="869" t="s">
        <v>172</v>
      </c>
      <c r="C80" s="869"/>
      <c r="D80" s="869"/>
      <c r="E80" s="869"/>
      <c r="F80" s="869"/>
      <c r="G80" s="359"/>
      <c r="H80" s="341"/>
      <c r="J80" s="267"/>
    </row>
    <row r="81" spans="1:10" ht="13.5" thickBot="1" x14ac:dyDescent="0.3">
      <c r="B81" s="342" t="s">
        <v>166</v>
      </c>
      <c r="C81" s="343">
        <f>+C69</f>
        <v>2171.2280000000001</v>
      </c>
      <c r="D81" s="343">
        <f>+D60</f>
        <v>1</v>
      </c>
      <c r="E81" s="344">
        <f>+C81/D81</f>
        <v>2171.2280000000001</v>
      </c>
      <c r="F81" s="359"/>
      <c r="G81" s="341"/>
      <c r="H81" s="360"/>
      <c r="I81" s="341"/>
      <c r="J81" s="267"/>
    </row>
    <row r="82" spans="1:10" x14ac:dyDescent="0.25">
      <c r="B82" s="345"/>
      <c r="C82" s="346"/>
      <c r="D82" s="347"/>
      <c r="E82" s="330"/>
      <c r="F82" s="359"/>
      <c r="G82" s="341"/>
      <c r="H82" s="360"/>
      <c r="I82" s="360"/>
      <c r="J82" s="267"/>
    </row>
    <row r="83" spans="1:10" x14ac:dyDescent="0.25">
      <c r="B83" s="342" t="s">
        <v>167</v>
      </c>
      <c r="C83" s="343">
        <f>+C71</f>
        <v>2216.7825600000001</v>
      </c>
      <c r="D83" s="343">
        <f>+D60</f>
        <v>1</v>
      </c>
      <c r="E83" s="348">
        <f>+C83/D83</f>
        <v>2216.7825600000001</v>
      </c>
      <c r="F83" s="359"/>
      <c r="G83" s="341"/>
      <c r="H83" s="360"/>
      <c r="I83" s="360"/>
      <c r="J83" s="267"/>
    </row>
    <row r="84" spans="1:10" x14ac:dyDescent="0.25">
      <c r="B84" s="342"/>
      <c r="C84" s="343"/>
      <c r="D84" s="343"/>
      <c r="E84" s="348"/>
      <c r="F84" s="359"/>
      <c r="G84" s="341"/>
      <c r="H84" s="360"/>
      <c r="I84" s="360"/>
      <c r="J84" s="267"/>
    </row>
    <row r="85" spans="1:10" ht="13.5" thickBot="1" x14ac:dyDescent="0.3">
      <c r="B85" s="342" t="s">
        <v>169</v>
      </c>
      <c r="C85" s="343">
        <f>+C73</f>
        <v>154</v>
      </c>
      <c r="D85" s="343">
        <f>+D60</f>
        <v>1</v>
      </c>
      <c r="E85" s="348">
        <f>+C85/D85</f>
        <v>154</v>
      </c>
      <c r="F85" s="350"/>
      <c r="G85" s="340"/>
      <c r="H85" s="266"/>
      <c r="I85" s="360"/>
    </row>
    <row r="86" spans="1:10" ht="13.5" thickBot="1" x14ac:dyDescent="0.3">
      <c r="B86" s="342" t="s">
        <v>169</v>
      </c>
      <c r="C86" s="343">
        <f>+C74</f>
        <v>184</v>
      </c>
      <c r="D86" s="343">
        <f>+D85</f>
        <v>1</v>
      </c>
      <c r="E86" s="344">
        <f>+C86/D86</f>
        <v>184</v>
      </c>
      <c r="F86" s="367"/>
      <c r="G86" s="340"/>
      <c r="H86" s="266"/>
      <c r="I86" s="266"/>
    </row>
    <row r="87" spans="1:10" x14ac:dyDescent="0.25">
      <c r="I87" s="266"/>
    </row>
    <row r="88" spans="1:10" x14ac:dyDescent="0.2">
      <c r="A88" s="873"/>
      <c r="B88" s="873"/>
      <c r="C88" s="351"/>
      <c r="D88" s="351"/>
      <c r="E88" s="352"/>
      <c r="G88" s="368"/>
    </row>
    <row r="89" spans="1:10" x14ac:dyDescent="0.2">
      <c r="A89" s="285"/>
      <c r="B89" s="354"/>
      <c r="C89" s="355"/>
      <c r="D89" s="355"/>
      <c r="E89" s="356"/>
      <c r="G89" s="368"/>
    </row>
    <row r="90" spans="1:10" x14ac:dyDescent="0.2">
      <c r="A90" s="285"/>
      <c r="B90" s="354"/>
      <c r="C90" s="357"/>
      <c r="D90" s="357"/>
      <c r="E90" s="285"/>
      <c r="G90" s="368"/>
    </row>
    <row r="91" spans="1:10" x14ac:dyDescent="0.2">
      <c r="A91" s="285"/>
      <c r="B91" s="354"/>
      <c r="C91" s="358"/>
      <c r="D91" s="358"/>
      <c r="E91" s="285"/>
      <c r="G91" s="368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A820-3AE0-4B1E-B8E4-07C7C21F1C57}">
  <dimension ref="A1:K59"/>
  <sheetViews>
    <sheetView zoomScale="83" workbookViewId="0">
      <selection activeCell="C13" sqref="C13"/>
    </sheetView>
  </sheetViews>
  <sheetFormatPr baseColWidth="10" defaultRowHeight="15" x14ac:dyDescent="0.25"/>
  <cols>
    <col min="3" max="3" width="53.140625" customWidth="1"/>
    <col min="4" max="4" width="34.28515625" bestFit="1" customWidth="1"/>
    <col min="5" max="5" width="15.140625" customWidth="1"/>
    <col min="7" max="7" width="14.28515625" customWidth="1"/>
    <col min="8" max="8" width="27" customWidth="1"/>
    <col min="9" max="9" width="23.42578125" bestFit="1" customWidth="1"/>
  </cols>
  <sheetData>
    <row r="1" spans="1:9" ht="17.25" x14ac:dyDescent="0.3">
      <c r="A1" s="853"/>
      <c r="B1" s="854"/>
      <c r="C1" s="859" t="s">
        <v>33</v>
      </c>
      <c r="D1" s="859"/>
      <c r="E1" s="859"/>
      <c r="F1" s="859"/>
      <c r="G1" s="859"/>
      <c r="H1" s="4" t="s">
        <v>32</v>
      </c>
      <c r="I1" s="5"/>
    </row>
    <row r="2" spans="1:9" ht="17.25" x14ac:dyDescent="0.3">
      <c r="A2" s="855"/>
      <c r="B2" s="856"/>
      <c r="C2" s="860" t="s">
        <v>31</v>
      </c>
      <c r="D2" s="860"/>
      <c r="E2" s="860"/>
      <c r="F2" s="860"/>
      <c r="G2" s="860"/>
      <c r="H2" s="6" t="s">
        <v>30</v>
      </c>
      <c r="I2" s="7"/>
    </row>
    <row r="3" spans="1:9" ht="15.95" customHeight="1" thickBot="1" x14ac:dyDescent="0.3">
      <c r="A3" s="855"/>
      <c r="B3" s="856"/>
      <c r="C3" s="973" t="s">
        <v>93</v>
      </c>
      <c r="D3" s="973"/>
      <c r="E3" s="973"/>
      <c r="F3" s="973"/>
      <c r="G3" s="973"/>
      <c r="H3" s="862" t="s">
        <v>29</v>
      </c>
      <c r="I3" s="844"/>
    </row>
    <row r="4" spans="1:9" ht="17.25" x14ac:dyDescent="0.3">
      <c r="A4" s="855"/>
      <c r="B4" s="856"/>
      <c r="C4" s="8" t="s">
        <v>28</v>
      </c>
      <c r="D4" s="847" t="s">
        <v>34</v>
      </c>
      <c r="E4" s="848"/>
      <c r="F4" s="848"/>
      <c r="G4" s="849"/>
      <c r="H4" s="863"/>
      <c r="I4" s="845"/>
    </row>
    <row r="5" spans="1:9" ht="18" thickBot="1" x14ac:dyDescent="0.35">
      <c r="A5" s="857"/>
      <c r="B5" s="858"/>
      <c r="C5" s="9" t="s">
        <v>27</v>
      </c>
      <c r="D5" s="850" t="s">
        <v>26</v>
      </c>
      <c r="E5" s="851"/>
      <c r="F5" s="851"/>
      <c r="G5" s="852"/>
      <c r="H5" s="864"/>
      <c r="I5" s="846"/>
    </row>
    <row r="6" spans="1:9" ht="16.5" thickBot="1" x14ac:dyDescent="0.3">
      <c r="A6" s="835" t="s">
        <v>25</v>
      </c>
      <c r="B6" s="835"/>
      <c r="C6" s="835"/>
      <c r="D6" s="836" t="s">
        <v>59</v>
      </c>
      <c r="E6" s="836"/>
      <c r="F6" s="836"/>
      <c r="G6" s="837" t="s">
        <v>24</v>
      </c>
      <c r="H6" s="837"/>
      <c r="I6" s="10" t="s">
        <v>59</v>
      </c>
    </row>
    <row r="7" spans="1:9" x14ac:dyDescent="0.25">
      <c r="A7" s="838" t="s">
        <v>23</v>
      </c>
      <c r="B7" s="840" t="s">
        <v>35</v>
      </c>
      <c r="C7" s="842" t="s">
        <v>22</v>
      </c>
      <c r="D7" s="842" t="s">
        <v>21</v>
      </c>
      <c r="E7" s="842" t="s">
        <v>20</v>
      </c>
      <c r="F7" s="842"/>
      <c r="G7" s="842" t="s">
        <v>19</v>
      </c>
      <c r="H7" s="842"/>
      <c r="I7" s="11" t="s">
        <v>18</v>
      </c>
    </row>
    <row r="8" spans="1:9" ht="31.5" thickBot="1" x14ac:dyDescent="0.3">
      <c r="A8" s="839"/>
      <c r="B8" s="841"/>
      <c r="C8" s="843"/>
      <c r="D8" s="843"/>
      <c r="E8" s="12" t="s">
        <v>14</v>
      </c>
      <c r="F8" s="13" t="s">
        <v>17</v>
      </c>
      <c r="G8" s="12" t="s">
        <v>14</v>
      </c>
      <c r="H8" s="13" t="s">
        <v>17</v>
      </c>
      <c r="I8" s="14" t="s">
        <v>16</v>
      </c>
    </row>
    <row r="9" spans="1:9" ht="15.75" x14ac:dyDescent="0.25">
      <c r="A9" s="15"/>
      <c r="B9" s="16"/>
      <c r="C9" s="17" t="s">
        <v>36</v>
      </c>
      <c r="D9" s="18"/>
      <c r="E9" s="19"/>
      <c r="F9" s="20"/>
      <c r="G9" s="19"/>
      <c r="H9" s="20"/>
      <c r="I9" s="21"/>
    </row>
    <row r="10" spans="1:9" ht="15.95" customHeight="1" x14ac:dyDescent="0.25">
      <c r="A10" s="64"/>
      <c r="B10" s="2" t="s">
        <v>82</v>
      </c>
      <c r="C10" s="1" t="s">
        <v>83</v>
      </c>
      <c r="D10" s="67" t="s">
        <v>85</v>
      </c>
      <c r="E10" s="213">
        <f>350*4.33</f>
        <v>1515.5</v>
      </c>
      <c r="F10" s="209" t="s">
        <v>1</v>
      </c>
      <c r="G10" s="187"/>
      <c r="H10" s="63"/>
      <c r="I10" s="21"/>
    </row>
    <row r="11" spans="1:9" ht="15.95" customHeight="1" x14ac:dyDescent="0.25">
      <c r="A11" s="64"/>
      <c r="B11" s="2" t="s">
        <v>375</v>
      </c>
      <c r="C11" s="1" t="s">
        <v>84</v>
      </c>
      <c r="D11" s="67"/>
      <c r="E11" s="210">
        <f>800*4.33</f>
        <v>3464</v>
      </c>
      <c r="F11" s="209" t="s">
        <v>1</v>
      </c>
      <c r="G11" s="187"/>
      <c r="H11" s="63"/>
      <c r="I11" s="21"/>
    </row>
    <row r="12" spans="1:9" ht="15.75" x14ac:dyDescent="0.25">
      <c r="A12" s="64"/>
      <c r="B12" s="2" t="s">
        <v>86</v>
      </c>
      <c r="C12" s="1" t="s">
        <v>87</v>
      </c>
      <c r="D12" s="70" t="s">
        <v>88</v>
      </c>
      <c r="E12" s="214">
        <f>50*4.33</f>
        <v>216.5</v>
      </c>
      <c r="F12" s="209" t="s">
        <v>1</v>
      </c>
      <c r="G12" s="1"/>
      <c r="H12" s="63"/>
      <c r="I12" s="21"/>
    </row>
    <row r="13" spans="1:9" ht="15.75" x14ac:dyDescent="0.25">
      <c r="A13" s="66"/>
      <c r="B13" s="2"/>
      <c r="C13" s="1" t="s">
        <v>89</v>
      </c>
      <c r="D13" s="71" t="s">
        <v>15</v>
      </c>
      <c r="E13" s="211">
        <f>100*4.33</f>
        <v>433</v>
      </c>
      <c r="F13" s="209" t="s">
        <v>1</v>
      </c>
      <c r="G13" s="1"/>
      <c r="H13" s="63"/>
      <c r="I13" s="21"/>
    </row>
    <row r="14" spans="1:9" ht="15.75" x14ac:dyDescent="0.25">
      <c r="A14" s="66"/>
      <c r="B14" s="1"/>
      <c r="C14" s="1" t="s">
        <v>90</v>
      </c>
      <c r="D14" s="208" t="s">
        <v>15</v>
      </c>
      <c r="E14" s="215">
        <f>90*4.33</f>
        <v>389.7</v>
      </c>
      <c r="F14" s="209" t="s">
        <v>1</v>
      </c>
      <c r="G14" s="2"/>
      <c r="H14" s="62" t="s">
        <v>91</v>
      </c>
      <c r="I14" s="21"/>
    </row>
    <row r="15" spans="1:9" ht="15.75" x14ac:dyDescent="0.25">
      <c r="A15" s="66"/>
      <c r="B15" s="66"/>
      <c r="C15" s="72"/>
      <c r="D15" s="73"/>
      <c r="E15" s="74"/>
      <c r="F15" s="69"/>
      <c r="G15" s="1"/>
      <c r="H15" s="62"/>
      <c r="I15" s="21"/>
    </row>
    <row r="16" spans="1:9" ht="15.75" x14ac:dyDescent="0.25">
      <c r="A16" s="66"/>
      <c r="B16" s="106"/>
      <c r="C16" s="72"/>
      <c r="D16" s="73"/>
      <c r="E16" s="74"/>
      <c r="F16" s="69"/>
      <c r="G16" s="1"/>
      <c r="H16" s="62"/>
      <c r="I16" s="21"/>
    </row>
    <row r="17" spans="1:9" ht="15.75" x14ac:dyDescent="0.25">
      <c r="A17" s="65"/>
      <c r="B17" s="107"/>
      <c r="C17" s="75" t="s">
        <v>39</v>
      </c>
      <c r="D17" s="76"/>
      <c r="E17" s="74"/>
      <c r="F17" s="69"/>
      <c r="G17" s="1"/>
      <c r="H17" s="62"/>
      <c r="I17" s="21"/>
    </row>
    <row r="18" spans="1:9" ht="15.75" x14ac:dyDescent="0.25">
      <c r="A18" s="66"/>
      <c r="B18" s="108"/>
      <c r="C18" s="1"/>
      <c r="D18" s="87"/>
      <c r="E18" s="26"/>
      <c r="F18" s="83"/>
      <c r="G18" s="1"/>
      <c r="H18" s="62"/>
      <c r="I18" s="21"/>
    </row>
    <row r="19" spans="1:9" ht="15.75" x14ac:dyDescent="0.25">
      <c r="A19" s="66"/>
      <c r="B19" s="106"/>
      <c r="C19" s="66"/>
      <c r="D19" s="76"/>
      <c r="E19" s="74"/>
      <c r="F19" s="69"/>
      <c r="G19" s="1"/>
      <c r="H19" s="62"/>
      <c r="I19" s="21"/>
    </row>
    <row r="20" spans="1:9" ht="15.75" x14ac:dyDescent="0.25">
      <c r="A20" s="66"/>
      <c r="B20" s="86"/>
      <c r="C20" s="72"/>
      <c r="D20" s="73"/>
      <c r="E20" s="74"/>
      <c r="F20" s="69"/>
      <c r="G20" s="1"/>
      <c r="H20" s="62"/>
      <c r="I20" s="21"/>
    </row>
    <row r="21" spans="1:9" ht="15.75" x14ac:dyDescent="0.25">
      <c r="A21" s="66"/>
      <c r="B21" s="1"/>
      <c r="C21" s="1"/>
      <c r="D21" s="71"/>
      <c r="E21" s="68"/>
      <c r="F21" s="69"/>
      <c r="G21" s="85"/>
      <c r="H21" s="85"/>
      <c r="I21" s="21"/>
    </row>
    <row r="22" spans="1:9" ht="15.75" x14ac:dyDescent="0.25">
      <c r="A22" s="66"/>
      <c r="B22" s="66"/>
      <c r="C22" s="77"/>
      <c r="D22" s="71"/>
      <c r="E22" s="68"/>
      <c r="F22" s="69"/>
      <c r="G22" s="84"/>
      <c r="H22" s="84"/>
      <c r="I22" s="21"/>
    </row>
    <row r="23" spans="1:9" ht="15.75" x14ac:dyDescent="0.25">
      <c r="A23" s="64"/>
      <c r="B23" s="64"/>
      <c r="C23" s="78"/>
      <c r="D23" s="67"/>
      <c r="E23" s="68"/>
      <c r="F23" s="69"/>
      <c r="G23" s="62"/>
      <c r="H23" s="63"/>
      <c r="I23" s="21"/>
    </row>
    <row r="24" spans="1:9" ht="15.75" x14ac:dyDescent="0.25">
      <c r="A24" s="92"/>
      <c r="B24" s="92"/>
      <c r="C24" s="93" t="s">
        <v>38</v>
      </c>
      <c r="D24" s="94"/>
      <c r="E24" s="95"/>
      <c r="F24" s="91"/>
      <c r="G24" s="62"/>
      <c r="H24" s="63"/>
      <c r="I24" s="21"/>
    </row>
    <row r="25" spans="1:9" ht="15.75" x14ac:dyDescent="0.25">
      <c r="A25" s="64"/>
      <c r="B25" s="64"/>
      <c r="C25" s="96"/>
      <c r="D25" s="111"/>
      <c r="E25" s="109"/>
      <c r="F25" s="112"/>
      <c r="G25" s="1"/>
      <c r="H25" s="63"/>
      <c r="I25" s="21"/>
    </row>
    <row r="26" spans="1:9" ht="15.75" x14ac:dyDescent="0.25">
      <c r="A26" s="64"/>
      <c r="B26" s="64"/>
      <c r="C26" s="96"/>
      <c r="D26" s="111"/>
      <c r="E26" s="109"/>
      <c r="F26" s="112"/>
      <c r="G26" s="1"/>
      <c r="H26" s="63"/>
      <c r="I26" s="21"/>
    </row>
    <row r="27" spans="1:9" ht="15.75" x14ac:dyDescent="0.25">
      <c r="A27" s="98"/>
      <c r="B27" s="98"/>
      <c r="C27" s="99"/>
      <c r="D27" s="94"/>
      <c r="E27" s="62"/>
      <c r="F27" s="63"/>
      <c r="G27" s="1"/>
      <c r="H27" s="62"/>
      <c r="I27" s="21"/>
    </row>
    <row r="28" spans="1:9" ht="15.75" x14ac:dyDescent="0.25">
      <c r="A28" s="100"/>
      <c r="B28" s="100"/>
      <c r="C28" s="101"/>
      <c r="D28" s="91"/>
      <c r="E28" s="95"/>
      <c r="F28" s="97"/>
      <c r="G28" s="1"/>
      <c r="H28" s="62"/>
      <c r="I28" s="21"/>
    </row>
    <row r="29" spans="1:9" ht="15.75" x14ac:dyDescent="0.25">
      <c r="A29" s="100"/>
      <c r="B29" s="88"/>
      <c r="C29" s="99"/>
      <c r="D29" s="102"/>
      <c r="E29" s="91"/>
      <c r="F29" s="95"/>
      <c r="H29" s="62"/>
      <c r="I29" s="21"/>
    </row>
    <row r="30" spans="1:9" ht="15.75" x14ac:dyDescent="0.25">
      <c r="A30" s="103"/>
      <c r="B30" s="103"/>
      <c r="C30" s="89"/>
      <c r="D30" s="91"/>
      <c r="E30" s="95"/>
      <c r="F30" s="97"/>
      <c r="G30" s="62"/>
      <c r="H30" s="62"/>
      <c r="I30" s="21"/>
    </row>
    <row r="31" spans="1:9" ht="15.75" x14ac:dyDescent="0.25">
      <c r="A31" s="66"/>
      <c r="B31" s="66"/>
      <c r="C31" s="66"/>
      <c r="D31" s="70"/>
      <c r="E31" s="68"/>
      <c r="F31" s="69"/>
      <c r="G31" s="62"/>
      <c r="H31" s="62"/>
      <c r="I31" s="21"/>
    </row>
    <row r="32" spans="1:9" ht="15.75" x14ac:dyDescent="0.25">
      <c r="A32" s="79"/>
      <c r="B32" s="79"/>
      <c r="C32" s="80"/>
      <c r="D32" s="81"/>
      <c r="E32" s="82"/>
      <c r="F32" s="83"/>
      <c r="G32" s="19"/>
      <c r="H32" s="33"/>
      <c r="I32" s="21"/>
    </row>
    <row r="33" spans="1:11" ht="16.149999999999999" customHeight="1" x14ac:dyDescent="0.25">
      <c r="A33" s="36"/>
      <c r="B33" s="36"/>
      <c r="C33" s="22"/>
      <c r="D33" s="23"/>
      <c r="E33" s="36"/>
      <c r="F33" s="34"/>
      <c r="G33" s="30"/>
      <c r="H33" s="33"/>
      <c r="I33" s="21"/>
    </row>
    <row r="34" spans="1:11" ht="15.75" x14ac:dyDescent="0.25">
      <c r="A34" s="24"/>
      <c r="B34" s="24"/>
      <c r="C34" s="37"/>
      <c r="D34" s="38"/>
      <c r="E34" s="24"/>
      <c r="F34" s="3"/>
      <c r="G34" s="31"/>
      <c r="H34" s="33"/>
      <c r="I34" s="21"/>
    </row>
    <row r="35" spans="1:11" ht="17.25" x14ac:dyDescent="0.3">
      <c r="A35" s="39"/>
      <c r="B35" s="27"/>
      <c r="C35" s="40"/>
      <c r="D35" s="41"/>
      <c r="E35" s="29"/>
      <c r="F35" s="29"/>
      <c r="G35" s="31"/>
      <c r="H35" s="33"/>
      <c r="I35" s="21"/>
    </row>
    <row r="36" spans="1:11" ht="15.75" x14ac:dyDescent="0.25">
      <c r="A36" s="27"/>
      <c r="B36" s="42"/>
      <c r="C36" s="28"/>
      <c r="D36" s="26"/>
      <c r="E36" s="25"/>
      <c r="F36" s="3"/>
      <c r="G36" s="31"/>
      <c r="H36" s="35"/>
      <c r="I36" s="21"/>
    </row>
    <row r="37" spans="1:11" ht="15.75" x14ac:dyDescent="0.25">
      <c r="A37" s="43"/>
      <c r="B37" s="44"/>
      <c r="C37" s="45"/>
      <c r="D37" s="35"/>
      <c r="E37" s="35"/>
      <c r="F37" s="32"/>
      <c r="G37" s="35"/>
      <c r="H37" s="35"/>
      <c r="I37" s="21"/>
    </row>
    <row r="38" spans="1:11" ht="18" thickBot="1" x14ac:dyDescent="0.35">
      <c r="A38" s="46"/>
      <c r="B38" s="47"/>
      <c r="C38" s="48"/>
      <c r="D38" s="48"/>
      <c r="E38" s="49"/>
      <c r="F38" s="50"/>
      <c r="G38" s="48"/>
      <c r="H38" s="48"/>
      <c r="I38" s="51"/>
    </row>
    <row r="39" spans="1:11" ht="18" thickBot="1" x14ac:dyDescent="0.35">
      <c r="A39" s="52"/>
      <c r="B39" s="53"/>
      <c r="C39" s="54"/>
      <c r="D39" s="55" t="s">
        <v>14</v>
      </c>
      <c r="E39" s="56" t="s">
        <v>13</v>
      </c>
      <c r="F39" s="57"/>
      <c r="G39" s="54"/>
      <c r="H39" s="54"/>
      <c r="I39" s="58"/>
      <c r="K39" s="212">
        <f>5000/D40</f>
        <v>1</v>
      </c>
    </row>
    <row r="40" spans="1:11" ht="17.25" x14ac:dyDescent="0.3">
      <c r="A40" s="829" t="s">
        <v>12</v>
      </c>
      <c r="B40" s="830"/>
      <c r="C40" s="831"/>
      <c r="D40" s="216">
        <v>5000</v>
      </c>
      <c r="E40" s="59" t="s">
        <v>1</v>
      </c>
      <c r="F40" s="832" t="s">
        <v>11</v>
      </c>
      <c r="G40" s="832"/>
      <c r="H40" s="833"/>
      <c r="I40" s="834"/>
    </row>
    <row r="41" spans="1:11" ht="17.25" x14ac:dyDescent="0.3">
      <c r="A41" s="812" t="s">
        <v>10</v>
      </c>
      <c r="B41" s="813"/>
      <c r="C41" s="814"/>
      <c r="D41" s="216">
        <v>10</v>
      </c>
      <c r="E41" s="60" t="s">
        <v>9</v>
      </c>
      <c r="F41" s="815" t="s">
        <v>8</v>
      </c>
      <c r="G41" s="815"/>
      <c r="H41" s="816"/>
      <c r="I41" s="817"/>
    </row>
    <row r="42" spans="1:11" ht="17.25" x14ac:dyDescent="0.3">
      <c r="A42" s="812" t="s">
        <v>7</v>
      </c>
      <c r="B42" s="813"/>
      <c r="C42" s="814"/>
      <c r="D42" s="216">
        <v>1</v>
      </c>
      <c r="E42" s="60" t="s">
        <v>92</v>
      </c>
      <c r="F42" s="815" t="s">
        <v>5</v>
      </c>
      <c r="G42" s="815"/>
      <c r="H42" s="816"/>
      <c r="I42" s="817"/>
    </row>
    <row r="43" spans="1:11" ht="17.25" x14ac:dyDescent="0.3">
      <c r="A43" s="812" t="s">
        <v>4</v>
      </c>
      <c r="B43" s="813"/>
      <c r="C43" s="814"/>
      <c r="D43" s="216">
        <v>5000</v>
      </c>
      <c r="E43" s="60" t="s">
        <v>1</v>
      </c>
      <c r="F43" s="818" t="s">
        <v>3</v>
      </c>
      <c r="G43" s="819"/>
      <c r="H43" s="816"/>
      <c r="I43" s="817"/>
    </row>
    <row r="44" spans="1:11" ht="18" thickBot="1" x14ac:dyDescent="0.35">
      <c r="A44" s="820" t="s">
        <v>2</v>
      </c>
      <c r="B44" s="821"/>
      <c r="C44" s="822"/>
      <c r="D44" s="217">
        <f>SUM(E10:E14)-D40</f>
        <v>1018.6999999999998</v>
      </c>
      <c r="E44" s="61" t="s">
        <v>1</v>
      </c>
      <c r="F44" s="823"/>
      <c r="G44" s="823"/>
      <c r="H44" s="824"/>
      <c r="I44" s="825"/>
    </row>
    <row r="45" spans="1:11" ht="16.5" thickBot="1" x14ac:dyDescent="0.3">
      <c r="A45" s="826" t="s">
        <v>0</v>
      </c>
      <c r="B45" s="827"/>
      <c r="C45" s="827"/>
      <c r="D45" s="827"/>
      <c r="E45" s="827"/>
      <c r="F45" s="827"/>
      <c r="G45" s="827"/>
      <c r="H45" s="827"/>
      <c r="I45" s="828"/>
    </row>
    <row r="46" spans="1:11" ht="20.45" customHeight="1" x14ac:dyDescent="0.3">
      <c r="A46" s="808" t="s">
        <v>94</v>
      </c>
      <c r="B46" s="809"/>
      <c r="C46" s="810"/>
      <c r="D46" s="810"/>
      <c r="E46" s="810"/>
      <c r="F46" s="810"/>
      <c r="G46" s="810"/>
      <c r="H46" s="810"/>
      <c r="I46" s="811"/>
    </row>
    <row r="47" spans="1:11" ht="15" customHeight="1" x14ac:dyDescent="0.3">
      <c r="A47" s="808" t="s">
        <v>95</v>
      </c>
      <c r="B47" s="809"/>
      <c r="C47" s="810"/>
      <c r="D47" s="810"/>
      <c r="E47" s="810"/>
      <c r="F47" s="810"/>
      <c r="G47" s="810"/>
      <c r="H47" s="810"/>
      <c r="I47" s="811"/>
    </row>
    <row r="48" spans="1:11" ht="14.45" customHeight="1" thickBot="1" x14ac:dyDescent="0.35">
      <c r="A48" s="974" t="s">
        <v>96</v>
      </c>
      <c r="B48" s="975"/>
      <c r="C48" s="975"/>
      <c r="D48" s="975"/>
      <c r="E48" s="975"/>
      <c r="F48" s="975"/>
      <c r="G48" s="975"/>
      <c r="H48" s="975"/>
      <c r="I48" s="976"/>
    </row>
    <row r="49" spans="1:9" ht="14.45" customHeight="1" x14ac:dyDescent="0.25">
      <c r="A49" s="977"/>
      <c r="B49" s="978"/>
      <c r="C49" s="978"/>
      <c r="D49" s="978"/>
      <c r="E49" s="978"/>
      <c r="F49" s="978"/>
      <c r="G49" s="978"/>
      <c r="H49" s="978"/>
      <c r="I49" s="979"/>
    </row>
    <row r="50" spans="1:9" ht="14.45" customHeight="1" x14ac:dyDescent="0.25">
      <c r="A50" s="792"/>
      <c r="B50" s="793"/>
      <c r="C50" s="794"/>
      <c r="D50" s="794"/>
      <c r="E50" s="794"/>
      <c r="F50" s="794"/>
      <c r="G50" s="794"/>
      <c r="H50" s="794"/>
      <c r="I50" s="795"/>
    </row>
    <row r="51" spans="1:9" ht="15.6" customHeight="1" x14ac:dyDescent="0.25">
      <c r="A51" s="796"/>
      <c r="B51" s="797"/>
      <c r="C51" s="798"/>
      <c r="D51" s="798"/>
      <c r="E51" s="798"/>
      <c r="F51" s="798"/>
      <c r="G51" s="798"/>
      <c r="H51" s="798"/>
      <c r="I51" s="799"/>
    </row>
    <row r="52" spans="1:9" x14ac:dyDescent="0.25">
      <c r="A52" s="792"/>
      <c r="B52" s="793"/>
      <c r="C52" s="794"/>
      <c r="D52" s="794"/>
      <c r="E52" s="794"/>
      <c r="F52" s="794"/>
      <c r="G52" s="794"/>
      <c r="H52" s="794"/>
      <c r="I52" s="795"/>
    </row>
    <row r="53" spans="1:9" x14ac:dyDescent="0.25">
      <c r="A53" s="792"/>
      <c r="B53" s="793"/>
      <c r="C53" s="794"/>
      <c r="D53" s="794"/>
      <c r="E53" s="794"/>
      <c r="F53" s="794"/>
      <c r="G53" s="794"/>
      <c r="H53" s="794"/>
      <c r="I53" s="795"/>
    </row>
    <row r="54" spans="1:9" ht="18" customHeight="1" x14ac:dyDescent="0.3">
      <c r="A54" s="800"/>
      <c r="B54" s="801"/>
      <c r="C54" s="801"/>
      <c r="D54" s="801"/>
      <c r="E54" s="801"/>
      <c r="F54" s="801"/>
      <c r="G54" s="801"/>
      <c r="H54" s="801"/>
      <c r="I54" s="802"/>
    </row>
    <row r="55" spans="1:9" ht="17.25" x14ac:dyDescent="0.3">
      <c r="A55" s="800"/>
      <c r="B55" s="801"/>
      <c r="C55" s="801"/>
      <c r="D55" s="801"/>
      <c r="E55" s="801"/>
      <c r="F55" s="801"/>
      <c r="G55" s="801"/>
      <c r="H55" s="801"/>
      <c r="I55" s="802"/>
    </row>
    <row r="56" spans="1:9" ht="18" thickBot="1" x14ac:dyDescent="0.35">
      <c r="A56" s="803"/>
      <c r="B56" s="804"/>
      <c r="C56" s="804"/>
      <c r="D56" s="804"/>
      <c r="E56" s="804"/>
      <c r="F56" s="804"/>
      <c r="G56" s="804"/>
      <c r="H56" s="804"/>
      <c r="I56" s="805"/>
    </row>
    <row r="57" spans="1:9" x14ac:dyDescent="0.25">
      <c r="A57" s="806" t="s">
        <v>37</v>
      </c>
      <c r="B57" s="807"/>
      <c r="C57" s="807"/>
      <c r="D57" s="807"/>
      <c r="E57" s="807"/>
      <c r="F57" s="807"/>
      <c r="G57" s="807"/>
      <c r="H57" s="807"/>
      <c r="I57" s="807"/>
    </row>
    <row r="58" spans="1:9" x14ac:dyDescent="0.25">
      <c r="A58" s="782"/>
      <c r="B58" s="783"/>
      <c r="C58" s="783"/>
      <c r="D58" s="783"/>
      <c r="E58" s="783"/>
      <c r="F58" s="783"/>
      <c r="G58" s="783"/>
      <c r="H58" s="783"/>
      <c r="I58" s="783"/>
    </row>
    <row r="59" spans="1:9" x14ac:dyDescent="0.25">
      <c r="A59" s="782"/>
      <c r="B59" s="783"/>
      <c r="C59" s="783"/>
      <c r="D59" s="783"/>
      <c r="E59" s="783"/>
      <c r="F59" s="783"/>
      <c r="G59" s="783"/>
      <c r="H59" s="783"/>
      <c r="I59" s="783"/>
    </row>
  </sheetData>
  <mergeCells count="47">
    <mergeCell ref="A59:I59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4C43-9569-4F93-AD93-C20FA875E719}">
  <dimension ref="A1:Q91"/>
  <sheetViews>
    <sheetView workbookViewId="0">
      <selection activeCell="M7" sqref="M7"/>
    </sheetView>
  </sheetViews>
  <sheetFormatPr baseColWidth="10" defaultColWidth="8.42578125" defaultRowHeight="12.75" x14ac:dyDescent="0.25"/>
  <cols>
    <col min="1" max="1" width="10" style="267" bestFit="1" customWidth="1"/>
    <col min="2" max="2" width="44.28515625" style="267" bestFit="1" customWidth="1"/>
    <col min="3" max="3" width="10.42578125" style="267" bestFit="1" customWidth="1"/>
    <col min="4" max="4" width="10.42578125" style="267" customWidth="1"/>
    <col min="5" max="5" width="11" style="267" customWidth="1"/>
    <col min="6" max="6" width="9.5703125" style="267" bestFit="1" customWidth="1"/>
    <col min="7" max="7" width="10.85546875" style="349" customWidth="1"/>
    <col min="8" max="8" width="10.42578125" style="340" bestFit="1" customWidth="1"/>
    <col min="9" max="9" width="4.5703125" style="340" customWidth="1"/>
    <col min="10" max="10" width="1.85546875" style="266" customWidth="1"/>
    <col min="11" max="11" width="7" style="267" bestFit="1" customWidth="1"/>
    <col min="12" max="12" width="6.28515625" style="267" customWidth="1"/>
    <col min="13" max="13" width="20.42578125" style="267" customWidth="1"/>
    <col min="14" max="14" width="6.42578125" style="267" bestFit="1" customWidth="1"/>
    <col min="15" max="16" width="8.42578125" style="267"/>
    <col min="17" max="17" width="3.28515625" style="267" customWidth="1"/>
    <col min="18" max="16384" width="8.42578125" style="267"/>
  </cols>
  <sheetData>
    <row r="1" spans="1:10" ht="27.75" customHeight="1" x14ac:dyDescent="0.25">
      <c r="A1" s="262"/>
      <c r="B1" s="262"/>
      <c r="C1" s="262"/>
      <c r="D1" s="262"/>
      <c r="E1" s="263" t="s">
        <v>122</v>
      </c>
      <c r="F1" s="264" t="s">
        <v>123</v>
      </c>
      <c r="G1" s="264" t="s">
        <v>124</v>
      </c>
      <c r="H1" s="264" t="s">
        <v>125</v>
      </c>
      <c r="I1" s="265"/>
    </row>
    <row r="2" spans="1:10" ht="30.75" customHeight="1" x14ac:dyDescent="0.25">
      <c r="A2" s="262"/>
      <c r="B2" s="262"/>
      <c r="C2" s="262"/>
      <c r="D2" s="262"/>
      <c r="E2" s="268">
        <f>IFERROR(O62,"")</f>
        <v>31596.074999999997</v>
      </c>
      <c r="F2" s="268">
        <f>IFERROR(H53,"")</f>
        <v>29996.074999999997</v>
      </c>
      <c r="G2" s="268">
        <f>IFERROR(H54,"")</f>
        <v>0</v>
      </c>
      <c r="H2" s="268">
        <f>IFERROR(H56,"")</f>
        <v>770</v>
      </c>
      <c r="I2" s="269"/>
    </row>
    <row r="3" spans="1:10" ht="15" customHeight="1" x14ac:dyDescent="0.25">
      <c r="A3" s="262"/>
      <c r="B3" s="262"/>
      <c r="C3" s="262"/>
      <c r="D3" s="262"/>
      <c r="E3" s="262"/>
      <c r="F3" s="270"/>
      <c r="G3" s="270"/>
      <c r="H3" s="270"/>
      <c r="I3" s="270"/>
    </row>
    <row r="4" spans="1:10" ht="24.75" customHeight="1" thickBot="1" x14ac:dyDescent="0.3">
      <c r="A4" s="895"/>
      <c r="B4" s="895"/>
      <c r="C4" s="895"/>
      <c r="D4" s="895"/>
      <c r="E4" s="895"/>
      <c r="F4" s="895"/>
      <c r="G4" s="895"/>
      <c r="H4" s="895"/>
      <c r="I4" s="271"/>
    </row>
    <row r="5" spans="1:10" ht="19.5" customHeight="1" thickBot="1" x14ac:dyDescent="0.3">
      <c r="A5" s="896" t="s">
        <v>126</v>
      </c>
      <c r="B5" s="897"/>
      <c r="C5" s="897"/>
      <c r="D5" s="897"/>
      <c r="E5" s="897"/>
      <c r="F5" s="897"/>
      <c r="G5" s="897"/>
      <c r="H5" s="898"/>
      <c r="I5" s="272"/>
    </row>
    <row r="6" spans="1:10" ht="19.5" thickBot="1" x14ac:dyDescent="0.3">
      <c r="A6" s="272"/>
      <c r="B6" s="272"/>
      <c r="C6" s="272"/>
      <c r="D6" s="272"/>
      <c r="E6" s="272"/>
      <c r="F6" s="899" t="s">
        <v>127</v>
      </c>
      <c r="G6" s="899"/>
      <c r="H6" s="273">
        <f ca="1">TODAY()</f>
        <v>46083</v>
      </c>
      <c r="I6" s="273"/>
    </row>
    <row r="7" spans="1:10" ht="26.25" thickBot="1" x14ac:dyDescent="0.3">
      <c r="A7" s="274" t="s">
        <v>128</v>
      </c>
      <c r="B7" s="275" t="s">
        <v>129</v>
      </c>
      <c r="C7" s="275" t="s">
        <v>128</v>
      </c>
      <c r="D7" s="276" t="s">
        <v>130</v>
      </c>
      <c r="E7" s="276" t="s">
        <v>131</v>
      </c>
      <c r="F7" s="276" t="s">
        <v>132</v>
      </c>
      <c r="G7" s="276" t="s">
        <v>133</v>
      </c>
      <c r="H7" s="277" t="s">
        <v>134</v>
      </c>
      <c r="I7" s="278"/>
    </row>
    <row r="8" spans="1:10" ht="13.5" x14ac:dyDescent="0.25">
      <c r="A8" s="279">
        <v>1515.5</v>
      </c>
      <c r="B8" s="267" t="s">
        <v>83</v>
      </c>
      <c r="C8" s="280">
        <f>+A8</f>
        <v>1515.5</v>
      </c>
      <c r="D8" s="281" t="s">
        <v>174</v>
      </c>
      <c r="E8" s="281">
        <v>1.01</v>
      </c>
      <c r="F8" s="281">
        <f>IFERROR(C8*E8,"")</f>
        <v>1530.655</v>
      </c>
      <c r="G8" s="282">
        <f t="shared" ref="G8:G14" si="0">IFERROR(F8/$F$66,"")</f>
        <v>4.8799820531765986E-2</v>
      </c>
      <c r="H8" s="283" t="s">
        <v>82</v>
      </c>
      <c r="I8" s="283"/>
      <c r="J8" s="284"/>
    </row>
    <row r="9" spans="1:10" ht="13.5" x14ac:dyDescent="0.25">
      <c r="A9" s="279">
        <v>3464</v>
      </c>
      <c r="B9" s="267" t="s">
        <v>84</v>
      </c>
      <c r="C9" s="280">
        <f t="shared" ref="C9:C14" si="1">+A9</f>
        <v>3464</v>
      </c>
      <c r="D9" s="281" t="s">
        <v>174</v>
      </c>
      <c r="E9" s="281">
        <v>8.09</v>
      </c>
      <c r="F9" s="281">
        <f t="shared" ref="F9:F14" si="2">IFERROR(C9*E9,"")</f>
        <v>28023.759999999998</v>
      </c>
      <c r="G9" s="282">
        <f t="shared" si="0"/>
        <v>0.89344395610067739</v>
      </c>
      <c r="H9" s="283" t="s">
        <v>60</v>
      </c>
      <c r="I9" s="283"/>
      <c r="J9" s="284"/>
    </row>
    <row r="10" spans="1:10" ht="13.5" x14ac:dyDescent="0.25">
      <c r="A10" s="279">
        <v>216.5</v>
      </c>
      <c r="B10" s="267" t="s">
        <v>87</v>
      </c>
      <c r="C10" s="280">
        <f t="shared" si="1"/>
        <v>216.5</v>
      </c>
      <c r="D10" s="281" t="s">
        <v>174</v>
      </c>
      <c r="E10" s="281">
        <v>2.04</v>
      </c>
      <c r="F10" s="281">
        <f t="shared" si="2"/>
        <v>441.66</v>
      </c>
      <c r="G10" s="282">
        <f t="shared" si="0"/>
        <v>1.4080853449052704E-2</v>
      </c>
      <c r="H10" s="283" t="s">
        <v>86</v>
      </c>
      <c r="I10" s="283"/>
      <c r="J10" s="284"/>
    </row>
    <row r="11" spans="1:10" ht="13.5" hidden="1" x14ac:dyDescent="0.25">
      <c r="A11" s="279"/>
      <c r="B11" s="267" t="str">
        <f>IFERROR(VLOOKUP(H11,'[1]Consolidado MP Planta'!$A$2:$M$823,3,0),"")</f>
        <v/>
      </c>
      <c r="C11" s="280">
        <f t="shared" si="1"/>
        <v>0</v>
      </c>
      <c r="D11" s="281" t="str">
        <f>IFERROR(VLOOKUP(H11,'[1]Consolidado MP Planta'!$A$2:$M$823,13,0),"")</f>
        <v/>
      </c>
      <c r="E11" s="281" t="str">
        <f>IFERROR(VLOOKUP(H11,'[1]Consolidado MP Planta'!$A$2:$M$823,12,0),"")</f>
        <v/>
      </c>
      <c r="F11" s="281" t="str">
        <f t="shared" si="2"/>
        <v/>
      </c>
      <c r="G11" s="282" t="str">
        <f t="shared" si="0"/>
        <v/>
      </c>
      <c r="H11" s="283"/>
      <c r="I11" s="283"/>
      <c r="J11" s="284"/>
    </row>
    <row r="12" spans="1:10" ht="13.5" hidden="1" x14ac:dyDescent="0.25">
      <c r="A12" s="279"/>
      <c r="B12" s="267" t="str">
        <f>IFERROR(VLOOKUP(H12,'[1]Consolidado MP Planta'!$A$2:$M$823,3,0),"")</f>
        <v/>
      </c>
      <c r="C12" s="280">
        <f t="shared" si="1"/>
        <v>0</v>
      </c>
      <c r="D12" s="281" t="str">
        <f>IFERROR(VLOOKUP(H12,'[1]Consolidado MP Planta'!$A$2:$M$823,13,0),"")</f>
        <v/>
      </c>
      <c r="E12" s="281" t="str">
        <f>IFERROR(VLOOKUP(H12,'[1]Consolidado MP Planta'!$A$2:$M$823,12,0),"")</f>
        <v/>
      </c>
      <c r="F12" s="281" t="str">
        <f t="shared" si="2"/>
        <v/>
      </c>
      <c r="G12" s="282" t="str">
        <f t="shared" si="0"/>
        <v/>
      </c>
      <c r="H12" s="283"/>
      <c r="I12" s="283"/>
      <c r="J12" s="284"/>
    </row>
    <row r="13" spans="1:10" ht="13.5" hidden="1" x14ac:dyDescent="0.25">
      <c r="A13" s="279"/>
      <c r="B13" s="267" t="str">
        <f>IFERROR(VLOOKUP(H13,'[1]Consolidado MP Planta'!$A$2:$M$823,3,0),"")</f>
        <v/>
      </c>
      <c r="C13" s="280">
        <f t="shared" si="1"/>
        <v>0</v>
      </c>
      <c r="D13" s="281" t="str">
        <f>IFERROR(VLOOKUP(H13,'[1]Consolidado MP Planta'!$A$2:$M$823,13,0),"")</f>
        <v/>
      </c>
      <c r="E13" s="281" t="str">
        <f>IFERROR(VLOOKUP(H13,'[1]Consolidado MP Planta'!$A$2:$M$823,12,0),"")</f>
        <v/>
      </c>
      <c r="F13" s="281" t="str">
        <f t="shared" si="2"/>
        <v/>
      </c>
      <c r="G13" s="282" t="str">
        <f t="shared" si="0"/>
        <v/>
      </c>
      <c r="H13" s="283"/>
      <c r="I13" s="283"/>
      <c r="J13" s="284"/>
    </row>
    <row r="14" spans="1:10" ht="13.5" hidden="1" x14ac:dyDescent="0.25">
      <c r="A14" s="279"/>
      <c r="B14" s="267" t="str">
        <f>IFERROR(VLOOKUP(H14,'[1]Consolidado MP Planta'!$A$2:$M$823,3,0),"")</f>
        <v/>
      </c>
      <c r="C14" s="280">
        <f t="shared" si="1"/>
        <v>0</v>
      </c>
      <c r="D14" s="281" t="str">
        <f>IFERROR(VLOOKUP(H14,'[1]Consolidado MP Planta'!$A$2:$M$823,13,0),"")</f>
        <v/>
      </c>
      <c r="E14" s="281" t="str">
        <f>IFERROR(VLOOKUP(H14,'[1]Consolidado MP Planta'!$A$2:$M$823,12,0),"")</f>
        <v/>
      </c>
      <c r="F14" s="281" t="str">
        <f t="shared" si="2"/>
        <v/>
      </c>
      <c r="G14" s="282" t="str">
        <f t="shared" si="0"/>
        <v/>
      </c>
      <c r="H14" s="283"/>
      <c r="I14" s="283"/>
      <c r="J14" s="284"/>
    </row>
    <row r="15" spans="1:10" ht="14.25" thickBot="1" x14ac:dyDescent="0.3">
      <c r="A15" s="279"/>
      <c r="B15" s="267" t="str">
        <f>IFERROR(VLOOKUP(H15,[2]Hoja2!$A$2:$G$589,2,0),"")</f>
        <v/>
      </c>
      <c r="C15" s="280"/>
      <c r="D15" s="281"/>
      <c r="E15" s="281"/>
      <c r="F15" s="281"/>
      <c r="G15" s="282"/>
      <c r="H15" s="283"/>
      <c r="I15" s="283"/>
      <c r="J15" s="284"/>
    </row>
    <row r="16" spans="1:10" ht="26.25" hidden="1" thickBot="1" x14ac:dyDescent="0.3">
      <c r="A16" s="274" t="s">
        <v>128</v>
      </c>
      <c r="B16" s="275" t="s">
        <v>135</v>
      </c>
      <c r="C16" s="275" t="s">
        <v>128</v>
      </c>
      <c r="D16" s="276" t="s">
        <v>130</v>
      </c>
      <c r="E16" s="276" t="s">
        <v>131</v>
      </c>
      <c r="F16" s="276" t="s">
        <v>132</v>
      </c>
      <c r="G16" s="276" t="s">
        <v>133</v>
      </c>
      <c r="H16" s="277" t="s">
        <v>134</v>
      </c>
      <c r="I16" s="278"/>
      <c r="J16" s="284"/>
    </row>
    <row r="17" spans="1:12" ht="13.5" hidden="1" x14ac:dyDescent="0.25">
      <c r="A17" s="279"/>
      <c r="B17" s="267" t="str">
        <f>IFERROR(VLOOKUP(H17,[1]SEMIELABORADOS!$A$2:$M$6000,2,0),"")</f>
        <v/>
      </c>
      <c r="C17" s="280">
        <f>+A17</f>
        <v>0</v>
      </c>
      <c r="D17" s="280" t="str">
        <f>IFERROR(VLOOKUP(H17,[1]SEMIELABORADOS!$A$2:$M$6000,6,0),"")</f>
        <v/>
      </c>
      <c r="E17" s="281" t="str">
        <f>IFERROR(VLOOKUP(H17,[1]SEMIELABORADOS!$A$2:$H$65536,8,0),"")</f>
        <v/>
      </c>
      <c r="F17" s="281" t="str">
        <f>IFERROR(E17*C17,"")</f>
        <v/>
      </c>
      <c r="G17" s="282" t="str">
        <f t="shared" ref="G17:G24" si="3">IFERROR(F17/$F$66,"")</f>
        <v/>
      </c>
      <c r="H17" s="283"/>
      <c r="I17" s="283"/>
      <c r="J17" s="284"/>
    </row>
    <row r="18" spans="1:12" ht="13.5" hidden="1" x14ac:dyDescent="0.25">
      <c r="A18" s="279"/>
      <c r="B18" s="267" t="str">
        <f>IFERROR(VLOOKUP(H18,[1]SEMIELABORADOS!$A$2:$M$6000,2,0),"")</f>
        <v/>
      </c>
      <c r="C18" s="280">
        <f t="shared" ref="C18:C24" si="4">+A18</f>
        <v>0</v>
      </c>
      <c r="D18" s="280" t="str">
        <f>IFERROR(VLOOKUP(H18,[1]SEMIELABORADOS!$A$2:$M$6000,6,0),"")</f>
        <v/>
      </c>
      <c r="E18" s="281" t="str">
        <f>IFERROR(VLOOKUP(H18,[1]SEMIELABORADOS!$A$2:$H$65536,8,0),"")</f>
        <v/>
      </c>
      <c r="F18" s="281" t="str">
        <f t="shared" ref="F18:F24" si="5">IFERROR(E18*C18,"")</f>
        <v/>
      </c>
      <c r="G18" s="282" t="str">
        <f t="shared" si="3"/>
        <v/>
      </c>
      <c r="H18" s="283"/>
      <c r="I18" s="283"/>
      <c r="J18" s="284"/>
    </row>
    <row r="19" spans="1:12" ht="13.5" hidden="1" x14ac:dyDescent="0.25">
      <c r="A19" s="279"/>
      <c r="B19" s="267" t="str">
        <f>IFERROR(VLOOKUP(H19,[1]SEMIELABORADOS!$A$2:$M$6000,2,0),"")</f>
        <v/>
      </c>
      <c r="C19" s="280">
        <f>+A19</f>
        <v>0</v>
      </c>
      <c r="D19" s="280" t="str">
        <f>IFERROR(VLOOKUP(H19,[1]SEMIELABORADOS!$A$2:$M$6000,6,0),"")</f>
        <v/>
      </c>
      <c r="E19" s="281" t="str">
        <f>IFERROR(VLOOKUP(H19,[1]SEMIELABORADOS!$A$2:$H$65536,8,0),"")</f>
        <v/>
      </c>
      <c r="F19" s="281" t="str">
        <f>IFERROR(E19*C19,"")</f>
        <v/>
      </c>
      <c r="G19" s="282" t="str">
        <f t="shared" si="3"/>
        <v/>
      </c>
      <c r="H19" s="283"/>
      <c r="I19" s="283"/>
      <c r="J19" s="284"/>
    </row>
    <row r="20" spans="1:12" ht="13.5" hidden="1" x14ac:dyDescent="0.25">
      <c r="A20" s="279"/>
      <c r="B20" s="267" t="str">
        <f>IFERROR(VLOOKUP(H20,[1]SEMIELABORADOS!$A$2:$M$6000,2,0),"")</f>
        <v/>
      </c>
      <c r="C20" s="280">
        <f>+A20</f>
        <v>0</v>
      </c>
      <c r="D20" s="280" t="str">
        <f>IFERROR(VLOOKUP(H20,[1]SEMIELABORADOS!$A$2:$M$6000,6,0),"")</f>
        <v/>
      </c>
      <c r="E20" s="281" t="str">
        <f>IFERROR(VLOOKUP(H20,[1]SEMIELABORADOS!$A$2:$H$65536,8,0),"")</f>
        <v/>
      </c>
      <c r="F20" s="281" t="str">
        <f>IFERROR(E20*C20,"")</f>
        <v/>
      </c>
      <c r="G20" s="282" t="str">
        <f t="shared" si="3"/>
        <v/>
      </c>
      <c r="H20" s="283"/>
      <c r="I20" s="283"/>
      <c r="J20" s="284"/>
    </row>
    <row r="21" spans="1:12" ht="13.5" hidden="1" x14ac:dyDescent="0.25">
      <c r="A21" s="279"/>
      <c r="B21" s="267" t="str">
        <f>IFERROR(VLOOKUP(H21,[1]SEMIELABORADOS!$A$2:$M$6000,2,0),"")</f>
        <v/>
      </c>
      <c r="C21" s="280">
        <f>+A21</f>
        <v>0</v>
      </c>
      <c r="D21" s="280" t="str">
        <f>IFERROR(VLOOKUP(H21,[1]SEMIELABORADOS!$A$2:$M$6000,6,0),"")</f>
        <v/>
      </c>
      <c r="E21" s="281" t="str">
        <f>IFERROR(VLOOKUP(H21,[1]SEMIELABORADOS!$A$2:$H$65536,8,0),"")</f>
        <v/>
      </c>
      <c r="F21" s="281" t="str">
        <f>IFERROR(E21*C21,"")</f>
        <v/>
      </c>
      <c r="G21" s="282" t="str">
        <f t="shared" si="3"/>
        <v/>
      </c>
      <c r="H21" s="283"/>
      <c r="I21" s="283"/>
      <c r="J21" s="284"/>
    </row>
    <row r="22" spans="1:12" ht="13.5" hidden="1" x14ac:dyDescent="0.25">
      <c r="A22" s="279"/>
      <c r="B22" s="267" t="str">
        <f>IFERROR(VLOOKUP(H22,[1]SEMIELABORADOS!$A$2:$M$6000,2,0),"")</f>
        <v/>
      </c>
      <c r="C22" s="280">
        <f t="shared" si="4"/>
        <v>0</v>
      </c>
      <c r="D22" s="280" t="str">
        <f>IFERROR(VLOOKUP(H22,[1]SEMIELABORADOS!$A$2:$M$6000,6,0),"")</f>
        <v/>
      </c>
      <c r="E22" s="281" t="str">
        <f>IFERROR(VLOOKUP(H22,[1]SEMIELABORADOS!$A$2:$H$65536,8,0),"")</f>
        <v/>
      </c>
      <c r="F22" s="281" t="str">
        <f t="shared" si="5"/>
        <v/>
      </c>
      <c r="G22" s="282" t="str">
        <f t="shared" si="3"/>
        <v/>
      </c>
      <c r="H22" s="283"/>
      <c r="I22" s="283"/>
      <c r="J22" s="284"/>
    </row>
    <row r="23" spans="1:12" ht="13.5" hidden="1" x14ac:dyDescent="0.25">
      <c r="A23" s="279"/>
      <c r="B23" s="267" t="str">
        <f>IFERROR(VLOOKUP(H23,[1]SEMIELABORADOS!$A$2:$M$6000,2,0),"")</f>
        <v/>
      </c>
      <c r="C23" s="280">
        <f t="shared" si="4"/>
        <v>0</v>
      </c>
      <c r="D23" s="280" t="str">
        <f>IFERROR(VLOOKUP(H23,[1]SEMIELABORADOS!$A$2:$M$6000,6,0),"")</f>
        <v/>
      </c>
      <c r="E23" s="281" t="str">
        <f>IFERROR(VLOOKUP(H23,[1]SEMIELABORADOS!$A$2:$H$65536,8,0),"")</f>
        <v/>
      </c>
      <c r="F23" s="281" t="str">
        <f t="shared" si="5"/>
        <v/>
      </c>
      <c r="G23" s="282" t="str">
        <f t="shared" si="3"/>
        <v/>
      </c>
      <c r="H23" s="283"/>
      <c r="I23" s="283"/>
      <c r="J23" s="284"/>
    </row>
    <row r="24" spans="1:12" ht="13.5" hidden="1" x14ac:dyDescent="0.25">
      <c r="A24" s="279"/>
      <c r="B24" s="267" t="str">
        <f>IFERROR(VLOOKUP(H24,[1]SEMIELABORADOS!$A$2:$M$6000,2,0),"")</f>
        <v/>
      </c>
      <c r="C24" s="280">
        <f t="shared" si="4"/>
        <v>0</v>
      </c>
      <c r="D24" s="280" t="str">
        <f>IFERROR(VLOOKUP(H24,[1]SEMIELABORADOS!$A$2:$M$6000,6,0),"")</f>
        <v/>
      </c>
      <c r="E24" s="281" t="str">
        <f>IFERROR(VLOOKUP(H24,[1]SEMIELABORADOS!$A$2:$H$65536,8,0),"")</f>
        <v/>
      </c>
      <c r="F24" s="281" t="str">
        <f t="shared" si="5"/>
        <v/>
      </c>
      <c r="G24" s="282" t="str">
        <f t="shared" si="3"/>
        <v/>
      </c>
      <c r="H24" s="283"/>
      <c r="I24" s="283"/>
      <c r="J24" s="284"/>
    </row>
    <row r="25" spans="1:12" ht="14.25" hidden="1" thickBot="1" x14ac:dyDescent="0.3">
      <c r="A25" s="279"/>
      <c r="C25" s="280"/>
      <c r="D25" s="280"/>
      <c r="E25" s="281"/>
      <c r="F25" s="281"/>
      <c r="G25" s="282"/>
      <c r="H25" s="283"/>
      <c r="I25" s="283"/>
      <c r="J25" s="284"/>
    </row>
    <row r="26" spans="1:12" ht="26.25" hidden="1" thickBot="1" x14ac:dyDescent="0.3">
      <c r="A26" s="274" t="s">
        <v>128</v>
      </c>
      <c r="B26" s="275" t="s">
        <v>38</v>
      </c>
      <c r="C26" s="275" t="s">
        <v>128</v>
      </c>
      <c r="D26" s="276" t="s">
        <v>130</v>
      </c>
      <c r="E26" s="276" t="s">
        <v>131</v>
      </c>
      <c r="F26" s="276" t="s">
        <v>132</v>
      </c>
      <c r="G26" s="276" t="s">
        <v>133</v>
      </c>
      <c r="H26" s="277" t="s">
        <v>134</v>
      </c>
      <c r="I26" s="278"/>
    </row>
    <row r="27" spans="1:12" ht="13.5" hidden="1" x14ac:dyDescent="0.25">
      <c r="A27" s="279">
        <v>0</v>
      </c>
      <c r="B27" s="285" t="str">
        <f>IFERROR(VLOOKUP(H27,'[1]Consolidado MP Planta'!$A$2:$M$823,3,0),"")</f>
        <v/>
      </c>
      <c r="C27" s="280">
        <f t="shared" ref="C27:C32" si="6">+A27</f>
        <v>0</v>
      </c>
      <c r="D27" s="281" t="str">
        <f>IFERROR(VLOOKUP(H27,'[1]Consolidado MP Planta'!$A$2:$M$823,13,0),"")</f>
        <v/>
      </c>
      <c r="E27" s="281" t="str">
        <f>IFERROR(VLOOKUP(H27,'[1]Consolidado MP Planta'!$A$2:$M$823,12,0),"")</f>
        <v/>
      </c>
      <c r="F27" s="281" t="str">
        <f t="shared" ref="F27:F32" si="7">IFERROR(C27*E27,"")</f>
        <v/>
      </c>
      <c r="G27" s="282" t="str">
        <f t="shared" ref="G27:G32" si="8">IFERROR(F27/$F$66,"")</f>
        <v/>
      </c>
      <c r="H27" s="286"/>
      <c r="I27" s="286"/>
      <c r="J27" s="284"/>
      <c r="K27" s="889"/>
      <c r="L27" s="889"/>
    </row>
    <row r="28" spans="1:12" ht="13.5" hidden="1" x14ac:dyDescent="0.25">
      <c r="A28" s="279"/>
      <c r="B28" s="285" t="str">
        <f>IFERROR(VLOOKUP(H28,'[1]Consolidado MP Planta'!$A$2:$M$823,3,0),"")</f>
        <v/>
      </c>
      <c r="C28" s="280">
        <f t="shared" si="6"/>
        <v>0</v>
      </c>
      <c r="D28" s="281" t="str">
        <f>IFERROR(VLOOKUP(H28,'[1]Consolidado MP Planta'!$A$2:$M$823,13,0),"")</f>
        <v/>
      </c>
      <c r="E28" s="281" t="str">
        <f>IFERROR(VLOOKUP(H28,'[1]Consolidado MP Planta'!$A$2:$M$823,12,0),"")</f>
        <v/>
      </c>
      <c r="F28" s="281" t="str">
        <f t="shared" si="7"/>
        <v/>
      </c>
      <c r="G28" s="282" t="str">
        <f t="shared" si="8"/>
        <v/>
      </c>
      <c r="H28" s="286"/>
      <c r="I28" s="286"/>
      <c r="J28" s="284"/>
      <c r="K28" s="889"/>
      <c r="L28" s="889"/>
    </row>
    <row r="29" spans="1:12" ht="13.5" hidden="1" x14ac:dyDescent="0.25">
      <c r="A29" s="279"/>
      <c r="B29" s="285" t="str">
        <f>IFERROR(VLOOKUP(H29,'[1]Consolidado MP Planta'!$A$2:$M$823,3,0),"")</f>
        <v/>
      </c>
      <c r="C29" s="280">
        <f t="shared" si="6"/>
        <v>0</v>
      </c>
      <c r="D29" s="281" t="str">
        <f>IFERROR(VLOOKUP(H29,'[1]Consolidado MP Planta'!$A$2:$M$823,13,0),"")</f>
        <v/>
      </c>
      <c r="E29" s="281" t="str">
        <f>IFERROR(VLOOKUP(H29,'[1]Consolidado MP Planta'!$A$2:$M$823,12,0),"")</f>
        <v/>
      </c>
      <c r="F29" s="281" t="str">
        <f t="shared" si="7"/>
        <v/>
      </c>
      <c r="G29" s="282" t="str">
        <f t="shared" si="8"/>
        <v/>
      </c>
      <c r="H29" s="286"/>
      <c r="I29" s="286"/>
      <c r="J29" s="284"/>
      <c r="K29" s="889"/>
      <c r="L29" s="889"/>
    </row>
    <row r="30" spans="1:12" ht="13.5" hidden="1" x14ac:dyDescent="0.25">
      <c r="A30" s="279"/>
      <c r="B30" s="285" t="str">
        <f>IFERROR(VLOOKUP(H30,'[1]Consolidado MP Planta'!$A$2:$M$823,3,0),"")</f>
        <v/>
      </c>
      <c r="C30" s="280">
        <f t="shared" si="6"/>
        <v>0</v>
      </c>
      <c r="D30" s="281" t="str">
        <f>IFERROR(VLOOKUP(H30,'[1]Consolidado MP Planta'!$A$2:$M$823,13,0),"")</f>
        <v/>
      </c>
      <c r="E30" s="281" t="str">
        <f>IFERROR(VLOOKUP(H30,'[1]Consolidado MP Planta'!$A$2:$M$823,12,0),"")</f>
        <v/>
      </c>
      <c r="F30" s="281" t="str">
        <f t="shared" si="7"/>
        <v/>
      </c>
      <c r="G30" s="282" t="str">
        <f t="shared" si="8"/>
        <v/>
      </c>
      <c r="H30" s="286"/>
      <c r="I30" s="286"/>
      <c r="J30" s="284"/>
      <c r="K30" s="889"/>
      <c r="L30" s="889"/>
    </row>
    <row r="31" spans="1:12" ht="13.5" hidden="1" x14ac:dyDescent="0.25">
      <c r="A31" s="279"/>
      <c r="B31" s="285" t="str">
        <f>IFERROR(VLOOKUP(H31,'[1]Consolidado MP Planta'!$A$2:$M$823,3,0),"")</f>
        <v/>
      </c>
      <c r="C31" s="280">
        <f t="shared" si="6"/>
        <v>0</v>
      </c>
      <c r="D31" s="281" t="str">
        <f>IFERROR(VLOOKUP(H31,'[1]Consolidado MP Planta'!$A$2:$M$823,13,0),"")</f>
        <v/>
      </c>
      <c r="E31" s="281" t="str">
        <f>IFERROR(VLOOKUP(H31,'[1]Consolidado MP Planta'!$A$2:$M$823,12,0),"")</f>
        <v/>
      </c>
      <c r="F31" s="281" t="str">
        <f t="shared" si="7"/>
        <v/>
      </c>
      <c r="G31" s="282" t="str">
        <f t="shared" si="8"/>
        <v/>
      </c>
      <c r="H31" s="286"/>
      <c r="I31" s="286"/>
      <c r="J31" s="284"/>
      <c r="K31" s="287"/>
      <c r="L31" s="288"/>
    </row>
    <row r="32" spans="1:12" ht="13.5" hidden="1" x14ac:dyDescent="0.25">
      <c r="A32" s="279"/>
      <c r="B32" s="285" t="str">
        <f>IFERROR(VLOOKUP(H32,'[1]Consolidado MP Planta'!$A$2:$M$823,3,0),"")</f>
        <v/>
      </c>
      <c r="C32" s="280">
        <f t="shared" si="6"/>
        <v>0</v>
      </c>
      <c r="D32" s="281" t="str">
        <f>IFERROR(VLOOKUP(H32,'[1]Consolidado MP Planta'!$A$2:$M$823,13,0),"")</f>
        <v/>
      </c>
      <c r="E32" s="281" t="str">
        <f>IFERROR(VLOOKUP(H32,'[1]Consolidado MP Planta'!$A$2:$M$823,12,0),"")</f>
        <v/>
      </c>
      <c r="F32" s="281" t="str">
        <f t="shared" si="7"/>
        <v/>
      </c>
      <c r="G32" s="282" t="str">
        <f t="shared" si="8"/>
        <v/>
      </c>
      <c r="H32" s="286"/>
      <c r="I32" s="286"/>
      <c r="J32" s="284"/>
    </row>
    <row r="33" spans="1:13" ht="14.25" hidden="1" thickBot="1" x14ac:dyDescent="0.3">
      <c r="A33" s="279"/>
      <c r="B33" s="285"/>
      <c r="C33" s="280"/>
      <c r="D33" s="281"/>
      <c r="E33" s="281"/>
      <c r="F33" s="281"/>
      <c r="G33" s="282"/>
      <c r="H33" s="286"/>
      <c r="I33" s="286"/>
      <c r="J33" s="284"/>
    </row>
    <row r="34" spans="1:13" ht="26.25" hidden="1" thickBot="1" x14ac:dyDescent="0.25">
      <c r="A34" s="274" t="s">
        <v>128</v>
      </c>
      <c r="B34" s="275" t="s">
        <v>136</v>
      </c>
      <c r="C34" s="275" t="s">
        <v>128</v>
      </c>
      <c r="D34" s="276" t="s">
        <v>130</v>
      </c>
      <c r="E34" s="276" t="s">
        <v>131</v>
      </c>
      <c r="F34" s="276" t="s">
        <v>132</v>
      </c>
      <c r="G34" s="276" t="s">
        <v>133</v>
      </c>
      <c r="H34" s="277" t="s">
        <v>134</v>
      </c>
      <c r="I34" s="286"/>
      <c r="J34" s="284"/>
    </row>
    <row r="35" spans="1:13" ht="13.5" hidden="1" x14ac:dyDescent="0.25">
      <c r="A35" s="279">
        <f>+A17</f>
        <v>0</v>
      </c>
      <c r="B35" s="285" t="str">
        <f>IFERROR(VLOOKUP(H35,[1]SEMIELABORADOS!$A$2:$M$6000,2,0),"")</f>
        <v/>
      </c>
      <c r="C35" s="280">
        <f>+A35</f>
        <v>0</v>
      </c>
      <c r="D35" s="281" t="str">
        <f>IFERROR(VLOOKUP(H35,[1]SEMIELABORADOS!$A$2:$M$6000,6,0),"")</f>
        <v/>
      </c>
      <c r="E35" s="281" t="str">
        <f>IFERROR(VLOOKUP(H35,[1]SEMIELABORADOS!$A$2:$M$65536,10,0),"")</f>
        <v/>
      </c>
      <c r="F35" s="281" t="str">
        <f>IFERROR(E35*C35,"")</f>
        <v/>
      </c>
      <c r="G35" s="282" t="str">
        <f t="shared" ref="G35:G41" si="9">IFERROR(F35/$F$66,"")</f>
        <v/>
      </c>
      <c r="H35" s="286"/>
      <c r="I35" s="286"/>
      <c r="J35" s="284"/>
    </row>
    <row r="36" spans="1:13" ht="13.5" hidden="1" x14ac:dyDescent="0.25">
      <c r="A36" s="279">
        <f t="shared" ref="A36:A41" si="10">+A18</f>
        <v>0</v>
      </c>
      <c r="B36" s="285" t="str">
        <f>IFERROR(VLOOKUP(H36,[1]SEMIELABORADOS!$A$2:$M$6000,2,0),"")</f>
        <v/>
      </c>
      <c r="C36" s="280">
        <f t="shared" ref="C36:C41" si="11">+A36</f>
        <v>0</v>
      </c>
      <c r="D36" s="281" t="str">
        <f>IFERROR(VLOOKUP(H36,[1]SEMIELABORADOS!$A$2:$M$6000,6,0),"")</f>
        <v/>
      </c>
      <c r="E36" s="281" t="str">
        <f>IFERROR(VLOOKUP(H36,[1]SEMIELABORADOS!$A$2:$M$65536,10,0),"")</f>
        <v/>
      </c>
      <c r="F36" s="281" t="str">
        <f t="shared" ref="F36:F41" si="12">IFERROR(E36*C36,"")</f>
        <v/>
      </c>
      <c r="G36" s="282" t="str">
        <f t="shared" si="9"/>
        <v/>
      </c>
      <c r="H36" s="286"/>
      <c r="I36" s="286"/>
      <c r="J36" s="284"/>
    </row>
    <row r="37" spans="1:13" ht="13.5" hidden="1" x14ac:dyDescent="0.25">
      <c r="A37" s="279">
        <f t="shared" si="10"/>
        <v>0</v>
      </c>
      <c r="B37" s="285" t="str">
        <f>IFERROR(VLOOKUP(H37,[1]SEMIELABORADOS!$A$2:$M$6000,2,0),"")</f>
        <v/>
      </c>
      <c r="C37" s="280">
        <f t="shared" si="11"/>
        <v>0</v>
      </c>
      <c r="D37" s="281" t="str">
        <f>IFERROR(VLOOKUP(H37,[1]SEMIELABORADOS!$A$2:$M$6000,6,0),"")</f>
        <v/>
      </c>
      <c r="E37" s="281" t="str">
        <f>IFERROR(VLOOKUP(H37,[1]SEMIELABORADOS!$A$2:$M$65536,10,0),"")</f>
        <v/>
      </c>
      <c r="F37" s="281" t="str">
        <f t="shared" si="12"/>
        <v/>
      </c>
      <c r="G37" s="282" t="str">
        <f t="shared" si="9"/>
        <v/>
      </c>
      <c r="H37" s="286"/>
      <c r="I37" s="286"/>
      <c r="J37" s="284"/>
    </row>
    <row r="38" spans="1:13" ht="13.5" hidden="1" x14ac:dyDescent="0.25">
      <c r="A38" s="279">
        <f t="shared" si="10"/>
        <v>0</v>
      </c>
      <c r="B38" s="285" t="str">
        <f>IFERROR(VLOOKUP(H38,[1]SEMIELABORADOS!$A$2:$M$6000,2,0),"")</f>
        <v/>
      </c>
      <c r="C38" s="280">
        <f>+A38</f>
        <v>0</v>
      </c>
      <c r="D38" s="281" t="str">
        <f>IFERROR(VLOOKUP(H38,[1]SEMIELABORADOS!$A$2:$M$6000,6,0),"")</f>
        <v/>
      </c>
      <c r="E38" s="281" t="str">
        <f>IFERROR(VLOOKUP(H38,[1]SEMIELABORADOS!$A$2:$M$65536,10,0),"")</f>
        <v/>
      </c>
      <c r="F38" s="281" t="str">
        <f>IFERROR(E38*C38,"")</f>
        <v/>
      </c>
      <c r="G38" s="282" t="str">
        <f t="shared" si="9"/>
        <v/>
      </c>
      <c r="H38" s="286"/>
      <c r="I38" s="286"/>
      <c r="J38" s="284"/>
    </row>
    <row r="39" spans="1:13" ht="13.5" hidden="1" x14ac:dyDescent="0.25">
      <c r="A39" s="279">
        <f t="shared" si="10"/>
        <v>0</v>
      </c>
      <c r="B39" s="285" t="str">
        <f>IFERROR(VLOOKUP(H39,[1]SEMIELABORADOS!$A$2:$M$6000,2,0),"")</f>
        <v/>
      </c>
      <c r="C39" s="280">
        <f>+A39</f>
        <v>0</v>
      </c>
      <c r="D39" s="281" t="str">
        <f>IFERROR(VLOOKUP(H39,[1]SEMIELABORADOS!$A$2:$M$6000,6,0),"")</f>
        <v/>
      </c>
      <c r="E39" s="281" t="str">
        <f>IFERROR(VLOOKUP(H39,[1]SEMIELABORADOS!$A$2:$M$65536,10,0),"")</f>
        <v/>
      </c>
      <c r="F39" s="281" t="str">
        <f>IFERROR(E39*C39,"")</f>
        <v/>
      </c>
      <c r="G39" s="282" t="str">
        <f t="shared" si="9"/>
        <v/>
      </c>
      <c r="H39" s="286"/>
      <c r="I39" s="286"/>
      <c r="J39" s="284"/>
    </row>
    <row r="40" spans="1:13" ht="13.5" hidden="1" x14ac:dyDescent="0.25">
      <c r="A40" s="279">
        <f t="shared" si="10"/>
        <v>0</v>
      </c>
      <c r="B40" s="285" t="str">
        <f>IFERROR(VLOOKUP(H40,[1]SEMIELABORADOS!$A$2:$M$6000,2,0),"")</f>
        <v/>
      </c>
      <c r="C40" s="280">
        <f t="shared" si="11"/>
        <v>0</v>
      </c>
      <c r="D40" s="281" t="str">
        <f>IFERROR(VLOOKUP(H40,[1]SEMIELABORADOS!$A$2:$M$6000,6,0),"")</f>
        <v/>
      </c>
      <c r="E40" s="281" t="str">
        <f>IFERROR(VLOOKUP(H40,[1]SEMIELABORADOS!$A$2:$M$65536,10,0),"")</f>
        <v/>
      </c>
      <c r="F40" s="281" t="str">
        <f t="shared" si="12"/>
        <v/>
      </c>
      <c r="G40" s="282" t="str">
        <f t="shared" si="9"/>
        <v/>
      </c>
      <c r="H40" s="286"/>
      <c r="I40" s="286"/>
      <c r="J40" s="284"/>
    </row>
    <row r="41" spans="1:13" ht="13.5" hidden="1" x14ac:dyDescent="0.25">
      <c r="A41" s="279">
        <f t="shared" si="10"/>
        <v>0</v>
      </c>
      <c r="B41" s="285" t="str">
        <f>IFERROR(VLOOKUP(H41,[1]SEMIELABORADOS!$A$2:$M$6000,2,0),"")</f>
        <v/>
      </c>
      <c r="C41" s="280">
        <f t="shared" si="11"/>
        <v>0</v>
      </c>
      <c r="D41" s="281" t="str">
        <f>IFERROR(VLOOKUP(H41,[1]SEMIELABORADOS!$A$2:$M$6000,6,0),"")</f>
        <v/>
      </c>
      <c r="E41" s="281" t="str">
        <f>IFERROR(VLOOKUP(H41,[1]SEMIELABORADOS!$A$2:$M$65536,10,0),"")</f>
        <v/>
      </c>
      <c r="F41" s="281" t="str">
        <f t="shared" si="12"/>
        <v/>
      </c>
      <c r="G41" s="282" t="str">
        <f t="shared" si="9"/>
        <v/>
      </c>
      <c r="H41" s="286"/>
      <c r="I41" s="286"/>
      <c r="J41" s="284"/>
    </row>
    <row r="42" spans="1:13" ht="14.25" hidden="1" thickBot="1" x14ac:dyDescent="0.3">
      <c r="A42" s="279"/>
      <c r="B42" s="285"/>
      <c r="C42" s="280"/>
      <c r="D42" s="281"/>
      <c r="E42" s="281"/>
      <c r="F42" s="281"/>
      <c r="G42" s="282"/>
      <c r="H42" s="286"/>
      <c r="I42" s="286"/>
      <c r="J42" s="284"/>
    </row>
    <row r="43" spans="1:13" ht="26.25" thickBot="1" x14ac:dyDescent="0.3">
      <c r="A43" s="274" t="s">
        <v>128</v>
      </c>
      <c r="B43" s="275" t="s">
        <v>137</v>
      </c>
      <c r="C43" s="275" t="s">
        <v>128</v>
      </c>
      <c r="D43" s="276" t="s">
        <v>130</v>
      </c>
      <c r="E43" s="276" t="s">
        <v>131</v>
      </c>
      <c r="F43" s="276" t="s">
        <v>132</v>
      </c>
      <c r="G43" s="276" t="s">
        <v>133</v>
      </c>
      <c r="H43" s="277" t="s">
        <v>134</v>
      </c>
      <c r="I43" s="278"/>
      <c r="J43" s="284"/>
    </row>
    <row r="44" spans="1:13" ht="13.5" hidden="1" x14ac:dyDescent="0.25">
      <c r="A44" s="279">
        <f>+A35</f>
        <v>0</v>
      </c>
      <c r="B44" s="285" t="str">
        <f>IFERROR(VLOOKUP(H44,[1]SEMIELABORADOS!$A$2:$M$6000,2,0),"")</f>
        <v/>
      </c>
      <c r="C44" s="280">
        <f>+A44</f>
        <v>0</v>
      </c>
      <c r="D44" s="281" t="str">
        <f>IFERROR(VLOOKUP(H44,[1]SEMIELABORADOS!$A$2:$M$6000,6,0),"")</f>
        <v/>
      </c>
      <c r="E44" s="281" t="str">
        <f>IFERROR(VLOOKUP(H44,[1]SEMIELABORADOS!$A$2:$M$65536,12,0),"")</f>
        <v/>
      </c>
      <c r="F44" s="281" t="str">
        <f>IFERROR(E44*C44,"")</f>
        <v/>
      </c>
      <c r="G44" s="282" t="str">
        <f>IFERROR(F44/$F$66,"")</f>
        <v/>
      </c>
      <c r="H44" s="286"/>
      <c r="I44" s="278"/>
      <c r="J44" s="284"/>
    </row>
    <row r="45" spans="1:13" ht="13.5" hidden="1" x14ac:dyDescent="0.25">
      <c r="A45" s="279">
        <f t="shared" ref="A45:A50" si="13">+A36</f>
        <v>0</v>
      </c>
      <c r="B45" s="285" t="str">
        <f>IFERROR(VLOOKUP(H45,[1]SEMIELABORADOS!$A$2:$M$6000,2,0),"")</f>
        <v/>
      </c>
      <c r="C45" s="280">
        <f t="shared" ref="C45:C50" si="14">+A45</f>
        <v>0</v>
      </c>
      <c r="D45" s="281" t="str">
        <f>IFERROR(VLOOKUP(H45,[1]SEMIELABORADOS!$A$2:$M$6000,6,0),"")</f>
        <v/>
      </c>
      <c r="E45" s="281" t="str">
        <f>IFERROR(VLOOKUP(H45,[1]SEMIELABORADOS!$A$2:$M$65536,12,0),"")</f>
        <v/>
      </c>
      <c r="F45" s="281" t="str">
        <f t="shared" ref="F45:F50" si="15">IFERROR(E45*C45,"")</f>
        <v/>
      </c>
      <c r="G45" s="282" t="str">
        <f t="shared" ref="G45:G50" si="16">IFERROR(F45/$F$66,"")</f>
        <v/>
      </c>
      <c r="H45" s="286"/>
      <c r="I45" s="278"/>
      <c r="J45" s="284"/>
      <c r="M45" s="289"/>
    </row>
    <row r="46" spans="1:13" ht="13.5" hidden="1" x14ac:dyDescent="0.25">
      <c r="A46" s="279">
        <f t="shared" si="13"/>
        <v>0</v>
      </c>
      <c r="B46" s="285" t="str">
        <f>IFERROR(VLOOKUP(H46,[1]SEMIELABORADOS!$A$2:$M$6000,2,0),"")</f>
        <v/>
      </c>
      <c r="C46" s="280">
        <f t="shared" si="14"/>
        <v>0</v>
      </c>
      <c r="D46" s="281" t="str">
        <f>IFERROR(VLOOKUP(H46,[1]SEMIELABORADOS!$A$2:$M$6000,6,0),"")</f>
        <v/>
      </c>
      <c r="E46" s="281" t="str">
        <f>IFERROR(VLOOKUP(H46,[1]SEMIELABORADOS!$A$2:$M$65536,12,0),"")</f>
        <v/>
      </c>
      <c r="F46" s="281" t="str">
        <f t="shared" si="15"/>
        <v/>
      </c>
      <c r="G46" s="282" t="str">
        <f t="shared" si="16"/>
        <v/>
      </c>
      <c r="H46" s="286"/>
      <c r="I46" s="278"/>
      <c r="J46" s="284"/>
    </row>
    <row r="47" spans="1:13" ht="13.5" hidden="1" x14ac:dyDescent="0.25">
      <c r="A47" s="279">
        <f t="shared" si="13"/>
        <v>0</v>
      </c>
      <c r="B47" s="285" t="str">
        <f>IFERROR(VLOOKUP(H47,[1]SEMIELABORADOS!$A$2:$M$6000,2,0),"")</f>
        <v/>
      </c>
      <c r="C47" s="280">
        <f t="shared" si="14"/>
        <v>0</v>
      </c>
      <c r="D47" s="281" t="str">
        <f>IFERROR(VLOOKUP(H47,[1]SEMIELABORADOS!$A$2:$M$6000,6,0),"")</f>
        <v/>
      </c>
      <c r="E47" s="281" t="str">
        <f>IFERROR(VLOOKUP(H47,[1]SEMIELABORADOS!$A$2:$M$65536,12,0),"")</f>
        <v/>
      </c>
      <c r="F47" s="281" t="str">
        <f t="shared" si="15"/>
        <v/>
      </c>
      <c r="G47" s="282" t="str">
        <f t="shared" si="16"/>
        <v/>
      </c>
      <c r="H47" s="286"/>
      <c r="I47" s="278"/>
      <c r="J47" s="284"/>
    </row>
    <row r="48" spans="1:13" ht="13.5" hidden="1" x14ac:dyDescent="0.25">
      <c r="A48" s="279">
        <f t="shared" si="13"/>
        <v>0</v>
      </c>
      <c r="B48" s="285" t="str">
        <f>IFERROR(VLOOKUP(H48,[1]SEMIELABORADOS!$A$2:$M$6000,2,0),"")</f>
        <v/>
      </c>
      <c r="C48" s="280">
        <f t="shared" si="14"/>
        <v>0</v>
      </c>
      <c r="D48" s="281" t="str">
        <f>IFERROR(VLOOKUP(H48,[1]SEMIELABORADOS!$A$2:$M$6000,6,0),"")</f>
        <v/>
      </c>
      <c r="E48" s="281" t="str">
        <f>IFERROR(VLOOKUP(H48,[1]SEMIELABORADOS!$A$2:$M$65536,12,0),"")</f>
        <v/>
      </c>
      <c r="F48" s="281" t="str">
        <f t="shared" si="15"/>
        <v/>
      </c>
      <c r="G48" s="282" t="str">
        <f t="shared" si="16"/>
        <v/>
      </c>
      <c r="H48" s="286"/>
      <c r="I48" s="278"/>
      <c r="J48" s="284"/>
    </row>
    <row r="49" spans="1:17" ht="13.5" hidden="1" x14ac:dyDescent="0.25">
      <c r="A49" s="279">
        <f t="shared" si="13"/>
        <v>0</v>
      </c>
      <c r="B49" s="285" t="str">
        <f>IFERROR(VLOOKUP(H49,[1]SEMIELABORADOS!$A$2:$M$6000,2,0),"")</f>
        <v/>
      </c>
      <c r="C49" s="280">
        <f t="shared" si="14"/>
        <v>0</v>
      </c>
      <c r="D49" s="281" t="str">
        <f>IFERROR(VLOOKUP(H49,[1]SEMIELABORADOS!$A$2:$M$6000,6,0),"")</f>
        <v/>
      </c>
      <c r="E49" s="281" t="str">
        <f>IFERROR(VLOOKUP(H49,[1]SEMIELABORADOS!$A$2:$M$65536,12,0),"")</f>
        <v/>
      </c>
      <c r="F49" s="281" t="str">
        <f t="shared" si="15"/>
        <v/>
      </c>
      <c r="G49" s="282" t="str">
        <f t="shared" si="16"/>
        <v/>
      </c>
      <c r="H49" s="286"/>
      <c r="I49" s="278"/>
      <c r="J49" s="284"/>
    </row>
    <row r="50" spans="1:17" ht="13.5" hidden="1" x14ac:dyDescent="0.25">
      <c r="A50" s="279">
        <f t="shared" si="13"/>
        <v>0</v>
      </c>
      <c r="B50" s="285" t="str">
        <f>IFERROR(VLOOKUP(H50,[1]SEMIELABORADOS!$A$2:$M$6000,2,0),"")</f>
        <v/>
      </c>
      <c r="C50" s="280">
        <f t="shared" si="14"/>
        <v>0</v>
      </c>
      <c r="D50" s="281" t="str">
        <f>IFERROR(VLOOKUP(H50,[1]SEMIELABORADOS!$A$2:$M$6000,6,0),"")</f>
        <v/>
      </c>
      <c r="E50" s="281" t="str">
        <f>IFERROR(VLOOKUP(H50,[1]SEMIELABORADOS!$A$2:$M$65536,12,0),"")</f>
        <v/>
      </c>
      <c r="F50" s="281" t="str">
        <f t="shared" si="15"/>
        <v/>
      </c>
      <c r="G50" s="282" t="str">
        <f t="shared" si="16"/>
        <v/>
      </c>
      <c r="H50" s="285"/>
      <c r="I50" s="278"/>
      <c r="J50" s="284"/>
    </row>
    <row r="51" spans="1:17" ht="13.5" x14ac:dyDescent="0.25">
      <c r="A51" s="279">
        <v>1</v>
      </c>
      <c r="B51" s="285" t="s">
        <v>138</v>
      </c>
      <c r="C51" s="280">
        <f>+A51</f>
        <v>1</v>
      </c>
      <c r="D51" s="280" t="s">
        <v>139</v>
      </c>
      <c r="E51" s="281">
        <f>+F65</f>
        <v>770</v>
      </c>
      <c r="F51" s="281">
        <f>IFERROR(C51*E51,"")</f>
        <v>770</v>
      </c>
      <c r="G51" s="282">
        <f>IFERROR(F51/$F$66,"")</f>
        <v>2.4548877316874024E-2</v>
      </c>
      <c r="H51" s="290"/>
      <c r="I51" s="290"/>
      <c r="J51" s="284"/>
    </row>
    <row r="52" spans="1:17" ht="14.25" thickBot="1" x14ac:dyDescent="0.3">
      <c r="A52" s="279"/>
      <c r="B52" s="285"/>
      <c r="C52" s="280"/>
      <c r="D52" s="280"/>
      <c r="E52" s="281"/>
      <c r="F52" s="281"/>
      <c r="G52" s="282"/>
      <c r="H52" s="290"/>
      <c r="I52" s="290"/>
      <c r="J52" s="284"/>
    </row>
    <row r="53" spans="1:17" ht="13.5" thickBot="1" x14ac:dyDescent="0.3">
      <c r="A53" s="291"/>
      <c r="B53" s="890" t="s">
        <v>140</v>
      </c>
      <c r="C53" s="890"/>
      <c r="D53" s="890"/>
      <c r="E53" s="890"/>
      <c r="F53" s="293">
        <f>SUM(F8:F14,F17:F24)</f>
        <v>29996.074999999997</v>
      </c>
      <c r="G53" s="282">
        <f>+F53/$F$66</f>
        <v>0.95632463008149604</v>
      </c>
      <c r="H53" s="294">
        <f>+F53/$D$60</f>
        <v>29996.074999999997</v>
      </c>
      <c r="I53" s="294"/>
      <c r="J53" s="295"/>
      <c r="K53" s="296"/>
      <c r="L53" s="296"/>
      <c r="M53" s="296"/>
      <c r="N53" s="296"/>
      <c r="O53" s="296"/>
      <c r="P53" s="296"/>
      <c r="Q53" s="297"/>
    </row>
    <row r="54" spans="1:17" x14ac:dyDescent="0.2">
      <c r="A54" s="291"/>
      <c r="B54" s="890" t="s">
        <v>141</v>
      </c>
      <c r="C54" s="890"/>
      <c r="D54" s="890"/>
      <c r="E54" s="890"/>
      <c r="F54" s="293">
        <f>SUM(F27:F32,F35:F41)</f>
        <v>0</v>
      </c>
      <c r="G54" s="282">
        <f>+F54/$F$66</f>
        <v>0</v>
      </c>
      <c r="H54" s="294">
        <f>+F54/$D$60</f>
        <v>0</v>
      </c>
      <c r="I54" s="294"/>
      <c r="J54" s="298"/>
      <c r="K54" s="891" t="s">
        <v>142</v>
      </c>
      <c r="L54" s="892"/>
      <c r="M54" s="892"/>
      <c r="N54" s="892"/>
      <c r="O54" s="299">
        <f>+F55</f>
        <v>29996.074999999997</v>
      </c>
      <c r="P54" s="299"/>
      <c r="Q54" s="300"/>
    </row>
    <row r="55" spans="1:17" x14ac:dyDescent="0.2">
      <c r="A55" s="291"/>
      <c r="B55" s="890" t="s">
        <v>143</v>
      </c>
      <c r="C55" s="890"/>
      <c r="D55" s="890"/>
      <c r="E55" s="890"/>
      <c r="F55" s="293">
        <f>+F53+F54</f>
        <v>29996.074999999997</v>
      </c>
      <c r="G55" s="282">
        <f>+F55/$F$66</f>
        <v>0.95632463008149604</v>
      </c>
      <c r="H55" s="294">
        <f>+F55/$D$60</f>
        <v>29996.074999999997</v>
      </c>
      <c r="I55" s="294"/>
      <c r="J55" s="301"/>
      <c r="K55" s="302"/>
      <c r="M55" s="303" t="s">
        <v>144</v>
      </c>
      <c r="N55" s="304"/>
      <c r="O55" s="299">
        <f>+H56</f>
        <v>770</v>
      </c>
      <c r="P55" s="299"/>
      <c r="Q55" s="300"/>
    </row>
    <row r="56" spans="1:17" ht="13.5" thickBot="1" x14ac:dyDescent="0.25">
      <c r="A56" s="291"/>
      <c r="B56" s="292"/>
      <c r="C56" s="890" t="s">
        <v>145</v>
      </c>
      <c r="D56" s="890"/>
      <c r="E56" s="890"/>
      <c r="F56" s="293">
        <f>SUM(F44:F51)</f>
        <v>770</v>
      </c>
      <c r="G56" s="282">
        <f>+F56/$F$66</f>
        <v>2.4548877316874024E-2</v>
      </c>
      <c r="H56" s="294">
        <f>+F56/$D$60</f>
        <v>770</v>
      </c>
      <c r="I56" s="294"/>
      <c r="J56" s="301"/>
      <c r="K56" s="302"/>
      <c r="L56" s="302"/>
      <c r="M56" s="302" t="s">
        <v>146</v>
      </c>
      <c r="N56" s="305"/>
      <c r="O56" s="299">
        <f>O54*N56</f>
        <v>0</v>
      </c>
      <c r="P56" s="299"/>
      <c r="Q56" s="300"/>
    </row>
    <row r="57" spans="1:17" ht="13.5" thickBot="1" x14ac:dyDescent="0.25">
      <c r="A57" s="291"/>
      <c r="B57" s="306"/>
      <c r="C57" s="306"/>
      <c r="D57" s="306"/>
      <c r="E57" s="306"/>
      <c r="F57" s="307"/>
      <c r="G57" s="282"/>
      <c r="H57" s="308"/>
      <c r="I57" s="294"/>
      <c r="J57" s="301"/>
      <c r="K57" s="309"/>
      <c r="M57" s="310" t="s">
        <v>147</v>
      </c>
      <c r="N57" s="311"/>
      <c r="O57" s="312">
        <f>SUM(O54:O56)</f>
        <v>30766.074999999997</v>
      </c>
      <c r="P57" s="313"/>
      <c r="Q57" s="300"/>
    </row>
    <row r="58" spans="1:17" x14ac:dyDescent="0.2">
      <c r="B58" s="893" t="s">
        <v>148</v>
      </c>
      <c r="C58" s="893"/>
      <c r="D58" s="314">
        <v>5000</v>
      </c>
      <c r="E58" s="315"/>
      <c r="G58" s="282"/>
      <c r="H58" s="308">
        <f>+H56/77</f>
        <v>10</v>
      </c>
      <c r="I58" s="316"/>
      <c r="J58" s="301"/>
      <c r="K58" s="309"/>
      <c r="L58" s="302"/>
      <c r="M58" s="302" t="s">
        <v>149</v>
      </c>
      <c r="N58" s="317"/>
      <c r="O58" s="299">
        <f>+H59</f>
        <v>830</v>
      </c>
      <c r="P58" s="299"/>
      <c r="Q58" s="300"/>
    </row>
    <row r="59" spans="1:17" x14ac:dyDescent="0.2">
      <c r="B59" s="893" t="s">
        <v>150</v>
      </c>
      <c r="C59" s="893"/>
      <c r="D59" s="318">
        <v>5000</v>
      </c>
      <c r="E59" s="315"/>
      <c r="G59" s="282"/>
      <c r="H59" s="308">
        <f>+H58*83</f>
        <v>830</v>
      </c>
      <c r="I59" s="316"/>
      <c r="J59" s="301"/>
      <c r="K59" s="309"/>
      <c r="L59" s="302"/>
      <c r="M59" s="894" t="s">
        <v>147</v>
      </c>
      <c r="N59" s="894"/>
      <c r="O59" s="299">
        <f>SUM(O57:O58)</f>
        <v>31596.074999999997</v>
      </c>
      <c r="P59" s="299"/>
      <c r="Q59" s="300"/>
    </row>
    <row r="60" spans="1:17" ht="13.5" thickBot="1" x14ac:dyDescent="0.25">
      <c r="B60" s="885" t="s">
        <v>151</v>
      </c>
      <c r="C60" s="885"/>
      <c r="D60" s="314">
        <f>+D58/D59</f>
        <v>1</v>
      </c>
      <c r="E60" s="315"/>
      <c r="F60" s="319"/>
      <c r="G60" s="282"/>
      <c r="H60" s="308"/>
      <c r="I60" s="316"/>
      <c r="J60" s="301"/>
      <c r="K60" s="309"/>
      <c r="L60" s="894"/>
      <c r="M60" s="894"/>
      <c r="N60" s="317"/>
      <c r="O60" s="299">
        <f>+O59*N60</f>
        <v>0</v>
      </c>
      <c r="P60" s="299"/>
      <c r="Q60" s="300"/>
    </row>
    <row r="61" spans="1:17" ht="13.5" thickBot="1" x14ac:dyDescent="0.25">
      <c r="B61" s="885" t="s">
        <v>152</v>
      </c>
      <c r="C61" s="885"/>
      <c r="D61" s="320"/>
      <c r="E61" s="315"/>
      <c r="F61" s="319"/>
      <c r="G61" s="282"/>
      <c r="H61" s="308"/>
      <c r="I61" s="316"/>
      <c r="J61" s="301"/>
      <c r="K61" s="886" t="s">
        <v>153</v>
      </c>
      <c r="L61" s="887"/>
      <c r="M61" s="887"/>
      <c r="N61" s="888"/>
      <c r="O61" s="312">
        <f>SUM(O59:O60)</f>
        <v>31596.074999999997</v>
      </c>
      <c r="P61" s="321" t="s">
        <v>154</v>
      </c>
      <c r="Q61" s="300"/>
    </row>
    <row r="62" spans="1:17" ht="13.5" thickBot="1" x14ac:dyDescent="0.25">
      <c r="C62" s="291" t="s">
        <v>155</v>
      </c>
      <c r="D62" s="322"/>
      <c r="E62" s="265" t="s">
        <v>156</v>
      </c>
      <c r="F62" s="323" t="s">
        <v>157</v>
      </c>
      <c r="G62" s="282"/>
      <c r="H62" s="308"/>
      <c r="I62" s="316"/>
      <c r="J62" s="324"/>
      <c r="K62" s="325"/>
      <c r="L62" s="874" t="s">
        <v>158</v>
      </c>
      <c r="M62" s="874"/>
      <c r="N62" s="874"/>
      <c r="O62" s="326">
        <f>+O61/D60</f>
        <v>31596.074999999997</v>
      </c>
      <c r="P62" s="327">
        <f>+O62/D59</f>
        <v>6.3192149999999998</v>
      </c>
      <c r="Q62" s="328"/>
    </row>
    <row r="63" spans="1:17" ht="13.5" thickBot="1" x14ac:dyDescent="0.25">
      <c r="B63" s="875" t="s">
        <v>143</v>
      </c>
      <c r="C63" s="875"/>
      <c r="D63" s="875"/>
      <c r="E63" s="329">
        <f>+F63/F63</f>
        <v>1</v>
      </c>
      <c r="F63" s="330">
        <f>SUM(F55)</f>
        <v>29996.074999999997</v>
      </c>
      <c r="G63" s="282">
        <f>+F63/$F$66</f>
        <v>0.95632463008149604</v>
      </c>
      <c r="H63" s="308"/>
      <c r="I63" s="316"/>
      <c r="K63" s="876"/>
      <c r="L63" s="877"/>
      <c r="M63" s="877"/>
      <c r="N63" s="877"/>
      <c r="O63" s="331"/>
      <c r="P63" s="332"/>
    </row>
    <row r="64" spans="1:17" ht="13.5" thickBot="1" x14ac:dyDescent="0.3">
      <c r="B64" s="878" t="s">
        <v>159</v>
      </c>
      <c r="C64" s="878"/>
      <c r="D64" s="878"/>
      <c r="E64" s="333">
        <v>0.02</v>
      </c>
      <c r="F64" s="330">
        <f>+F53*E64</f>
        <v>599.92149999999992</v>
      </c>
      <c r="G64" s="282">
        <f>+F64/$F$66</f>
        <v>1.9126492601629921E-2</v>
      </c>
      <c r="H64" s="294"/>
      <c r="I64" s="316"/>
      <c r="J64" s="334"/>
      <c r="O64" s="335"/>
      <c r="P64" s="292"/>
    </row>
    <row r="65" spans="2:13" ht="13.5" thickBot="1" x14ac:dyDescent="0.3">
      <c r="B65" s="879" t="s">
        <v>160</v>
      </c>
      <c r="C65" s="880"/>
      <c r="D65" s="336">
        <v>10</v>
      </c>
      <c r="E65" s="337">
        <v>77</v>
      </c>
      <c r="F65" s="330">
        <f>+E65*D65</f>
        <v>770</v>
      </c>
      <c r="G65" s="282">
        <f>+F65/$F$66</f>
        <v>2.4548877316874024E-2</v>
      </c>
      <c r="H65" s="294"/>
      <c r="I65" s="294"/>
      <c r="J65" s="284"/>
    </row>
    <row r="66" spans="2:13" ht="13.5" thickBot="1" x14ac:dyDescent="0.3">
      <c r="B66" s="881" t="s">
        <v>161</v>
      </c>
      <c r="C66" s="882"/>
      <c r="D66" s="882"/>
      <c r="E66" s="883"/>
      <c r="F66" s="307">
        <f>SUM(F63:F65)</f>
        <v>31365.996499999997</v>
      </c>
      <c r="G66" s="282">
        <f>+F66/$F$66</f>
        <v>1</v>
      </c>
      <c r="H66" s="884"/>
      <c r="I66" s="294"/>
      <c r="J66" s="284"/>
      <c r="M66" s="267" t="s">
        <v>162</v>
      </c>
    </row>
    <row r="67" spans="2:13" x14ac:dyDescent="0.25">
      <c r="C67" s="289"/>
      <c r="D67" s="289"/>
      <c r="E67" s="339"/>
      <c r="F67" s="330"/>
      <c r="G67" s="282"/>
      <c r="H67" s="884"/>
      <c r="I67" s="338"/>
      <c r="J67" s="267"/>
      <c r="M67" s="267" t="s">
        <v>163</v>
      </c>
    </row>
    <row r="68" spans="2:13" ht="13.5" thickBot="1" x14ac:dyDescent="0.3">
      <c r="B68" s="869" t="s">
        <v>164</v>
      </c>
      <c r="C68" s="869"/>
      <c r="D68" s="869"/>
      <c r="E68" s="869"/>
      <c r="F68" s="869"/>
      <c r="G68" s="282"/>
      <c r="H68" s="341"/>
      <c r="I68" s="338"/>
      <c r="J68" s="267"/>
      <c r="M68" s="267" t="s">
        <v>165</v>
      </c>
    </row>
    <row r="69" spans="2:13" ht="13.5" thickBot="1" x14ac:dyDescent="0.3">
      <c r="B69" s="342" t="s">
        <v>166</v>
      </c>
      <c r="C69" s="343">
        <f>+F53</f>
        <v>29996.074999999997</v>
      </c>
      <c r="D69" s="343">
        <f>+D58</f>
        <v>5000</v>
      </c>
      <c r="E69" s="344">
        <f>+C69/D69</f>
        <v>5.9992149999999995</v>
      </c>
      <c r="F69" s="282"/>
      <c r="G69" s="341"/>
      <c r="H69" s="284"/>
      <c r="I69" s="341"/>
      <c r="J69" s="267"/>
    </row>
    <row r="70" spans="2:13" x14ac:dyDescent="0.25">
      <c r="B70" s="345"/>
      <c r="C70" s="346"/>
      <c r="D70" s="347"/>
      <c r="E70" s="330"/>
      <c r="F70" s="282"/>
      <c r="G70" s="341"/>
      <c r="H70" s="284"/>
      <c r="I70" s="284"/>
      <c r="J70" s="267"/>
    </row>
    <row r="71" spans="2:13" x14ac:dyDescent="0.25">
      <c r="B71" s="342" t="s">
        <v>167</v>
      </c>
      <c r="C71" s="343">
        <f>SUM(F63:F64)</f>
        <v>30595.996499999997</v>
      </c>
      <c r="D71" s="343">
        <f>+D58</f>
        <v>5000</v>
      </c>
      <c r="E71" s="348">
        <f>+C71/D71</f>
        <v>6.1191992999999991</v>
      </c>
      <c r="F71" s="282"/>
      <c r="G71" s="341"/>
      <c r="H71" s="284"/>
      <c r="I71" s="284"/>
      <c r="J71" s="267"/>
    </row>
    <row r="72" spans="2:13" x14ac:dyDescent="0.25">
      <c r="B72" s="342"/>
      <c r="C72" s="343"/>
      <c r="D72" s="343"/>
      <c r="E72" s="348"/>
      <c r="F72" s="282"/>
      <c r="G72" s="341"/>
      <c r="H72" s="284"/>
      <c r="I72" s="284"/>
      <c r="J72" s="267"/>
    </row>
    <row r="73" spans="2:13" ht="13.5" thickBot="1" x14ac:dyDescent="0.3">
      <c r="B73" s="342" t="s">
        <v>168</v>
      </c>
      <c r="C73" s="343">
        <f>+F65</f>
        <v>770</v>
      </c>
      <c r="D73" s="343">
        <f>+D58</f>
        <v>5000</v>
      </c>
      <c r="E73" s="348">
        <f>+C73/D73</f>
        <v>0.154</v>
      </c>
      <c r="F73" s="282"/>
      <c r="G73" s="341"/>
      <c r="H73" s="284"/>
      <c r="I73" s="284"/>
      <c r="J73" s="267"/>
    </row>
    <row r="74" spans="2:13" ht="13.5" thickBot="1" x14ac:dyDescent="0.3">
      <c r="B74" s="342" t="s">
        <v>169</v>
      </c>
      <c r="C74" s="343">
        <f>+F56</f>
        <v>770</v>
      </c>
      <c r="D74" s="343">
        <f>+D73</f>
        <v>5000</v>
      </c>
      <c r="E74" s="344">
        <f>+C74/D74</f>
        <v>0.154</v>
      </c>
      <c r="F74" s="282"/>
      <c r="G74" s="341"/>
      <c r="H74" s="284"/>
      <c r="I74" s="284"/>
      <c r="J74" s="267"/>
    </row>
    <row r="75" spans="2:13" ht="13.5" thickBot="1" x14ac:dyDescent="0.3">
      <c r="B75" s="306"/>
      <c r="C75" s="307"/>
      <c r="D75" s="307"/>
      <c r="E75" s="348"/>
      <c r="F75" s="282"/>
      <c r="G75" s="341"/>
      <c r="H75" s="284"/>
      <c r="I75" s="284"/>
      <c r="J75" s="267"/>
    </row>
    <row r="76" spans="2:13" ht="13.5" thickBot="1" x14ac:dyDescent="0.3">
      <c r="B76" s="342" t="s">
        <v>170</v>
      </c>
      <c r="C76" s="343">
        <f>+F54</f>
        <v>0</v>
      </c>
      <c r="D76" s="343">
        <f>+D74</f>
        <v>5000</v>
      </c>
      <c r="E76" s="344">
        <f>+C76/D76</f>
        <v>0</v>
      </c>
      <c r="F76" s="282"/>
      <c r="G76" s="341"/>
      <c r="H76" s="284"/>
      <c r="I76" s="284"/>
      <c r="J76" s="284"/>
    </row>
    <row r="77" spans="2:13" ht="13.5" thickBot="1" x14ac:dyDescent="0.3">
      <c r="B77" s="306"/>
      <c r="C77" s="307"/>
      <c r="D77" s="307"/>
      <c r="E77" s="348"/>
      <c r="F77" s="282"/>
      <c r="G77" s="341"/>
      <c r="H77" s="284"/>
      <c r="I77" s="284"/>
    </row>
    <row r="78" spans="2:13" ht="13.5" thickBot="1" x14ac:dyDescent="0.3">
      <c r="B78" s="870" t="s">
        <v>171</v>
      </c>
      <c r="C78" s="871"/>
      <c r="D78" s="872"/>
      <c r="E78" s="344">
        <f>+E69+E74</f>
        <v>6.1532149999999994</v>
      </c>
      <c r="G78" s="282"/>
      <c r="H78" s="341"/>
      <c r="I78" s="284"/>
      <c r="J78" s="348"/>
    </row>
    <row r="79" spans="2:13" x14ac:dyDescent="0.25">
      <c r="I79" s="341"/>
      <c r="J79" s="267"/>
    </row>
    <row r="80" spans="2:13" ht="13.5" thickBot="1" x14ac:dyDescent="0.3">
      <c r="B80" s="869" t="s">
        <v>172</v>
      </c>
      <c r="C80" s="869"/>
      <c r="D80" s="869"/>
      <c r="E80" s="869"/>
      <c r="F80" s="869"/>
      <c r="G80" s="282"/>
      <c r="H80" s="341"/>
      <c r="J80" s="267"/>
    </row>
    <row r="81" spans="1:10" ht="13.5" thickBot="1" x14ac:dyDescent="0.3">
      <c r="B81" s="342" t="s">
        <v>166</v>
      </c>
      <c r="C81" s="343">
        <f>+C69</f>
        <v>29996.074999999997</v>
      </c>
      <c r="D81" s="343">
        <f>+D60</f>
        <v>1</v>
      </c>
      <c r="E81" s="344">
        <f>+C81/D81</f>
        <v>29996.074999999997</v>
      </c>
      <c r="F81" s="282"/>
      <c r="G81" s="341"/>
      <c r="H81" s="284"/>
      <c r="I81" s="341"/>
      <c r="J81" s="267"/>
    </row>
    <row r="82" spans="1:10" x14ac:dyDescent="0.25">
      <c r="B82" s="345"/>
      <c r="C82" s="346"/>
      <c r="D82" s="347"/>
      <c r="E82" s="330"/>
      <c r="F82" s="282"/>
      <c r="G82" s="341"/>
      <c r="H82" s="284"/>
      <c r="I82" s="284"/>
      <c r="J82" s="267"/>
    </row>
    <row r="83" spans="1:10" x14ac:dyDescent="0.25">
      <c r="B83" s="342" t="s">
        <v>167</v>
      </c>
      <c r="C83" s="343">
        <f>+C71</f>
        <v>30595.996499999997</v>
      </c>
      <c r="D83" s="343">
        <f>+D60</f>
        <v>1</v>
      </c>
      <c r="E83" s="348">
        <f>+C83/D83</f>
        <v>30595.996499999997</v>
      </c>
      <c r="F83" s="282"/>
      <c r="G83" s="341"/>
      <c r="H83" s="284"/>
      <c r="I83" s="284"/>
      <c r="J83" s="267"/>
    </row>
    <row r="84" spans="1:10" x14ac:dyDescent="0.25">
      <c r="B84" s="342"/>
      <c r="C84" s="343"/>
      <c r="D84" s="343"/>
      <c r="E84" s="348"/>
      <c r="F84" s="282"/>
      <c r="G84" s="341"/>
      <c r="H84" s="284"/>
      <c r="I84" s="284"/>
      <c r="J84" s="267"/>
    </row>
    <row r="85" spans="1:10" ht="13.5" thickBot="1" x14ac:dyDescent="0.3">
      <c r="B85" s="342" t="s">
        <v>169</v>
      </c>
      <c r="C85" s="343">
        <f>+C73</f>
        <v>770</v>
      </c>
      <c r="D85" s="343">
        <f>+D60</f>
        <v>1</v>
      </c>
      <c r="E85" s="348">
        <f>+C85/D85</f>
        <v>770</v>
      </c>
      <c r="F85" s="350"/>
      <c r="G85" s="340"/>
      <c r="H85" s="266"/>
      <c r="I85" s="284"/>
    </row>
    <row r="86" spans="1:10" ht="13.5" thickBot="1" x14ac:dyDescent="0.3">
      <c r="B86" s="342" t="s">
        <v>169</v>
      </c>
      <c r="C86" s="343">
        <f>+C74</f>
        <v>770</v>
      </c>
      <c r="D86" s="343">
        <f>+D85</f>
        <v>1</v>
      </c>
      <c r="E86" s="344">
        <f>+C86/D86</f>
        <v>770</v>
      </c>
      <c r="F86" s="349"/>
      <c r="G86" s="340"/>
      <c r="H86" s="266"/>
      <c r="I86" s="266"/>
    </row>
    <row r="87" spans="1:10" x14ac:dyDescent="0.25">
      <c r="I87" s="266"/>
    </row>
    <row r="88" spans="1:10" x14ac:dyDescent="0.2">
      <c r="A88" s="873"/>
      <c r="B88" s="873"/>
      <c r="C88" s="351"/>
      <c r="D88" s="351"/>
      <c r="E88" s="352"/>
      <c r="G88" s="353"/>
    </row>
    <row r="89" spans="1:10" x14ac:dyDescent="0.2">
      <c r="A89" s="285"/>
      <c r="B89" s="354"/>
      <c r="C89" s="355"/>
      <c r="D89" s="355"/>
      <c r="E89" s="356"/>
      <c r="G89" s="353"/>
    </row>
    <row r="90" spans="1:10" x14ac:dyDescent="0.2">
      <c r="A90" s="285"/>
      <c r="B90" s="354"/>
      <c r="C90" s="357"/>
      <c r="D90" s="357"/>
      <c r="E90" s="285"/>
      <c r="G90" s="353"/>
    </row>
    <row r="91" spans="1:10" x14ac:dyDescent="0.2">
      <c r="A91" s="285"/>
      <c r="B91" s="354"/>
      <c r="C91" s="358"/>
      <c r="D91" s="358"/>
      <c r="E91" s="285"/>
      <c r="G91" s="35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2A97-5828-4C74-9864-EAC7399D101F}">
  <dimension ref="A1:Q91"/>
  <sheetViews>
    <sheetView workbookViewId="0">
      <selection activeCell="E17" sqref="E17"/>
    </sheetView>
  </sheetViews>
  <sheetFormatPr baseColWidth="10" defaultColWidth="8.42578125" defaultRowHeight="12.75" x14ac:dyDescent="0.25"/>
  <cols>
    <col min="1" max="1" width="10" style="267" bestFit="1" customWidth="1"/>
    <col min="2" max="2" width="44.28515625" style="267" bestFit="1" customWidth="1"/>
    <col min="3" max="3" width="10.42578125" style="267" bestFit="1" customWidth="1"/>
    <col min="4" max="4" width="10.42578125" style="267" customWidth="1"/>
    <col min="5" max="5" width="11" style="267" customWidth="1"/>
    <col min="6" max="6" width="9.5703125" style="267" bestFit="1" customWidth="1"/>
    <col min="7" max="7" width="10.85546875" style="349" customWidth="1"/>
    <col min="8" max="8" width="10.42578125" style="340" bestFit="1" customWidth="1"/>
    <col min="9" max="9" width="4.5703125" style="340" customWidth="1"/>
    <col min="10" max="10" width="1.85546875" style="266" customWidth="1"/>
    <col min="11" max="11" width="7" style="267" bestFit="1" customWidth="1"/>
    <col min="12" max="12" width="6.28515625" style="267" customWidth="1"/>
    <col min="13" max="13" width="20.42578125" style="267" customWidth="1"/>
    <col min="14" max="14" width="6.42578125" style="267" bestFit="1" customWidth="1"/>
    <col min="15" max="16" width="8.42578125" style="267"/>
    <col min="17" max="17" width="3.28515625" style="267" customWidth="1"/>
    <col min="18" max="16384" width="8.42578125" style="267"/>
  </cols>
  <sheetData>
    <row r="1" spans="1:10" ht="27.75" customHeight="1" x14ac:dyDescent="0.25">
      <c r="A1" s="262"/>
      <c r="B1" s="262"/>
      <c r="C1" s="262"/>
      <c r="D1" s="262"/>
      <c r="E1" s="263" t="s">
        <v>122</v>
      </c>
      <c r="F1" s="264" t="s">
        <v>123</v>
      </c>
      <c r="G1" s="264" t="s">
        <v>124</v>
      </c>
      <c r="H1" s="264" t="s">
        <v>125</v>
      </c>
      <c r="I1" s="265"/>
    </row>
    <row r="2" spans="1:10" ht="30.75" customHeight="1" x14ac:dyDescent="0.25">
      <c r="A2" s="262"/>
      <c r="B2" s="262"/>
      <c r="C2" s="262"/>
      <c r="D2" s="262"/>
      <c r="E2" s="268">
        <f>IFERROR(O62,"")</f>
        <v>31774.254999999997</v>
      </c>
      <c r="F2" s="268">
        <f>IFERROR(H53,"")</f>
        <v>29996.074999999997</v>
      </c>
      <c r="G2" s="268">
        <f>IFERROR(H54,"")</f>
        <v>18.18</v>
      </c>
      <c r="H2" s="268">
        <f>IFERROR(H56,"")</f>
        <v>847</v>
      </c>
      <c r="I2" s="269"/>
    </row>
    <row r="3" spans="1:10" ht="15" customHeight="1" x14ac:dyDescent="0.25">
      <c r="A3" s="262"/>
      <c r="B3" s="262"/>
      <c r="C3" s="262"/>
      <c r="D3" s="262"/>
      <c r="E3" s="262"/>
      <c r="F3" s="270"/>
      <c r="G3" s="270"/>
      <c r="H3" s="270"/>
      <c r="I3" s="270"/>
    </row>
    <row r="4" spans="1:10" ht="24.75" customHeight="1" thickBot="1" x14ac:dyDescent="0.3">
      <c r="A4" s="895"/>
      <c r="B4" s="895"/>
      <c r="C4" s="895"/>
      <c r="D4" s="895"/>
      <c r="E4" s="895"/>
      <c r="F4" s="895"/>
      <c r="G4" s="895"/>
      <c r="H4" s="895"/>
      <c r="I4" s="271"/>
    </row>
    <row r="5" spans="1:10" ht="19.5" customHeight="1" thickBot="1" x14ac:dyDescent="0.3">
      <c r="A5" s="896" t="s">
        <v>126</v>
      </c>
      <c r="B5" s="897"/>
      <c r="C5" s="897"/>
      <c r="D5" s="897"/>
      <c r="E5" s="897"/>
      <c r="F5" s="897"/>
      <c r="G5" s="897"/>
      <c r="H5" s="898"/>
      <c r="I5" s="272"/>
    </row>
    <row r="6" spans="1:10" ht="19.5" thickBot="1" x14ac:dyDescent="0.3">
      <c r="A6" s="272"/>
      <c r="B6" s="272"/>
      <c r="C6" s="272"/>
      <c r="D6" s="272"/>
      <c r="E6" s="272"/>
      <c r="F6" s="899" t="s">
        <v>127</v>
      </c>
      <c r="G6" s="899"/>
      <c r="H6" s="273">
        <f ca="1">TODAY()</f>
        <v>46083</v>
      </c>
      <c r="I6" s="273"/>
    </row>
    <row r="7" spans="1:10" ht="26.25" hidden="1" thickBot="1" x14ac:dyDescent="0.3">
      <c r="A7" s="274" t="s">
        <v>128</v>
      </c>
      <c r="B7" s="275" t="s">
        <v>129</v>
      </c>
      <c r="C7" s="275" t="s">
        <v>128</v>
      </c>
      <c r="D7" s="276" t="s">
        <v>130</v>
      </c>
      <c r="E7" s="276" t="s">
        <v>131</v>
      </c>
      <c r="F7" s="276" t="s">
        <v>132</v>
      </c>
      <c r="G7" s="276" t="s">
        <v>133</v>
      </c>
      <c r="H7" s="277" t="s">
        <v>134</v>
      </c>
      <c r="I7" s="278"/>
    </row>
    <row r="8" spans="1:10" ht="13.5" hidden="1" x14ac:dyDescent="0.25">
      <c r="A8" s="279"/>
      <c r="B8" s="267" t="str">
        <f>IFERROR(VLOOKUP(H8,'[1]Consolidado MP Planta'!$A$2:$M$823,3,0),"")</f>
        <v/>
      </c>
      <c r="C8" s="280">
        <f>+A8</f>
        <v>0</v>
      </c>
      <c r="D8" s="281" t="str">
        <f>IFERROR(VLOOKUP(H8,'[1]Consolidado MP Planta'!$A$2:$M$823,13,0),"")</f>
        <v/>
      </c>
      <c r="E8" s="281" t="str">
        <f>IFERROR(VLOOKUP(H8,'[1]Consolidado MP Planta'!$A$2:$M$823,12,0),"")</f>
        <v/>
      </c>
      <c r="F8" s="281" t="str">
        <f>IFERROR(C8*E8,"")</f>
        <v/>
      </c>
      <c r="G8" s="282" t="str">
        <f t="shared" ref="G8:G14" si="0">IFERROR(F8/$F$66,"")</f>
        <v/>
      </c>
      <c r="H8" s="283"/>
      <c r="I8" s="283"/>
      <c r="J8" s="284"/>
    </row>
    <row r="9" spans="1:10" ht="13.5" hidden="1" x14ac:dyDescent="0.25">
      <c r="A9" s="279"/>
      <c r="B9" s="267" t="str">
        <f>IFERROR(VLOOKUP(H9,'[1]Consolidado MP Planta'!$A$2:$M$823,3,0),"")</f>
        <v/>
      </c>
      <c r="C9" s="280">
        <f t="shared" ref="C9:C14" si="1">+A9</f>
        <v>0</v>
      </c>
      <c r="D9" s="281" t="str">
        <f>IFERROR(VLOOKUP(H9,'[1]Consolidado MP Planta'!$A$2:$M$823,13,0),"")</f>
        <v/>
      </c>
      <c r="E9" s="281" t="str">
        <f>IFERROR(VLOOKUP(H9,'[1]Consolidado MP Planta'!$A$2:$M$823,12,0),"")</f>
        <v/>
      </c>
      <c r="F9" s="281" t="str">
        <f t="shared" ref="F9:F14" si="2">IFERROR(C9*E9,"")</f>
        <v/>
      </c>
      <c r="G9" s="282" t="str">
        <f t="shared" si="0"/>
        <v/>
      </c>
      <c r="H9" s="283"/>
      <c r="I9" s="283"/>
      <c r="J9" s="284"/>
    </row>
    <row r="10" spans="1:10" ht="13.5" hidden="1" x14ac:dyDescent="0.25">
      <c r="A10" s="279"/>
      <c r="B10" s="267" t="str">
        <f>IFERROR(VLOOKUP(H10,'[1]Consolidado MP Planta'!$A$2:$M$823,3,0),"")</f>
        <v/>
      </c>
      <c r="C10" s="280">
        <f t="shared" si="1"/>
        <v>0</v>
      </c>
      <c r="D10" s="281" t="str">
        <f>IFERROR(VLOOKUP(H10,'[1]Consolidado MP Planta'!$A$2:$M$823,13,0),"")</f>
        <v/>
      </c>
      <c r="E10" s="281" t="str">
        <f>IFERROR(VLOOKUP(H10,'[1]Consolidado MP Planta'!$A$2:$M$823,12,0),"")</f>
        <v/>
      </c>
      <c r="F10" s="281" t="str">
        <f t="shared" si="2"/>
        <v/>
      </c>
      <c r="G10" s="282" t="str">
        <f t="shared" si="0"/>
        <v/>
      </c>
      <c r="H10" s="283"/>
      <c r="I10" s="283"/>
      <c r="J10" s="284"/>
    </row>
    <row r="11" spans="1:10" ht="13.5" hidden="1" x14ac:dyDescent="0.25">
      <c r="A11" s="279"/>
      <c r="B11" s="267" t="str">
        <f>IFERROR(VLOOKUP(H11,'[1]Consolidado MP Planta'!$A$2:$M$823,3,0),"")</f>
        <v/>
      </c>
      <c r="C11" s="280">
        <f t="shared" si="1"/>
        <v>0</v>
      </c>
      <c r="D11" s="281" t="str">
        <f>IFERROR(VLOOKUP(H11,'[1]Consolidado MP Planta'!$A$2:$M$823,13,0),"")</f>
        <v/>
      </c>
      <c r="E11" s="281" t="str">
        <f>IFERROR(VLOOKUP(H11,'[1]Consolidado MP Planta'!$A$2:$M$823,12,0),"")</f>
        <v/>
      </c>
      <c r="F11" s="281" t="str">
        <f t="shared" si="2"/>
        <v/>
      </c>
      <c r="G11" s="282" t="str">
        <f t="shared" si="0"/>
        <v/>
      </c>
      <c r="H11" s="283"/>
      <c r="I11" s="283"/>
      <c r="J11" s="284"/>
    </row>
    <row r="12" spans="1:10" ht="13.5" hidden="1" x14ac:dyDescent="0.25">
      <c r="A12" s="279"/>
      <c r="B12" s="267" t="str">
        <f>IFERROR(VLOOKUP(H12,'[1]Consolidado MP Planta'!$A$2:$M$823,3,0),"")</f>
        <v/>
      </c>
      <c r="C12" s="280">
        <f t="shared" si="1"/>
        <v>0</v>
      </c>
      <c r="D12" s="281" t="str">
        <f>IFERROR(VLOOKUP(H12,'[1]Consolidado MP Planta'!$A$2:$M$823,13,0),"")</f>
        <v/>
      </c>
      <c r="E12" s="281" t="str">
        <f>IFERROR(VLOOKUP(H12,'[1]Consolidado MP Planta'!$A$2:$M$823,12,0),"")</f>
        <v/>
      </c>
      <c r="F12" s="281" t="str">
        <f t="shared" si="2"/>
        <v/>
      </c>
      <c r="G12" s="282" t="str">
        <f t="shared" si="0"/>
        <v/>
      </c>
      <c r="H12" s="283"/>
      <c r="I12" s="283"/>
      <c r="J12" s="284"/>
    </row>
    <row r="13" spans="1:10" ht="13.5" hidden="1" x14ac:dyDescent="0.25">
      <c r="A13" s="279"/>
      <c r="B13" s="267" t="str">
        <f>IFERROR(VLOOKUP(H13,'[1]Consolidado MP Planta'!$A$2:$M$823,3,0),"")</f>
        <v/>
      </c>
      <c r="C13" s="280">
        <f t="shared" si="1"/>
        <v>0</v>
      </c>
      <c r="D13" s="281" t="str">
        <f>IFERROR(VLOOKUP(H13,'[1]Consolidado MP Planta'!$A$2:$M$823,13,0),"")</f>
        <v/>
      </c>
      <c r="E13" s="281" t="str">
        <f>IFERROR(VLOOKUP(H13,'[1]Consolidado MP Planta'!$A$2:$M$823,12,0),"")</f>
        <v/>
      </c>
      <c r="F13" s="281" t="str">
        <f t="shared" si="2"/>
        <v/>
      </c>
      <c r="G13" s="282" t="str">
        <f t="shared" si="0"/>
        <v/>
      </c>
      <c r="H13" s="283"/>
      <c r="I13" s="283"/>
      <c r="J13" s="284"/>
    </row>
    <row r="14" spans="1:10" ht="13.5" hidden="1" x14ac:dyDescent="0.25">
      <c r="A14" s="279"/>
      <c r="B14" s="267" t="str">
        <f>IFERROR(VLOOKUP(H14,'[1]Consolidado MP Planta'!$A$2:$M$823,3,0),"")</f>
        <v/>
      </c>
      <c r="C14" s="280">
        <f t="shared" si="1"/>
        <v>0</v>
      </c>
      <c r="D14" s="281" t="str">
        <f>IFERROR(VLOOKUP(H14,'[1]Consolidado MP Planta'!$A$2:$M$823,13,0),"")</f>
        <v/>
      </c>
      <c r="E14" s="281" t="str">
        <f>IFERROR(VLOOKUP(H14,'[1]Consolidado MP Planta'!$A$2:$M$823,12,0),"")</f>
        <v/>
      </c>
      <c r="F14" s="281" t="str">
        <f t="shared" si="2"/>
        <v/>
      </c>
      <c r="G14" s="282" t="str">
        <f t="shared" si="0"/>
        <v/>
      </c>
      <c r="H14" s="283"/>
      <c r="I14" s="283"/>
      <c r="J14" s="284"/>
    </row>
    <row r="15" spans="1:10" ht="14.25" hidden="1" thickBot="1" x14ac:dyDescent="0.3">
      <c r="A15" s="279"/>
      <c r="B15" s="267" t="str">
        <f>IFERROR(VLOOKUP(H15,[2]Hoja2!$A$2:$G$589,2,0),"")</f>
        <v/>
      </c>
      <c r="C15" s="280"/>
      <c r="D15" s="281"/>
      <c r="E15" s="281"/>
      <c r="F15" s="281"/>
      <c r="G15" s="282"/>
      <c r="H15" s="283"/>
      <c r="I15" s="283"/>
      <c r="J15" s="284"/>
    </row>
    <row r="16" spans="1:10" ht="26.25" thickBot="1" x14ac:dyDescent="0.3">
      <c r="A16" s="274" t="s">
        <v>128</v>
      </c>
      <c r="B16" s="275" t="s">
        <v>135</v>
      </c>
      <c r="C16" s="275" t="s">
        <v>128</v>
      </c>
      <c r="D16" s="276" t="s">
        <v>130</v>
      </c>
      <c r="E16" s="276" t="s">
        <v>131</v>
      </c>
      <c r="F16" s="276" t="s">
        <v>132</v>
      </c>
      <c r="G16" s="276" t="s">
        <v>133</v>
      </c>
      <c r="H16" s="277" t="s">
        <v>134</v>
      </c>
      <c r="I16" s="278"/>
      <c r="J16" s="284"/>
    </row>
    <row r="17" spans="1:12" ht="13.5" x14ac:dyDescent="0.25">
      <c r="A17" s="279">
        <v>5000</v>
      </c>
      <c r="B17" s="267" t="s">
        <v>100</v>
      </c>
      <c r="C17" s="280">
        <f>+A17</f>
        <v>5000</v>
      </c>
      <c r="D17" s="280" t="s">
        <v>174</v>
      </c>
      <c r="E17" s="281">
        <f>+'Costo relleno de Frambuesa'!E69</f>
        <v>5.9992149999999995</v>
      </c>
      <c r="F17" s="281">
        <f>IFERROR(E17*C17,"")</f>
        <v>29996.074999999997</v>
      </c>
      <c r="G17" s="282">
        <f t="shared" ref="G17:G24" si="3">IFERROR(F17/$F$66,"")</f>
        <v>0.97735174798528823</v>
      </c>
      <c r="H17" s="283"/>
      <c r="I17" s="283"/>
      <c r="J17" s="284"/>
    </row>
    <row r="18" spans="1:12" ht="13.5" hidden="1" x14ac:dyDescent="0.25">
      <c r="A18" s="279"/>
      <c r="B18" s="267" t="str">
        <f>IFERROR(VLOOKUP(H18,[1]SEMIELABORADOS!$A$2:$M$6000,2,0),"")</f>
        <v/>
      </c>
      <c r="C18" s="280">
        <f t="shared" ref="C18:C24" si="4">+A18</f>
        <v>0</v>
      </c>
      <c r="D18" s="280" t="str">
        <f>IFERROR(VLOOKUP(H18,[1]SEMIELABORADOS!$A$2:$M$6000,6,0),"")</f>
        <v/>
      </c>
      <c r="E18" s="281" t="str">
        <f>IFERROR(VLOOKUP(H18,[1]SEMIELABORADOS!$A$2:$H$65536,8,0),"")</f>
        <v/>
      </c>
      <c r="F18" s="281" t="str">
        <f t="shared" ref="F18:F24" si="5">IFERROR(E18*C18,"")</f>
        <v/>
      </c>
      <c r="G18" s="282" t="str">
        <f t="shared" si="3"/>
        <v/>
      </c>
      <c r="H18" s="283"/>
      <c r="I18" s="283"/>
      <c r="J18" s="284"/>
    </row>
    <row r="19" spans="1:12" ht="13.5" hidden="1" x14ac:dyDescent="0.25">
      <c r="A19" s="279"/>
      <c r="B19" s="267" t="str">
        <f>IFERROR(VLOOKUP(H19,[1]SEMIELABORADOS!$A$2:$M$6000,2,0),"")</f>
        <v/>
      </c>
      <c r="C19" s="280">
        <f>+A19</f>
        <v>0</v>
      </c>
      <c r="D19" s="280" t="str">
        <f>IFERROR(VLOOKUP(H19,[1]SEMIELABORADOS!$A$2:$M$6000,6,0),"")</f>
        <v/>
      </c>
      <c r="E19" s="281" t="str">
        <f>IFERROR(VLOOKUP(H19,[1]SEMIELABORADOS!$A$2:$H$65536,8,0),"")</f>
        <v/>
      </c>
      <c r="F19" s="281" t="str">
        <f>IFERROR(E19*C19,"")</f>
        <v/>
      </c>
      <c r="G19" s="282" t="str">
        <f t="shared" si="3"/>
        <v/>
      </c>
      <c r="H19" s="283"/>
      <c r="I19" s="283"/>
      <c r="J19" s="284"/>
    </row>
    <row r="20" spans="1:12" ht="13.5" hidden="1" x14ac:dyDescent="0.25">
      <c r="A20" s="279"/>
      <c r="B20" s="267" t="str">
        <f>IFERROR(VLOOKUP(H20,[1]SEMIELABORADOS!$A$2:$M$6000,2,0),"")</f>
        <v/>
      </c>
      <c r="C20" s="280">
        <f>+A20</f>
        <v>0</v>
      </c>
      <c r="D20" s="280" t="str">
        <f>IFERROR(VLOOKUP(H20,[1]SEMIELABORADOS!$A$2:$M$6000,6,0),"")</f>
        <v/>
      </c>
      <c r="E20" s="281" t="str">
        <f>IFERROR(VLOOKUP(H20,[1]SEMIELABORADOS!$A$2:$H$65536,8,0),"")</f>
        <v/>
      </c>
      <c r="F20" s="281" t="str">
        <f>IFERROR(E20*C20,"")</f>
        <v/>
      </c>
      <c r="G20" s="282" t="str">
        <f t="shared" si="3"/>
        <v/>
      </c>
      <c r="H20" s="283"/>
      <c r="I20" s="283"/>
      <c r="J20" s="284"/>
    </row>
    <row r="21" spans="1:12" ht="13.5" hidden="1" x14ac:dyDescent="0.25">
      <c r="A21" s="279"/>
      <c r="B21" s="267" t="str">
        <f>IFERROR(VLOOKUP(H21,[1]SEMIELABORADOS!$A$2:$M$6000,2,0),"")</f>
        <v/>
      </c>
      <c r="C21" s="280">
        <f>+A21</f>
        <v>0</v>
      </c>
      <c r="D21" s="280" t="str">
        <f>IFERROR(VLOOKUP(H21,[1]SEMIELABORADOS!$A$2:$M$6000,6,0),"")</f>
        <v/>
      </c>
      <c r="E21" s="281" t="str">
        <f>IFERROR(VLOOKUP(H21,[1]SEMIELABORADOS!$A$2:$H$65536,8,0),"")</f>
        <v/>
      </c>
      <c r="F21" s="281" t="str">
        <f>IFERROR(E21*C21,"")</f>
        <v/>
      </c>
      <c r="G21" s="282" t="str">
        <f t="shared" si="3"/>
        <v/>
      </c>
      <c r="H21" s="283"/>
      <c r="I21" s="283"/>
      <c r="J21" s="284"/>
    </row>
    <row r="22" spans="1:12" ht="13.5" hidden="1" x14ac:dyDescent="0.25">
      <c r="A22" s="279"/>
      <c r="B22" s="267" t="str">
        <f>IFERROR(VLOOKUP(H22,[1]SEMIELABORADOS!$A$2:$M$6000,2,0),"")</f>
        <v/>
      </c>
      <c r="C22" s="280">
        <f t="shared" si="4"/>
        <v>0</v>
      </c>
      <c r="D22" s="280" t="str">
        <f>IFERROR(VLOOKUP(H22,[1]SEMIELABORADOS!$A$2:$M$6000,6,0),"")</f>
        <v/>
      </c>
      <c r="E22" s="281" t="str">
        <f>IFERROR(VLOOKUP(H22,[1]SEMIELABORADOS!$A$2:$H$65536,8,0),"")</f>
        <v/>
      </c>
      <c r="F22" s="281" t="str">
        <f t="shared" si="5"/>
        <v/>
      </c>
      <c r="G22" s="282" t="str">
        <f t="shared" si="3"/>
        <v/>
      </c>
      <c r="H22" s="283"/>
      <c r="I22" s="283"/>
      <c r="J22" s="284"/>
    </row>
    <row r="23" spans="1:12" ht="13.5" hidden="1" x14ac:dyDescent="0.25">
      <c r="A23" s="279"/>
      <c r="B23" s="267" t="str">
        <f>IFERROR(VLOOKUP(H23,[1]SEMIELABORADOS!$A$2:$M$6000,2,0),"")</f>
        <v/>
      </c>
      <c r="C23" s="280">
        <f t="shared" si="4"/>
        <v>0</v>
      </c>
      <c r="D23" s="280" t="str">
        <f>IFERROR(VLOOKUP(H23,[1]SEMIELABORADOS!$A$2:$M$6000,6,0),"")</f>
        <v/>
      </c>
      <c r="E23" s="281" t="str">
        <f>IFERROR(VLOOKUP(H23,[1]SEMIELABORADOS!$A$2:$H$65536,8,0),"")</f>
        <v/>
      </c>
      <c r="F23" s="281" t="str">
        <f t="shared" si="5"/>
        <v/>
      </c>
      <c r="G23" s="282" t="str">
        <f t="shared" si="3"/>
        <v/>
      </c>
      <c r="H23" s="283"/>
      <c r="I23" s="283"/>
      <c r="J23" s="284"/>
    </row>
    <row r="24" spans="1:12" ht="13.5" hidden="1" x14ac:dyDescent="0.25">
      <c r="A24" s="279"/>
      <c r="B24" s="267" t="str">
        <f>IFERROR(VLOOKUP(H24,[1]SEMIELABORADOS!$A$2:$M$6000,2,0),"")</f>
        <v/>
      </c>
      <c r="C24" s="280">
        <f t="shared" si="4"/>
        <v>0</v>
      </c>
      <c r="D24" s="280" t="str">
        <f>IFERROR(VLOOKUP(H24,[1]SEMIELABORADOS!$A$2:$M$6000,6,0),"")</f>
        <v/>
      </c>
      <c r="E24" s="281" t="str">
        <f>IFERROR(VLOOKUP(H24,[1]SEMIELABORADOS!$A$2:$H$65536,8,0),"")</f>
        <v/>
      </c>
      <c r="F24" s="281" t="str">
        <f t="shared" si="5"/>
        <v/>
      </c>
      <c r="G24" s="282" t="str">
        <f t="shared" si="3"/>
        <v/>
      </c>
      <c r="H24" s="283"/>
      <c r="I24" s="283"/>
      <c r="J24" s="284"/>
    </row>
    <row r="25" spans="1:12" ht="14.25" thickBot="1" x14ac:dyDescent="0.3">
      <c r="A25" s="279"/>
      <c r="C25" s="280"/>
      <c r="D25" s="280"/>
      <c r="E25" s="281"/>
      <c r="F25" s="281"/>
      <c r="G25" s="282"/>
      <c r="H25" s="283"/>
      <c r="I25" s="283"/>
      <c r="J25" s="284"/>
    </row>
    <row r="26" spans="1:12" ht="26.25" thickBot="1" x14ac:dyDescent="0.3">
      <c r="A26" s="274" t="s">
        <v>128</v>
      </c>
      <c r="B26" s="275" t="s">
        <v>38</v>
      </c>
      <c r="C26" s="275" t="s">
        <v>128</v>
      </c>
      <c r="D26" s="276" t="s">
        <v>130</v>
      </c>
      <c r="E26" s="276" t="s">
        <v>131</v>
      </c>
      <c r="F26" s="276" t="s">
        <v>132</v>
      </c>
      <c r="G26" s="276" t="s">
        <v>133</v>
      </c>
      <c r="H26" s="277" t="s">
        <v>134</v>
      </c>
      <c r="I26" s="278"/>
    </row>
    <row r="27" spans="1:12" ht="13.5" x14ac:dyDescent="0.25">
      <c r="A27" s="279">
        <v>1</v>
      </c>
      <c r="B27" s="285" t="s">
        <v>99</v>
      </c>
      <c r="C27" s="280">
        <f t="shared" ref="C27:C32" si="6">+A27</f>
        <v>1</v>
      </c>
      <c r="D27" s="281" t="s">
        <v>178</v>
      </c>
      <c r="E27" s="281">
        <v>15</v>
      </c>
      <c r="F27" s="281">
        <f t="shared" ref="F27:F32" si="7">IFERROR(C27*E27,"")</f>
        <v>15</v>
      </c>
      <c r="G27" s="282">
        <f t="shared" ref="G27:G32" si="8">IFERROR(F27/$F$66,"")</f>
        <v>4.8873981745209416E-4</v>
      </c>
      <c r="H27" s="286" t="s">
        <v>98</v>
      </c>
      <c r="I27" s="286"/>
      <c r="J27" s="284"/>
      <c r="K27" s="889"/>
      <c r="L27" s="889"/>
    </row>
    <row r="28" spans="1:12" ht="13.5" x14ac:dyDescent="0.25">
      <c r="A28" s="279">
        <v>1</v>
      </c>
      <c r="B28" s="285" t="s">
        <v>54</v>
      </c>
      <c r="C28" s="280">
        <f t="shared" si="6"/>
        <v>1</v>
      </c>
      <c r="D28" s="281" t="s">
        <v>178</v>
      </c>
      <c r="E28" s="281">
        <v>2.13</v>
      </c>
      <c r="F28" s="281">
        <f t="shared" si="7"/>
        <v>2.13</v>
      </c>
      <c r="G28" s="282">
        <f t="shared" si="8"/>
        <v>6.940105407819736E-5</v>
      </c>
      <c r="H28" s="286" t="s">
        <v>53</v>
      </c>
      <c r="I28" s="286"/>
      <c r="J28" s="284"/>
      <c r="K28" s="889"/>
      <c r="L28" s="889"/>
    </row>
    <row r="29" spans="1:12" ht="13.5" x14ac:dyDescent="0.25">
      <c r="A29" s="279">
        <v>1</v>
      </c>
      <c r="B29" s="285" t="s">
        <v>50</v>
      </c>
      <c r="C29" s="280">
        <f t="shared" si="6"/>
        <v>1</v>
      </c>
      <c r="D29" s="281" t="s">
        <v>178</v>
      </c>
      <c r="E29" s="281">
        <v>1.05</v>
      </c>
      <c r="F29" s="281">
        <f t="shared" si="7"/>
        <v>1.05</v>
      </c>
      <c r="G29" s="282">
        <f t="shared" si="8"/>
        <v>3.4211787221646589E-5</v>
      </c>
      <c r="H29" s="286" t="s">
        <v>49</v>
      </c>
      <c r="I29" s="286"/>
      <c r="J29" s="284"/>
      <c r="K29" s="889"/>
      <c r="L29" s="889"/>
    </row>
    <row r="30" spans="1:12" ht="13.5" hidden="1" x14ac:dyDescent="0.25">
      <c r="A30" s="279"/>
      <c r="B30" s="285" t="str">
        <f>IFERROR(VLOOKUP(H30,'[1]Consolidado MP Planta'!$A$2:$M$823,3,0),"")</f>
        <v/>
      </c>
      <c r="C30" s="280">
        <f t="shared" si="6"/>
        <v>0</v>
      </c>
      <c r="D30" s="281" t="str">
        <f>IFERROR(VLOOKUP(H30,'[1]Consolidado MP Planta'!$A$2:$M$823,13,0),"")</f>
        <v/>
      </c>
      <c r="E30" s="281" t="str">
        <f>IFERROR(VLOOKUP(H30,'[1]Consolidado MP Planta'!$A$2:$M$823,12,0),"")</f>
        <v/>
      </c>
      <c r="F30" s="281" t="str">
        <f t="shared" si="7"/>
        <v/>
      </c>
      <c r="G30" s="282" t="str">
        <f t="shared" si="8"/>
        <v/>
      </c>
      <c r="H30" s="286"/>
      <c r="I30" s="286"/>
      <c r="J30" s="284"/>
      <c r="K30" s="889"/>
      <c r="L30" s="889"/>
    </row>
    <row r="31" spans="1:12" ht="13.5" hidden="1" x14ac:dyDescent="0.25">
      <c r="A31" s="279"/>
      <c r="B31" s="285" t="str">
        <f>IFERROR(VLOOKUP(H31,'[1]Consolidado MP Planta'!$A$2:$M$823,3,0),"")</f>
        <v/>
      </c>
      <c r="C31" s="280">
        <f t="shared" si="6"/>
        <v>0</v>
      </c>
      <c r="D31" s="281" t="str">
        <f>IFERROR(VLOOKUP(H31,'[1]Consolidado MP Planta'!$A$2:$M$823,13,0),"")</f>
        <v/>
      </c>
      <c r="E31" s="281" t="str">
        <f>IFERROR(VLOOKUP(H31,'[1]Consolidado MP Planta'!$A$2:$M$823,12,0),"")</f>
        <v/>
      </c>
      <c r="F31" s="281" t="str">
        <f t="shared" si="7"/>
        <v/>
      </c>
      <c r="G31" s="282" t="str">
        <f t="shared" si="8"/>
        <v/>
      </c>
      <c r="H31" s="286"/>
      <c r="I31" s="286"/>
      <c r="J31" s="284"/>
      <c r="K31" s="287"/>
      <c r="L31" s="288"/>
    </row>
    <row r="32" spans="1:12" ht="13.5" hidden="1" x14ac:dyDescent="0.25">
      <c r="A32" s="279"/>
      <c r="B32" s="285" t="str">
        <f>IFERROR(VLOOKUP(H32,'[1]Consolidado MP Planta'!$A$2:$M$823,3,0),"")</f>
        <v/>
      </c>
      <c r="C32" s="280">
        <f t="shared" si="6"/>
        <v>0</v>
      </c>
      <c r="D32" s="281" t="str">
        <f>IFERROR(VLOOKUP(H32,'[1]Consolidado MP Planta'!$A$2:$M$823,13,0),"")</f>
        <v/>
      </c>
      <c r="E32" s="281" t="str">
        <f>IFERROR(VLOOKUP(H32,'[1]Consolidado MP Planta'!$A$2:$M$823,12,0),"")</f>
        <v/>
      </c>
      <c r="F32" s="281" t="str">
        <f t="shared" si="7"/>
        <v/>
      </c>
      <c r="G32" s="282" t="str">
        <f t="shared" si="8"/>
        <v/>
      </c>
      <c r="H32" s="286"/>
      <c r="I32" s="286"/>
      <c r="J32" s="284"/>
    </row>
    <row r="33" spans="1:13" ht="14.25" thickBot="1" x14ac:dyDescent="0.3">
      <c r="A33" s="279"/>
      <c r="B33" s="285"/>
      <c r="C33" s="280"/>
      <c r="D33" s="281"/>
      <c r="E33" s="281"/>
      <c r="F33" s="281"/>
      <c r="G33" s="282"/>
      <c r="H33" s="286"/>
      <c r="I33" s="286"/>
      <c r="J33" s="284"/>
    </row>
    <row r="34" spans="1:13" ht="26.25" thickBot="1" x14ac:dyDescent="0.25">
      <c r="A34" s="274" t="s">
        <v>128</v>
      </c>
      <c r="B34" s="275" t="s">
        <v>136</v>
      </c>
      <c r="C34" s="275" t="s">
        <v>128</v>
      </c>
      <c r="D34" s="276" t="s">
        <v>130</v>
      </c>
      <c r="E34" s="276" t="s">
        <v>131</v>
      </c>
      <c r="F34" s="276" t="s">
        <v>132</v>
      </c>
      <c r="G34" s="276" t="s">
        <v>133</v>
      </c>
      <c r="H34" s="277" t="s">
        <v>134</v>
      </c>
      <c r="I34" s="286"/>
      <c r="J34" s="284"/>
    </row>
    <row r="35" spans="1:13" ht="13.5" x14ac:dyDescent="0.25">
      <c r="A35" s="279">
        <f>+A17</f>
        <v>5000</v>
      </c>
      <c r="B35" s="285" t="s">
        <v>100</v>
      </c>
      <c r="C35" s="280">
        <f>+A35</f>
        <v>5000</v>
      </c>
      <c r="D35" s="281" t="s">
        <v>174</v>
      </c>
      <c r="E35" s="281">
        <f>+'Costo relleno de Frambuesa'!E76</f>
        <v>0</v>
      </c>
      <c r="F35" s="281">
        <f>IFERROR(E35*C35,"")</f>
        <v>0</v>
      </c>
      <c r="G35" s="282">
        <f t="shared" ref="G35:G41" si="9">IFERROR(F35/$F$66,"")</f>
        <v>0</v>
      </c>
      <c r="H35" s="286"/>
      <c r="I35" s="286"/>
      <c r="J35" s="284"/>
    </row>
    <row r="36" spans="1:13" ht="13.5" hidden="1" x14ac:dyDescent="0.25">
      <c r="A36" s="279">
        <f t="shared" ref="A36:A41" si="10">+A18</f>
        <v>0</v>
      </c>
      <c r="B36" s="285" t="str">
        <f>IFERROR(VLOOKUP(H36,[1]SEMIELABORADOS!$A$2:$M$6000,2,0),"")</f>
        <v/>
      </c>
      <c r="C36" s="280">
        <f t="shared" ref="C36:C41" si="11">+A36</f>
        <v>0</v>
      </c>
      <c r="D36" s="281" t="str">
        <f>IFERROR(VLOOKUP(H36,[1]SEMIELABORADOS!$A$2:$M$6000,6,0),"")</f>
        <v/>
      </c>
      <c r="E36" s="281" t="str">
        <f>IFERROR(VLOOKUP(H36,[1]SEMIELABORADOS!$A$2:$M$65536,10,0),"")</f>
        <v/>
      </c>
      <c r="F36" s="281" t="str">
        <f t="shared" ref="F36:F41" si="12">IFERROR(E36*C36,"")</f>
        <v/>
      </c>
      <c r="G36" s="282" t="str">
        <f t="shared" si="9"/>
        <v/>
      </c>
      <c r="H36" s="286"/>
      <c r="I36" s="286"/>
      <c r="J36" s="284"/>
    </row>
    <row r="37" spans="1:13" ht="13.5" hidden="1" x14ac:dyDescent="0.25">
      <c r="A37" s="279">
        <f t="shared" si="10"/>
        <v>0</v>
      </c>
      <c r="B37" s="285" t="str">
        <f>IFERROR(VLOOKUP(H37,[1]SEMIELABORADOS!$A$2:$M$6000,2,0),"")</f>
        <v/>
      </c>
      <c r="C37" s="280">
        <f t="shared" si="11"/>
        <v>0</v>
      </c>
      <c r="D37" s="281" t="str">
        <f>IFERROR(VLOOKUP(H37,[1]SEMIELABORADOS!$A$2:$M$6000,6,0),"")</f>
        <v/>
      </c>
      <c r="E37" s="281" t="str">
        <f>IFERROR(VLOOKUP(H37,[1]SEMIELABORADOS!$A$2:$M$65536,10,0),"")</f>
        <v/>
      </c>
      <c r="F37" s="281" t="str">
        <f t="shared" si="12"/>
        <v/>
      </c>
      <c r="G37" s="282" t="str">
        <f t="shared" si="9"/>
        <v/>
      </c>
      <c r="H37" s="286"/>
      <c r="I37" s="286"/>
      <c r="J37" s="284"/>
    </row>
    <row r="38" spans="1:13" ht="13.5" hidden="1" x14ac:dyDescent="0.25">
      <c r="A38" s="279">
        <f t="shared" si="10"/>
        <v>0</v>
      </c>
      <c r="B38" s="285" t="str">
        <f>IFERROR(VLOOKUP(H38,[1]SEMIELABORADOS!$A$2:$M$6000,2,0),"")</f>
        <v/>
      </c>
      <c r="C38" s="280">
        <f>+A38</f>
        <v>0</v>
      </c>
      <c r="D38" s="281" t="str">
        <f>IFERROR(VLOOKUP(H38,[1]SEMIELABORADOS!$A$2:$M$6000,6,0),"")</f>
        <v/>
      </c>
      <c r="E38" s="281" t="str">
        <f>IFERROR(VLOOKUP(H38,[1]SEMIELABORADOS!$A$2:$M$65536,10,0),"")</f>
        <v/>
      </c>
      <c r="F38" s="281" t="str">
        <f>IFERROR(E38*C38,"")</f>
        <v/>
      </c>
      <c r="G38" s="282" t="str">
        <f t="shared" si="9"/>
        <v/>
      </c>
      <c r="H38" s="286"/>
      <c r="I38" s="286"/>
      <c r="J38" s="284"/>
    </row>
    <row r="39" spans="1:13" ht="13.5" hidden="1" x14ac:dyDescent="0.25">
      <c r="A39" s="279">
        <f t="shared" si="10"/>
        <v>0</v>
      </c>
      <c r="B39" s="285" t="str">
        <f>IFERROR(VLOOKUP(H39,[1]SEMIELABORADOS!$A$2:$M$6000,2,0),"")</f>
        <v/>
      </c>
      <c r="C39" s="280">
        <f>+A39</f>
        <v>0</v>
      </c>
      <c r="D39" s="281" t="str">
        <f>IFERROR(VLOOKUP(H39,[1]SEMIELABORADOS!$A$2:$M$6000,6,0),"")</f>
        <v/>
      </c>
      <c r="E39" s="281" t="str">
        <f>IFERROR(VLOOKUP(H39,[1]SEMIELABORADOS!$A$2:$M$65536,10,0),"")</f>
        <v/>
      </c>
      <c r="F39" s="281" t="str">
        <f>IFERROR(E39*C39,"")</f>
        <v/>
      </c>
      <c r="G39" s="282" t="str">
        <f t="shared" si="9"/>
        <v/>
      </c>
      <c r="H39" s="286"/>
      <c r="I39" s="286"/>
      <c r="J39" s="284"/>
    </row>
    <row r="40" spans="1:13" ht="13.5" hidden="1" x14ac:dyDescent="0.25">
      <c r="A40" s="279">
        <f t="shared" si="10"/>
        <v>0</v>
      </c>
      <c r="B40" s="285" t="str">
        <f>IFERROR(VLOOKUP(H40,[1]SEMIELABORADOS!$A$2:$M$6000,2,0),"")</f>
        <v/>
      </c>
      <c r="C40" s="280">
        <f t="shared" si="11"/>
        <v>0</v>
      </c>
      <c r="D40" s="281" t="str">
        <f>IFERROR(VLOOKUP(H40,[1]SEMIELABORADOS!$A$2:$M$6000,6,0),"")</f>
        <v/>
      </c>
      <c r="E40" s="281" t="str">
        <f>IFERROR(VLOOKUP(H40,[1]SEMIELABORADOS!$A$2:$M$65536,10,0),"")</f>
        <v/>
      </c>
      <c r="F40" s="281" t="str">
        <f t="shared" si="12"/>
        <v/>
      </c>
      <c r="G40" s="282" t="str">
        <f t="shared" si="9"/>
        <v/>
      </c>
      <c r="H40" s="286"/>
      <c r="I40" s="286"/>
      <c r="J40" s="284"/>
    </row>
    <row r="41" spans="1:13" ht="13.5" hidden="1" x14ac:dyDescent="0.25">
      <c r="A41" s="279">
        <f t="shared" si="10"/>
        <v>0</v>
      </c>
      <c r="B41" s="285" t="str">
        <f>IFERROR(VLOOKUP(H41,[1]SEMIELABORADOS!$A$2:$M$6000,2,0),"")</f>
        <v/>
      </c>
      <c r="C41" s="280">
        <f t="shared" si="11"/>
        <v>0</v>
      </c>
      <c r="D41" s="281" t="str">
        <f>IFERROR(VLOOKUP(H41,[1]SEMIELABORADOS!$A$2:$M$6000,6,0),"")</f>
        <v/>
      </c>
      <c r="E41" s="281" t="str">
        <f>IFERROR(VLOOKUP(H41,[1]SEMIELABORADOS!$A$2:$M$65536,10,0),"")</f>
        <v/>
      </c>
      <c r="F41" s="281" t="str">
        <f t="shared" si="12"/>
        <v/>
      </c>
      <c r="G41" s="282" t="str">
        <f t="shared" si="9"/>
        <v/>
      </c>
      <c r="H41" s="286"/>
      <c r="I41" s="286"/>
      <c r="J41" s="284"/>
    </row>
    <row r="42" spans="1:13" ht="14.25" thickBot="1" x14ac:dyDescent="0.3">
      <c r="A42" s="279"/>
      <c r="B42" s="285"/>
      <c r="C42" s="280"/>
      <c r="D42" s="281"/>
      <c r="E42" s="281"/>
      <c r="F42" s="281"/>
      <c r="G42" s="282"/>
      <c r="H42" s="286"/>
      <c r="I42" s="286"/>
      <c r="J42" s="284"/>
    </row>
    <row r="43" spans="1:13" ht="26.25" thickBot="1" x14ac:dyDescent="0.3">
      <c r="A43" s="274" t="s">
        <v>128</v>
      </c>
      <c r="B43" s="275" t="s">
        <v>137</v>
      </c>
      <c r="C43" s="275" t="s">
        <v>128</v>
      </c>
      <c r="D43" s="276" t="s">
        <v>130</v>
      </c>
      <c r="E43" s="276" t="s">
        <v>131</v>
      </c>
      <c r="F43" s="276" t="s">
        <v>132</v>
      </c>
      <c r="G43" s="276" t="s">
        <v>133</v>
      </c>
      <c r="H43" s="277" t="s">
        <v>134</v>
      </c>
      <c r="I43" s="278"/>
      <c r="J43" s="284"/>
    </row>
    <row r="44" spans="1:13" ht="13.5" x14ac:dyDescent="0.25">
      <c r="A44" s="279">
        <f>+A35</f>
        <v>5000</v>
      </c>
      <c r="B44" s="285" t="s">
        <v>100</v>
      </c>
      <c r="C44" s="280">
        <f>+A44</f>
        <v>5000</v>
      </c>
      <c r="D44" s="281" t="s">
        <v>177</v>
      </c>
      <c r="E44" s="281">
        <f>+'Costo relleno de Frambuesa'!E74</f>
        <v>0.154</v>
      </c>
      <c r="F44" s="281">
        <f>IFERROR(E44*C44,"")</f>
        <v>770</v>
      </c>
      <c r="G44" s="282">
        <f>IFERROR(F44/$F$66,"")</f>
        <v>2.5088643962540833E-2</v>
      </c>
      <c r="H44" s="286"/>
      <c r="I44" s="278"/>
      <c r="J44" s="284"/>
    </row>
    <row r="45" spans="1:13" ht="13.5" hidden="1" x14ac:dyDescent="0.25">
      <c r="A45" s="279">
        <f t="shared" ref="A45:A50" si="13">+A36</f>
        <v>0</v>
      </c>
      <c r="B45" s="285" t="str">
        <f>IFERROR(VLOOKUP(H45,[1]SEMIELABORADOS!$A$2:$M$6000,2,0),"")</f>
        <v/>
      </c>
      <c r="C45" s="280">
        <f t="shared" ref="C45:C50" si="14">+A45</f>
        <v>0</v>
      </c>
      <c r="D45" s="281" t="str">
        <f>IFERROR(VLOOKUP(H45,[1]SEMIELABORADOS!$A$2:$M$6000,6,0),"")</f>
        <v/>
      </c>
      <c r="E45" s="281" t="str">
        <f>IFERROR(VLOOKUP(H45,[1]SEMIELABORADOS!$A$2:$M$65536,12,0),"")</f>
        <v/>
      </c>
      <c r="F45" s="281" t="str">
        <f t="shared" ref="F45:F50" si="15">IFERROR(E45*C45,"")</f>
        <v/>
      </c>
      <c r="G45" s="282" t="str">
        <f t="shared" ref="G45:G50" si="16">IFERROR(F45/$F$66,"")</f>
        <v/>
      </c>
      <c r="H45" s="286"/>
      <c r="I45" s="278"/>
      <c r="J45" s="284"/>
      <c r="M45" s="289"/>
    </row>
    <row r="46" spans="1:13" ht="13.5" hidden="1" x14ac:dyDescent="0.25">
      <c r="A46" s="279">
        <f t="shared" si="13"/>
        <v>0</v>
      </c>
      <c r="B46" s="285" t="str">
        <f>IFERROR(VLOOKUP(H46,[1]SEMIELABORADOS!$A$2:$M$6000,2,0),"")</f>
        <v/>
      </c>
      <c r="C46" s="280">
        <f t="shared" si="14"/>
        <v>0</v>
      </c>
      <c r="D46" s="281" t="str">
        <f>IFERROR(VLOOKUP(H46,[1]SEMIELABORADOS!$A$2:$M$6000,6,0),"")</f>
        <v/>
      </c>
      <c r="E46" s="281" t="str">
        <f>IFERROR(VLOOKUP(H46,[1]SEMIELABORADOS!$A$2:$M$65536,12,0),"")</f>
        <v/>
      </c>
      <c r="F46" s="281" t="str">
        <f t="shared" si="15"/>
        <v/>
      </c>
      <c r="G46" s="282" t="str">
        <f t="shared" si="16"/>
        <v/>
      </c>
      <c r="H46" s="286"/>
      <c r="I46" s="278"/>
      <c r="J46" s="284"/>
    </row>
    <row r="47" spans="1:13" ht="13.5" hidden="1" x14ac:dyDescent="0.25">
      <c r="A47" s="279">
        <f t="shared" si="13"/>
        <v>0</v>
      </c>
      <c r="B47" s="285" t="str">
        <f>IFERROR(VLOOKUP(H47,[1]SEMIELABORADOS!$A$2:$M$6000,2,0),"")</f>
        <v/>
      </c>
      <c r="C47" s="280">
        <f t="shared" si="14"/>
        <v>0</v>
      </c>
      <c r="D47" s="281" t="str">
        <f>IFERROR(VLOOKUP(H47,[1]SEMIELABORADOS!$A$2:$M$6000,6,0),"")</f>
        <v/>
      </c>
      <c r="E47" s="281" t="str">
        <f>IFERROR(VLOOKUP(H47,[1]SEMIELABORADOS!$A$2:$M$65536,12,0),"")</f>
        <v/>
      </c>
      <c r="F47" s="281" t="str">
        <f t="shared" si="15"/>
        <v/>
      </c>
      <c r="G47" s="282" t="str">
        <f t="shared" si="16"/>
        <v/>
      </c>
      <c r="H47" s="286"/>
      <c r="I47" s="278"/>
      <c r="J47" s="284"/>
    </row>
    <row r="48" spans="1:13" ht="13.5" hidden="1" x14ac:dyDescent="0.25">
      <c r="A48" s="279">
        <f t="shared" si="13"/>
        <v>0</v>
      </c>
      <c r="B48" s="285" t="str">
        <f>IFERROR(VLOOKUP(H48,[1]SEMIELABORADOS!$A$2:$M$6000,2,0),"")</f>
        <v/>
      </c>
      <c r="C48" s="280">
        <f t="shared" si="14"/>
        <v>0</v>
      </c>
      <c r="D48" s="281" t="str">
        <f>IFERROR(VLOOKUP(H48,[1]SEMIELABORADOS!$A$2:$M$6000,6,0),"")</f>
        <v/>
      </c>
      <c r="E48" s="281" t="str">
        <f>IFERROR(VLOOKUP(H48,[1]SEMIELABORADOS!$A$2:$M$65536,12,0),"")</f>
        <v/>
      </c>
      <c r="F48" s="281" t="str">
        <f t="shared" si="15"/>
        <v/>
      </c>
      <c r="G48" s="282" t="str">
        <f t="shared" si="16"/>
        <v/>
      </c>
      <c r="H48" s="286"/>
      <c r="I48" s="278"/>
      <c r="J48" s="284"/>
    </row>
    <row r="49" spans="1:17" ht="13.5" hidden="1" x14ac:dyDescent="0.25">
      <c r="A49" s="279">
        <f t="shared" si="13"/>
        <v>0</v>
      </c>
      <c r="B49" s="285" t="str">
        <f>IFERROR(VLOOKUP(H49,[1]SEMIELABORADOS!$A$2:$M$6000,2,0),"")</f>
        <v/>
      </c>
      <c r="C49" s="280">
        <f t="shared" si="14"/>
        <v>0</v>
      </c>
      <c r="D49" s="281" t="str">
        <f>IFERROR(VLOOKUP(H49,[1]SEMIELABORADOS!$A$2:$M$6000,6,0),"")</f>
        <v/>
      </c>
      <c r="E49" s="281" t="str">
        <f>IFERROR(VLOOKUP(H49,[1]SEMIELABORADOS!$A$2:$M$65536,12,0),"")</f>
        <v/>
      </c>
      <c r="F49" s="281" t="str">
        <f t="shared" si="15"/>
        <v/>
      </c>
      <c r="G49" s="282" t="str">
        <f t="shared" si="16"/>
        <v/>
      </c>
      <c r="H49" s="286"/>
      <c r="I49" s="278"/>
      <c r="J49" s="284"/>
    </row>
    <row r="50" spans="1:17" ht="13.5" hidden="1" x14ac:dyDescent="0.25">
      <c r="A50" s="279">
        <f t="shared" si="13"/>
        <v>0</v>
      </c>
      <c r="B50" s="285" t="str">
        <f>IFERROR(VLOOKUP(H50,[1]SEMIELABORADOS!$A$2:$M$6000,2,0),"")</f>
        <v/>
      </c>
      <c r="C50" s="280">
        <f t="shared" si="14"/>
        <v>0</v>
      </c>
      <c r="D50" s="281" t="str">
        <f>IFERROR(VLOOKUP(H50,[1]SEMIELABORADOS!$A$2:$M$6000,6,0),"")</f>
        <v/>
      </c>
      <c r="E50" s="281" t="str">
        <f>IFERROR(VLOOKUP(H50,[1]SEMIELABORADOS!$A$2:$M$65536,12,0),"")</f>
        <v/>
      </c>
      <c r="F50" s="281" t="str">
        <f t="shared" si="15"/>
        <v/>
      </c>
      <c r="G50" s="282" t="str">
        <f t="shared" si="16"/>
        <v/>
      </c>
      <c r="H50" s="285"/>
      <c r="I50" s="278"/>
      <c r="J50" s="284"/>
    </row>
    <row r="51" spans="1:17" ht="13.5" x14ac:dyDescent="0.25">
      <c r="A51" s="279">
        <v>1</v>
      </c>
      <c r="B51" s="285" t="s">
        <v>138</v>
      </c>
      <c r="C51" s="280">
        <f>+A51</f>
        <v>1</v>
      </c>
      <c r="D51" s="280" t="s">
        <v>139</v>
      </c>
      <c r="E51" s="281">
        <f>+F65</f>
        <v>77</v>
      </c>
      <c r="F51" s="281">
        <f>IFERROR(C51*E51,"")</f>
        <v>77</v>
      </c>
      <c r="G51" s="282">
        <f>IFERROR(F51/$F$66,"")</f>
        <v>2.5088643962540833E-3</v>
      </c>
      <c r="H51" s="290"/>
      <c r="I51" s="290"/>
      <c r="J51" s="284"/>
    </row>
    <row r="52" spans="1:17" ht="14.25" thickBot="1" x14ac:dyDescent="0.3">
      <c r="A52" s="279"/>
      <c r="B52" s="285"/>
      <c r="C52" s="280"/>
      <c r="D52" s="280"/>
      <c r="E52" s="281"/>
      <c r="F52" s="281"/>
      <c r="G52" s="282"/>
      <c r="H52" s="290"/>
      <c r="I52" s="290"/>
      <c r="J52" s="284"/>
    </row>
    <row r="53" spans="1:17" ht="13.5" thickBot="1" x14ac:dyDescent="0.3">
      <c r="A53" s="291"/>
      <c r="B53" s="890" t="s">
        <v>140</v>
      </c>
      <c r="C53" s="890"/>
      <c r="D53" s="890"/>
      <c r="E53" s="890"/>
      <c r="F53" s="293">
        <f>SUM(F8:F14,F17:F24)</f>
        <v>29996.074999999997</v>
      </c>
      <c r="G53" s="282">
        <f>+F53/$F$66</f>
        <v>0.97735174798528823</v>
      </c>
      <c r="H53" s="294">
        <f>+F53/$D$60</f>
        <v>29996.074999999997</v>
      </c>
      <c r="I53" s="294"/>
      <c r="J53" s="295"/>
      <c r="K53" s="296"/>
      <c r="L53" s="296"/>
      <c r="M53" s="296"/>
      <c r="N53" s="296"/>
      <c r="O53" s="296"/>
      <c r="P53" s="296"/>
      <c r="Q53" s="297"/>
    </row>
    <row r="54" spans="1:17" x14ac:dyDescent="0.2">
      <c r="A54" s="291"/>
      <c r="B54" s="890" t="s">
        <v>141</v>
      </c>
      <c r="C54" s="890"/>
      <c r="D54" s="890"/>
      <c r="E54" s="890"/>
      <c r="F54" s="293">
        <f>SUM(F27:F32,F35:F41)</f>
        <v>18.18</v>
      </c>
      <c r="G54" s="282">
        <f>+F54/$F$66</f>
        <v>5.9235265875193807E-4</v>
      </c>
      <c r="H54" s="294">
        <f>+F54/$D$60</f>
        <v>18.18</v>
      </c>
      <c r="I54" s="294"/>
      <c r="J54" s="298"/>
      <c r="K54" s="891" t="s">
        <v>142</v>
      </c>
      <c r="L54" s="892"/>
      <c r="M54" s="892"/>
      <c r="N54" s="892"/>
      <c r="O54" s="299">
        <f>+F55</f>
        <v>30014.254999999997</v>
      </c>
      <c r="P54" s="299"/>
      <c r="Q54" s="300"/>
    </row>
    <row r="55" spans="1:17" x14ac:dyDescent="0.2">
      <c r="A55" s="291"/>
      <c r="B55" s="890" t="s">
        <v>143</v>
      </c>
      <c r="C55" s="890"/>
      <c r="D55" s="890"/>
      <c r="E55" s="890"/>
      <c r="F55" s="293">
        <f>+F53+F54</f>
        <v>30014.254999999997</v>
      </c>
      <c r="G55" s="282">
        <f>+F55/$F$66</f>
        <v>0.97794410064404014</v>
      </c>
      <c r="H55" s="294">
        <f>+F55/$D$60</f>
        <v>30014.254999999997</v>
      </c>
      <c r="I55" s="294"/>
      <c r="J55" s="301"/>
      <c r="K55" s="302"/>
      <c r="M55" s="303" t="s">
        <v>144</v>
      </c>
      <c r="N55" s="304"/>
      <c r="O55" s="299">
        <f>+H56</f>
        <v>847</v>
      </c>
      <c r="P55" s="299"/>
      <c r="Q55" s="300"/>
    </row>
    <row r="56" spans="1:17" ht="13.5" thickBot="1" x14ac:dyDescent="0.25">
      <c r="A56" s="291"/>
      <c r="B56" s="292"/>
      <c r="C56" s="890" t="s">
        <v>145</v>
      </c>
      <c r="D56" s="890"/>
      <c r="E56" s="890"/>
      <c r="F56" s="293">
        <f>SUM(F44:F51)</f>
        <v>847</v>
      </c>
      <c r="G56" s="282">
        <f>+F56/$F$66</f>
        <v>2.7597508358794914E-2</v>
      </c>
      <c r="H56" s="294">
        <f>+F56/$D$60</f>
        <v>847</v>
      </c>
      <c r="I56" s="294"/>
      <c r="J56" s="301"/>
      <c r="K56" s="302"/>
      <c r="L56" s="302"/>
      <c r="M56" s="302" t="s">
        <v>146</v>
      </c>
      <c r="N56" s="305"/>
      <c r="O56" s="299">
        <f>O54*N56</f>
        <v>0</v>
      </c>
      <c r="P56" s="299"/>
      <c r="Q56" s="300"/>
    </row>
    <row r="57" spans="1:17" ht="13.5" thickBot="1" x14ac:dyDescent="0.25">
      <c r="A57" s="291"/>
      <c r="B57" s="306"/>
      <c r="C57" s="306"/>
      <c r="D57" s="306"/>
      <c r="E57" s="306"/>
      <c r="F57" s="307"/>
      <c r="G57" s="282"/>
      <c r="H57" s="308"/>
      <c r="I57" s="294"/>
      <c r="J57" s="301"/>
      <c r="K57" s="309"/>
      <c r="M57" s="310" t="s">
        <v>147</v>
      </c>
      <c r="N57" s="311"/>
      <c r="O57" s="312">
        <f>SUM(O54:O56)</f>
        <v>30861.254999999997</v>
      </c>
      <c r="P57" s="313"/>
      <c r="Q57" s="300"/>
    </row>
    <row r="58" spans="1:17" x14ac:dyDescent="0.2">
      <c r="B58" s="893" t="s">
        <v>148</v>
      </c>
      <c r="C58" s="893"/>
      <c r="D58" s="314">
        <v>5000</v>
      </c>
      <c r="E58" s="315"/>
      <c r="G58" s="282"/>
      <c r="H58" s="308">
        <f>+H56/77</f>
        <v>11</v>
      </c>
      <c r="I58" s="316"/>
      <c r="J58" s="301"/>
      <c r="K58" s="309"/>
      <c r="L58" s="302"/>
      <c r="M58" s="302" t="s">
        <v>149</v>
      </c>
      <c r="N58" s="317"/>
      <c r="O58" s="299">
        <f>+H59</f>
        <v>913</v>
      </c>
      <c r="P58" s="299"/>
      <c r="Q58" s="300"/>
    </row>
    <row r="59" spans="1:17" x14ac:dyDescent="0.2">
      <c r="B59" s="893" t="s">
        <v>150</v>
      </c>
      <c r="C59" s="893"/>
      <c r="D59" s="318">
        <v>5000</v>
      </c>
      <c r="E59" s="315"/>
      <c r="G59" s="282"/>
      <c r="H59" s="308">
        <f>+H58*83</f>
        <v>913</v>
      </c>
      <c r="I59" s="316"/>
      <c r="J59" s="301"/>
      <c r="K59" s="309"/>
      <c r="L59" s="302"/>
      <c r="M59" s="894" t="s">
        <v>147</v>
      </c>
      <c r="N59" s="894"/>
      <c r="O59" s="299">
        <f>SUM(O57:O58)</f>
        <v>31774.254999999997</v>
      </c>
      <c r="P59" s="299"/>
      <c r="Q59" s="300"/>
    </row>
    <row r="60" spans="1:17" ht="13.5" thickBot="1" x14ac:dyDescent="0.25">
      <c r="B60" s="885" t="s">
        <v>151</v>
      </c>
      <c r="C60" s="885"/>
      <c r="D60" s="314">
        <f>+D58/D59</f>
        <v>1</v>
      </c>
      <c r="E60" s="315"/>
      <c r="F60" s="319"/>
      <c r="G60" s="282"/>
      <c r="H60" s="308"/>
      <c r="I60" s="316"/>
      <c r="J60" s="301"/>
      <c r="K60" s="309"/>
      <c r="L60" s="894"/>
      <c r="M60" s="894"/>
      <c r="N60" s="317"/>
      <c r="O60" s="299">
        <f>+O59*N60</f>
        <v>0</v>
      </c>
      <c r="P60" s="299"/>
      <c r="Q60" s="300"/>
    </row>
    <row r="61" spans="1:17" ht="13.5" thickBot="1" x14ac:dyDescent="0.25">
      <c r="B61" s="885" t="s">
        <v>152</v>
      </c>
      <c r="C61" s="885"/>
      <c r="D61" s="320"/>
      <c r="E61" s="315"/>
      <c r="F61" s="319"/>
      <c r="G61" s="282"/>
      <c r="H61" s="308"/>
      <c r="I61" s="316"/>
      <c r="J61" s="301"/>
      <c r="K61" s="886" t="s">
        <v>153</v>
      </c>
      <c r="L61" s="887"/>
      <c r="M61" s="887"/>
      <c r="N61" s="888"/>
      <c r="O61" s="312">
        <f>SUM(O59:O60)</f>
        <v>31774.254999999997</v>
      </c>
      <c r="P61" s="321" t="s">
        <v>154</v>
      </c>
      <c r="Q61" s="300"/>
    </row>
    <row r="62" spans="1:17" ht="13.5" thickBot="1" x14ac:dyDescent="0.25">
      <c r="C62" s="291" t="s">
        <v>155</v>
      </c>
      <c r="D62" s="322"/>
      <c r="E62" s="265" t="s">
        <v>156</v>
      </c>
      <c r="F62" s="323" t="s">
        <v>157</v>
      </c>
      <c r="G62" s="282"/>
      <c r="H62" s="308"/>
      <c r="I62" s="316"/>
      <c r="J62" s="324"/>
      <c r="K62" s="325"/>
      <c r="L62" s="874" t="s">
        <v>158</v>
      </c>
      <c r="M62" s="874"/>
      <c r="N62" s="874"/>
      <c r="O62" s="326">
        <f>+O61/D60</f>
        <v>31774.254999999997</v>
      </c>
      <c r="P62" s="327">
        <f>+O62/D59</f>
        <v>6.3548509999999991</v>
      </c>
      <c r="Q62" s="328"/>
    </row>
    <row r="63" spans="1:17" ht="13.5" thickBot="1" x14ac:dyDescent="0.25">
      <c r="B63" s="875" t="s">
        <v>143</v>
      </c>
      <c r="C63" s="875"/>
      <c r="D63" s="875"/>
      <c r="E63" s="329">
        <f>+F63/F63</f>
        <v>1</v>
      </c>
      <c r="F63" s="330">
        <f>SUM(F55)</f>
        <v>30014.254999999997</v>
      </c>
      <c r="G63" s="282">
        <f>+F63/$F$66</f>
        <v>0.97794410064404014</v>
      </c>
      <c r="H63" s="308"/>
      <c r="I63" s="316"/>
      <c r="K63" s="876"/>
      <c r="L63" s="877"/>
      <c r="M63" s="877"/>
      <c r="N63" s="877"/>
      <c r="O63" s="331"/>
      <c r="P63" s="332"/>
    </row>
    <row r="64" spans="1:17" ht="13.5" thickBot="1" x14ac:dyDescent="0.3">
      <c r="B64" s="878" t="s">
        <v>159</v>
      </c>
      <c r="C64" s="878"/>
      <c r="D64" s="878"/>
      <c r="E64" s="333">
        <v>0.02</v>
      </c>
      <c r="F64" s="330">
        <f>+F53*E64</f>
        <v>599.92149999999992</v>
      </c>
      <c r="G64" s="282">
        <f>+F64/$F$66</f>
        <v>1.9547034959705764E-2</v>
      </c>
      <c r="H64" s="294"/>
      <c r="I64" s="316"/>
      <c r="J64" s="334"/>
      <c r="O64" s="335"/>
      <c r="P64" s="292"/>
    </row>
    <row r="65" spans="2:13" ht="13.5" thickBot="1" x14ac:dyDescent="0.3">
      <c r="B65" s="879" t="s">
        <v>160</v>
      </c>
      <c r="C65" s="880"/>
      <c r="D65" s="336">
        <v>1</v>
      </c>
      <c r="E65" s="337">
        <v>77</v>
      </c>
      <c r="F65" s="330">
        <f>+E65*D65</f>
        <v>77</v>
      </c>
      <c r="G65" s="282">
        <f>+F65/$F$66</f>
        <v>2.5088643962540833E-3</v>
      </c>
      <c r="H65" s="294"/>
      <c r="I65" s="294"/>
      <c r="J65" s="284"/>
    </row>
    <row r="66" spans="2:13" ht="13.5" thickBot="1" x14ac:dyDescent="0.3">
      <c r="B66" s="881" t="s">
        <v>161</v>
      </c>
      <c r="C66" s="882"/>
      <c r="D66" s="882"/>
      <c r="E66" s="883"/>
      <c r="F66" s="307">
        <f>SUM(F63:F65)</f>
        <v>30691.176499999998</v>
      </c>
      <c r="G66" s="282">
        <f>+F66/$F$66</f>
        <v>1</v>
      </c>
      <c r="H66" s="884"/>
      <c r="I66" s="294"/>
      <c r="J66" s="284"/>
      <c r="M66" s="267" t="s">
        <v>162</v>
      </c>
    </row>
    <row r="67" spans="2:13" x14ac:dyDescent="0.25">
      <c r="C67" s="289"/>
      <c r="D67" s="289"/>
      <c r="E67" s="339"/>
      <c r="F67" s="330"/>
      <c r="G67" s="282"/>
      <c r="H67" s="884"/>
      <c r="I67" s="338"/>
      <c r="J67" s="267"/>
      <c r="M67" s="267" t="s">
        <v>163</v>
      </c>
    </row>
    <row r="68" spans="2:13" ht="13.5" thickBot="1" x14ac:dyDescent="0.3">
      <c r="B68" s="869" t="s">
        <v>164</v>
      </c>
      <c r="C68" s="869"/>
      <c r="D68" s="869"/>
      <c r="E68" s="869"/>
      <c r="F68" s="869"/>
      <c r="G68" s="282"/>
      <c r="H68" s="341"/>
      <c r="I68" s="338"/>
      <c r="J68" s="267"/>
      <c r="M68" s="267" t="s">
        <v>165</v>
      </c>
    </row>
    <row r="69" spans="2:13" ht="13.5" thickBot="1" x14ac:dyDescent="0.3">
      <c r="B69" s="342" t="s">
        <v>166</v>
      </c>
      <c r="C69" s="343">
        <f>+F53</f>
        <v>29996.074999999997</v>
      </c>
      <c r="D69" s="343">
        <f>+D58</f>
        <v>5000</v>
      </c>
      <c r="E69" s="344">
        <f>+C69/D69</f>
        <v>5.9992149999999995</v>
      </c>
      <c r="F69" s="282"/>
      <c r="G69" s="341"/>
      <c r="H69" s="284"/>
      <c r="I69" s="341"/>
      <c r="J69" s="267"/>
    </row>
    <row r="70" spans="2:13" x14ac:dyDescent="0.25">
      <c r="B70" s="345"/>
      <c r="C70" s="346"/>
      <c r="D70" s="347"/>
      <c r="E70" s="330"/>
      <c r="F70" s="282"/>
      <c r="G70" s="341"/>
      <c r="H70" s="284"/>
      <c r="I70" s="284"/>
      <c r="J70" s="267"/>
    </row>
    <row r="71" spans="2:13" x14ac:dyDescent="0.25">
      <c r="B71" s="342" t="s">
        <v>167</v>
      </c>
      <c r="C71" s="343">
        <f>SUM(F63:F64)</f>
        <v>30614.176499999998</v>
      </c>
      <c r="D71" s="343">
        <f>+D58</f>
        <v>5000</v>
      </c>
      <c r="E71" s="348">
        <f>+C71/D71</f>
        <v>6.1228352999999993</v>
      </c>
      <c r="F71" s="282"/>
      <c r="G71" s="341"/>
      <c r="H71" s="284"/>
      <c r="I71" s="284"/>
      <c r="J71" s="267"/>
    </row>
    <row r="72" spans="2:13" x14ac:dyDescent="0.25">
      <c r="B72" s="342"/>
      <c r="C72" s="343"/>
      <c r="D72" s="343"/>
      <c r="E72" s="348"/>
      <c r="F72" s="282"/>
      <c r="G72" s="341"/>
      <c r="H72" s="284"/>
      <c r="I72" s="284"/>
      <c r="J72" s="267"/>
    </row>
    <row r="73" spans="2:13" ht="13.5" thickBot="1" x14ac:dyDescent="0.3">
      <c r="B73" s="342" t="s">
        <v>168</v>
      </c>
      <c r="C73" s="343">
        <f>+F65</f>
        <v>77</v>
      </c>
      <c r="D73" s="343">
        <f>+D58</f>
        <v>5000</v>
      </c>
      <c r="E73" s="348">
        <f>+C73/D73</f>
        <v>1.54E-2</v>
      </c>
      <c r="F73" s="282"/>
      <c r="G73" s="341"/>
      <c r="H73" s="284"/>
      <c r="I73" s="284"/>
      <c r="J73" s="267"/>
    </row>
    <row r="74" spans="2:13" ht="13.5" thickBot="1" x14ac:dyDescent="0.3">
      <c r="B74" s="342" t="s">
        <v>169</v>
      </c>
      <c r="C74" s="343">
        <f>+F56</f>
        <v>847</v>
      </c>
      <c r="D74" s="343">
        <f>+D73</f>
        <v>5000</v>
      </c>
      <c r="E74" s="344">
        <f>+C74/D74</f>
        <v>0.1694</v>
      </c>
      <c r="F74" s="282"/>
      <c r="G74" s="341"/>
      <c r="H74" s="284"/>
      <c r="I74" s="284"/>
      <c r="J74" s="267"/>
    </row>
    <row r="75" spans="2:13" ht="13.5" thickBot="1" x14ac:dyDescent="0.3">
      <c r="B75" s="306"/>
      <c r="C75" s="307"/>
      <c r="D75" s="307"/>
      <c r="E75" s="348"/>
      <c r="F75" s="282"/>
      <c r="G75" s="341"/>
      <c r="H75" s="284"/>
      <c r="I75" s="284"/>
      <c r="J75" s="267"/>
    </row>
    <row r="76" spans="2:13" ht="13.5" thickBot="1" x14ac:dyDescent="0.3">
      <c r="B76" s="342" t="s">
        <v>170</v>
      </c>
      <c r="C76" s="343">
        <f>+F54</f>
        <v>18.18</v>
      </c>
      <c r="D76" s="343">
        <f>+D74</f>
        <v>5000</v>
      </c>
      <c r="E76" s="344">
        <f>+C76/D76</f>
        <v>3.6359999999999999E-3</v>
      </c>
      <c r="F76" s="282"/>
      <c r="G76" s="341"/>
      <c r="H76" s="284"/>
      <c r="I76" s="284"/>
      <c r="J76" s="284"/>
    </row>
    <row r="77" spans="2:13" ht="13.5" thickBot="1" x14ac:dyDescent="0.3">
      <c r="B77" s="306"/>
      <c r="C77" s="307"/>
      <c r="D77" s="307"/>
      <c r="E77" s="348"/>
      <c r="F77" s="282"/>
      <c r="G77" s="341"/>
      <c r="H77" s="284"/>
      <c r="I77" s="284"/>
    </row>
    <row r="78" spans="2:13" ht="13.5" thickBot="1" x14ac:dyDescent="0.3">
      <c r="B78" s="870" t="s">
        <v>171</v>
      </c>
      <c r="C78" s="871"/>
      <c r="D78" s="872"/>
      <c r="E78" s="344">
        <f>+E69+E74</f>
        <v>6.1686149999999991</v>
      </c>
      <c r="G78" s="282"/>
      <c r="H78" s="341"/>
      <c r="I78" s="284"/>
      <c r="J78" s="348"/>
    </row>
    <row r="79" spans="2:13" x14ac:dyDescent="0.25">
      <c r="I79" s="341"/>
      <c r="J79" s="267"/>
    </row>
    <row r="80" spans="2:13" ht="13.5" thickBot="1" x14ac:dyDescent="0.3">
      <c r="B80" s="869" t="s">
        <v>172</v>
      </c>
      <c r="C80" s="869"/>
      <c r="D80" s="869"/>
      <c r="E80" s="869"/>
      <c r="F80" s="869"/>
      <c r="G80" s="282"/>
      <c r="H80" s="341"/>
      <c r="J80" s="267"/>
    </row>
    <row r="81" spans="1:10" ht="13.5" thickBot="1" x14ac:dyDescent="0.3">
      <c r="B81" s="342" t="s">
        <v>166</v>
      </c>
      <c r="C81" s="343">
        <f>+C69</f>
        <v>29996.074999999997</v>
      </c>
      <c r="D81" s="343">
        <f>+D60</f>
        <v>1</v>
      </c>
      <c r="E81" s="344">
        <f>+C81/D81</f>
        <v>29996.074999999997</v>
      </c>
      <c r="F81" s="282"/>
      <c r="G81" s="341"/>
      <c r="H81" s="284"/>
      <c r="I81" s="341"/>
      <c r="J81" s="267"/>
    </row>
    <row r="82" spans="1:10" x14ac:dyDescent="0.25">
      <c r="B82" s="345"/>
      <c r="C82" s="346"/>
      <c r="D82" s="347"/>
      <c r="E82" s="330"/>
      <c r="F82" s="282"/>
      <c r="G82" s="341"/>
      <c r="H82" s="284"/>
      <c r="I82" s="284"/>
      <c r="J82" s="267"/>
    </row>
    <row r="83" spans="1:10" x14ac:dyDescent="0.25">
      <c r="B83" s="342" t="s">
        <v>167</v>
      </c>
      <c r="C83" s="343">
        <f>+C71</f>
        <v>30614.176499999998</v>
      </c>
      <c r="D83" s="343">
        <f>+D60</f>
        <v>1</v>
      </c>
      <c r="E83" s="348">
        <f>+C83/D83</f>
        <v>30614.176499999998</v>
      </c>
      <c r="F83" s="282"/>
      <c r="G83" s="341"/>
      <c r="H83" s="284"/>
      <c r="I83" s="284"/>
      <c r="J83" s="267"/>
    </row>
    <row r="84" spans="1:10" x14ac:dyDescent="0.25">
      <c r="B84" s="342"/>
      <c r="C84" s="343"/>
      <c r="D84" s="343"/>
      <c r="E84" s="348"/>
      <c r="F84" s="282"/>
      <c r="G84" s="341"/>
      <c r="H84" s="284"/>
      <c r="I84" s="284"/>
      <c r="J84" s="267"/>
    </row>
    <row r="85" spans="1:10" ht="13.5" thickBot="1" x14ac:dyDescent="0.3">
      <c r="B85" s="342" t="s">
        <v>169</v>
      </c>
      <c r="C85" s="343">
        <f>+C73</f>
        <v>77</v>
      </c>
      <c r="D85" s="343">
        <f>+D60</f>
        <v>1</v>
      </c>
      <c r="E85" s="348">
        <f>+C85/D85</f>
        <v>77</v>
      </c>
      <c r="F85" s="350"/>
      <c r="G85" s="340"/>
      <c r="H85" s="266"/>
      <c r="I85" s="284"/>
    </row>
    <row r="86" spans="1:10" ht="13.5" thickBot="1" x14ac:dyDescent="0.3">
      <c r="B86" s="342" t="s">
        <v>169</v>
      </c>
      <c r="C86" s="343">
        <f>+C74</f>
        <v>847</v>
      </c>
      <c r="D86" s="343">
        <f>+D85</f>
        <v>1</v>
      </c>
      <c r="E86" s="344">
        <f>+C86/D86</f>
        <v>847</v>
      </c>
      <c r="F86" s="349"/>
      <c r="G86" s="340"/>
      <c r="H86" s="266"/>
      <c r="I86" s="266"/>
    </row>
    <row r="87" spans="1:10" x14ac:dyDescent="0.25">
      <c r="I87" s="266"/>
    </row>
    <row r="88" spans="1:10" x14ac:dyDescent="0.2">
      <c r="A88" s="873"/>
      <c r="B88" s="873"/>
      <c r="C88" s="351"/>
      <c r="D88" s="351"/>
      <c r="E88" s="352"/>
      <c r="G88" s="353"/>
    </row>
    <row r="89" spans="1:10" x14ac:dyDescent="0.2">
      <c r="A89" s="285"/>
      <c r="B89" s="354"/>
      <c r="C89" s="355"/>
      <c r="D89" s="355"/>
      <c r="E89" s="356"/>
      <c r="G89" s="353"/>
    </row>
    <row r="90" spans="1:10" x14ac:dyDescent="0.2">
      <c r="A90" s="285"/>
      <c r="B90" s="354"/>
      <c r="C90" s="357"/>
      <c r="D90" s="357"/>
      <c r="E90" s="285"/>
      <c r="G90" s="353"/>
    </row>
    <row r="91" spans="1:10" x14ac:dyDescent="0.2">
      <c r="A91" s="285"/>
      <c r="B91" s="354"/>
      <c r="C91" s="358"/>
      <c r="D91" s="358"/>
      <c r="E91" s="285"/>
      <c r="G91" s="35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8E79-9D7E-46E5-8A45-4C4AD37063B9}">
  <sheetPr>
    <pageSetUpPr fitToPage="1"/>
  </sheetPr>
  <dimension ref="A1:K4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.28515625" bestFit="1" customWidth="1"/>
    <col min="3" max="3" width="43.140625" bestFit="1" customWidth="1"/>
    <col min="4" max="4" width="18.5703125" customWidth="1"/>
    <col min="5" max="5" width="18.28515625" customWidth="1"/>
    <col min="6" max="6" width="16.28515625" customWidth="1"/>
    <col min="7" max="7" width="17.28515625" customWidth="1"/>
    <col min="8" max="8" width="18.85546875" customWidth="1"/>
    <col min="9" max="9" width="20.7109375" bestFit="1" customWidth="1"/>
  </cols>
  <sheetData>
    <row r="1" spans="1:9" ht="17.25" x14ac:dyDescent="0.3">
      <c r="A1" s="853"/>
      <c r="B1" s="854"/>
      <c r="C1" s="859" t="s">
        <v>33</v>
      </c>
      <c r="D1" s="859"/>
      <c r="E1" s="859"/>
      <c r="F1" s="859"/>
      <c r="G1" s="859"/>
      <c r="H1" s="4" t="s">
        <v>32</v>
      </c>
      <c r="I1" s="5" t="s">
        <v>378</v>
      </c>
    </row>
    <row r="2" spans="1:9" ht="17.25" x14ac:dyDescent="0.3">
      <c r="A2" s="855"/>
      <c r="B2" s="856"/>
      <c r="C2" s="860" t="s">
        <v>31</v>
      </c>
      <c r="D2" s="860"/>
      <c r="E2" s="860"/>
      <c r="F2" s="860"/>
      <c r="G2" s="860"/>
      <c r="H2" s="6" t="s">
        <v>30</v>
      </c>
      <c r="I2" s="7" t="s">
        <v>316</v>
      </c>
    </row>
    <row r="3" spans="1:9" ht="32.25" customHeight="1" thickBot="1" x14ac:dyDescent="0.3">
      <c r="A3" s="855"/>
      <c r="B3" s="856"/>
      <c r="C3" s="980" t="s">
        <v>377</v>
      </c>
      <c r="D3" s="980"/>
      <c r="E3" s="980"/>
      <c r="F3" s="980"/>
      <c r="G3" s="980"/>
      <c r="H3" s="862" t="s">
        <v>29</v>
      </c>
      <c r="I3" s="844">
        <v>46063</v>
      </c>
    </row>
    <row r="4" spans="1:9" ht="17.25" x14ac:dyDescent="0.3">
      <c r="A4" s="855"/>
      <c r="B4" s="856"/>
      <c r="C4" s="8" t="s">
        <v>28</v>
      </c>
      <c r="D4" s="847" t="s">
        <v>34</v>
      </c>
      <c r="E4" s="848"/>
      <c r="F4" s="848"/>
      <c r="G4" s="849"/>
      <c r="H4" s="863"/>
      <c r="I4" s="845"/>
    </row>
    <row r="5" spans="1:9" ht="18" thickBot="1" x14ac:dyDescent="0.35">
      <c r="A5" s="857"/>
      <c r="B5" s="858"/>
      <c r="C5" s="9" t="s">
        <v>27</v>
      </c>
      <c r="D5" s="850" t="s">
        <v>180</v>
      </c>
      <c r="E5" s="851"/>
      <c r="F5" s="851"/>
      <c r="G5" s="852"/>
      <c r="H5" s="864"/>
      <c r="I5" s="846"/>
    </row>
    <row r="6" spans="1:9" ht="16.5" thickBot="1" x14ac:dyDescent="0.3">
      <c r="A6" s="835" t="s">
        <v>25</v>
      </c>
      <c r="B6" s="835"/>
      <c r="C6" s="835"/>
      <c r="D6" s="836" t="s">
        <v>59</v>
      </c>
      <c r="E6" s="836"/>
      <c r="F6" s="836"/>
      <c r="G6" s="837" t="s">
        <v>24</v>
      </c>
      <c r="H6" s="837"/>
      <c r="I6" s="10" t="s">
        <v>59</v>
      </c>
    </row>
    <row r="7" spans="1:9" ht="30" x14ac:dyDescent="0.25">
      <c r="A7" s="838" t="s">
        <v>23</v>
      </c>
      <c r="B7" s="840" t="s">
        <v>35</v>
      </c>
      <c r="C7" s="842" t="s">
        <v>22</v>
      </c>
      <c r="D7" s="842" t="s">
        <v>21</v>
      </c>
      <c r="E7" s="842" t="s">
        <v>20</v>
      </c>
      <c r="F7" s="842"/>
      <c r="G7" s="842" t="s">
        <v>19</v>
      </c>
      <c r="H7" s="842"/>
      <c r="I7" s="11" t="s">
        <v>18</v>
      </c>
    </row>
    <row r="8" spans="1:9" ht="33.75" customHeight="1" thickBot="1" x14ac:dyDescent="0.3">
      <c r="A8" s="839"/>
      <c r="B8" s="841"/>
      <c r="C8" s="843"/>
      <c r="D8" s="843"/>
      <c r="E8" s="12" t="s">
        <v>14</v>
      </c>
      <c r="F8" s="13" t="s">
        <v>17</v>
      </c>
      <c r="G8" s="12" t="s">
        <v>14</v>
      </c>
      <c r="H8" s="13" t="s">
        <v>17</v>
      </c>
      <c r="I8" s="14" t="s">
        <v>16</v>
      </c>
    </row>
    <row r="9" spans="1:9" ht="20.25" x14ac:dyDescent="0.3">
      <c r="A9" s="728"/>
      <c r="B9" s="776"/>
      <c r="C9" s="777" t="s">
        <v>36</v>
      </c>
      <c r="D9" s="778"/>
      <c r="E9" s="779"/>
      <c r="F9" s="780"/>
      <c r="G9" s="779"/>
      <c r="H9" s="780"/>
      <c r="I9" s="729"/>
    </row>
    <row r="10" spans="1:9" ht="20.25" x14ac:dyDescent="0.3">
      <c r="A10" s="730"/>
      <c r="B10" s="731" t="s">
        <v>287</v>
      </c>
      <c r="C10" s="732" t="s">
        <v>288</v>
      </c>
      <c r="D10" s="734" t="s">
        <v>289</v>
      </c>
      <c r="E10" s="735">
        <v>4150</v>
      </c>
      <c r="F10" s="732"/>
      <c r="G10" s="781"/>
      <c r="H10" s="733"/>
      <c r="I10" s="729"/>
    </row>
    <row r="11" spans="1:9" ht="20.25" x14ac:dyDescent="0.3">
      <c r="A11" s="730"/>
      <c r="B11" s="731" t="s">
        <v>290</v>
      </c>
      <c r="C11" s="732" t="s">
        <v>291</v>
      </c>
      <c r="D11" s="734" t="s">
        <v>238</v>
      </c>
      <c r="E11" s="735">
        <v>4150</v>
      </c>
      <c r="F11" s="732"/>
      <c r="G11" s="781"/>
      <c r="H11" s="733"/>
      <c r="I11" s="729"/>
    </row>
    <row r="12" spans="1:9" ht="20.25" x14ac:dyDescent="0.3">
      <c r="A12" s="730"/>
      <c r="B12" s="731" t="s">
        <v>292</v>
      </c>
      <c r="C12" s="732" t="s">
        <v>293</v>
      </c>
      <c r="D12" s="734" t="s">
        <v>294</v>
      </c>
      <c r="E12" s="735">
        <v>65</v>
      </c>
      <c r="F12" s="732"/>
      <c r="G12" s="732"/>
      <c r="H12" s="733"/>
      <c r="I12" s="729"/>
    </row>
    <row r="13" spans="1:9" ht="20.25" x14ac:dyDescent="0.3">
      <c r="A13" s="732"/>
      <c r="B13" s="731" t="s">
        <v>295</v>
      </c>
      <c r="C13" s="732" t="s">
        <v>296</v>
      </c>
      <c r="D13" s="734" t="s">
        <v>206</v>
      </c>
      <c r="E13" s="735">
        <v>1500</v>
      </c>
      <c r="F13" s="732"/>
      <c r="G13" s="732"/>
      <c r="H13" s="733"/>
      <c r="I13" s="729"/>
    </row>
    <row r="14" spans="1:9" ht="20.25" x14ac:dyDescent="0.3">
      <c r="A14" s="732"/>
      <c r="B14" s="731" t="s">
        <v>82</v>
      </c>
      <c r="C14" s="732" t="s">
        <v>83</v>
      </c>
      <c r="D14" s="734" t="s">
        <v>15</v>
      </c>
      <c r="E14" s="735">
        <v>1830</v>
      </c>
      <c r="F14" s="732"/>
      <c r="G14" s="731"/>
      <c r="H14" s="736" t="s">
        <v>91</v>
      </c>
      <c r="I14" s="729"/>
    </row>
    <row r="15" spans="1:9" ht="20.25" x14ac:dyDescent="0.3">
      <c r="A15" s="732"/>
      <c r="B15" s="731" t="s">
        <v>86</v>
      </c>
      <c r="C15" s="732" t="s">
        <v>87</v>
      </c>
      <c r="D15" s="734" t="s">
        <v>15</v>
      </c>
      <c r="E15" s="735">
        <v>500</v>
      </c>
      <c r="F15" s="732"/>
      <c r="G15" s="732"/>
      <c r="H15" s="736"/>
      <c r="I15" s="729"/>
    </row>
    <row r="16" spans="1:9" ht="20.25" x14ac:dyDescent="0.3">
      <c r="A16" s="732"/>
      <c r="B16" s="732" t="s">
        <v>231</v>
      </c>
      <c r="C16" s="732" t="s">
        <v>379</v>
      </c>
      <c r="D16" s="734" t="s">
        <v>88</v>
      </c>
      <c r="E16" s="735">
        <v>15</v>
      </c>
      <c r="F16" s="732"/>
      <c r="G16" s="732"/>
      <c r="H16" s="736"/>
      <c r="I16" s="729"/>
    </row>
    <row r="17" spans="1:11" ht="20.25" x14ac:dyDescent="0.3">
      <c r="A17" s="732"/>
      <c r="B17" s="732"/>
      <c r="C17" s="737"/>
      <c r="D17" s="738"/>
      <c r="E17" s="739"/>
      <c r="F17" s="740"/>
      <c r="G17" s="732"/>
      <c r="H17" s="736"/>
      <c r="I17" s="729"/>
    </row>
    <row r="18" spans="1:11" ht="20.25" x14ac:dyDescent="0.3">
      <c r="A18" s="741"/>
      <c r="B18" s="742"/>
      <c r="C18" s="743" t="s">
        <v>39</v>
      </c>
      <c r="D18" s="744"/>
      <c r="E18" s="739"/>
      <c r="F18" s="740"/>
      <c r="G18" s="732"/>
      <c r="H18" s="736"/>
      <c r="I18" s="729"/>
    </row>
    <row r="19" spans="1:11" ht="20.25" x14ac:dyDescent="0.3">
      <c r="A19" s="732"/>
      <c r="B19" s="732"/>
      <c r="C19" s="745"/>
      <c r="D19" s="734"/>
      <c r="E19" s="736"/>
      <c r="F19" s="740"/>
      <c r="G19" s="746"/>
      <c r="H19" s="746"/>
      <c r="I19" s="729"/>
    </row>
    <row r="20" spans="1:11" ht="20.25" x14ac:dyDescent="0.3">
      <c r="A20" s="730"/>
      <c r="B20" s="730"/>
      <c r="C20" s="747"/>
      <c r="D20" s="748"/>
      <c r="E20" s="736"/>
      <c r="F20" s="740"/>
      <c r="G20" s="736"/>
      <c r="H20" s="733"/>
      <c r="I20" s="729"/>
    </row>
    <row r="21" spans="1:11" ht="20.25" x14ac:dyDescent="0.3">
      <c r="A21" s="730"/>
      <c r="B21" s="730"/>
      <c r="C21" s="749" t="s">
        <v>38</v>
      </c>
      <c r="D21" s="748"/>
      <c r="E21" s="736"/>
      <c r="F21" s="733"/>
      <c r="G21" s="736"/>
      <c r="H21" s="733"/>
      <c r="I21" s="729"/>
    </row>
    <row r="22" spans="1:11" ht="20.25" x14ac:dyDescent="0.3">
      <c r="A22" s="730"/>
      <c r="B22" s="731" t="s">
        <v>80</v>
      </c>
      <c r="C22" s="732" t="s">
        <v>299</v>
      </c>
      <c r="D22" s="748"/>
      <c r="E22" s="750"/>
      <c r="F22" s="751"/>
      <c r="G22" s="732"/>
      <c r="H22" s="733"/>
      <c r="I22" s="729"/>
    </row>
    <row r="23" spans="1:11" ht="20.25" x14ac:dyDescent="0.3">
      <c r="A23" s="731"/>
      <c r="B23" s="755"/>
      <c r="C23" s="732"/>
      <c r="D23" s="733"/>
      <c r="E23" s="736"/>
      <c r="F23" s="740"/>
      <c r="G23" s="754"/>
      <c r="H23" s="753"/>
      <c r="I23" s="729"/>
    </row>
    <row r="24" spans="1:11" ht="20.25" x14ac:dyDescent="0.3">
      <c r="A24" s="756"/>
      <c r="B24" s="757"/>
      <c r="C24" s="752"/>
      <c r="D24" s="753"/>
      <c r="E24" s="753"/>
      <c r="F24" s="758"/>
      <c r="G24" s="753"/>
      <c r="H24" s="753"/>
      <c r="I24" s="729"/>
    </row>
    <row r="25" spans="1:11" ht="21" thickBot="1" x14ac:dyDescent="0.35">
      <c r="A25" s="759"/>
      <c r="B25" s="760"/>
      <c r="C25" s="761"/>
      <c r="D25" s="761"/>
      <c r="E25" s="762"/>
      <c r="F25" s="763"/>
      <c r="G25" s="761"/>
      <c r="H25" s="761"/>
      <c r="I25" s="764"/>
    </row>
    <row r="26" spans="1:11" ht="21" thickBot="1" x14ac:dyDescent="0.35">
      <c r="A26" s="765"/>
      <c r="B26" s="766"/>
      <c r="C26" s="767"/>
      <c r="D26" s="768" t="s">
        <v>14</v>
      </c>
      <c r="E26" s="769" t="s">
        <v>13</v>
      </c>
      <c r="F26" s="770"/>
      <c r="G26" s="767"/>
      <c r="H26" s="767"/>
      <c r="I26" s="771"/>
      <c r="K26" s="212">
        <v>0.5</v>
      </c>
    </row>
    <row r="27" spans="1:11" ht="20.25" x14ac:dyDescent="0.3">
      <c r="A27" s="981" t="s">
        <v>12</v>
      </c>
      <c r="B27" s="982"/>
      <c r="C27" s="983"/>
      <c r="D27" s="772">
        <v>11000</v>
      </c>
      <c r="E27" s="773" t="s">
        <v>1</v>
      </c>
      <c r="F27" s="984" t="s">
        <v>11</v>
      </c>
      <c r="G27" s="984"/>
      <c r="H27" s="985"/>
      <c r="I27" s="986"/>
    </row>
    <row r="28" spans="1:11" ht="20.25" x14ac:dyDescent="0.3">
      <c r="A28" s="987" t="s">
        <v>10</v>
      </c>
      <c r="B28" s="988"/>
      <c r="C28" s="989"/>
      <c r="D28" s="772">
        <v>30</v>
      </c>
      <c r="E28" s="733" t="s">
        <v>9</v>
      </c>
      <c r="F28" s="990" t="s">
        <v>8</v>
      </c>
      <c r="G28" s="990"/>
      <c r="H28" s="991"/>
      <c r="I28" s="992"/>
    </row>
    <row r="29" spans="1:11" ht="20.25" x14ac:dyDescent="0.3">
      <c r="A29" s="987" t="s">
        <v>7</v>
      </c>
      <c r="B29" s="988"/>
      <c r="C29" s="989"/>
      <c r="D29" s="772">
        <v>1</v>
      </c>
      <c r="E29" s="733" t="s">
        <v>92</v>
      </c>
      <c r="F29" s="990" t="s">
        <v>5</v>
      </c>
      <c r="G29" s="990"/>
      <c r="H29" s="991"/>
      <c r="I29" s="992"/>
    </row>
    <row r="30" spans="1:11" ht="20.25" x14ac:dyDescent="0.3">
      <c r="A30" s="987" t="s">
        <v>4</v>
      </c>
      <c r="B30" s="988"/>
      <c r="C30" s="989"/>
      <c r="D30" s="772">
        <v>11000</v>
      </c>
      <c r="E30" s="733" t="s">
        <v>1</v>
      </c>
      <c r="F30" s="993" t="s">
        <v>3</v>
      </c>
      <c r="G30" s="994"/>
      <c r="H30" s="991"/>
      <c r="I30" s="992"/>
    </row>
    <row r="31" spans="1:11" ht="21" thickBot="1" x14ac:dyDescent="0.35">
      <c r="A31" s="1002" t="s">
        <v>2</v>
      </c>
      <c r="B31" s="1003"/>
      <c r="C31" s="1004"/>
      <c r="D31" s="774">
        <f>SUM(E10:E17)-D27</f>
        <v>1210</v>
      </c>
      <c r="E31" s="775" t="s">
        <v>1</v>
      </c>
      <c r="F31" s="1005"/>
      <c r="G31" s="1005"/>
      <c r="H31" s="1006"/>
      <c r="I31" s="1007"/>
    </row>
    <row r="32" spans="1:11" ht="24" customHeight="1" thickBot="1" x14ac:dyDescent="0.35">
      <c r="A32" s="1008" t="s">
        <v>0</v>
      </c>
      <c r="B32" s="1009"/>
      <c r="C32" s="1009"/>
      <c r="D32" s="1009"/>
      <c r="E32" s="1009"/>
      <c r="F32" s="1009"/>
      <c r="G32" s="1009"/>
      <c r="H32" s="1009"/>
      <c r="I32" s="1010"/>
    </row>
    <row r="33" spans="1:9" ht="20.25" customHeight="1" x14ac:dyDescent="0.25">
      <c r="A33" s="1011" t="s">
        <v>300</v>
      </c>
      <c r="B33" s="1012"/>
      <c r="C33" s="1012"/>
      <c r="D33" s="1012"/>
      <c r="E33" s="1012"/>
      <c r="F33" s="1012"/>
      <c r="G33" s="1012"/>
      <c r="H33" s="1012"/>
      <c r="I33" s="1013"/>
    </row>
    <row r="34" spans="1:9" ht="51.75" customHeight="1" x14ac:dyDescent="0.25">
      <c r="A34" s="995" t="s">
        <v>301</v>
      </c>
      <c r="B34" s="996"/>
      <c r="C34" s="996"/>
      <c r="D34" s="996"/>
      <c r="E34" s="996"/>
      <c r="F34" s="996"/>
      <c r="G34" s="996"/>
      <c r="H34" s="996"/>
      <c r="I34" s="997"/>
    </row>
    <row r="35" spans="1:9" ht="54" customHeight="1" x14ac:dyDescent="0.25">
      <c r="A35" s="998" t="s">
        <v>302</v>
      </c>
      <c r="B35" s="998"/>
      <c r="C35" s="998"/>
      <c r="D35" s="998"/>
      <c r="E35" s="998"/>
      <c r="F35" s="998"/>
      <c r="G35" s="998"/>
      <c r="H35" s="998"/>
      <c r="I35" s="998"/>
    </row>
    <row r="36" spans="1:9" ht="20.25" x14ac:dyDescent="0.25">
      <c r="A36" s="999" t="s">
        <v>381</v>
      </c>
      <c r="B36" s="1000"/>
      <c r="C36" s="1000"/>
      <c r="D36" s="1000"/>
      <c r="E36" s="1000"/>
      <c r="F36" s="1000"/>
      <c r="G36" s="1000"/>
      <c r="H36" s="1000"/>
      <c r="I36" s="1001"/>
    </row>
    <row r="37" spans="1:9" ht="20.25" x14ac:dyDescent="0.25">
      <c r="A37" s="1014" t="s">
        <v>303</v>
      </c>
      <c r="B37" s="1015"/>
      <c r="C37" s="1015"/>
      <c r="D37" s="1015"/>
      <c r="E37" s="1015"/>
      <c r="F37" s="1015"/>
      <c r="G37" s="1015"/>
      <c r="H37" s="1015"/>
      <c r="I37" s="1016"/>
    </row>
    <row r="38" spans="1:9" ht="20.25" x14ac:dyDescent="0.3">
      <c r="A38" s="1018"/>
      <c r="B38" s="1019"/>
      <c r="C38" s="1019"/>
      <c r="D38" s="1019"/>
      <c r="E38" s="1019"/>
      <c r="F38" s="1019"/>
      <c r="G38" s="1019"/>
      <c r="H38" s="1019"/>
      <c r="I38" s="1020"/>
    </row>
    <row r="39" spans="1:9" ht="20.25" x14ac:dyDescent="0.3">
      <c r="A39" s="1021" t="s">
        <v>37</v>
      </c>
      <c r="B39" s="1021"/>
      <c r="C39" s="1021"/>
      <c r="D39" s="1021"/>
      <c r="E39" s="1021"/>
      <c r="F39" s="1021"/>
      <c r="G39" s="1021"/>
      <c r="H39" s="1021"/>
      <c r="I39" s="1021"/>
    </row>
    <row r="40" spans="1:9" ht="20.25" x14ac:dyDescent="0.3">
      <c r="A40" s="1017" t="s">
        <v>380</v>
      </c>
      <c r="B40" s="1017"/>
      <c r="C40" s="1017"/>
      <c r="D40" s="1017"/>
      <c r="E40" s="1017"/>
      <c r="F40" s="1017"/>
      <c r="G40" s="1017"/>
      <c r="H40" s="1017"/>
      <c r="I40" s="1017"/>
    </row>
    <row r="41" spans="1:9" ht="20.25" x14ac:dyDescent="0.3">
      <c r="A41" s="1017"/>
      <c r="B41" s="1017"/>
      <c r="C41" s="1017"/>
      <c r="D41" s="1017"/>
      <c r="E41" s="1017"/>
      <c r="F41" s="1017"/>
      <c r="G41" s="1017"/>
      <c r="H41" s="1017"/>
      <c r="I41" s="1017"/>
    </row>
  </sheetData>
  <mergeCells count="42">
    <mergeCell ref="A37:I37"/>
    <mergeCell ref="A41:I41"/>
    <mergeCell ref="A38:I38"/>
    <mergeCell ref="A39:I39"/>
    <mergeCell ref="A40:I40"/>
    <mergeCell ref="A34:I34"/>
    <mergeCell ref="A35:I35"/>
    <mergeCell ref="A36:I36"/>
    <mergeCell ref="A31:C31"/>
    <mergeCell ref="F31:G31"/>
    <mergeCell ref="H31:I31"/>
    <mergeCell ref="A32:I32"/>
    <mergeCell ref="A33:I33"/>
    <mergeCell ref="A29:C29"/>
    <mergeCell ref="F29:G29"/>
    <mergeCell ref="H29:I29"/>
    <mergeCell ref="A30:C30"/>
    <mergeCell ref="F30:G30"/>
    <mergeCell ref="H30:I30"/>
    <mergeCell ref="F27:G27"/>
    <mergeCell ref="H27:I27"/>
    <mergeCell ref="A28:C28"/>
    <mergeCell ref="F28:G28"/>
    <mergeCell ref="H28:I28"/>
    <mergeCell ref="A7:A8"/>
    <mergeCell ref="B7:B8"/>
    <mergeCell ref="C7:C8"/>
    <mergeCell ref="D7:D8"/>
    <mergeCell ref="A27:C27"/>
    <mergeCell ref="A1:B5"/>
    <mergeCell ref="C1:G1"/>
    <mergeCell ref="C2:G2"/>
    <mergeCell ref="A6:C6"/>
    <mergeCell ref="D6:F6"/>
    <mergeCell ref="G6:H6"/>
    <mergeCell ref="E7:F7"/>
    <mergeCell ref="G7:H7"/>
    <mergeCell ref="I3:I5"/>
    <mergeCell ref="D4:G4"/>
    <mergeCell ref="D5:G5"/>
    <mergeCell ref="C3:G3"/>
    <mergeCell ref="H3:H5"/>
  </mergeCells>
  <pageMargins left="0.25" right="0.25" top="0.75" bottom="0.75" header="0.3" footer="0.3"/>
  <pageSetup scale="5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1FC9-6EB2-4333-A941-B4EDA2222503}">
  <dimension ref="A1:Q91"/>
  <sheetViews>
    <sheetView topLeftCell="A58" workbookViewId="0">
      <selection activeCell="B66" sqref="B66:E66"/>
    </sheetView>
  </sheetViews>
  <sheetFormatPr baseColWidth="10" defaultColWidth="8.42578125" defaultRowHeight="12.75" x14ac:dyDescent="0.25"/>
  <cols>
    <col min="1" max="1" width="10" style="267" bestFit="1" customWidth="1"/>
    <col min="2" max="2" width="44.28515625" style="267" bestFit="1" customWidth="1"/>
    <col min="3" max="3" width="10.42578125" style="267" bestFit="1" customWidth="1"/>
    <col min="4" max="4" width="10.42578125" style="267" customWidth="1"/>
    <col min="5" max="5" width="11" style="267" customWidth="1"/>
    <col min="6" max="6" width="9.5703125" style="267" bestFit="1" customWidth="1"/>
    <col min="7" max="7" width="10.85546875" style="367" customWidth="1"/>
    <col min="8" max="8" width="10.42578125" style="340" bestFit="1" customWidth="1"/>
    <col min="9" max="9" width="4.5703125" style="340" customWidth="1"/>
    <col min="10" max="10" width="1.85546875" style="266" customWidth="1"/>
    <col min="11" max="11" width="7" style="267" bestFit="1" customWidth="1"/>
    <col min="12" max="12" width="6.28515625" style="267" customWidth="1"/>
    <col min="13" max="13" width="20.42578125" style="267" customWidth="1"/>
    <col min="14" max="14" width="6.42578125" style="267" bestFit="1" customWidth="1"/>
    <col min="15" max="16" width="8.42578125" style="267"/>
    <col min="17" max="17" width="3.28515625" style="267" customWidth="1"/>
    <col min="18" max="16384" width="8.42578125" style="267"/>
  </cols>
  <sheetData>
    <row r="1" spans="1:10" ht="27.75" customHeight="1" x14ac:dyDescent="0.25">
      <c r="A1" s="262"/>
      <c r="B1" s="262"/>
      <c r="C1" s="262"/>
      <c r="D1" s="262"/>
      <c r="E1" s="263" t="s">
        <v>122</v>
      </c>
      <c r="F1" s="264" t="s">
        <v>123</v>
      </c>
      <c r="G1" s="264" t="s">
        <v>124</v>
      </c>
      <c r="H1" s="264" t="s">
        <v>125</v>
      </c>
      <c r="I1" s="265"/>
    </row>
    <row r="2" spans="1:10" ht="30.75" customHeight="1" x14ac:dyDescent="0.25">
      <c r="A2" s="262"/>
      <c r="B2" s="262"/>
      <c r="C2" s="262"/>
      <c r="D2" s="262"/>
      <c r="E2" s="268">
        <f>IFERROR(O62,"")</f>
        <v>20583.699999999997</v>
      </c>
      <c r="F2" s="268">
        <f>IFERROR(H53,"")</f>
        <v>15783.699999999999</v>
      </c>
      <c r="G2" s="268">
        <f>IFERROR(H54,"")</f>
        <v>0</v>
      </c>
      <c r="H2" s="268">
        <f>IFERROR(H56,"")</f>
        <v>2310</v>
      </c>
      <c r="I2" s="269"/>
    </row>
    <row r="3" spans="1:10" ht="15" customHeight="1" x14ac:dyDescent="0.25">
      <c r="A3" s="262"/>
      <c r="B3" s="262"/>
      <c r="C3" s="262"/>
      <c r="D3" s="262"/>
      <c r="E3" s="262"/>
      <c r="F3" s="270"/>
      <c r="G3" s="270"/>
      <c r="H3" s="270"/>
      <c r="I3" s="270"/>
    </row>
    <row r="4" spans="1:10" ht="24.75" customHeight="1" thickBot="1" x14ac:dyDescent="0.3">
      <c r="A4" s="895"/>
      <c r="B4" s="895"/>
      <c r="C4" s="895"/>
      <c r="D4" s="895"/>
      <c r="E4" s="895"/>
      <c r="F4" s="895"/>
      <c r="G4" s="895"/>
      <c r="H4" s="895"/>
      <c r="I4" s="271"/>
    </row>
    <row r="5" spans="1:10" ht="19.5" customHeight="1" thickBot="1" x14ac:dyDescent="0.3">
      <c r="A5" s="896" t="s">
        <v>126</v>
      </c>
      <c r="B5" s="897"/>
      <c r="C5" s="897"/>
      <c r="D5" s="897"/>
      <c r="E5" s="897"/>
      <c r="F5" s="897"/>
      <c r="G5" s="897"/>
      <c r="H5" s="898"/>
      <c r="I5" s="272"/>
    </row>
    <row r="6" spans="1:10" ht="19.5" thickBot="1" x14ac:dyDescent="0.3">
      <c r="A6" s="272"/>
      <c r="B6" s="272"/>
      <c r="C6" s="272"/>
      <c r="D6" s="272"/>
      <c r="E6" s="272"/>
      <c r="F6" s="899" t="s">
        <v>127</v>
      </c>
      <c r="G6" s="899"/>
      <c r="H6" s="273">
        <f ca="1">TODAY()</f>
        <v>46083</v>
      </c>
      <c r="I6" s="273"/>
    </row>
    <row r="7" spans="1:10" ht="26.25" thickBot="1" x14ac:dyDescent="0.3">
      <c r="A7" s="274" t="s">
        <v>128</v>
      </c>
      <c r="B7" s="275" t="s">
        <v>129</v>
      </c>
      <c r="C7" s="275" t="s">
        <v>128</v>
      </c>
      <c r="D7" s="276" t="s">
        <v>130</v>
      </c>
      <c r="E7" s="276" t="s">
        <v>131</v>
      </c>
      <c r="F7" s="276" t="s">
        <v>132</v>
      </c>
      <c r="G7" s="276" t="s">
        <v>133</v>
      </c>
      <c r="H7" s="277" t="s">
        <v>134</v>
      </c>
      <c r="I7" s="278"/>
    </row>
    <row r="8" spans="1:10" ht="13.5" x14ac:dyDescent="0.25">
      <c r="A8" s="279">
        <v>4150</v>
      </c>
      <c r="B8" s="267" t="s">
        <v>288</v>
      </c>
      <c r="C8" s="280">
        <f>+A8</f>
        <v>4150</v>
      </c>
      <c r="D8" s="281" t="s">
        <v>174</v>
      </c>
      <c r="E8" s="281">
        <v>1.73</v>
      </c>
      <c r="F8" s="281">
        <f>IFERROR(C8*E8,"")</f>
        <v>7179.5</v>
      </c>
      <c r="G8" s="359">
        <f t="shared" ref="G8:G14" si="0">IFERROR(F8/$F$66,"")</f>
        <v>0.38999153366105765</v>
      </c>
      <c r="H8" s="283" t="s">
        <v>287</v>
      </c>
      <c r="I8" s="283"/>
      <c r="J8" s="360"/>
    </row>
    <row r="9" spans="1:10" ht="13.5" x14ac:dyDescent="0.25">
      <c r="A9" s="279">
        <v>4150</v>
      </c>
      <c r="B9" s="267" t="s">
        <v>291</v>
      </c>
      <c r="C9" s="280">
        <f t="shared" ref="C9:C14" si="1">+A9</f>
        <v>4150</v>
      </c>
      <c r="D9" s="281" t="s">
        <v>174</v>
      </c>
      <c r="E9" s="281">
        <v>0.57999999999999996</v>
      </c>
      <c r="F9" s="281">
        <f t="shared" ref="F9:F14" si="2">IFERROR(C9*E9,"")</f>
        <v>2407</v>
      </c>
      <c r="G9" s="359">
        <f t="shared" si="0"/>
        <v>0.13074860666093263</v>
      </c>
      <c r="H9" s="283" t="s">
        <v>290</v>
      </c>
      <c r="I9" s="283"/>
      <c r="J9" s="360"/>
    </row>
    <row r="10" spans="1:10" ht="13.5" x14ac:dyDescent="0.25">
      <c r="A10" s="279">
        <v>65</v>
      </c>
      <c r="B10" s="267" t="s">
        <v>293</v>
      </c>
      <c r="C10" s="280">
        <f t="shared" si="1"/>
        <v>65</v>
      </c>
      <c r="D10" s="281" t="s">
        <v>174</v>
      </c>
      <c r="E10" s="281">
        <v>1.26</v>
      </c>
      <c r="F10" s="281">
        <f t="shared" si="2"/>
        <v>81.900000000000006</v>
      </c>
      <c r="G10" s="359">
        <f t="shared" si="0"/>
        <v>4.448820475916237E-3</v>
      </c>
      <c r="H10" s="283" t="s">
        <v>292</v>
      </c>
      <c r="I10" s="283"/>
      <c r="J10" s="360"/>
    </row>
    <row r="11" spans="1:10" ht="13.5" x14ac:dyDescent="0.25">
      <c r="A11" s="279">
        <v>1500</v>
      </c>
      <c r="B11" s="267" t="s">
        <v>296</v>
      </c>
      <c r="C11" s="280">
        <f t="shared" si="1"/>
        <v>1500</v>
      </c>
      <c r="D11" s="281" t="s">
        <v>174</v>
      </c>
      <c r="E11" s="281">
        <v>2.79</v>
      </c>
      <c r="F11" s="281">
        <f t="shared" si="2"/>
        <v>4185</v>
      </c>
      <c r="G11" s="359">
        <f t="shared" si="0"/>
        <v>0.22732983750560992</v>
      </c>
      <c r="H11" s="283" t="s">
        <v>295</v>
      </c>
      <c r="I11" s="283"/>
      <c r="J11" s="360"/>
    </row>
    <row r="12" spans="1:10" ht="13.5" x14ac:dyDescent="0.25">
      <c r="A12" s="279">
        <v>1830</v>
      </c>
      <c r="B12" s="267" t="s">
        <v>83</v>
      </c>
      <c r="C12" s="280">
        <f t="shared" si="1"/>
        <v>1830</v>
      </c>
      <c r="D12" s="281" t="s">
        <v>174</v>
      </c>
      <c r="E12" s="281">
        <v>0.43</v>
      </c>
      <c r="F12" s="281">
        <f t="shared" si="2"/>
        <v>786.9</v>
      </c>
      <c r="G12" s="359">
        <f t="shared" si="0"/>
        <v>4.2744527869334394E-2</v>
      </c>
      <c r="H12" s="283" t="s">
        <v>82</v>
      </c>
      <c r="I12" s="283"/>
      <c r="J12" s="360"/>
    </row>
    <row r="13" spans="1:10" ht="13.5" x14ac:dyDescent="0.25">
      <c r="A13" s="279">
        <v>500</v>
      </c>
      <c r="B13" s="267" t="s">
        <v>87</v>
      </c>
      <c r="C13" s="280">
        <f t="shared" si="1"/>
        <v>500</v>
      </c>
      <c r="D13" s="281" t="s">
        <v>174</v>
      </c>
      <c r="E13" s="281">
        <v>2.0299999999999998</v>
      </c>
      <c r="F13" s="281">
        <f t="shared" si="2"/>
        <v>1014.9999999999999</v>
      </c>
      <c r="G13" s="359">
        <f t="shared" si="0"/>
        <v>5.5134954616055921E-2</v>
      </c>
      <c r="H13" s="283" t="s">
        <v>86</v>
      </c>
      <c r="I13" s="283"/>
      <c r="J13" s="360"/>
    </row>
    <row r="14" spans="1:10" ht="13.5" x14ac:dyDescent="0.25">
      <c r="A14" s="279">
        <v>15</v>
      </c>
      <c r="B14" s="267" t="s">
        <v>298</v>
      </c>
      <c r="C14" s="280">
        <f t="shared" si="1"/>
        <v>15</v>
      </c>
      <c r="D14" s="281" t="s">
        <v>174</v>
      </c>
      <c r="E14" s="281">
        <v>8.56</v>
      </c>
      <c r="F14" s="281">
        <f t="shared" si="2"/>
        <v>128.4</v>
      </c>
      <c r="G14" s="359">
        <f t="shared" si="0"/>
        <v>6.9747075593119033E-3</v>
      </c>
      <c r="H14" s="283" t="s">
        <v>297</v>
      </c>
      <c r="I14" s="283"/>
      <c r="J14" s="360"/>
    </row>
    <row r="15" spans="1:10" ht="14.25" thickBot="1" x14ac:dyDescent="0.3">
      <c r="A15" s="279"/>
      <c r="B15" s="267" t="str">
        <f>IFERROR(VLOOKUP(H15,[2]Hoja2!$A$2:$G$589,2,0),"")</f>
        <v/>
      </c>
      <c r="C15" s="280"/>
      <c r="D15" s="281"/>
      <c r="E15" s="281"/>
      <c r="F15" s="281"/>
      <c r="G15" s="359"/>
      <c r="H15" s="283"/>
      <c r="I15" s="283"/>
      <c r="J15" s="360"/>
    </row>
    <row r="16" spans="1:10" ht="26.25" hidden="1" thickBot="1" x14ac:dyDescent="0.3">
      <c r="A16" s="274" t="s">
        <v>128</v>
      </c>
      <c r="B16" s="275" t="s">
        <v>135</v>
      </c>
      <c r="C16" s="275" t="s">
        <v>128</v>
      </c>
      <c r="D16" s="276" t="s">
        <v>130</v>
      </c>
      <c r="E16" s="276" t="s">
        <v>131</v>
      </c>
      <c r="F16" s="276" t="s">
        <v>132</v>
      </c>
      <c r="G16" s="276" t="s">
        <v>133</v>
      </c>
      <c r="H16" s="277" t="s">
        <v>134</v>
      </c>
      <c r="I16" s="278"/>
      <c r="J16" s="360"/>
    </row>
    <row r="17" spans="1:12" ht="13.5" hidden="1" x14ac:dyDescent="0.25">
      <c r="A17" s="279"/>
      <c r="B17" s="267" t="str">
        <f>IFERROR(VLOOKUP(H17,[1]SEMIELABORADOS!$A$2:$M$6000,2,0),"")</f>
        <v/>
      </c>
      <c r="C17" s="280">
        <f>+A17</f>
        <v>0</v>
      </c>
      <c r="D17" s="280" t="str">
        <f>IFERROR(VLOOKUP(H17,[1]SEMIELABORADOS!$A$2:$M$6000,6,0),"")</f>
        <v/>
      </c>
      <c r="E17" s="281" t="str">
        <f>IFERROR(VLOOKUP(H17,[1]SEMIELABORADOS!$A$2:$H$65536,8,0),"")</f>
        <v/>
      </c>
      <c r="F17" s="281" t="str">
        <f>IFERROR(E17*C17,"")</f>
        <v/>
      </c>
      <c r="G17" s="359" t="str">
        <f t="shared" ref="G17:G24" si="3">IFERROR(F17/$F$66,"")</f>
        <v/>
      </c>
      <c r="H17" s="283"/>
      <c r="I17" s="283"/>
      <c r="J17" s="360"/>
    </row>
    <row r="18" spans="1:12" ht="13.5" hidden="1" x14ac:dyDescent="0.25">
      <c r="A18" s="279"/>
      <c r="B18" s="267" t="str">
        <f>IFERROR(VLOOKUP(H18,[1]SEMIELABORADOS!$A$2:$M$6000,2,0),"")</f>
        <v/>
      </c>
      <c r="C18" s="280">
        <f t="shared" ref="C18:C24" si="4">+A18</f>
        <v>0</v>
      </c>
      <c r="D18" s="280" t="str">
        <f>IFERROR(VLOOKUP(H18,[1]SEMIELABORADOS!$A$2:$M$6000,6,0),"")</f>
        <v/>
      </c>
      <c r="E18" s="281" t="str">
        <f>IFERROR(VLOOKUP(H18,[1]SEMIELABORADOS!$A$2:$H$65536,8,0),"")</f>
        <v/>
      </c>
      <c r="F18" s="281" t="str">
        <f t="shared" ref="F18:F24" si="5">IFERROR(E18*C18,"")</f>
        <v/>
      </c>
      <c r="G18" s="359" t="str">
        <f t="shared" si="3"/>
        <v/>
      </c>
      <c r="H18" s="283"/>
      <c r="I18" s="283"/>
      <c r="J18" s="360"/>
    </row>
    <row r="19" spans="1:12" ht="13.5" hidden="1" x14ac:dyDescent="0.25">
      <c r="A19" s="279"/>
      <c r="B19" s="267" t="str">
        <f>IFERROR(VLOOKUP(H19,[1]SEMIELABORADOS!$A$2:$M$6000,2,0),"")</f>
        <v/>
      </c>
      <c r="C19" s="280">
        <f>+A19</f>
        <v>0</v>
      </c>
      <c r="D19" s="280" t="str">
        <f>IFERROR(VLOOKUP(H19,[1]SEMIELABORADOS!$A$2:$M$6000,6,0),"")</f>
        <v/>
      </c>
      <c r="E19" s="281" t="str">
        <f>IFERROR(VLOOKUP(H19,[1]SEMIELABORADOS!$A$2:$H$65536,8,0),"")</f>
        <v/>
      </c>
      <c r="F19" s="281" t="str">
        <f>IFERROR(E19*C19,"")</f>
        <v/>
      </c>
      <c r="G19" s="359" t="str">
        <f t="shared" si="3"/>
        <v/>
      </c>
      <c r="H19" s="283"/>
      <c r="I19" s="283"/>
      <c r="J19" s="360"/>
    </row>
    <row r="20" spans="1:12" ht="13.5" hidden="1" x14ac:dyDescent="0.25">
      <c r="A20" s="279"/>
      <c r="B20" s="267" t="str">
        <f>IFERROR(VLOOKUP(H20,[1]SEMIELABORADOS!$A$2:$M$6000,2,0),"")</f>
        <v/>
      </c>
      <c r="C20" s="280">
        <f>+A20</f>
        <v>0</v>
      </c>
      <c r="D20" s="280" t="str">
        <f>IFERROR(VLOOKUP(H20,[1]SEMIELABORADOS!$A$2:$M$6000,6,0),"")</f>
        <v/>
      </c>
      <c r="E20" s="281" t="str">
        <f>IFERROR(VLOOKUP(H20,[1]SEMIELABORADOS!$A$2:$H$65536,8,0),"")</f>
        <v/>
      </c>
      <c r="F20" s="281" t="str">
        <f>IFERROR(E20*C20,"")</f>
        <v/>
      </c>
      <c r="G20" s="359" t="str">
        <f t="shared" si="3"/>
        <v/>
      </c>
      <c r="H20" s="283"/>
      <c r="I20" s="283"/>
      <c r="J20" s="360"/>
    </row>
    <row r="21" spans="1:12" ht="13.5" hidden="1" x14ac:dyDescent="0.25">
      <c r="A21" s="279"/>
      <c r="B21" s="267" t="str">
        <f>IFERROR(VLOOKUP(H21,[1]SEMIELABORADOS!$A$2:$M$6000,2,0),"")</f>
        <v/>
      </c>
      <c r="C21" s="280">
        <f>+A21</f>
        <v>0</v>
      </c>
      <c r="D21" s="280" t="str">
        <f>IFERROR(VLOOKUP(H21,[1]SEMIELABORADOS!$A$2:$M$6000,6,0),"")</f>
        <v/>
      </c>
      <c r="E21" s="281" t="str">
        <f>IFERROR(VLOOKUP(H21,[1]SEMIELABORADOS!$A$2:$H$65536,8,0),"")</f>
        <v/>
      </c>
      <c r="F21" s="281" t="str">
        <f>IFERROR(E21*C21,"")</f>
        <v/>
      </c>
      <c r="G21" s="359" t="str">
        <f t="shared" si="3"/>
        <v/>
      </c>
      <c r="H21" s="283"/>
      <c r="I21" s="283"/>
      <c r="J21" s="360"/>
    </row>
    <row r="22" spans="1:12" ht="13.5" hidden="1" x14ac:dyDescent="0.25">
      <c r="A22" s="279"/>
      <c r="B22" s="267" t="str">
        <f>IFERROR(VLOOKUP(H22,[1]SEMIELABORADOS!$A$2:$M$6000,2,0),"")</f>
        <v/>
      </c>
      <c r="C22" s="280">
        <f t="shared" si="4"/>
        <v>0</v>
      </c>
      <c r="D22" s="280" t="str">
        <f>IFERROR(VLOOKUP(H22,[1]SEMIELABORADOS!$A$2:$M$6000,6,0),"")</f>
        <v/>
      </c>
      <c r="E22" s="281" t="str">
        <f>IFERROR(VLOOKUP(H22,[1]SEMIELABORADOS!$A$2:$H$65536,8,0),"")</f>
        <v/>
      </c>
      <c r="F22" s="281" t="str">
        <f t="shared" si="5"/>
        <v/>
      </c>
      <c r="G22" s="359" t="str">
        <f t="shared" si="3"/>
        <v/>
      </c>
      <c r="H22" s="283"/>
      <c r="I22" s="283"/>
      <c r="J22" s="360"/>
    </row>
    <row r="23" spans="1:12" ht="13.5" hidden="1" x14ac:dyDescent="0.25">
      <c r="A23" s="279"/>
      <c r="B23" s="267" t="str">
        <f>IFERROR(VLOOKUP(H23,[1]SEMIELABORADOS!$A$2:$M$6000,2,0),"")</f>
        <v/>
      </c>
      <c r="C23" s="280">
        <f t="shared" si="4"/>
        <v>0</v>
      </c>
      <c r="D23" s="280" t="str">
        <f>IFERROR(VLOOKUP(H23,[1]SEMIELABORADOS!$A$2:$M$6000,6,0),"")</f>
        <v/>
      </c>
      <c r="E23" s="281" t="str">
        <f>IFERROR(VLOOKUP(H23,[1]SEMIELABORADOS!$A$2:$H$65536,8,0),"")</f>
        <v/>
      </c>
      <c r="F23" s="281" t="str">
        <f t="shared" si="5"/>
        <v/>
      </c>
      <c r="G23" s="359" t="str">
        <f t="shared" si="3"/>
        <v/>
      </c>
      <c r="H23" s="283"/>
      <c r="I23" s="283"/>
      <c r="J23" s="360"/>
    </row>
    <row r="24" spans="1:12" ht="13.5" hidden="1" x14ac:dyDescent="0.25">
      <c r="A24" s="279"/>
      <c r="B24" s="267" t="str">
        <f>IFERROR(VLOOKUP(H24,[1]SEMIELABORADOS!$A$2:$M$6000,2,0),"")</f>
        <v/>
      </c>
      <c r="C24" s="280">
        <f t="shared" si="4"/>
        <v>0</v>
      </c>
      <c r="D24" s="280" t="str">
        <f>IFERROR(VLOOKUP(H24,[1]SEMIELABORADOS!$A$2:$M$6000,6,0),"")</f>
        <v/>
      </c>
      <c r="E24" s="281" t="str">
        <f>IFERROR(VLOOKUP(H24,[1]SEMIELABORADOS!$A$2:$H$65536,8,0),"")</f>
        <v/>
      </c>
      <c r="F24" s="281" t="str">
        <f t="shared" si="5"/>
        <v/>
      </c>
      <c r="G24" s="359" t="str">
        <f t="shared" si="3"/>
        <v/>
      </c>
      <c r="H24" s="283"/>
      <c r="I24" s="283"/>
      <c r="J24" s="360"/>
    </row>
    <row r="25" spans="1:12" ht="14.25" hidden="1" thickBot="1" x14ac:dyDescent="0.3">
      <c r="A25" s="279"/>
      <c r="C25" s="280"/>
      <c r="D25" s="280"/>
      <c r="E25" s="281"/>
      <c r="F25" s="281"/>
      <c r="G25" s="359"/>
      <c r="H25" s="283"/>
      <c r="I25" s="283"/>
      <c r="J25" s="360"/>
    </row>
    <row r="26" spans="1:12" ht="26.25" hidden="1" thickBot="1" x14ac:dyDescent="0.3">
      <c r="A26" s="274" t="s">
        <v>128</v>
      </c>
      <c r="B26" s="275" t="s">
        <v>38</v>
      </c>
      <c r="C26" s="275" t="s">
        <v>128</v>
      </c>
      <c r="D26" s="276" t="s">
        <v>130</v>
      </c>
      <c r="E26" s="276" t="s">
        <v>131</v>
      </c>
      <c r="F26" s="276" t="s">
        <v>132</v>
      </c>
      <c r="G26" s="276" t="s">
        <v>133</v>
      </c>
      <c r="H26" s="277" t="s">
        <v>134</v>
      </c>
      <c r="I26" s="278"/>
    </row>
    <row r="27" spans="1:12" ht="13.5" hidden="1" x14ac:dyDescent="0.25">
      <c r="A27" s="279">
        <v>0</v>
      </c>
      <c r="B27" s="285" t="str">
        <f>IFERROR(VLOOKUP(H27,'[1]Consolidado MP Planta'!$A$2:$M$823,3,0),"")</f>
        <v/>
      </c>
      <c r="C27" s="280">
        <f t="shared" ref="C27:C32" si="6">+A27</f>
        <v>0</v>
      </c>
      <c r="D27" s="281" t="str">
        <f>IFERROR(VLOOKUP(H27,'[1]Consolidado MP Planta'!$A$2:$M$823,13,0),"")</f>
        <v/>
      </c>
      <c r="E27" s="281" t="str">
        <f>IFERROR(VLOOKUP(H27,'[1]Consolidado MP Planta'!$A$2:$M$823,12,0),"")</f>
        <v/>
      </c>
      <c r="F27" s="281" t="str">
        <f t="shared" ref="F27:F32" si="7">IFERROR(C27*E27,"")</f>
        <v/>
      </c>
      <c r="G27" s="359" t="str">
        <f t="shared" ref="G27:G32" si="8">IFERROR(F27/$F$66,"")</f>
        <v/>
      </c>
      <c r="H27" s="286"/>
      <c r="I27" s="286"/>
      <c r="J27" s="360"/>
      <c r="K27" s="889"/>
      <c r="L27" s="889"/>
    </row>
    <row r="28" spans="1:12" ht="13.5" hidden="1" x14ac:dyDescent="0.25">
      <c r="A28" s="279"/>
      <c r="B28" s="285" t="str">
        <f>IFERROR(VLOOKUP(H28,'[1]Consolidado MP Planta'!$A$2:$M$823,3,0),"")</f>
        <v/>
      </c>
      <c r="C28" s="280">
        <f t="shared" si="6"/>
        <v>0</v>
      </c>
      <c r="D28" s="281" t="str">
        <f>IFERROR(VLOOKUP(H28,'[1]Consolidado MP Planta'!$A$2:$M$823,13,0),"")</f>
        <v/>
      </c>
      <c r="E28" s="281" t="str">
        <f>IFERROR(VLOOKUP(H28,'[1]Consolidado MP Planta'!$A$2:$M$823,12,0),"")</f>
        <v/>
      </c>
      <c r="F28" s="281" t="str">
        <f t="shared" si="7"/>
        <v/>
      </c>
      <c r="G28" s="359" t="str">
        <f t="shared" si="8"/>
        <v/>
      </c>
      <c r="H28" s="286"/>
      <c r="I28" s="286"/>
      <c r="J28" s="360"/>
      <c r="K28" s="889"/>
      <c r="L28" s="889"/>
    </row>
    <row r="29" spans="1:12" ht="13.5" hidden="1" x14ac:dyDescent="0.25">
      <c r="A29" s="279"/>
      <c r="B29" s="285" t="str">
        <f>IFERROR(VLOOKUP(H29,'[1]Consolidado MP Planta'!$A$2:$M$823,3,0),"")</f>
        <v/>
      </c>
      <c r="C29" s="280">
        <f t="shared" si="6"/>
        <v>0</v>
      </c>
      <c r="D29" s="281" t="str">
        <f>IFERROR(VLOOKUP(H29,'[1]Consolidado MP Planta'!$A$2:$M$823,13,0),"")</f>
        <v/>
      </c>
      <c r="E29" s="281" t="str">
        <f>IFERROR(VLOOKUP(H29,'[1]Consolidado MP Planta'!$A$2:$M$823,12,0),"")</f>
        <v/>
      </c>
      <c r="F29" s="281" t="str">
        <f t="shared" si="7"/>
        <v/>
      </c>
      <c r="G29" s="359" t="str">
        <f t="shared" si="8"/>
        <v/>
      </c>
      <c r="H29" s="286"/>
      <c r="I29" s="286"/>
      <c r="J29" s="360"/>
      <c r="K29" s="889"/>
      <c r="L29" s="889"/>
    </row>
    <row r="30" spans="1:12" ht="13.5" hidden="1" x14ac:dyDescent="0.25">
      <c r="A30" s="279"/>
      <c r="B30" s="285" t="str">
        <f>IFERROR(VLOOKUP(H30,'[1]Consolidado MP Planta'!$A$2:$M$823,3,0),"")</f>
        <v/>
      </c>
      <c r="C30" s="280">
        <f t="shared" si="6"/>
        <v>0</v>
      </c>
      <c r="D30" s="281" t="str">
        <f>IFERROR(VLOOKUP(H30,'[1]Consolidado MP Planta'!$A$2:$M$823,13,0),"")</f>
        <v/>
      </c>
      <c r="E30" s="281" t="str">
        <f>IFERROR(VLOOKUP(H30,'[1]Consolidado MP Planta'!$A$2:$M$823,12,0),"")</f>
        <v/>
      </c>
      <c r="F30" s="281" t="str">
        <f t="shared" si="7"/>
        <v/>
      </c>
      <c r="G30" s="359" t="str">
        <f t="shared" si="8"/>
        <v/>
      </c>
      <c r="H30" s="286"/>
      <c r="I30" s="286"/>
      <c r="J30" s="360"/>
      <c r="K30" s="889"/>
      <c r="L30" s="889"/>
    </row>
    <row r="31" spans="1:12" ht="13.5" hidden="1" x14ac:dyDescent="0.25">
      <c r="A31" s="279"/>
      <c r="B31" s="285" t="str">
        <f>IFERROR(VLOOKUP(H31,'[1]Consolidado MP Planta'!$A$2:$M$823,3,0),"")</f>
        <v/>
      </c>
      <c r="C31" s="280">
        <f t="shared" si="6"/>
        <v>0</v>
      </c>
      <c r="D31" s="281" t="str">
        <f>IFERROR(VLOOKUP(H31,'[1]Consolidado MP Planta'!$A$2:$M$823,13,0),"")</f>
        <v/>
      </c>
      <c r="E31" s="281" t="str">
        <f>IFERROR(VLOOKUP(H31,'[1]Consolidado MP Planta'!$A$2:$M$823,12,0),"")</f>
        <v/>
      </c>
      <c r="F31" s="281" t="str">
        <f t="shared" si="7"/>
        <v/>
      </c>
      <c r="G31" s="359" t="str">
        <f t="shared" si="8"/>
        <v/>
      </c>
      <c r="H31" s="286"/>
      <c r="I31" s="286"/>
      <c r="J31" s="360"/>
      <c r="K31" s="287"/>
      <c r="L31" s="288"/>
    </row>
    <row r="32" spans="1:12" ht="13.5" hidden="1" x14ac:dyDescent="0.25">
      <c r="A32" s="279"/>
      <c r="B32" s="285" t="str">
        <f>IFERROR(VLOOKUP(H32,'[1]Consolidado MP Planta'!$A$2:$M$823,3,0),"")</f>
        <v/>
      </c>
      <c r="C32" s="280">
        <f t="shared" si="6"/>
        <v>0</v>
      </c>
      <c r="D32" s="281" t="str">
        <f>IFERROR(VLOOKUP(H32,'[1]Consolidado MP Planta'!$A$2:$M$823,13,0),"")</f>
        <v/>
      </c>
      <c r="E32" s="281" t="str">
        <f>IFERROR(VLOOKUP(H32,'[1]Consolidado MP Planta'!$A$2:$M$823,12,0),"")</f>
        <v/>
      </c>
      <c r="F32" s="281" t="str">
        <f t="shared" si="7"/>
        <v/>
      </c>
      <c r="G32" s="359" t="str">
        <f t="shared" si="8"/>
        <v/>
      </c>
      <c r="H32" s="286"/>
      <c r="I32" s="286"/>
      <c r="J32" s="360"/>
    </row>
    <row r="33" spans="1:13" ht="14.25" hidden="1" thickBot="1" x14ac:dyDescent="0.3">
      <c r="A33" s="279"/>
      <c r="B33" s="285"/>
      <c r="C33" s="280"/>
      <c r="D33" s="281"/>
      <c r="E33" s="281"/>
      <c r="F33" s="281"/>
      <c r="G33" s="359"/>
      <c r="H33" s="286"/>
      <c r="I33" s="286"/>
      <c r="J33" s="360"/>
    </row>
    <row r="34" spans="1:13" ht="26.25" hidden="1" thickBot="1" x14ac:dyDescent="0.25">
      <c r="A34" s="274" t="s">
        <v>128</v>
      </c>
      <c r="B34" s="275" t="s">
        <v>136</v>
      </c>
      <c r="C34" s="275" t="s">
        <v>128</v>
      </c>
      <c r="D34" s="276" t="s">
        <v>130</v>
      </c>
      <c r="E34" s="276" t="s">
        <v>131</v>
      </c>
      <c r="F34" s="276" t="s">
        <v>132</v>
      </c>
      <c r="G34" s="276" t="s">
        <v>133</v>
      </c>
      <c r="H34" s="277" t="s">
        <v>134</v>
      </c>
      <c r="I34" s="286"/>
      <c r="J34" s="360"/>
    </row>
    <row r="35" spans="1:13" ht="13.5" hidden="1" x14ac:dyDescent="0.25">
      <c r="A35" s="279">
        <f>+A17</f>
        <v>0</v>
      </c>
      <c r="B35" s="285" t="str">
        <f>IFERROR(VLOOKUP(H35,[1]SEMIELABORADOS!$A$2:$M$6000,2,0),"")</f>
        <v/>
      </c>
      <c r="C35" s="280">
        <f>+A35</f>
        <v>0</v>
      </c>
      <c r="D35" s="281" t="str">
        <f>IFERROR(VLOOKUP(H35,[1]SEMIELABORADOS!$A$2:$M$6000,6,0),"")</f>
        <v/>
      </c>
      <c r="E35" s="281" t="str">
        <f>IFERROR(VLOOKUP(H35,[1]SEMIELABORADOS!$A$2:$M$65536,10,0),"")</f>
        <v/>
      </c>
      <c r="F35" s="281" t="str">
        <f>IFERROR(E35*C35,"")</f>
        <v/>
      </c>
      <c r="G35" s="359" t="str">
        <f t="shared" ref="G35:G41" si="9">IFERROR(F35/$F$66,"")</f>
        <v/>
      </c>
      <c r="H35" s="286"/>
      <c r="I35" s="286"/>
      <c r="J35" s="360"/>
    </row>
    <row r="36" spans="1:13" ht="13.5" hidden="1" x14ac:dyDescent="0.25">
      <c r="A36" s="279">
        <f t="shared" ref="A36:A41" si="10">+A18</f>
        <v>0</v>
      </c>
      <c r="B36" s="285" t="str">
        <f>IFERROR(VLOOKUP(H36,[1]SEMIELABORADOS!$A$2:$M$6000,2,0),"")</f>
        <v/>
      </c>
      <c r="C36" s="280">
        <f t="shared" ref="C36:C41" si="11">+A36</f>
        <v>0</v>
      </c>
      <c r="D36" s="281" t="str">
        <f>IFERROR(VLOOKUP(H36,[1]SEMIELABORADOS!$A$2:$M$6000,6,0),"")</f>
        <v/>
      </c>
      <c r="E36" s="281" t="str">
        <f>IFERROR(VLOOKUP(H36,[1]SEMIELABORADOS!$A$2:$M$65536,10,0),"")</f>
        <v/>
      </c>
      <c r="F36" s="281" t="str">
        <f t="shared" ref="F36:F41" si="12">IFERROR(E36*C36,"")</f>
        <v/>
      </c>
      <c r="G36" s="359" t="str">
        <f t="shared" si="9"/>
        <v/>
      </c>
      <c r="H36" s="286"/>
      <c r="I36" s="286"/>
      <c r="J36" s="360"/>
    </row>
    <row r="37" spans="1:13" ht="13.5" hidden="1" x14ac:dyDescent="0.25">
      <c r="A37" s="279">
        <f t="shared" si="10"/>
        <v>0</v>
      </c>
      <c r="B37" s="285" t="str">
        <f>IFERROR(VLOOKUP(H37,[1]SEMIELABORADOS!$A$2:$M$6000,2,0),"")</f>
        <v/>
      </c>
      <c r="C37" s="280">
        <f t="shared" si="11"/>
        <v>0</v>
      </c>
      <c r="D37" s="281" t="str">
        <f>IFERROR(VLOOKUP(H37,[1]SEMIELABORADOS!$A$2:$M$6000,6,0),"")</f>
        <v/>
      </c>
      <c r="E37" s="281" t="str">
        <f>IFERROR(VLOOKUP(H37,[1]SEMIELABORADOS!$A$2:$M$65536,10,0),"")</f>
        <v/>
      </c>
      <c r="F37" s="281" t="str">
        <f t="shared" si="12"/>
        <v/>
      </c>
      <c r="G37" s="359" t="str">
        <f t="shared" si="9"/>
        <v/>
      </c>
      <c r="H37" s="286"/>
      <c r="I37" s="286"/>
      <c r="J37" s="360"/>
    </row>
    <row r="38" spans="1:13" ht="13.5" hidden="1" x14ac:dyDescent="0.25">
      <c r="A38" s="279">
        <f t="shared" si="10"/>
        <v>0</v>
      </c>
      <c r="B38" s="285" t="str">
        <f>IFERROR(VLOOKUP(H38,[1]SEMIELABORADOS!$A$2:$M$6000,2,0),"")</f>
        <v/>
      </c>
      <c r="C38" s="280">
        <f>+A38</f>
        <v>0</v>
      </c>
      <c r="D38" s="281" t="str">
        <f>IFERROR(VLOOKUP(H38,[1]SEMIELABORADOS!$A$2:$M$6000,6,0),"")</f>
        <v/>
      </c>
      <c r="E38" s="281" t="str">
        <f>IFERROR(VLOOKUP(H38,[1]SEMIELABORADOS!$A$2:$M$65536,10,0),"")</f>
        <v/>
      </c>
      <c r="F38" s="281" t="str">
        <f>IFERROR(E38*C38,"")</f>
        <v/>
      </c>
      <c r="G38" s="359" t="str">
        <f t="shared" si="9"/>
        <v/>
      </c>
      <c r="H38" s="286"/>
      <c r="I38" s="286"/>
      <c r="J38" s="360"/>
    </row>
    <row r="39" spans="1:13" ht="13.5" hidden="1" x14ac:dyDescent="0.25">
      <c r="A39" s="279">
        <f t="shared" si="10"/>
        <v>0</v>
      </c>
      <c r="B39" s="285" t="str">
        <f>IFERROR(VLOOKUP(H39,[1]SEMIELABORADOS!$A$2:$M$6000,2,0),"")</f>
        <v/>
      </c>
      <c r="C39" s="280">
        <f>+A39</f>
        <v>0</v>
      </c>
      <c r="D39" s="281" t="str">
        <f>IFERROR(VLOOKUP(H39,[1]SEMIELABORADOS!$A$2:$M$6000,6,0),"")</f>
        <v/>
      </c>
      <c r="E39" s="281" t="str">
        <f>IFERROR(VLOOKUP(H39,[1]SEMIELABORADOS!$A$2:$M$65536,10,0),"")</f>
        <v/>
      </c>
      <c r="F39" s="281" t="str">
        <f>IFERROR(E39*C39,"")</f>
        <v/>
      </c>
      <c r="G39" s="359" t="str">
        <f t="shared" si="9"/>
        <v/>
      </c>
      <c r="H39" s="286"/>
      <c r="I39" s="286"/>
      <c r="J39" s="360"/>
    </row>
    <row r="40" spans="1:13" ht="13.5" hidden="1" x14ac:dyDescent="0.25">
      <c r="A40" s="279">
        <f t="shared" si="10"/>
        <v>0</v>
      </c>
      <c r="B40" s="285" t="str">
        <f>IFERROR(VLOOKUP(H40,[1]SEMIELABORADOS!$A$2:$M$6000,2,0),"")</f>
        <v/>
      </c>
      <c r="C40" s="280">
        <f t="shared" si="11"/>
        <v>0</v>
      </c>
      <c r="D40" s="281" t="str">
        <f>IFERROR(VLOOKUP(H40,[1]SEMIELABORADOS!$A$2:$M$6000,6,0),"")</f>
        <v/>
      </c>
      <c r="E40" s="281" t="str">
        <f>IFERROR(VLOOKUP(H40,[1]SEMIELABORADOS!$A$2:$M$65536,10,0),"")</f>
        <v/>
      </c>
      <c r="F40" s="281" t="str">
        <f t="shared" si="12"/>
        <v/>
      </c>
      <c r="G40" s="359" t="str">
        <f t="shared" si="9"/>
        <v/>
      </c>
      <c r="H40" s="286"/>
      <c r="I40" s="286"/>
      <c r="J40" s="360"/>
    </row>
    <row r="41" spans="1:13" ht="13.5" hidden="1" x14ac:dyDescent="0.25">
      <c r="A41" s="279">
        <f t="shared" si="10"/>
        <v>0</v>
      </c>
      <c r="B41" s="285" t="str">
        <f>IFERROR(VLOOKUP(H41,[1]SEMIELABORADOS!$A$2:$M$6000,2,0),"")</f>
        <v/>
      </c>
      <c r="C41" s="280">
        <f t="shared" si="11"/>
        <v>0</v>
      </c>
      <c r="D41" s="281" t="str">
        <f>IFERROR(VLOOKUP(H41,[1]SEMIELABORADOS!$A$2:$M$6000,6,0),"")</f>
        <v/>
      </c>
      <c r="E41" s="281" t="str">
        <f>IFERROR(VLOOKUP(H41,[1]SEMIELABORADOS!$A$2:$M$65536,10,0),"")</f>
        <v/>
      </c>
      <c r="F41" s="281" t="str">
        <f t="shared" si="12"/>
        <v/>
      </c>
      <c r="G41" s="359" t="str">
        <f t="shared" si="9"/>
        <v/>
      </c>
      <c r="H41" s="286"/>
      <c r="I41" s="286"/>
      <c r="J41" s="360"/>
    </row>
    <row r="42" spans="1:13" ht="14.25" hidden="1" thickBot="1" x14ac:dyDescent="0.3">
      <c r="A42" s="279"/>
      <c r="B42" s="285"/>
      <c r="C42" s="280"/>
      <c r="D42" s="281"/>
      <c r="E42" s="281"/>
      <c r="F42" s="281"/>
      <c r="G42" s="359"/>
      <c r="H42" s="286"/>
      <c r="I42" s="286"/>
      <c r="J42" s="360"/>
    </row>
    <row r="43" spans="1:13" ht="26.25" thickBot="1" x14ac:dyDescent="0.3">
      <c r="A43" s="274" t="s">
        <v>128</v>
      </c>
      <c r="B43" s="275" t="s">
        <v>137</v>
      </c>
      <c r="C43" s="275" t="s">
        <v>128</v>
      </c>
      <c r="D43" s="276" t="s">
        <v>130</v>
      </c>
      <c r="E43" s="276" t="s">
        <v>131</v>
      </c>
      <c r="F43" s="276" t="s">
        <v>132</v>
      </c>
      <c r="G43" s="276" t="s">
        <v>133</v>
      </c>
      <c r="H43" s="277" t="s">
        <v>134</v>
      </c>
      <c r="I43" s="278"/>
      <c r="J43" s="360"/>
    </row>
    <row r="44" spans="1:13" ht="13.5" hidden="1" x14ac:dyDescent="0.25">
      <c r="A44" s="279">
        <f>+A35</f>
        <v>0</v>
      </c>
      <c r="B44" s="285" t="str">
        <f>IFERROR(VLOOKUP(H44,[1]SEMIELABORADOS!$A$2:$M$6000,2,0),"")</f>
        <v/>
      </c>
      <c r="C44" s="280">
        <f>+A44</f>
        <v>0</v>
      </c>
      <c r="D44" s="281" t="str">
        <f>IFERROR(VLOOKUP(H44,[1]SEMIELABORADOS!$A$2:$M$6000,6,0),"")</f>
        <v/>
      </c>
      <c r="E44" s="281" t="str">
        <f>IFERROR(VLOOKUP(H44,[1]SEMIELABORADOS!$A$2:$M$65536,12,0),"")</f>
        <v/>
      </c>
      <c r="F44" s="281" t="str">
        <f>IFERROR(E44*C44,"")</f>
        <v/>
      </c>
      <c r="G44" s="359" t="str">
        <f>IFERROR(F44/$F$66,"")</f>
        <v/>
      </c>
      <c r="H44" s="286"/>
      <c r="I44" s="278"/>
      <c r="J44" s="360"/>
    </row>
    <row r="45" spans="1:13" ht="13.5" hidden="1" x14ac:dyDescent="0.25">
      <c r="A45" s="279">
        <f t="shared" ref="A45:A50" si="13">+A36</f>
        <v>0</v>
      </c>
      <c r="B45" s="285" t="str">
        <f>IFERROR(VLOOKUP(H45,[1]SEMIELABORADOS!$A$2:$M$6000,2,0),"")</f>
        <v/>
      </c>
      <c r="C45" s="280">
        <f t="shared" ref="C45:C50" si="14">+A45</f>
        <v>0</v>
      </c>
      <c r="D45" s="281" t="str">
        <f>IFERROR(VLOOKUP(H45,[1]SEMIELABORADOS!$A$2:$M$6000,6,0),"")</f>
        <v/>
      </c>
      <c r="E45" s="281" t="str">
        <f>IFERROR(VLOOKUP(H45,[1]SEMIELABORADOS!$A$2:$M$65536,12,0),"")</f>
        <v/>
      </c>
      <c r="F45" s="281" t="str">
        <f t="shared" ref="F45:F50" si="15">IFERROR(E45*C45,"")</f>
        <v/>
      </c>
      <c r="G45" s="359" t="str">
        <f t="shared" ref="G45:G50" si="16">IFERROR(F45/$F$66,"")</f>
        <v/>
      </c>
      <c r="H45" s="286"/>
      <c r="I45" s="278"/>
      <c r="J45" s="360"/>
      <c r="M45" s="289"/>
    </row>
    <row r="46" spans="1:13" ht="13.5" hidden="1" x14ac:dyDescent="0.25">
      <c r="A46" s="279">
        <f t="shared" si="13"/>
        <v>0</v>
      </c>
      <c r="B46" s="285" t="str">
        <f>IFERROR(VLOOKUP(H46,[1]SEMIELABORADOS!$A$2:$M$6000,2,0),"")</f>
        <v/>
      </c>
      <c r="C46" s="280">
        <f t="shared" si="14"/>
        <v>0</v>
      </c>
      <c r="D46" s="281" t="str">
        <f>IFERROR(VLOOKUP(H46,[1]SEMIELABORADOS!$A$2:$M$6000,6,0),"")</f>
        <v/>
      </c>
      <c r="E46" s="281" t="str">
        <f>IFERROR(VLOOKUP(H46,[1]SEMIELABORADOS!$A$2:$M$65536,12,0),"")</f>
        <v/>
      </c>
      <c r="F46" s="281" t="str">
        <f t="shared" si="15"/>
        <v/>
      </c>
      <c r="G46" s="359" t="str">
        <f t="shared" si="16"/>
        <v/>
      </c>
      <c r="H46" s="286"/>
      <c r="I46" s="278"/>
      <c r="J46" s="360"/>
    </row>
    <row r="47" spans="1:13" ht="13.5" hidden="1" x14ac:dyDescent="0.25">
      <c r="A47" s="279">
        <f t="shared" si="13"/>
        <v>0</v>
      </c>
      <c r="B47" s="285" t="str">
        <f>IFERROR(VLOOKUP(H47,[1]SEMIELABORADOS!$A$2:$M$6000,2,0),"")</f>
        <v/>
      </c>
      <c r="C47" s="280">
        <f t="shared" si="14"/>
        <v>0</v>
      </c>
      <c r="D47" s="281" t="str">
        <f>IFERROR(VLOOKUP(H47,[1]SEMIELABORADOS!$A$2:$M$6000,6,0),"")</f>
        <v/>
      </c>
      <c r="E47" s="281" t="str">
        <f>IFERROR(VLOOKUP(H47,[1]SEMIELABORADOS!$A$2:$M$65536,12,0),"")</f>
        <v/>
      </c>
      <c r="F47" s="281" t="str">
        <f t="shared" si="15"/>
        <v/>
      </c>
      <c r="G47" s="359" t="str">
        <f t="shared" si="16"/>
        <v/>
      </c>
      <c r="H47" s="286"/>
      <c r="I47" s="278"/>
      <c r="J47" s="360"/>
    </row>
    <row r="48" spans="1:13" ht="13.5" hidden="1" x14ac:dyDescent="0.25">
      <c r="A48" s="279">
        <f t="shared" si="13"/>
        <v>0</v>
      </c>
      <c r="B48" s="285" t="str">
        <f>IFERROR(VLOOKUP(H48,[1]SEMIELABORADOS!$A$2:$M$6000,2,0),"")</f>
        <v/>
      </c>
      <c r="C48" s="280">
        <f t="shared" si="14"/>
        <v>0</v>
      </c>
      <c r="D48" s="281" t="str">
        <f>IFERROR(VLOOKUP(H48,[1]SEMIELABORADOS!$A$2:$M$6000,6,0),"")</f>
        <v/>
      </c>
      <c r="E48" s="281" t="str">
        <f>IFERROR(VLOOKUP(H48,[1]SEMIELABORADOS!$A$2:$M$65536,12,0),"")</f>
        <v/>
      </c>
      <c r="F48" s="281" t="str">
        <f t="shared" si="15"/>
        <v/>
      </c>
      <c r="G48" s="359" t="str">
        <f t="shared" si="16"/>
        <v/>
      </c>
      <c r="H48" s="286"/>
      <c r="I48" s="278"/>
      <c r="J48" s="360"/>
    </row>
    <row r="49" spans="1:17" ht="13.5" hidden="1" x14ac:dyDescent="0.25">
      <c r="A49" s="279">
        <f t="shared" si="13"/>
        <v>0</v>
      </c>
      <c r="B49" s="285" t="str">
        <f>IFERROR(VLOOKUP(H49,[1]SEMIELABORADOS!$A$2:$M$6000,2,0),"")</f>
        <v/>
      </c>
      <c r="C49" s="280">
        <f t="shared" si="14"/>
        <v>0</v>
      </c>
      <c r="D49" s="281" t="str">
        <f>IFERROR(VLOOKUP(H49,[1]SEMIELABORADOS!$A$2:$M$6000,6,0),"")</f>
        <v/>
      </c>
      <c r="E49" s="281" t="str">
        <f>IFERROR(VLOOKUP(H49,[1]SEMIELABORADOS!$A$2:$M$65536,12,0),"")</f>
        <v/>
      </c>
      <c r="F49" s="281" t="str">
        <f t="shared" si="15"/>
        <v/>
      </c>
      <c r="G49" s="359" t="str">
        <f t="shared" si="16"/>
        <v/>
      </c>
      <c r="H49" s="286"/>
      <c r="I49" s="278"/>
      <c r="J49" s="360"/>
    </row>
    <row r="50" spans="1:17" ht="13.5" hidden="1" x14ac:dyDescent="0.25">
      <c r="A50" s="279">
        <f t="shared" si="13"/>
        <v>0</v>
      </c>
      <c r="B50" s="285" t="str">
        <f>IFERROR(VLOOKUP(H50,[1]SEMIELABORADOS!$A$2:$M$6000,2,0),"")</f>
        <v/>
      </c>
      <c r="C50" s="280">
        <f t="shared" si="14"/>
        <v>0</v>
      </c>
      <c r="D50" s="281" t="str">
        <f>IFERROR(VLOOKUP(H50,[1]SEMIELABORADOS!$A$2:$M$6000,6,0),"")</f>
        <v/>
      </c>
      <c r="E50" s="281" t="str">
        <f>IFERROR(VLOOKUP(H50,[1]SEMIELABORADOS!$A$2:$M$65536,12,0),"")</f>
        <v/>
      </c>
      <c r="F50" s="281" t="str">
        <f t="shared" si="15"/>
        <v/>
      </c>
      <c r="G50" s="359" t="str">
        <f t="shared" si="16"/>
        <v/>
      </c>
      <c r="H50" s="285"/>
      <c r="I50" s="278"/>
      <c r="J50" s="360"/>
    </row>
    <row r="51" spans="1:17" ht="13.5" x14ac:dyDescent="0.25">
      <c r="A51" s="279">
        <v>1</v>
      </c>
      <c r="B51" s="285" t="s">
        <v>138</v>
      </c>
      <c r="C51" s="280">
        <f>+A51</f>
        <v>1</v>
      </c>
      <c r="D51" s="280" t="s">
        <v>139</v>
      </c>
      <c r="E51" s="281">
        <f>+F65</f>
        <v>2310</v>
      </c>
      <c r="F51" s="281">
        <f>IFERROR(C51*E51,"")</f>
        <v>2310</v>
      </c>
      <c r="G51" s="359">
        <f>IFERROR(F51/$F$66,"")</f>
        <v>0.12547955188481694</v>
      </c>
      <c r="H51" s="290"/>
      <c r="I51" s="290"/>
      <c r="J51" s="360"/>
    </row>
    <row r="52" spans="1:17" ht="14.25" thickBot="1" x14ac:dyDescent="0.3">
      <c r="A52" s="279"/>
      <c r="B52" s="285"/>
      <c r="C52" s="280"/>
      <c r="D52" s="280"/>
      <c r="E52" s="281"/>
      <c r="F52" s="281"/>
      <c r="G52" s="359"/>
      <c r="H52" s="290"/>
      <c r="I52" s="290"/>
      <c r="J52" s="360"/>
    </row>
    <row r="53" spans="1:17" ht="13.5" thickBot="1" x14ac:dyDescent="0.3">
      <c r="A53" s="291"/>
      <c r="B53" s="890" t="s">
        <v>140</v>
      </c>
      <c r="C53" s="890"/>
      <c r="D53" s="890"/>
      <c r="E53" s="890"/>
      <c r="F53" s="293">
        <f>SUM(F8:F14,F17:F24)</f>
        <v>15783.699999999999</v>
      </c>
      <c r="G53" s="359">
        <f>+F53/$F$66</f>
        <v>0.85737298834821862</v>
      </c>
      <c r="H53" s="294">
        <f>+F53/$D$60</f>
        <v>15783.699999999999</v>
      </c>
      <c r="I53" s="294"/>
      <c r="J53" s="361"/>
      <c r="K53" s="296"/>
      <c r="L53" s="296"/>
      <c r="M53" s="296"/>
      <c r="N53" s="296"/>
      <c r="O53" s="296"/>
      <c r="P53" s="296"/>
      <c r="Q53" s="297"/>
    </row>
    <row r="54" spans="1:17" x14ac:dyDescent="0.2">
      <c r="A54" s="291"/>
      <c r="B54" s="890" t="s">
        <v>141</v>
      </c>
      <c r="C54" s="890"/>
      <c r="D54" s="890"/>
      <c r="E54" s="890"/>
      <c r="F54" s="293">
        <f>SUM(F27:F32,F35:F41)</f>
        <v>0</v>
      </c>
      <c r="G54" s="359">
        <f>+F54/$F$66</f>
        <v>0</v>
      </c>
      <c r="H54" s="294">
        <f>+F54/$D$60</f>
        <v>0</v>
      </c>
      <c r="I54" s="294"/>
      <c r="J54" s="298"/>
      <c r="K54" s="891" t="s">
        <v>142</v>
      </c>
      <c r="L54" s="892"/>
      <c r="M54" s="892"/>
      <c r="N54" s="892"/>
      <c r="O54" s="299">
        <f>+F55</f>
        <v>15783.699999999999</v>
      </c>
      <c r="P54" s="299"/>
      <c r="Q54" s="300"/>
    </row>
    <row r="55" spans="1:17" x14ac:dyDescent="0.2">
      <c r="A55" s="291"/>
      <c r="B55" s="890" t="s">
        <v>143</v>
      </c>
      <c r="C55" s="890"/>
      <c r="D55" s="890"/>
      <c r="E55" s="890"/>
      <c r="F55" s="293">
        <f>+F53+F54</f>
        <v>15783.699999999999</v>
      </c>
      <c r="G55" s="359">
        <f>+F55/$F$66</f>
        <v>0.85737298834821862</v>
      </c>
      <c r="H55" s="294">
        <f>+F55/$D$60</f>
        <v>15783.699999999999</v>
      </c>
      <c r="I55" s="294"/>
      <c r="J55" s="362"/>
      <c r="K55" s="302"/>
      <c r="M55" s="303" t="s">
        <v>144</v>
      </c>
      <c r="N55" s="304"/>
      <c r="O55" s="299">
        <f>+H56</f>
        <v>2310</v>
      </c>
      <c r="P55" s="299"/>
      <c r="Q55" s="300"/>
    </row>
    <row r="56" spans="1:17" ht="13.5" thickBot="1" x14ac:dyDescent="0.25">
      <c r="A56" s="291"/>
      <c r="B56" s="292"/>
      <c r="C56" s="890" t="s">
        <v>145</v>
      </c>
      <c r="D56" s="890"/>
      <c r="E56" s="890"/>
      <c r="F56" s="293">
        <f>SUM(F44:F51)</f>
        <v>2310</v>
      </c>
      <c r="G56" s="359">
        <f>+F56/$F$66</f>
        <v>0.12547955188481694</v>
      </c>
      <c r="H56" s="294">
        <f>+F56/$D$60</f>
        <v>2310</v>
      </c>
      <c r="I56" s="294"/>
      <c r="J56" s="362"/>
      <c r="K56" s="302"/>
      <c r="L56" s="302"/>
      <c r="M56" s="302" t="s">
        <v>146</v>
      </c>
      <c r="N56" s="363"/>
      <c r="O56" s="299">
        <f>O54*N56</f>
        <v>0</v>
      </c>
      <c r="P56" s="299"/>
      <c r="Q56" s="300"/>
    </row>
    <row r="57" spans="1:17" ht="13.5" thickBot="1" x14ac:dyDescent="0.25">
      <c r="A57" s="291"/>
      <c r="B57" s="306"/>
      <c r="C57" s="306"/>
      <c r="D57" s="306"/>
      <c r="E57" s="306"/>
      <c r="F57" s="307"/>
      <c r="G57" s="359"/>
      <c r="H57" s="308"/>
      <c r="I57" s="294"/>
      <c r="J57" s="362"/>
      <c r="K57" s="309"/>
      <c r="M57" s="310" t="s">
        <v>147</v>
      </c>
      <c r="N57" s="311"/>
      <c r="O57" s="312">
        <f>SUM(O54:O56)</f>
        <v>18093.699999999997</v>
      </c>
      <c r="P57" s="313"/>
      <c r="Q57" s="300"/>
    </row>
    <row r="58" spans="1:17" x14ac:dyDescent="0.2">
      <c r="B58" s="893" t="s">
        <v>148</v>
      </c>
      <c r="C58" s="893"/>
      <c r="D58" s="314">
        <v>10000</v>
      </c>
      <c r="E58" s="315"/>
      <c r="G58" s="359"/>
      <c r="H58" s="308">
        <f>+H56/77</f>
        <v>30</v>
      </c>
      <c r="I58" s="316"/>
      <c r="J58" s="362"/>
      <c r="K58" s="309"/>
      <c r="L58" s="302"/>
      <c r="M58" s="302" t="s">
        <v>149</v>
      </c>
      <c r="N58" s="364"/>
      <c r="O58" s="299">
        <f>+H59</f>
        <v>2490</v>
      </c>
      <c r="P58" s="299"/>
      <c r="Q58" s="300"/>
    </row>
    <row r="59" spans="1:17" x14ac:dyDescent="0.2">
      <c r="B59" s="893" t="s">
        <v>150</v>
      </c>
      <c r="C59" s="893"/>
      <c r="D59" s="318">
        <v>10000</v>
      </c>
      <c r="E59" s="315"/>
      <c r="G59" s="359"/>
      <c r="H59" s="308">
        <f>+H58*83</f>
        <v>2490</v>
      </c>
      <c r="I59" s="316"/>
      <c r="J59" s="362"/>
      <c r="K59" s="309"/>
      <c r="L59" s="302"/>
      <c r="M59" s="894" t="s">
        <v>147</v>
      </c>
      <c r="N59" s="894"/>
      <c r="O59" s="299">
        <f>SUM(O57:O58)</f>
        <v>20583.699999999997</v>
      </c>
      <c r="P59" s="299"/>
      <c r="Q59" s="300"/>
    </row>
    <row r="60" spans="1:17" ht="13.5" thickBot="1" x14ac:dyDescent="0.25">
      <c r="B60" s="885" t="s">
        <v>151</v>
      </c>
      <c r="C60" s="885"/>
      <c r="D60" s="314">
        <f>+D58/D59</f>
        <v>1</v>
      </c>
      <c r="E60" s="315"/>
      <c r="F60" s="319"/>
      <c r="G60" s="359"/>
      <c r="H60" s="308"/>
      <c r="I60" s="316"/>
      <c r="J60" s="362"/>
      <c r="K60" s="309"/>
      <c r="L60" s="894"/>
      <c r="M60" s="894"/>
      <c r="N60" s="364"/>
      <c r="O60" s="299">
        <f>+O59*N60</f>
        <v>0</v>
      </c>
      <c r="P60" s="299"/>
      <c r="Q60" s="300"/>
    </row>
    <row r="61" spans="1:17" ht="13.5" thickBot="1" x14ac:dyDescent="0.25">
      <c r="B61" s="885" t="s">
        <v>152</v>
      </c>
      <c r="C61" s="885"/>
      <c r="D61" s="320"/>
      <c r="E61" s="315"/>
      <c r="F61" s="319"/>
      <c r="G61" s="359"/>
      <c r="H61" s="308"/>
      <c r="I61" s="316"/>
      <c r="J61" s="362"/>
      <c r="K61" s="886" t="s">
        <v>153</v>
      </c>
      <c r="L61" s="887"/>
      <c r="M61" s="887"/>
      <c r="N61" s="888"/>
      <c r="O61" s="312">
        <f>SUM(O59:O60)</f>
        <v>20583.699999999997</v>
      </c>
      <c r="P61" s="321" t="s">
        <v>154</v>
      </c>
      <c r="Q61" s="300"/>
    </row>
    <row r="62" spans="1:17" ht="13.5" thickBot="1" x14ac:dyDescent="0.25">
      <c r="C62" s="291" t="s">
        <v>155</v>
      </c>
      <c r="D62" s="322"/>
      <c r="E62" s="265" t="s">
        <v>156</v>
      </c>
      <c r="F62" s="323" t="s">
        <v>157</v>
      </c>
      <c r="G62" s="359"/>
      <c r="H62" s="308"/>
      <c r="I62" s="316"/>
      <c r="J62" s="324"/>
      <c r="K62" s="325"/>
      <c r="L62" s="874" t="s">
        <v>158</v>
      </c>
      <c r="M62" s="874"/>
      <c r="N62" s="874"/>
      <c r="O62" s="326">
        <f>+O61/D60</f>
        <v>20583.699999999997</v>
      </c>
      <c r="P62" s="327">
        <f>+O62/D59</f>
        <v>2.0583699999999996</v>
      </c>
      <c r="Q62" s="328"/>
    </row>
    <row r="63" spans="1:17" ht="13.5" thickBot="1" x14ac:dyDescent="0.25">
      <c r="B63" s="875" t="s">
        <v>143</v>
      </c>
      <c r="C63" s="875"/>
      <c r="D63" s="875"/>
      <c r="E63" s="365">
        <f>+F63/F63</f>
        <v>1</v>
      </c>
      <c r="F63" s="330">
        <f>SUM(F55)</f>
        <v>15783.699999999999</v>
      </c>
      <c r="G63" s="359">
        <f>+F63/$F$66</f>
        <v>0.85737298834821862</v>
      </c>
      <c r="H63" s="308"/>
      <c r="I63" s="316"/>
      <c r="K63" s="876"/>
      <c r="L63" s="877"/>
      <c r="M63" s="877"/>
      <c r="N63" s="877"/>
      <c r="O63" s="331"/>
      <c r="P63" s="332"/>
    </row>
    <row r="64" spans="1:17" ht="13.5" thickBot="1" x14ac:dyDescent="0.3">
      <c r="B64" s="878" t="s">
        <v>159</v>
      </c>
      <c r="C64" s="878"/>
      <c r="D64" s="878"/>
      <c r="E64" s="333">
        <v>0.02</v>
      </c>
      <c r="F64" s="330">
        <f>+F53*E64</f>
        <v>315.67399999999998</v>
      </c>
      <c r="G64" s="359">
        <f>+F64/$F$66</f>
        <v>1.7147459766964374E-2</v>
      </c>
      <c r="H64" s="294"/>
      <c r="I64" s="316"/>
      <c r="J64" s="366"/>
      <c r="O64" s="335"/>
      <c r="P64" s="292"/>
    </row>
    <row r="65" spans="2:13" ht="13.5" thickBot="1" x14ac:dyDescent="0.3">
      <c r="B65" s="879" t="s">
        <v>160</v>
      </c>
      <c r="C65" s="880"/>
      <c r="D65" s="336">
        <v>30</v>
      </c>
      <c r="E65" s="337">
        <v>77</v>
      </c>
      <c r="F65" s="330">
        <f>+E65*D65</f>
        <v>2310</v>
      </c>
      <c r="G65" s="359">
        <f>+F65/$F$66</f>
        <v>0.12547955188481694</v>
      </c>
      <c r="H65" s="294"/>
      <c r="I65" s="294"/>
      <c r="J65" s="360"/>
    </row>
    <row r="66" spans="2:13" ht="13.5" thickBot="1" x14ac:dyDescent="0.3">
      <c r="B66" s="881" t="s">
        <v>161</v>
      </c>
      <c r="C66" s="882"/>
      <c r="D66" s="882"/>
      <c r="E66" s="883"/>
      <c r="F66" s="307">
        <f>SUM(F63:F65)</f>
        <v>18409.374</v>
      </c>
      <c r="G66" s="359">
        <f>+F66/$F$66</f>
        <v>1</v>
      </c>
      <c r="H66" s="884"/>
      <c r="I66" s="294"/>
      <c r="J66" s="360"/>
      <c r="M66" s="267" t="s">
        <v>162</v>
      </c>
    </row>
    <row r="67" spans="2:13" x14ac:dyDescent="0.25">
      <c r="C67" s="289"/>
      <c r="D67" s="289"/>
      <c r="E67" s="339"/>
      <c r="F67" s="330"/>
      <c r="G67" s="359"/>
      <c r="H67" s="884"/>
      <c r="I67" s="338"/>
      <c r="J67" s="267"/>
      <c r="M67" s="267" t="s">
        <v>163</v>
      </c>
    </row>
    <row r="68" spans="2:13" ht="13.5" thickBot="1" x14ac:dyDescent="0.3">
      <c r="B68" s="869" t="s">
        <v>164</v>
      </c>
      <c r="C68" s="869"/>
      <c r="D68" s="869"/>
      <c r="E68" s="869"/>
      <c r="F68" s="869"/>
      <c r="G68" s="359"/>
      <c r="H68" s="341"/>
      <c r="I68" s="338"/>
      <c r="J68" s="267"/>
      <c r="M68" s="267" t="s">
        <v>165</v>
      </c>
    </row>
    <row r="69" spans="2:13" ht="13.5" thickBot="1" x14ac:dyDescent="0.3">
      <c r="B69" s="342" t="s">
        <v>166</v>
      </c>
      <c r="C69" s="343">
        <f>+F53</f>
        <v>15783.699999999999</v>
      </c>
      <c r="D69" s="343">
        <f>+D58</f>
        <v>10000</v>
      </c>
      <c r="E69" s="344">
        <f>+C69/D69</f>
        <v>1.5783699999999998</v>
      </c>
      <c r="F69" s="359"/>
      <c r="G69" s="341"/>
      <c r="H69" s="360"/>
      <c r="I69" s="341"/>
      <c r="J69" s="267"/>
    </row>
    <row r="70" spans="2:13" x14ac:dyDescent="0.25">
      <c r="B70" s="345"/>
      <c r="C70" s="346"/>
      <c r="D70" s="347"/>
      <c r="E70" s="330"/>
      <c r="F70" s="359"/>
      <c r="G70" s="341"/>
      <c r="H70" s="360"/>
      <c r="I70" s="360"/>
      <c r="J70" s="267"/>
    </row>
    <row r="71" spans="2:13" x14ac:dyDescent="0.25">
      <c r="B71" s="342" t="s">
        <v>167</v>
      </c>
      <c r="C71" s="343">
        <f>SUM(F63:F64)</f>
        <v>16099.374</v>
      </c>
      <c r="D71" s="343">
        <f>+D58</f>
        <v>10000</v>
      </c>
      <c r="E71" s="348">
        <f>+C71/D71</f>
        <v>1.6099374</v>
      </c>
      <c r="F71" s="359"/>
      <c r="G71" s="341"/>
      <c r="H71" s="360"/>
      <c r="I71" s="360"/>
      <c r="J71" s="267"/>
    </row>
    <row r="72" spans="2:13" x14ac:dyDescent="0.25">
      <c r="B72" s="342"/>
      <c r="C72" s="343"/>
      <c r="D72" s="343"/>
      <c r="E72" s="348"/>
      <c r="F72" s="359"/>
      <c r="G72" s="341"/>
      <c r="H72" s="360"/>
      <c r="I72" s="360"/>
      <c r="J72" s="267"/>
    </row>
    <row r="73" spans="2:13" ht="13.5" thickBot="1" x14ac:dyDescent="0.3">
      <c r="B73" s="342" t="s">
        <v>168</v>
      </c>
      <c r="C73" s="343">
        <f>+F65</f>
        <v>2310</v>
      </c>
      <c r="D73" s="343">
        <f>+D58</f>
        <v>10000</v>
      </c>
      <c r="E73" s="348">
        <f>+C73/D73</f>
        <v>0.23100000000000001</v>
      </c>
      <c r="F73" s="359"/>
      <c r="G73" s="341"/>
      <c r="H73" s="360"/>
      <c r="I73" s="360"/>
      <c r="J73" s="267"/>
    </row>
    <row r="74" spans="2:13" ht="13.5" thickBot="1" x14ac:dyDescent="0.3">
      <c r="B74" s="342" t="s">
        <v>169</v>
      </c>
      <c r="C74" s="343">
        <f>+F56</f>
        <v>2310</v>
      </c>
      <c r="D74" s="343">
        <f>+D73</f>
        <v>10000</v>
      </c>
      <c r="E74" s="344">
        <f>+C74/D74</f>
        <v>0.23100000000000001</v>
      </c>
      <c r="F74" s="359"/>
      <c r="G74" s="341"/>
      <c r="H74" s="360"/>
      <c r="I74" s="360"/>
      <c r="J74" s="267"/>
    </row>
    <row r="75" spans="2:13" ht="13.5" thickBot="1" x14ac:dyDescent="0.3">
      <c r="B75" s="306"/>
      <c r="C75" s="307"/>
      <c r="D75" s="307"/>
      <c r="E75" s="348"/>
      <c r="F75" s="359"/>
      <c r="G75" s="341"/>
      <c r="H75" s="360"/>
      <c r="I75" s="360"/>
      <c r="J75" s="267"/>
    </row>
    <row r="76" spans="2:13" ht="13.5" thickBot="1" x14ac:dyDescent="0.3">
      <c r="B76" s="342" t="s">
        <v>170</v>
      </c>
      <c r="C76" s="343">
        <f>+F54</f>
        <v>0</v>
      </c>
      <c r="D76" s="343">
        <f>+D74</f>
        <v>10000</v>
      </c>
      <c r="E76" s="344">
        <f>+C76/D76</f>
        <v>0</v>
      </c>
      <c r="F76" s="359"/>
      <c r="G76" s="341"/>
      <c r="H76" s="360"/>
      <c r="I76" s="360"/>
      <c r="J76" s="360"/>
    </row>
    <row r="77" spans="2:13" ht="13.5" thickBot="1" x14ac:dyDescent="0.3">
      <c r="B77" s="306"/>
      <c r="C77" s="307"/>
      <c r="D77" s="307"/>
      <c r="E77" s="348"/>
      <c r="F77" s="359"/>
      <c r="G77" s="341"/>
      <c r="H77" s="360"/>
      <c r="I77" s="360"/>
    </row>
    <row r="78" spans="2:13" ht="13.5" thickBot="1" x14ac:dyDescent="0.3">
      <c r="B78" s="870" t="s">
        <v>171</v>
      </c>
      <c r="C78" s="871"/>
      <c r="D78" s="872"/>
      <c r="E78" s="344">
        <f>+E69+E74</f>
        <v>1.8093699999999999</v>
      </c>
      <c r="G78" s="359"/>
      <c r="H78" s="341"/>
      <c r="I78" s="360"/>
      <c r="J78" s="348"/>
    </row>
    <row r="79" spans="2:13" x14ac:dyDescent="0.25">
      <c r="I79" s="341"/>
      <c r="J79" s="267"/>
    </row>
    <row r="80" spans="2:13" ht="13.5" thickBot="1" x14ac:dyDescent="0.3">
      <c r="B80" s="869" t="s">
        <v>172</v>
      </c>
      <c r="C80" s="869"/>
      <c r="D80" s="869"/>
      <c r="E80" s="869"/>
      <c r="F80" s="869"/>
      <c r="G80" s="359"/>
      <c r="H80" s="341"/>
      <c r="J80" s="267"/>
    </row>
    <row r="81" spans="1:10" ht="13.5" thickBot="1" x14ac:dyDescent="0.3">
      <c r="B81" s="342" t="s">
        <v>166</v>
      </c>
      <c r="C81" s="343">
        <f>+C69</f>
        <v>15783.699999999999</v>
      </c>
      <c r="D81" s="343">
        <f>+D60</f>
        <v>1</v>
      </c>
      <c r="E81" s="344">
        <f>+C81/D81</f>
        <v>15783.699999999999</v>
      </c>
      <c r="F81" s="359"/>
      <c r="G81" s="341"/>
      <c r="H81" s="360"/>
      <c r="I81" s="341"/>
      <c r="J81" s="267"/>
    </row>
    <row r="82" spans="1:10" x14ac:dyDescent="0.25">
      <c r="B82" s="345"/>
      <c r="C82" s="346"/>
      <c r="D82" s="347"/>
      <c r="E82" s="330"/>
      <c r="F82" s="359"/>
      <c r="G82" s="341"/>
      <c r="H82" s="360"/>
      <c r="I82" s="360"/>
      <c r="J82" s="267"/>
    </row>
    <row r="83" spans="1:10" x14ac:dyDescent="0.25">
      <c r="B83" s="342" t="s">
        <v>167</v>
      </c>
      <c r="C83" s="343">
        <f>+C71</f>
        <v>16099.374</v>
      </c>
      <c r="D83" s="343">
        <f>+D60</f>
        <v>1</v>
      </c>
      <c r="E83" s="348">
        <f>+C83/D83</f>
        <v>16099.374</v>
      </c>
      <c r="F83" s="359"/>
      <c r="G83" s="341"/>
      <c r="H83" s="360"/>
      <c r="I83" s="360"/>
      <c r="J83" s="267"/>
    </row>
    <row r="84" spans="1:10" x14ac:dyDescent="0.25">
      <c r="B84" s="342"/>
      <c r="C84" s="343"/>
      <c r="D84" s="343"/>
      <c r="E84" s="348"/>
      <c r="F84" s="359"/>
      <c r="G84" s="341"/>
      <c r="H84" s="360"/>
      <c r="I84" s="360"/>
      <c r="J84" s="267"/>
    </row>
    <row r="85" spans="1:10" ht="13.5" thickBot="1" x14ac:dyDescent="0.3">
      <c r="B85" s="342" t="s">
        <v>169</v>
      </c>
      <c r="C85" s="343">
        <f>+C73</f>
        <v>2310</v>
      </c>
      <c r="D85" s="343">
        <f>+D60</f>
        <v>1</v>
      </c>
      <c r="E85" s="348">
        <f>+C85/D85</f>
        <v>2310</v>
      </c>
      <c r="F85" s="350"/>
      <c r="G85" s="340"/>
      <c r="H85" s="266"/>
      <c r="I85" s="360"/>
    </row>
    <row r="86" spans="1:10" ht="13.5" thickBot="1" x14ac:dyDescent="0.3">
      <c r="B86" s="342" t="s">
        <v>169</v>
      </c>
      <c r="C86" s="343">
        <f>+C74</f>
        <v>2310</v>
      </c>
      <c r="D86" s="343">
        <f>+D85</f>
        <v>1</v>
      </c>
      <c r="E86" s="344">
        <f>+C86/D86</f>
        <v>2310</v>
      </c>
      <c r="F86" s="367"/>
      <c r="G86" s="340"/>
      <c r="H86" s="266"/>
      <c r="I86" s="266"/>
    </row>
    <row r="87" spans="1:10" x14ac:dyDescent="0.25">
      <c r="I87" s="266"/>
    </row>
    <row r="88" spans="1:10" x14ac:dyDescent="0.2">
      <c r="A88" s="873"/>
      <c r="B88" s="873"/>
      <c r="C88" s="351"/>
      <c r="D88" s="351"/>
      <c r="E88" s="352"/>
      <c r="G88" s="368"/>
    </row>
    <row r="89" spans="1:10" x14ac:dyDescent="0.2">
      <c r="A89" s="285"/>
      <c r="B89" s="354"/>
      <c r="C89" s="355"/>
      <c r="D89" s="355"/>
      <c r="E89" s="356"/>
      <c r="G89" s="368"/>
    </row>
    <row r="90" spans="1:10" x14ac:dyDescent="0.2">
      <c r="A90" s="285"/>
      <c r="B90" s="354"/>
      <c r="C90" s="357"/>
      <c r="D90" s="357"/>
      <c r="E90" s="285"/>
      <c r="G90" s="368"/>
    </row>
    <row r="91" spans="1:10" x14ac:dyDescent="0.2">
      <c r="A91" s="285"/>
      <c r="B91" s="354"/>
      <c r="C91" s="358"/>
      <c r="D91" s="358"/>
      <c r="E91" s="285"/>
      <c r="G91" s="36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2536-32E7-4546-AD35-C7D202B0B59E}">
  <dimension ref="A1:I57"/>
  <sheetViews>
    <sheetView workbookViewId="0">
      <selection activeCell="H19" sqref="H19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09"/>
      <c r="B1" s="910"/>
      <c r="C1" s="859" t="s">
        <v>33</v>
      </c>
      <c r="D1" s="859"/>
      <c r="E1" s="859"/>
      <c r="F1" s="859"/>
      <c r="G1" s="859"/>
      <c r="H1" s="113" t="s">
        <v>32</v>
      </c>
      <c r="I1" s="114" t="s">
        <v>199</v>
      </c>
    </row>
    <row r="2" spans="1:9" ht="18" customHeight="1" thickBot="1" x14ac:dyDescent="0.3">
      <c r="A2" s="911"/>
      <c r="B2" s="912"/>
      <c r="C2" s="915" t="s">
        <v>31</v>
      </c>
      <c r="D2" s="916"/>
      <c r="E2" s="916"/>
      <c r="F2" s="916"/>
      <c r="G2" s="917"/>
      <c r="H2" s="115" t="s">
        <v>30</v>
      </c>
      <c r="I2" s="116" t="s">
        <v>200</v>
      </c>
    </row>
    <row r="3" spans="1:9" ht="31.5" customHeight="1" thickBot="1" x14ac:dyDescent="0.3">
      <c r="A3" s="911"/>
      <c r="B3" s="912"/>
      <c r="C3" s="1044" t="s">
        <v>201</v>
      </c>
      <c r="D3" s="1045"/>
      <c r="E3" s="1045"/>
      <c r="F3" s="1045"/>
      <c r="G3" s="1046"/>
      <c r="H3" s="920" t="s">
        <v>29</v>
      </c>
      <c r="I3" s="900">
        <v>45619</v>
      </c>
    </row>
    <row r="4" spans="1:9" ht="18" customHeight="1" x14ac:dyDescent="0.25">
      <c r="A4" s="911"/>
      <c r="B4" s="912"/>
      <c r="C4" s="117" t="s">
        <v>28</v>
      </c>
      <c r="D4" s="903" t="s">
        <v>41</v>
      </c>
      <c r="E4" s="904"/>
      <c r="F4" s="904"/>
      <c r="G4" s="905"/>
      <c r="H4" s="921"/>
      <c r="I4" s="901"/>
    </row>
    <row r="5" spans="1:9" ht="15.75" thickBot="1" x14ac:dyDescent="0.3">
      <c r="A5" s="913"/>
      <c r="B5" s="914"/>
      <c r="C5" s="118" t="s">
        <v>27</v>
      </c>
      <c r="D5" s="906" t="s">
        <v>26</v>
      </c>
      <c r="E5" s="907"/>
      <c r="F5" s="907"/>
      <c r="G5" s="908"/>
      <c r="H5" s="922"/>
      <c r="I5" s="902"/>
    </row>
    <row r="6" spans="1:9" ht="18.75" thickBot="1" x14ac:dyDescent="0.3">
      <c r="A6" s="923" t="s">
        <v>25</v>
      </c>
      <c r="B6" s="923"/>
      <c r="C6" s="923"/>
      <c r="D6" s="924" t="s">
        <v>42</v>
      </c>
      <c r="E6" s="924"/>
      <c r="F6" s="924"/>
      <c r="G6" s="925" t="s">
        <v>24</v>
      </c>
      <c r="H6" s="925"/>
      <c r="I6" s="119" t="s">
        <v>42</v>
      </c>
    </row>
    <row r="7" spans="1:9" x14ac:dyDescent="0.25">
      <c r="A7" s="926" t="s">
        <v>23</v>
      </c>
      <c r="B7" s="928" t="s">
        <v>35</v>
      </c>
      <c r="C7" s="930" t="s">
        <v>22</v>
      </c>
      <c r="D7" s="930" t="s">
        <v>21</v>
      </c>
      <c r="E7" s="930" t="s">
        <v>20</v>
      </c>
      <c r="F7" s="930"/>
      <c r="G7" s="930" t="s">
        <v>19</v>
      </c>
      <c r="H7" s="930"/>
      <c r="I7" s="120" t="s">
        <v>18</v>
      </c>
    </row>
    <row r="8" spans="1:9" ht="27" thickBot="1" x14ac:dyDescent="0.3">
      <c r="A8" s="927"/>
      <c r="B8" s="1042"/>
      <c r="C8" s="1043"/>
      <c r="D8" s="1043"/>
      <c r="E8" s="121" t="s">
        <v>14</v>
      </c>
      <c r="F8" s="122" t="s">
        <v>17</v>
      </c>
      <c r="G8" s="121" t="s">
        <v>14</v>
      </c>
      <c r="H8" s="122" t="s">
        <v>17</v>
      </c>
      <c r="I8" s="123" t="s">
        <v>16</v>
      </c>
    </row>
    <row r="9" spans="1:9" ht="18.600000000000001" customHeight="1" x14ac:dyDescent="0.25">
      <c r="A9" s="124"/>
      <c r="B9" s="125"/>
      <c r="C9" s="126" t="s">
        <v>36</v>
      </c>
      <c r="D9" s="127"/>
      <c r="E9" s="82"/>
      <c r="F9" s="83"/>
      <c r="G9" s="82"/>
      <c r="H9" s="83"/>
      <c r="I9" s="128"/>
    </row>
    <row r="10" spans="1:9" ht="18" customHeight="1" x14ac:dyDescent="0.25">
      <c r="A10" s="129">
        <v>906000138</v>
      </c>
      <c r="B10" s="2" t="s">
        <v>202</v>
      </c>
      <c r="C10" s="1" t="s">
        <v>203</v>
      </c>
      <c r="D10" s="130" t="s">
        <v>15</v>
      </c>
      <c r="E10" s="131">
        <v>14195</v>
      </c>
      <c r="F10" s="132" t="s">
        <v>1</v>
      </c>
      <c r="G10" s="133"/>
      <c r="H10" s="134"/>
      <c r="I10" s="128"/>
    </row>
    <row r="11" spans="1:9" x14ac:dyDescent="0.25">
      <c r="A11" s="130">
        <v>1210482</v>
      </c>
      <c r="B11" s="130" t="s">
        <v>204</v>
      </c>
      <c r="C11" s="135" t="s">
        <v>205</v>
      </c>
      <c r="D11" s="130" t="s">
        <v>206</v>
      </c>
      <c r="E11" s="131">
        <v>7700</v>
      </c>
      <c r="F11" s="132" t="s">
        <v>1</v>
      </c>
      <c r="G11" s="133"/>
      <c r="H11" s="134"/>
      <c r="I11" s="128"/>
    </row>
    <row r="12" spans="1:9" x14ac:dyDescent="0.25">
      <c r="A12" s="130" t="s">
        <v>207</v>
      </c>
      <c r="B12" s="130"/>
      <c r="C12" s="135" t="s">
        <v>208</v>
      </c>
      <c r="D12" s="130" t="s">
        <v>15</v>
      </c>
      <c r="E12" s="131">
        <v>3090</v>
      </c>
      <c r="F12" s="132" t="s">
        <v>1</v>
      </c>
      <c r="G12" s="133"/>
      <c r="H12" s="134"/>
      <c r="I12" s="128"/>
    </row>
    <row r="13" spans="1:9" x14ac:dyDescent="0.25">
      <c r="A13" s="130">
        <v>1212437</v>
      </c>
      <c r="B13" s="130" t="s">
        <v>209</v>
      </c>
      <c r="C13" s="135" t="s">
        <v>210</v>
      </c>
      <c r="D13" s="130" t="s">
        <v>211</v>
      </c>
      <c r="E13" s="131">
        <v>390</v>
      </c>
      <c r="F13" s="132" t="s">
        <v>1</v>
      </c>
      <c r="G13" s="133"/>
      <c r="H13" s="134"/>
      <c r="I13" s="128"/>
    </row>
    <row r="14" spans="1:9" x14ac:dyDescent="0.25">
      <c r="A14" s="130"/>
      <c r="B14" s="130"/>
      <c r="C14" s="135"/>
      <c r="D14" s="130"/>
      <c r="E14" s="131"/>
      <c r="F14" s="132"/>
      <c r="G14" s="133"/>
      <c r="H14" s="134"/>
      <c r="I14" s="128"/>
    </row>
    <row r="15" spans="1:9" x14ac:dyDescent="0.25">
      <c r="A15" s="130"/>
      <c r="B15" s="130"/>
      <c r="C15" s="135"/>
      <c r="D15" s="130"/>
      <c r="E15" s="131"/>
      <c r="F15" s="132"/>
      <c r="G15" s="133"/>
      <c r="H15" s="134"/>
      <c r="I15" s="128"/>
    </row>
    <row r="16" spans="1:9" x14ac:dyDescent="0.25">
      <c r="A16" s="130"/>
      <c r="B16" s="130"/>
      <c r="C16" s="135"/>
      <c r="D16" s="130"/>
      <c r="E16" s="131"/>
      <c r="F16" s="132"/>
      <c r="G16" s="133"/>
      <c r="H16" s="134"/>
      <c r="I16" s="128"/>
    </row>
    <row r="17" spans="1:9" x14ac:dyDescent="0.25">
      <c r="A17" s="130"/>
      <c r="B17" s="130"/>
      <c r="C17" s="135"/>
      <c r="D17" s="130"/>
      <c r="E17" s="131"/>
      <c r="F17" s="132"/>
      <c r="G17" s="133"/>
      <c r="H17" s="134"/>
      <c r="I17" s="128"/>
    </row>
    <row r="18" spans="1:9" x14ac:dyDescent="0.25">
      <c r="A18" s="130"/>
      <c r="B18" s="130"/>
      <c r="C18" s="135"/>
      <c r="D18" s="130"/>
      <c r="E18" s="131"/>
      <c r="F18" s="132"/>
      <c r="G18" s="133"/>
      <c r="H18" s="134"/>
      <c r="I18" s="128"/>
    </row>
    <row r="19" spans="1:9" x14ac:dyDescent="0.25">
      <c r="A19" s="130"/>
      <c r="B19" s="130"/>
      <c r="C19" s="135"/>
      <c r="D19" s="130"/>
      <c r="E19" s="131"/>
      <c r="F19" s="132"/>
      <c r="G19" s="133"/>
      <c r="H19" s="134"/>
      <c r="I19" s="128"/>
    </row>
    <row r="20" spans="1:9" ht="15.75" x14ac:dyDescent="0.25">
      <c r="A20" s="136"/>
      <c r="B20" s="136"/>
      <c r="C20" s="1"/>
      <c r="D20" s="26"/>
      <c r="E20" s="26"/>
      <c r="F20" s="26"/>
      <c r="G20" s="63"/>
      <c r="H20" s="134"/>
      <c r="I20" s="128"/>
    </row>
    <row r="21" spans="1:9" ht="15.75" x14ac:dyDescent="0.25">
      <c r="A21" s="137"/>
      <c r="B21" s="138"/>
      <c r="C21" s="139" t="s">
        <v>44</v>
      </c>
      <c r="D21" s="26"/>
      <c r="E21" s="26"/>
      <c r="F21" s="26"/>
      <c r="G21" s="63"/>
      <c r="H21" s="134"/>
      <c r="I21" s="128"/>
    </row>
    <row r="22" spans="1:9" x14ac:dyDescent="0.25">
      <c r="A22" s="129"/>
      <c r="B22" s="2"/>
      <c r="C22" s="1"/>
      <c r="D22" s="140"/>
      <c r="E22" s="140"/>
      <c r="F22" s="140"/>
      <c r="G22" s="82"/>
      <c r="H22" s="134"/>
      <c r="I22" s="128"/>
    </row>
    <row r="23" spans="1:9" x14ac:dyDescent="0.25">
      <c r="A23" s="141"/>
      <c r="B23" s="136"/>
      <c r="C23" s="1"/>
      <c r="D23" s="140"/>
      <c r="E23" s="140"/>
      <c r="F23" s="140"/>
      <c r="G23" s="82"/>
      <c r="H23" s="134"/>
      <c r="I23" s="128"/>
    </row>
    <row r="24" spans="1:9" x14ac:dyDescent="0.25">
      <c r="A24" s="141"/>
      <c r="B24" s="136"/>
      <c r="C24" s="1"/>
      <c r="D24" s="140"/>
      <c r="E24" s="140"/>
      <c r="F24" s="140"/>
      <c r="G24" s="82"/>
      <c r="H24" s="134"/>
      <c r="I24" s="128"/>
    </row>
    <row r="25" spans="1:9" ht="15.75" x14ac:dyDescent="0.25">
      <c r="A25" s="137"/>
      <c r="B25" s="138"/>
      <c r="C25" s="139"/>
      <c r="D25" s="142"/>
      <c r="E25" s="143"/>
      <c r="F25" s="144"/>
      <c r="G25" s="82"/>
      <c r="H25" s="134"/>
      <c r="I25" s="128"/>
    </row>
    <row r="26" spans="1:9" x14ac:dyDescent="0.25">
      <c r="A26" s="145"/>
      <c r="B26" s="146"/>
      <c r="C26" s="147"/>
      <c r="D26" s="148"/>
      <c r="E26" s="149"/>
      <c r="F26" s="150"/>
      <c r="G26" s="82"/>
      <c r="H26" s="134"/>
      <c r="I26" s="128"/>
    </row>
    <row r="27" spans="1:9" x14ac:dyDescent="0.25">
      <c r="A27" s="2"/>
      <c r="B27" s="2"/>
      <c r="C27" s="1"/>
      <c r="D27" s="111"/>
      <c r="E27" s="62"/>
      <c r="F27" s="151"/>
      <c r="G27" s="82"/>
      <c r="H27" s="134"/>
      <c r="I27" s="128"/>
    </row>
    <row r="28" spans="1:9" ht="15.75" x14ac:dyDescent="0.25">
      <c r="A28" s="152"/>
      <c r="B28" s="153"/>
      <c r="C28" s="154" t="s">
        <v>45</v>
      </c>
      <c r="D28" s="155"/>
      <c r="E28" s="156"/>
      <c r="F28" s="83"/>
      <c r="G28" s="82"/>
      <c r="H28" s="134"/>
      <c r="I28" s="128"/>
    </row>
    <row r="29" spans="1:9" x14ac:dyDescent="0.25">
      <c r="A29" s="157"/>
      <c r="B29" s="158"/>
      <c r="C29" s="159"/>
      <c r="D29" s="70"/>
      <c r="E29" s="68"/>
      <c r="F29" s="69"/>
      <c r="G29" s="160"/>
      <c r="H29" s="134"/>
      <c r="I29" s="128"/>
    </row>
    <row r="30" spans="1:9" x14ac:dyDescent="0.25">
      <c r="A30" s="157"/>
      <c r="B30" s="158"/>
      <c r="C30" s="159"/>
      <c r="D30" s="70"/>
      <c r="E30" s="68"/>
      <c r="F30" s="69"/>
      <c r="G30" s="160"/>
      <c r="H30" s="134"/>
      <c r="I30" s="128"/>
    </row>
    <row r="31" spans="1:9" x14ac:dyDescent="0.25">
      <c r="A31" s="161"/>
      <c r="B31" s="162"/>
      <c r="C31" s="163"/>
      <c r="D31" s="70"/>
      <c r="E31" s="68"/>
      <c r="F31" s="69"/>
      <c r="G31" s="160"/>
      <c r="H31" s="134"/>
      <c r="I31" s="128"/>
    </row>
    <row r="32" spans="1:9" x14ac:dyDescent="0.25">
      <c r="A32" s="164"/>
      <c r="B32" s="164"/>
      <c r="C32" s="165"/>
      <c r="D32" s="70"/>
      <c r="E32" s="68"/>
      <c r="F32" s="69"/>
      <c r="G32" s="82"/>
      <c r="H32" s="134"/>
      <c r="I32" s="128"/>
    </row>
    <row r="33" spans="1:9" x14ac:dyDescent="0.25">
      <c r="A33" s="164"/>
      <c r="B33" s="164"/>
      <c r="C33" s="165"/>
      <c r="D33" s="70"/>
      <c r="E33" s="68"/>
      <c r="F33" s="69"/>
      <c r="G33" s="82"/>
      <c r="H33" s="134"/>
      <c r="I33" s="128"/>
    </row>
    <row r="34" spans="1:9" x14ac:dyDescent="0.25">
      <c r="A34" s="164"/>
      <c r="B34" s="164"/>
      <c r="C34" s="165"/>
      <c r="D34" s="70"/>
      <c r="E34" s="68"/>
      <c r="F34" s="69"/>
      <c r="G34" s="166"/>
      <c r="H34" s="134"/>
      <c r="I34" s="128"/>
    </row>
    <row r="35" spans="1:9" ht="15.75" x14ac:dyDescent="0.25">
      <c r="A35" s="164"/>
      <c r="B35" s="164"/>
      <c r="C35" s="165"/>
      <c r="D35" s="26"/>
      <c r="E35" s="68"/>
      <c r="F35" s="69"/>
      <c r="G35" s="167"/>
      <c r="H35" s="134"/>
      <c r="I35" s="128"/>
    </row>
    <row r="36" spans="1:9" x14ac:dyDescent="0.25">
      <c r="A36" s="168"/>
      <c r="B36" s="168"/>
      <c r="C36" s="169"/>
      <c r="D36" s="70"/>
      <c r="E36" s="151"/>
      <c r="F36" s="151"/>
      <c r="G36" s="167"/>
      <c r="H36" s="83"/>
      <c r="I36" s="128"/>
    </row>
    <row r="37" spans="1:9" ht="15.75" thickBot="1" x14ac:dyDescent="0.3">
      <c r="A37" s="170"/>
      <c r="B37" s="171"/>
      <c r="C37" s="172" t="s">
        <v>56</v>
      </c>
      <c r="D37" s="172"/>
      <c r="E37" s="173"/>
      <c r="F37" s="174"/>
      <c r="G37" s="172"/>
      <c r="H37" s="172"/>
      <c r="I37" s="175"/>
    </row>
    <row r="38" spans="1:9" ht="15.75" thickBot="1" x14ac:dyDescent="0.3">
      <c r="A38" s="176"/>
      <c r="B38" s="177"/>
      <c r="C38" s="178" t="s">
        <v>56</v>
      </c>
      <c r="D38" s="179" t="s">
        <v>14</v>
      </c>
      <c r="E38" s="180" t="s">
        <v>13</v>
      </c>
      <c r="F38" s="181"/>
      <c r="G38" s="178"/>
      <c r="H38" s="178"/>
      <c r="I38" s="182"/>
    </row>
    <row r="39" spans="1:9" x14ac:dyDescent="0.25">
      <c r="A39" s="932" t="s">
        <v>12</v>
      </c>
      <c r="B39" s="933"/>
      <c r="C39" s="934"/>
      <c r="D39" s="183">
        <v>24000</v>
      </c>
      <c r="E39" s="184" t="s">
        <v>1</v>
      </c>
      <c r="F39" s="935" t="s">
        <v>11</v>
      </c>
      <c r="G39" s="935"/>
      <c r="H39" s="936"/>
      <c r="I39" s="937"/>
    </row>
    <row r="40" spans="1:9" x14ac:dyDescent="0.25">
      <c r="A40" s="938" t="s">
        <v>10</v>
      </c>
      <c r="B40" s="939"/>
      <c r="C40" s="940"/>
      <c r="D40" s="63">
        <v>10</v>
      </c>
      <c r="E40" s="63" t="s">
        <v>9</v>
      </c>
      <c r="F40" s="941" t="s">
        <v>8</v>
      </c>
      <c r="G40" s="941"/>
      <c r="H40" s="942"/>
      <c r="I40" s="943"/>
    </row>
    <row r="41" spans="1:9" x14ac:dyDescent="0.25">
      <c r="A41" s="938" t="s">
        <v>7</v>
      </c>
      <c r="B41" s="939"/>
      <c r="C41" s="940"/>
      <c r="D41" s="62">
        <v>1</v>
      </c>
      <c r="E41" s="63" t="s">
        <v>92</v>
      </c>
      <c r="F41" s="941" t="s">
        <v>5</v>
      </c>
      <c r="G41" s="941"/>
      <c r="H41" s="942"/>
      <c r="I41" s="943"/>
    </row>
    <row r="42" spans="1:9" x14ac:dyDescent="0.25">
      <c r="A42" s="938" t="s">
        <v>4</v>
      </c>
      <c r="B42" s="939"/>
      <c r="C42" s="940"/>
      <c r="D42" s="62">
        <v>24000</v>
      </c>
      <c r="E42" s="63" t="s">
        <v>1</v>
      </c>
      <c r="F42" s="947" t="s">
        <v>3</v>
      </c>
      <c r="G42" s="948"/>
      <c r="H42" s="1040"/>
      <c r="I42" s="1041"/>
    </row>
    <row r="43" spans="1:9" ht="15.75" thickBot="1" x14ac:dyDescent="0.3">
      <c r="A43" s="951" t="s">
        <v>2</v>
      </c>
      <c r="B43" s="952"/>
      <c r="C43" s="953"/>
      <c r="D43" s="185">
        <v>1375</v>
      </c>
      <c r="E43" s="186" t="s">
        <v>1</v>
      </c>
      <c r="F43" s="954"/>
      <c r="G43" s="954"/>
      <c r="H43" s="942"/>
      <c r="I43" s="943"/>
    </row>
    <row r="44" spans="1:9" ht="15.75" thickBot="1" x14ac:dyDescent="0.3">
      <c r="A44" s="955" t="s">
        <v>0</v>
      </c>
      <c r="B44" s="956"/>
      <c r="C44" s="956"/>
      <c r="D44" s="956"/>
      <c r="E44" s="956"/>
      <c r="F44" s="956"/>
      <c r="G44" s="956"/>
      <c r="H44" s="956"/>
      <c r="I44" s="957"/>
    </row>
    <row r="45" spans="1:9" ht="14.45" customHeight="1" x14ac:dyDescent="0.25">
      <c r="A45" s="1033"/>
      <c r="B45" s="1034"/>
      <c r="C45" s="1034"/>
      <c r="D45" s="1034"/>
      <c r="E45" s="1034"/>
      <c r="F45" s="1034"/>
      <c r="G45" s="1034"/>
      <c r="H45" s="1034"/>
      <c r="I45" s="1035"/>
    </row>
    <row r="46" spans="1:9" ht="15.6" customHeight="1" x14ac:dyDescent="0.25">
      <c r="A46" s="1033" t="s">
        <v>212</v>
      </c>
      <c r="B46" s="1034"/>
      <c r="C46" s="1034"/>
      <c r="D46" s="1034"/>
      <c r="E46" s="1034"/>
      <c r="F46" s="1034"/>
      <c r="G46" s="1034"/>
      <c r="H46" s="1034"/>
      <c r="I46" s="1035"/>
    </row>
    <row r="47" spans="1:9" ht="14.45" customHeight="1" x14ac:dyDescent="0.25">
      <c r="A47" s="1033" t="s">
        <v>213</v>
      </c>
      <c r="B47" s="1034"/>
      <c r="C47" s="1034"/>
      <c r="D47" s="1034"/>
      <c r="E47" s="1034"/>
      <c r="F47" s="1034"/>
      <c r="G47" s="1034"/>
      <c r="H47" s="1034"/>
      <c r="I47" s="1035"/>
    </row>
    <row r="48" spans="1:9" x14ac:dyDescent="0.25">
      <c r="A48" s="1033" t="s">
        <v>214</v>
      </c>
      <c r="B48" s="1034"/>
      <c r="C48" s="1034"/>
      <c r="D48" s="1034"/>
      <c r="E48" s="1034"/>
      <c r="F48" s="1034"/>
      <c r="G48" s="1034"/>
      <c r="H48" s="1034"/>
      <c r="I48" s="1035"/>
    </row>
    <row r="49" spans="1:9" x14ac:dyDescent="0.25">
      <c r="A49" s="1033"/>
      <c r="B49" s="1034"/>
      <c r="C49" s="1034"/>
      <c r="D49" s="1034"/>
      <c r="E49" s="1034"/>
      <c r="F49" s="1034"/>
      <c r="G49" s="1034"/>
      <c r="H49" s="1034"/>
      <c r="I49" s="1035"/>
    </row>
    <row r="50" spans="1:9" ht="14.45" customHeight="1" x14ac:dyDescent="0.25">
      <c r="A50" s="1029"/>
      <c r="B50" s="1030"/>
      <c r="C50" s="1031"/>
      <c r="D50" s="1031"/>
      <c r="E50" s="1031"/>
      <c r="F50" s="1031"/>
      <c r="G50" s="1031"/>
      <c r="H50" s="1031"/>
      <c r="I50" s="1032"/>
    </row>
    <row r="51" spans="1:9" ht="14.45" customHeight="1" x14ac:dyDescent="0.25">
      <c r="A51" s="1036"/>
      <c r="B51" s="1037"/>
      <c r="C51" s="1038"/>
      <c r="D51" s="1038"/>
      <c r="E51" s="1038"/>
      <c r="F51" s="1038"/>
      <c r="G51" s="1038"/>
      <c r="H51" s="1038"/>
      <c r="I51" s="1039"/>
    </row>
    <row r="52" spans="1:9" ht="18" customHeight="1" x14ac:dyDescent="0.25">
      <c r="A52" s="1029"/>
      <c r="B52" s="1030"/>
      <c r="C52" s="1031"/>
      <c r="D52" s="1031"/>
      <c r="E52" s="1031"/>
      <c r="F52" s="1031"/>
      <c r="G52" s="1031"/>
      <c r="H52" s="1031"/>
      <c r="I52" s="1032"/>
    </row>
    <row r="53" spans="1:9" ht="14.45" customHeight="1" thickBot="1" x14ac:dyDescent="0.3">
      <c r="A53" s="1022"/>
      <c r="B53" s="1023"/>
      <c r="C53" s="1024"/>
      <c r="D53" s="1024"/>
      <c r="E53" s="1024"/>
      <c r="F53" s="1024"/>
      <c r="G53" s="1024"/>
      <c r="H53" s="1024"/>
      <c r="I53" s="1025"/>
    </row>
    <row r="54" spans="1:9" ht="14.45" customHeight="1" thickBot="1" x14ac:dyDescent="0.3">
      <c r="A54" s="1026"/>
      <c r="B54" s="1027"/>
      <c r="C54" s="1027"/>
      <c r="D54" s="1027"/>
      <c r="E54" s="1027"/>
      <c r="F54" s="1027"/>
      <c r="G54" s="1027"/>
      <c r="H54" s="1027"/>
      <c r="I54" s="1028"/>
    </row>
    <row r="55" spans="1:9" ht="14.45" customHeight="1" x14ac:dyDescent="0.25">
      <c r="A55" s="806" t="s">
        <v>37</v>
      </c>
      <c r="B55" s="807"/>
      <c r="C55" s="807"/>
      <c r="D55" s="807"/>
      <c r="E55" s="807"/>
      <c r="F55" s="807"/>
      <c r="G55" s="807"/>
      <c r="H55" s="807"/>
      <c r="I55" s="807"/>
    </row>
    <row r="56" spans="1:9" x14ac:dyDescent="0.25">
      <c r="A56" s="782"/>
      <c r="B56" s="783"/>
      <c r="C56" s="783"/>
      <c r="D56" s="783"/>
      <c r="E56" s="783"/>
      <c r="F56" s="783"/>
      <c r="G56" s="783"/>
      <c r="H56" s="783"/>
      <c r="I56" s="783"/>
    </row>
    <row r="57" spans="1:9" x14ac:dyDescent="0.25">
      <c r="A57" s="782"/>
      <c r="B57" s="783"/>
      <c r="C57" s="783"/>
      <c r="D57" s="783"/>
      <c r="E57" s="783"/>
      <c r="F57" s="783"/>
      <c r="G57" s="783"/>
      <c r="H57" s="783"/>
      <c r="I57" s="783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DDBC-7430-49EB-BB82-B8B41926FF24}">
  <dimension ref="A1:I59"/>
  <sheetViews>
    <sheetView workbookViewId="0">
      <selection activeCell="H11" sqref="H1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09"/>
      <c r="B1" s="910"/>
      <c r="C1" s="859" t="s">
        <v>33</v>
      </c>
      <c r="D1" s="859"/>
      <c r="E1" s="859"/>
      <c r="F1" s="859"/>
      <c r="G1" s="859"/>
      <c r="H1" s="113" t="s">
        <v>32</v>
      </c>
      <c r="I1" s="114" t="s">
        <v>215</v>
      </c>
    </row>
    <row r="2" spans="1:9" ht="18" customHeight="1" thickBot="1" x14ac:dyDescent="0.3">
      <c r="A2" s="911"/>
      <c r="B2" s="912"/>
      <c r="C2" s="915" t="s">
        <v>31</v>
      </c>
      <c r="D2" s="916"/>
      <c r="E2" s="916"/>
      <c r="F2" s="916"/>
      <c r="G2" s="917"/>
      <c r="H2" s="115" t="s">
        <v>30</v>
      </c>
      <c r="I2" s="116" t="s">
        <v>200</v>
      </c>
    </row>
    <row r="3" spans="1:9" ht="31.5" customHeight="1" thickBot="1" x14ac:dyDescent="0.3">
      <c r="A3" s="911"/>
      <c r="B3" s="912"/>
      <c r="C3" s="1044" t="s">
        <v>216</v>
      </c>
      <c r="D3" s="1045"/>
      <c r="E3" s="1045"/>
      <c r="F3" s="1045"/>
      <c r="G3" s="1046"/>
      <c r="H3" s="920" t="s">
        <v>29</v>
      </c>
      <c r="I3" s="900">
        <v>45617</v>
      </c>
    </row>
    <row r="4" spans="1:9" ht="18" customHeight="1" x14ac:dyDescent="0.25">
      <c r="A4" s="911"/>
      <c r="B4" s="912"/>
      <c r="C4" s="117" t="s">
        <v>28</v>
      </c>
      <c r="D4" s="903" t="s">
        <v>41</v>
      </c>
      <c r="E4" s="904"/>
      <c r="F4" s="904"/>
      <c r="G4" s="905"/>
      <c r="H4" s="921"/>
      <c r="I4" s="901"/>
    </row>
    <row r="5" spans="1:9" ht="15.75" thickBot="1" x14ac:dyDescent="0.3">
      <c r="A5" s="913"/>
      <c r="B5" s="914"/>
      <c r="C5" s="118" t="s">
        <v>27</v>
      </c>
      <c r="D5" s="906" t="s">
        <v>26</v>
      </c>
      <c r="E5" s="907"/>
      <c r="F5" s="907"/>
      <c r="G5" s="908"/>
      <c r="H5" s="922"/>
      <c r="I5" s="902"/>
    </row>
    <row r="6" spans="1:9" ht="18.75" thickBot="1" x14ac:dyDescent="0.3">
      <c r="A6" s="923" t="s">
        <v>25</v>
      </c>
      <c r="B6" s="923"/>
      <c r="C6" s="923"/>
      <c r="D6" s="924" t="s">
        <v>217</v>
      </c>
      <c r="E6" s="924"/>
      <c r="F6" s="924"/>
      <c r="G6" s="925" t="s">
        <v>24</v>
      </c>
      <c r="H6" s="925"/>
      <c r="I6" s="119" t="s">
        <v>217</v>
      </c>
    </row>
    <row r="7" spans="1:9" x14ac:dyDescent="0.25">
      <c r="A7" s="926" t="s">
        <v>23</v>
      </c>
      <c r="B7" s="928" t="s">
        <v>35</v>
      </c>
      <c r="C7" s="930" t="s">
        <v>22</v>
      </c>
      <c r="D7" s="930" t="s">
        <v>21</v>
      </c>
      <c r="E7" s="930" t="s">
        <v>20</v>
      </c>
      <c r="F7" s="930"/>
      <c r="G7" s="930" t="s">
        <v>19</v>
      </c>
      <c r="H7" s="930"/>
      <c r="I7" s="120" t="s">
        <v>18</v>
      </c>
    </row>
    <row r="8" spans="1:9" ht="27" thickBot="1" x14ac:dyDescent="0.3">
      <c r="A8" s="927"/>
      <c r="B8" s="1042"/>
      <c r="C8" s="1043"/>
      <c r="D8" s="1043"/>
      <c r="E8" s="121" t="s">
        <v>14</v>
      </c>
      <c r="F8" s="122" t="s">
        <v>17</v>
      </c>
      <c r="G8" s="121" t="s">
        <v>14</v>
      </c>
      <c r="H8" s="122" t="s">
        <v>17</v>
      </c>
      <c r="I8" s="123" t="s">
        <v>16</v>
      </c>
    </row>
    <row r="9" spans="1:9" ht="18.600000000000001" customHeight="1" x14ac:dyDescent="0.25">
      <c r="A9" s="124"/>
      <c r="B9" s="125"/>
      <c r="C9" s="126" t="s">
        <v>36</v>
      </c>
      <c r="D9" s="127"/>
      <c r="E9" s="82"/>
      <c r="F9" s="83"/>
      <c r="G9" s="82"/>
      <c r="H9" s="83"/>
      <c r="I9" s="128"/>
    </row>
    <row r="10" spans="1:9" ht="18" customHeight="1" x14ac:dyDescent="0.25">
      <c r="A10" s="376">
        <v>510301</v>
      </c>
      <c r="B10" s="377" t="s">
        <v>82</v>
      </c>
      <c r="C10" s="375" t="s">
        <v>218</v>
      </c>
      <c r="D10" s="374" t="s">
        <v>219</v>
      </c>
      <c r="E10" s="393">
        <v>5820</v>
      </c>
      <c r="F10" s="394" t="s">
        <v>1</v>
      </c>
      <c r="G10" s="133"/>
      <c r="H10" s="134"/>
      <c r="I10" s="128"/>
    </row>
    <row r="11" spans="1:9" x14ac:dyDescent="0.25">
      <c r="A11" s="376">
        <v>1210445</v>
      </c>
      <c r="B11" s="2" t="s">
        <v>220</v>
      </c>
      <c r="C11" s="375" t="s">
        <v>221</v>
      </c>
      <c r="D11" s="374"/>
      <c r="E11" s="393">
        <v>350</v>
      </c>
      <c r="F11" s="394" t="s">
        <v>1</v>
      </c>
      <c r="G11" s="133"/>
      <c r="H11" s="134"/>
      <c r="I11" s="128"/>
    </row>
    <row r="12" spans="1:9" x14ac:dyDescent="0.25">
      <c r="A12" s="395">
        <v>11200072</v>
      </c>
      <c r="B12" s="396" t="s">
        <v>222</v>
      </c>
      <c r="C12" s="397" t="s">
        <v>223</v>
      </c>
      <c r="D12" s="87" t="s">
        <v>224</v>
      </c>
      <c r="E12" s="393">
        <v>3622</v>
      </c>
      <c r="F12" s="394" t="s">
        <v>1</v>
      </c>
      <c r="G12" s="63"/>
      <c r="H12" s="134"/>
      <c r="I12" s="128"/>
    </row>
    <row r="13" spans="1:9" ht="15.75" x14ac:dyDescent="0.25">
      <c r="A13" s="2">
        <v>11200087</v>
      </c>
      <c r="B13" s="2" t="s">
        <v>225</v>
      </c>
      <c r="C13" s="194" t="s">
        <v>226</v>
      </c>
      <c r="D13" s="26" t="s">
        <v>227</v>
      </c>
      <c r="E13" s="26">
        <v>3492</v>
      </c>
      <c r="F13" s="26" t="s">
        <v>1</v>
      </c>
      <c r="G13" s="63"/>
      <c r="H13" s="134"/>
      <c r="I13" s="128"/>
    </row>
    <row r="14" spans="1:9" ht="15.75" x14ac:dyDescent="0.25">
      <c r="A14" s="398">
        <v>1160001</v>
      </c>
      <c r="B14" s="398" t="s">
        <v>228</v>
      </c>
      <c r="C14" s="399" t="s">
        <v>229</v>
      </c>
      <c r="D14" s="26" t="s">
        <v>230</v>
      </c>
      <c r="E14" s="26">
        <v>60</v>
      </c>
      <c r="F14" s="26" t="s">
        <v>1</v>
      </c>
      <c r="G14" s="63"/>
      <c r="H14" s="134"/>
      <c r="I14" s="128"/>
    </row>
    <row r="15" spans="1:9" ht="15.75" x14ac:dyDescent="0.25">
      <c r="A15" s="398">
        <v>1212410</v>
      </c>
      <c r="B15" s="398" t="s">
        <v>231</v>
      </c>
      <c r="C15" s="399" t="s">
        <v>232</v>
      </c>
      <c r="D15" s="26" t="s">
        <v>88</v>
      </c>
      <c r="E15" s="26">
        <v>38</v>
      </c>
      <c r="F15" s="26" t="s">
        <v>1</v>
      </c>
      <c r="G15" s="63"/>
      <c r="H15" s="134"/>
      <c r="I15" s="128"/>
    </row>
    <row r="16" spans="1:9" ht="15.75" x14ac:dyDescent="0.25">
      <c r="A16" s="398">
        <v>10100337</v>
      </c>
      <c r="B16" s="398" t="s">
        <v>233</v>
      </c>
      <c r="C16" s="399" t="s">
        <v>234</v>
      </c>
      <c r="D16" s="26" t="s">
        <v>235</v>
      </c>
      <c r="E16" s="26">
        <v>30</v>
      </c>
      <c r="F16" s="26" t="s">
        <v>1</v>
      </c>
      <c r="G16" s="63"/>
      <c r="H16" s="134"/>
      <c r="I16" s="128"/>
    </row>
    <row r="17" spans="1:9" ht="15.75" x14ac:dyDescent="0.25">
      <c r="A17" s="398">
        <v>310145</v>
      </c>
      <c r="B17" s="398" t="s">
        <v>236</v>
      </c>
      <c r="C17" s="399" t="s">
        <v>237</v>
      </c>
      <c r="D17" s="26" t="s">
        <v>238</v>
      </c>
      <c r="E17" s="26">
        <v>518</v>
      </c>
      <c r="F17" s="26" t="s">
        <v>1</v>
      </c>
      <c r="G17" s="63"/>
      <c r="H17" s="134"/>
      <c r="I17" s="128"/>
    </row>
    <row r="18" spans="1:9" ht="15.75" x14ac:dyDescent="0.25">
      <c r="A18" s="398">
        <v>503000036</v>
      </c>
      <c r="B18" s="398" t="s">
        <v>239</v>
      </c>
      <c r="C18" s="399" t="s">
        <v>240</v>
      </c>
      <c r="D18" s="26"/>
      <c r="E18" s="26">
        <v>65</v>
      </c>
      <c r="F18" s="26" t="s">
        <v>1</v>
      </c>
      <c r="G18" s="63"/>
      <c r="H18" s="134"/>
      <c r="I18" s="128"/>
    </row>
    <row r="19" spans="1:9" ht="15.75" x14ac:dyDescent="0.25">
      <c r="A19" s="2">
        <v>11300012</v>
      </c>
      <c r="B19" s="2" t="s">
        <v>241</v>
      </c>
      <c r="C19" s="1" t="s">
        <v>242</v>
      </c>
      <c r="D19" s="26" t="s">
        <v>211</v>
      </c>
      <c r="E19" s="26">
        <v>200</v>
      </c>
      <c r="F19" s="26" t="s">
        <v>1</v>
      </c>
      <c r="G19" s="63"/>
      <c r="H19" s="134"/>
      <c r="I19" s="128"/>
    </row>
    <row r="20" spans="1:9" ht="15.75" x14ac:dyDescent="0.25">
      <c r="A20" s="2"/>
      <c r="B20" s="2"/>
      <c r="C20" s="1"/>
      <c r="D20" s="26"/>
      <c r="E20" s="26"/>
      <c r="F20" s="26"/>
      <c r="G20" s="63"/>
      <c r="H20" s="134"/>
      <c r="I20" s="128"/>
    </row>
    <row r="21" spans="1:9" ht="15.75" x14ac:dyDescent="0.25">
      <c r="A21" s="137"/>
      <c r="B21" s="138"/>
      <c r="C21" s="139" t="s">
        <v>44</v>
      </c>
      <c r="D21" s="26"/>
      <c r="E21" s="26"/>
      <c r="F21" s="26"/>
      <c r="G21" s="63"/>
      <c r="H21" s="134"/>
      <c r="I21" s="128"/>
    </row>
    <row r="22" spans="1:9" x14ac:dyDescent="0.25">
      <c r="A22" s="129"/>
      <c r="B22" s="2"/>
      <c r="C22" s="1"/>
      <c r="D22" s="140"/>
      <c r="E22" s="140"/>
      <c r="F22" s="140"/>
      <c r="G22" s="82"/>
      <c r="H22" s="134"/>
      <c r="I22" s="128"/>
    </row>
    <row r="23" spans="1:9" ht="15.75" x14ac:dyDescent="0.25">
      <c r="A23" s="137"/>
      <c r="B23" s="138"/>
      <c r="C23" s="139"/>
      <c r="D23" s="142"/>
      <c r="E23" s="143"/>
      <c r="F23" s="144"/>
      <c r="G23" s="82"/>
      <c r="H23" s="134"/>
      <c r="I23" s="128"/>
    </row>
    <row r="24" spans="1:9" x14ac:dyDescent="0.25">
      <c r="A24" s="145"/>
      <c r="B24" s="146"/>
      <c r="C24" s="147"/>
      <c r="D24" s="148"/>
      <c r="E24" s="149"/>
      <c r="F24" s="150"/>
      <c r="G24" s="82"/>
      <c r="H24" s="134"/>
      <c r="I24" s="128"/>
    </row>
    <row r="25" spans="1:9" x14ac:dyDescent="0.25">
      <c r="A25" s="145"/>
      <c r="B25" s="146"/>
      <c r="C25" s="147"/>
      <c r="D25" s="148"/>
      <c r="E25" s="400"/>
      <c r="F25" s="150"/>
      <c r="G25" s="82"/>
      <c r="H25" s="83"/>
      <c r="I25" s="128"/>
    </row>
    <row r="26" spans="1:9" x14ac:dyDescent="0.25">
      <c r="A26" s="145"/>
      <c r="B26" s="146"/>
      <c r="C26" s="147"/>
      <c r="D26" s="148"/>
      <c r="E26" s="149"/>
      <c r="F26" s="150"/>
      <c r="G26" s="82"/>
      <c r="H26" s="83"/>
      <c r="I26" s="128"/>
    </row>
    <row r="27" spans="1:9" x14ac:dyDescent="0.25">
      <c r="A27" s="145"/>
      <c r="B27" s="146"/>
      <c r="C27" s="147"/>
      <c r="D27" s="148"/>
      <c r="E27" s="401"/>
      <c r="F27" s="402"/>
      <c r="G27" s="82"/>
      <c r="H27" s="83"/>
      <c r="I27" s="128"/>
    </row>
    <row r="28" spans="1:9" x14ac:dyDescent="0.25">
      <c r="A28" s="2"/>
      <c r="B28" s="2"/>
      <c r="C28" s="1"/>
      <c r="D28" s="111"/>
      <c r="E28" s="62"/>
      <c r="F28" s="151"/>
      <c r="G28" s="82"/>
      <c r="H28" s="83"/>
      <c r="I28" s="128"/>
    </row>
    <row r="29" spans="1:9" ht="15.75" x14ac:dyDescent="0.25">
      <c r="A29" s="152"/>
      <c r="B29" s="153"/>
      <c r="C29" s="154" t="s">
        <v>45</v>
      </c>
      <c r="D29" s="155"/>
      <c r="E29" s="156"/>
      <c r="F29" s="83"/>
      <c r="G29" s="82"/>
      <c r="I29" s="128"/>
    </row>
    <row r="30" spans="1:9" x14ac:dyDescent="0.25">
      <c r="A30" s="157">
        <v>1950708</v>
      </c>
      <c r="B30" s="158" t="s">
        <v>243</v>
      </c>
      <c r="C30" s="159" t="s">
        <v>244</v>
      </c>
      <c r="D30" s="70"/>
      <c r="E30" s="68">
        <v>2</v>
      </c>
      <c r="F30" s="69" t="s">
        <v>6</v>
      </c>
      <c r="G30" s="160"/>
      <c r="H30" s="83"/>
      <c r="I30" s="128"/>
    </row>
    <row r="31" spans="1:9" x14ac:dyDescent="0.25">
      <c r="A31" s="157">
        <v>60100010</v>
      </c>
      <c r="B31" s="158" t="s">
        <v>245</v>
      </c>
      <c r="C31" s="159" t="s">
        <v>246</v>
      </c>
      <c r="D31" s="70"/>
      <c r="E31" s="68">
        <v>2</v>
      </c>
      <c r="F31" s="69" t="s">
        <v>6</v>
      </c>
      <c r="G31" s="160"/>
      <c r="H31" s="83"/>
      <c r="I31" s="128"/>
    </row>
    <row r="32" spans="1:9" x14ac:dyDescent="0.25">
      <c r="A32" s="161">
        <v>702123</v>
      </c>
      <c r="B32" s="162" t="s">
        <v>80</v>
      </c>
      <c r="C32" s="163" t="s">
        <v>118</v>
      </c>
      <c r="D32" s="70"/>
      <c r="E32" s="68">
        <v>2</v>
      </c>
      <c r="F32" s="69" t="s">
        <v>6</v>
      </c>
      <c r="G32" s="160"/>
      <c r="H32" s="83"/>
      <c r="I32" s="128"/>
    </row>
    <row r="33" spans="1:9" x14ac:dyDescent="0.25">
      <c r="A33" s="164">
        <v>1950705</v>
      </c>
      <c r="B33" s="164" t="s">
        <v>247</v>
      </c>
      <c r="C33" s="165" t="s">
        <v>248</v>
      </c>
      <c r="D33" s="70"/>
      <c r="E33" s="68">
        <v>1</v>
      </c>
      <c r="F33" s="69" t="s">
        <v>6</v>
      </c>
      <c r="G33" s="82"/>
      <c r="H33" s="83"/>
      <c r="I33" s="128"/>
    </row>
    <row r="34" spans="1:9" x14ac:dyDescent="0.25">
      <c r="A34" s="164"/>
      <c r="B34" s="164"/>
      <c r="C34" s="165"/>
      <c r="D34" s="70"/>
      <c r="E34" s="68"/>
      <c r="F34" s="69"/>
      <c r="G34" s="82"/>
      <c r="H34" s="83"/>
      <c r="I34" s="128"/>
    </row>
    <row r="35" spans="1:9" x14ac:dyDescent="0.25">
      <c r="A35" s="164"/>
      <c r="B35" s="164"/>
      <c r="C35" s="165"/>
      <c r="D35" s="70"/>
      <c r="E35" s="68"/>
      <c r="F35" s="69"/>
      <c r="G35" s="166"/>
      <c r="H35" s="83"/>
      <c r="I35" s="128"/>
    </row>
    <row r="36" spans="1:9" ht="15.75" x14ac:dyDescent="0.25">
      <c r="A36" s="164"/>
      <c r="B36" s="164"/>
      <c r="C36" s="165"/>
      <c r="D36" s="26"/>
      <c r="E36" s="68"/>
      <c r="F36" s="69"/>
      <c r="G36" s="167"/>
      <c r="H36" s="83"/>
      <c r="I36" s="128"/>
    </row>
    <row r="37" spans="1:9" x14ac:dyDescent="0.25">
      <c r="A37" s="168"/>
      <c r="B37" s="168"/>
      <c r="C37" s="169"/>
      <c r="D37" s="70"/>
      <c r="E37" s="151"/>
      <c r="F37" s="151"/>
      <c r="G37" s="167"/>
      <c r="H37" s="83"/>
      <c r="I37" s="128"/>
    </row>
    <row r="38" spans="1:9" x14ac:dyDescent="0.25">
      <c r="A38" s="64"/>
      <c r="B38" s="2"/>
      <c r="C38" s="96"/>
      <c r="D38" s="67"/>
      <c r="E38" s="62"/>
      <c r="F38" s="63"/>
      <c r="G38" s="167"/>
      <c r="H38" s="83"/>
      <c r="I38" s="128"/>
    </row>
    <row r="39" spans="1:9" ht="15.75" x14ac:dyDescent="0.25">
      <c r="A39" s="164"/>
      <c r="B39" s="164"/>
      <c r="C39" s="165"/>
      <c r="D39" s="70"/>
      <c r="E39" s="62"/>
      <c r="F39" s="63"/>
      <c r="G39" s="31"/>
      <c r="H39" s="83"/>
      <c r="I39" s="128"/>
    </row>
    <row r="40" spans="1:9" ht="15.75" x14ac:dyDescent="0.25">
      <c r="A40" s="137"/>
      <c r="B40" s="138"/>
      <c r="C40" s="89"/>
      <c r="D40" s="142"/>
      <c r="E40" s="142"/>
      <c r="F40" s="144"/>
      <c r="G40" s="35"/>
      <c r="H40" s="35"/>
      <c r="I40" s="128"/>
    </row>
    <row r="41" spans="1:9" ht="15.75" thickBot="1" x14ac:dyDescent="0.3">
      <c r="A41" s="170"/>
      <c r="B41" s="171"/>
      <c r="C41" s="172"/>
      <c r="D41" s="172"/>
      <c r="E41" s="173"/>
      <c r="F41" s="174"/>
      <c r="G41" s="172"/>
      <c r="H41" s="172"/>
      <c r="I41" s="175"/>
    </row>
    <row r="42" spans="1:9" ht="15.75" thickBot="1" x14ac:dyDescent="0.3">
      <c r="A42" s="176"/>
      <c r="B42" s="177"/>
      <c r="C42" s="178"/>
      <c r="D42" s="179" t="s">
        <v>14</v>
      </c>
      <c r="E42" s="180" t="s">
        <v>13</v>
      </c>
      <c r="F42" s="181"/>
      <c r="G42" s="178"/>
      <c r="H42" s="178"/>
      <c r="I42" s="182"/>
    </row>
    <row r="43" spans="1:9" x14ac:dyDescent="0.25">
      <c r="A43" s="932" t="s">
        <v>12</v>
      </c>
      <c r="B43" s="933"/>
      <c r="C43" s="934"/>
      <c r="D43" s="109">
        <v>14195</v>
      </c>
      <c r="E43" s="184" t="s">
        <v>1</v>
      </c>
      <c r="F43" s="935" t="s">
        <v>11</v>
      </c>
      <c r="G43" s="935"/>
      <c r="H43" s="936"/>
      <c r="I43" s="937"/>
    </row>
    <row r="44" spans="1:9" x14ac:dyDescent="0.25">
      <c r="A44" s="938" t="s">
        <v>10</v>
      </c>
      <c r="B44" s="939"/>
      <c r="C44" s="940"/>
      <c r="D44" s="62">
        <v>3</v>
      </c>
      <c r="E44" s="63" t="s">
        <v>9</v>
      </c>
      <c r="F44" s="941" t="s">
        <v>8</v>
      </c>
      <c r="G44" s="941"/>
      <c r="H44" s="942"/>
      <c r="I44" s="943"/>
    </row>
    <row r="45" spans="1:9" x14ac:dyDescent="0.25">
      <c r="A45" s="938" t="s">
        <v>7</v>
      </c>
      <c r="B45" s="939"/>
      <c r="C45" s="940"/>
      <c r="D45" s="62">
        <v>1</v>
      </c>
      <c r="E45" s="63" t="s">
        <v>6</v>
      </c>
      <c r="F45" s="941" t="s">
        <v>5</v>
      </c>
      <c r="G45" s="941"/>
      <c r="H45" s="942"/>
      <c r="I45" s="943"/>
    </row>
    <row r="46" spans="1:9" x14ac:dyDescent="0.25">
      <c r="A46" s="938" t="s">
        <v>4</v>
      </c>
      <c r="B46" s="939"/>
      <c r="C46" s="940"/>
      <c r="D46" s="62">
        <v>14195</v>
      </c>
      <c r="E46" s="63" t="s">
        <v>1</v>
      </c>
      <c r="F46" s="947" t="s">
        <v>3</v>
      </c>
      <c r="G46" s="948"/>
      <c r="H46" s="1040"/>
      <c r="I46" s="1041"/>
    </row>
    <row r="47" spans="1:9" ht="15.75" thickBot="1" x14ac:dyDescent="0.3">
      <c r="A47" s="951" t="s">
        <v>2</v>
      </c>
      <c r="B47" s="952"/>
      <c r="C47" s="953"/>
      <c r="D47" s="185">
        <v>0</v>
      </c>
      <c r="E47" s="186" t="s">
        <v>1</v>
      </c>
      <c r="F47" s="954"/>
      <c r="G47" s="954"/>
      <c r="H47" s="942"/>
      <c r="I47" s="943"/>
    </row>
    <row r="48" spans="1:9" ht="15.75" thickBot="1" x14ac:dyDescent="0.3">
      <c r="A48" s="955" t="s">
        <v>0</v>
      </c>
      <c r="B48" s="956"/>
      <c r="C48" s="956"/>
      <c r="D48" s="956"/>
      <c r="E48" s="956"/>
      <c r="F48" s="956"/>
      <c r="G48" s="956"/>
      <c r="H48" s="956"/>
      <c r="I48" s="957"/>
    </row>
    <row r="49" spans="1:9" ht="14.45" customHeight="1" x14ac:dyDescent="0.25">
      <c r="A49" s="1033" t="s">
        <v>249</v>
      </c>
      <c r="B49" s="1034"/>
      <c r="C49" s="1034"/>
      <c r="D49" s="1034"/>
      <c r="E49" s="1034"/>
      <c r="F49" s="1034"/>
      <c r="G49" s="1034"/>
      <c r="H49" s="1034"/>
      <c r="I49" s="1035"/>
    </row>
    <row r="50" spans="1:9" ht="15.6" customHeight="1" x14ac:dyDescent="0.25">
      <c r="A50" s="1033" t="s">
        <v>250</v>
      </c>
      <c r="B50" s="1034"/>
      <c r="C50" s="1034"/>
      <c r="D50" s="1034"/>
      <c r="E50" s="1034"/>
      <c r="F50" s="1034"/>
      <c r="G50" s="1034"/>
      <c r="H50" s="1034"/>
      <c r="I50" s="1035"/>
    </row>
    <row r="51" spans="1:9" ht="14.45" customHeight="1" x14ac:dyDescent="0.25">
      <c r="A51" s="1033" t="s">
        <v>251</v>
      </c>
      <c r="B51" s="1034"/>
      <c r="C51" s="1034"/>
      <c r="D51" s="1034"/>
      <c r="E51" s="1034"/>
      <c r="F51" s="1034"/>
      <c r="G51" s="1034"/>
      <c r="H51" s="1034"/>
      <c r="I51" s="1035"/>
    </row>
    <row r="52" spans="1:9" ht="14.45" customHeight="1" x14ac:dyDescent="0.25">
      <c r="A52" s="1033" t="s">
        <v>252</v>
      </c>
      <c r="B52" s="1034"/>
      <c r="C52" s="1034"/>
      <c r="D52" s="1034"/>
      <c r="E52" s="1034"/>
      <c r="F52" s="1034"/>
      <c r="G52" s="1034"/>
      <c r="H52" s="1034"/>
      <c r="I52" s="1035"/>
    </row>
    <row r="53" spans="1:9" ht="14.45" customHeight="1" x14ac:dyDescent="0.25">
      <c r="A53" s="1033"/>
      <c r="B53" s="1034"/>
      <c r="C53" s="1034"/>
      <c r="D53" s="1034"/>
      <c r="E53" s="1034"/>
      <c r="F53" s="1034"/>
      <c r="G53" s="1034"/>
      <c r="H53" s="1034"/>
      <c r="I53" s="1035"/>
    </row>
    <row r="54" spans="1:9" ht="18" customHeight="1" x14ac:dyDescent="0.25">
      <c r="A54" s="1033"/>
      <c r="B54" s="1034"/>
      <c r="C54" s="1034"/>
      <c r="D54" s="1034"/>
      <c r="E54" s="1034"/>
      <c r="F54" s="1034"/>
      <c r="G54" s="1034"/>
      <c r="H54" s="1034"/>
      <c r="I54" s="1035"/>
    </row>
    <row r="55" spans="1:9" x14ac:dyDescent="0.25">
      <c r="A55" s="1047"/>
      <c r="B55" s="1048"/>
      <c r="C55" s="1048"/>
      <c r="D55" s="1048"/>
      <c r="E55" s="1048"/>
      <c r="F55" s="1048"/>
      <c r="G55" s="1048"/>
      <c r="H55" s="1048"/>
      <c r="I55" s="1049"/>
    </row>
    <row r="56" spans="1:9" ht="15.75" thickBot="1" x14ac:dyDescent="0.3">
      <c r="A56" s="1047"/>
      <c r="B56" s="1048"/>
      <c r="C56" s="1048"/>
      <c r="D56" s="1048"/>
      <c r="E56" s="1048"/>
      <c r="F56" s="1048"/>
      <c r="G56" s="1048"/>
      <c r="H56" s="1048"/>
      <c r="I56" s="1049"/>
    </row>
    <row r="57" spans="1:9" x14ac:dyDescent="0.25">
      <c r="A57" s="806" t="s">
        <v>37</v>
      </c>
      <c r="B57" s="807"/>
      <c r="C57" s="807"/>
      <c r="D57" s="807"/>
      <c r="E57" s="807"/>
      <c r="F57" s="807"/>
      <c r="G57" s="807"/>
      <c r="H57" s="807"/>
      <c r="I57" s="807"/>
    </row>
    <row r="58" spans="1:9" x14ac:dyDescent="0.25">
      <c r="A58" s="782"/>
      <c r="B58" s="783"/>
      <c r="C58" s="783"/>
      <c r="D58" s="783"/>
      <c r="E58" s="783"/>
      <c r="F58" s="783"/>
      <c r="G58" s="783"/>
      <c r="H58" s="783"/>
      <c r="I58" s="783"/>
    </row>
    <row r="59" spans="1:9" x14ac:dyDescent="0.25">
      <c r="A59" s="782"/>
      <c r="B59" s="783"/>
      <c r="C59" s="783"/>
      <c r="D59" s="783"/>
      <c r="E59" s="783"/>
      <c r="F59" s="783"/>
      <c r="G59" s="783"/>
      <c r="H59" s="783"/>
      <c r="I59" s="783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2E60-3067-42F4-BF2F-81F162935EAD}">
  <dimension ref="A1:Q91"/>
  <sheetViews>
    <sheetView workbookViewId="0">
      <selection activeCell="K28" sqref="K28:L28"/>
    </sheetView>
  </sheetViews>
  <sheetFormatPr baseColWidth="10" defaultColWidth="8.42578125" defaultRowHeight="12.75" x14ac:dyDescent="0.25"/>
  <cols>
    <col min="1" max="1" width="10" style="267" bestFit="1" customWidth="1"/>
    <col min="2" max="2" width="44.28515625" style="267" bestFit="1" customWidth="1"/>
    <col min="3" max="3" width="10.42578125" style="267" bestFit="1" customWidth="1"/>
    <col min="4" max="4" width="10.42578125" style="267" customWidth="1"/>
    <col min="5" max="5" width="11" style="267" customWidth="1"/>
    <col min="6" max="6" width="9.5703125" style="267" bestFit="1" customWidth="1"/>
    <col min="7" max="7" width="10.85546875" style="349" customWidth="1"/>
    <col min="8" max="8" width="10.42578125" style="340" bestFit="1" customWidth="1"/>
    <col min="9" max="9" width="4.5703125" style="340" customWidth="1"/>
    <col min="10" max="10" width="1.85546875" style="266" customWidth="1"/>
    <col min="11" max="11" width="7" style="267" bestFit="1" customWidth="1"/>
    <col min="12" max="12" width="6.28515625" style="267" customWidth="1"/>
    <col min="13" max="13" width="20.42578125" style="267" customWidth="1"/>
    <col min="14" max="14" width="6.42578125" style="267" bestFit="1" customWidth="1"/>
    <col min="15" max="16" width="8.42578125" style="267"/>
    <col min="17" max="17" width="3.28515625" style="267" customWidth="1"/>
    <col min="18" max="16384" width="8.42578125" style="267"/>
  </cols>
  <sheetData>
    <row r="1" spans="1:10" ht="27.75" customHeight="1" x14ac:dyDescent="0.25">
      <c r="A1" s="262"/>
      <c r="B1" s="262"/>
      <c r="C1" s="262"/>
      <c r="D1" s="262"/>
      <c r="E1" s="263" t="s">
        <v>122</v>
      </c>
      <c r="F1" s="264" t="s">
        <v>123</v>
      </c>
      <c r="G1" s="264" t="s">
        <v>124</v>
      </c>
      <c r="H1" s="264" t="s">
        <v>125</v>
      </c>
      <c r="I1" s="265"/>
    </row>
    <row r="2" spans="1:10" ht="30.75" customHeight="1" x14ac:dyDescent="0.25">
      <c r="A2" s="262"/>
      <c r="B2" s="262"/>
      <c r="C2" s="262"/>
      <c r="D2" s="262"/>
      <c r="E2" s="268">
        <f>IFERROR(O62,"")</f>
        <v>377.54202053076267</v>
      </c>
      <c r="F2" s="268">
        <f>IFERROR(H53,"")</f>
        <v>372.24786324786322</v>
      </c>
      <c r="G2" s="268">
        <f>IFERROR(H54,"")</f>
        <v>4.9015153888888898</v>
      </c>
      <c r="H2" s="268">
        <f>IFERROR(H56,"")</f>
        <v>22.108192644628577</v>
      </c>
      <c r="I2" s="269"/>
    </row>
    <row r="3" spans="1:10" ht="15" customHeight="1" x14ac:dyDescent="0.25">
      <c r="A3" s="262"/>
      <c r="B3" s="262"/>
      <c r="C3" s="262"/>
      <c r="D3" s="262"/>
      <c r="E3" s="262"/>
      <c r="F3" s="270"/>
      <c r="G3" s="270"/>
      <c r="H3" s="270"/>
      <c r="I3" s="270"/>
    </row>
    <row r="4" spans="1:10" ht="24.75" customHeight="1" thickBot="1" x14ac:dyDescent="0.3">
      <c r="A4" s="895"/>
      <c r="B4" s="895"/>
      <c r="C4" s="895"/>
      <c r="D4" s="895"/>
      <c r="E4" s="895"/>
      <c r="F4" s="895"/>
      <c r="G4" s="895"/>
      <c r="H4" s="895"/>
      <c r="I4" s="271"/>
    </row>
    <row r="5" spans="1:10" ht="19.5" customHeight="1" thickBot="1" x14ac:dyDescent="0.3">
      <c r="A5" s="896" t="s">
        <v>126</v>
      </c>
      <c r="B5" s="897"/>
      <c r="C5" s="897"/>
      <c r="D5" s="897"/>
      <c r="E5" s="897"/>
      <c r="F5" s="897"/>
      <c r="G5" s="897"/>
      <c r="H5" s="898"/>
      <c r="I5" s="272"/>
    </row>
    <row r="6" spans="1:10" ht="19.5" thickBot="1" x14ac:dyDescent="0.3">
      <c r="A6" s="272"/>
      <c r="B6" s="272"/>
      <c r="C6" s="272"/>
      <c r="D6" s="272"/>
      <c r="E6" s="272"/>
      <c r="F6" s="899" t="s">
        <v>127</v>
      </c>
      <c r="G6" s="899"/>
      <c r="H6" s="273">
        <f ca="1">TODAY()</f>
        <v>46083</v>
      </c>
      <c r="I6" s="273"/>
    </row>
    <row r="7" spans="1:10" ht="26.25" hidden="1" thickBot="1" x14ac:dyDescent="0.3">
      <c r="A7" s="274" t="s">
        <v>128</v>
      </c>
      <c r="B7" s="275" t="s">
        <v>129</v>
      </c>
      <c r="C7" s="275" t="s">
        <v>128</v>
      </c>
      <c r="D7" s="276" t="s">
        <v>130</v>
      </c>
      <c r="E7" s="276" t="s">
        <v>131</v>
      </c>
      <c r="F7" s="276" t="s">
        <v>132</v>
      </c>
      <c r="G7" s="276" t="s">
        <v>133</v>
      </c>
      <c r="H7" s="277" t="s">
        <v>134</v>
      </c>
      <c r="I7" s="278"/>
    </row>
    <row r="8" spans="1:10" ht="13.5" hidden="1" x14ac:dyDescent="0.25">
      <c r="A8" s="279"/>
      <c r="B8" s="267" t="str">
        <f>IFERROR(VLOOKUP(H8,'[1]Consolidado MP Planta'!$A$2:$M$823,3,0),"")</f>
        <v/>
      </c>
      <c r="C8" s="280">
        <f>+A8</f>
        <v>0</v>
      </c>
      <c r="D8" s="281" t="str">
        <f>IFERROR(VLOOKUP(H8,'[1]Consolidado MP Planta'!$A$2:$M$823,13,0),"")</f>
        <v/>
      </c>
      <c r="E8" s="281" t="str">
        <f>IFERROR(VLOOKUP(H8,'[1]Consolidado MP Planta'!$A$2:$M$823,12,0),"")</f>
        <v/>
      </c>
      <c r="F8" s="281" t="str">
        <f>IFERROR(C8*E8,"")</f>
        <v/>
      </c>
      <c r="G8" s="282" t="str">
        <f t="shared" ref="G8:G14" si="0">IFERROR(F8/$F$66,"")</f>
        <v/>
      </c>
      <c r="H8" s="283"/>
      <c r="I8" s="283"/>
      <c r="J8" s="284"/>
    </row>
    <row r="9" spans="1:10" ht="13.5" hidden="1" x14ac:dyDescent="0.25">
      <c r="A9" s="279"/>
      <c r="B9" s="267" t="str">
        <f>IFERROR(VLOOKUP(H9,'[1]Consolidado MP Planta'!$A$2:$M$823,3,0),"")</f>
        <v/>
      </c>
      <c r="C9" s="280">
        <f t="shared" ref="C9:C14" si="1">+A9</f>
        <v>0</v>
      </c>
      <c r="D9" s="281" t="str">
        <f>IFERROR(VLOOKUP(H9,'[1]Consolidado MP Planta'!$A$2:$M$823,13,0),"")</f>
        <v/>
      </c>
      <c r="E9" s="281" t="str">
        <f>IFERROR(VLOOKUP(H9,'[1]Consolidado MP Planta'!$A$2:$M$823,12,0),"")</f>
        <v/>
      </c>
      <c r="F9" s="281" t="str">
        <f t="shared" ref="F9:F14" si="2">IFERROR(C9*E9,"")</f>
        <v/>
      </c>
      <c r="G9" s="282" t="str">
        <f t="shared" si="0"/>
        <v/>
      </c>
      <c r="H9" s="283"/>
      <c r="I9" s="283"/>
      <c r="J9" s="284"/>
    </row>
    <row r="10" spans="1:10" ht="13.5" hidden="1" x14ac:dyDescent="0.25">
      <c r="A10" s="279"/>
      <c r="B10" s="267" t="str">
        <f>IFERROR(VLOOKUP(H10,'[1]Consolidado MP Planta'!$A$2:$M$823,3,0),"")</f>
        <v/>
      </c>
      <c r="C10" s="280">
        <f t="shared" si="1"/>
        <v>0</v>
      </c>
      <c r="D10" s="281" t="str">
        <f>IFERROR(VLOOKUP(H10,'[1]Consolidado MP Planta'!$A$2:$M$823,13,0),"")</f>
        <v/>
      </c>
      <c r="E10" s="281" t="str">
        <f>IFERROR(VLOOKUP(H10,'[1]Consolidado MP Planta'!$A$2:$M$823,12,0),"")</f>
        <v/>
      </c>
      <c r="F10" s="281" t="str">
        <f t="shared" si="2"/>
        <v/>
      </c>
      <c r="G10" s="282" t="str">
        <f t="shared" si="0"/>
        <v/>
      </c>
      <c r="H10" s="283"/>
      <c r="I10" s="283"/>
      <c r="J10" s="284"/>
    </row>
    <row r="11" spans="1:10" ht="13.5" hidden="1" x14ac:dyDescent="0.25">
      <c r="A11" s="279"/>
      <c r="B11" s="267" t="str">
        <f>IFERROR(VLOOKUP(H11,'[1]Consolidado MP Planta'!$A$2:$M$823,3,0),"")</f>
        <v/>
      </c>
      <c r="C11" s="280">
        <f t="shared" si="1"/>
        <v>0</v>
      </c>
      <c r="D11" s="281" t="str">
        <f>IFERROR(VLOOKUP(H11,'[1]Consolidado MP Planta'!$A$2:$M$823,13,0),"")</f>
        <v/>
      </c>
      <c r="E11" s="281" t="str">
        <f>IFERROR(VLOOKUP(H11,'[1]Consolidado MP Planta'!$A$2:$M$823,12,0),"")</f>
        <v/>
      </c>
      <c r="F11" s="281" t="str">
        <f t="shared" si="2"/>
        <v/>
      </c>
      <c r="G11" s="282" t="str">
        <f t="shared" si="0"/>
        <v/>
      </c>
      <c r="H11" s="283"/>
      <c r="I11" s="283"/>
      <c r="J11" s="284"/>
    </row>
    <row r="12" spans="1:10" ht="13.5" hidden="1" x14ac:dyDescent="0.25">
      <c r="A12" s="279"/>
      <c r="B12" s="267" t="str">
        <f>IFERROR(VLOOKUP(H12,'[1]Consolidado MP Planta'!$A$2:$M$823,3,0),"")</f>
        <v/>
      </c>
      <c r="C12" s="280">
        <f t="shared" si="1"/>
        <v>0</v>
      </c>
      <c r="D12" s="281" t="str">
        <f>IFERROR(VLOOKUP(H12,'[1]Consolidado MP Planta'!$A$2:$M$823,13,0),"")</f>
        <v/>
      </c>
      <c r="E12" s="281" t="str">
        <f>IFERROR(VLOOKUP(H12,'[1]Consolidado MP Planta'!$A$2:$M$823,12,0),"")</f>
        <v/>
      </c>
      <c r="F12" s="281" t="str">
        <f t="shared" si="2"/>
        <v/>
      </c>
      <c r="G12" s="282" t="str">
        <f t="shared" si="0"/>
        <v/>
      </c>
      <c r="H12" s="283"/>
      <c r="I12" s="283"/>
      <c r="J12" s="284"/>
    </row>
    <row r="13" spans="1:10" ht="13.5" hidden="1" x14ac:dyDescent="0.25">
      <c r="A13" s="279"/>
      <c r="B13" s="267" t="str">
        <f>IFERROR(VLOOKUP(H13,'[1]Consolidado MP Planta'!$A$2:$M$823,3,0),"")</f>
        <v/>
      </c>
      <c r="C13" s="280">
        <f t="shared" si="1"/>
        <v>0</v>
      </c>
      <c r="D13" s="281" t="str">
        <f>IFERROR(VLOOKUP(H13,'[1]Consolidado MP Planta'!$A$2:$M$823,13,0),"")</f>
        <v/>
      </c>
      <c r="E13" s="281" t="str">
        <f>IFERROR(VLOOKUP(H13,'[1]Consolidado MP Planta'!$A$2:$M$823,12,0),"")</f>
        <v/>
      </c>
      <c r="F13" s="281" t="str">
        <f t="shared" si="2"/>
        <v/>
      </c>
      <c r="G13" s="282" t="str">
        <f t="shared" si="0"/>
        <v/>
      </c>
      <c r="H13" s="283"/>
      <c r="I13" s="283"/>
      <c r="J13" s="284"/>
    </row>
    <row r="14" spans="1:10" ht="13.5" hidden="1" x14ac:dyDescent="0.25">
      <c r="A14" s="279"/>
      <c r="B14" s="267" t="str">
        <f>IFERROR(VLOOKUP(H14,'[1]Consolidado MP Planta'!$A$2:$M$823,3,0),"")</f>
        <v/>
      </c>
      <c r="C14" s="280">
        <f t="shared" si="1"/>
        <v>0</v>
      </c>
      <c r="D14" s="281" t="str">
        <f>IFERROR(VLOOKUP(H14,'[1]Consolidado MP Planta'!$A$2:$M$823,13,0),"")</f>
        <v/>
      </c>
      <c r="E14" s="281" t="str">
        <f>IFERROR(VLOOKUP(H14,'[1]Consolidado MP Planta'!$A$2:$M$823,12,0),"")</f>
        <v/>
      </c>
      <c r="F14" s="281" t="str">
        <f t="shared" si="2"/>
        <v/>
      </c>
      <c r="G14" s="282" t="str">
        <f t="shared" si="0"/>
        <v/>
      </c>
      <c r="H14" s="283"/>
      <c r="I14" s="283"/>
      <c r="J14" s="284"/>
    </row>
    <row r="15" spans="1:10" ht="14.25" hidden="1" thickBot="1" x14ac:dyDescent="0.3">
      <c r="A15" s="279"/>
      <c r="B15" s="267" t="str">
        <f>IFERROR(VLOOKUP(H15,[2]Hoja2!$A$2:$G$589,2,0),"")</f>
        <v/>
      </c>
      <c r="C15" s="280"/>
      <c r="D15" s="281"/>
      <c r="E15" s="281"/>
      <c r="F15" s="281"/>
      <c r="G15" s="282"/>
      <c r="H15" s="283"/>
      <c r="I15" s="283"/>
      <c r="J15" s="284"/>
    </row>
    <row r="16" spans="1:10" ht="26.25" thickBot="1" x14ac:dyDescent="0.3">
      <c r="A16" s="274" t="s">
        <v>128</v>
      </c>
      <c r="B16" s="275" t="s">
        <v>135</v>
      </c>
      <c r="C16" s="275" t="s">
        <v>128</v>
      </c>
      <c r="D16" s="276" t="s">
        <v>130</v>
      </c>
      <c r="E16" s="276" t="s">
        <v>131</v>
      </c>
      <c r="F16" s="276" t="s">
        <v>132</v>
      </c>
      <c r="G16" s="276" t="s">
        <v>133</v>
      </c>
      <c r="H16" s="277" t="s">
        <v>134</v>
      </c>
      <c r="I16" s="278"/>
      <c r="J16" s="284"/>
    </row>
    <row r="17" spans="1:12" ht="13.5" x14ac:dyDescent="0.25">
      <c r="A17" s="279">
        <v>24000</v>
      </c>
      <c r="B17" s="267" t="s">
        <v>43</v>
      </c>
      <c r="C17" s="280">
        <f>+A17</f>
        <v>24000</v>
      </c>
      <c r="D17" s="280" t="s">
        <v>174</v>
      </c>
      <c r="E17" s="281">
        <v>1.76</v>
      </c>
      <c r="F17" s="281">
        <f>IFERROR(E17*C17,"")</f>
        <v>42240</v>
      </c>
      <c r="G17" s="282">
        <f t="shared" ref="G17:G24" si="3">IFERROR(F17/$F$66,"")</f>
        <v>0.90765438934273324</v>
      </c>
      <c r="H17" s="283" t="s">
        <v>173</v>
      </c>
      <c r="I17" s="283"/>
      <c r="J17" s="284"/>
    </row>
    <row r="18" spans="1:12" ht="13.5" x14ac:dyDescent="0.25">
      <c r="A18" s="279">
        <v>1300</v>
      </c>
      <c r="B18" s="267" t="str">
        <f>IFERROR(VLOOKUP(H18,[1]SEMIELABORADOS!$A$2:$M$6000,2,0),"")</f>
        <v>MEZCLA P/ENGRASE MOLDES KILO</v>
      </c>
      <c r="C18" s="280">
        <f t="shared" ref="C18:C24" si="4">+A18</f>
        <v>1300</v>
      </c>
      <c r="D18" s="280" t="str">
        <f>IFERROR(VLOOKUP(H18,[1]SEMIELABORADOS!$A$2:$M$6000,6,0),"")</f>
        <v>Gramo</v>
      </c>
      <c r="E18" s="281">
        <v>1.01</v>
      </c>
      <c r="F18" s="281">
        <f t="shared" ref="F18:F24" si="5">IFERROR(E18*C18,"")</f>
        <v>1313</v>
      </c>
      <c r="G18" s="282">
        <f t="shared" si="3"/>
        <v>2.8213783456605322E-2</v>
      </c>
      <c r="H18" s="283" t="s">
        <v>46</v>
      </c>
      <c r="I18" s="283"/>
      <c r="J18" s="284"/>
    </row>
    <row r="19" spans="1:12" ht="13.5" hidden="1" x14ac:dyDescent="0.25">
      <c r="A19" s="279"/>
      <c r="B19" s="267" t="str">
        <f>IFERROR(VLOOKUP(H19,[1]SEMIELABORADOS!$A$2:$M$6000,2,0),"")</f>
        <v/>
      </c>
      <c r="C19" s="280">
        <f>+A19</f>
        <v>0</v>
      </c>
      <c r="D19" s="280" t="str">
        <f>IFERROR(VLOOKUP(H19,[1]SEMIELABORADOS!$A$2:$M$6000,6,0),"")</f>
        <v/>
      </c>
      <c r="E19" s="281" t="str">
        <f>IFERROR(VLOOKUP(H19,[1]SEMIELABORADOS!$A$2:$H$65536,8,0),"")</f>
        <v/>
      </c>
      <c r="F19" s="281" t="str">
        <f>IFERROR(E19*C19,"")</f>
        <v/>
      </c>
      <c r="G19" s="282" t="str">
        <f t="shared" si="3"/>
        <v/>
      </c>
      <c r="H19" s="283"/>
      <c r="I19" s="283"/>
      <c r="J19" s="284"/>
    </row>
    <row r="20" spans="1:12" ht="13.5" hidden="1" x14ac:dyDescent="0.25">
      <c r="A20" s="279"/>
      <c r="B20" s="267" t="str">
        <f>IFERROR(VLOOKUP(H20,[1]SEMIELABORADOS!$A$2:$M$6000,2,0),"")</f>
        <v/>
      </c>
      <c r="C20" s="280">
        <f>+A20</f>
        <v>0</v>
      </c>
      <c r="D20" s="280" t="str">
        <f>IFERROR(VLOOKUP(H20,[1]SEMIELABORADOS!$A$2:$M$6000,6,0),"")</f>
        <v/>
      </c>
      <c r="E20" s="281" t="str">
        <f>IFERROR(VLOOKUP(H20,[1]SEMIELABORADOS!$A$2:$H$65536,8,0),"")</f>
        <v/>
      </c>
      <c r="F20" s="281" t="str">
        <f>IFERROR(E20*C20,"")</f>
        <v/>
      </c>
      <c r="G20" s="282" t="str">
        <f t="shared" si="3"/>
        <v/>
      </c>
      <c r="H20" s="283"/>
      <c r="I20" s="283"/>
      <c r="J20" s="284"/>
    </row>
    <row r="21" spans="1:12" ht="13.5" hidden="1" x14ac:dyDescent="0.25">
      <c r="A21" s="279"/>
      <c r="B21" s="267" t="str">
        <f>IFERROR(VLOOKUP(H21,[1]SEMIELABORADOS!$A$2:$M$6000,2,0),"")</f>
        <v/>
      </c>
      <c r="C21" s="280">
        <f>+A21</f>
        <v>0</v>
      </c>
      <c r="D21" s="280" t="str">
        <f>IFERROR(VLOOKUP(H21,[1]SEMIELABORADOS!$A$2:$M$6000,6,0),"")</f>
        <v/>
      </c>
      <c r="E21" s="281" t="str">
        <f>IFERROR(VLOOKUP(H21,[1]SEMIELABORADOS!$A$2:$H$65536,8,0),"")</f>
        <v/>
      </c>
      <c r="F21" s="281" t="str">
        <f>IFERROR(E21*C21,"")</f>
        <v/>
      </c>
      <c r="G21" s="282" t="str">
        <f t="shared" si="3"/>
        <v/>
      </c>
      <c r="H21" s="283"/>
      <c r="I21" s="283"/>
      <c r="J21" s="284"/>
    </row>
    <row r="22" spans="1:12" ht="13.5" hidden="1" x14ac:dyDescent="0.25">
      <c r="A22" s="279"/>
      <c r="B22" s="267" t="str">
        <f>IFERROR(VLOOKUP(H22,[1]SEMIELABORADOS!$A$2:$M$6000,2,0),"")</f>
        <v/>
      </c>
      <c r="C22" s="280">
        <f t="shared" si="4"/>
        <v>0</v>
      </c>
      <c r="D22" s="280" t="str">
        <f>IFERROR(VLOOKUP(H22,[1]SEMIELABORADOS!$A$2:$M$6000,6,0),"")</f>
        <v/>
      </c>
      <c r="E22" s="281" t="str">
        <f>IFERROR(VLOOKUP(H22,[1]SEMIELABORADOS!$A$2:$H$65536,8,0),"")</f>
        <v/>
      </c>
      <c r="F22" s="281" t="str">
        <f t="shared" si="5"/>
        <v/>
      </c>
      <c r="G22" s="282" t="str">
        <f t="shared" si="3"/>
        <v/>
      </c>
      <c r="H22" s="283"/>
      <c r="I22" s="283"/>
      <c r="J22" s="284"/>
    </row>
    <row r="23" spans="1:12" ht="13.5" hidden="1" x14ac:dyDescent="0.25">
      <c r="A23" s="279"/>
      <c r="B23" s="267" t="str">
        <f>IFERROR(VLOOKUP(H23,[1]SEMIELABORADOS!$A$2:$M$6000,2,0),"")</f>
        <v/>
      </c>
      <c r="C23" s="280">
        <f t="shared" si="4"/>
        <v>0</v>
      </c>
      <c r="D23" s="280" t="str">
        <f>IFERROR(VLOOKUP(H23,[1]SEMIELABORADOS!$A$2:$M$6000,6,0),"")</f>
        <v/>
      </c>
      <c r="E23" s="281" t="str">
        <f>IFERROR(VLOOKUP(H23,[1]SEMIELABORADOS!$A$2:$H$65536,8,0),"")</f>
        <v/>
      </c>
      <c r="F23" s="281" t="str">
        <f t="shared" si="5"/>
        <v/>
      </c>
      <c r="G23" s="282" t="str">
        <f t="shared" si="3"/>
        <v/>
      </c>
      <c r="H23" s="283"/>
      <c r="I23" s="283"/>
      <c r="J23" s="284"/>
    </row>
    <row r="24" spans="1:12" ht="13.5" hidden="1" x14ac:dyDescent="0.25">
      <c r="A24" s="279"/>
      <c r="B24" s="267" t="str">
        <f>IFERROR(VLOOKUP(H24,[1]SEMIELABORADOS!$A$2:$M$6000,2,0),"")</f>
        <v/>
      </c>
      <c r="C24" s="280">
        <f t="shared" si="4"/>
        <v>0</v>
      </c>
      <c r="D24" s="280" t="str">
        <f>IFERROR(VLOOKUP(H24,[1]SEMIELABORADOS!$A$2:$M$6000,6,0),"")</f>
        <v/>
      </c>
      <c r="E24" s="281" t="str">
        <f>IFERROR(VLOOKUP(H24,[1]SEMIELABORADOS!$A$2:$H$65536,8,0),"")</f>
        <v/>
      </c>
      <c r="F24" s="281" t="str">
        <f t="shared" si="5"/>
        <v/>
      </c>
      <c r="G24" s="282" t="str">
        <f t="shared" si="3"/>
        <v/>
      </c>
      <c r="H24" s="283"/>
      <c r="I24" s="283"/>
      <c r="J24" s="284"/>
    </row>
    <row r="25" spans="1:12" ht="14.25" thickBot="1" x14ac:dyDescent="0.3">
      <c r="A25" s="279"/>
      <c r="C25" s="280"/>
      <c r="D25" s="280"/>
      <c r="E25" s="281"/>
      <c r="F25" s="281"/>
      <c r="G25" s="282"/>
      <c r="H25" s="283"/>
      <c r="I25" s="283"/>
      <c r="J25" s="284"/>
    </row>
    <row r="26" spans="1:12" ht="26.25" thickBot="1" x14ac:dyDescent="0.3">
      <c r="A26" s="274" t="s">
        <v>128</v>
      </c>
      <c r="B26" s="275" t="s">
        <v>38</v>
      </c>
      <c r="C26" s="275" t="s">
        <v>128</v>
      </c>
      <c r="D26" s="276" t="s">
        <v>130</v>
      </c>
      <c r="E26" s="276" t="s">
        <v>131</v>
      </c>
      <c r="F26" s="276" t="s">
        <v>132</v>
      </c>
      <c r="G26" s="276" t="s">
        <v>133</v>
      </c>
      <c r="H26" s="277" t="s">
        <v>134</v>
      </c>
      <c r="I26" s="278"/>
    </row>
    <row r="27" spans="1:12" ht="13.5" x14ac:dyDescent="0.25">
      <c r="A27" s="279">
        <v>6</v>
      </c>
      <c r="B27" s="285" t="str">
        <f>IFERROR(VLOOKUP(H27,'[1]Consolidado MP Planta'!$A$2:$M$823,3,0),"")</f>
        <v>BOLSA TRANSPARENTE 56X96X1.80 KILO</v>
      </c>
      <c r="C27" s="280">
        <f t="shared" ref="C27:C32" si="6">+A27</f>
        <v>6</v>
      </c>
      <c r="D27" s="281" t="str">
        <f>IFERROR(VLOOKUP(H27,'[1]Consolidado MP Planta'!$A$2:$M$823,13,0),"")</f>
        <v>Und</v>
      </c>
      <c r="E27" s="281">
        <f>IFERROR(VLOOKUP(H27,'[1]Consolidado MP Planta'!$A$2:$M$823,12,0),"")</f>
        <v>50</v>
      </c>
      <c r="F27" s="281">
        <f t="shared" ref="F27:F32" si="7">IFERROR(C27*E27,"")</f>
        <v>300</v>
      </c>
      <c r="G27" s="282">
        <f t="shared" ref="G27:G32" si="8">IFERROR(F27/$F$66,"")</f>
        <v>6.4464090152182765E-3</v>
      </c>
      <c r="H27" s="286" t="s">
        <v>175</v>
      </c>
      <c r="I27" s="286"/>
      <c r="J27" s="284"/>
      <c r="K27" s="889"/>
      <c r="L27" s="889"/>
    </row>
    <row r="28" spans="1:12" ht="13.5" x14ac:dyDescent="0.25">
      <c r="A28" s="279">
        <v>6</v>
      </c>
      <c r="B28" s="285" t="str">
        <f>IFERROR(VLOOKUP(H28,'[1]Consolidado MP Planta'!$A$2:$M$823,3,0),"")</f>
        <v>ETIQ.FECHA VENCIMIENTO BLANCO (ROLLO)</v>
      </c>
      <c r="C28" s="280">
        <f t="shared" si="6"/>
        <v>6</v>
      </c>
      <c r="D28" s="281" t="str">
        <f>IFERROR(VLOOKUP(H28,'[1]Consolidado MP Planta'!$A$2:$M$823,13,0),"")</f>
        <v>Gramos</v>
      </c>
      <c r="E28" s="281">
        <f>IFERROR(VLOOKUP(H28,'[1]Consolidado MP Planta'!$A$2:$M$823,12,0),"")</f>
        <v>0.33333333333333331</v>
      </c>
      <c r="F28" s="281">
        <f t="shared" si="7"/>
        <v>2</v>
      </c>
      <c r="G28" s="282">
        <f t="shared" si="8"/>
        <v>4.2976060101455174E-5</v>
      </c>
      <c r="H28" s="286" t="s">
        <v>48</v>
      </c>
      <c r="I28" s="286"/>
      <c r="J28" s="284"/>
      <c r="K28" s="889"/>
      <c r="L28" s="889"/>
    </row>
    <row r="29" spans="1:12" ht="13.5" x14ac:dyDescent="0.25">
      <c r="A29" s="279">
        <v>6</v>
      </c>
      <c r="B29" s="285" t="str">
        <f>IFERROR(VLOOKUP(H29,'[1]Consolidado MP Planta'!$A$2:$M$823,3,0),"")</f>
        <v>ETIQ.BLANCA 1 1/4 * 3/4 (UND)</v>
      </c>
      <c r="C29" s="280">
        <f t="shared" si="6"/>
        <v>6</v>
      </c>
      <c r="D29" s="281" t="str">
        <f>IFERROR(VLOOKUP(H29,'[1]Consolidado MP Planta'!$A$2:$M$823,13,0),"")</f>
        <v>Und</v>
      </c>
      <c r="E29" s="281">
        <f>IFERROR(VLOOKUP(H29,'[1]Consolidado MP Planta'!$A$2:$M$823,12,0),"")</f>
        <v>0.57999999999999996</v>
      </c>
      <c r="F29" s="281">
        <f t="shared" si="7"/>
        <v>3.4799999999999995</v>
      </c>
      <c r="G29" s="282">
        <f t="shared" si="8"/>
        <v>7.4778344576531989E-5</v>
      </c>
      <c r="H29" s="286" t="s">
        <v>52</v>
      </c>
      <c r="I29" s="286"/>
      <c r="J29" s="284"/>
      <c r="K29" s="889"/>
      <c r="L29" s="889"/>
    </row>
    <row r="30" spans="1:12" ht="13.5" hidden="1" x14ac:dyDescent="0.25">
      <c r="A30" s="279"/>
      <c r="B30" s="285" t="str">
        <f>IFERROR(VLOOKUP(H30,'[1]Consolidado MP Planta'!$A$2:$M$823,3,0),"")</f>
        <v/>
      </c>
      <c r="C30" s="280">
        <f t="shared" si="6"/>
        <v>0</v>
      </c>
      <c r="D30" s="281" t="str">
        <f>IFERROR(VLOOKUP(H30,'[1]Consolidado MP Planta'!$A$2:$M$823,13,0),"")</f>
        <v/>
      </c>
      <c r="E30" s="281" t="str">
        <f>IFERROR(VLOOKUP(H30,'[1]Consolidado MP Planta'!$A$2:$M$823,12,0),"")</f>
        <v/>
      </c>
      <c r="F30" s="281" t="str">
        <f t="shared" si="7"/>
        <v/>
      </c>
      <c r="G30" s="282" t="str">
        <f t="shared" si="8"/>
        <v/>
      </c>
      <c r="H30" s="286"/>
      <c r="I30" s="286"/>
      <c r="J30" s="284"/>
      <c r="K30" s="889"/>
      <c r="L30" s="889"/>
    </row>
    <row r="31" spans="1:12" ht="13.5" hidden="1" x14ac:dyDescent="0.25">
      <c r="A31" s="279"/>
      <c r="B31" s="285" t="str">
        <f>IFERROR(VLOOKUP(H31,'[1]Consolidado MP Planta'!$A$2:$M$823,3,0),"")</f>
        <v/>
      </c>
      <c r="C31" s="280">
        <f t="shared" si="6"/>
        <v>0</v>
      </c>
      <c r="D31" s="281" t="str">
        <f>IFERROR(VLOOKUP(H31,'[1]Consolidado MP Planta'!$A$2:$M$823,13,0),"")</f>
        <v/>
      </c>
      <c r="E31" s="281" t="str">
        <f>IFERROR(VLOOKUP(H31,'[1]Consolidado MP Planta'!$A$2:$M$823,12,0),"")</f>
        <v/>
      </c>
      <c r="F31" s="281" t="str">
        <f t="shared" si="7"/>
        <v/>
      </c>
      <c r="G31" s="282" t="str">
        <f t="shared" si="8"/>
        <v/>
      </c>
      <c r="H31" s="286"/>
      <c r="I31" s="286"/>
      <c r="J31" s="284"/>
      <c r="K31" s="287"/>
      <c r="L31" s="288"/>
    </row>
    <row r="32" spans="1:12" ht="13.5" hidden="1" x14ac:dyDescent="0.25">
      <c r="A32" s="279"/>
      <c r="B32" s="285" t="str">
        <f>IFERROR(VLOOKUP(H32,'[1]Consolidado MP Planta'!$A$2:$M$823,3,0),"")</f>
        <v/>
      </c>
      <c r="C32" s="280">
        <f t="shared" si="6"/>
        <v>0</v>
      </c>
      <c r="D32" s="281" t="str">
        <f>IFERROR(VLOOKUP(H32,'[1]Consolidado MP Planta'!$A$2:$M$823,13,0),"")</f>
        <v/>
      </c>
      <c r="E32" s="281" t="str">
        <f>IFERROR(VLOOKUP(H32,'[1]Consolidado MP Planta'!$A$2:$M$823,12,0),"")</f>
        <v/>
      </c>
      <c r="F32" s="281" t="str">
        <f t="shared" si="7"/>
        <v/>
      </c>
      <c r="G32" s="282" t="str">
        <f t="shared" si="8"/>
        <v/>
      </c>
      <c r="H32" s="286"/>
      <c r="I32" s="286"/>
      <c r="J32" s="284"/>
    </row>
    <row r="33" spans="1:13" ht="14.25" thickBot="1" x14ac:dyDescent="0.3">
      <c r="A33" s="279"/>
      <c r="B33" s="285"/>
      <c r="C33" s="280"/>
      <c r="D33" s="281"/>
      <c r="E33" s="281"/>
      <c r="F33" s="281"/>
      <c r="G33" s="282"/>
      <c r="H33" s="286"/>
      <c r="I33" s="286"/>
      <c r="J33" s="284"/>
    </row>
    <row r="34" spans="1:13" ht="26.25" thickBot="1" x14ac:dyDescent="0.25">
      <c r="A34" s="274" t="s">
        <v>128</v>
      </c>
      <c r="B34" s="275" t="s">
        <v>136</v>
      </c>
      <c r="C34" s="275" t="s">
        <v>128</v>
      </c>
      <c r="D34" s="276" t="s">
        <v>130</v>
      </c>
      <c r="E34" s="276" t="s">
        <v>131</v>
      </c>
      <c r="F34" s="276" t="s">
        <v>132</v>
      </c>
      <c r="G34" s="276" t="s">
        <v>133</v>
      </c>
      <c r="H34" s="277" t="s">
        <v>134</v>
      </c>
      <c r="I34" s="286"/>
      <c r="J34" s="284"/>
    </row>
    <row r="35" spans="1:13" ht="13.5" x14ac:dyDescent="0.25">
      <c r="A35" s="279">
        <f>+A17</f>
        <v>24000</v>
      </c>
      <c r="B35" s="285" t="s">
        <v>43</v>
      </c>
      <c r="C35" s="280">
        <f>+A35</f>
        <v>24000</v>
      </c>
      <c r="D35" s="281" t="s">
        <v>174</v>
      </c>
      <c r="E35" s="281">
        <v>0.01</v>
      </c>
      <c r="F35" s="281">
        <f>IFERROR(E35*C35,"")</f>
        <v>240</v>
      </c>
      <c r="G35" s="282">
        <f t="shared" ref="G35:G41" si="9">IFERROR(F35/$F$66,"")</f>
        <v>5.1571272121746208E-3</v>
      </c>
      <c r="H35" s="286" t="s">
        <v>173</v>
      </c>
      <c r="I35" s="286"/>
      <c r="J35" s="284"/>
    </row>
    <row r="36" spans="1:13" ht="13.5" x14ac:dyDescent="0.25">
      <c r="A36" s="279">
        <f t="shared" ref="A36:A41" si="10">+A18</f>
        <v>1300</v>
      </c>
      <c r="B36" s="285" t="str">
        <f>IFERROR(VLOOKUP(H36,[1]SEMIELABORADOS!$A$2:$M$6000,2,0),"")</f>
        <v>MEZCLA P/ENGRASE MOLDES KILO</v>
      </c>
      <c r="C36" s="280">
        <f t="shared" ref="C36:C41" si="11">+A36</f>
        <v>1300</v>
      </c>
      <c r="D36" s="281" t="str">
        <f>IFERROR(VLOOKUP(H36,[1]SEMIELABORADOS!$A$2:$M$6000,6,0),"")</f>
        <v>Gramo</v>
      </c>
      <c r="E36" s="281">
        <f>IFERROR(VLOOKUP(H36,[1]SEMIELABORADOS!$A$2:$M$65536,10,0),"")</f>
        <v>2.1536385000000002E-2</v>
      </c>
      <c r="F36" s="281">
        <f t="shared" ref="F36:F41" si="12">IFERROR(E36*C36,"")</f>
        <v>27.997300500000001</v>
      </c>
      <c r="G36" s="282">
        <f t="shared" si="9"/>
        <v>6.0160683448325048E-4</v>
      </c>
      <c r="H36" s="283" t="s">
        <v>46</v>
      </c>
      <c r="I36" s="286"/>
      <c r="J36" s="284"/>
    </row>
    <row r="37" spans="1:13" ht="13.5" hidden="1" x14ac:dyDescent="0.25">
      <c r="A37" s="279">
        <f t="shared" si="10"/>
        <v>0</v>
      </c>
      <c r="B37" s="285" t="str">
        <f>IFERROR(VLOOKUP(H37,[1]SEMIELABORADOS!$A$2:$M$6000,2,0),"")</f>
        <v/>
      </c>
      <c r="C37" s="280">
        <f t="shared" si="11"/>
        <v>0</v>
      </c>
      <c r="D37" s="281" t="str">
        <f>IFERROR(VLOOKUP(H37,[1]SEMIELABORADOS!$A$2:$M$6000,6,0),"")</f>
        <v/>
      </c>
      <c r="E37" s="281" t="str">
        <f>IFERROR(VLOOKUP(H37,[1]SEMIELABORADOS!$A$2:$M$65536,10,0),"")</f>
        <v/>
      </c>
      <c r="F37" s="281" t="str">
        <f t="shared" si="12"/>
        <v/>
      </c>
      <c r="G37" s="282" t="str">
        <f t="shared" si="9"/>
        <v/>
      </c>
      <c r="H37" s="286"/>
      <c r="I37" s="286"/>
      <c r="J37" s="284"/>
    </row>
    <row r="38" spans="1:13" ht="13.5" hidden="1" x14ac:dyDescent="0.25">
      <c r="A38" s="279">
        <f t="shared" si="10"/>
        <v>0</v>
      </c>
      <c r="B38" s="285" t="str">
        <f>IFERROR(VLOOKUP(H38,[1]SEMIELABORADOS!$A$2:$M$6000,2,0),"")</f>
        <v/>
      </c>
      <c r="C38" s="280">
        <f>+A38</f>
        <v>0</v>
      </c>
      <c r="D38" s="281" t="str">
        <f>IFERROR(VLOOKUP(H38,[1]SEMIELABORADOS!$A$2:$M$6000,6,0),"")</f>
        <v/>
      </c>
      <c r="E38" s="281" t="str">
        <f>IFERROR(VLOOKUP(H38,[1]SEMIELABORADOS!$A$2:$M$65536,10,0),"")</f>
        <v/>
      </c>
      <c r="F38" s="281" t="str">
        <f>IFERROR(E38*C38,"")</f>
        <v/>
      </c>
      <c r="G38" s="282" t="str">
        <f t="shared" si="9"/>
        <v/>
      </c>
      <c r="H38" s="286"/>
      <c r="I38" s="286"/>
      <c r="J38" s="284"/>
    </row>
    <row r="39" spans="1:13" ht="13.5" hidden="1" x14ac:dyDescent="0.25">
      <c r="A39" s="279">
        <f t="shared" si="10"/>
        <v>0</v>
      </c>
      <c r="B39" s="285" t="str">
        <f>IFERROR(VLOOKUP(H39,[1]SEMIELABORADOS!$A$2:$M$6000,2,0),"")</f>
        <v/>
      </c>
      <c r="C39" s="280">
        <f>+A39</f>
        <v>0</v>
      </c>
      <c r="D39" s="281" t="str">
        <f>IFERROR(VLOOKUP(H39,[1]SEMIELABORADOS!$A$2:$M$6000,6,0),"")</f>
        <v/>
      </c>
      <c r="E39" s="281" t="str">
        <f>IFERROR(VLOOKUP(H39,[1]SEMIELABORADOS!$A$2:$M$65536,10,0),"")</f>
        <v/>
      </c>
      <c r="F39" s="281" t="str">
        <f>IFERROR(E39*C39,"")</f>
        <v/>
      </c>
      <c r="G39" s="282" t="str">
        <f t="shared" si="9"/>
        <v/>
      </c>
      <c r="H39" s="286"/>
      <c r="I39" s="286"/>
      <c r="J39" s="284"/>
    </row>
    <row r="40" spans="1:13" ht="13.5" hidden="1" x14ac:dyDescent="0.25">
      <c r="A40" s="279">
        <f t="shared" si="10"/>
        <v>0</v>
      </c>
      <c r="B40" s="285" t="str">
        <f>IFERROR(VLOOKUP(H40,[1]SEMIELABORADOS!$A$2:$M$6000,2,0),"")</f>
        <v/>
      </c>
      <c r="C40" s="280">
        <f t="shared" si="11"/>
        <v>0</v>
      </c>
      <c r="D40" s="281" t="str">
        <f>IFERROR(VLOOKUP(H40,[1]SEMIELABORADOS!$A$2:$M$6000,6,0),"")</f>
        <v/>
      </c>
      <c r="E40" s="281" t="str">
        <f>IFERROR(VLOOKUP(H40,[1]SEMIELABORADOS!$A$2:$M$65536,10,0),"")</f>
        <v/>
      </c>
      <c r="F40" s="281" t="str">
        <f t="shared" si="12"/>
        <v/>
      </c>
      <c r="G40" s="282" t="str">
        <f t="shared" si="9"/>
        <v/>
      </c>
      <c r="H40" s="286"/>
      <c r="I40" s="286"/>
      <c r="J40" s="284"/>
    </row>
    <row r="41" spans="1:13" ht="13.5" hidden="1" x14ac:dyDescent="0.25">
      <c r="A41" s="279">
        <f t="shared" si="10"/>
        <v>0</v>
      </c>
      <c r="B41" s="285" t="str">
        <f>IFERROR(VLOOKUP(H41,[1]SEMIELABORADOS!$A$2:$M$6000,2,0),"")</f>
        <v/>
      </c>
      <c r="C41" s="280">
        <f t="shared" si="11"/>
        <v>0</v>
      </c>
      <c r="D41" s="281" t="str">
        <f>IFERROR(VLOOKUP(H41,[1]SEMIELABORADOS!$A$2:$M$6000,6,0),"")</f>
        <v/>
      </c>
      <c r="E41" s="281" t="str">
        <f>IFERROR(VLOOKUP(H41,[1]SEMIELABORADOS!$A$2:$M$65536,10,0),"")</f>
        <v/>
      </c>
      <c r="F41" s="281" t="str">
        <f t="shared" si="12"/>
        <v/>
      </c>
      <c r="G41" s="282" t="str">
        <f t="shared" si="9"/>
        <v/>
      </c>
      <c r="H41" s="286"/>
      <c r="I41" s="286"/>
      <c r="J41" s="284"/>
    </row>
    <row r="42" spans="1:13" ht="14.25" thickBot="1" x14ac:dyDescent="0.3">
      <c r="A42" s="279"/>
      <c r="B42" s="285"/>
      <c r="C42" s="280"/>
      <c r="D42" s="281"/>
      <c r="E42" s="281"/>
      <c r="F42" s="281"/>
      <c r="G42" s="282"/>
      <c r="H42" s="286"/>
      <c r="I42" s="286"/>
      <c r="J42" s="284"/>
    </row>
    <row r="43" spans="1:13" ht="26.25" thickBot="1" x14ac:dyDescent="0.3">
      <c r="A43" s="274" t="s">
        <v>128</v>
      </c>
      <c r="B43" s="275" t="s">
        <v>137</v>
      </c>
      <c r="C43" s="275" t="s">
        <v>128</v>
      </c>
      <c r="D43" s="276" t="s">
        <v>130</v>
      </c>
      <c r="E43" s="276" t="s">
        <v>131</v>
      </c>
      <c r="F43" s="276" t="s">
        <v>132</v>
      </c>
      <c r="G43" s="276" t="s">
        <v>133</v>
      </c>
      <c r="H43" s="277" t="s">
        <v>134</v>
      </c>
      <c r="I43" s="278"/>
      <c r="J43" s="284"/>
    </row>
    <row r="44" spans="1:13" ht="13.5" x14ac:dyDescent="0.25">
      <c r="A44" s="279">
        <f>+A35</f>
        <v>24000</v>
      </c>
      <c r="B44" s="285" t="s">
        <v>43</v>
      </c>
      <c r="C44" s="280">
        <f>+A44</f>
        <v>24000</v>
      </c>
      <c r="D44" s="281" t="s">
        <v>174</v>
      </c>
      <c r="E44" s="281">
        <v>0.03</v>
      </c>
      <c r="F44" s="281">
        <f>IFERROR(E44*C44,"")</f>
        <v>720</v>
      </c>
      <c r="G44" s="282">
        <f>IFERROR(F44/$F$66,"")</f>
        <v>1.5471381636523862E-2</v>
      </c>
      <c r="H44" s="286" t="s">
        <v>173</v>
      </c>
      <c r="I44" s="278"/>
      <c r="J44" s="284"/>
    </row>
    <row r="45" spans="1:13" ht="13.5" x14ac:dyDescent="0.25">
      <c r="A45" s="279">
        <f t="shared" ref="A45:A50" si="13">+A36</f>
        <v>1300</v>
      </c>
      <c r="B45" s="285" t="str">
        <f>IFERROR(VLOOKUP(H45,[1]SEMIELABORADOS!$A$2:$M$6000,2,0),"")</f>
        <v>MEZCLA P/ENGRASE MOLDES KILO</v>
      </c>
      <c r="C45" s="280">
        <f t="shared" ref="C45:C50" si="14">+A45</f>
        <v>1300</v>
      </c>
      <c r="D45" s="281" t="str">
        <f>IFERROR(VLOOKUP(H45,[1]SEMIELABORADOS!$A$2:$M$6000,6,0),"")</f>
        <v>Gramo</v>
      </c>
      <c r="E45" s="281">
        <f>IFERROR(VLOOKUP(H45,[1]SEMIELABORADOS!$A$2:$M$65536,12,0),"")</f>
        <v>0.25127579955503354</v>
      </c>
      <c r="F45" s="281">
        <f t="shared" ref="F45:F50" si="15">IFERROR(E45*C45,"")</f>
        <v>326.65853942154359</v>
      </c>
      <c r="G45" s="282">
        <f t="shared" ref="G45:G50" si="16">IFERROR(F45/$F$66,"")</f>
        <v>7.0192485114169111E-3</v>
      </c>
      <c r="H45" s="283" t="s">
        <v>46</v>
      </c>
      <c r="I45" s="278"/>
      <c r="J45" s="284"/>
      <c r="M45" s="289"/>
    </row>
    <row r="46" spans="1:13" ht="13.5" hidden="1" x14ac:dyDescent="0.25">
      <c r="A46" s="279">
        <f t="shared" si="13"/>
        <v>0</v>
      </c>
      <c r="B46" s="285" t="str">
        <f>IFERROR(VLOOKUP(H46,[1]SEMIELABORADOS!$A$2:$M$6000,2,0),"")</f>
        <v/>
      </c>
      <c r="C46" s="280">
        <f t="shared" si="14"/>
        <v>0</v>
      </c>
      <c r="D46" s="281" t="str">
        <f>IFERROR(VLOOKUP(H46,[1]SEMIELABORADOS!$A$2:$M$6000,6,0),"")</f>
        <v/>
      </c>
      <c r="E46" s="281" t="str">
        <f>IFERROR(VLOOKUP(H46,[1]SEMIELABORADOS!$A$2:$M$65536,12,0),"")</f>
        <v/>
      </c>
      <c r="F46" s="281" t="str">
        <f t="shared" si="15"/>
        <v/>
      </c>
      <c r="G46" s="282" t="str">
        <f t="shared" si="16"/>
        <v/>
      </c>
      <c r="H46" s="286"/>
      <c r="I46" s="278"/>
      <c r="J46" s="284"/>
    </row>
    <row r="47" spans="1:13" ht="13.5" hidden="1" x14ac:dyDescent="0.25">
      <c r="A47" s="279">
        <f t="shared" si="13"/>
        <v>0</v>
      </c>
      <c r="B47" s="285" t="str">
        <f>IFERROR(VLOOKUP(H47,[1]SEMIELABORADOS!$A$2:$M$6000,2,0),"")</f>
        <v/>
      </c>
      <c r="C47" s="280">
        <f t="shared" si="14"/>
        <v>0</v>
      </c>
      <c r="D47" s="281" t="str">
        <f>IFERROR(VLOOKUP(H47,[1]SEMIELABORADOS!$A$2:$M$6000,6,0),"")</f>
        <v/>
      </c>
      <c r="E47" s="281" t="str">
        <f>IFERROR(VLOOKUP(H47,[1]SEMIELABORADOS!$A$2:$M$65536,12,0),"")</f>
        <v/>
      </c>
      <c r="F47" s="281" t="str">
        <f t="shared" si="15"/>
        <v/>
      </c>
      <c r="G47" s="282" t="str">
        <f t="shared" si="16"/>
        <v/>
      </c>
      <c r="H47" s="286"/>
      <c r="I47" s="278"/>
      <c r="J47" s="284"/>
    </row>
    <row r="48" spans="1:13" ht="13.5" hidden="1" x14ac:dyDescent="0.25">
      <c r="A48" s="279">
        <f t="shared" si="13"/>
        <v>0</v>
      </c>
      <c r="B48" s="285" t="str">
        <f>IFERROR(VLOOKUP(H48,[1]SEMIELABORADOS!$A$2:$M$6000,2,0),"")</f>
        <v/>
      </c>
      <c r="C48" s="280">
        <f t="shared" si="14"/>
        <v>0</v>
      </c>
      <c r="D48" s="281" t="str">
        <f>IFERROR(VLOOKUP(H48,[1]SEMIELABORADOS!$A$2:$M$6000,6,0),"")</f>
        <v/>
      </c>
      <c r="E48" s="281" t="str">
        <f>IFERROR(VLOOKUP(H48,[1]SEMIELABORADOS!$A$2:$M$65536,12,0),"")</f>
        <v/>
      </c>
      <c r="F48" s="281" t="str">
        <f t="shared" si="15"/>
        <v/>
      </c>
      <c r="G48" s="282" t="str">
        <f t="shared" si="16"/>
        <v/>
      </c>
      <c r="H48" s="286"/>
      <c r="I48" s="278"/>
      <c r="J48" s="284"/>
    </row>
    <row r="49" spans="1:17" ht="13.5" hidden="1" x14ac:dyDescent="0.25">
      <c r="A49" s="279">
        <f t="shared" si="13"/>
        <v>0</v>
      </c>
      <c r="B49" s="285" t="str">
        <f>IFERROR(VLOOKUP(H49,[1]SEMIELABORADOS!$A$2:$M$6000,2,0),"")</f>
        <v/>
      </c>
      <c r="C49" s="280">
        <f t="shared" si="14"/>
        <v>0</v>
      </c>
      <c r="D49" s="281" t="str">
        <f>IFERROR(VLOOKUP(H49,[1]SEMIELABORADOS!$A$2:$M$6000,6,0),"")</f>
        <v/>
      </c>
      <c r="E49" s="281" t="str">
        <f>IFERROR(VLOOKUP(H49,[1]SEMIELABORADOS!$A$2:$M$65536,12,0),"")</f>
        <v/>
      </c>
      <c r="F49" s="281" t="str">
        <f t="shared" si="15"/>
        <v/>
      </c>
      <c r="G49" s="282" t="str">
        <f t="shared" si="16"/>
        <v/>
      </c>
      <c r="H49" s="286"/>
      <c r="I49" s="278"/>
      <c r="J49" s="284"/>
    </row>
    <row r="50" spans="1:17" ht="13.5" hidden="1" x14ac:dyDescent="0.25">
      <c r="A50" s="279">
        <f t="shared" si="13"/>
        <v>0</v>
      </c>
      <c r="B50" s="285" t="str">
        <f>IFERROR(VLOOKUP(H50,[1]SEMIELABORADOS!$A$2:$M$6000,2,0),"")</f>
        <v/>
      </c>
      <c r="C50" s="280">
        <f t="shared" si="14"/>
        <v>0</v>
      </c>
      <c r="D50" s="281" t="str">
        <f>IFERROR(VLOOKUP(H50,[1]SEMIELABORADOS!$A$2:$M$6000,6,0),"")</f>
        <v/>
      </c>
      <c r="E50" s="281" t="str">
        <f>IFERROR(VLOOKUP(H50,[1]SEMIELABORADOS!$A$2:$M$65536,12,0),"")</f>
        <v/>
      </c>
      <c r="F50" s="281" t="str">
        <f t="shared" si="15"/>
        <v/>
      </c>
      <c r="G50" s="282" t="str">
        <f t="shared" si="16"/>
        <v/>
      </c>
      <c r="H50" s="285"/>
      <c r="I50" s="278"/>
      <c r="J50" s="284"/>
    </row>
    <row r="51" spans="1:17" ht="13.5" x14ac:dyDescent="0.25">
      <c r="A51" s="279">
        <v>1</v>
      </c>
      <c r="B51" s="285" t="s">
        <v>138</v>
      </c>
      <c r="C51" s="280">
        <f>+A51</f>
        <v>1</v>
      </c>
      <c r="D51" s="280" t="s">
        <v>139</v>
      </c>
      <c r="E51" s="281">
        <f>+F65</f>
        <v>1540</v>
      </c>
      <c r="F51" s="281">
        <f>IFERROR(C51*E51,"")</f>
        <v>1540</v>
      </c>
      <c r="G51" s="282">
        <f>IFERROR(F51/$F$66,"")</f>
        <v>3.3091566278120481E-2</v>
      </c>
      <c r="H51" s="290"/>
      <c r="I51" s="290"/>
      <c r="J51" s="284"/>
    </row>
    <row r="52" spans="1:17" ht="14.25" thickBot="1" x14ac:dyDescent="0.3">
      <c r="A52" s="279"/>
      <c r="B52" s="285"/>
      <c r="C52" s="280"/>
      <c r="D52" s="280"/>
      <c r="E52" s="281"/>
      <c r="F52" s="281"/>
      <c r="G52" s="282"/>
      <c r="H52" s="290"/>
      <c r="I52" s="290"/>
      <c r="J52" s="284"/>
    </row>
    <row r="53" spans="1:17" ht="13.5" thickBot="1" x14ac:dyDescent="0.3">
      <c r="A53" s="291"/>
      <c r="B53" s="890" t="s">
        <v>140</v>
      </c>
      <c r="C53" s="890"/>
      <c r="D53" s="890"/>
      <c r="E53" s="890"/>
      <c r="F53" s="293">
        <f>SUM(F8:F14,F17:F24)</f>
        <v>43553</v>
      </c>
      <c r="G53" s="282">
        <f>+F53/$F$66</f>
        <v>0.93586817279933865</v>
      </c>
      <c r="H53" s="294">
        <f>+F53/$D$60</f>
        <v>372.24786324786322</v>
      </c>
      <c r="I53" s="294"/>
      <c r="J53" s="295"/>
      <c r="K53" s="296"/>
      <c r="L53" s="296"/>
      <c r="M53" s="296"/>
      <c r="N53" s="296"/>
      <c r="O53" s="296"/>
      <c r="P53" s="296"/>
      <c r="Q53" s="297"/>
    </row>
    <row r="54" spans="1:17" x14ac:dyDescent="0.2">
      <c r="A54" s="291"/>
      <c r="B54" s="890" t="s">
        <v>141</v>
      </c>
      <c r="C54" s="890"/>
      <c r="D54" s="890"/>
      <c r="E54" s="890"/>
      <c r="F54" s="293">
        <f>SUM(F27:F32,F35:F41)</f>
        <v>573.47730050000007</v>
      </c>
      <c r="G54" s="282">
        <f>+F54/$F$66</f>
        <v>1.2322897466554137E-2</v>
      </c>
      <c r="H54" s="294">
        <f>+F54/$D$60</f>
        <v>4.9015153888888898</v>
      </c>
      <c r="I54" s="294"/>
      <c r="J54" s="298"/>
      <c r="K54" s="891" t="s">
        <v>142</v>
      </c>
      <c r="L54" s="892"/>
      <c r="M54" s="892"/>
      <c r="N54" s="892"/>
      <c r="O54" s="299">
        <f>+F55</f>
        <v>44126.477300500002</v>
      </c>
      <c r="P54" s="299"/>
      <c r="Q54" s="300"/>
    </row>
    <row r="55" spans="1:17" x14ac:dyDescent="0.2">
      <c r="A55" s="291"/>
      <c r="B55" s="890" t="s">
        <v>143</v>
      </c>
      <c r="C55" s="890"/>
      <c r="D55" s="890"/>
      <c r="E55" s="890"/>
      <c r="F55" s="293">
        <f>+F53+F54</f>
        <v>44126.477300500002</v>
      </c>
      <c r="G55" s="282">
        <f>+F55/$F$66</f>
        <v>0.94819107026589278</v>
      </c>
      <c r="H55" s="294">
        <f>+F55/$D$60</f>
        <v>377.14937863675215</v>
      </c>
      <c r="I55" s="294"/>
      <c r="J55" s="301"/>
      <c r="K55" s="302"/>
      <c r="M55" s="303" t="s">
        <v>144</v>
      </c>
      <c r="N55" s="304"/>
      <c r="O55" s="299">
        <f>+H56</f>
        <v>22.108192644628577</v>
      </c>
      <c r="P55" s="299"/>
      <c r="Q55" s="300"/>
    </row>
    <row r="56" spans="1:17" ht="13.5" thickBot="1" x14ac:dyDescent="0.25">
      <c r="A56" s="291"/>
      <c r="B56" s="292"/>
      <c r="C56" s="890" t="s">
        <v>145</v>
      </c>
      <c r="D56" s="890"/>
      <c r="E56" s="890"/>
      <c r="F56" s="293">
        <f>SUM(F44:F51)</f>
        <v>2586.6585394215435</v>
      </c>
      <c r="G56" s="282">
        <f>+F56/$F$66</f>
        <v>5.5582196426061256E-2</v>
      </c>
      <c r="H56" s="294">
        <f>+F56/$D$60</f>
        <v>22.108192644628577</v>
      </c>
      <c r="I56" s="294"/>
      <c r="J56" s="301"/>
      <c r="K56" s="302"/>
      <c r="L56" s="302"/>
      <c r="M56" s="302" t="s">
        <v>146</v>
      </c>
      <c r="N56" s="305"/>
      <c r="O56" s="299">
        <f>O54*N56</f>
        <v>0</v>
      </c>
      <c r="P56" s="299"/>
      <c r="Q56" s="300"/>
    </row>
    <row r="57" spans="1:17" ht="13.5" thickBot="1" x14ac:dyDescent="0.25">
      <c r="A57" s="291"/>
      <c r="B57" s="306"/>
      <c r="C57" s="306"/>
      <c r="D57" s="306"/>
      <c r="E57" s="306"/>
      <c r="F57" s="307"/>
      <c r="G57" s="282"/>
      <c r="H57" s="308"/>
      <c r="I57" s="294"/>
      <c r="J57" s="301"/>
      <c r="K57" s="309"/>
      <c r="M57" s="310" t="s">
        <v>147</v>
      </c>
      <c r="N57" s="311"/>
      <c r="O57" s="312">
        <f>SUM(O54:O56)</f>
        <v>44148.58549314463</v>
      </c>
      <c r="P57" s="313"/>
      <c r="Q57" s="300"/>
    </row>
    <row r="58" spans="1:17" x14ac:dyDescent="0.2">
      <c r="B58" s="893" t="s">
        <v>148</v>
      </c>
      <c r="C58" s="893"/>
      <c r="D58" s="314">
        <v>23400</v>
      </c>
      <c r="E58" s="315"/>
      <c r="G58" s="282"/>
      <c r="H58" s="308">
        <f>+H56/77</f>
        <v>0.28711938499517631</v>
      </c>
      <c r="I58" s="316"/>
      <c r="J58" s="301"/>
      <c r="K58" s="309"/>
      <c r="L58" s="302"/>
      <c r="M58" s="302" t="s">
        <v>149</v>
      </c>
      <c r="N58" s="317"/>
      <c r="O58" s="299">
        <f>+H59</f>
        <v>23.830908954599632</v>
      </c>
      <c r="P58" s="299"/>
      <c r="Q58" s="300"/>
    </row>
    <row r="59" spans="1:17" x14ac:dyDescent="0.2">
      <c r="B59" s="893" t="s">
        <v>150</v>
      </c>
      <c r="C59" s="893"/>
      <c r="D59" s="318">
        <v>200</v>
      </c>
      <c r="E59" s="315"/>
      <c r="G59" s="282"/>
      <c r="H59" s="308">
        <f>+H58*83</f>
        <v>23.830908954599632</v>
      </c>
      <c r="I59" s="316"/>
      <c r="J59" s="301"/>
      <c r="K59" s="309"/>
      <c r="L59" s="302"/>
      <c r="M59" s="894" t="s">
        <v>147</v>
      </c>
      <c r="N59" s="894"/>
      <c r="O59" s="299">
        <f>SUM(O57:O58)</f>
        <v>44172.416402099232</v>
      </c>
      <c r="P59" s="299"/>
      <c r="Q59" s="300"/>
    </row>
    <row r="60" spans="1:17" ht="13.5" thickBot="1" x14ac:dyDescent="0.25">
      <c r="B60" s="885" t="s">
        <v>151</v>
      </c>
      <c r="C60" s="885"/>
      <c r="D60" s="314">
        <f>+D58/D59</f>
        <v>117</v>
      </c>
      <c r="E60" s="315"/>
      <c r="F60" s="319"/>
      <c r="G60" s="282"/>
      <c r="H60" s="308"/>
      <c r="I60" s="316"/>
      <c r="J60" s="301"/>
      <c r="K60" s="309"/>
      <c r="L60" s="894"/>
      <c r="M60" s="894"/>
      <c r="N60" s="317"/>
      <c r="O60" s="299">
        <f>+O59*N60</f>
        <v>0</v>
      </c>
      <c r="P60" s="299"/>
      <c r="Q60" s="300"/>
    </row>
    <row r="61" spans="1:17" ht="13.5" thickBot="1" x14ac:dyDescent="0.25">
      <c r="B61" s="885" t="s">
        <v>152</v>
      </c>
      <c r="C61" s="885"/>
      <c r="D61" s="320"/>
      <c r="E61" s="315"/>
      <c r="F61" s="319"/>
      <c r="G61" s="282"/>
      <c r="H61" s="308"/>
      <c r="I61" s="316"/>
      <c r="J61" s="301"/>
      <c r="K61" s="886" t="s">
        <v>153</v>
      </c>
      <c r="L61" s="887"/>
      <c r="M61" s="887"/>
      <c r="N61" s="888"/>
      <c r="O61" s="312">
        <f>SUM(O59:O60)</f>
        <v>44172.416402099232</v>
      </c>
      <c r="P61" s="321" t="s">
        <v>154</v>
      </c>
      <c r="Q61" s="300"/>
    </row>
    <row r="62" spans="1:17" ht="13.5" thickBot="1" x14ac:dyDescent="0.25">
      <c r="C62" s="291" t="s">
        <v>155</v>
      </c>
      <c r="D62" s="322"/>
      <c r="E62" s="265" t="s">
        <v>156</v>
      </c>
      <c r="F62" s="323" t="s">
        <v>157</v>
      </c>
      <c r="G62" s="282"/>
      <c r="H62" s="308"/>
      <c r="I62" s="316"/>
      <c r="J62" s="324"/>
      <c r="K62" s="325"/>
      <c r="L62" s="874" t="s">
        <v>158</v>
      </c>
      <c r="M62" s="874"/>
      <c r="N62" s="874"/>
      <c r="O62" s="326">
        <f>+O61/D60</f>
        <v>377.54202053076267</v>
      </c>
      <c r="P62" s="327">
        <f>+O62/D59</f>
        <v>1.8877101026538134</v>
      </c>
      <c r="Q62" s="328"/>
    </row>
    <row r="63" spans="1:17" ht="13.5" thickBot="1" x14ac:dyDescent="0.25">
      <c r="B63" s="875" t="s">
        <v>143</v>
      </c>
      <c r="C63" s="875"/>
      <c r="D63" s="875"/>
      <c r="E63" s="329">
        <f>+F63/F63</f>
        <v>1</v>
      </c>
      <c r="F63" s="330">
        <f>SUM(F55)</f>
        <v>44126.477300500002</v>
      </c>
      <c r="G63" s="282">
        <f>+F63/$F$66</f>
        <v>0.94819107026589278</v>
      </c>
      <c r="H63" s="308"/>
      <c r="I63" s="316"/>
      <c r="K63" s="876"/>
      <c r="L63" s="877"/>
      <c r="M63" s="877"/>
      <c r="N63" s="877"/>
      <c r="O63" s="331"/>
      <c r="P63" s="332"/>
    </row>
    <row r="64" spans="1:17" ht="13.5" thickBot="1" x14ac:dyDescent="0.3">
      <c r="B64" s="878" t="s">
        <v>159</v>
      </c>
      <c r="C64" s="878"/>
      <c r="D64" s="878"/>
      <c r="E64" s="333">
        <v>0.02</v>
      </c>
      <c r="F64" s="330">
        <f>+F53*E64</f>
        <v>871.06000000000006</v>
      </c>
      <c r="G64" s="282">
        <f>+F64/$F$66</f>
        <v>1.8717363455986773E-2</v>
      </c>
      <c r="H64" s="294"/>
      <c r="I64" s="316"/>
      <c r="J64" s="334"/>
      <c r="O64" s="335"/>
      <c r="P64" s="292"/>
    </row>
    <row r="65" spans="2:13" ht="13.5" thickBot="1" x14ac:dyDescent="0.3">
      <c r="B65" s="879" t="s">
        <v>160</v>
      </c>
      <c r="C65" s="880"/>
      <c r="D65" s="336">
        <v>20</v>
      </c>
      <c r="E65" s="337">
        <v>77</v>
      </c>
      <c r="F65" s="330">
        <f>+E65*D65</f>
        <v>1540</v>
      </c>
      <c r="G65" s="282">
        <f>+F65/$F$66</f>
        <v>3.3091566278120481E-2</v>
      </c>
      <c r="H65" s="294"/>
      <c r="I65" s="294"/>
      <c r="J65" s="284"/>
    </row>
    <row r="66" spans="2:13" ht="13.5" thickBot="1" x14ac:dyDescent="0.3">
      <c r="B66" s="881" t="s">
        <v>161</v>
      </c>
      <c r="C66" s="882"/>
      <c r="D66" s="882"/>
      <c r="E66" s="883"/>
      <c r="F66" s="307">
        <f>SUM(F63:F65)</f>
        <v>46537.5373005</v>
      </c>
      <c r="G66" s="282">
        <f>+F66/$F$66</f>
        <v>1</v>
      </c>
      <c r="H66" s="884"/>
      <c r="I66" s="294"/>
      <c r="J66" s="284"/>
      <c r="M66" s="267" t="s">
        <v>162</v>
      </c>
    </row>
    <row r="67" spans="2:13" x14ac:dyDescent="0.25">
      <c r="C67" s="289"/>
      <c r="D67" s="289"/>
      <c r="E67" s="339"/>
      <c r="F67" s="330"/>
      <c r="G67" s="282"/>
      <c r="H67" s="884"/>
      <c r="I67" s="338"/>
      <c r="J67" s="267"/>
      <c r="M67" s="267" t="s">
        <v>163</v>
      </c>
    </row>
    <row r="68" spans="2:13" ht="13.5" thickBot="1" x14ac:dyDescent="0.3">
      <c r="B68" s="869" t="s">
        <v>164</v>
      </c>
      <c r="C68" s="869"/>
      <c r="D68" s="869"/>
      <c r="E68" s="869"/>
      <c r="F68" s="869"/>
      <c r="G68" s="282"/>
      <c r="H68" s="341"/>
      <c r="I68" s="338"/>
      <c r="J68" s="267"/>
      <c r="M68" s="267" t="s">
        <v>165</v>
      </c>
    </row>
    <row r="69" spans="2:13" ht="13.5" thickBot="1" x14ac:dyDescent="0.3">
      <c r="B69" s="342" t="s">
        <v>166</v>
      </c>
      <c r="C69" s="343">
        <f>+F53</f>
        <v>43553</v>
      </c>
      <c r="D69" s="343">
        <f>+D58</f>
        <v>23400</v>
      </c>
      <c r="E69" s="344">
        <f>+C69/D69</f>
        <v>1.8612393162393162</v>
      </c>
      <c r="F69" s="282"/>
      <c r="G69" s="341"/>
      <c r="H69" s="284"/>
      <c r="I69" s="341"/>
      <c r="J69" s="267"/>
    </row>
    <row r="70" spans="2:13" x14ac:dyDescent="0.25">
      <c r="B70" s="345"/>
      <c r="C70" s="346"/>
      <c r="D70" s="347"/>
      <c r="E70" s="330"/>
      <c r="F70" s="282"/>
      <c r="G70" s="341"/>
      <c r="H70" s="284"/>
      <c r="I70" s="284"/>
      <c r="J70" s="267"/>
    </row>
    <row r="71" spans="2:13" x14ac:dyDescent="0.25">
      <c r="B71" s="342" t="s">
        <v>167</v>
      </c>
      <c r="C71" s="343">
        <f>SUM(F63:F64)</f>
        <v>44997.5373005</v>
      </c>
      <c r="D71" s="343">
        <f>+D58</f>
        <v>23400</v>
      </c>
      <c r="E71" s="348">
        <f>+C71/D71</f>
        <v>1.922971679508547</v>
      </c>
      <c r="F71" s="282"/>
      <c r="G71" s="341"/>
      <c r="H71" s="284"/>
      <c r="I71" s="284"/>
      <c r="J71" s="267"/>
    </row>
    <row r="72" spans="2:13" x14ac:dyDescent="0.25">
      <c r="B72" s="342"/>
      <c r="C72" s="343"/>
      <c r="D72" s="343"/>
      <c r="E72" s="348"/>
      <c r="F72" s="282"/>
      <c r="G72" s="341"/>
      <c r="H72" s="284"/>
      <c r="I72" s="284"/>
      <c r="J72" s="267"/>
    </row>
    <row r="73" spans="2:13" ht="13.5" thickBot="1" x14ac:dyDescent="0.3">
      <c r="B73" s="342" t="s">
        <v>168</v>
      </c>
      <c r="C73" s="343">
        <f>+F65</f>
        <v>1540</v>
      </c>
      <c r="D73" s="343">
        <f>+D58</f>
        <v>23400</v>
      </c>
      <c r="E73" s="348">
        <f>+C73/D73</f>
        <v>6.5811965811965814E-2</v>
      </c>
      <c r="F73" s="282"/>
      <c r="G73" s="341"/>
      <c r="H73" s="284"/>
      <c r="I73" s="284"/>
      <c r="J73" s="267"/>
    </row>
    <row r="74" spans="2:13" ht="13.5" thickBot="1" x14ac:dyDescent="0.3">
      <c r="B74" s="342" t="s">
        <v>169</v>
      </c>
      <c r="C74" s="343">
        <f>+F56</f>
        <v>2586.6585394215435</v>
      </c>
      <c r="D74" s="343">
        <f>+D73</f>
        <v>23400</v>
      </c>
      <c r="E74" s="344">
        <f>+C74/D74</f>
        <v>0.11054096322314289</v>
      </c>
      <c r="F74" s="282"/>
      <c r="G74" s="341"/>
      <c r="H74" s="284"/>
      <c r="I74" s="284"/>
      <c r="J74" s="267"/>
    </row>
    <row r="75" spans="2:13" ht="13.5" thickBot="1" x14ac:dyDescent="0.3">
      <c r="B75" s="306"/>
      <c r="C75" s="307"/>
      <c r="D75" s="307"/>
      <c r="E75" s="348"/>
      <c r="F75" s="282"/>
      <c r="G75" s="341"/>
      <c r="H75" s="284"/>
      <c r="I75" s="284"/>
      <c r="J75" s="267"/>
    </row>
    <row r="76" spans="2:13" ht="13.5" thickBot="1" x14ac:dyDescent="0.3">
      <c r="B76" s="342" t="s">
        <v>170</v>
      </c>
      <c r="C76" s="343">
        <f>+F54</f>
        <v>573.47730050000007</v>
      </c>
      <c r="D76" s="343">
        <f>+D74</f>
        <v>23400</v>
      </c>
      <c r="E76" s="344">
        <f>+C76/D76</f>
        <v>2.4507576944444446E-2</v>
      </c>
      <c r="F76" s="282"/>
      <c r="G76" s="341"/>
      <c r="H76" s="284"/>
      <c r="I76" s="284"/>
      <c r="J76" s="284"/>
    </row>
    <row r="77" spans="2:13" ht="13.5" thickBot="1" x14ac:dyDescent="0.3">
      <c r="B77" s="306"/>
      <c r="C77" s="307"/>
      <c r="D77" s="307"/>
      <c r="E77" s="348"/>
      <c r="F77" s="282"/>
      <c r="G77" s="341"/>
      <c r="H77" s="284"/>
      <c r="I77" s="284"/>
    </row>
    <row r="78" spans="2:13" ht="13.5" thickBot="1" x14ac:dyDescent="0.3">
      <c r="B78" s="870" t="s">
        <v>171</v>
      </c>
      <c r="C78" s="871"/>
      <c r="D78" s="872"/>
      <c r="E78" s="344">
        <f>+E69+E74</f>
        <v>1.971780279462459</v>
      </c>
      <c r="G78" s="282"/>
      <c r="H78" s="341"/>
      <c r="I78" s="284"/>
      <c r="J78" s="348"/>
    </row>
    <row r="79" spans="2:13" x14ac:dyDescent="0.25">
      <c r="I79" s="341"/>
      <c r="J79" s="267"/>
    </row>
    <row r="80" spans="2:13" ht="13.5" thickBot="1" x14ac:dyDescent="0.3">
      <c r="B80" s="869" t="s">
        <v>172</v>
      </c>
      <c r="C80" s="869"/>
      <c r="D80" s="869"/>
      <c r="E80" s="869"/>
      <c r="F80" s="869"/>
      <c r="G80" s="282"/>
      <c r="H80" s="341"/>
      <c r="J80" s="267"/>
    </row>
    <row r="81" spans="1:10" ht="13.5" thickBot="1" x14ac:dyDescent="0.3">
      <c r="B81" s="342" t="s">
        <v>166</v>
      </c>
      <c r="C81" s="343">
        <f>+C69</f>
        <v>43553</v>
      </c>
      <c r="D81" s="343">
        <f>+D60</f>
        <v>117</v>
      </c>
      <c r="E81" s="344">
        <f>+C81/D81</f>
        <v>372.24786324786322</v>
      </c>
      <c r="F81" s="282"/>
      <c r="G81" s="341"/>
      <c r="H81" s="284"/>
      <c r="I81" s="341"/>
      <c r="J81" s="267"/>
    </row>
    <row r="82" spans="1:10" x14ac:dyDescent="0.25">
      <c r="B82" s="345"/>
      <c r="C82" s="346"/>
      <c r="D82" s="347"/>
      <c r="E82" s="330"/>
      <c r="F82" s="282"/>
      <c r="G82" s="341"/>
      <c r="H82" s="284"/>
      <c r="I82" s="284"/>
      <c r="J82" s="267"/>
    </row>
    <row r="83" spans="1:10" x14ac:dyDescent="0.25">
      <c r="B83" s="342" t="s">
        <v>167</v>
      </c>
      <c r="C83" s="343">
        <f>+C71</f>
        <v>44997.5373005</v>
      </c>
      <c r="D83" s="343">
        <f>+D60</f>
        <v>117</v>
      </c>
      <c r="E83" s="348">
        <f>+C83/D83</f>
        <v>384.59433590170943</v>
      </c>
      <c r="F83" s="282"/>
      <c r="G83" s="341"/>
      <c r="H83" s="284"/>
      <c r="I83" s="284"/>
      <c r="J83" s="267"/>
    </row>
    <row r="84" spans="1:10" x14ac:dyDescent="0.25">
      <c r="B84" s="342"/>
      <c r="C84" s="343"/>
      <c r="D84" s="343"/>
      <c r="E84" s="348"/>
      <c r="F84" s="282"/>
      <c r="G84" s="341"/>
      <c r="H84" s="284"/>
      <c r="I84" s="284"/>
      <c r="J84" s="267"/>
    </row>
    <row r="85" spans="1:10" ht="13.5" thickBot="1" x14ac:dyDescent="0.3">
      <c r="B85" s="342" t="s">
        <v>169</v>
      </c>
      <c r="C85" s="343">
        <f>+C73</f>
        <v>1540</v>
      </c>
      <c r="D85" s="343">
        <f>+D60</f>
        <v>117</v>
      </c>
      <c r="E85" s="348">
        <f>+C85/D85</f>
        <v>13.162393162393162</v>
      </c>
      <c r="F85" s="350"/>
      <c r="G85" s="340"/>
      <c r="H85" s="266"/>
      <c r="I85" s="284"/>
    </row>
    <row r="86" spans="1:10" ht="13.5" thickBot="1" x14ac:dyDescent="0.3">
      <c r="B86" s="342" t="s">
        <v>169</v>
      </c>
      <c r="C86" s="343">
        <f>+C74</f>
        <v>2586.6585394215435</v>
      </c>
      <c r="D86" s="343">
        <f>+D85</f>
        <v>117</v>
      </c>
      <c r="E86" s="344">
        <f>+C86/D86</f>
        <v>22.108192644628577</v>
      </c>
      <c r="F86" s="349"/>
      <c r="G86" s="340"/>
      <c r="H86" s="266"/>
      <c r="I86" s="266"/>
    </row>
    <row r="87" spans="1:10" x14ac:dyDescent="0.25">
      <c r="I87" s="266"/>
    </row>
    <row r="88" spans="1:10" x14ac:dyDescent="0.2">
      <c r="A88" s="873"/>
      <c r="B88" s="873"/>
      <c r="C88" s="351"/>
      <c r="D88" s="351"/>
      <c r="E88" s="352"/>
      <c r="G88" s="353"/>
    </row>
    <row r="89" spans="1:10" x14ac:dyDescent="0.2">
      <c r="A89" s="285"/>
      <c r="B89" s="354"/>
      <c r="C89" s="355"/>
      <c r="D89" s="355"/>
      <c r="E89" s="356"/>
      <c r="G89" s="353"/>
    </row>
    <row r="90" spans="1:10" x14ac:dyDescent="0.2">
      <c r="A90" s="285"/>
      <c r="B90" s="354"/>
      <c r="C90" s="357"/>
      <c r="D90" s="357"/>
      <c r="E90" s="285"/>
      <c r="G90" s="353"/>
    </row>
    <row r="91" spans="1:10" x14ac:dyDescent="0.2">
      <c r="A91" s="285"/>
      <c r="B91" s="354"/>
      <c r="C91" s="358"/>
      <c r="D91" s="358"/>
      <c r="E91" s="285"/>
      <c r="G91" s="35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1D1B-D87F-48D6-8135-3860F9ACC006}">
  <dimension ref="A1:I58"/>
  <sheetViews>
    <sheetView workbookViewId="0">
      <selection activeCell="H19" sqref="H19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853"/>
      <c r="B1" s="854"/>
      <c r="C1" s="859" t="s">
        <v>33</v>
      </c>
      <c r="D1" s="859"/>
      <c r="E1" s="859"/>
      <c r="F1" s="859"/>
      <c r="G1" s="859"/>
      <c r="H1" s="4" t="s">
        <v>32</v>
      </c>
      <c r="I1" s="5" t="s">
        <v>253</v>
      </c>
    </row>
    <row r="2" spans="1:9" ht="18" thickBot="1" x14ac:dyDescent="0.35">
      <c r="A2" s="855"/>
      <c r="B2" s="856"/>
      <c r="C2" s="915" t="s">
        <v>31</v>
      </c>
      <c r="D2" s="916"/>
      <c r="E2" s="916"/>
      <c r="F2" s="916"/>
      <c r="G2" s="917"/>
      <c r="H2" s="6" t="s">
        <v>30</v>
      </c>
      <c r="I2" s="7" t="s">
        <v>254</v>
      </c>
    </row>
    <row r="3" spans="1:9" ht="15.75" thickBot="1" x14ac:dyDescent="0.3">
      <c r="A3" s="855"/>
      <c r="B3" s="856"/>
      <c r="C3" s="1073" t="s">
        <v>255</v>
      </c>
      <c r="D3" s="1074"/>
      <c r="E3" s="1074"/>
      <c r="F3" s="1074"/>
      <c r="G3" s="1075"/>
      <c r="H3" s="862" t="s">
        <v>29</v>
      </c>
      <c r="I3" s="844">
        <v>45663</v>
      </c>
    </row>
    <row r="4" spans="1:9" ht="17.25" x14ac:dyDescent="0.3">
      <c r="A4" s="855"/>
      <c r="B4" s="856"/>
      <c r="C4" s="8" t="s">
        <v>28</v>
      </c>
      <c r="D4" s="847" t="s">
        <v>41</v>
      </c>
      <c r="E4" s="848"/>
      <c r="F4" s="848"/>
      <c r="G4" s="849"/>
      <c r="H4" s="863"/>
      <c r="I4" s="845"/>
    </row>
    <row r="5" spans="1:9" ht="18" thickBot="1" x14ac:dyDescent="0.35">
      <c r="A5" s="857"/>
      <c r="B5" s="858"/>
      <c r="C5" s="9" t="s">
        <v>27</v>
      </c>
      <c r="D5" s="850" t="s">
        <v>26</v>
      </c>
      <c r="E5" s="851"/>
      <c r="F5" s="851"/>
      <c r="G5" s="852"/>
      <c r="H5" s="864"/>
      <c r="I5" s="846"/>
    </row>
    <row r="6" spans="1:9" ht="16.5" thickBot="1" x14ac:dyDescent="0.3">
      <c r="A6" s="835" t="s">
        <v>25</v>
      </c>
      <c r="B6" s="835"/>
      <c r="C6" s="835"/>
      <c r="D6" s="836" t="s">
        <v>44</v>
      </c>
      <c r="E6" s="836"/>
      <c r="F6" s="836"/>
      <c r="G6" s="837" t="s">
        <v>24</v>
      </c>
      <c r="H6" s="837"/>
      <c r="I6" s="10" t="s">
        <v>256</v>
      </c>
    </row>
    <row r="7" spans="1:9" x14ac:dyDescent="0.25">
      <c r="A7" s="838" t="s">
        <v>23</v>
      </c>
      <c r="B7" s="840" t="s">
        <v>35</v>
      </c>
      <c r="C7" s="842" t="s">
        <v>22</v>
      </c>
      <c r="D7" s="842" t="s">
        <v>21</v>
      </c>
      <c r="E7" s="842" t="s">
        <v>20</v>
      </c>
      <c r="F7" s="842"/>
      <c r="G7" s="842" t="s">
        <v>19</v>
      </c>
      <c r="H7" s="842"/>
      <c r="I7" s="11" t="s">
        <v>18</v>
      </c>
    </row>
    <row r="8" spans="1:9" ht="31.5" thickBot="1" x14ac:dyDescent="0.3">
      <c r="A8" s="839"/>
      <c r="B8" s="841"/>
      <c r="C8" s="843"/>
      <c r="D8" s="843"/>
      <c r="E8" s="12" t="s">
        <v>14</v>
      </c>
      <c r="F8" s="13" t="s">
        <v>17</v>
      </c>
      <c r="G8" s="12" t="s">
        <v>14</v>
      </c>
      <c r="H8" s="13" t="s">
        <v>17</v>
      </c>
      <c r="I8" s="14" t="s">
        <v>16</v>
      </c>
    </row>
    <row r="9" spans="1:9" ht="15.75" x14ac:dyDescent="0.25">
      <c r="A9" s="15"/>
      <c r="B9" s="16"/>
      <c r="C9" s="17" t="s">
        <v>36</v>
      </c>
      <c r="D9" s="18"/>
      <c r="E9" s="19"/>
      <c r="F9" s="20"/>
      <c r="G9" s="19"/>
      <c r="H9" s="20"/>
      <c r="I9" s="21"/>
    </row>
    <row r="10" spans="1:9" ht="17.25" x14ac:dyDescent="0.3">
      <c r="A10" s="403"/>
      <c r="B10" s="404" t="s">
        <v>257</v>
      </c>
      <c r="C10" s="405" t="s">
        <v>258</v>
      </c>
      <c r="D10" s="406" t="s">
        <v>15</v>
      </c>
      <c r="E10" s="407">
        <f>16580/16.58</f>
        <v>1000.0000000000001</v>
      </c>
      <c r="F10" s="408" t="s">
        <v>1</v>
      </c>
      <c r="G10" s="409"/>
      <c r="H10" s="410"/>
      <c r="I10" s="21"/>
    </row>
    <row r="11" spans="1:9" ht="17.25" x14ac:dyDescent="0.3">
      <c r="A11" s="403">
        <v>10400008</v>
      </c>
      <c r="B11" s="411" t="s">
        <v>259</v>
      </c>
      <c r="C11" s="412" t="s">
        <v>260</v>
      </c>
      <c r="D11" s="406" t="s">
        <v>261</v>
      </c>
      <c r="E11" s="413" t="s">
        <v>262</v>
      </c>
      <c r="F11" s="414" t="s">
        <v>1</v>
      </c>
      <c r="G11" s="409"/>
      <c r="H11" s="410"/>
      <c r="I11" s="21"/>
    </row>
    <row r="12" spans="1:9" ht="17.25" x14ac:dyDescent="0.3">
      <c r="A12" s="1"/>
      <c r="B12" s="1"/>
      <c r="C12" s="1"/>
      <c r="D12" s="1"/>
      <c r="E12" s="1"/>
      <c r="F12" s="1"/>
      <c r="G12" s="415"/>
      <c r="H12" s="410"/>
      <c r="I12" s="21"/>
    </row>
    <row r="13" spans="1:9" ht="17.25" x14ac:dyDescent="0.3">
      <c r="A13" s="404"/>
      <c r="B13" s="404"/>
      <c r="C13" s="412"/>
      <c r="D13" s="416"/>
      <c r="E13" s="407"/>
      <c r="F13" s="408"/>
      <c r="G13" s="415"/>
      <c r="H13" s="410"/>
      <c r="I13" s="21"/>
    </row>
    <row r="14" spans="1:9" ht="17.25" x14ac:dyDescent="0.3">
      <c r="A14" s="417"/>
      <c r="B14" s="418"/>
      <c r="C14" s="419"/>
      <c r="D14" s="415"/>
      <c r="E14" s="415"/>
      <c r="F14" s="420"/>
      <c r="G14" s="415"/>
      <c r="H14" s="410"/>
      <c r="I14" s="21"/>
    </row>
    <row r="15" spans="1:9" ht="17.25" x14ac:dyDescent="0.3">
      <c r="A15" s="421"/>
      <c r="B15" s="418"/>
      <c r="C15" s="422"/>
      <c r="D15" s="415"/>
      <c r="E15" s="415"/>
      <c r="F15" s="420"/>
      <c r="G15" s="415"/>
      <c r="H15" s="410"/>
      <c r="I15" s="21"/>
    </row>
    <row r="16" spans="1:9" ht="17.25" x14ac:dyDescent="0.3">
      <c r="A16" s="415"/>
      <c r="B16" s="415"/>
      <c r="C16" s="423"/>
      <c r="D16" s="424"/>
      <c r="E16" s="424"/>
      <c r="F16" s="409"/>
      <c r="G16" s="415"/>
      <c r="H16" s="410"/>
      <c r="I16" s="21"/>
    </row>
    <row r="17" spans="1:9" ht="17.25" x14ac:dyDescent="0.3">
      <c r="A17" s="418"/>
      <c r="B17" s="418"/>
      <c r="C17" s="425"/>
      <c r="D17" s="415"/>
      <c r="E17" s="415"/>
      <c r="F17" s="420"/>
      <c r="G17" s="415"/>
      <c r="H17" s="410"/>
      <c r="I17" s="21"/>
    </row>
    <row r="18" spans="1:9" ht="17.25" x14ac:dyDescent="0.3">
      <c r="A18" s="417"/>
      <c r="B18" s="418"/>
      <c r="C18" s="419"/>
      <c r="D18" s="415"/>
      <c r="E18" s="415"/>
      <c r="F18" s="420"/>
      <c r="G18" s="415"/>
      <c r="H18" s="410"/>
      <c r="I18" s="21"/>
    </row>
    <row r="19" spans="1:9" ht="17.25" x14ac:dyDescent="0.3">
      <c r="A19" s="60"/>
      <c r="B19" s="60"/>
      <c r="C19" s="426"/>
      <c r="D19" s="427"/>
      <c r="E19" s="25"/>
      <c r="F19" s="3"/>
      <c r="G19" s="19"/>
      <c r="H19" s="410"/>
      <c r="I19" s="21"/>
    </row>
    <row r="20" spans="1:9" ht="15.75" x14ac:dyDescent="0.25">
      <c r="A20" s="43"/>
      <c r="B20" s="44"/>
      <c r="C20" s="139" t="s">
        <v>44</v>
      </c>
      <c r="D20" s="35"/>
      <c r="E20" s="428"/>
      <c r="F20" s="32"/>
      <c r="G20" s="19"/>
      <c r="H20" s="20"/>
      <c r="I20" s="21"/>
    </row>
    <row r="21" spans="1:9" ht="17.25" x14ac:dyDescent="0.3">
      <c r="A21" s="403"/>
      <c r="B21" s="429"/>
      <c r="C21" s="405"/>
      <c r="D21" s="406"/>
      <c r="E21" s="413"/>
      <c r="F21" s="414"/>
      <c r="G21" s="19"/>
      <c r="H21" s="20"/>
      <c r="I21" s="21"/>
    </row>
    <row r="22" spans="1:9" ht="17.25" x14ac:dyDescent="0.3">
      <c r="A22" s="403"/>
      <c r="B22" s="429"/>
      <c r="C22" s="405"/>
      <c r="D22" s="406"/>
      <c r="E22" s="430"/>
      <c r="F22" s="414"/>
      <c r="G22" s="19"/>
      <c r="H22" s="20"/>
      <c r="I22" s="21"/>
    </row>
    <row r="23" spans="1:9" ht="17.25" x14ac:dyDescent="0.3">
      <c r="A23" s="403"/>
      <c r="B23" s="429"/>
      <c r="C23" s="405"/>
      <c r="D23" s="406"/>
      <c r="E23" s="413"/>
      <c r="F23" s="414"/>
      <c r="G23" s="19"/>
      <c r="H23" s="20"/>
      <c r="I23" s="21"/>
    </row>
    <row r="24" spans="1:9" ht="17.25" x14ac:dyDescent="0.3">
      <c r="A24" s="403"/>
      <c r="B24" s="429"/>
      <c r="C24" s="405"/>
      <c r="D24" s="406"/>
      <c r="E24" s="431"/>
      <c r="F24" s="432"/>
      <c r="G24" s="19"/>
      <c r="H24" s="20"/>
      <c r="I24" s="21"/>
    </row>
    <row r="25" spans="1:9" ht="17.25" x14ac:dyDescent="0.3">
      <c r="A25" s="403"/>
      <c r="B25" s="429"/>
      <c r="C25" s="405"/>
      <c r="D25" s="406"/>
      <c r="E25" s="407"/>
      <c r="F25" s="432"/>
      <c r="G25" s="19"/>
      <c r="H25" s="20"/>
      <c r="I25" s="21"/>
    </row>
    <row r="26" spans="1:9" ht="17.25" x14ac:dyDescent="0.3">
      <c r="A26" s="433"/>
      <c r="B26" s="433"/>
      <c r="C26" s="434"/>
      <c r="D26" s="435"/>
      <c r="E26" s="436"/>
      <c r="F26" s="437"/>
      <c r="G26" s="19"/>
      <c r="H26" s="20"/>
      <c r="I26" s="21"/>
    </row>
    <row r="27" spans="1:9" ht="17.25" x14ac:dyDescent="0.3">
      <c r="A27" s="60"/>
      <c r="B27" s="60"/>
      <c r="C27" s="426"/>
      <c r="D27" s="438"/>
      <c r="E27" s="439"/>
      <c r="F27" s="437"/>
      <c r="G27" s="19"/>
      <c r="H27" s="20"/>
      <c r="I27" s="21"/>
    </row>
    <row r="28" spans="1:9" ht="17.25" x14ac:dyDescent="0.3">
      <c r="A28" s="60"/>
      <c r="B28" s="60"/>
      <c r="C28" s="426"/>
      <c r="D28" s="438"/>
      <c r="E28" s="430"/>
      <c r="F28" s="29"/>
      <c r="G28" s="19"/>
      <c r="H28" s="20"/>
      <c r="I28" s="21"/>
    </row>
    <row r="29" spans="1:9" ht="15.75" x14ac:dyDescent="0.25">
      <c r="A29" s="440"/>
      <c r="B29" s="441"/>
      <c r="C29" s="154" t="s">
        <v>45</v>
      </c>
      <c r="D29" s="442"/>
      <c r="E29" s="443"/>
      <c r="F29" s="20"/>
      <c r="G29" s="19"/>
      <c r="H29" s="434"/>
      <c r="I29" s="21"/>
    </row>
    <row r="30" spans="1:9" ht="17.25" x14ac:dyDescent="0.3">
      <c r="A30" s="403" t="s">
        <v>52</v>
      </c>
      <c r="B30" s="411" t="s">
        <v>53</v>
      </c>
      <c r="C30" s="412" t="s">
        <v>77</v>
      </c>
      <c r="D30" s="406" t="s">
        <v>51</v>
      </c>
      <c r="E30" s="413">
        <v>1</v>
      </c>
      <c r="F30" s="414" t="s">
        <v>6</v>
      </c>
      <c r="G30" s="444"/>
      <c r="H30" s="20"/>
      <c r="I30" s="21"/>
    </row>
    <row r="31" spans="1:9" ht="17.25" x14ac:dyDescent="0.3">
      <c r="A31" s="34"/>
      <c r="B31" s="34"/>
      <c r="C31" s="45"/>
      <c r="D31" s="391"/>
      <c r="E31" s="445"/>
      <c r="F31" s="446"/>
      <c r="G31" s="444"/>
      <c r="H31" s="20"/>
      <c r="I31" s="21"/>
    </row>
    <row r="32" spans="1:9" ht="17.25" x14ac:dyDescent="0.3">
      <c r="A32" s="34"/>
      <c r="B32" s="34"/>
      <c r="C32" s="45"/>
      <c r="D32" s="391"/>
      <c r="E32" s="445"/>
      <c r="F32" s="446"/>
      <c r="G32" s="444"/>
      <c r="H32" s="20"/>
      <c r="I32" s="21"/>
    </row>
    <row r="33" spans="1:9" ht="15.75" x14ac:dyDescent="0.25">
      <c r="A33" s="447"/>
      <c r="B33" s="447"/>
      <c r="C33" s="448"/>
      <c r="D33" s="26"/>
      <c r="E33" s="449"/>
      <c r="F33" s="450"/>
      <c r="G33" s="19"/>
      <c r="H33" s="20"/>
      <c r="I33" s="21"/>
    </row>
    <row r="34" spans="1:9" ht="15.75" x14ac:dyDescent="0.25">
      <c r="A34" s="447"/>
      <c r="B34" s="447"/>
      <c r="C34" s="451"/>
      <c r="D34" s="26"/>
      <c r="E34" s="26"/>
      <c r="F34" s="450"/>
      <c r="G34" s="19"/>
      <c r="H34" s="20"/>
      <c r="I34" s="21"/>
    </row>
    <row r="35" spans="1:9" ht="15.75" x14ac:dyDescent="0.25">
      <c r="A35" s="447"/>
      <c r="B35" s="447"/>
      <c r="C35" s="451"/>
      <c r="D35" s="26"/>
      <c r="E35" s="26"/>
      <c r="F35" s="450"/>
      <c r="G35" s="452"/>
      <c r="H35" s="20"/>
      <c r="I35" s="21"/>
    </row>
    <row r="36" spans="1:9" ht="15.75" x14ac:dyDescent="0.25">
      <c r="A36" s="453"/>
      <c r="B36" s="454"/>
      <c r="C36" s="455"/>
      <c r="D36" s="244"/>
      <c r="E36" s="244"/>
      <c r="F36" s="456"/>
      <c r="G36" s="31"/>
      <c r="H36" s="20"/>
      <c r="I36" s="21"/>
    </row>
    <row r="37" spans="1:9" ht="15.75" x14ac:dyDescent="0.25">
      <c r="A37" s="43"/>
      <c r="B37" s="44"/>
      <c r="C37" s="45"/>
      <c r="D37" s="26"/>
      <c r="E37" s="31"/>
      <c r="F37" s="32"/>
      <c r="G37" s="31"/>
      <c r="H37" s="20"/>
      <c r="I37" s="21"/>
    </row>
    <row r="38" spans="1:9" ht="15.75" x14ac:dyDescent="0.25">
      <c r="A38" s="43"/>
      <c r="B38" s="44"/>
      <c r="C38" s="45"/>
      <c r="D38" s="35"/>
      <c r="E38" s="35"/>
      <c r="F38" s="32"/>
      <c r="G38" s="35"/>
      <c r="H38" s="35"/>
      <c r="I38" s="21"/>
    </row>
    <row r="39" spans="1:9" ht="18" thickBot="1" x14ac:dyDescent="0.35">
      <c r="A39" s="46"/>
      <c r="B39" s="47"/>
      <c r="C39" s="48"/>
      <c r="D39" s="48"/>
      <c r="E39" s="49"/>
      <c r="F39" s="50"/>
      <c r="G39" s="48"/>
      <c r="H39" s="48"/>
      <c r="I39" s="51"/>
    </row>
    <row r="40" spans="1:9" ht="18" thickBot="1" x14ac:dyDescent="0.35">
      <c r="A40" s="52"/>
      <c r="B40" s="53"/>
      <c r="C40" s="54"/>
      <c r="D40" s="55" t="s">
        <v>14</v>
      </c>
      <c r="E40" s="56" t="s">
        <v>13</v>
      </c>
      <c r="F40" s="57"/>
      <c r="G40" s="54"/>
      <c r="H40" s="54"/>
      <c r="I40" s="58"/>
    </row>
    <row r="41" spans="1:9" ht="17.25" x14ac:dyDescent="0.3">
      <c r="A41" s="829" t="s">
        <v>12</v>
      </c>
      <c r="B41" s="830"/>
      <c r="C41" s="831"/>
      <c r="D41" s="439">
        <v>1000</v>
      </c>
      <c r="E41" s="457" t="s">
        <v>1</v>
      </c>
      <c r="F41" s="832" t="s">
        <v>11</v>
      </c>
      <c r="G41" s="832"/>
      <c r="H41" s="833"/>
      <c r="I41" s="834"/>
    </row>
    <row r="42" spans="1:9" ht="17.25" x14ac:dyDescent="0.3">
      <c r="A42" s="812" t="s">
        <v>10</v>
      </c>
      <c r="B42" s="813"/>
      <c r="C42" s="814"/>
      <c r="D42" s="415">
        <v>3</v>
      </c>
      <c r="E42" s="415" t="s">
        <v>263</v>
      </c>
      <c r="F42" s="815" t="s">
        <v>8</v>
      </c>
      <c r="G42" s="815"/>
      <c r="H42" s="816"/>
      <c r="I42" s="817"/>
    </row>
    <row r="43" spans="1:9" ht="17.25" x14ac:dyDescent="0.3">
      <c r="A43" s="812" t="s">
        <v>7</v>
      </c>
      <c r="B43" s="813"/>
      <c r="C43" s="814"/>
      <c r="D43" s="415">
        <v>1</v>
      </c>
      <c r="E43" s="415" t="s">
        <v>92</v>
      </c>
      <c r="F43" s="815" t="s">
        <v>5</v>
      </c>
      <c r="G43" s="815"/>
      <c r="H43" s="816"/>
      <c r="I43" s="817"/>
    </row>
    <row r="44" spans="1:9" ht="17.25" x14ac:dyDescent="0.3">
      <c r="A44" s="812" t="s">
        <v>4</v>
      </c>
      <c r="B44" s="813"/>
      <c r="C44" s="814"/>
      <c r="D44" s="430">
        <v>1000</v>
      </c>
      <c r="E44" s="415" t="s">
        <v>1</v>
      </c>
      <c r="F44" s="818" t="s">
        <v>3</v>
      </c>
      <c r="G44" s="819"/>
      <c r="H44" s="1071"/>
      <c r="I44" s="1072"/>
    </row>
    <row r="45" spans="1:9" ht="18" thickBot="1" x14ac:dyDescent="0.35">
      <c r="A45" s="820" t="s">
        <v>2</v>
      </c>
      <c r="B45" s="821"/>
      <c r="C45" s="822"/>
      <c r="D45" s="458">
        <f>SUM(E10:E11)-D41</f>
        <v>0</v>
      </c>
      <c r="E45" s="459" t="s">
        <v>1</v>
      </c>
      <c r="F45" s="823"/>
      <c r="G45" s="823"/>
      <c r="H45" s="816"/>
      <c r="I45" s="817"/>
    </row>
    <row r="46" spans="1:9" ht="16.5" thickBot="1" x14ac:dyDescent="0.3">
      <c r="A46" s="826" t="s">
        <v>0</v>
      </c>
      <c r="B46" s="827"/>
      <c r="C46" s="827"/>
      <c r="D46" s="827"/>
      <c r="E46" s="827"/>
      <c r="F46" s="827"/>
      <c r="G46" s="827"/>
      <c r="H46" s="827"/>
      <c r="I46" s="828"/>
    </row>
    <row r="47" spans="1:9" ht="15.75" x14ac:dyDescent="0.25">
      <c r="A47" s="1055" t="s">
        <v>264</v>
      </c>
      <c r="B47" s="1056"/>
      <c r="C47" s="1056"/>
      <c r="D47" s="1056"/>
      <c r="E47" s="1056"/>
      <c r="F47" s="1056"/>
      <c r="G47" s="1056"/>
      <c r="H47" s="1056"/>
      <c r="I47" s="1057"/>
    </row>
    <row r="48" spans="1:9" ht="15.75" x14ac:dyDescent="0.25">
      <c r="A48" s="1055" t="s">
        <v>265</v>
      </c>
      <c r="B48" s="1056"/>
      <c r="C48" s="1056"/>
      <c r="D48" s="1056"/>
      <c r="E48" s="1056"/>
      <c r="F48" s="1056"/>
      <c r="G48" s="1056"/>
      <c r="H48" s="1056"/>
      <c r="I48" s="1057"/>
    </row>
    <row r="49" spans="1:9" ht="15.75" x14ac:dyDescent="0.25">
      <c r="A49" s="1055" t="s">
        <v>266</v>
      </c>
      <c r="B49" s="1056"/>
      <c r="C49" s="1056"/>
      <c r="D49" s="1056"/>
      <c r="E49" s="1056"/>
      <c r="F49" s="1056"/>
      <c r="G49" s="1056"/>
      <c r="H49" s="1056"/>
      <c r="I49" s="1057"/>
    </row>
    <row r="50" spans="1:9" ht="15.75" x14ac:dyDescent="0.25">
      <c r="A50" s="1055" t="s">
        <v>116</v>
      </c>
      <c r="B50" s="1056"/>
      <c r="C50" s="1056"/>
      <c r="D50" s="1056"/>
      <c r="E50" s="1056"/>
      <c r="F50" s="1056"/>
      <c r="G50" s="1056"/>
      <c r="H50" s="1056"/>
      <c r="I50" s="1057"/>
    </row>
    <row r="51" spans="1:9" ht="17.25" x14ac:dyDescent="0.3">
      <c r="A51" s="1058"/>
      <c r="B51" s="1059"/>
      <c r="C51" s="1060"/>
      <c r="D51" s="1060"/>
      <c r="E51" s="1060"/>
      <c r="F51" s="1060"/>
      <c r="G51" s="1060"/>
      <c r="H51" s="1060"/>
      <c r="I51" s="1061"/>
    </row>
    <row r="52" spans="1:9" ht="16.5" thickBot="1" x14ac:dyDescent="0.3">
      <c r="A52" s="1062"/>
      <c r="B52" s="1063"/>
      <c r="C52" s="1063"/>
      <c r="D52" s="1063"/>
      <c r="E52" s="1063"/>
      <c r="F52" s="1063"/>
      <c r="G52" s="1063"/>
      <c r="H52" s="1063"/>
      <c r="I52" s="1064"/>
    </row>
    <row r="53" spans="1:9" ht="17.25" x14ac:dyDescent="0.3">
      <c r="A53" s="1065"/>
      <c r="B53" s="1066"/>
      <c r="C53" s="1066"/>
      <c r="D53" s="1066"/>
      <c r="E53" s="1066"/>
      <c r="F53" s="1066"/>
      <c r="G53" s="1066"/>
      <c r="H53" s="1066"/>
      <c r="I53" s="1067"/>
    </row>
    <row r="54" spans="1:9" ht="18" thickBot="1" x14ac:dyDescent="0.35">
      <c r="A54" s="1068"/>
      <c r="B54" s="1069"/>
      <c r="C54" s="1069"/>
      <c r="D54" s="1069"/>
      <c r="E54" s="1069"/>
      <c r="F54" s="1069"/>
      <c r="G54" s="1069"/>
      <c r="H54" s="1069"/>
      <c r="I54" s="1070"/>
    </row>
    <row r="55" spans="1:9" ht="16.5" thickBot="1" x14ac:dyDescent="0.3">
      <c r="A55" s="1050"/>
      <c r="B55" s="1051"/>
      <c r="C55" s="1051"/>
      <c r="D55" s="1051"/>
      <c r="E55" s="1051"/>
      <c r="F55" s="1051"/>
      <c r="G55" s="1051"/>
      <c r="H55" s="1051"/>
      <c r="I55" s="1052"/>
    </row>
    <row r="56" spans="1:9" ht="15.75" x14ac:dyDescent="0.25">
      <c r="A56" s="1053" t="s">
        <v>37</v>
      </c>
      <c r="B56" s="1054"/>
      <c r="C56" s="1054"/>
      <c r="D56" s="1054"/>
      <c r="E56" s="1054"/>
      <c r="F56" s="1054"/>
      <c r="G56" s="1054"/>
      <c r="H56" s="1054"/>
      <c r="I56" s="1054"/>
    </row>
    <row r="57" spans="1:9" ht="17.25" x14ac:dyDescent="0.3">
      <c r="A57" s="850" t="s">
        <v>267</v>
      </c>
      <c r="B57" s="851"/>
      <c r="C57" s="851"/>
      <c r="D57" s="851"/>
      <c r="E57" s="851"/>
      <c r="F57" s="851"/>
      <c r="G57" s="851"/>
      <c r="H57" s="851"/>
      <c r="I57" s="852"/>
    </row>
    <row r="58" spans="1:9" x14ac:dyDescent="0.25">
      <c r="A58" s="906" t="s">
        <v>268</v>
      </c>
      <c r="B58" s="907"/>
      <c r="C58" s="907"/>
      <c r="D58" s="907"/>
      <c r="E58" s="907"/>
      <c r="F58" s="907"/>
      <c r="G58" s="907"/>
      <c r="H58" s="907"/>
      <c r="I58" s="90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A6DE-DABC-4E30-B02B-DAED982EEF90}">
  <dimension ref="A1:L59"/>
  <sheetViews>
    <sheetView workbookViewId="0">
      <selection activeCell="H14" sqref="H14"/>
    </sheetView>
  </sheetViews>
  <sheetFormatPr baseColWidth="10" defaultRowHeight="15" x14ac:dyDescent="0.25"/>
  <cols>
    <col min="1" max="1" width="12.28515625" bestFit="1" customWidth="1"/>
    <col min="3" max="3" width="49" customWidth="1"/>
    <col min="4" max="4" width="34.42578125" bestFit="1" customWidth="1"/>
    <col min="5" max="5" width="16.28515625" customWidth="1"/>
    <col min="6" max="6" width="14.42578125" customWidth="1"/>
    <col min="7" max="7" width="15.7109375" customWidth="1"/>
    <col min="8" max="8" width="47.5703125" bestFit="1" customWidth="1"/>
    <col min="9" max="9" width="21.28515625" bestFit="1" customWidth="1"/>
  </cols>
  <sheetData>
    <row r="1" spans="1:12" ht="18" x14ac:dyDescent="0.25">
      <c r="A1" s="1128"/>
      <c r="B1" s="1129"/>
      <c r="C1" s="1134" t="s">
        <v>33</v>
      </c>
      <c r="D1" s="1134"/>
      <c r="E1" s="1134"/>
      <c r="F1" s="1134"/>
      <c r="G1" s="1134"/>
      <c r="H1" s="460" t="s">
        <v>32</v>
      </c>
      <c r="I1" s="461" t="s">
        <v>269</v>
      </c>
    </row>
    <row r="2" spans="1:12" ht="18" customHeight="1" thickBot="1" x14ac:dyDescent="0.3">
      <c r="A2" s="1130"/>
      <c r="B2" s="1131"/>
      <c r="C2" s="1135" t="s">
        <v>31</v>
      </c>
      <c r="D2" s="1136"/>
      <c r="E2" s="1136"/>
      <c r="F2" s="1136"/>
      <c r="G2" s="1137"/>
      <c r="H2" s="462" t="s">
        <v>30</v>
      </c>
      <c r="I2" s="463" t="s">
        <v>270</v>
      </c>
    </row>
    <row r="3" spans="1:12" ht="31.5" customHeight="1" thickBot="1" x14ac:dyDescent="0.3">
      <c r="A3" s="1130"/>
      <c r="B3" s="1131"/>
      <c r="C3" s="1138" t="s">
        <v>271</v>
      </c>
      <c r="D3" s="1138"/>
      <c r="E3" s="1138"/>
      <c r="F3" s="1138"/>
      <c r="G3" s="1138"/>
      <c r="H3" s="1139" t="s">
        <v>29</v>
      </c>
      <c r="I3" s="1122">
        <v>45659</v>
      </c>
    </row>
    <row r="4" spans="1:12" ht="18" customHeight="1" x14ac:dyDescent="0.25">
      <c r="A4" s="1130"/>
      <c r="B4" s="1131"/>
      <c r="C4" s="464" t="s">
        <v>28</v>
      </c>
      <c r="D4" s="1125" t="s">
        <v>41</v>
      </c>
      <c r="E4" s="1126"/>
      <c r="F4" s="1126"/>
      <c r="G4" s="1127"/>
      <c r="H4" s="1140"/>
      <c r="I4" s="1123"/>
    </row>
    <row r="5" spans="1:12" ht="18.75" thickBot="1" x14ac:dyDescent="0.3">
      <c r="A5" s="1132"/>
      <c r="B5" s="1133"/>
      <c r="C5" s="465" t="s">
        <v>27</v>
      </c>
      <c r="D5" s="1076" t="s">
        <v>26</v>
      </c>
      <c r="E5" s="1077"/>
      <c r="F5" s="1077"/>
      <c r="G5" s="1078"/>
      <c r="H5" s="1141"/>
      <c r="I5" s="1124"/>
    </row>
    <row r="6" spans="1:12" ht="18.75" thickBot="1" x14ac:dyDescent="0.3">
      <c r="A6" s="923" t="s">
        <v>25</v>
      </c>
      <c r="B6" s="923"/>
      <c r="C6" s="923"/>
      <c r="D6" s="1115" t="s">
        <v>272</v>
      </c>
      <c r="E6" s="1115"/>
      <c r="F6" s="1115"/>
      <c r="G6" s="925" t="s">
        <v>24</v>
      </c>
      <c r="H6" s="925"/>
      <c r="I6" s="466" t="s">
        <v>44</v>
      </c>
    </row>
    <row r="7" spans="1:12" ht="36" x14ac:dyDescent="0.25">
      <c r="A7" s="1116" t="s">
        <v>23</v>
      </c>
      <c r="B7" s="1118" t="s">
        <v>35</v>
      </c>
      <c r="C7" s="1120" t="s">
        <v>22</v>
      </c>
      <c r="D7" s="1120" t="s">
        <v>21</v>
      </c>
      <c r="E7" s="1120" t="s">
        <v>20</v>
      </c>
      <c r="F7" s="1120"/>
      <c r="G7" s="1120" t="s">
        <v>19</v>
      </c>
      <c r="H7" s="1120"/>
      <c r="I7" s="467" t="s">
        <v>18</v>
      </c>
    </row>
    <row r="8" spans="1:12" ht="36.75" thickBot="1" x14ac:dyDescent="0.3">
      <c r="A8" s="1117"/>
      <c r="B8" s="1119"/>
      <c r="C8" s="1121"/>
      <c r="D8" s="1121"/>
      <c r="E8" s="468" t="s">
        <v>14</v>
      </c>
      <c r="F8" s="469" t="s">
        <v>17</v>
      </c>
      <c r="G8" s="468" t="s">
        <v>14</v>
      </c>
      <c r="H8" s="469" t="s">
        <v>17</v>
      </c>
      <c r="I8" s="470" t="s">
        <v>16</v>
      </c>
      <c r="L8" s="471"/>
    </row>
    <row r="9" spans="1:12" ht="18.600000000000001" customHeight="1" x14ac:dyDescent="0.3">
      <c r="A9" s="472"/>
      <c r="B9" s="473"/>
      <c r="C9" s="474" t="s">
        <v>36</v>
      </c>
      <c r="D9" s="475"/>
      <c r="E9" s="476"/>
      <c r="F9" s="477"/>
      <c r="G9" s="476"/>
      <c r="H9" s="477"/>
      <c r="I9" s="478"/>
    </row>
    <row r="10" spans="1:12" ht="18" customHeight="1" x14ac:dyDescent="0.3">
      <c r="A10" s="479">
        <v>310148</v>
      </c>
      <c r="B10" s="480" t="s">
        <v>273</v>
      </c>
      <c r="C10" s="481" t="s">
        <v>274</v>
      </c>
      <c r="D10" s="482" t="s">
        <v>275</v>
      </c>
      <c r="E10" s="483">
        <v>16150</v>
      </c>
      <c r="F10" s="484" t="s">
        <v>1</v>
      </c>
      <c r="G10" s="485"/>
      <c r="H10" s="486"/>
      <c r="I10" s="478"/>
      <c r="J10">
        <f>+E10/$D$39</f>
        <v>0.99299053083824285</v>
      </c>
      <c r="K10">
        <f>+J10*1000</f>
        <v>992.99053083824288</v>
      </c>
    </row>
    <row r="11" spans="1:12" ht="18.75" x14ac:dyDescent="0.3">
      <c r="A11" s="482" t="s">
        <v>207</v>
      </c>
      <c r="B11" s="482"/>
      <c r="C11" s="487" t="s">
        <v>208</v>
      </c>
      <c r="D11" s="482" t="s">
        <v>276</v>
      </c>
      <c r="E11" s="483">
        <v>100</v>
      </c>
      <c r="F11" s="484" t="s">
        <v>1</v>
      </c>
      <c r="G11" s="485"/>
      <c r="H11" s="486"/>
      <c r="I11" s="478"/>
      <c r="J11">
        <f t="shared" ref="J11:J13" si="0">+E11/$D$39</f>
        <v>6.1485481785649712E-3</v>
      </c>
      <c r="K11">
        <f t="shared" ref="K11:K13" si="1">+J11*1000</f>
        <v>6.1485481785649716</v>
      </c>
      <c r="L11" s="471">
        <f>SUM(E10:E13)</f>
        <v>16264.002020610224</v>
      </c>
    </row>
    <row r="12" spans="1:12" ht="18.75" x14ac:dyDescent="0.3">
      <c r="A12" s="482">
        <v>1212410</v>
      </c>
      <c r="B12" s="482" t="s">
        <v>231</v>
      </c>
      <c r="C12" s="487" t="s">
        <v>232</v>
      </c>
      <c r="D12" s="482" t="s">
        <v>88</v>
      </c>
      <c r="E12" s="483">
        <v>10.002020610224299</v>
      </c>
      <c r="F12" s="484" t="s">
        <v>1</v>
      </c>
      <c r="G12" s="485"/>
      <c r="H12" s="486"/>
      <c r="I12" s="478"/>
      <c r="J12">
        <f>+E12/$D$39</f>
        <v>6.149790560496392E-4</v>
      </c>
      <c r="K12">
        <f t="shared" si="1"/>
        <v>0.61497905604963921</v>
      </c>
      <c r="L12" s="471">
        <f>L11-230</f>
        <v>16034.002020610224</v>
      </c>
    </row>
    <row r="13" spans="1:12" ht="18.75" x14ac:dyDescent="0.3">
      <c r="A13" s="403">
        <v>10400008</v>
      </c>
      <c r="B13" s="411" t="s">
        <v>259</v>
      </c>
      <c r="C13" s="412" t="s">
        <v>260</v>
      </c>
      <c r="D13" s="406" t="s">
        <v>261</v>
      </c>
      <c r="E13" s="413">
        <v>4</v>
      </c>
      <c r="F13" s="414" t="s">
        <v>1</v>
      </c>
      <c r="G13" s="485"/>
      <c r="H13" s="486"/>
      <c r="I13" s="478"/>
      <c r="J13">
        <f t="shared" si="0"/>
        <v>2.4594192714259887E-4</v>
      </c>
      <c r="K13">
        <f t="shared" si="1"/>
        <v>0.24594192714259888</v>
      </c>
    </row>
    <row r="14" spans="1:12" ht="18.75" x14ac:dyDescent="0.3">
      <c r="A14" s="482"/>
      <c r="B14" s="482"/>
      <c r="C14" s="487"/>
      <c r="D14" s="482"/>
      <c r="E14" s="483"/>
      <c r="F14" s="484"/>
      <c r="G14" s="485"/>
      <c r="H14" s="486"/>
      <c r="I14" s="478"/>
    </row>
    <row r="15" spans="1:12" ht="18.75" x14ac:dyDescent="0.3">
      <c r="A15" s="482"/>
      <c r="B15" s="482"/>
      <c r="C15" s="487"/>
      <c r="D15" s="482"/>
      <c r="E15" s="483"/>
      <c r="F15" s="484"/>
      <c r="G15" s="485"/>
      <c r="H15" s="486"/>
      <c r="I15" s="478"/>
    </row>
    <row r="16" spans="1:12" ht="18.75" x14ac:dyDescent="0.3">
      <c r="A16" s="482"/>
      <c r="B16" s="482"/>
      <c r="C16" s="487"/>
      <c r="D16" s="482"/>
      <c r="E16" s="483"/>
      <c r="F16" s="484"/>
      <c r="G16" s="485"/>
      <c r="H16" s="486"/>
      <c r="I16" s="478"/>
    </row>
    <row r="17" spans="1:12" ht="18.75" x14ac:dyDescent="0.3">
      <c r="A17" s="482"/>
      <c r="B17" s="482"/>
      <c r="C17" s="487"/>
      <c r="D17" s="482"/>
      <c r="E17" s="483"/>
      <c r="F17" s="484"/>
      <c r="G17" s="485"/>
      <c r="H17" s="486"/>
      <c r="I17" s="478"/>
      <c r="L17">
        <f>E10/1000</f>
        <v>16.149999999999999</v>
      </c>
    </row>
    <row r="18" spans="1:12" ht="18.75" x14ac:dyDescent="0.3">
      <c r="A18" s="482"/>
      <c r="B18" s="482"/>
      <c r="C18" s="487"/>
      <c r="D18" s="482"/>
      <c r="E18" s="483"/>
      <c r="F18" s="484"/>
      <c r="G18" s="485"/>
      <c r="H18" s="486"/>
      <c r="I18" s="478"/>
    </row>
    <row r="19" spans="1:12" ht="18.75" x14ac:dyDescent="0.3">
      <c r="A19" s="482"/>
      <c r="B19" s="482"/>
      <c r="C19" s="487"/>
      <c r="D19" s="482"/>
      <c r="E19" s="483"/>
      <c r="F19" s="484"/>
      <c r="G19" s="485"/>
      <c r="H19" s="486"/>
      <c r="I19" s="478"/>
    </row>
    <row r="20" spans="1:12" ht="18.75" x14ac:dyDescent="0.3">
      <c r="A20" s="488"/>
      <c r="B20" s="488"/>
      <c r="C20" s="481"/>
      <c r="D20" s="489"/>
      <c r="E20" s="489"/>
      <c r="F20" s="489"/>
      <c r="G20" s="490"/>
      <c r="H20" s="486"/>
      <c r="I20" s="478"/>
    </row>
    <row r="21" spans="1:12" ht="18.75" x14ac:dyDescent="0.3">
      <c r="A21" s="491"/>
      <c r="B21" s="492"/>
      <c r="C21" s="493" t="s">
        <v>44</v>
      </c>
      <c r="D21" s="489"/>
      <c r="E21" s="489"/>
      <c r="F21" s="489"/>
      <c r="G21" s="490"/>
      <c r="H21" s="486"/>
      <c r="I21" s="478"/>
    </row>
    <row r="22" spans="1:12" ht="18.75" x14ac:dyDescent="0.3">
      <c r="A22" s="479"/>
      <c r="B22" s="480"/>
      <c r="C22" s="481"/>
      <c r="D22" s="494"/>
      <c r="E22" s="494"/>
      <c r="F22" s="494"/>
      <c r="G22" s="476"/>
      <c r="H22" s="486"/>
      <c r="I22" s="478"/>
    </row>
    <row r="23" spans="1:12" ht="18.75" x14ac:dyDescent="0.3">
      <c r="A23" s="495"/>
      <c r="B23" s="488"/>
      <c r="C23" s="481"/>
      <c r="D23" s="494"/>
      <c r="E23" s="494"/>
      <c r="F23" s="494"/>
      <c r="G23" s="476"/>
      <c r="H23" s="486"/>
      <c r="I23" s="478"/>
    </row>
    <row r="24" spans="1:12" ht="18.75" x14ac:dyDescent="0.3">
      <c r="A24" s="495"/>
      <c r="B24" s="488"/>
      <c r="C24" s="481"/>
      <c r="D24" s="494"/>
      <c r="E24" s="494"/>
      <c r="F24" s="494"/>
      <c r="G24" s="476"/>
      <c r="H24" s="486"/>
      <c r="I24" s="478"/>
    </row>
    <row r="25" spans="1:12" ht="18.75" x14ac:dyDescent="0.3">
      <c r="A25" s="491"/>
      <c r="B25" s="492"/>
      <c r="C25" s="493"/>
      <c r="D25" s="496"/>
      <c r="E25" s="497"/>
      <c r="F25" s="498"/>
      <c r="G25" s="476"/>
      <c r="H25" s="486"/>
      <c r="I25" s="478"/>
    </row>
    <row r="26" spans="1:12" ht="18.75" x14ac:dyDescent="0.3">
      <c r="A26" s="499"/>
      <c r="B26" s="500"/>
      <c r="C26" s="501"/>
      <c r="D26" s="502"/>
      <c r="E26" s="503"/>
      <c r="F26" s="504"/>
      <c r="G26" s="476"/>
      <c r="H26" s="486"/>
      <c r="I26" s="478"/>
    </row>
    <row r="27" spans="1:12" ht="18.75" x14ac:dyDescent="0.3">
      <c r="A27" s="480"/>
      <c r="B27" s="480"/>
      <c r="C27" s="481"/>
      <c r="D27" s="505"/>
      <c r="E27" s="506"/>
      <c r="F27" s="507"/>
      <c r="G27" s="476"/>
      <c r="H27" s="486"/>
      <c r="I27" s="478"/>
    </row>
    <row r="28" spans="1:12" ht="18.75" x14ac:dyDescent="0.3">
      <c r="A28" s="508"/>
      <c r="B28" s="509"/>
      <c r="C28" s="510" t="s">
        <v>45</v>
      </c>
      <c r="D28" s="511"/>
      <c r="E28" s="512"/>
      <c r="F28" s="477"/>
      <c r="G28" s="476"/>
      <c r="H28" s="486"/>
      <c r="I28" s="478"/>
    </row>
    <row r="29" spans="1:12" ht="18.75" x14ac:dyDescent="0.3">
      <c r="A29" s="513">
        <v>702123</v>
      </c>
      <c r="B29" s="514" t="s">
        <v>80</v>
      </c>
      <c r="C29" s="515" t="s">
        <v>118</v>
      </c>
      <c r="D29" s="489" t="s">
        <v>277</v>
      </c>
      <c r="E29" s="516">
        <v>1</v>
      </c>
      <c r="F29" s="517" t="s">
        <v>6</v>
      </c>
      <c r="G29" s="518"/>
      <c r="H29" s="486"/>
      <c r="I29" s="478"/>
    </row>
    <row r="30" spans="1:12" ht="18.75" x14ac:dyDescent="0.3">
      <c r="A30" s="513"/>
      <c r="B30" s="514"/>
      <c r="C30" s="515"/>
      <c r="D30" s="489"/>
      <c r="E30" s="516"/>
      <c r="F30" s="517"/>
      <c r="G30" s="518"/>
      <c r="H30" s="486"/>
      <c r="I30" s="478"/>
    </row>
    <row r="31" spans="1:12" ht="18.75" x14ac:dyDescent="0.3">
      <c r="A31" s="519"/>
      <c r="B31" s="520"/>
      <c r="C31" s="521"/>
      <c r="D31" s="489"/>
      <c r="E31" s="516"/>
      <c r="F31" s="517"/>
      <c r="G31" s="518"/>
      <c r="H31" s="486"/>
      <c r="I31" s="478"/>
    </row>
    <row r="32" spans="1:12" ht="18.75" x14ac:dyDescent="0.3">
      <c r="A32" s="522"/>
      <c r="B32" s="522"/>
      <c r="C32" s="523"/>
      <c r="D32" s="489"/>
      <c r="E32" s="516"/>
      <c r="F32" s="517"/>
      <c r="G32" s="476"/>
      <c r="H32" s="486"/>
      <c r="I32" s="478"/>
    </row>
    <row r="33" spans="1:9" ht="18.75" x14ac:dyDescent="0.3">
      <c r="A33" s="522"/>
      <c r="B33" s="522"/>
      <c r="C33" s="523"/>
      <c r="D33" s="489"/>
      <c r="E33" s="516"/>
      <c r="F33" s="517"/>
      <c r="G33" s="476"/>
      <c r="H33" s="486"/>
      <c r="I33" s="478"/>
    </row>
    <row r="34" spans="1:9" ht="18.75" x14ac:dyDescent="0.3">
      <c r="A34" s="522"/>
      <c r="B34" s="522"/>
      <c r="C34" s="523"/>
      <c r="D34" s="489"/>
      <c r="E34" s="516"/>
      <c r="F34" s="517"/>
      <c r="G34" s="524"/>
      <c r="H34" s="486"/>
      <c r="I34" s="478"/>
    </row>
    <row r="35" spans="1:9" ht="18.75" x14ac:dyDescent="0.3">
      <c r="A35" s="522"/>
      <c r="B35" s="522"/>
      <c r="C35" s="523"/>
      <c r="D35" s="489"/>
      <c r="E35" s="516"/>
      <c r="F35" s="517"/>
      <c r="G35" s="525"/>
      <c r="H35" s="486"/>
      <c r="I35" s="478"/>
    </row>
    <row r="36" spans="1:9" ht="18.75" x14ac:dyDescent="0.3">
      <c r="A36" s="526"/>
      <c r="B36" s="526"/>
      <c r="C36" s="527"/>
      <c r="D36" s="489"/>
      <c r="E36" s="507"/>
      <c r="F36" s="507"/>
      <c r="G36" s="525"/>
      <c r="H36" s="486"/>
      <c r="I36" s="478"/>
    </row>
    <row r="37" spans="1:9" ht="18.75" thickBot="1" x14ac:dyDescent="0.3">
      <c r="A37" s="528"/>
      <c r="B37" s="529"/>
      <c r="C37" s="530" t="s">
        <v>56</v>
      </c>
      <c r="D37" s="530"/>
      <c r="E37" s="531"/>
      <c r="F37" s="532"/>
      <c r="G37" s="530"/>
      <c r="H37" s="530"/>
      <c r="I37" s="533"/>
    </row>
    <row r="38" spans="1:9" ht="18.75" thickBot="1" x14ac:dyDescent="0.3">
      <c r="A38" s="534"/>
      <c r="B38" s="535"/>
      <c r="C38" s="536" t="s">
        <v>56</v>
      </c>
      <c r="D38" s="537" t="s">
        <v>14</v>
      </c>
      <c r="E38" s="538" t="s">
        <v>13</v>
      </c>
      <c r="F38" s="539"/>
      <c r="G38" s="536"/>
      <c r="H38" s="536"/>
      <c r="I38" s="540"/>
    </row>
    <row r="39" spans="1:9" ht="18" x14ac:dyDescent="0.25">
      <c r="A39" s="1109" t="s">
        <v>12</v>
      </c>
      <c r="B39" s="1110"/>
      <c r="C39" s="1111"/>
      <c r="D39" s="541">
        <f>SUM(E10:E13)</f>
        <v>16264.002020610224</v>
      </c>
      <c r="E39" s="542" t="s">
        <v>1</v>
      </c>
      <c r="F39" s="1112" t="s">
        <v>11</v>
      </c>
      <c r="G39" s="1112"/>
      <c r="H39" s="1113"/>
      <c r="I39" s="1114"/>
    </row>
    <row r="40" spans="1:9" ht="18" x14ac:dyDescent="0.25">
      <c r="A40" s="1101" t="s">
        <v>10</v>
      </c>
      <c r="B40" s="1102"/>
      <c r="C40" s="1103"/>
      <c r="D40" s="490">
        <v>15</v>
      </c>
      <c r="E40" s="490" t="s">
        <v>9</v>
      </c>
      <c r="F40" s="1104" t="s">
        <v>8</v>
      </c>
      <c r="G40" s="1104"/>
      <c r="H40" s="1090"/>
      <c r="I40" s="1091"/>
    </row>
    <row r="41" spans="1:9" ht="18" x14ac:dyDescent="0.25">
      <c r="A41" s="1101" t="s">
        <v>7</v>
      </c>
      <c r="B41" s="1102"/>
      <c r="C41" s="1103"/>
      <c r="D41" s="506">
        <v>1</v>
      </c>
      <c r="E41" s="490" t="s">
        <v>92</v>
      </c>
      <c r="F41" s="1104" t="s">
        <v>5</v>
      </c>
      <c r="G41" s="1104"/>
      <c r="H41" s="1090"/>
      <c r="I41" s="1091"/>
    </row>
    <row r="42" spans="1:9" ht="18" x14ac:dyDescent="0.25">
      <c r="A42" s="1101" t="s">
        <v>4</v>
      </c>
      <c r="B42" s="1102"/>
      <c r="C42" s="1103"/>
      <c r="D42" s="506">
        <v>16263</v>
      </c>
      <c r="E42" s="490" t="s">
        <v>1</v>
      </c>
      <c r="F42" s="1105" t="s">
        <v>3</v>
      </c>
      <c r="G42" s="1106"/>
      <c r="H42" s="1107"/>
      <c r="I42" s="1108"/>
    </row>
    <row r="43" spans="1:9" ht="18.75" thickBot="1" x14ac:dyDescent="0.3">
      <c r="A43" s="1086" t="s">
        <v>2</v>
      </c>
      <c r="B43" s="1087"/>
      <c r="C43" s="1088"/>
      <c r="D43" s="543">
        <f>SUM(E10:E13)-D39</f>
        <v>0</v>
      </c>
      <c r="E43" s="544" t="s">
        <v>1</v>
      </c>
      <c r="F43" s="1089"/>
      <c r="G43" s="1089"/>
      <c r="H43" s="1090"/>
      <c r="I43" s="1091"/>
    </row>
    <row r="44" spans="1:9" ht="18.75" thickBot="1" x14ac:dyDescent="0.3">
      <c r="A44" s="1092" t="s">
        <v>0</v>
      </c>
      <c r="B44" s="1093"/>
      <c r="C44" s="1093"/>
      <c r="D44" s="1093"/>
      <c r="E44" s="1093"/>
      <c r="F44" s="1093"/>
      <c r="G44" s="1093"/>
      <c r="H44" s="1093"/>
      <c r="I44" s="1094"/>
    </row>
    <row r="45" spans="1:9" ht="14.45" customHeight="1" x14ac:dyDescent="0.3">
      <c r="A45" s="1095" t="s">
        <v>278</v>
      </c>
      <c r="B45" s="1096"/>
      <c r="C45" s="1096"/>
      <c r="D45" s="1096"/>
      <c r="E45" s="1096"/>
      <c r="F45" s="1096"/>
      <c r="G45" s="1096"/>
      <c r="H45" s="1096"/>
      <c r="I45" s="1097"/>
    </row>
    <row r="46" spans="1:9" ht="23.45" customHeight="1" x14ac:dyDescent="0.3">
      <c r="A46" s="1095" t="s">
        <v>279</v>
      </c>
      <c r="B46" s="1096"/>
      <c r="C46" s="1096"/>
      <c r="D46" s="1096"/>
      <c r="E46" s="1096"/>
      <c r="F46" s="1096"/>
      <c r="G46" s="1096"/>
      <c r="H46" s="1096"/>
      <c r="I46" s="1097"/>
    </row>
    <row r="47" spans="1:9" ht="18" customHeight="1" x14ac:dyDescent="0.3">
      <c r="A47" s="1095" t="s">
        <v>280</v>
      </c>
      <c r="B47" s="1096"/>
      <c r="C47" s="1096"/>
      <c r="D47" s="1096"/>
      <c r="E47" s="1096"/>
      <c r="F47" s="1096"/>
      <c r="G47" s="1096"/>
      <c r="H47" s="1096"/>
      <c r="I47" s="1097"/>
    </row>
    <row r="48" spans="1:9" ht="24" customHeight="1" x14ac:dyDescent="0.3">
      <c r="A48" s="1098" t="s">
        <v>281</v>
      </c>
      <c r="B48" s="1099"/>
      <c r="C48" s="1099"/>
      <c r="D48" s="1099"/>
      <c r="E48" s="1099"/>
      <c r="F48" s="1099"/>
      <c r="G48" s="1099"/>
      <c r="H48" s="1099"/>
      <c r="I48" s="1100"/>
    </row>
    <row r="49" spans="1:9" ht="23.45" customHeight="1" x14ac:dyDescent="0.3">
      <c r="A49" s="1095" t="s">
        <v>282</v>
      </c>
      <c r="B49" s="1096"/>
      <c r="C49" s="1096"/>
      <c r="D49" s="1096"/>
      <c r="E49" s="1096"/>
      <c r="F49" s="1096"/>
      <c r="G49" s="1096"/>
      <c r="H49" s="1096"/>
      <c r="I49" s="1097"/>
    </row>
    <row r="50" spans="1:9" ht="23.45" customHeight="1" x14ac:dyDescent="0.3">
      <c r="A50" s="1095" t="s">
        <v>283</v>
      </c>
      <c r="B50" s="1096"/>
      <c r="C50" s="1096"/>
      <c r="D50" s="1096"/>
      <c r="E50" s="1096"/>
      <c r="F50" s="1096"/>
      <c r="G50" s="1096"/>
      <c r="H50" s="1096"/>
      <c r="I50" s="1097"/>
    </row>
    <row r="51" spans="1:9" ht="14.45" customHeight="1" x14ac:dyDescent="0.25">
      <c r="A51" s="1079"/>
      <c r="B51" s="1079"/>
      <c r="C51" s="1079"/>
      <c r="D51" s="1079"/>
      <c r="E51" s="1079"/>
      <c r="F51" s="1079"/>
      <c r="G51" s="1079"/>
      <c r="H51" s="1079"/>
      <c r="I51" s="1079"/>
    </row>
    <row r="52" spans="1:9" ht="14.45" customHeight="1" x14ac:dyDescent="0.25">
      <c r="A52" s="1079"/>
      <c r="B52" s="1079"/>
      <c r="C52" s="1079"/>
      <c r="D52" s="1079"/>
      <c r="E52" s="1079"/>
      <c r="F52" s="1079"/>
      <c r="G52" s="1079"/>
      <c r="H52" s="1079"/>
      <c r="I52" s="1079"/>
    </row>
    <row r="53" spans="1:9" ht="18" customHeight="1" x14ac:dyDescent="0.25">
      <c r="A53" s="1079"/>
      <c r="B53" s="1079"/>
      <c r="C53" s="1079"/>
      <c r="D53" s="1079"/>
      <c r="E53" s="1079"/>
      <c r="F53" s="1079"/>
      <c r="G53" s="1079"/>
      <c r="H53" s="1079"/>
      <c r="I53" s="1079"/>
    </row>
    <row r="54" spans="1:9" ht="14.45" customHeight="1" x14ac:dyDescent="0.25">
      <c r="A54" s="1079"/>
      <c r="B54" s="1079"/>
      <c r="C54" s="1079"/>
      <c r="D54" s="1079"/>
      <c r="E54" s="1079"/>
      <c r="F54" s="1079"/>
      <c r="G54" s="1079"/>
      <c r="H54" s="1079"/>
      <c r="I54" s="1079"/>
    </row>
    <row r="55" spans="1:9" ht="14.45" customHeight="1" thickBot="1" x14ac:dyDescent="0.3">
      <c r="A55" s="1080"/>
      <c r="B55" s="1081"/>
      <c r="C55" s="1081"/>
      <c r="D55" s="1081"/>
      <c r="E55" s="1081"/>
      <c r="F55" s="1081"/>
      <c r="G55" s="1081"/>
      <c r="H55" s="1081"/>
      <c r="I55" s="1082"/>
    </row>
    <row r="56" spans="1:9" ht="14.45" customHeight="1" x14ac:dyDescent="0.25">
      <c r="A56" s="1083" t="s">
        <v>37</v>
      </c>
      <c r="B56" s="1084"/>
      <c r="C56" s="1084"/>
      <c r="D56" s="1084"/>
      <c r="E56" s="1084"/>
      <c r="F56" s="1084"/>
      <c r="G56" s="1084"/>
      <c r="H56" s="1084"/>
      <c r="I56" s="1084"/>
    </row>
    <row r="57" spans="1:9" ht="18" x14ac:dyDescent="0.25">
      <c r="A57" s="1085" t="s">
        <v>284</v>
      </c>
      <c r="B57" s="1085"/>
      <c r="C57" s="1085"/>
      <c r="D57" s="1085"/>
      <c r="E57" s="1085"/>
      <c r="F57" s="1085"/>
      <c r="G57" s="1085"/>
      <c r="H57" s="1085"/>
      <c r="I57" s="1085"/>
    </row>
    <row r="58" spans="1:9" ht="18" x14ac:dyDescent="0.25">
      <c r="A58" s="1076" t="s">
        <v>285</v>
      </c>
      <c r="B58" s="1077"/>
      <c r="C58" s="1077"/>
      <c r="D58" s="1077"/>
      <c r="E58" s="1077"/>
      <c r="F58" s="1077"/>
      <c r="G58" s="1077"/>
      <c r="H58" s="1077"/>
      <c r="I58" s="1078"/>
    </row>
    <row r="59" spans="1:9" ht="18" x14ac:dyDescent="0.25">
      <c r="A59" s="1076" t="s">
        <v>286</v>
      </c>
      <c r="B59" s="1077"/>
      <c r="C59" s="1077"/>
      <c r="D59" s="1077"/>
      <c r="E59" s="1077"/>
      <c r="F59" s="1077"/>
      <c r="G59" s="1077"/>
      <c r="H59" s="1077"/>
      <c r="I59" s="1078"/>
    </row>
  </sheetData>
  <mergeCells count="4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9:I59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1A92-E322-4525-B98A-85F5927CBD8C}">
  <dimension ref="A1:I58"/>
  <sheetViews>
    <sheetView workbookViewId="0">
      <selection activeCell="H20" sqref="H20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33.7109375" bestFit="1" customWidth="1"/>
    <col min="9" max="9" width="17.42578125" bestFit="1" customWidth="1"/>
  </cols>
  <sheetData>
    <row r="1" spans="1:9" ht="15.75" x14ac:dyDescent="0.25">
      <c r="A1" s="909"/>
      <c r="B1" s="910"/>
      <c r="C1" s="859" t="s">
        <v>33</v>
      </c>
      <c r="D1" s="859"/>
      <c r="E1" s="859"/>
      <c r="F1" s="859"/>
      <c r="G1" s="859"/>
      <c r="H1" s="113" t="s">
        <v>32</v>
      </c>
      <c r="I1" s="114" t="s">
        <v>304</v>
      </c>
    </row>
    <row r="2" spans="1:9" ht="18" customHeight="1" thickBot="1" x14ac:dyDescent="0.3">
      <c r="A2" s="911"/>
      <c r="B2" s="912"/>
      <c r="C2" s="915" t="s">
        <v>31</v>
      </c>
      <c r="D2" s="916"/>
      <c r="E2" s="916"/>
      <c r="F2" s="916"/>
      <c r="G2" s="917"/>
      <c r="H2" s="115" t="s">
        <v>30</v>
      </c>
      <c r="I2" s="116" t="s">
        <v>200</v>
      </c>
    </row>
    <row r="3" spans="1:9" ht="31.5" customHeight="1" thickBot="1" x14ac:dyDescent="0.3">
      <c r="A3" s="911"/>
      <c r="B3" s="912"/>
      <c r="C3" s="1147" t="s">
        <v>305</v>
      </c>
      <c r="D3" s="1147"/>
      <c r="E3" s="1147"/>
      <c r="F3" s="1147"/>
      <c r="G3" s="1148"/>
      <c r="H3" s="920" t="s">
        <v>29</v>
      </c>
      <c r="I3" s="900">
        <v>45613</v>
      </c>
    </row>
    <row r="4" spans="1:9" ht="18" customHeight="1" x14ac:dyDescent="0.25">
      <c r="A4" s="911"/>
      <c r="B4" s="912"/>
      <c r="C4" s="117" t="s">
        <v>28</v>
      </c>
      <c r="D4" s="903" t="s">
        <v>41</v>
      </c>
      <c r="E4" s="904"/>
      <c r="F4" s="904"/>
      <c r="G4" s="905"/>
      <c r="H4" s="921"/>
      <c r="I4" s="901"/>
    </row>
    <row r="5" spans="1:9" ht="15.75" thickBot="1" x14ac:dyDescent="0.3">
      <c r="A5" s="913"/>
      <c r="B5" s="914"/>
      <c r="C5" s="118" t="s">
        <v>27</v>
      </c>
      <c r="D5" s="906" t="s">
        <v>26</v>
      </c>
      <c r="E5" s="907"/>
      <c r="F5" s="907"/>
      <c r="G5" s="908"/>
      <c r="H5" s="922"/>
      <c r="I5" s="902"/>
    </row>
    <row r="6" spans="1:9" ht="18.75" thickBot="1" x14ac:dyDescent="0.3">
      <c r="A6" s="923" t="s">
        <v>25</v>
      </c>
      <c r="B6" s="923"/>
      <c r="C6" s="923"/>
      <c r="D6" s="924" t="s">
        <v>44</v>
      </c>
      <c r="E6" s="924"/>
      <c r="F6" s="924"/>
      <c r="G6" s="925" t="s">
        <v>24</v>
      </c>
      <c r="H6" s="925"/>
      <c r="I6" s="119" t="s">
        <v>256</v>
      </c>
    </row>
    <row r="7" spans="1:9" ht="25.5" x14ac:dyDescent="0.25">
      <c r="A7" s="926" t="s">
        <v>23</v>
      </c>
      <c r="B7" s="928" t="s">
        <v>35</v>
      </c>
      <c r="C7" s="930" t="s">
        <v>22</v>
      </c>
      <c r="D7" s="930" t="s">
        <v>21</v>
      </c>
      <c r="E7" s="930" t="s">
        <v>20</v>
      </c>
      <c r="F7" s="930"/>
      <c r="G7" s="930" t="s">
        <v>19</v>
      </c>
      <c r="H7" s="930"/>
      <c r="I7" s="120" t="s">
        <v>18</v>
      </c>
    </row>
    <row r="8" spans="1:9" ht="27" thickBot="1" x14ac:dyDescent="0.3">
      <c r="A8" s="927"/>
      <c r="B8" s="1042"/>
      <c r="C8" s="1043"/>
      <c r="D8" s="1043"/>
      <c r="E8" s="121" t="s">
        <v>14</v>
      </c>
      <c r="F8" s="122" t="s">
        <v>17</v>
      </c>
      <c r="G8" s="121" t="s">
        <v>14</v>
      </c>
      <c r="H8" s="122" t="s">
        <v>17</v>
      </c>
      <c r="I8" s="123" t="s">
        <v>16</v>
      </c>
    </row>
    <row r="9" spans="1:9" x14ac:dyDescent="0.25">
      <c r="A9" s="124"/>
      <c r="B9" s="125"/>
      <c r="C9" s="126" t="s">
        <v>36</v>
      </c>
      <c r="D9" s="127"/>
      <c r="E9" s="82"/>
      <c r="F9" s="83"/>
      <c r="G9" s="82"/>
      <c r="H9" s="83"/>
      <c r="I9" s="128"/>
    </row>
    <row r="10" spans="1:9" ht="18" customHeight="1" x14ac:dyDescent="0.25">
      <c r="A10" s="145" t="s">
        <v>306</v>
      </c>
      <c r="B10" s="236" t="s">
        <v>307</v>
      </c>
      <c r="C10" s="147" t="s">
        <v>308</v>
      </c>
      <c r="D10" s="148" t="s">
        <v>15</v>
      </c>
      <c r="E10" s="551">
        <v>1600</v>
      </c>
      <c r="F10" s="240" t="s">
        <v>1</v>
      </c>
      <c r="G10" s="133"/>
      <c r="H10" s="134"/>
      <c r="I10" s="128"/>
    </row>
    <row r="11" spans="1:9" x14ac:dyDescent="0.25">
      <c r="A11" s="145"/>
      <c r="B11" s="547"/>
      <c r="C11" s="548" t="s">
        <v>309</v>
      </c>
      <c r="D11" s="148" t="s">
        <v>15</v>
      </c>
      <c r="E11" s="149">
        <v>1600</v>
      </c>
      <c r="F11" s="150" t="s">
        <v>1</v>
      </c>
      <c r="G11" s="133"/>
      <c r="H11" s="134"/>
      <c r="I11" s="128"/>
    </row>
    <row r="12" spans="1:9" x14ac:dyDescent="0.25">
      <c r="A12" s="145" t="s">
        <v>310</v>
      </c>
      <c r="B12" s="547" t="s">
        <v>297</v>
      </c>
      <c r="C12" s="548" t="s">
        <v>311</v>
      </c>
      <c r="D12" s="148" t="s">
        <v>312</v>
      </c>
      <c r="E12" s="149">
        <v>3</v>
      </c>
      <c r="F12" s="150" t="s">
        <v>1</v>
      </c>
      <c r="G12" s="63"/>
      <c r="H12" s="134"/>
      <c r="I12" s="128"/>
    </row>
    <row r="13" spans="1:9" x14ac:dyDescent="0.25">
      <c r="A13" s="145"/>
      <c r="B13" s="547"/>
      <c r="C13" s="548"/>
      <c r="D13" s="148"/>
      <c r="E13" s="149"/>
      <c r="F13" s="150"/>
      <c r="G13" s="63"/>
      <c r="H13" s="134"/>
      <c r="I13" s="128"/>
    </row>
    <row r="14" spans="1:9" x14ac:dyDescent="0.25">
      <c r="A14" s="232"/>
      <c r="B14" s="228"/>
      <c r="C14" s="233"/>
      <c r="D14" s="63"/>
      <c r="E14" s="63"/>
      <c r="F14" s="234"/>
      <c r="G14" s="63"/>
      <c r="H14" s="134"/>
      <c r="I14" s="128"/>
    </row>
    <row r="15" spans="1:9" x14ac:dyDescent="0.25">
      <c r="A15" s="550"/>
      <c r="B15" s="228"/>
      <c r="C15" s="546"/>
      <c r="D15" s="63"/>
      <c r="E15" s="63"/>
      <c r="F15" s="234"/>
      <c r="G15" s="63"/>
      <c r="H15" s="134"/>
      <c r="I15" s="128"/>
    </row>
    <row r="16" spans="1:9" x14ac:dyDescent="0.25">
      <c r="A16" s="63"/>
      <c r="B16" s="63"/>
      <c r="C16" s="545"/>
      <c r="D16" s="112"/>
      <c r="E16" s="112"/>
      <c r="F16" s="133"/>
      <c r="G16" s="63"/>
      <c r="H16" s="134"/>
      <c r="I16" s="128"/>
    </row>
    <row r="17" spans="1:9" x14ac:dyDescent="0.25">
      <c r="A17" s="228"/>
      <c r="B17" s="228"/>
      <c r="C17" s="549"/>
      <c r="D17" s="63"/>
      <c r="E17" s="63"/>
      <c r="F17" s="234"/>
      <c r="G17" s="63"/>
      <c r="H17" s="134"/>
      <c r="I17" s="128"/>
    </row>
    <row r="18" spans="1:9" x14ac:dyDescent="0.25">
      <c r="A18" s="232"/>
      <c r="B18" s="228"/>
      <c r="C18" s="233"/>
      <c r="D18" s="63"/>
      <c r="E18" s="63"/>
      <c r="F18" s="234"/>
      <c r="G18" s="63"/>
      <c r="H18" s="134"/>
      <c r="I18" s="128"/>
    </row>
    <row r="19" spans="1:9" ht="15.75" x14ac:dyDescent="0.25">
      <c r="A19" s="2"/>
      <c r="B19" s="2"/>
      <c r="C19" s="1"/>
      <c r="D19" s="427"/>
      <c r="E19" s="25"/>
      <c r="F19" s="3"/>
      <c r="G19" s="82"/>
      <c r="H19" s="134"/>
      <c r="I19" s="128"/>
    </row>
    <row r="20" spans="1:9" ht="15.75" x14ac:dyDescent="0.25">
      <c r="A20" s="137"/>
      <c r="B20" s="138"/>
      <c r="C20" s="139" t="s">
        <v>44</v>
      </c>
      <c r="D20" s="142"/>
      <c r="E20" s="143"/>
      <c r="F20" s="144"/>
      <c r="G20" s="82"/>
      <c r="H20" s="83"/>
      <c r="I20" s="128"/>
    </row>
    <row r="21" spans="1:9" x14ac:dyDescent="0.25">
      <c r="A21" s="145"/>
      <c r="B21" s="146"/>
      <c r="C21" s="147"/>
      <c r="D21" s="148"/>
      <c r="E21" s="149"/>
      <c r="F21" s="150"/>
      <c r="G21" s="82"/>
      <c r="H21" s="83"/>
      <c r="I21" s="128"/>
    </row>
    <row r="22" spans="1:9" x14ac:dyDescent="0.25">
      <c r="A22" s="145"/>
      <c r="B22" s="146"/>
      <c r="C22" s="147"/>
      <c r="D22" s="148"/>
      <c r="E22" s="62"/>
      <c r="F22" s="150"/>
      <c r="G22" s="82"/>
      <c r="H22" s="83"/>
      <c r="I22" s="128"/>
    </row>
    <row r="23" spans="1:9" x14ac:dyDescent="0.25">
      <c r="A23" s="145"/>
      <c r="B23" s="146"/>
      <c r="C23" s="147"/>
      <c r="D23" s="148"/>
      <c r="E23" s="149"/>
      <c r="F23" s="150"/>
      <c r="G23" s="82"/>
      <c r="H23" s="83"/>
      <c r="I23" s="128"/>
    </row>
    <row r="24" spans="1:9" x14ac:dyDescent="0.25">
      <c r="A24" s="145"/>
      <c r="B24" s="146"/>
      <c r="C24" s="147"/>
      <c r="D24" s="148"/>
      <c r="E24" s="401"/>
      <c r="F24" s="402"/>
      <c r="G24" s="82"/>
      <c r="H24" s="83"/>
      <c r="I24" s="128"/>
    </row>
    <row r="25" spans="1:9" x14ac:dyDescent="0.25">
      <c r="A25" s="145"/>
      <c r="B25" s="146"/>
      <c r="C25" s="147"/>
      <c r="D25" s="148"/>
      <c r="E25" s="551"/>
      <c r="F25" s="402"/>
      <c r="G25" s="82"/>
      <c r="H25" s="83"/>
      <c r="I25" s="128"/>
    </row>
    <row r="26" spans="1:9" x14ac:dyDescent="0.25">
      <c r="A26" s="189"/>
      <c r="B26" s="189"/>
      <c r="D26" s="247"/>
      <c r="E26" s="552"/>
      <c r="F26" s="110"/>
      <c r="G26" s="82"/>
      <c r="H26" s="83"/>
      <c r="I26" s="128"/>
    </row>
    <row r="27" spans="1:9" x14ac:dyDescent="0.25">
      <c r="A27" s="2"/>
      <c r="B27" s="2"/>
      <c r="C27" s="1"/>
      <c r="D27" s="111"/>
      <c r="E27" s="109"/>
      <c r="F27" s="110"/>
      <c r="G27" s="82"/>
      <c r="H27" s="83"/>
      <c r="I27" s="128"/>
    </row>
    <row r="28" spans="1:9" x14ac:dyDescent="0.25">
      <c r="A28" s="2"/>
      <c r="B28" s="2"/>
      <c r="C28" s="1"/>
      <c r="D28" s="111"/>
      <c r="E28" s="62"/>
      <c r="F28" s="151"/>
      <c r="G28" s="82"/>
      <c r="H28" s="83"/>
      <c r="I28" s="128"/>
    </row>
    <row r="29" spans="1:9" ht="15.75" x14ac:dyDescent="0.25">
      <c r="A29" s="152"/>
      <c r="B29" s="153"/>
      <c r="C29" s="154" t="s">
        <v>45</v>
      </c>
      <c r="D29" s="155"/>
      <c r="E29" s="156"/>
      <c r="F29" s="83"/>
      <c r="G29" s="82"/>
      <c r="I29" s="128"/>
    </row>
    <row r="30" spans="1:9" x14ac:dyDescent="0.25">
      <c r="A30" s="199"/>
      <c r="B30" s="199"/>
      <c r="C30" s="89"/>
      <c r="D30" s="200"/>
      <c r="E30" s="201"/>
      <c r="F30" s="553"/>
      <c r="G30" s="160"/>
      <c r="H30" s="83"/>
      <c r="I30" s="128"/>
    </row>
    <row r="31" spans="1:9" x14ac:dyDescent="0.25">
      <c r="A31" s="199"/>
      <c r="B31" s="199"/>
      <c r="C31" s="89"/>
      <c r="D31" s="200"/>
      <c r="E31" s="201"/>
      <c r="F31" s="553"/>
      <c r="G31" s="160"/>
      <c r="H31" s="83"/>
      <c r="I31" s="128"/>
    </row>
    <row r="32" spans="1:9" x14ac:dyDescent="0.25">
      <c r="A32" s="199"/>
      <c r="B32" s="199"/>
      <c r="C32" s="89"/>
      <c r="D32" s="200"/>
      <c r="E32" s="201"/>
      <c r="F32" s="553"/>
      <c r="G32" s="160"/>
      <c r="H32" s="83"/>
      <c r="I32" s="128"/>
    </row>
    <row r="33" spans="1:9" x14ac:dyDescent="0.25">
      <c r="A33" s="202"/>
      <c r="B33" s="202"/>
      <c r="C33" s="203"/>
      <c r="D33" s="70"/>
      <c r="E33" s="204"/>
      <c r="F33" s="205"/>
      <c r="G33" s="82"/>
      <c r="H33" s="83"/>
      <c r="I33" s="128"/>
    </row>
    <row r="34" spans="1:9" x14ac:dyDescent="0.25">
      <c r="A34" s="202"/>
      <c r="B34" s="202"/>
      <c r="C34" s="206"/>
      <c r="D34" s="70"/>
      <c r="E34" s="70"/>
      <c r="F34" s="205"/>
      <c r="G34" s="82"/>
      <c r="H34" s="83"/>
      <c r="I34" s="128"/>
    </row>
    <row r="35" spans="1:9" x14ac:dyDescent="0.25">
      <c r="A35" s="202"/>
      <c r="B35" s="202"/>
      <c r="C35" s="206"/>
      <c r="D35" s="70"/>
      <c r="E35" s="70"/>
      <c r="F35" s="205"/>
      <c r="G35" s="166"/>
      <c r="H35" s="83"/>
      <c r="I35" s="128"/>
    </row>
    <row r="36" spans="1:9" ht="15.75" x14ac:dyDescent="0.25">
      <c r="A36" s="554"/>
      <c r="B36" s="555"/>
      <c r="C36" s="556"/>
      <c r="D36" s="557"/>
      <c r="E36" s="557"/>
      <c r="F36" s="456"/>
      <c r="G36" s="167"/>
      <c r="H36" s="83"/>
      <c r="I36" s="128"/>
    </row>
    <row r="37" spans="1:9" ht="15.75" x14ac:dyDescent="0.25">
      <c r="A37" s="137"/>
      <c r="B37" s="138"/>
      <c r="C37" s="89"/>
      <c r="D37" s="70"/>
      <c r="E37" s="167"/>
      <c r="F37" s="144"/>
      <c r="G37" s="31"/>
      <c r="H37" s="83"/>
      <c r="I37" s="128"/>
    </row>
    <row r="38" spans="1:9" ht="15.75" x14ac:dyDescent="0.25">
      <c r="A38" s="137"/>
      <c r="B38" s="138"/>
      <c r="C38" s="89"/>
      <c r="D38" s="142"/>
      <c r="E38" s="142"/>
      <c r="F38" s="144"/>
      <c r="G38" s="35"/>
      <c r="H38" s="35"/>
      <c r="I38" s="128"/>
    </row>
    <row r="39" spans="1:9" ht="15.75" thickBot="1" x14ac:dyDescent="0.3">
      <c r="A39" s="170"/>
      <c r="B39" s="171"/>
      <c r="C39" s="172"/>
      <c r="D39" s="172"/>
      <c r="E39" s="173"/>
      <c r="F39" s="174"/>
      <c r="G39" s="172"/>
      <c r="H39" s="172"/>
      <c r="I39" s="175"/>
    </row>
    <row r="40" spans="1:9" ht="15.75" thickBot="1" x14ac:dyDescent="0.3">
      <c r="A40" s="176"/>
      <c r="B40" s="177"/>
      <c r="C40" s="178"/>
      <c r="D40" s="179" t="s">
        <v>14</v>
      </c>
      <c r="E40" s="180" t="s">
        <v>13</v>
      </c>
      <c r="F40" s="181"/>
      <c r="G40" s="178"/>
      <c r="H40" s="178"/>
      <c r="I40" s="182"/>
    </row>
    <row r="41" spans="1:9" x14ac:dyDescent="0.25">
      <c r="A41" s="932" t="s">
        <v>12</v>
      </c>
      <c r="B41" s="933"/>
      <c r="C41" s="934"/>
      <c r="D41" s="109">
        <v>3200</v>
      </c>
      <c r="E41" s="184" t="s">
        <v>1</v>
      </c>
      <c r="F41" s="935" t="s">
        <v>11</v>
      </c>
      <c r="G41" s="935"/>
      <c r="H41" s="936"/>
      <c r="I41" s="937"/>
    </row>
    <row r="42" spans="1:9" x14ac:dyDescent="0.25">
      <c r="A42" s="938" t="s">
        <v>10</v>
      </c>
      <c r="B42" s="939"/>
      <c r="C42" s="940"/>
      <c r="D42" s="63">
        <v>5</v>
      </c>
      <c r="E42" s="63" t="s">
        <v>57</v>
      </c>
      <c r="F42" s="941" t="s">
        <v>8</v>
      </c>
      <c r="G42" s="941"/>
      <c r="H42" s="942"/>
      <c r="I42" s="943"/>
    </row>
    <row r="43" spans="1:9" x14ac:dyDescent="0.25">
      <c r="A43" s="938" t="s">
        <v>7</v>
      </c>
      <c r="B43" s="939"/>
      <c r="C43" s="940"/>
      <c r="D43" s="63">
        <v>10</v>
      </c>
      <c r="E43" s="63" t="s">
        <v>313</v>
      </c>
      <c r="F43" s="941" t="s">
        <v>5</v>
      </c>
      <c r="G43" s="941"/>
      <c r="H43" s="942"/>
      <c r="I43" s="943"/>
    </row>
    <row r="44" spans="1:9" x14ac:dyDescent="0.25">
      <c r="A44" s="938" t="s">
        <v>4</v>
      </c>
      <c r="B44" s="939"/>
      <c r="C44" s="940"/>
      <c r="D44" s="62">
        <v>320</v>
      </c>
      <c r="E44" s="63" t="s">
        <v>1</v>
      </c>
      <c r="F44" s="947" t="s">
        <v>3</v>
      </c>
      <c r="G44" s="948"/>
      <c r="H44" s="1040"/>
      <c r="I44" s="1041"/>
    </row>
    <row r="45" spans="1:9" ht="15.75" thickBot="1" x14ac:dyDescent="0.3">
      <c r="A45" s="951" t="s">
        <v>2</v>
      </c>
      <c r="B45" s="952"/>
      <c r="C45" s="953"/>
      <c r="D45" s="185">
        <v>3</v>
      </c>
      <c r="E45" s="186" t="s">
        <v>1</v>
      </c>
      <c r="F45" s="954"/>
      <c r="G45" s="954"/>
      <c r="H45" s="942"/>
      <c r="I45" s="943"/>
    </row>
    <row r="46" spans="1:9" ht="15.75" thickBot="1" x14ac:dyDescent="0.3">
      <c r="A46" s="955" t="s">
        <v>0</v>
      </c>
      <c r="B46" s="956"/>
      <c r="C46" s="956"/>
      <c r="D46" s="956"/>
      <c r="E46" s="956"/>
      <c r="F46" s="956"/>
      <c r="G46" s="956"/>
      <c r="H46" s="956"/>
      <c r="I46" s="957"/>
    </row>
    <row r="47" spans="1:9" ht="18.399999999999999" customHeight="1" x14ac:dyDescent="0.25">
      <c r="A47" s="944" t="s">
        <v>314</v>
      </c>
      <c r="B47" s="945"/>
      <c r="C47" s="945"/>
      <c r="D47" s="945"/>
      <c r="E47" s="945"/>
      <c r="F47" s="945"/>
      <c r="G47" s="945"/>
      <c r="H47" s="945"/>
      <c r="I47" s="946"/>
    </row>
    <row r="48" spans="1:9" ht="14.65" customHeight="1" x14ac:dyDescent="0.25">
      <c r="A48" s="944"/>
      <c r="B48" s="945"/>
      <c r="C48" s="945"/>
      <c r="D48" s="945"/>
      <c r="E48" s="945"/>
      <c r="F48" s="945"/>
      <c r="G48" s="945"/>
      <c r="H48" s="945"/>
      <c r="I48" s="946"/>
    </row>
    <row r="49" spans="1:9" ht="14.65" customHeight="1" x14ac:dyDescent="0.25">
      <c r="A49" s="944"/>
      <c r="B49" s="945"/>
      <c r="C49" s="945"/>
      <c r="D49" s="945"/>
      <c r="E49" s="945"/>
      <c r="F49" s="945"/>
      <c r="G49" s="945"/>
      <c r="H49" s="945"/>
      <c r="I49" s="946"/>
    </row>
    <row r="50" spans="1:9" ht="14.65" customHeight="1" x14ac:dyDescent="0.25">
      <c r="A50" s="944"/>
      <c r="B50" s="945"/>
      <c r="C50" s="945"/>
      <c r="D50" s="945"/>
      <c r="E50" s="945"/>
      <c r="F50" s="945"/>
      <c r="G50" s="945"/>
      <c r="H50" s="945"/>
      <c r="I50" s="946"/>
    </row>
    <row r="51" spans="1:9" ht="14.65" customHeight="1" x14ac:dyDescent="0.25">
      <c r="A51" s="944"/>
      <c r="B51" s="945"/>
      <c r="C51" s="945"/>
      <c r="D51" s="945"/>
      <c r="E51" s="945"/>
      <c r="F51" s="945"/>
      <c r="G51" s="945"/>
      <c r="H51" s="945"/>
      <c r="I51" s="946"/>
    </row>
    <row r="52" spans="1:9" ht="14.65" customHeight="1" thickBot="1" x14ac:dyDescent="0.3">
      <c r="A52" s="1142"/>
      <c r="B52" s="1143"/>
      <c r="C52" s="1144"/>
      <c r="D52" s="1144"/>
      <c r="E52" s="1144"/>
      <c r="F52" s="1144"/>
      <c r="G52" s="1144"/>
      <c r="H52" s="1144"/>
      <c r="I52" s="1145"/>
    </row>
    <row r="53" spans="1:9" ht="18" customHeight="1" x14ac:dyDescent="0.25">
      <c r="A53" s="1146"/>
      <c r="B53" s="1027"/>
      <c r="C53" s="1027"/>
      <c r="D53" s="1027"/>
      <c r="E53" s="1027"/>
      <c r="F53" s="1027"/>
      <c r="G53" s="1027"/>
      <c r="H53" s="1027"/>
      <c r="I53" s="1028"/>
    </row>
    <row r="54" spans="1:9" ht="15.75" thickBot="1" x14ac:dyDescent="0.3">
      <c r="A54" s="970"/>
      <c r="B54" s="971"/>
      <c r="C54" s="971"/>
      <c r="D54" s="971"/>
      <c r="E54" s="971"/>
      <c r="F54" s="971"/>
      <c r="G54" s="971"/>
      <c r="H54" s="971"/>
      <c r="I54" s="972"/>
    </row>
    <row r="55" spans="1:9" ht="15.75" thickBot="1" x14ac:dyDescent="0.3">
      <c r="A55" s="958"/>
      <c r="B55" s="959"/>
      <c r="C55" s="959"/>
      <c r="D55" s="959"/>
      <c r="E55" s="959"/>
      <c r="F55" s="959"/>
      <c r="G55" s="959"/>
      <c r="H55" s="959"/>
      <c r="I55" s="960"/>
    </row>
    <row r="56" spans="1:9" x14ac:dyDescent="0.25">
      <c r="A56" s="806" t="s">
        <v>37</v>
      </c>
      <c r="B56" s="807"/>
      <c r="C56" s="807"/>
      <c r="D56" s="807"/>
      <c r="E56" s="807"/>
      <c r="F56" s="807"/>
      <c r="G56" s="807"/>
      <c r="H56" s="807"/>
      <c r="I56" s="807"/>
    </row>
    <row r="57" spans="1:9" x14ac:dyDescent="0.25">
      <c r="A57" s="782"/>
      <c r="B57" s="783"/>
      <c r="C57" s="783"/>
      <c r="D57" s="783"/>
      <c r="E57" s="783"/>
      <c r="F57" s="783"/>
      <c r="G57" s="783"/>
      <c r="H57" s="783"/>
      <c r="I57" s="783"/>
    </row>
    <row r="58" spans="1:9" x14ac:dyDescent="0.25">
      <c r="A58" s="782"/>
      <c r="B58" s="783"/>
      <c r="C58" s="783"/>
      <c r="D58" s="783"/>
      <c r="E58" s="783"/>
      <c r="F58" s="783"/>
      <c r="G58" s="783"/>
      <c r="H58" s="783"/>
      <c r="I58" s="78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36F2-7FC6-4A8E-BB1B-0BEE506F35EA}">
  <dimension ref="A1:I60"/>
  <sheetViews>
    <sheetView workbookViewId="0">
      <selection activeCell="C12" sqref="C12"/>
    </sheetView>
  </sheetViews>
  <sheetFormatPr baseColWidth="10" defaultRowHeight="15" x14ac:dyDescent="0.25"/>
  <cols>
    <col min="1" max="1" width="13.85546875" bestFit="1" customWidth="1"/>
    <col min="2" max="2" width="14.42578125" bestFit="1" customWidth="1"/>
    <col min="3" max="3" width="49" customWidth="1"/>
    <col min="4" max="4" width="34.42578125" bestFit="1" customWidth="1"/>
    <col min="8" max="8" width="47.5703125" bestFit="1" customWidth="1"/>
    <col min="9" max="9" width="23.28515625" bestFit="1" customWidth="1"/>
  </cols>
  <sheetData>
    <row r="1" spans="1:9" ht="18.75" x14ac:dyDescent="0.25">
      <c r="A1" s="1202"/>
      <c r="B1" s="1203"/>
      <c r="C1" s="1208" t="s">
        <v>33</v>
      </c>
      <c r="D1" s="1208"/>
      <c r="E1" s="1208"/>
      <c r="F1" s="1208"/>
      <c r="G1" s="1208"/>
      <c r="H1" s="558" t="s">
        <v>32</v>
      </c>
      <c r="I1" s="559" t="s">
        <v>315</v>
      </c>
    </row>
    <row r="2" spans="1:9" ht="18" customHeight="1" thickBot="1" x14ac:dyDescent="0.3">
      <c r="A2" s="1204"/>
      <c r="B2" s="1205"/>
      <c r="C2" s="1209" t="s">
        <v>31</v>
      </c>
      <c r="D2" s="1210"/>
      <c r="E2" s="1210"/>
      <c r="F2" s="1210"/>
      <c r="G2" s="1211"/>
      <c r="H2" s="560" t="s">
        <v>30</v>
      </c>
      <c r="I2" s="561" t="s">
        <v>316</v>
      </c>
    </row>
    <row r="3" spans="1:9" ht="31.5" customHeight="1" thickBot="1" x14ac:dyDescent="0.3">
      <c r="A3" s="1204"/>
      <c r="B3" s="1205"/>
      <c r="C3" s="1212" t="s">
        <v>317</v>
      </c>
      <c r="D3" s="1213"/>
      <c r="E3" s="1213"/>
      <c r="F3" s="1213"/>
      <c r="G3" s="1214"/>
      <c r="H3" s="1215" t="s">
        <v>29</v>
      </c>
      <c r="I3" s="1196">
        <v>45615</v>
      </c>
    </row>
    <row r="4" spans="1:9" ht="18" customHeight="1" x14ac:dyDescent="0.25">
      <c r="A4" s="1204"/>
      <c r="B4" s="1205"/>
      <c r="C4" s="562" t="s">
        <v>28</v>
      </c>
      <c r="D4" s="1199" t="s">
        <v>41</v>
      </c>
      <c r="E4" s="1200"/>
      <c r="F4" s="1200"/>
      <c r="G4" s="1201"/>
      <c r="H4" s="1216"/>
      <c r="I4" s="1197"/>
    </row>
    <row r="5" spans="1:9" ht="19.5" thickBot="1" x14ac:dyDescent="0.3">
      <c r="A5" s="1206"/>
      <c r="B5" s="1207"/>
      <c r="C5" s="563" t="s">
        <v>27</v>
      </c>
      <c r="D5" s="1151" t="s">
        <v>26</v>
      </c>
      <c r="E5" s="1152"/>
      <c r="F5" s="1152"/>
      <c r="G5" s="1153"/>
      <c r="H5" s="1217"/>
      <c r="I5" s="1198"/>
    </row>
    <row r="6" spans="1:9" ht="20.25" thickBot="1" x14ac:dyDescent="0.35">
      <c r="A6" s="1187" t="s">
        <v>25</v>
      </c>
      <c r="B6" s="1187"/>
      <c r="C6" s="1187"/>
      <c r="D6" s="1188" t="s">
        <v>318</v>
      </c>
      <c r="E6" s="1188"/>
      <c r="F6" s="1188"/>
      <c r="G6" s="1189" t="s">
        <v>24</v>
      </c>
      <c r="H6" s="1189"/>
      <c r="I6" s="564" t="s">
        <v>318</v>
      </c>
    </row>
    <row r="7" spans="1:9" ht="37.5" x14ac:dyDescent="0.25">
      <c r="A7" s="1190" t="s">
        <v>23</v>
      </c>
      <c r="B7" s="1192" t="s">
        <v>35</v>
      </c>
      <c r="C7" s="1194" t="s">
        <v>22</v>
      </c>
      <c r="D7" s="1194" t="s">
        <v>21</v>
      </c>
      <c r="E7" s="1194" t="s">
        <v>20</v>
      </c>
      <c r="F7" s="1194"/>
      <c r="G7" s="1194" t="s">
        <v>19</v>
      </c>
      <c r="H7" s="1194"/>
      <c r="I7" s="565" t="s">
        <v>18</v>
      </c>
    </row>
    <row r="8" spans="1:9" ht="57" thickBot="1" x14ac:dyDescent="0.3">
      <c r="A8" s="1191"/>
      <c r="B8" s="1193"/>
      <c r="C8" s="1195"/>
      <c r="D8" s="1195"/>
      <c r="E8" s="566" t="s">
        <v>14</v>
      </c>
      <c r="F8" s="567" t="s">
        <v>17</v>
      </c>
      <c r="G8" s="566" t="s">
        <v>14</v>
      </c>
      <c r="H8" s="567" t="s">
        <v>17</v>
      </c>
      <c r="I8" s="568" t="s">
        <v>16</v>
      </c>
    </row>
    <row r="9" spans="1:9" ht="18.399999999999999" customHeight="1" x14ac:dyDescent="0.3">
      <c r="A9" s="569"/>
      <c r="B9" s="570"/>
      <c r="C9" s="571" t="s">
        <v>36</v>
      </c>
      <c r="D9" s="572"/>
      <c r="E9" s="573"/>
      <c r="F9" s="574"/>
      <c r="G9" s="573"/>
      <c r="H9" s="574"/>
      <c r="I9" s="575"/>
    </row>
    <row r="10" spans="1:9" ht="18" customHeight="1" x14ac:dyDescent="0.3">
      <c r="A10" s="576">
        <v>11400047</v>
      </c>
      <c r="B10" s="576" t="s">
        <v>290</v>
      </c>
      <c r="C10" s="577" t="s">
        <v>319</v>
      </c>
      <c r="D10" s="578" t="s">
        <v>238</v>
      </c>
      <c r="E10" s="579">
        <v>12230</v>
      </c>
      <c r="F10" s="580" t="s">
        <v>320</v>
      </c>
      <c r="G10" s="581"/>
      <c r="H10" s="582"/>
      <c r="I10" s="575"/>
    </row>
    <row r="11" spans="1:9" ht="19.5" x14ac:dyDescent="0.3">
      <c r="A11" s="583" t="s">
        <v>321</v>
      </c>
      <c r="B11" s="584" t="s">
        <v>287</v>
      </c>
      <c r="C11" s="585" t="s">
        <v>322</v>
      </c>
      <c r="D11" s="586" t="s">
        <v>289</v>
      </c>
      <c r="E11" s="587">
        <v>17430</v>
      </c>
      <c r="F11" s="588" t="s">
        <v>1</v>
      </c>
      <c r="G11" s="581"/>
      <c r="H11" s="582"/>
      <c r="I11" s="575"/>
    </row>
    <row r="12" spans="1:9" ht="19.5" x14ac:dyDescent="0.3">
      <c r="A12" s="589">
        <v>11400046</v>
      </c>
      <c r="B12" s="590" t="s">
        <v>323</v>
      </c>
      <c r="C12" s="591" t="s">
        <v>324</v>
      </c>
      <c r="D12" s="592" t="s">
        <v>289</v>
      </c>
      <c r="E12" s="592">
        <v>17430</v>
      </c>
      <c r="F12" s="592" t="s">
        <v>1</v>
      </c>
      <c r="G12" s="593"/>
      <c r="H12" s="582"/>
      <c r="I12" s="575"/>
    </row>
    <row r="13" spans="1:9" ht="19.5" x14ac:dyDescent="0.3">
      <c r="A13" s="589">
        <v>11400031</v>
      </c>
      <c r="B13" s="590" t="s">
        <v>325</v>
      </c>
      <c r="C13" s="591" t="s">
        <v>326</v>
      </c>
      <c r="D13" s="592" t="s">
        <v>327</v>
      </c>
      <c r="E13" s="592">
        <v>14000</v>
      </c>
      <c r="F13" s="592" t="s">
        <v>1</v>
      </c>
      <c r="G13" s="593"/>
      <c r="H13" s="582"/>
      <c r="I13" s="575"/>
    </row>
    <row r="14" spans="1:9" ht="19.5" x14ac:dyDescent="0.3">
      <c r="A14" s="594">
        <v>90100131</v>
      </c>
      <c r="B14" s="594" t="s">
        <v>328</v>
      </c>
      <c r="C14" s="585" t="s">
        <v>329</v>
      </c>
      <c r="D14" s="579" t="s">
        <v>15</v>
      </c>
      <c r="E14" s="595">
        <v>1475</v>
      </c>
      <c r="F14" s="580" t="s">
        <v>1</v>
      </c>
      <c r="G14" s="593"/>
      <c r="H14" s="582"/>
      <c r="I14" s="575"/>
    </row>
    <row r="15" spans="1:9" ht="19.5" x14ac:dyDescent="0.3">
      <c r="A15" s="594">
        <v>1212410</v>
      </c>
      <c r="B15" s="594" t="s">
        <v>231</v>
      </c>
      <c r="C15" s="585" t="s">
        <v>232</v>
      </c>
      <c r="D15" s="579" t="s">
        <v>88</v>
      </c>
      <c r="E15" s="595">
        <v>140</v>
      </c>
      <c r="F15" s="580" t="s">
        <v>1</v>
      </c>
      <c r="G15" s="593"/>
      <c r="H15" s="582"/>
      <c r="I15" s="575"/>
    </row>
    <row r="16" spans="1:9" ht="19.5" x14ac:dyDescent="0.3">
      <c r="A16" s="594"/>
      <c r="B16" s="594"/>
      <c r="C16" s="585"/>
      <c r="D16" s="579"/>
      <c r="E16" s="595"/>
      <c r="F16" s="580"/>
      <c r="G16" s="593"/>
      <c r="H16" s="582"/>
      <c r="I16" s="575"/>
    </row>
    <row r="17" spans="1:9" ht="19.5" x14ac:dyDescent="0.3">
      <c r="A17" s="594"/>
      <c r="B17" s="594"/>
      <c r="C17" s="585"/>
      <c r="D17" s="579"/>
      <c r="E17" s="595"/>
      <c r="F17" s="580"/>
      <c r="G17" s="593"/>
      <c r="H17" s="582"/>
      <c r="I17" s="575"/>
    </row>
    <row r="18" spans="1:9" ht="19.5" x14ac:dyDescent="0.3">
      <c r="A18" s="594"/>
      <c r="B18" s="594"/>
      <c r="C18" s="585"/>
      <c r="D18" s="579"/>
      <c r="E18" s="595"/>
      <c r="F18" s="580"/>
      <c r="G18" s="593"/>
      <c r="H18" s="582"/>
      <c r="I18" s="575"/>
    </row>
    <row r="19" spans="1:9" ht="19.5" x14ac:dyDescent="0.3">
      <c r="A19" s="594"/>
      <c r="B19" s="594"/>
      <c r="C19" s="585"/>
      <c r="D19" s="579"/>
      <c r="E19" s="595"/>
      <c r="F19" s="580"/>
      <c r="G19" s="593"/>
      <c r="H19" s="582"/>
      <c r="I19" s="575"/>
    </row>
    <row r="20" spans="1:9" ht="19.5" x14ac:dyDescent="0.3">
      <c r="A20" s="596"/>
      <c r="B20" s="594"/>
      <c r="C20" s="597"/>
      <c r="D20" s="598"/>
      <c r="E20" s="598"/>
      <c r="F20" s="598"/>
      <c r="G20" s="573"/>
      <c r="H20" s="582"/>
      <c r="I20" s="575"/>
    </row>
    <row r="21" spans="1:9" ht="19.5" x14ac:dyDescent="0.3">
      <c r="A21" s="599"/>
      <c r="B21" s="600"/>
      <c r="C21" s="601" t="s">
        <v>44</v>
      </c>
      <c r="D21" s="595"/>
      <c r="E21" s="602"/>
      <c r="F21" s="580"/>
      <c r="G21" s="573"/>
      <c r="H21" s="574"/>
      <c r="I21" s="575"/>
    </row>
    <row r="22" spans="1:9" ht="19.5" x14ac:dyDescent="0.3">
      <c r="A22" s="603"/>
      <c r="B22" s="604"/>
      <c r="C22" s="605"/>
      <c r="D22" s="606"/>
      <c r="E22" s="607"/>
      <c r="F22" s="608"/>
      <c r="G22" s="573"/>
      <c r="H22" s="574"/>
      <c r="I22" s="575"/>
    </row>
    <row r="23" spans="1:9" ht="19.5" x14ac:dyDescent="0.3">
      <c r="A23" s="603"/>
      <c r="B23" s="604"/>
      <c r="C23" s="605"/>
      <c r="D23" s="606"/>
      <c r="E23" s="609"/>
      <c r="F23" s="608"/>
      <c r="G23" s="573"/>
      <c r="H23" s="574"/>
      <c r="I23" s="575"/>
    </row>
    <row r="24" spans="1:9" ht="19.5" x14ac:dyDescent="0.3">
      <c r="A24" s="603"/>
      <c r="B24" s="604"/>
      <c r="C24" s="605"/>
      <c r="D24" s="606"/>
      <c r="E24" s="607"/>
      <c r="F24" s="608"/>
      <c r="G24" s="573"/>
      <c r="H24" s="574"/>
      <c r="I24" s="575"/>
    </row>
    <row r="25" spans="1:9" ht="19.5" x14ac:dyDescent="0.3">
      <c r="A25" s="603"/>
      <c r="B25" s="604"/>
      <c r="C25" s="605"/>
      <c r="D25" s="606"/>
      <c r="E25" s="610"/>
      <c r="F25" s="611"/>
      <c r="G25" s="573"/>
      <c r="H25" s="574"/>
      <c r="I25" s="575"/>
    </row>
    <row r="26" spans="1:9" ht="19.5" x14ac:dyDescent="0.3">
      <c r="A26" s="603"/>
      <c r="B26" s="604"/>
      <c r="C26" s="605"/>
      <c r="D26" s="606"/>
      <c r="E26" s="612"/>
      <c r="F26" s="611"/>
      <c r="G26" s="573"/>
      <c r="H26" s="574"/>
      <c r="I26" s="575"/>
    </row>
    <row r="27" spans="1:9" ht="19.5" x14ac:dyDescent="0.3">
      <c r="A27" s="613"/>
      <c r="B27" s="613"/>
      <c r="C27" s="614"/>
      <c r="D27" s="615"/>
      <c r="E27" s="616"/>
      <c r="F27" s="617"/>
      <c r="G27" s="573"/>
      <c r="H27" s="574"/>
      <c r="I27" s="575"/>
    </row>
    <row r="28" spans="1:9" ht="19.5" x14ac:dyDescent="0.3">
      <c r="A28" s="594"/>
      <c r="B28" s="594"/>
      <c r="C28" s="597"/>
      <c r="D28" s="618"/>
      <c r="E28" s="619"/>
      <c r="F28" s="617"/>
      <c r="G28" s="573"/>
      <c r="H28" s="574"/>
      <c r="I28" s="575"/>
    </row>
    <row r="29" spans="1:9" ht="19.5" x14ac:dyDescent="0.3">
      <c r="A29" s="594"/>
      <c r="B29" s="594"/>
      <c r="C29" s="597"/>
      <c r="D29" s="618"/>
      <c r="E29" s="620"/>
      <c r="F29" s="621"/>
      <c r="G29" s="573"/>
      <c r="H29" s="574"/>
      <c r="I29" s="575"/>
    </row>
    <row r="30" spans="1:9" ht="19.5" x14ac:dyDescent="0.3">
      <c r="A30" s="622"/>
      <c r="B30" s="623"/>
      <c r="C30" s="624" t="s">
        <v>45</v>
      </c>
      <c r="D30" s="625"/>
      <c r="E30" s="626"/>
      <c r="F30" s="574"/>
      <c r="G30" s="573"/>
      <c r="H30" s="614"/>
      <c r="I30" s="575"/>
    </row>
    <row r="31" spans="1:9" ht="19.5" x14ac:dyDescent="0.3">
      <c r="A31" s="627"/>
      <c r="B31" s="627"/>
      <c r="C31" s="628"/>
      <c r="D31" s="592"/>
      <c r="E31" s="629"/>
      <c r="F31" s="630"/>
      <c r="G31" s="631"/>
      <c r="H31" s="574"/>
      <c r="I31" s="575"/>
    </row>
    <row r="32" spans="1:9" ht="19.5" x14ac:dyDescent="0.3">
      <c r="A32" s="632"/>
      <c r="B32" s="632"/>
      <c r="C32" s="633"/>
      <c r="D32" s="592"/>
      <c r="E32" s="629"/>
      <c r="F32" s="630"/>
      <c r="G32" s="631"/>
      <c r="H32" s="574"/>
      <c r="I32" s="575"/>
    </row>
    <row r="33" spans="1:9" ht="19.5" x14ac:dyDescent="0.3">
      <c r="A33" s="594"/>
      <c r="B33" s="594"/>
      <c r="C33" s="597"/>
      <c r="D33" s="634"/>
      <c r="E33" s="620"/>
      <c r="F33" s="593"/>
      <c r="G33" s="631"/>
      <c r="H33" s="574"/>
      <c r="I33" s="575"/>
    </row>
    <row r="34" spans="1:9" ht="19.5" x14ac:dyDescent="0.3">
      <c r="A34" s="635"/>
      <c r="B34" s="635"/>
      <c r="C34" s="636"/>
      <c r="D34" s="592"/>
      <c r="E34" s="629"/>
      <c r="F34" s="630"/>
      <c r="G34" s="573"/>
      <c r="H34" s="574"/>
      <c r="I34" s="575"/>
    </row>
    <row r="35" spans="1:9" ht="19.5" x14ac:dyDescent="0.3">
      <c r="A35" s="635"/>
      <c r="B35" s="635"/>
      <c r="C35" s="636"/>
      <c r="D35" s="592"/>
      <c r="E35" s="629"/>
      <c r="F35" s="630"/>
      <c r="G35" s="573"/>
      <c r="H35" s="574"/>
      <c r="I35" s="575"/>
    </row>
    <row r="36" spans="1:9" ht="19.5" x14ac:dyDescent="0.3">
      <c r="A36" s="635"/>
      <c r="B36" s="635"/>
      <c r="C36" s="636"/>
      <c r="D36" s="592"/>
      <c r="E36" s="629"/>
      <c r="F36" s="630"/>
      <c r="G36" s="637"/>
      <c r="H36" s="574"/>
      <c r="I36" s="575"/>
    </row>
    <row r="37" spans="1:9" ht="19.5" x14ac:dyDescent="0.3">
      <c r="A37" s="635"/>
      <c r="B37" s="635"/>
      <c r="C37" s="636" t="s">
        <v>56</v>
      </c>
      <c r="D37" s="592"/>
      <c r="E37" s="629"/>
      <c r="F37" s="630"/>
      <c r="G37" s="579"/>
      <c r="H37" s="574"/>
      <c r="I37" s="575"/>
    </row>
    <row r="38" spans="1:9" ht="19.5" x14ac:dyDescent="0.3">
      <c r="A38" s="638"/>
      <c r="B38" s="638"/>
      <c r="C38" s="639"/>
      <c r="D38" s="592"/>
      <c r="E38" s="621"/>
      <c r="F38" s="621"/>
      <c r="G38" s="579"/>
      <c r="H38" s="574"/>
      <c r="I38" s="575"/>
    </row>
    <row r="39" spans="1:9" ht="19.5" x14ac:dyDescent="0.3">
      <c r="A39" s="627"/>
      <c r="B39" s="594"/>
      <c r="C39" s="628"/>
      <c r="D39" s="634"/>
      <c r="E39" s="620"/>
      <c r="F39" s="593"/>
      <c r="G39" s="579"/>
      <c r="H39" s="574"/>
      <c r="I39" s="575"/>
    </row>
    <row r="40" spans="1:9" ht="19.5" x14ac:dyDescent="0.3">
      <c r="A40" s="635"/>
      <c r="B40" s="635"/>
      <c r="C40" s="636"/>
      <c r="D40" s="592"/>
      <c r="E40" s="620"/>
      <c r="F40" s="593"/>
      <c r="G40" s="579"/>
      <c r="H40" s="574"/>
      <c r="I40" s="575"/>
    </row>
    <row r="41" spans="1:9" ht="19.5" x14ac:dyDescent="0.3">
      <c r="A41" s="599"/>
      <c r="B41" s="600"/>
      <c r="C41" s="640"/>
      <c r="D41" s="595"/>
      <c r="E41" s="595"/>
      <c r="F41" s="580"/>
      <c r="G41" s="595"/>
      <c r="H41" s="595"/>
      <c r="I41" s="575"/>
    </row>
    <row r="42" spans="1:9" ht="19.5" thickBot="1" x14ac:dyDescent="0.3">
      <c r="A42" s="641"/>
      <c r="B42" s="642"/>
      <c r="C42" s="643"/>
      <c r="D42" s="643"/>
      <c r="E42" s="644"/>
      <c r="F42" s="645"/>
      <c r="G42" s="643"/>
      <c r="H42" s="643"/>
      <c r="I42" s="646"/>
    </row>
    <row r="43" spans="1:9" ht="19.5" thickBot="1" x14ac:dyDescent="0.3">
      <c r="A43" s="647"/>
      <c r="B43" s="648"/>
      <c r="C43" s="649"/>
      <c r="D43" s="650" t="s">
        <v>14</v>
      </c>
      <c r="E43" s="651" t="s">
        <v>13</v>
      </c>
      <c r="F43" s="652"/>
      <c r="G43" s="649"/>
      <c r="H43" s="649"/>
      <c r="I43" s="653"/>
    </row>
    <row r="44" spans="1:9" ht="18.75" x14ac:dyDescent="0.25">
      <c r="A44" s="1181" t="s">
        <v>12</v>
      </c>
      <c r="B44" s="1182"/>
      <c r="C44" s="1183"/>
      <c r="D44" s="619">
        <v>62500</v>
      </c>
      <c r="E44" s="654" t="s">
        <v>1</v>
      </c>
      <c r="F44" s="1184" t="s">
        <v>11</v>
      </c>
      <c r="G44" s="1184"/>
      <c r="H44" s="1185"/>
      <c r="I44" s="1186"/>
    </row>
    <row r="45" spans="1:9" ht="18.75" x14ac:dyDescent="0.25">
      <c r="A45" s="1164" t="s">
        <v>10</v>
      </c>
      <c r="B45" s="1165"/>
      <c r="C45" s="1166"/>
      <c r="D45" s="620">
        <v>11</v>
      </c>
      <c r="E45" s="593" t="s">
        <v>330</v>
      </c>
      <c r="F45" s="1167" t="s">
        <v>8</v>
      </c>
      <c r="G45" s="1167"/>
      <c r="H45" s="1168"/>
      <c r="I45" s="1169"/>
    </row>
    <row r="46" spans="1:9" ht="18.75" x14ac:dyDescent="0.25">
      <c r="A46" s="1164" t="s">
        <v>7</v>
      </c>
      <c r="B46" s="1165"/>
      <c r="C46" s="1166"/>
      <c r="D46" s="620">
        <v>1</v>
      </c>
      <c r="E46" s="593" t="s">
        <v>331</v>
      </c>
      <c r="F46" s="1167" t="s">
        <v>5</v>
      </c>
      <c r="G46" s="1167"/>
      <c r="H46" s="1168"/>
      <c r="I46" s="1169"/>
    </row>
    <row r="47" spans="1:9" ht="18.75" x14ac:dyDescent="0.25">
      <c r="A47" s="1164" t="s">
        <v>4</v>
      </c>
      <c r="B47" s="1165"/>
      <c r="C47" s="1166"/>
      <c r="D47" s="620">
        <v>62500</v>
      </c>
      <c r="E47" s="593" t="s">
        <v>1</v>
      </c>
      <c r="F47" s="1170" t="s">
        <v>3</v>
      </c>
      <c r="G47" s="1171"/>
      <c r="H47" s="1172"/>
      <c r="I47" s="1173"/>
    </row>
    <row r="48" spans="1:9" ht="19.5" thickBot="1" x14ac:dyDescent="0.3">
      <c r="A48" s="1174" t="s">
        <v>2</v>
      </c>
      <c r="B48" s="1175"/>
      <c r="C48" s="1176"/>
      <c r="D48" s="655">
        <v>205</v>
      </c>
      <c r="E48" s="656" t="s">
        <v>1</v>
      </c>
      <c r="F48" s="1177"/>
      <c r="G48" s="1177"/>
      <c r="H48" s="1168"/>
      <c r="I48" s="1169"/>
    </row>
    <row r="49" spans="1:9" ht="19.5" thickBot="1" x14ac:dyDescent="0.3">
      <c r="A49" s="1178" t="s">
        <v>0</v>
      </c>
      <c r="B49" s="1179"/>
      <c r="C49" s="1179"/>
      <c r="D49" s="1179"/>
      <c r="E49" s="1179"/>
      <c r="F49" s="1179"/>
      <c r="G49" s="1179"/>
      <c r="H49" s="1179"/>
      <c r="I49" s="1180"/>
    </row>
    <row r="50" spans="1:9" ht="18.399999999999999" customHeight="1" x14ac:dyDescent="0.3">
      <c r="A50" s="1157" t="s">
        <v>332</v>
      </c>
      <c r="B50" s="1157"/>
      <c r="C50" s="1157"/>
      <c r="D50" s="1157"/>
      <c r="E50" s="1157"/>
      <c r="F50" s="1157"/>
      <c r="G50" s="1157"/>
      <c r="H50" s="1157"/>
      <c r="I50" s="1157"/>
    </row>
    <row r="51" spans="1:9" ht="19.5" x14ac:dyDescent="0.3">
      <c r="A51" s="1156" t="s">
        <v>333</v>
      </c>
      <c r="B51" s="1156"/>
      <c r="C51" s="1156"/>
      <c r="D51" s="1156"/>
      <c r="E51" s="1156"/>
      <c r="F51" s="1156"/>
      <c r="G51" s="1156"/>
      <c r="H51" s="1156"/>
      <c r="I51" s="1156"/>
    </row>
    <row r="52" spans="1:9" ht="19.5" x14ac:dyDescent="0.3">
      <c r="A52" s="1156" t="s">
        <v>334</v>
      </c>
      <c r="B52" s="1156"/>
      <c r="C52" s="1157"/>
      <c r="D52" s="1157"/>
      <c r="E52" s="1157"/>
      <c r="F52" s="1157"/>
      <c r="G52" s="1157"/>
      <c r="H52" s="1157"/>
      <c r="I52" s="1157"/>
    </row>
    <row r="53" spans="1:9" ht="19.5" x14ac:dyDescent="0.3">
      <c r="A53" s="1157" t="s">
        <v>335</v>
      </c>
      <c r="B53" s="1157"/>
      <c r="C53" s="1157"/>
      <c r="D53" s="1157"/>
      <c r="E53" s="1157"/>
      <c r="F53" s="1157"/>
      <c r="G53" s="1157"/>
      <c r="H53" s="1157"/>
      <c r="I53" s="1157"/>
    </row>
    <row r="54" spans="1:9" ht="19.5" x14ac:dyDescent="0.3">
      <c r="A54" s="1157" t="s">
        <v>336</v>
      </c>
      <c r="B54" s="1157"/>
      <c r="C54" s="1157"/>
      <c r="D54" s="1157"/>
      <c r="E54" s="1157"/>
      <c r="F54" s="1157"/>
      <c r="G54" s="1157"/>
      <c r="H54" s="1157"/>
      <c r="I54" s="1157"/>
    </row>
    <row r="55" spans="1:9" ht="18" customHeight="1" x14ac:dyDescent="0.3">
      <c r="A55" s="1157" t="s">
        <v>337</v>
      </c>
      <c r="B55" s="1157"/>
      <c r="C55" s="1157"/>
      <c r="D55" s="1157"/>
      <c r="E55" s="1157"/>
      <c r="F55" s="1157"/>
      <c r="G55" s="1157"/>
      <c r="H55" s="1157"/>
      <c r="I55" s="1157"/>
    </row>
    <row r="56" spans="1:9" ht="18.75" x14ac:dyDescent="0.25">
      <c r="A56" s="1158"/>
      <c r="B56" s="1159"/>
      <c r="C56" s="1159"/>
      <c r="D56" s="1159"/>
      <c r="E56" s="1159"/>
      <c r="F56" s="1159"/>
      <c r="G56" s="1159"/>
      <c r="H56" s="1159"/>
      <c r="I56" s="1160"/>
    </row>
    <row r="57" spans="1:9" ht="20.25" thickBot="1" x14ac:dyDescent="0.35">
      <c r="A57" s="1161"/>
      <c r="B57" s="1162"/>
      <c r="C57" s="1162"/>
      <c r="D57" s="1162"/>
      <c r="E57" s="1162"/>
      <c r="F57" s="1162"/>
      <c r="G57" s="1162"/>
      <c r="H57" s="1162"/>
      <c r="I57" s="1163"/>
    </row>
    <row r="58" spans="1:9" ht="18.75" x14ac:dyDescent="0.25">
      <c r="A58" s="1149" t="s">
        <v>37</v>
      </c>
      <c r="B58" s="1150"/>
      <c r="C58" s="1150"/>
      <c r="D58" s="1150"/>
      <c r="E58" s="1150"/>
      <c r="F58" s="1150"/>
      <c r="G58" s="1150"/>
      <c r="H58" s="1150"/>
      <c r="I58" s="1150"/>
    </row>
    <row r="59" spans="1:9" ht="18.75" x14ac:dyDescent="0.25">
      <c r="A59" s="1151" t="s">
        <v>338</v>
      </c>
      <c r="B59" s="1152"/>
      <c r="C59" s="1152"/>
      <c r="D59" s="1152"/>
      <c r="E59" s="1152"/>
      <c r="F59" s="1152"/>
      <c r="G59" s="1152"/>
      <c r="H59" s="1152"/>
      <c r="I59" s="1153"/>
    </row>
    <row r="60" spans="1:9" ht="18.75" x14ac:dyDescent="0.25">
      <c r="A60" s="1154"/>
      <c r="B60" s="1155"/>
      <c r="C60" s="1155"/>
      <c r="D60" s="1155"/>
      <c r="E60" s="1155"/>
      <c r="F60" s="1155"/>
      <c r="G60" s="1155"/>
      <c r="H60" s="1155"/>
      <c r="I60" s="1155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C721-9460-43CA-A96F-BF39A95988BD}">
  <dimension ref="A1:M33"/>
  <sheetViews>
    <sheetView workbookViewId="0">
      <selection activeCell="E14" sqref="E14"/>
    </sheetView>
  </sheetViews>
  <sheetFormatPr baseColWidth="10" defaultRowHeight="15" x14ac:dyDescent="0.25"/>
  <cols>
    <col min="3" max="3" width="42.42578125" customWidth="1"/>
    <col min="4" max="4" width="16.85546875" customWidth="1"/>
    <col min="8" max="8" width="18.7109375" customWidth="1"/>
    <col min="9" max="9" width="17.28515625" customWidth="1"/>
    <col min="11" max="11" width="59.42578125" customWidth="1"/>
  </cols>
  <sheetData>
    <row r="1" spans="1:13" ht="18" x14ac:dyDescent="0.25">
      <c r="A1" s="1268"/>
      <c r="B1" s="1269"/>
      <c r="C1" s="1274" t="s">
        <v>33</v>
      </c>
      <c r="D1" s="1274"/>
      <c r="E1" s="1274"/>
      <c r="F1" s="1274"/>
      <c r="G1" s="1274"/>
      <c r="H1" s="657" t="s">
        <v>32</v>
      </c>
      <c r="I1" s="114" t="s">
        <v>339</v>
      </c>
    </row>
    <row r="2" spans="1:13" ht="18" x14ac:dyDescent="0.25">
      <c r="A2" s="1270"/>
      <c r="B2" s="1271"/>
      <c r="C2" s="1275" t="s">
        <v>31</v>
      </c>
      <c r="D2" s="1275"/>
      <c r="E2" s="1275"/>
      <c r="F2" s="1275"/>
      <c r="G2" s="1275"/>
      <c r="H2" s="658" t="s">
        <v>30</v>
      </c>
      <c r="I2" s="116" t="s">
        <v>340</v>
      </c>
    </row>
    <row r="3" spans="1:13" x14ac:dyDescent="0.25">
      <c r="A3" s="1270"/>
      <c r="B3" s="1271"/>
      <c r="C3" s="973" t="s">
        <v>341</v>
      </c>
      <c r="D3" s="1276"/>
      <c r="E3" s="1276"/>
      <c r="F3" s="1276"/>
      <c r="G3" s="1276"/>
      <c r="H3" s="1277" t="s">
        <v>29</v>
      </c>
      <c r="I3" s="900">
        <v>45715</v>
      </c>
    </row>
    <row r="4" spans="1:13" x14ac:dyDescent="0.25">
      <c r="A4" s="1270"/>
      <c r="B4" s="1271"/>
      <c r="C4" s="659" t="s">
        <v>28</v>
      </c>
      <c r="D4" s="1264" t="s">
        <v>342</v>
      </c>
      <c r="E4" s="1265"/>
      <c r="F4" s="1265"/>
      <c r="G4" s="1265"/>
      <c r="H4" s="1277"/>
      <c r="I4" s="901"/>
    </row>
    <row r="5" spans="1:13" ht="15.75" thickBot="1" x14ac:dyDescent="0.3">
      <c r="A5" s="1272"/>
      <c r="B5" s="1273"/>
      <c r="C5" s="660" t="s">
        <v>27</v>
      </c>
      <c r="D5" s="1266" t="s">
        <v>343</v>
      </c>
      <c r="E5" s="1267"/>
      <c r="F5" s="1267"/>
      <c r="G5" s="1267"/>
      <c r="H5" s="1278"/>
      <c r="I5" s="902"/>
    </row>
    <row r="6" spans="1:13" ht="18.75" thickBot="1" x14ac:dyDescent="0.3">
      <c r="A6" s="923" t="s">
        <v>25</v>
      </c>
      <c r="B6" s="923"/>
      <c r="C6" s="923"/>
      <c r="D6" s="924" t="s">
        <v>344</v>
      </c>
      <c r="E6" s="924"/>
      <c r="F6" s="924"/>
      <c r="G6" s="925" t="s">
        <v>24</v>
      </c>
      <c r="H6" s="925"/>
      <c r="I6" s="119" t="s">
        <v>318</v>
      </c>
    </row>
    <row r="7" spans="1:13" ht="25.5" x14ac:dyDescent="0.25">
      <c r="A7" s="1258" t="s">
        <v>23</v>
      </c>
      <c r="B7" s="1258" t="s">
        <v>23</v>
      </c>
      <c r="C7" s="1261" t="s">
        <v>22</v>
      </c>
      <c r="D7" s="1261" t="s">
        <v>21</v>
      </c>
      <c r="E7" s="1261" t="s">
        <v>20</v>
      </c>
      <c r="F7" s="1261"/>
      <c r="G7" s="1261" t="s">
        <v>19</v>
      </c>
      <c r="H7" s="1261"/>
      <c r="I7" s="661" t="s">
        <v>18</v>
      </c>
    </row>
    <row r="8" spans="1:13" ht="27" thickBot="1" x14ac:dyDescent="0.3">
      <c r="A8" s="1259"/>
      <c r="B8" s="1260"/>
      <c r="C8" s="1262"/>
      <c r="D8" s="1263"/>
      <c r="E8" s="662" t="s">
        <v>14</v>
      </c>
      <c r="F8" s="663" t="s">
        <v>17</v>
      </c>
      <c r="G8" s="662" t="s">
        <v>14</v>
      </c>
      <c r="H8" s="663" t="s">
        <v>17</v>
      </c>
      <c r="I8" s="664" t="s">
        <v>16</v>
      </c>
      <c r="K8" s="243"/>
      <c r="L8" s="243"/>
    </row>
    <row r="9" spans="1:13" x14ac:dyDescent="0.25">
      <c r="A9" s="665"/>
      <c r="B9" s="666" t="s">
        <v>345</v>
      </c>
      <c r="C9" s="666" t="s">
        <v>346</v>
      </c>
      <c r="D9" s="200" t="s">
        <v>15</v>
      </c>
      <c r="E9" s="167">
        <v>1000</v>
      </c>
      <c r="F9" s="144" t="s">
        <v>1</v>
      </c>
      <c r="G9" s="667"/>
      <c r="H9" s="668"/>
      <c r="I9" s="669"/>
      <c r="K9" s="243"/>
      <c r="L9" s="243"/>
    </row>
    <row r="10" spans="1:13" x14ac:dyDescent="0.25">
      <c r="A10" s="64"/>
      <c r="B10" s="189" t="s">
        <v>347</v>
      </c>
      <c r="C10" s="189" t="s">
        <v>348</v>
      </c>
      <c r="D10" s="200" t="s">
        <v>349</v>
      </c>
      <c r="E10" s="167">
        <v>1000</v>
      </c>
      <c r="F10" s="144" t="s">
        <v>1</v>
      </c>
      <c r="G10" s="667"/>
      <c r="H10" s="668"/>
      <c r="I10" s="669"/>
      <c r="K10" s="670"/>
      <c r="L10" s="243"/>
    </row>
    <row r="11" spans="1:13" x14ac:dyDescent="0.25">
      <c r="A11" s="665">
        <v>1950702</v>
      </c>
      <c r="B11" s="2" t="s">
        <v>98</v>
      </c>
      <c r="C11" s="136" t="s">
        <v>350</v>
      </c>
      <c r="D11" s="200" t="s">
        <v>351</v>
      </c>
      <c r="E11" s="167">
        <v>1</v>
      </c>
      <c r="F11" s="144" t="s">
        <v>352</v>
      </c>
      <c r="G11" s="667"/>
      <c r="H11" s="671"/>
      <c r="I11" s="669"/>
      <c r="K11" s="243"/>
      <c r="L11" s="243"/>
    </row>
    <row r="12" spans="1:13" x14ac:dyDescent="0.25">
      <c r="A12" s="665">
        <v>702067</v>
      </c>
      <c r="B12" s="2" t="s">
        <v>353</v>
      </c>
      <c r="C12" s="2" t="s">
        <v>354</v>
      </c>
      <c r="D12" s="672" t="s">
        <v>355</v>
      </c>
      <c r="E12" s="672">
        <v>1</v>
      </c>
      <c r="F12" s="672" t="s">
        <v>352</v>
      </c>
      <c r="G12" s="667"/>
      <c r="H12" s="668"/>
      <c r="I12" s="669"/>
      <c r="K12" s="243"/>
      <c r="L12" s="243"/>
    </row>
    <row r="13" spans="1:13" x14ac:dyDescent="0.25">
      <c r="A13" s="1"/>
      <c r="B13" s="1"/>
      <c r="C13" s="1"/>
      <c r="D13" s="200"/>
      <c r="E13" s="167"/>
      <c r="F13" s="144" t="s">
        <v>1</v>
      </c>
      <c r="G13" s="667"/>
      <c r="H13" s="668"/>
      <c r="I13" s="669"/>
      <c r="L13" s="471">
        <f>SUM(E9:E10)</f>
        <v>2000</v>
      </c>
    </row>
    <row r="14" spans="1:13" ht="15.75" thickBot="1" x14ac:dyDescent="0.3">
      <c r="A14" s="673"/>
      <c r="B14" s="674"/>
      <c r="C14" s="675"/>
      <c r="D14" s="675"/>
      <c r="E14" s="676"/>
      <c r="F14" s="677"/>
      <c r="G14" s="675"/>
      <c r="H14" s="675"/>
      <c r="I14" s="678"/>
      <c r="J14" s="675"/>
      <c r="K14" s="675"/>
      <c r="L14" s="679"/>
      <c r="M14" s="675"/>
    </row>
    <row r="15" spans="1:13" ht="15.75" thickBot="1" x14ac:dyDescent="0.3">
      <c r="A15" s="680"/>
      <c r="B15" s="681"/>
      <c r="C15" s="682"/>
      <c r="D15" s="683" t="s">
        <v>14</v>
      </c>
      <c r="E15" s="684" t="s">
        <v>13</v>
      </c>
      <c r="F15" s="685"/>
      <c r="G15" s="682"/>
      <c r="H15" s="682"/>
      <c r="I15" s="686"/>
      <c r="J15" s="675"/>
      <c r="K15" s="675"/>
      <c r="L15" s="679"/>
      <c r="M15" s="675"/>
    </row>
    <row r="16" spans="1:13" x14ac:dyDescent="0.25">
      <c r="A16" s="1252" t="s">
        <v>12</v>
      </c>
      <c r="B16" s="1253"/>
      <c r="C16" s="1254"/>
      <c r="D16" s="687">
        <v>2000</v>
      </c>
      <c r="E16" s="688" t="s">
        <v>1</v>
      </c>
      <c r="F16" s="1255"/>
      <c r="G16" s="1255"/>
      <c r="H16" s="1256"/>
      <c r="I16" s="1257"/>
      <c r="J16" s="675"/>
      <c r="K16" s="675"/>
      <c r="L16" s="679"/>
      <c r="M16" s="675"/>
    </row>
    <row r="17" spans="1:13" x14ac:dyDescent="0.25">
      <c r="A17" s="1231" t="s">
        <v>10</v>
      </c>
      <c r="B17" s="1232"/>
      <c r="C17" s="1233"/>
      <c r="D17" s="672">
        <v>5</v>
      </c>
      <c r="E17" s="672" t="s">
        <v>9</v>
      </c>
      <c r="F17" s="1234"/>
      <c r="G17" s="1234"/>
      <c r="H17" s="1235"/>
      <c r="I17" s="1236"/>
      <c r="J17" s="675"/>
      <c r="K17" s="675"/>
      <c r="L17" s="679"/>
      <c r="M17" s="675"/>
    </row>
    <row r="18" spans="1:13" x14ac:dyDescent="0.25">
      <c r="A18" s="1231" t="s">
        <v>7</v>
      </c>
      <c r="B18" s="1232"/>
      <c r="C18" s="1233"/>
      <c r="D18" s="687">
        <f>(D16/D19)</f>
        <v>1</v>
      </c>
      <c r="E18" s="672" t="s">
        <v>6</v>
      </c>
      <c r="F18" s="1234"/>
      <c r="G18" s="1234"/>
      <c r="H18" s="1235"/>
      <c r="I18" s="1236"/>
      <c r="J18" s="675"/>
      <c r="K18" s="675"/>
      <c r="L18" s="679"/>
      <c r="M18" s="675"/>
    </row>
    <row r="19" spans="1:13" x14ac:dyDescent="0.25">
      <c r="A19" s="1231" t="s">
        <v>4</v>
      </c>
      <c r="B19" s="1232"/>
      <c r="C19" s="1233"/>
      <c r="D19" s="687">
        <v>2000</v>
      </c>
      <c r="E19" s="672" t="s">
        <v>1</v>
      </c>
      <c r="F19" s="1237"/>
      <c r="G19" s="1238"/>
      <c r="H19" s="1235"/>
      <c r="I19" s="1236"/>
      <c r="J19" s="675"/>
      <c r="K19" s="675"/>
      <c r="L19" s="679"/>
      <c r="M19" s="689"/>
    </row>
    <row r="20" spans="1:13" ht="15.75" thickBot="1" x14ac:dyDescent="0.3">
      <c r="A20" s="1239" t="s">
        <v>2</v>
      </c>
      <c r="B20" s="1240"/>
      <c r="C20" s="1241"/>
      <c r="D20" s="690">
        <f>SUM(E9:E10)-D16</f>
        <v>0</v>
      </c>
      <c r="E20" s="691" t="s">
        <v>1</v>
      </c>
      <c r="F20" s="1242"/>
      <c r="G20" s="1242"/>
      <c r="H20" s="1243"/>
      <c r="I20" s="1244"/>
      <c r="J20" s="675"/>
      <c r="K20" s="675"/>
      <c r="L20" s="679"/>
      <c r="M20" s="675"/>
    </row>
    <row r="21" spans="1:13" ht="15.75" thickBot="1" x14ac:dyDescent="0.3">
      <c r="A21" s="1245" t="s">
        <v>356</v>
      </c>
      <c r="B21" s="1246"/>
      <c r="C21" s="1246"/>
      <c r="D21" s="1246"/>
      <c r="E21" s="1246"/>
      <c r="F21" s="1246"/>
      <c r="G21" s="1246"/>
      <c r="H21" s="1246"/>
      <c r="I21" s="1247"/>
      <c r="J21" s="675"/>
      <c r="K21" s="675"/>
      <c r="L21" s="675"/>
      <c r="M21" s="675"/>
    </row>
    <row r="22" spans="1:13" x14ac:dyDescent="0.25">
      <c r="A22" s="1248" t="s">
        <v>357</v>
      </c>
      <c r="B22" s="1249"/>
      <c r="C22" s="1250"/>
      <c r="D22" s="1250"/>
      <c r="E22" s="1250"/>
      <c r="F22" s="1250"/>
      <c r="G22" s="1250"/>
      <c r="H22" s="1250"/>
      <c r="I22" s="1251"/>
    </row>
    <row r="23" spans="1:13" x14ac:dyDescent="0.25">
      <c r="A23" s="692" t="s">
        <v>358</v>
      </c>
      <c r="B23" s="692"/>
      <c r="C23" s="692"/>
      <c r="D23" s="692"/>
      <c r="E23" s="692"/>
      <c r="F23" s="692"/>
      <c r="G23" s="692"/>
      <c r="H23" s="692"/>
      <c r="I23" s="692"/>
    </row>
    <row r="24" spans="1:13" x14ac:dyDescent="0.25">
      <c r="A24" s="1026" t="s">
        <v>359</v>
      </c>
      <c r="B24" s="1027"/>
      <c r="C24" s="1027"/>
      <c r="D24" s="1027"/>
      <c r="E24" s="1027"/>
      <c r="F24" s="1027"/>
      <c r="G24" s="1027"/>
      <c r="H24" s="1027"/>
      <c r="I24" s="1028"/>
    </row>
    <row r="25" spans="1:13" x14ac:dyDescent="0.25">
      <c r="A25" s="1221" t="s">
        <v>360</v>
      </c>
      <c r="B25" s="1222"/>
      <c r="C25" s="1223"/>
      <c r="D25" s="1223"/>
      <c r="E25" s="1223"/>
      <c r="F25" s="1223"/>
      <c r="G25" s="1223"/>
      <c r="H25" s="1223"/>
      <c r="I25" s="1224"/>
    </row>
    <row r="26" spans="1:13" ht="16.5" x14ac:dyDescent="0.3">
      <c r="A26" s="1225"/>
      <c r="B26" s="1226"/>
      <c r="C26" s="1226"/>
      <c r="D26" s="1226"/>
      <c r="E26" s="1226"/>
      <c r="F26" s="1226"/>
      <c r="G26" s="1226"/>
      <c r="H26" s="1226"/>
      <c r="I26" s="1227"/>
    </row>
    <row r="27" spans="1:13" x14ac:dyDescent="0.25">
      <c r="A27" s="796"/>
      <c r="B27" s="797"/>
      <c r="C27" s="798"/>
      <c r="D27" s="798"/>
      <c r="E27" s="798"/>
      <c r="F27" s="798"/>
      <c r="G27" s="798"/>
      <c r="H27" s="798"/>
      <c r="I27" s="799"/>
    </row>
    <row r="28" spans="1:13" x14ac:dyDescent="0.25">
      <c r="A28" s="1033"/>
      <c r="B28" s="1034"/>
      <c r="C28" s="1034"/>
      <c r="D28" s="1034"/>
      <c r="E28" s="1034"/>
      <c r="F28" s="1034"/>
      <c r="G28" s="1034"/>
      <c r="H28" s="1034"/>
      <c r="I28" s="1035"/>
    </row>
    <row r="29" spans="1:13" x14ac:dyDescent="0.25">
      <c r="A29" s="1047"/>
      <c r="B29" s="1048"/>
      <c r="C29" s="1048"/>
      <c r="D29" s="1048"/>
      <c r="E29" s="1048"/>
      <c r="F29" s="1048"/>
      <c r="G29" s="1048"/>
      <c r="H29" s="1048"/>
      <c r="I29" s="1049"/>
    </row>
    <row r="30" spans="1:13" x14ac:dyDescent="0.25">
      <c r="A30" s="1228" t="s">
        <v>37</v>
      </c>
      <c r="B30" s="1229"/>
      <c r="C30" s="1229"/>
      <c r="D30" s="1229"/>
      <c r="E30" s="1229"/>
      <c r="F30" s="1229"/>
      <c r="G30" s="1229"/>
      <c r="H30" s="1229"/>
      <c r="I30" s="1230"/>
    </row>
    <row r="31" spans="1:13" ht="15.75" thickBot="1" x14ac:dyDescent="0.3">
      <c r="A31" s="1218"/>
      <c r="B31" s="1219"/>
      <c r="C31" s="1219"/>
      <c r="D31" s="1219"/>
      <c r="E31" s="1219"/>
      <c r="F31" s="1219"/>
      <c r="G31" s="1219"/>
      <c r="H31" s="1219"/>
      <c r="I31" s="1220"/>
    </row>
    <row r="33" spans="1:9" x14ac:dyDescent="0.25">
      <c r="A33" s="693"/>
      <c r="B33" s="693"/>
      <c r="C33" s="693"/>
      <c r="D33" s="675"/>
      <c r="E33" s="675"/>
      <c r="F33" s="675"/>
      <c r="G33" s="675"/>
      <c r="H33" s="675"/>
      <c r="I33" s="675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6:C16"/>
    <mergeCell ref="F16:G16"/>
    <mergeCell ref="H16:I16"/>
    <mergeCell ref="A17:C17"/>
    <mergeCell ref="F17:G17"/>
    <mergeCell ref="H17:I17"/>
    <mergeCell ref="A24:I24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I21"/>
    <mergeCell ref="A22:I22"/>
    <mergeCell ref="A31:I31"/>
    <mergeCell ref="A25:I25"/>
    <mergeCell ref="A26:I26"/>
    <mergeCell ref="A27:I27"/>
    <mergeCell ref="A28:I28"/>
    <mergeCell ref="A29:I29"/>
    <mergeCell ref="A30:I30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9854-4EBB-4795-AEEE-5325546A2C9D}">
  <dimension ref="A1:I60"/>
  <sheetViews>
    <sheetView workbookViewId="0">
      <selection activeCell="C13" sqref="C1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909"/>
      <c r="B1" s="910"/>
      <c r="C1" s="859" t="s">
        <v>33</v>
      </c>
      <c r="D1" s="859"/>
      <c r="E1" s="859"/>
      <c r="F1" s="859"/>
      <c r="G1" s="859"/>
      <c r="H1" s="113" t="s">
        <v>32</v>
      </c>
      <c r="I1" s="114" t="s">
        <v>361</v>
      </c>
    </row>
    <row r="2" spans="1:9" ht="18" customHeight="1" thickBot="1" x14ac:dyDescent="0.3">
      <c r="A2" s="911"/>
      <c r="B2" s="912"/>
      <c r="C2" s="915" t="s">
        <v>31</v>
      </c>
      <c r="D2" s="916"/>
      <c r="E2" s="916"/>
      <c r="F2" s="916"/>
      <c r="G2" s="917"/>
      <c r="H2" s="115" t="s">
        <v>30</v>
      </c>
      <c r="I2" s="116" t="s">
        <v>200</v>
      </c>
    </row>
    <row r="3" spans="1:9" ht="31.5" customHeight="1" thickBot="1" x14ac:dyDescent="0.3">
      <c r="A3" s="911"/>
      <c r="B3" s="912"/>
      <c r="C3" s="1282" t="s">
        <v>362</v>
      </c>
      <c r="D3" s="1283"/>
      <c r="E3" s="1283"/>
      <c r="F3" s="1283"/>
      <c r="G3" s="1284"/>
      <c r="H3" s="920" t="s">
        <v>29</v>
      </c>
      <c r="I3" s="900">
        <v>45615</v>
      </c>
    </row>
    <row r="4" spans="1:9" ht="18" customHeight="1" x14ac:dyDescent="0.25">
      <c r="A4" s="911"/>
      <c r="B4" s="912"/>
      <c r="C4" s="117" t="s">
        <v>28</v>
      </c>
      <c r="D4" s="903" t="s">
        <v>41</v>
      </c>
      <c r="E4" s="904"/>
      <c r="F4" s="904"/>
      <c r="G4" s="905"/>
      <c r="H4" s="921"/>
      <c r="I4" s="901"/>
    </row>
    <row r="5" spans="1:9" ht="15.75" thickBot="1" x14ac:dyDescent="0.3">
      <c r="A5" s="913"/>
      <c r="B5" s="914"/>
      <c r="C5" s="118" t="s">
        <v>27</v>
      </c>
      <c r="D5" s="906" t="s">
        <v>26</v>
      </c>
      <c r="E5" s="907"/>
      <c r="F5" s="907"/>
      <c r="G5" s="908"/>
      <c r="H5" s="922"/>
      <c r="I5" s="902"/>
    </row>
    <row r="6" spans="1:9" ht="18.75" thickBot="1" x14ac:dyDescent="0.3">
      <c r="A6" s="923" t="s">
        <v>25</v>
      </c>
      <c r="B6" s="923"/>
      <c r="C6" s="923"/>
      <c r="D6" s="924" t="s">
        <v>318</v>
      </c>
      <c r="E6" s="924"/>
      <c r="F6" s="924"/>
      <c r="G6" s="925" t="s">
        <v>24</v>
      </c>
      <c r="H6" s="925"/>
      <c r="I6" s="119" t="s">
        <v>318</v>
      </c>
    </row>
    <row r="7" spans="1:9" ht="25.5" x14ac:dyDescent="0.25">
      <c r="A7" s="926" t="s">
        <v>23</v>
      </c>
      <c r="B7" s="928" t="s">
        <v>35</v>
      </c>
      <c r="C7" s="930" t="s">
        <v>22</v>
      </c>
      <c r="D7" s="930" t="s">
        <v>21</v>
      </c>
      <c r="E7" s="930" t="s">
        <v>20</v>
      </c>
      <c r="F7" s="930"/>
      <c r="G7" s="930" t="s">
        <v>19</v>
      </c>
      <c r="H7" s="930"/>
      <c r="I7" s="120" t="s">
        <v>18</v>
      </c>
    </row>
    <row r="8" spans="1:9" ht="27" thickBot="1" x14ac:dyDescent="0.3">
      <c r="A8" s="927"/>
      <c r="B8" s="1042"/>
      <c r="C8" s="1043"/>
      <c r="D8" s="1043"/>
      <c r="E8" s="121" t="s">
        <v>14</v>
      </c>
      <c r="F8" s="122" t="s">
        <v>17</v>
      </c>
      <c r="G8" s="121" t="s">
        <v>14</v>
      </c>
      <c r="H8" s="122" t="s">
        <v>17</v>
      </c>
      <c r="I8" s="123" t="s">
        <v>16</v>
      </c>
    </row>
    <row r="9" spans="1:9" ht="18.600000000000001" customHeight="1" x14ac:dyDescent="0.25">
      <c r="A9" s="124"/>
      <c r="B9" s="125"/>
      <c r="C9" s="126" t="s">
        <v>36</v>
      </c>
      <c r="D9" s="127"/>
      <c r="E9" s="82"/>
      <c r="F9" s="83"/>
      <c r="G9" s="82"/>
      <c r="H9" s="83"/>
      <c r="I9" s="128"/>
    </row>
    <row r="10" spans="1:9" ht="18" customHeight="1" x14ac:dyDescent="0.25">
      <c r="A10" s="694">
        <v>510302</v>
      </c>
      <c r="B10" s="694" t="s">
        <v>363</v>
      </c>
      <c r="C10" s="695" t="s">
        <v>364</v>
      </c>
      <c r="D10" s="696" t="s">
        <v>365</v>
      </c>
      <c r="E10" s="697">
        <v>1100</v>
      </c>
      <c r="F10" s="698" t="s">
        <v>1</v>
      </c>
      <c r="G10" s="133"/>
      <c r="H10" s="134"/>
      <c r="I10" s="128"/>
    </row>
    <row r="11" spans="1:9" ht="15.75" x14ac:dyDescent="0.25">
      <c r="A11" s="699"/>
      <c r="B11" s="700"/>
      <c r="C11" s="701"/>
      <c r="D11" s="702"/>
      <c r="E11" s="703"/>
      <c r="F11" s="704"/>
      <c r="G11" s="133"/>
      <c r="H11" s="134"/>
      <c r="I11" s="128"/>
    </row>
    <row r="12" spans="1:9" ht="15.75" x14ac:dyDescent="0.25">
      <c r="A12" s="705"/>
      <c r="B12" s="706"/>
      <c r="C12" s="707"/>
      <c r="D12" s="26"/>
      <c r="E12" s="26"/>
      <c r="F12" s="26"/>
      <c r="G12" s="63"/>
      <c r="H12" s="134"/>
      <c r="I12" s="128"/>
    </row>
    <row r="13" spans="1:9" ht="15.75" x14ac:dyDescent="0.25">
      <c r="A13" s="708"/>
      <c r="B13" s="709"/>
      <c r="C13" s="707"/>
      <c r="D13" s="26"/>
      <c r="E13" s="26"/>
      <c r="F13" s="26"/>
      <c r="G13" s="63"/>
      <c r="H13" s="134"/>
      <c r="I13" s="128"/>
    </row>
    <row r="14" spans="1:9" x14ac:dyDescent="0.25">
      <c r="A14" s="2"/>
      <c r="B14" s="2"/>
      <c r="C14" s="701"/>
      <c r="D14" s="167"/>
      <c r="E14" s="142"/>
      <c r="F14" s="144"/>
      <c r="G14" s="63"/>
      <c r="H14" s="134"/>
      <c r="I14" s="128"/>
    </row>
    <row r="15" spans="1:9" x14ac:dyDescent="0.25">
      <c r="A15" s="2"/>
      <c r="B15" s="2"/>
      <c r="C15" s="701"/>
      <c r="D15" s="167"/>
      <c r="E15" s="142"/>
      <c r="F15" s="144"/>
      <c r="G15" s="63"/>
      <c r="H15" s="134"/>
      <c r="I15" s="128"/>
    </row>
    <row r="16" spans="1:9" x14ac:dyDescent="0.25">
      <c r="A16" s="2"/>
      <c r="B16" s="2"/>
      <c r="C16" s="701"/>
      <c r="D16" s="167"/>
      <c r="E16" s="142"/>
      <c r="F16" s="144"/>
      <c r="G16" s="63"/>
      <c r="H16" s="134"/>
      <c r="I16" s="128"/>
    </row>
    <row r="17" spans="1:9" x14ac:dyDescent="0.25">
      <c r="A17" s="2"/>
      <c r="B17" s="2"/>
      <c r="C17" s="701"/>
      <c r="D17" s="167"/>
      <c r="E17" s="142"/>
      <c r="F17" s="144"/>
      <c r="G17" s="63"/>
      <c r="H17" s="134"/>
      <c r="I17" s="128"/>
    </row>
    <row r="18" spans="1:9" x14ac:dyDescent="0.25">
      <c r="A18" s="2"/>
      <c r="B18" s="2"/>
      <c r="C18" s="701"/>
      <c r="D18" s="167"/>
      <c r="E18" s="142"/>
      <c r="F18" s="144"/>
      <c r="G18" s="63"/>
      <c r="H18" s="134"/>
      <c r="I18" s="128"/>
    </row>
    <row r="19" spans="1:9" x14ac:dyDescent="0.25">
      <c r="A19" s="2"/>
      <c r="B19" s="2"/>
      <c r="C19" s="701"/>
      <c r="D19" s="167"/>
      <c r="E19" s="142"/>
      <c r="F19" s="144"/>
      <c r="G19" s="63"/>
      <c r="H19" s="134"/>
      <c r="I19" s="128"/>
    </row>
    <row r="20" spans="1:9" x14ac:dyDescent="0.25">
      <c r="A20" s="129"/>
      <c r="B20" s="2"/>
      <c r="C20" s="1"/>
      <c r="D20" s="140"/>
      <c r="E20" s="140"/>
      <c r="F20" s="140"/>
      <c r="G20" s="82"/>
      <c r="H20" s="134"/>
      <c r="I20" s="128"/>
    </row>
    <row r="21" spans="1:9" ht="15.75" x14ac:dyDescent="0.25">
      <c r="A21" s="137"/>
      <c r="B21" s="138"/>
      <c r="C21" s="139" t="s">
        <v>44</v>
      </c>
      <c r="D21" s="142"/>
      <c r="E21" s="143"/>
      <c r="F21" s="144"/>
      <c r="G21" s="82"/>
      <c r="H21" s="83"/>
      <c r="I21" s="128"/>
    </row>
    <row r="22" spans="1:9" x14ac:dyDescent="0.25">
      <c r="A22" s="145"/>
      <c r="B22" s="146"/>
      <c r="C22" s="147"/>
      <c r="D22" s="148"/>
      <c r="E22" s="149"/>
      <c r="F22" s="150"/>
      <c r="G22" s="82"/>
      <c r="H22" s="83"/>
      <c r="I22" s="128"/>
    </row>
    <row r="23" spans="1:9" x14ac:dyDescent="0.25">
      <c r="A23" s="145"/>
      <c r="B23" s="146"/>
      <c r="C23" s="147"/>
      <c r="D23" s="148"/>
      <c r="E23" s="400"/>
      <c r="F23" s="150"/>
      <c r="G23" s="82"/>
      <c r="H23" s="83"/>
      <c r="I23" s="128"/>
    </row>
    <row r="24" spans="1:9" x14ac:dyDescent="0.25">
      <c r="A24" s="145"/>
      <c r="B24" s="146"/>
      <c r="C24" s="147"/>
      <c r="D24" s="148"/>
      <c r="E24" s="149"/>
      <c r="F24" s="150"/>
      <c r="G24" s="82"/>
      <c r="H24" s="83"/>
      <c r="I24" s="128"/>
    </row>
    <row r="25" spans="1:9" x14ac:dyDescent="0.25">
      <c r="A25" s="145"/>
      <c r="B25" s="146"/>
      <c r="C25" s="147"/>
      <c r="D25" s="148"/>
      <c r="E25" s="401"/>
      <c r="F25" s="402"/>
      <c r="G25" s="82"/>
      <c r="H25" s="83"/>
      <c r="I25" s="128"/>
    </row>
    <row r="26" spans="1:9" x14ac:dyDescent="0.25">
      <c r="A26" s="145"/>
      <c r="B26" s="146"/>
      <c r="C26" s="147"/>
      <c r="D26" s="148"/>
      <c r="E26" s="551"/>
      <c r="F26" s="402"/>
      <c r="G26" s="82"/>
      <c r="H26" s="83"/>
      <c r="I26" s="128"/>
    </row>
    <row r="27" spans="1:9" x14ac:dyDescent="0.25">
      <c r="A27" s="189"/>
      <c r="B27" s="189"/>
      <c r="D27" s="247"/>
      <c r="E27" s="552"/>
      <c r="F27" s="110"/>
      <c r="G27" s="82"/>
      <c r="H27" s="83"/>
      <c r="I27" s="128"/>
    </row>
    <row r="28" spans="1:9" x14ac:dyDescent="0.25">
      <c r="A28" s="2"/>
      <c r="B28" s="2"/>
      <c r="C28" s="1"/>
      <c r="D28" s="111"/>
      <c r="E28" s="109"/>
      <c r="F28" s="110"/>
      <c r="G28" s="82"/>
      <c r="H28" s="83"/>
      <c r="I28" s="128"/>
    </row>
    <row r="29" spans="1:9" x14ac:dyDescent="0.25">
      <c r="A29" s="2"/>
      <c r="B29" s="2"/>
      <c r="C29" s="1"/>
      <c r="D29" s="111"/>
      <c r="E29" s="62"/>
      <c r="F29" s="151"/>
      <c r="G29" s="82"/>
      <c r="H29" s="83"/>
      <c r="I29" s="128"/>
    </row>
    <row r="30" spans="1:9" ht="15.75" x14ac:dyDescent="0.25">
      <c r="A30" s="152"/>
      <c r="B30" s="153"/>
      <c r="C30" s="154" t="s">
        <v>45</v>
      </c>
      <c r="D30" s="155"/>
      <c r="E30" s="156"/>
      <c r="F30" s="83"/>
      <c r="G30" s="82"/>
      <c r="I30" s="128"/>
    </row>
    <row r="31" spans="1:9" x14ac:dyDescent="0.25">
      <c r="A31" s="64">
        <v>1950702</v>
      </c>
      <c r="B31" s="64" t="s">
        <v>98</v>
      </c>
      <c r="C31" s="96" t="s">
        <v>366</v>
      </c>
      <c r="D31" s="70" t="s">
        <v>47</v>
      </c>
      <c r="E31" s="68">
        <v>1</v>
      </c>
      <c r="F31" s="69" t="s">
        <v>352</v>
      </c>
      <c r="G31" s="160"/>
      <c r="H31" s="83"/>
      <c r="I31" s="128"/>
    </row>
    <row r="32" spans="1:9" x14ac:dyDescent="0.25">
      <c r="A32" s="710">
        <v>702067</v>
      </c>
      <c r="B32" s="710" t="s">
        <v>353</v>
      </c>
      <c r="C32" s="711" t="s">
        <v>367</v>
      </c>
      <c r="D32" s="70" t="s">
        <v>365</v>
      </c>
      <c r="E32" s="68">
        <v>1</v>
      </c>
      <c r="F32" s="69" t="s">
        <v>352</v>
      </c>
      <c r="G32" s="160"/>
      <c r="H32" s="83"/>
      <c r="I32" s="128"/>
    </row>
    <row r="33" spans="1:9" x14ac:dyDescent="0.25">
      <c r="A33" s="2"/>
      <c r="B33" s="2"/>
      <c r="C33" s="1"/>
      <c r="D33" s="67"/>
      <c r="E33" s="62"/>
      <c r="F33" s="63"/>
      <c r="G33" s="160"/>
      <c r="H33" s="83"/>
      <c r="I33" s="128"/>
    </row>
    <row r="34" spans="1:9" x14ac:dyDescent="0.25">
      <c r="A34" s="164"/>
      <c r="B34" s="164"/>
      <c r="C34" s="165"/>
      <c r="D34" s="70"/>
      <c r="E34" s="68"/>
      <c r="F34" s="69"/>
      <c r="G34" s="82"/>
      <c r="H34" s="83"/>
      <c r="I34" s="128"/>
    </row>
    <row r="35" spans="1:9" x14ac:dyDescent="0.25">
      <c r="A35" s="164"/>
      <c r="B35" s="164"/>
      <c r="C35" s="165"/>
      <c r="D35" s="70"/>
      <c r="E35" s="68"/>
      <c r="F35" s="69"/>
      <c r="G35" s="82"/>
      <c r="H35" s="83"/>
      <c r="I35" s="128"/>
    </row>
    <row r="36" spans="1:9" x14ac:dyDescent="0.25">
      <c r="A36" s="164"/>
      <c r="B36" s="164"/>
      <c r="C36" s="165"/>
      <c r="D36" s="70"/>
      <c r="E36" s="68"/>
      <c r="F36" s="69"/>
      <c r="G36" s="166"/>
      <c r="H36" s="83"/>
      <c r="I36" s="128"/>
    </row>
    <row r="37" spans="1:9" ht="15.75" x14ac:dyDescent="0.25">
      <c r="A37" s="164"/>
      <c r="B37" s="164"/>
      <c r="C37" s="165"/>
      <c r="D37" s="26"/>
      <c r="E37" s="68"/>
      <c r="F37" s="69"/>
      <c r="G37" s="167"/>
      <c r="H37" s="83"/>
      <c r="I37" s="128"/>
    </row>
    <row r="38" spans="1:9" x14ac:dyDescent="0.25">
      <c r="A38" s="168"/>
      <c r="B38" s="168"/>
      <c r="C38" s="169"/>
      <c r="D38" s="70"/>
      <c r="E38" s="151"/>
      <c r="F38" s="151"/>
      <c r="G38" s="167"/>
      <c r="H38" s="83"/>
      <c r="I38" s="128"/>
    </row>
    <row r="39" spans="1:9" x14ac:dyDescent="0.25">
      <c r="A39" s="64"/>
      <c r="B39" s="2"/>
      <c r="C39" s="96"/>
      <c r="D39" s="67"/>
      <c r="E39" s="62"/>
      <c r="F39" s="63"/>
      <c r="G39" s="167"/>
      <c r="H39" s="83"/>
      <c r="I39" s="128"/>
    </row>
    <row r="40" spans="1:9" ht="15.75" x14ac:dyDescent="0.25">
      <c r="A40" s="164"/>
      <c r="B40" s="164"/>
      <c r="C40" s="165"/>
      <c r="D40" s="70"/>
      <c r="E40" s="62"/>
      <c r="F40" s="63"/>
      <c r="G40" s="31"/>
      <c r="H40" s="83"/>
      <c r="I40" s="128"/>
    </row>
    <row r="41" spans="1:9" ht="15.75" x14ac:dyDescent="0.25">
      <c r="A41" s="137"/>
      <c r="B41" s="138"/>
      <c r="C41" s="89"/>
      <c r="D41" s="142"/>
      <c r="E41" s="142"/>
      <c r="F41" s="144"/>
      <c r="G41" s="35"/>
      <c r="H41" s="35"/>
      <c r="I41" s="128"/>
    </row>
    <row r="42" spans="1:9" ht="15.75" thickBot="1" x14ac:dyDescent="0.3">
      <c r="A42" s="170"/>
      <c r="B42" s="171"/>
      <c r="C42" s="172"/>
      <c r="D42" s="172"/>
      <c r="E42" s="173"/>
      <c r="F42" s="174"/>
      <c r="G42" s="172"/>
      <c r="H42" s="172"/>
      <c r="I42" s="175"/>
    </row>
    <row r="43" spans="1:9" ht="15.75" thickBot="1" x14ac:dyDescent="0.3">
      <c r="A43" s="176"/>
      <c r="B43" s="177"/>
      <c r="C43" s="178"/>
      <c r="D43" s="179" t="s">
        <v>14</v>
      </c>
      <c r="E43" s="180" t="s">
        <v>13</v>
      </c>
      <c r="F43" s="181"/>
      <c r="G43" s="178"/>
      <c r="H43" s="178"/>
      <c r="I43" s="182"/>
    </row>
    <row r="44" spans="1:9" x14ac:dyDescent="0.25">
      <c r="A44" s="932" t="s">
        <v>12</v>
      </c>
      <c r="B44" s="933"/>
      <c r="C44" s="934"/>
      <c r="D44" s="109">
        <v>1000</v>
      </c>
      <c r="E44" s="184" t="s">
        <v>1</v>
      </c>
      <c r="F44" s="935" t="s">
        <v>11</v>
      </c>
      <c r="G44" s="935"/>
      <c r="H44" s="936"/>
      <c r="I44" s="937"/>
    </row>
    <row r="45" spans="1:9" x14ac:dyDescent="0.25">
      <c r="A45" s="938" t="s">
        <v>10</v>
      </c>
      <c r="B45" s="939"/>
      <c r="C45" s="940"/>
      <c r="D45" s="62">
        <v>6</v>
      </c>
      <c r="E45" s="63" t="s">
        <v>9</v>
      </c>
      <c r="F45" s="941" t="s">
        <v>8</v>
      </c>
      <c r="G45" s="941"/>
      <c r="H45" s="942"/>
      <c r="I45" s="943"/>
    </row>
    <row r="46" spans="1:9" x14ac:dyDescent="0.25">
      <c r="A46" s="938" t="s">
        <v>7</v>
      </c>
      <c r="B46" s="939"/>
      <c r="C46" s="940"/>
      <c r="D46" s="62">
        <v>1</v>
      </c>
      <c r="E46" s="63" t="s">
        <v>6</v>
      </c>
      <c r="F46" s="941" t="s">
        <v>5</v>
      </c>
      <c r="G46" s="941"/>
      <c r="H46" s="942"/>
      <c r="I46" s="943"/>
    </row>
    <row r="47" spans="1:9" x14ac:dyDescent="0.25">
      <c r="A47" s="938" t="s">
        <v>4</v>
      </c>
      <c r="B47" s="939"/>
      <c r="C47" s="940"/>
      <c r="D47" s="62">
        <v>1000</v>
      </c>
      <c r="E47" s="63" t="s">
        <v>1</v>
      </c>
      <c r="F47" s="947" t="s">
        <v>3</v>
      </c>
      <c r="G47" s="948"/>
      <c r="H47" s="1040"/>
      <c r="I47" s="1041"/>
    </row>
    <row r="48" spans="1:9" ht="15.75" thickBot="1" x14ac:dyDescent="0.3">
      <c r="A48" s="951" t="s">
        <v>2</v>
      </c>
      <c r="B48" s="952"/>
      <c r="C48" s="953"/>
      <c r="D48" s="185">
        <v>100</v>
      </c>
      <c r="E48" s="186" t="s">
        <v>1</v>
      </c>
      <c r="F48" s="954"/>
      <c r="G48" s="954"/>
      <c r="H48" s="942"/>
      <c r="I48" s="943"/>
    </row>
    <row r="49" spans="1:9" ht="15.75" thickBot="1" x14ac:dyDescent="0.3">
      <c r="A49" s="955" t="s">
        <v>0</v>
      </c>
      <c r="B49" s="956"/>
      <c r="C49" s="956"/>
      <c r="D49" s="956"/>
      <c r="E49" s="956"/>
      <c r="F49" s="956"/>
      <c r="G49" s="956"/>
      <c r="H49" s="956"/>
      <c r="I49" s="957"/>
    </row>
    <row r="50" spans="1:9" ht="18.600000000000001" customHeight="1" x14ac:dyDescent="0.25">
      <c r="A50" s="1248" t="s">
        <v>368</v>
      </c>
      <c r="B50" s="1249"/>
      <c r="C50" s="1250"/>
      <c r="D50" s="1250"/>
      <c r="E50" s="1250"/>
      <c r="F50" s="1250"/>
      <c r="G50" s="1250"/>
      <c r="H50" s="1250"/>
      <c r="I50" s="1251"/>
    </row>
    <row r="51" spans="1:9" ht="15.6" customHeight="1" x14ac:dyDescent="0.25">
      <c r="A51" s="1026" t="s">
        <v>369</v>
      </c>
      <c r="B51" s="1027"/>
      <c r="C51" s="1027"/>
      <c r="D51" s="1027"/>
      <c r="E51" s="1027"/>
      <c r="F51" s="1027"/>
      <c r="G51" s="1027"/>
      <c r="H51" s="1027"/>
      <c r="I51" s="1028"/>
    </row>
    <row r="52" spans="1:9" ht="14.45" customHeight="1" x14ac:dyDescent="0.25">
      <c r="A52" s="1221" t="s">
        <v>370</v>
      </c>
      <c r="B52" s="1222"/>
      <c r="C52" s="1223"/>
      <c r="D52" s="1223"/>
      <c r="E52" s="1223"/>
      <c r="F52" s="1223"/>
      <c r="G52" s="1223"/>
      <c r="H52" s="1223"/>
      <c r="I52" s="1224"/>
    </row>
    <row r="53" spans="1:9" ht="14.45" customHeight="1" x14ac:dyDescent="0.3">
      <c r="A53" s="1225" t="s">
        <v>371</v>
      </c>
      <c r="B53" s="1226"/>
      <c r="C53" s="1226"/>
      <c r="D53" s="1226"/>
      <c r="E53" s="1226"/>
      <c r="F53" s="1226"/>
      <c r="G53" s="1226"/>
      <c r="H53" s="1226"/>
      <c r="I53" s="1227"/>
    </row>
    <row r="54" spans="1:9" ht="14.45" customHeight="1" x14ac:dyDescent="0.25">
      <c r="A54" s="796"/>
      <c r="B54" s="797"/>
      <c r="C54" s="798"/>
      <c r="D54" s="798"/>
      <c r="E54" s="798"/>
      <c r="F54" s="798"/>
      <c r="G54" s="798"/>
      <c r="H54" s="798"/>
      <c r="I54" s="799"/>
    </row>
    <row r="55" spans="1:9" ht="18" customHeight="1" x14ac:dyDescent="0.25">
      <c r="A55" s="1279"/>
      <c r="B55" s="1280"/>
      <c r="C55" s="1280"/>
      <c r="D55" s="1280"/>
      <c r="E55" s="1280"/>
      <c r="F55" s="1280"/>
      <c r="G55" s="1280"/>
      <c r="H55" s="1280"/>
      <c r="I55" s="1281"/>
    </row>
    <row r="56" spans="1:9" x14ac:dyDescent="0.25">
      <c r="A56" s="944"/>
      <c r="B56" s="945"/>
      <c r="C56" s="945"/>
      <c r="D56" s="945"/>
      <c r="E56" s="945"/>
      <c r="F56" s="945"/>
      <c r="G56" s="945"/>
      <c r="H56" s="945"/>
      <c r="I56" s="946"/>
    </row>
    <row r="57" spans="1:9" ht="15.75" thickBot="1" x14ac:dyDescent="0.3">
      <c r="A57" s="958"/>
      <c r="B57" s="959"/>
      <c r="C57" s="959"/>
      <c r="D57" s="959"/>
      <c r="E57" s="959"/>
      <c r="F57" s="959"/>
      <c r="G57" s="959"/>
      <c r="H57" s="959"/>
      <c r="I57" s="960"/>
    </row>
    <row r="58" spans="1:9" x14ac:dyDescent="0.25">
      <c r="A58" s="806" t="s">
        <v>37</v>
      </c>
      <c r="B58" s="807"/>
      <c r="C58" s="807"/>
      <c r="D58" s="807"/>
      <c r="E58" s="807"/>
      <c r="F58" s="807"/>
      <c r="G58" s="807"/>
      <c r="H58" s="807"/>
      <c r="I58" s="807"/>
    </row>
    <row r="59" spans="1:9" x14ac:dyDescent="0.25">
      <c r="A59" s="782"/>
      <c r="B59" s="783"/>
      <c r="C59" s="783"/>
      <c r="D59" s="783"/>
      <c r="E59" s="783"/>
      <c r="F59" s="783"/>
      <c r="G59" s="783"/>
      <c r="H59" s="783"/>
      <c r="I59" s="783"/>
    </row>
    <row r="60" spans="1:9" x14ac:dyDescent="0.25">
      <c r="A60" s="782"/>
      <c r="B60" s="783"/>
      <c r="C60" s="783"/>
      <c r="D60" s="783"/>
      <c r="E60" s="783"/>
      <c r="F60" s="783"/>
      <c r="G60" s="783"/>
      <c r="H60" s="783"/>
      <c r="I60" s="783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6462861-FE41-40B9-833D-EDE0A0C994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Torta Frambuesa Local</vt:lpstr>
      <vt:lpstr>Torta Frambuesa 2</vt:lpstr>
      <vt:lpstr>Torta de Frambuesa 3</vt:lpstr>
      <vt:lpstr>Costo Torta </vt:lpstr>
      <vt:lpstr>Crema Rosada </vt:lpstr>
      <vt:lpstr>Costo Crema Rosada </vt:lpstr>
      <vt:lpstr>Relleno de Frambuesa</vt:lpstr>
      <vt:lpstr>Costo relleno de Frambuesa</vt:lpstr>
      <vt:lpstr>Costo  empaq Relleno Frambuesa</vt:lpstr>
      <vt:lpstr>Relleno Crema Pastelera </vt:lpstr>
      <vt:lpstr>Costo Relleno Crema Pastelera</vt:lpstr>
      <vt:lpstr>Batido Nucleo Vainilla Dawn</vt:lpstr>
      <vt:lpstr>Premezcla Nucleo Vainilla Dawn</vt:lpstr>
      <vt:lpstr>Costo Rosq Vainilla Dawn 200 g </vt:lpstr>
      <vt:lpstr>Crema Beidge </vt:lpstr>
      <vt:lpstr>Crema Blanca Supremo</vt:lpstr>
      <vt:lpstr>Leches Past con agua </vt:lpstr>
      <vt:lpstr>Mezcla leche Pasteurizada </vt:lpstr>
      <vt:lpstr>Caramelo con choc blanco</vt:lpstr>
      <vt:lpstr>Caramelo Crocante</vt:lpstr>
      <vt:lpstr>'Relleno Crema Pastelera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2026-03-02T20:46:51Z</cp:lastPrinted>
  <dcterms:created xsi:type="dcterms:W3CDTF">2025-01-06T20:55:42Z</dcterms:created>
  <dcterms:modified xsi:type="dcterms:W3CDTF">2026-03-02T20:47:00Z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
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9" documentId="8_{5489D8CF-48C2-41B9-A6AE-34C26F1A76EE}" xr6:coauthVersionLast="47" xr6:coauthVersionMax="47" xr10:uidLastSave="{DA3B1A25-7A31-4758-BCA1-09A80F1FFE3E}"/>
  <bookViews>
    <workbookView xWindow="-120" yWindow="-120" windowWidth="20730" windowHeight="11040" xr2:uid="{7AECBC5B-B104-4132-A7A2-DB5EAA263F12}"/>
  </bookViews>
  <sheets>
    <sheet name="Hoja1" sheetId="3" r:id="rId1"/>
    <sheet name="Costo Actual " sheetId="4" state="hidden" r:id="rId2"/>
    <sheet name="Costo Nuevo" sheetId="5" state="hidden" r:id="rId3"/>
    <sheet name="COSTO " sheetId="2" state="hidden" r:id="rId4"/>
  </sheets>
  <externalReferences>
    <externalReference r:id="rId5"/>
    <externalReference r:id="rId6"/>
    <externalReference r:id="rId7"/>
  </externalReferences>
  <definedNames>
    <definedName name="_xlnm.Print_Area" localSheetId="0">Hoja1!$A$1:$I$58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6" i="5" l="1"/>
  <c r="L36" i="4"/>
  <c r="D43" i="3"/>
  <c r="B28" i="2"/>
  <c r="C28" i="2"/>
  <c r="D28" i="2"/>
  <c r="C29" i="2"/>
  <c r="B30" i="2"/>
  <c r="C30" i="2"/>
  <c r="D30" i="2"/>
  <c r="E30" i="2"/>
  <c r="E17" i="2"/>
  <c r="E47" i="2"/>
  <c r="D76" i="2"/>
  <c r="D77" i="2"/>
  <c r="D79" i="2"/>
  <c r="D74" i="2"/>
  <c r="D72" i="2"/>
  <c r="F68" i="2"/>
  <c r="E54" i="2"/>
  <c r="D63" i="2"/>
  <c r="D84" i="2"/>
  <c r="C54" i="2"/>
  <c r="E53" i="2"/>
  <c r="D53" i="2"/>
  <c r="B53" i="2"/>
  <c r="E52" i="2"/>
  <c r="D52" i="2"/>
  <c r="B52" i="2"/>
  <c r="E51" i="2"/>
  <c r="D51" i="2"/>
  <c r="B51" i="2"/>
  <c r="E44" i="2"/>
  <c r="D44" i="2"/>
  <c r="B44" i="2"/>
  <c r="A44" i="2"/>
  <c r="A53" i="2"/>
  <c r="C53" i="2"/>
  <c r="E43" i="2"/>
  <c r="D43" i="2"/>
  <c r="B43" i="2"/>
  <c r="A43" i="2"/>
  <c r="C43" i="2"/>
  <c r="E42" i="2"/>
  <c r="D42" i="2"/>
  <c r="B42" i="2"/>
  <c r="A42" i="2"/>
  <c r="C42" i="2"/>
  <c r="A41" i="2"/>
  <c r="A50" i="2"/>
  <c r="C50" i="2"/>
  <c r="A40" i="2"/>
  <c r="A49" i="2"/>
  <c r="C49" i="2"/>
  <c r="A39" i="2"/>
  <c r="C39" i="2"/>
  <c r="A38" i="2"/>
  <c r="C38" i="2"/>
  <c r="E35" i="2"/>
  <c r="F35" i="2" s="1"/>
  <c r="D35" i="2"/>
  <c r="C35" i="2"/>
  <c r="B35" i="2"/>
  <c r="E34" i="2"/>
  <c r="D34" i="2"/>
  <c r="C34" i="2"/>
  <c r="B34" i="2"/>
  <c r="E33" i="2"/>
  <c r="F33" i="2" s="1"/>
  <c r="D33" i="2"/>
  <c r="C33" i="2"/>
  <c r="B33" i="2"/>
  <c r="D32" i="2"/>
  <c r="C32" i="2"/>
  <c r="B32" i="2"/>
  <c r="E31" i="2"/>
  <c r="D31" i="2"/>
  <c r="C31" i="2"/>
  <c r="B31" i="2"/>
  <c r="C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C20" i="2"/>
  <c r="F19" i="2"/>
  <c r="C19" i="2"/>
  <c r="C18" i="2"/>
  <c r="C17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D9" i="2"/>
  <c r="C9" i="2"/>
  <c r="B9" i="2"/>
  <c r="C8" i="2"/>
  <c r="H6" i="2"/>
  <c r="F13" i="2"/>
  <c r="F30" i="2"/>
  <c r="F28" i="2"/>
  <c r="F29" i="2"/>
  <c r="F54" i="2"/>
  <c r="F42" i="2"/>
  <c r="D86" i="2"/>
  <c r="F10" i="2"/>
  <c r="F27" i="2"/>
  <c r="F31" i="2"/>
  <c r="F32" i="2"/>
  <c r="F34" i="2"/>
  <c r="C40" i="2"/>
  <c r="F40" i="2"/>
  <c r="F12" i="2"/>
  <c r="C44" i="2"/>
  <c r="F44" i="2"/>
  <c r="A47" i="2"/>
  <c r="C47" i="2"/>
  <c r="F47" i="2"/>
  <c r="D88" i="2"/>
  <c r="D89" i="2"/>
  <c r="F14" i="2"/>
  <c r="A51" i="2"/>
  <c r="C51" i="2"/>
  <c r="F51" i="2"/>
  <c r="C41" i="2"/>
  <c r="F41" i="2"/>
  <c r="F20" i="2"/>
  <c r="F50" i="2"/>
  <c r="F9" i="2"/>
  <c r="F49" i="2"/>
  <c r="F18" i="2"/>
  <c r="F17" i="2"/>
  <c r="F8" i="2"/>
  <c r="F43" i="2"/>
  <c r="F39" i="2"/>
  <c r="F53" i="2"/>
  <c r="A48" i="2"/>
  <c r="C48" i="2"/>
  <c r="F48" i="2"/>
  <c r="A52" i="2"/>
  <c r="C52" i="2"/>
  <c r="F52" i="2"/>
  <c r="C76" i="2"/>
  <c r="C88" i="2"/>
  <c r="E88" i="2"/>
  <c r="E76" i="2"/>
  <c r="E38" i="2"/>
  <c r="F38" i="2"/>
  <c r="F57" i="2" l="1"/>
  <c r="F56" i="2"/>
  <c r="F59" i="2"/>
  <c r="C79" i="2" l="1"/>
  <c r="E79" i="2" s="1"/>
  <c r="H57" i="2"/>
  <c r="G2" i="2" s="1"/>
  <c r="H56" i="2"/>
  <c r="F2" i="2" s="1"/>
  <c r="F58" i="2"/>
  <c r="F67" i="2"/>
  <c r="C72" i="2"/>
  <c r="C77" i="2"/>
  <c r="H59" i="2"/>
  <c r="H61" i="2" l="1"/>
  <c r="H62" i="2" s="1"/>
  <c r="O61" i="2" s="1"/>
  <c r="O58" i="2"/>
  <c r="H2" i="2"/>
  <c r="E77" i="2"/>
  <c r="C89" i="2"/>
  <c r="E89" i="2" s="1"/>
  <c r="H58" i="2"/>
  <c r="O57" i="2"/>
  <c r="F66" i="2"/>
  <c r="C84" i="2"/>
  <c r="E84" i="2" s="1"/>
  <c r="E72" i="2"/>
  <c r="E81" i="2" l="1"/>
  <c r="F69" i="2"/>
  <c r="E66" i="2"/>
  <c r="C74" i="2"/>
  <c r="O59" i="2"/>
  <c r="O60" i="2" s="1"/>
  <c r="O62" i="2" s="1"/>
  <c r="O63" i="2" l="1"/>
  <c r="O64" i="2" s="1"/>
  <c r="O65" i="2" s="1"/>
  <c r="G30" i="2"/>
  <c r="G27" i="2"/>
  <c r="G42" i="2"/>
  <c r="G20" i="2"/>
  <c r="G18" i="2"/>
  <c r="G23" i="2"/>
  <c r="G10" i="2"/>
  <c r="G47" i="2"/>
  <c r="G29" i="2"/>
  <c r="G49" i="2"/>
  <c r="G9" i="2"/>
  <c r="G12" i="2"/>
  <c r="G8" i="2"/>
  <c r="G51" i="2"/>
  <c r="G31" i="2"/>
  <c r="G28" i="2"/>
  <c r="G19" i="2"/>
  <c r="G35" i="2"/>
  <c r="G14" i="2"/>
  <c r="G40" i="2"/>
  <c r="G17" i="2"/>
  <c r="G53" i="2"/>
  <c r="G13" i="2"/>
  <c r="G39" i="2"/>
  <c r="G57" i="2"/>
  <c r="G48" i="2"/>
  <c r="G44" i="2"/>
  <c r="G32" i="2"/>
  <c r="G54" i="2"/>
  <c r="G41" i="2"/>
  <c r="G69" i="2"/>
  <c r="G34" i="2"/>
  <c r="G68" i="2"/>
  <c r="G50" i="2"/>
  <c r="G38" i="2"/>
  <c r="G52" i="2"/>
  <c r="G22" i="2"/>
  <c r="G43" i="2"/>
  <c r="G21" i="2"/>
  <c r="G24" i="2"/>
  <c r="G33" i="2"/>
  <c r="G11" i="2"/>
  <c r="G59" i="2"/>
  <c r="G56" i="2"/>
  <c r="G58" i="2"/>
  <c r="G67" i="2"/>
  <c r="G66" i="2"/>
  <c r="E74" i="2"/>
  <c r="C86" i="2"/>
  <c r="E86" i="2" s="1"/>
  <c r="P65" i="2" l="1"/>
  <c r="E2" i="2"/>
</calcChain>
</file>

<file path=xl/sharedStrings.xml><?xml version="1.0" encoding="utf-8"?>
<sst xmlns="http://schemas.openxmlformats.org/spreadsheetml/2006/main" count="672" uniqueCount="246">
  <si>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</si>
  <si>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</si>
  <si>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</si>
  <si>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</si>
  <si>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</si>
  <si>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</si>
  <si>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</si>
  <si>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</si>
  <si>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</si>
  <si>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</si>
  <si>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</si>
  <si>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</si>
  <si>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</si>
  <si>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</si>
  <si>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</si>
  <si>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</si>
  <si>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</si>
  <si>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</si>
  <si>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NESTLÉ</t>
  </si>
  <si>
    <t>g</t>
  </si>
  <si>
    <t>FAS</t>
  </si>
  <si>
    <t>1210461</t>
  </si>
  <si>
    <t>ud</t>
  </si>
  <si>
    <t>EMPAQUE</t>
  </si>
  <si>
    <t>ETIQ. GENERICA PEQUEÑA V-274 (UND)</t>
  </si>
  <si>
    <t>ETIQ.FECHA VENCIMIENTO BLANCO (ROLLO)</t>
  </si>
  <si>
    <t>Etiplast</t>
  </si>
  <si>
    <t>ETIQUETA BLANCA 2 5/8X1 15/16 (UND)</t>
  </si>
  <si>
    <t>1</t>
  </si>
  <si>
    <t xml:space="preserve">ETIQUETA SELLO DE SEGURIDAD (ROLLO:1000 U) </t>
  </si>
  <si>
    <t>1950699</t>
  </si>
  <si>
    <t>BASE PARA ROSQUETE (UND)</t>
  </si>
  <si>
    <t>ETIQUETA BLANCA R-153 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</si>
  <si>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</si>
  <si>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</si>
  <si>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</si>
  <si>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</si>
  <si>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</si>
  <si>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</si>
  <si>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</si>
  <si>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</si>
  <si>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</si>
  <si>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</si>
  <si>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</si>
  <si>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</si>
  <si>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</t>
  </si>
  <si>
    <t>11400066</t>
  </si>
  <si>
    <t>MANJAR LECHE CONDENSADA (PAQ: 6 K)</t>
  </si>
  <si>
    <t>20100163</t>
  </si>
  <si>
    <t>RELLENO FUDGE SPOON (PAQ: 5000 G)</t>
  </si>
  <si>
    <t>51400047</t>
  </si>
  <si>
    <t>QUEQUERA MINI CAKE (CAJA:100 UND)</t>
  </si>
  <si>
    <t xml:space="preserve">M Y L </t>
  </si>
  <si>
    <t>MP10007</t>
  </si>
  <si>
    <t>SE00337</t>
  </si>
  <si>
    <t>EM10288</t>
  </si>
  <si>
    <t>EM10119</t>
  </si>
  <si>
    <t>EM10004</t>
  </si>
  <si>
    <t>EM10011</t>
  </si>
  <si>
    <t>EM10135</t>
  </si>
  <si>
    <t>EM10035</t>
  </si>
  <si>
    <t>EM10124</t>
  </si>
  <si>
    <t>902000149</t>
  </si>
  <si>
    <t>SE00392</t>
  </si>
  <si>
    <t>90100365</t>
  </si>
  <si>
    <t>SE00386</t>
  </si>
  <si>
    <t>TRASVASADO DE LECHE CONDENSADA COCINADA</t>
  </si>
  <si>
    <t xml:space="preserve">ROSQUETE CHOCOLATE DAWN 100g </t>
  </si>
  <si>
    <t>PROCESADO CHOCOLATE RALLADO OSCURO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</si>
  <si>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</si>
  <si>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</si>
  <si>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</si>
  <si>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</si>
  <si>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</si>
  <si>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</si>
  <si>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</si>
  <si>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</si>
  <si>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</si>
  <si>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</si>
  <si>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</si>
  <si>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</si>
  <si>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</si>
  <si>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</si>
  <si>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</si>
  <si>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</si>
  <si>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</si>
  <si>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</si>
  <si>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</si>
  <si>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</si>
  <si>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</si>
  <si>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</si>
  <si>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</si>
  <si>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</si>
  <si>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</si>
  <si>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</si>
  <si>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</si>
  <si>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</si>
  <si>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</si>
  <si>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</si>
  <si>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</si>
  <si>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</si>
  <si>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</si>
  <si>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</si>
  <si>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</si>
  <si>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</si>
  <si>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</si>
  <si>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</si>
  <si>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</si>
  <si>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</si>
  <si>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</si>
  <si>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</si>
  <si>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</si>
  <si>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</si>
  <si>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</si>
  <si>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</si>
  <si>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</si>
  <si>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</si>
  <si>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</si>
  <si>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</si>
  <si>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</si>
  <si>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</si>
  <si>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 xml:space="preserve">UND </t>
  </si>
  <si>
    <t>NUEVO</t>
  </si>
  <si>
    <t>0702077</t>
  </si>
  <si>
    <t>0702007</t>
  </si>
  <si>
    <t>0702123</t>
  </si>
  <si>
    <t>702174</t>
  </si>
  <si>
    <t>701096</t>
  </si>
  <si>
    <t>Und</t>
  </si>
  <si>
    <t>SE00394</t>
  </si>
  <si>
    <t xml:space="preserve">7-Colocar etiqueta mas rico &amp; mas grande </t>
  </si>
  <si>
    <t>SOLUCIONES</t>
  </si>
  <si>
    <t>MP10746</t>
  </si>
  <si>
    <t>Esteban Cartin, Gte Manufactura</t>
  </si>
  <si>
    <t>Figuras</t>
  </si>
  <si>
    <t># Código Netsuite</t>
  </si>
  <si>
    <t>Ensamble</t>
  </si>
  <si>
    <t>Decoración</t>
  </si>
  <si>
    <t/>
  </si>
  <si>
    <t>BOQUILLA 48</t>
  </si>
  <si>
    <t>Empaque</t>
  </si>
  <si>
    <t>CONTROL DE CAMBIOS</t>
  </si>
  <si>
    <t>Mariela Barrantes Sánchez</t>
  </si>
  <si>
    <t>ESP-RE-FIS-031</t>
  </si>
  <si>
    <t xml:space="preserve">ROSQUETE CHOCOLATE DAWN 120g </t>
  </si>
  <si>
    <t>2, Se actualizan datos recetas y peso final</t>
  </si>
  <si>
    <t>FILTROS :</t>
  </si>
  <si>
    <t>SUBSIDIARIA</t>
  </si>
  <si>
    <t>Empresa principal : Servicios de Pastelería S.A.</t>
  </si>
  <si>
    <t>ARTÍCULO</t>
  </si>
  <si>
    <t>PTL00234 Mini Cake de Chocolate</t>
  </si>
  <si>
    <t>UBICACIÓN</t>
  </si>
  <si>
    <t>Bodega Administrativa</t>
  </si>
  <si>
    <t>LISTA DE MATERIALES</t>
  </si>
  <si>
    <t>BOM PTL00234</t>
  </si>
  <si>
    <t>CONTROL DE VISUALIZACIÓN</t>
  </si>
  <si>
    <t>Por revisión</t>
  </si>
  <si>
    <t>FECHA/FECHA EFECTIVA</t>
  </si>
  <si>
    <t>04/02/2025</t>
  </si>
  <si>
    <t>REVISIÓN DE LISTA DE MATERIALES</t>
  </si>
  <si>
    <t>REV V1 BOM PTL00234</t>
  </si>
  <si>
    <t>POR RUTA DE FABRICACIÓN</t>
  </si>
  <si>
    <t>No</t>
  </si>
  <si>
    <t>RUTA DE FABRICACIÓN</t>
  </si>
  <si>
    <t>CANTIDAD DE ENSAMBLAJE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</si>
  <si>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</si>
  <si>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</si>
  <si>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</si>
  <si>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</si>
  <si>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</si>
  <si>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</si>
  <si>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CRC1,179.18</t>
  </si>
  <si>
    <t>CRC1,179.18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</si>
  <si>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</si>
  <si>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</si>
  <si>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</si>
  <si>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</si>
  <si>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</si>
  <si>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</si>
  <si>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</si>
  <si>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</si>
  <si>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TOTAL</t>
  </si>
  <si>
    <t>Manjar Leche Condensada</t>
  </si>
  <si>
    <t>20</t>
  </si>
  <si>
    <t>100%</t>
  </si>
  <si>
    <t>2.12767278</t>
  </si>
  <si>
    <t>GRAMOS</t>
  </si>
  <si>
    <t>42.55</t>
  </si>
  <si>
    <t>Chocolate Corazon Rojo Pasion Mediano</t>
  </si>
  <si>
    <t>100.875</t>
  </si>
  <si>
    <t>100.88</t>
  </si>
  <si>
    <t>Quequera Mini Cake</t>
  </si>
  <si>
    <t>129.00</t>
  </si>
  <si>
    <t>Etiq. Generica Pequeña V-274</t>
  </si>
  <si>
    <t>13.45</t>
  </si>
  <si>
    <t>Etiq.Fecha Vencimiento Blanco</t>
  </si>
  <si>
    <t>0.28</t>
  </si>
  <si>
    <t>Etiqueta Blanca 2 5/8X1 15/16</t>
  </si>
  <si>
    <t>2.128</t>
  </si>
  <si>
    <t>2.13</t>
  </si>
  <si>
    <t>Etiqueta Sello Seguridad</t>
  </si>
  <si>
    <t>6.00</t>
  </si>
  <si>
    <t>12.00</t>
  </si>
  <si>
    <t>Base Carton Para Rosquete</t>
  </si>
  <si>
    <t>0.1</t>
  </si>
  <si>
    <t>128.00</t>
  </si>
  <si>
    <t>12.80</t>
  </si>
  <si>
    <t>Etiqueta Blanca R-153</t>
  </si>
  <si>
    <t>0.39</t>
  </si>
  <si>
    <t>SC-MO1</t>
  </si>
  <si>
    <t>Mano de Obra</t>
  </si>
  <si>
    <t>3.27</t>
  </si>
  <si>
    <t>77.00</t>
  </si>
  <si>
    <t>251.79</t>
  </si>
  <si>
    <t>SC-GIF1</t>
  </si>
  <si>
    <t>Gastos Indirectos Fabricación</t>
  </si>
  <si>
    <t>64.00</t>
  </si>
  <si>
    <t>209.28</t>
  </si>
  <si>
    <t>Empaque Fudge De Chocolate</t>
  </si>
  <si>
    <t>0.08</t>
  </si>
  <si>
    <t>2,445.65669675</t>
  </si>
  <si>
    <t>KILOGRAMOS</t>
  </si>
  <si>
    <t>195.65</t>
  </si>
  <si>
    <t>Trasvasado de leche condensada cocinada</t>
  </si>
  <si>
    <t>0.03</t>
  </si>
  <si>
    <t>2,204.30906815</t>
  </si>
  <si>
    <t>66.13</t>
  </si>
  <si>
    <t>Procesado Chocolate Rallado Oscuro</t>
  </si>
  <si>
    <t>0.003</t>
  </si>
  <si>
    <t>5,134.5464</t>
  </si>
  <si>
    <t>15.40</t>
  </si>
  <si>
    <t>Rosquete Chocolate Dawn 100 g</t>
  </si>
  <si>
    <t>127.44920735</t>
  </si>
  <si>
    <t>127.45</t>
  </si>
  <si>
    <t>SE00700</t>
  </si>
  <si>
    <t>MP10133</t>
  </si>
  <si>
    <t>Chocolate Tulipan Marmol</t>
  </si>
  <si>
    <t>3, Se actualiza a tulipan de chocolate</t>
  </si>
  <si>
    <r>
      <rPr>
        <b/>
        <sz val="18"/>
        <rFont val="Arial"/>
        <family val="2"/>
      </rPr>
      <t>2.-</t>
    </r>
    <r>
      <rPr>
        <sz val="18"/>
        <rFont val="Arial"/>
        <family val="2"/>
      </rPr>
      <t xml:space="preserve"> Con manga y la boquilla cubrir el rosquete y, de manera que se cubran todas la paredes hasta llegar al borde,decorar las paredes </t>
    </r>
  </si>
  <si>
    <r>
      <rPr>
        <b/>
        <sz val="18"/>
        <rFont val="Arial"/>
        <family val="2"/>
      </rPr>
      <t xml:space="preserve">3.- </t>
    </r>
    <r>
      <rPr>
        <sz val="18"/>
        <rFont val="Arial"/>
        <family val="2"/>
      </rPr>
      <t>Con la boquilla  hacer en el centro 3 colochos de manjar en la parte superior.</t>
    </r>
  </si>
  <si>
    <r>
      <rPr>
        <b/>
        <sz val="18"/>
        <rFont val="Arial"/>
        <family val="2"/>
      </rPr>
      <t>4.-</t>
    </r>
    <r>
      <rPr>
        <sz val="18"/>
        <rFont val="Arial"/>
        <family val="2"/>
      </rPr>
      <t xml:space="preserve"> Colocar un corazon de lado y colocar chocolate rallado.</t>
    </r>
  </si>
  <si>
    <r>
      <rPr>
        <b/>
        <sz val="18"/>
        <rFont val="Arial"/>
        <family val="2"/>
      </rPr>
      <t>5.-</t>
    </r>
    <r>
      <rPr>
        <sz val="18"/>
        <rFont val="Arial"/>
        <family val="2"/>
      </rPr>
      <t xml:space="preserve"> Colocar el chocolate rallado en los espacios superiores sin rellenar.</t>
    </r>
  </si>
  <si>
    <r>
      <rPr>
        <b/>
        <sz val="18"/>
        <rFont val="Arial"/>
        <family val="2"/>
      </rPr>
      <t xml:space="preserve">6.- </t>
    </r>
    <r>
      <rPr>
        <sz val="18"/>
        <rFont val="Arial"/>
        <family val="2"/>
      </rPr>
      <t>Tapar y etiquetar. Colocar los sellos de seguridad en lados opuestos, sobre uno de los sellos de seguridad pegar la cinta generica.  La fecha de vencimiento,  y en el lado inferior etiqueta de ingredientes.</t>
    </r>
  </si>
  <si>
    <t>03</t>
  </si>
  <si>
    <t xml:space="preserve"> PTL00234 - 20200103  MINI CAKE CHOCOLATE UD Local</t>
  </si>
  <si>
    <r>
      <rPr>
        <b/>
        <sz val="18"/>
        <rFont val="Arial"/>
        <family val="2"/>
      </rPr>
      <t xml:space="preserve">1.- </t>
    </r>
    <r>
      <rPr>
        <sz val="18"/>
        <rFont val="Arial"/>
        <family val="2"/>
      </rPr>
      <t>Cortar el mini cake por la mitad (eliminado la punta para nivelar) , rellenar con leche condensad cocinada. Hacer un circulo de manjar sobre la base para
 inmobilizar el quequito. Pegar el mini cake en la base.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</si>
</sst>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_-* #,##0.0\ _€_-;\-* #,##0.0\ _€_-;_-* &quot;-&quot;??\ _€_-;_-@_-"/>
    <numFmt numFmtId="168" formatCode="[$-409]d\-mmm\-yy;@"/>
    <numFmt numFmtId="169" formatCode="0.0000"/>
    <numFmt numFmtId="170" formatCode="0.0"/>
  </numFmts>
  <fonts count="6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b/>
      <sz val="16"/>
      <name val="Century Gothic"/>
      <family val="2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8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8" fillId="0" borderId="0"/>
    <xf numFmtId="0" fontId="39" fillId="0" borderId="0" applyNumberFormat="0" applyFill="0" applyBorder="0" applyAlignment="0" applyProtection="0"/>
    <xf numFmtId="0" fontId="40" fillId="0" borderId="57" applyNumberFormat="0" applyFill="0" applyAlignment="0" applyProtection="0"/>
    <xf numFmtId="0" fontId="41" fillId="0" borderId="58" applyNumberFormat="0" applyFill="0" applyAlignment="0" applyProtection="0"/>
    <xf numFmtId="0" fontId="42" fillId="0" borderId="59" applyNumberFormat="0" applyFill="0" applyAlignment="0" applyProtection="0"/>
    <xf numFmtId="0" fontId="42" fillId="0" borderId="0" applyNumberFormat="0" applyFill="0" applyBorder="0" applyAlignment="0" applyProtection="0"/>
    <xf numFmtId="0" fontId="43" fillId="12" borderId="0" applyNumberFormat="0" applyBorder="0" applyAlignment="0" applyProtection="0"/>
    <xf numFmtId="0" fontId="44" fillId="13" borderId="0" applyNumberFormat="0" applyBorder="0" applyAlignment="0" applyProtection="0"/>
    <xf numFmtId="0" fontId="45" fillId="14" borderId="0" applyNumberFormat="0" applyBorder="0" applyAlignment="0" applyProtection="0"/>
    <xf numFmtId="0" fontId="46" fillId="15" borderId="60" applyNumberFormat="0" applyAlignment="0" applyProtection="0"/>
    <xf numFmtId="0" fontId="47" fillId="16" borderId="61" applyNumberFormat="0" applyAlignment="0" applyProtection="0"/>
    <xf numFmtId="0" fontId="48" fillId="16" borderId="60" applyNumberFormat="0" applyAlignment="0" applyProtection="0"/>
    <xf numFmtId="0" fontId="49" fillId="0" borderId="62" applyNumberFormat="0" applyFill="0" applyAlignment="0" applyProtection="0"/>
    <xf numFmtId="0" fontId="50" fillId="17" borderId="63" applyNumberFormat="0" applyAlignment="0" applyProtection="0"/>
    <xf numFmtId="0" fontId="51" fillId="0" borderId="0" applyNumberFormat="0" applyFill="0" applyBorder="0" applyAlignment="0" applyProtection="0"/>
    <xf numFmtId="0" fontId="37" fillId="18" borderId="64" applyNumberFormat="0" applyFont="0" applyAlignment="0" applyProtection="0"/>
    <xf numFmtId="0" fontId="52" fillId="0" borderId="0" applyNumberFormat="0" applyFill="0" applyBorder="0" applyAlignment="0" applyProtection="0"/>
    <xf numFmtId="0" fontId="53" fillId="0" borderId="65" applyNumberFormat="0" applyFill="0" applyAlignment="0" applyProtection="0"/>
    <xf numFmtId="0" fontId="54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54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54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54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54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54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</cellStyleXfs>
  <cellXfs count="307">
    <xf numFmtId="0" fontId="0" fillId="0" borderId="0" xfId="0"/>
    <xf numFmtId="0" fontId="4" fillId="2" borderId="2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7" fillId="5" borderId="0" xfId="0" applyFont="1" applyFill="1" applyAlignment="1">
      <alignment vertical="center"/>
    </xf>
    <xf numFmtId="0" fontId="6" fillId="10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6" fillId="0" borderId="6" xfId="8" applyFont="1" applyFill="1" applyBorder="1" applyAlignment="1">
      <alignment horizontal="center" vertical="center"/>
    </xf>
    <xf numFmtId="43" fontId="6" fillId="0" borderId="0" xfId="8" applyFont="1" applyFill="1" applyBorder="1" applyAlignment="1">
      <alignment horizontal="center" vertical="center"/>
    </xf>
    <xf numFmtId="43" fontId="35" fillId="0" borderId="0" xfId="8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33" fillId="0" borderId="0" xfId="0" applyNumberFormat="1" applyFont="1" applyAlignment="1">
      <alignment horizontal="center" vertical="center" wrapText="1"/>
    </xf>
    <xf numFmtId="0" fontId="6" fillId="6" borderId="42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 wrapText="1"/>
    </xf>
    <xf numFmtId="0" fontId="6" fillId="6" borderId="4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9" applyNumberFormat="1" applyFont="1" applyFill="1" applyAlignment="1">
      <alignment horizontal="center" vertical="center"/>
    </xf>
    <xf numFmtId="4" fontId="6" fillId="0" borderId="0" xfId="9" applyNumberFormat="1" applyFont="1" applyFill="1" applyAlignment="1">
      <alignment horizontal="center" vertical="center"/>
    </xf>
    <xf numFmtId="10" fontId="6" fillId="0" borderId="0" xfId="10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11" fillId="0" borderId="0" xfId="10" applyNumberFormat="1" applyFont="1" applyFill="1" applyAlignment="1">
      <alignment vertical="center"/>
    </xf>
    <xf numFmtId="0" fontId="7" fillId="0" borderId="0" xfId="0" applyFont="1"/>
    <xf numFmtId="49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8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8" applyNumberFormat="1" applyFont="1" applyFill="1" applyAlignment="1">
      <alignment vertical="center"/>
    </xf>
    <xf numFmtId="43" fontId="17" fillId="0" borderId="0" xfId="8" applyFont="1" applyFill="1" applyAlignment="1">
      <alignment horizontal="center" vertical="center"/>
    </xf>
    <xf numFmtId="10" fontId="11" fillId="6" borderId="47" xfId="10" applyNumberFormat="1" applyFont="1" applyFill="1" applyBorder="1" applyAlignment="1">
      <alignment vertical="center"/>
    </xf>
    <xf numFmtId="0" fontId="7" fillId="6" borderId="34" xfId="0" applyFont="1" applyFill="1" applyBorder="1" applyAlignment="1">
      <alignment vertical="center"/>
    </xf>
    <xf numFmtId="0" fontId="7" fillId="6" borderId="47" xfId="0" applyFont="1" applyFill="1" applyBorder="1" applyAlignment="1">
      <alignment vertical="center"/>
    </xf>
    <xf numFmtId="43" fontId="17" fillId="6" borderId="48" xfId="8" applyFont="1" applyFill="1" applyBorder="1" applyAlignment="1">
      <alignment horizontal="center" vertical="center"/>
    </xf>
    <xf numFmtId="43" fontId="25" fillId="0" borderId="0" xfId="8" applyFont="1" applyFill="1" applyBorder="1" applyAlignment="1">
      <alignment horizontal="right"/>
    </xf>
    <xf numFmtId="0" fontId="7" fillId="6" borderId="48" xfId="0" applyFont="1" applyFill="1" applyBorder="1" applyAlignment="1">
      <alignment vertical="center"/>
    </xf>
    <xf numFmtId="10" fontId="11" fillId="6" borderId="48" xfId="10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36" fillId="0" borderId="0" xfId="10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8" applyNumberFormat="1" applyFont="1" applyFill="1" applyAlignment="1">
      <alignment vertical="center"/>
    </xf>
    <xf numFmtId="4" fontId="17" fillId="0" borderId="0" xfId="9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50" xfId="0" applyFont="1" applyBorder="1" applyAlignment="1">
      <alignment horizontal="right"/>
    </xf>
    <xf numFmtId="43" fontId="26" fillId="3" borderId="45" xfId="8" applyFont="1" applyFill="1" applyBorder="1" applyAlignment="1">
      <alignment horizontal="right"/>
    </xf>
    <xf numFmtId="43" fontId="26" fillId="0" borderId="0" xfId="8" applyFont="1" applyFill="1" applyBorder="1" applyAlignment="1">
      <alignment horizontal="right"/>
    </xf>
    <xf numFmtId="43" fontId="6" fillId="0" borderId="6" xfId="8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4" fontId="17" fillId="0" borderId="0" xfId="9" applyNumberFormat="1" applyFont="1" applyFill="1" applyAlignment="1">
      <alignment horizontal="center" vertical="center"/>
    </xf>
    <xf numFmtId="10" fontId="28" fillId="0" borderId="0" xfId="10" applyNumberFormat="1" applyFont="1" applyFill="1" applyAlignment="1">
      <alignment horizontal="right"/>
    </xf>
    <xf numFmtId="167" fontId="6" fillId="6" borderId="6" xfId="8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6" fillId="9" borderId="6" xfId="8" applyFont="1" applyFill="1" applyBorder="1" applyAlignment="1">
      <alignment vertical="center"/>
    </xf>
    <xf numFmtId="165" fontId="20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11" fillId="6" borderId="49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2" fontId="28" fillId="0" borderId="0" xfId="8" applyNumberFormat="1" applyFont="1" applyFill="1" applyBorder="1" applyAlignment="1">
      <alignment horizontal="center"/>
    </xf>
    <xf numFmtId="2" fontId="30" fillId="0" borderId="0" xfId="8" applyNumberFormat="1" applyFont="1" applyFill="1" applyBorder="1" applyAlignment="1">
      <alignment horizontal="center"/>
    </xf>
    <xf numFmtId="0" fontId="7" fillId="6" borderId="49" xfId="0" applyFont="1" applyFill="1" applyBorder="1" applyAlignment="1">
      <alignment vertical="center"/>
    </xf>
    <xf numFmtId="10" fontId="7" fillId="0" borderId="0" xfId="10" applyNumberFormat="1" applyFont="1" applyFill="1" applyAlignment="1">
      <alignment vertical="center"/>
    </xf>
    <xf numFmtId="4" fontId="7" fillId="0" borderId="0" xfId="8" applyNumberFormat="1" applyFont="1" applyFill="1" applyAlignment="1">
      <alignment vertical="center"/>
    </xf>
    <xf numFmtId="43" fontId="26" fillId="6" borderId="34" xfId="8" applyFont="1" applyFill="1" applyBorder="1" applyAlignment="1">
      <alignment horizontal="right"/>
    </xf>
    <xf numFmtId="0" fontId="6" fillId="6" borderId="35" xfId="0" applyFont="1" applyFill="1" applyBorder="1" applyAlignment="1">
      <alignment horizontal="right" vertical="center"/>
    </xf>
    <xf numFmtId="10" fontId="19" fillId="0" borderId="0" xfId="8" applyNumberFormat="1" applyFont="1" applyFill="1" applyAlignment="1">
      <alignment vertical="center"/>
    </xf>
    <xf numFmtId="10" fontId="11" fillId="0" borderId="0" xfId="10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43" fontId="21" fillId="0" borderId="0" xfId="8" applyFont="1" applyFill="1" applyAlignment="1">
      <alignment vertical="center"/>
    </xf>
    <xf numFmtId="4" fontId="13" fillId="0" borderId="0" xfId="9" applyNumberFormat="1" applyFont="1" applyFill="1" applyAlignment="1">
      <alignment horizontal="center" vertical="center" wrapText="1"/>
    </xf>
    <xf numFmtId="9" fontId="7" fillId="0" borderId="0" xfId="8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8" applyNumberFormat="1" applyFont="1" applyFill="1" applyAlignment="1">
      <alignment vertical="center"/>
    </xf>
    <xf numFmtId="4" fontId="6" fillId="7" borderId="45" xfId="8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8" applyFont="1" applyFill="1" applyAlignment="1">
      <alignment vertical="center"/>
    </xf>
    <xf numFmtId="9" fontId="34" fillId="0" borderId="0" xfId="8" applyNumberFormat="1" applyFont="1" applyFill="1" applyAlignment="1">
      <alignment vertical="center"/>
    </xf>
    <xf numFmtId="4" fontId="6" fillId="0" borderId="0" xfId="8" applyNumberFormat="1" applyFont="1" applyFill="1" applyAlignment="1">
      <alignment horizontal="center" vertical="center"/>
    </xf>
    <xf numFmtId="10" fontId="20" fillId="0" borderId="0" xfId="10" applyNumberFormat="1" applyFont="1" applyFill="1" applyAlignment="1">
      <alignment vertical="center"/>
    </xf>
    <xf numFmtId="43" fontId="20" fillId="0" borderId="0" xfId="8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8" applyFont="1" applyFill="1" applyBorder="1"/>
    <xf numFmtId="10" fontId="20" fillId="0" borderId="0" xfId="10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43" fontId="7" fillId="0" borderId="0" xfId="8" applyFont="1" applyFill="1" applyBorder="1" applyAlignment="1">
      <alignment horizontal="center"/>
    </xf>
    <xf numFmtId="9" fontId="23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2" fillId="2" borderId="2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5" fillId="2" borderId="0" xfId="2" applyNumberFormat="1" applyFont="1" applyFill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1" fontId="4" fillId="4" borderId="22" xfId="3" applyNumberFormat="1" applyFont="1" applyFill="1" applyBorder="1" applyAlignment="1">
      <alignment horizontal="center"/>
    </xf>
    <xf numFmtId="1" fontId="4" fillId="4" borderId="22" xfId="3" applyNumberFormat="1" applyFont="1" applyFill="1" applyBorder="1" applyAlignment="1">
      <alignment horizontal="center" wrapText="1"/>
    </xf>
    <xf numFmtId="0" fontId="4" fillId="4" borderId="23" xfId="3" applyFont="1" applyFill="1" applyBorder="1" applyAlignment="1">
      <alignment horizontal="center"/>
    </xf>
    <xf numFmtId="0" fontId="55" fillId="0" borderId="27" xfId="3" applyFont="1" applyBorder="1" applyAlignment="1">
      <alignment horizontal="center" vertical="center"/>
    </xf>
    <xf numFmtId="0" fontId="55" fillId="0" borderId="29" xfId="3" applyFont="1" applyBorder="1" applyAlignment="1">
      <alignment horizontal="center" vertical="center"/>
    </xf>
    <xf numFmtId="0" fontId="56" fillId="0" borderId="6" xfId="3" applyFont="1" applyBorder="1" applyAlignment="1">
      <alignment vertical="center"/>
    </xf>
    <xf numFmtId="0" fontId="55" fillId="0" borderId="6" xfId="3" applyFont="1" applyBorder="1" applyAlignment="1">
      <alignment horizontal="center" vertical="center"/>
    </xf>
    <xf numFmtId="1" fontId="55" fillId="0" borderId="6" xfId="3" applyNumberFormat="1" applyFont="1" applyBorder="1" applyAlignment="1">
      <alignment horizontal="center"/>
    </xf>
    <xf numFmtId="1" fontId="55" fillId="0" borderId="6" xfId="3" applyNumberFormat="1" applyFont="1" applyBorder="1" applyAlignment="1">
      <alignment horizontal="center" wrapText="1"/>
    </xf>
    <xf numFmtId="0" fontId="57" fillId="0" borderId="7" xfId="3" applyFont="1" applyBorder="1" applyAlignment="1">
      <alignment horizontal="center"/>
    </xf>
    <xf numFmtId="49" fontId="57" fillId="5" borderId="27" xfId="0" applyNumberFormat="1" applyFont="1" applyFill="1" applyBorder="1" applyAlignment="1">
      <alignment horizontal="center" vertical="center"/>
    </xf>
    <xf numFmtId="49" fontId="57" fillId="5" borderId="29" xfId="0" applyNumberFormat="1" applyFont="1" applyFill="1" applyBorder="1" applyAlignment="1">
      <alignment horizontal="center" vertical="center"/>
    </xf>
    <xf numFmtId="49" fontId="57" fillId="5" borderId="6" xfId="0" applyNumberFormat="1" applyFont="1" applyFill="1" applyBorder="1" applyAlignment="1">
      <alignment vertical="center"/>
    </xf>
    <xf numFmtId="0" fontId="57" fillId="5" borderId="6" xfId="0" applyFont="1" applyFill="1" applyBorder="1" applyAlignment="1">
      <alignment horizontal="center" vertical="center"/>
    </xf>
    <xf numFmtId="49" fontId="57" fillId="0" borderId="6" xfId="0" applyNumberFormat="1" applyFont="1" applyBorder="1" applyAlignment="1">
      <alignment horizontal="center" vertical="center"/>
    </xf>
    <xf numFmtId="1" fontId="57" fillId="0" borderId="6" xfId="0" applyNumberFormat="1" applyFont="1" applyBorder="1" applyAlignment="1">
      <alignment horizontal="center"/>
    </xf>
    <xf numFmtId="0" fontId="57" fillId="0" borderId="6" xfId="0" applyFont="1" applyBorder="1" applyAlignment="1">
      <alignment horizontal="center"/>
    </xf>
    <xf numFmtId="1" fontId="57" fillId="0" borderId="25" xfId="3" applyNumberFormat="1" applyFont="1" applyBorder="1" applyAlignment="1">
      <alignment horizontal="center" vertical="center"/>
    </xf>
    <xf numFmtId="0" fontId="58" fillId="5" borderId="0" xfId="0" applyFont="1" applyFill="1"/>
    <xf numFmtId="0" fontId="57" fillId="5" borderId="6" xfId="0" applyFont="1" applyFill="1" applyBorder="1" applyAlignment="1">
      <alignment horizontal="center"/>
    </xf>
    <xf numFmtId="49" fontId="57" fillId="0" borderId="6" xfId="0" applyNumberFormat="1" applyFont="1" applyBorder="1" applyAlignment="1">
      <alignment horizontal="center"/>
    </xf>
    <xf numFmtId="0" fontId="58" fillId="0" borderId="6" xfId="11" applyFont="1" applyBorder="1" applyAlignment="1">
      <alignment horizontal="center"/>
    </xf>
    <xf numFmtId="0" fontId="58" fillId="0" borderId="6" xfId="0" applyFont="1" applyBorder="1" applyAlignment="1">
      <alignment horizontal="center"/>
    </xf>
    <xf numFmtId="0" fontId="58" fillId="0" borderId="6" xfId="0" applyFont="1" applyBorder="1"/>
    <xf numFmtId="0" fontId="57" fillId="0" borderId="29" xfId="0" applyFont="1" applyBorder="1" applyAlignment="1">
      <alignment horizontal="center"/>
    </xf>
    <xf numFmtId="1" fontId="57" fillId="0" borderId="6" xfId="0" applyNumberFormat="1" applyFont="1" applyBorder="1" applyAlignment="1">
      <alignment horizontal="center" wrapText="1"/>
    </xf>
    <xf numFmtId="49" fontId="57" fillId="0" borderId="27" xfId="0" applyNumberFormat="1" applyFont="1" applyBorder="1" applyAlignment="1">
      <alignment horizontal="center"/>
    </xf>
    <xf numFmtId="49" fontId="57" fillId="0" borderId="29" xfId="0" applyNumberFormat="1" applyFont="1" applyBorder="1" applyAlignment="1">
      <alignment horizontal="center"/>
    </xf>
    <xf numFmtId="49" fontId="57" fillId="0" borderId="6" xfId="0" applyNumberFormat="1" applyFont="1" applyBorder="1"/>
    <xf numFmtId="0" fontId="58" fillId="0" borderId="51" xfId="0" applyFont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169" fontId="57" fillId="0" borderId="25" xfId="0" applyNumberFormat="1" applyFont="1" applyBorder="1" applyAlignment="1">
      <alignment horizontal="center" wrapText="1"/>
    </xf>
    <xf numFmtId="0" fontId="58" fillId="0" borderId="6" xfId="0" applyFont="1" applyBorder="1" applyAlignment="1">
      <alignment horizontal="center" vertical="center"/>
    </xf>
    <xf numFmtId="0" fontId="58" fillId="0" borderId="6" xfId="0" applyFont="1" applyBorder="1" applyAlignment="1">
      <alignment horizontal="left" vertical="center"/>
    </xf>
    <xf numFmtId="0" fontId="55" fillId="0" borderId="6" xfId="0" applyFont="1" applyBorder="1" applyAlignment="1">
      <alignment horizontal="center"/>
    </xf>
    <xf numFmtId="1" fontId="55" fillId="0" borderId="6" xfId="0" applyNumberFormat="1" applyFont="1" applyBorder="1" applyAlignment="1">
      <alignment horizontal="center"/>
    </xf>
    <xf numFmtId="1" fontId="55" fillId="0" borderId="6" xfId="0" applyNumberFormat="1" applyFont="1" applyBorder="1" applyAlignment="1">
      <alignment horizontal="center" wrapText="1"/>
    </xf>
    <xf numFmtId="16" fontId="57" fillId="0" borderId="6" xfId="3" applyNumberFormat="1" applyFont="1" applyBorder="1" applyAlignment="1">
      <alignment horizontal="center"/>
    </xf>
    <xf numFmtId="1" fontId="57" fillId="0" borderId="0" xfId="3" applyNumberFormat="1" applyFont="1" applyAlignment="1">
      <alignment horizontal="center"/>
    </xf>
    <xf numFmtId="1" fontId="57" fillId="0" borderId="0" xfId="3" applyNumberFormat="1" applyFont="1" applyAlignment="1">
      <alignment horizontal="center" wrapText="1"/>
    </xf>
    <xf numFmtId="2" fontId="57" fillId="0" borderId="25" xfId="3" applyNumberFormat="1" applyFont="1" applyBorder="1" applyAlignment="1">
      <alignment horizontal="center"/>
    </xf>
    <xf numFmtId="0" fontId="58" fillId="5" borderId="6" xfId="0" applyFont="1" applyFill="1" applyBorder="1"/>
    <xf numFmtId="1" fontId="57" fillId="0" borderId="6" xfId="3" applyNumberFormat="1" applyFont="1" applyBorder="1" applyAlignment="1">
      <alignment horizontal="center"/>
    </xf>
    <xf numFmtId="1" fontId="57" fillId="0" borderId="6" xfId="3" applyNumberFormat="1" applyFont="1" applyBorder="1" applyAlignment="1">
      <alignment horizontal="center" wrapText="1"/>
    </xf>
    <xf numFmtId="0" fontId="57" fillId="0" borderId="25" xfId="3" applyFont="1" applyBorder="1" applyAlignment="1">
      <alignment horizontal="center"/>
    </xf>
    <xf numFmtId="49" fontId="57" fillId="0" borderId="27" xfId="3" applyNumberFormat="1" applyFont="1" applyBorder="1" applyAlignment="1">
      <alignment horizontal="center"/>
    </xf>
    <xf numFmtId="49" fontId="57" fillId="0" borderId="29" xfId="3" applyNumberFormat="1" applyFont="1" applyBorder="1" applyAlignment="1">
      <alignment horizontal="center"/>
    </xf>
    <xf numFmtId="0" fontId="55" fillId="5" borderId="6" xfId="3" applyFont="1" applyFill="1" applyBorder="1" applyAlignment="1">
      <alignment horizontal="left"/>
    </xf>
    <xf numFmtId="0" fontId="57" fillId="0" borderId="6" xfId="3" applyFont="1" applyBorder="1" applyAlignment="1">
      <alignment horizontal="center"/>
    </xf>
    <xf numFmtId="170" fontId="57" fillId="0" borderId="6" xfId="3" applyNumberFormat="1" applyFont="1" applyBorder="1" applyAlignment="1">
      <alignment horizontal="center"/>
    </xf>
    <xf numFmtId="49" fontId="57" fillId="5" borderId="6" xfId="0" applyNumberFormat="1" applyFont="1" applyFill="1" applyBorder="1" applyAlignment="1">
      <alignment horizontal="center"/>
    </xf>
    <xf numFmtId="49" fontId="57" fillId="5" borderId="29" xfId="0" applyNumberFormat="1" applyFont="1" applyFill="1" applyBorder="1"/>
    <xf numFmtId="1" fontId="57" fillId="5" borderId="6" xfId="0" applyNumberFormat="1" applyFont="1" applyFill="1" applyBorder="1" applyAlignment="1">
      <alignment horizontal="center"/>
    </xf>
    <xf numFmtId="16" fontId="57" fillId="0" borderId="6" xfId="0" applyNumberFormat="1" applyFont="1" applyBorder="1" applyAlignment="1">
      <alignment horizontal="center"/>
    </xf>
    <xf numFmtId="1" fontId="57" fillId="0" borderId="6" xfId="12" applyNumberFormat="1" applyFont="1" applyBorder="1" applyAlignment="1">
      <alignment horizontal="center"/>
    </xf>
    <xf numFmtId="1" fontId="57" fillId="0" borderId="6" xfId="12" applyNumberFormat="1" applyFont="1" applyBorder="1" applyAlignment="1">
      <alignment horizontal="center" wrapText="1"/>
    </xf>
    <xf numFmtId="49" fontId="55" fillId="0" borderId="32" xfId="3" applyNumberFormat="1" applyFont="1" applyBorder="1" applyAlignment="1">
      <alignment horizontal="center"/>
    </xf>
    <xf numFmtId="49" fontId="55" fillId="0" borderId="30" xfId="3" applyNumberFormat="1" applyFont="1" applyBorder="1" applyAlignment="1">
      <alignment horizontal="center"/>
    </xf>
    <xf numFmtId="0" fontId="56" fillId="5" borderId="6" xfId="3" applyFont="1" applyFill="1" applyBorder="1" applyAlignment="1">
      <alignment vertical="center"/>
    </xf>
    <xf numFmtId="0" fontId="55" fillId="0" borderId="29" xfId="3" applyFont="1" applyBorder="1" applyAlignment="1">
      <alignment horizontal="center"/>
    </xf>
    <xf numFmtId="49" fontId="57" fillId="5" borderId="6" xfId="0" applyNumberFormat="1" applyFont="1" applyFill="1" applyBorder="1" applyAlignment="1">
      <alignment horizontal="center" vertical="center"/>
    </xf>
    <xf numFmtId="49" fontId="57" fillId="0" borderId="6" xfId="3" applyNumberFormat="1" applyFont="1" applyBorder="1" applyAlignment="1">
      <alignment horizontal="center"/>
    </xf>
    <xf numFmtId="49" fontId="57" fillId="0" borderId="27" xfId="0" applyNumberFormat="1" applyFont="1" applyBorder="1" applyAlignment="1">
      <alignment horizontal="center" vertical="center"/>
    </xf>
    <xf numFmtId="49" fontId="57" fillId="0" borderId="29" xfId="0" applyNumberFormat="1" applyFont="1" applyBorder="1" applyAlignment="1">
      <alignment horizontal="center" vertical="center"/>
    </xf>
    <xf numFmtId="49" fontId="57" fillId="0" borderId="6" xfId="0" applyNumberFormat="1" applyFont="1" applyBorder="1" applyAlignment="1">
      <alignment vertical="center"/>
    </xf>
    <xf numFmtId="0" fontId="57" fillId="0" borderId="6" xfId="0" applyFont="1" applyBorder="1" applyAlignment="1">
      <alignment horizontal="center" vertical="center"/>
    </xf>
    <xf numFmtId="2" fontId="57" fillId="0" borderId="6" xfId="3" applyNumberFormat="1" applyFont="1" applyBorder="1" applyAlignment="1">
      <alignment horizontal="center"/>
    </xf>
    <xf numFmtId="49" fontId="57" fillId="0" borderId="25" xfId="3" applyNumberFormat="1" applyFont="1" applyBorder="1" applyAlignment="1">
      <alignment horizontal="center"/>
    </xf>
    <xf numFmtId="12" fontId="57" fillId="0" borderId="6" xfId="3" applyNumberFormat="1" applyFont="1" applyBorder="1" applyAlignment="1">
      <alignment horizontal="center"/>
    </xf>
    <xf numFmtId="1" fontId="57" fillId="0" borderId="25" xfId="0" applyNumberFormat="1" applyFont="1" applyBorder="1" applyAlignment="1">
      <alignment horizontal="center" wrapText="1"/>
    </xf>
    <xf numFmtId="0" fontId="57" fillId="0" borderId="27" xfId="0" quotePrefix="1" applyFont="1" applyBorder="1" applyAlignment="1">
      <alignment horizontal="right"/>
    </xf>
    <xf numFmtId="0" fontId="57" fillId="0" borderId="6" xfId="0" quotePrefix="1" applyFont="1" applyBorder="1"/>
    <xf numFmtId="0" fontId="57" fillId="0" borderId="6" xfId="0" applyFont="1" applyBorder="1"/>
    <xf numFmtId="0" fontId="58" fillId="0" borderId="0" xfId="0" applyFont="1" applyAlignment="1">
      <alignment horizontal="center"/>
    </xf>
    <xf numFmtId="49" fontId="57" fillId="0" borderId="6" xfId="3" applyNumberFormat="1" applyFont="1" applyBorder="1"/>
    <xf numFmtId="49" fontId="59" fillId="2" borderId="39" xfId="3" applyNumberFormat="1" applyFont="1" applyFill="1" applyBorder="1" applyAlignment="1">
      <alignment horizontal="center" vertical="center"/>
    </xf>
    <xf numFmtId="49" fontId="59" fillId="2" borderId="0" xfId="3" applyNumberFormat="1" applyFont="1" applyFill="1" applyAlignment="1">
      <alignment horizontal="center" vertical="center"/>
    </xf>
    <xf numFmtId="0" fontId="57" fillId="2" borderId="0" xfId="3" applyFont="1" applyFill="1"/>
    <xf numFmtId="1" fontId="57" fillId="2" borderId="0" xfId="3" applyNumberFormat="1" applyFont="1" applyFill="1" applyAlignment="1">
      <alignment horizontal="center"/>
    </xf>
    <xf numFmtId="166" fontId="57" fillId="2" borderId="0" xfId="3" applyNumberFormat="1" applyFont="1" applyFill="1" applyAlignment="1">
      <alignment horizontal="center" wrapText="1"/>
    </xf>
    <xf numFmtId="0" fontId="57" fillId="2" borderId="50" xfId="3" applyFont="1" applyFill="1" applyBorder="1" applyAlignment="1">
      <alignment horizontal="center"/>
    </xf>
    <xf numFmtId="0" fontId="57" fillId="4" borderId="33" xfId="3" applyFont="1" applyFill="1" applyBorder="1" applyAlignment="1">
      <alignment horizontal="center"/>
    </xf>
    <xf numFmtId="0" fontId="57" fillId="4" borderId="34" xfId="3" applyFont="1" applyFill="1" applyBorder="1" applyAlignment="1">
      <alignment horizontal="center"/>
    </xf>
    <xf numFmtId="0" fontId="57" fillId="4" borderId="34" xfId="3" applyFont="1" applyFill="1" applyBorder="1"/>
    <xf numFmtId="0" fontId="55" fillId="4" borderId="34" xfId="3" applyFont="1" applyFill="1" applyBorder="1" applyAlignment="1">
      <alignment horizontal="center"/>
    </xf>
    <xf numFmtId="1" fontId="55" fillId="4" borderId="34" xfId="3" applyNumberFormat="1" applyFont="1" applyFill="1" applyBorder="1" applyAlignment="1">
      <alignment horizontal="center"/>
    </xf>
    <xf numFmtId="166" fontId="57" fillId="4" borderId="34" xfId="3" applyNumberFormat="1" applyFont="1" applyFill="1" applyBorder="1" applyAlignment="1">
      <alignment horizontal="center" wrapText="1"/>
    </xf>
    <xf numFmtId="0" fontId="57" fillId="4" borderId="35" xfId="3" applyFont="1" applyFill="1" applyBorder="1" applyAlignment="1">
      <alignment horizontal="center"/>
    </xf>
    <xf numFmtId="1" fontId="57" fillId="0" borderId="25" xfId="0" applyNumberFormat="1" applyFont="1" applyBorder="1" applyAlignment="1">
      <alignment horizontal="center"/>
    </xf>
    <xf numFmtId="0" fontId="57" fillId="0" borderId="36" xfId="0" applyFont="1" applyBorder="1" applyAlignment="1">
      <alignment horizontal="center"/>
    </xf>
    <xf numFmtId="1" fontId="57" fillId="0" borderId="22" xfId="0" applyNumberFormat="1" applyFont="1" applyBorder="1" applyAlignment="1">
      <alignment horizontal="center"/>
    </xf>
    <xf numFmtId="0" fontId="57" fillId="0" borderId="22" xfId="0" applyFont="1" applyBorder="1" applyAlignment="1">
      <alignment horizont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26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28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41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60" fillId="3" borderId="34" xfId="1" applyFont="1" applyFill="1" applyBorder="1" applyAlignment="1">
      <alignment horizontal="center" vertical="center" wrapText="1"/>
    </xf>
    <xf numFmtId="0" fontId="60" fillId="3" borderId="35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2" xfId="1" applyFont="1" applyFill="1" applyBorder="1" applyAlignment="1">
      <alignment horizontal="right" vertical="top" wrapText="1"/>
    </xf>
    <xf numFmtId="0" fontId="4" fillId="2" borderId="17" xfId="1" applyFont="1" applyFill="1" applyBorder="1" applyAlignment="1">
      <alignment horizontal="right" vertical="top" wrapText="1"/>
    </xf>
    <xf numFmtId="0" fontId="38" fillId="2" borderId="0" xfId="2" applyFont="1" applyFill="1" applyAlignment="1">
      <alignment horizontal="right"/>
    </xf>
    <xf numFmtId="0" fontId="5" fillId="2" borderId="18" xfId="2" applyFont="1" applyFill="1" applyBorder="1" applyAlignment="1">
      <alignment horizontal="center"/>
    </xf>
    <xf numFmtId="0" fontId="38" fillId="2" borderId="0" xfId="2" applyFont="1" applyFill="1"/>
    <xf numFmtId="0" fontId="4" fillId="4" borderId="20" xfId="3" applyFont="1" applyFill="1" applyBorder="1" applyAlignment="1">
      <alignment horizontal="center" vertical="center"/>
    </xf>
    <xf numFmtId="0" fontId="4" fillId="4" borderId="21" xfId="3" applyFont="1" applyFill="1" applyBorder="1" applyAlignment="1">
      <alignment horizontal="center" vertical="center"/>
    </xf>
    <xf numFmtId="0" fontId="4" fillId="4" borderId="20" xfId="3" applyFont="1" applyFill="1" applyBorder="1" applyAlignment="1">
      <alignment horizontal="center" vertical="center" wrapText="1"/>
    </xf>
    <xf numFmtId="0" fontId="4" fillId="4" borderId="21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/>
    </xf>
    <xf numFmtId="0" fontId="4" fillId="4" borderId="22" xfId="3" applyFont="1" applyFill="1" applyBorder="1" applyAlignment="1">
      <alignment horizontal="center" vertical="center"/>
    </xf>
    <xf numFmtId="1" fontId="57" fillId="0" borderId="28" xfId="0" applyNumberFormat="1" applyFont="1" applyBorder="1" applyAlignment="1">
      <alignment horizontal="center"/>
    </xf>
    <xf numFmtId="1" fontId="57" fillId="0" borderId="29" xfId="0" applyNumberFormat="1" applyFont="1" applyBorder="1" applyAlignment="1">
      <alignment horizontal="center"/>
    </xf>
    <xf numFmtId="0" fontId="55" fillId="0" borderId="24" xfId="3" applyFont="1" applyBorder="1" applyAlignment="1">
      <alignment horizontal="right"/>
    </xf>
    <xf numFmtId="0" fontId="55" fillId="0" borderId="40" xfId="3" applyFont="1" applyBorder="1" applyAlignment="1">
      <alignment horizontal="right"/>
    </xf>
    <xf numFmtId="0" fontId="55" fillId="0" borderId="9" xfId="3" applyFont="1" applyBorder="1" applyAlignment="1">
      <alignment horizontal="right"/>
    </xf>
    <xf numFmtId="166" fontId="57" fillId="0" borderId="25" xfId="3" applyNumberFormat="1" applyFont="1" applyBorder="1" applyAlignment="1">
      <alignment horizontal="right"/>
    </xf>
    <xf numFmtId="0" fontId="57" fillId="2" borderId="36" xfId="3" applyFont="1" applyFill="1" applyBorder="1" applyAlignment="1">
      <alignment horizontal="center"/>
    </xf>
    <xf numFmtId="0" fontId="57" fillId="2" borderId="37" xfId="3" applyFont="1" applyFill="1" applyBorder="1" applyAlignment="1">
      <alignment horizontal="center"/>
    </xf>
    <xf numFmtId="0" fontId="55" fillId="0" borderId="32" xfId="3" applyFont="1" applyBorder="1" applyAlignment="1">
      <alignment horizontal="right"/>
    </xf>
    <xf numFmtId="0" fontId="55" fillId="0" borderId="30" xfId="3" applyFont="1" applyBorder="1" applyAlignment="1">
      <alignment horizontal="right"/>
    </xf>
    <xf numFmtId="0" fontId="55" fillId="0" borderId="29" xfId="3" applyFont="1" applyBorder="1" applyAlignment="1">
      <alignment horizontal="right"/>
    </xf>
    <xf numFmtId="0" fontId="57" fillId="0" borderId="6" xfId="3" applyFont="1" applyBorder="1" applyAlignment="1">
      <alignment horizontal="right"/>
    </xf>
    <xf numFmtId="166" fontId="57" fillId="0" borderId="28" xfId="3" applyNumberFormat="1" applyFont="1" applyBorder="1" applyAlignment="1">
      <alignment horizontal="center"/>
    </xf>
    <xf numFmtId="166" fontId="57" fillId="0" borderId="31" xfId="3" applyNumberFormat="1" applyFont="1" applyBorder="1" applyAlignment="1">
      <alignment horizontal="center"/>
    </xf>
    <xf numFmtId="0" fontId="57" fillId="0" borderId="38" xfId="0" applyFont="1" applyBorder="1" applyAlignment="1">
      <alignment horizontal="left"/>
    </xf>
    <xf numFmtId="0" fontId="57" fillId="0" borderId="9" xfId="0" applyFont="1" applyBorder="1" applyAlignment="1">
      <alignment horizontal="left"/>
    </xf>
    <xf numFmtId="0" fontId="57" fillId="0" borderId="25" xfId="0" applyFont="1" applyBorder="1" applyAlignment="1">
      <alignment horizontal="left"/>
    </xf>
    <xf numFmtId="0" fontId="57" fillId="0" borderId="26" xfId="0" applyFont="1" applyBorder="1" applyAlignment="1">
      <alignment horizontal="left"/>
    </xf>
    <xf numFmtId="166" fontId="57" fillId="0" borderId="28" xfId="3" applyNumberFormat="1" applyFont="1" applyBorder="1" applyAlignment="1">
      <alignment horizontal="right" wrapText="1"/>
    </xf>
    <xf numFmtId="166" fontId="57" fillId="0" borderId="29" xfId="3" applyNumberFormat="1" applyFont="1" applyBorder="1" applyAlignment="1">
      <alignment horizontal="right" wrapText="1"/>
    </xf>
    <xf numFmtId="0" fontId="55" fillId="0" borderId="21" xfId="3" applyFont="1" applyBorder="1" applyAlignment="1">
      <alignment horizontal="right"/>
    </xf>
    <xf numFmtId="0" fontId="55" fillId="0" borderId="14" xfId="3" applyFont="1" applyBorder="1" applyAlignment="1">
      <alignment horizontal="right"/>
    </xf>
    <xf numFmtId="0" fontId="55" fillId="0" borderId="22" xfId="3" applyFont="1" applyBorder="1" applyAlignment="1">
      <alignment horizontal="right"/>
    </xf>
    <xf numFmtId="0" fontId="57" fillId="0" borderId="22" xfId="3" applyFont="1" applyBorder="1" applyAlignment="1">
      <alignment horizontal="right"/>
    </xf>
    <xf numFmtId="166" fontId="57" fillId="0" borderId="15" xfId="3" applyNumberFormat="1" applyFont="1" applyBorder="1" applyAlignment="1">
      <alignment horizontal="center"/>
    </xf>
    <xf numFmtId="166" fontId="57" fillId="0" borderId="53" xfId="3" applyNumberFormat="1" applyFont="1" applyBorder="1" applyAlignment="1">
      <alignment horizontal="center"/>
    </xf>
    <xf numFmtId="0" fontId="55" fillId="4" borderId="33" xfId="3" applyFont="1" applyFill="1" applyBorder="1" applyAlignment="1">
      <alignment horizontal="left"/>
    </xf>
    <xf numFmtId="0" fontId="55" fillId="4" borderId="34" xfId="3" applyFont="1" applyFill="1" applyBorder="1" applyAlignment="1">
      <alignment horizontal="left"/>
    </xf>
    <xf numFmtId="0" fontId="55" fillId="4" borderId="35" xfId="3" applyFont="1" applyFill="1" applyBorder="1" applyAlignment="1">
      <alignment horizontal="left"/>
    </xf>
    <xf numFmtId="0" fontId="57" fillId="2" borderId="56" xfId="1" applyFont="1" applyFill="1" applyBorder="1" applyAlignment="1">
      <alignment horizontal="left"/>
    </xf>
    <xf numFmtId="0" fontId="57" fillId="2" borderId="0" xfId="1" applyFont="1" applyFill="1" applyAlignment="1">
      <alignment horizontal="left"/>
    </xf>
    <xf numFmtId="0" fontId="57" fillId="0" borderId="32" xfId="0" applyFont="1" applyBorder="1" applyAlignment="1">
      <alignment horizontal="left" wrapText="1"/>
    </xf>
    <xf numFmtId="0" fontId="57" fillId="0" borderId="30" xfId="0" applyFont="1" applyBorder="1" applyAlignment="1">
      <alignment horizontal="left" wrapText="1"/>
    </xf>
    <xf numFmtId="0" fontId="57" fillId="0" borderId="31" xfId="0" applyFont="1" applyBorder="1" applyAlignment="1">
      <alignment horizontal="left" wrapText="1"/>
    </xf>
    <xf numFmtId="0" fontId="57" fillId="0" borderId="32" xfId="0" applyFont="1" applyBorder="1" applyAlignment="1">
      <alignment horizontal="left"/>
    </xf>
    <xf numFmtId="0" fontId="57" fillId="0" borderId="30" xfId="0" applyFont="1" applyBorder="1" applyAlignment="1">
      <alignment horizontal="left"/>
    </xf>
    <xf numFmtId="0" fontId="57" fillId="0" borderId="31" xfId="0" applyFont="1" applyBorder="1" applyAlignment="1">
      <alignment horizontal="left"/>
    </xf>
    <xf numFmtId="0" fontId="57" fillId="0" borderId="54" xfId="3" applyFont="1" applyBorder="1" applyAlignment="1">
      <alignment horizontal="left"/>
    </xf>
    <xf numFmtId="0" fontId="57" fillId="0" borderId="16" xfId="3" applyFont="1" applyBorder="1" applyAlignment="1">
      <alignment horizontal="left"/>
    </xf>
    <xf numFmtId="0" fontId="57" fillId="0" borderId="53" xfId="3" applyFont="1" applyBorder="1" applyAlignment="1">
      <alignment horizontal="left"/>
    </xf>
    <xf numFmtId="0" fontId="55" fillId="11" borderId="55" xfId="1" applyFont="1" applyFill="1" applyBorder="1" applyAlignment="1">
      <alignment horizontal="center"/>
    </xf>
    <xf numFmtId="0" fontId="55" fillId="11" borderId="46" xfId="1" applyFont="1" applyFill="1" applyBorder="1" applyAlignment="1">
      <alignment horizontal="center"/>
    </xf>
    <xf numFmtId="0" fontId="57" fillId="2" borderId="28" xfId="1" applyFont="1" applyFill="1" applyBorder="1" applyAlignment="1">
      <alignment horizontal="left"/>
    </xf>
    <xf numFmtId="0" fontId="57" fillId="2" borderId="30" xfId="1" applyFont="1" applyFill="1" applyBorder="1" applyAlignment="1">
      <alignment horizontal="left"/>
    </xf>
    <xf numFmtId="0" fontId="57" fillId="2" borderId="29" xfId="1" applyFont="1" applyFill="1" applyBorder="1" applyAlignment="1">
      <alignment horizontal="left"/>
    </xf>
    <xf numFmtId="0" fontId="27" fillId="0" borderId="41" xfId="0" applyFont="1" applyBorder="1" applyAlignment="1">
      <alignment horizontal="right"/>
    </xf>
    <xf numFmtId="0" fontId="27" fillId="0" borderId="46" xfId="0" applyFont="1" applyBorder="1" applyAlignment="1">
      <alignment horizontal="right"/>
    </xf>
    <xf numFmtId="4" fontId="13" fillId="0" borderId="0" xfId="9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31" fillId="0" borderId="39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50" xfId="0" applyFont="1" applyBorder="1" applyAlignment="1">
      <alignment horizontal="right"/>
    </xf>
    <xf numFmtId="0" fontId="7" fillId="0" borderId="6" xfId="0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0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6" borderId="33" xfId="0" applyFont="1" applyFill="1" applyBorder="1" applyAlignment="1">
      <alignment horizontal="right"/>
    </xf>
    <xf numFmtId="0" fontId="26" fillId="6" borderId="34" xfId="0" applyFont="1" applyFill="1" applyBorder="1" applyAlignment="1">
      <alignment horizontal="right"/>
    </xf>
    <xf numFmtId="0" fontId="28" fillId="0" borderId="18" xfId="0" applyFont="1" applyBorder="1" applyAlignment="1">
      <alignment horizontal="right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27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6" fillId="8" borderId="33" xfId="0" applyFont="1" applyFill="1" applyBorder="1" applyAlignment="1">
      <alignment horizontal="right" vertical="center"/>
    </xf>
    <xf numFmtId="0" fontId="6" fillId="8" borderId="34" xfId="0" applyFont="1" applyFill="1" applyBorder="1" applyAlignment="1">
      <alignment horizontal="right" vertical="center"/>
    </xf>
    <xf numFmtId="0" fontId="6" fillId="8" borderId="35" xfId="0" applyFont="1" applyFill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24" fillId="0" borderId="33" xfId="0" applyFont="1" applyBorder="1" applyAlignment="1">
      <alignment horizontal="right" vertical="center"/>
    </xf>
    <xf numFmtId="0" fontId="24" fillId="0" borderId="34" xfId="0" applyFont="1" applyBorder="1" applyAlignment="1">
      <alignment horizontal="right" vertical="center"/>
    </xf>
    <xf numFmtId="0" fontId="24" fillId="0" borderId="35" xfId="0" applyFont="1" applyBorder="1" applyAlignment="1">
      <alignment horizontal="right" vertical="center"/>
    </xf>
    <xf numFmtId="0" fontId="57" fillId="0" borderId="38" xfId="0" applyFont="1" applyBorder="1" applyAlignment="1">
      <alignment horizontal="left" wrapText="1"/>
    </xf>
  </cellXfs>
  <cellStyles count="54">
    <cellStyle name="20% - Énfasis1" xfId="31" builtinId="30" customBuiltin="1"/>
    <cellStyle name="20% - Énfasis2" xfId="35" builtinId="34" customBuiltin="1"/>
    <cellStyle name="20% - Énfasis3" xfId="39" builtinId="38" customBuiltin="1"/>
    <cellStyle name="20% - Énfasis4" xfId="43" builtinId="42" customBuiltin="1"/>
    <cellStyle name="20% - Énfasis5" xfId="47" builtinId="46" customBuiltin="1"/>
    <cellStyle name="20% - Énfasis6" xfId="51" builtinId="50" customBuiltin="1"/>
    <cellStyle name="40% - Énfasis1" xfId="32" builtinId="31" customBuiltin="1"/>
    <cellStyle name="40% - Énfasis2" xfId="36" builtinId="35" customBuiltin="1"/>
    <cellStyle name="40% - Énfasis3" xfId="40" builtinId="39" customBuiltin="1"/>
    <cellStyle name="40% - Énfasis4" xfId="44" builtinId="43" customBuiltin="1"/>
    <cellStyle name="40% - Énfasis5" xfId="48" builtinId="47" customBuiltin="1"/>
    <cellStyle name="40% - Énfasis6" xfId="52" builtinId="51" customBuiltin="1"/>
    <cellStyle name="60% - Énfasis1" xfId="33" builtinId="32" customBuiltin="1"/>
    <cellStyle name="60% - Énfasis2" xfId="37" builtinId="36" customBuiltin="1"/>
    <cellStyle name="60% - Énfasis3" xfId="41" builtinId="40" customBuiltin="1"/>
    <cellStyle name="60% - Énfasis4" xfId="45" builtinId="44" customBuiltin="1"/>
    <cellStyle name="60% - Énfasis5" xfId="49" builtinId="48" customBuiltin="1"/>
    <cellStyle name="60% - Énfasis6" xfId="53" builtinId="52" customBuiltin="1"/>
    <cellStyle name="Bueno" xfId="18" builtinId="26" customBuiltin="1"/>
    <cellStyle name="Cálculo" xfId="23" builtinId="22" customBuiltin="1"/>
    <cellStyle name="Celda de comprobación" xfId="25" builtinId="23" customBuiltin="1"/>
    <cellStyle name="Celda vinculada" xfId="24" builtinId="24" customBuiltin="1"/>
    <cellStyle name="Encabezado 1" xfId="14" builtinId="16" customBuiltin="1"/>
    <cellStyle name="Encabezado 4" xfId="17" builtinId="19" customBuiltin="1"/>
    <cellStyle name="Énfasis1" xfId="30" builtinId="29" customBuiltin="1"/>
    <cellStyle name="Énfasis2" xfId="34" builtinId="33" customBuiltin="1"/>
    <cellStyle name="Énfasis3" xfId="38" builtinId="37" customBuiltin="1"/>
    <cellStyle name="Énfasis4" xfId="42" builtinId="41" customBuiltin="1"/>
    <cellStyle name="Énfasis5" xfId="46" builtinId="45" customBuiltin="1"/>
    <cellStyle name="Énfasis6" xfId="50" builtinId="49" customBuiltin="1"/>
    <cellStyle name="Entrada" xfId="21" builtinId="20" customBuiltin="1"/>
    <cellStyle name="Incorrecto" xfId="19" builtinId="27" customBuiltin="1"/>
    <cellStyle name="Millares" xfId="8" builtinId="3"/>
    <cellStyle name="Millares [0]" xfId="9" builtinId="6"/>
    <cellStyle name="Millares [0] 2" xfId="6" xr:uid="{935422FF-998A-499C-9088-818969E3A74B}"/>
    <cellStyle name="Millares 2" xfId="5" xr:uid="{C38BE13D-BAD1-4CB3-BC7E-13C43A9EF1E2}"/>
    <cellStyle name="Neutral" xfId="20" builtinId="28" customBuiltin="1"/>
    <cellStyle name="Normal" xfId="0" builtinId="0"/>
    <cellStyle name="Normal 2" xfId="3" xr:uid="{520A9BD4-C4D2-42DF-81FE-5B85EB3F0D06}"/>
    <cellStyle name="Normal 3" xfId="4" xr:uid="{00608F4A-2ED1-4657-8367-A484F05496C7}"/>
    <cellStyle name="Normal 3 2" xfId="12" xr:uid="{3866E02A-E609-4E40-99DF-D1907641AFF6}"/>
    <cellStyle name="Normal 5" xfId="11" xr:uid="{7CDFD8D3-D8F6-4631-85BD-FDB28DEC992C}"/>
    <cellStyle name="Normal_CRITERIOS DE EVALUACION PT DE GB" xfId="1" xr:uid="{E9316FDD-056F-4CD9-AE7F-831788575709}"/>
    <cellStyle name="Normal_CRITERIOS DE EVALUACION PT DE GB 2" xfId="2" xr:uid="{DECC572B-5C25-4351-8532-C1D8A772FC82}"/>
    <cellStyle name="Notas" xfId="27" builtinId="10" customBuiltin="1"/>
    <cellStyle name="Porcentaje" xfId="10" builtinId="5"/>
    <cellStyle name="Porcentaje 2" xfId="7" xr:uid="{66FF3F4E-2D8A-4BEC-9FAE-A54CAB32D046}"/>
    <cellStyle name="Salida" xfId="22" builtinId="21" customBuiltin="1"/>
    <cellStyle name="Texto de advertencia" xfId="26" builtinId="11" customBuiltin="1"/>
    <cellStyle name="Texto explicativo" xfId="28" builtinId="53" customBuiltin="1"/>
    <cellStyle name="Título" xfId="13" builtinId="15" customBuiltin="1"/>
    <cellStyle name="Título 2" xfId="15" builtinId="17" customBuiltin="1"/>
    <cellStyle name="Título 3" xfId="16" builtinId="18" customBuiltin="1"/>
    <cellStyle name="Total" xfId="2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392905</xdr:colOff>
      <xdr:row>0</xdr:row>
      <xdr:rowOff>95250</xdr:rowOff>
    </xdr:from>
    <xdr:to>
      <xdr:col>1</xdr:col>
      <xdr:colOff>857249</xdr:colOff>
      <xdr:row>4</xdr:row>
      <xdr:rowOff>47625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1F0FDD4-86DF-4FE3-A020-54E8F9529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905" y="95250"/>
          <a:ext cx="1666875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REING%20MINI%20CAKES%202023-2024/ESP-RE-FIS-070(11)%20MINI%20CAKE%20CHOCOFRESA%20UD%2030300006.xlsx" TargetMode="External"/><Relationship Id="rId1" Type="http://schemas.openxmlformats.org/officeDocument/2006/relationships/externalLinkPath" Target="/personal/eramirez_fascr_com/Documents/Escritorio/INDUSTRIA%202022/INDUSTRIA%202024/REING%20MINI%20CAKES%202023-2024/ESP-RE-FIS-070(11)%20MINI%20CAKE%20CHOCOFRESA%20UD%20303000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SQUETE CHOC DAWN 100"/>
      <sheetName val="COSTO ROSQUETE"/>
      <sheetName val="ENSAMBLE"/>
      <sheetName val="COSTO ENSAMBLE"/>
    </sheetNames>
    <sheetDataSet>
      <sheetData sheetId="0"/>
      <sheetData sheetId="1">
        <row r="52">
          <cell r="H52">
            <v>136.64119004873046</v>
          </cell>
        </row>
        <row r="53">
          <cell r="H53">
            <v>2.1019774560784814</v>
          </cell>
        </row>
        <row r="55">
          <cell r="H55">
            <v>2.3438715055142345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CA3E-CDD1-46AF-B024-E4FE323D3BD8}">
  <sheetPr>
    <pageSetUpPr fitToPage="1"/>
  </sheetPr>
  <dimension ref="A1:I58"/>
  <sheetViews>
    <sheetView tabSelected="1" zoomScale="80" zoomScaleNormal="80" workbookViewId="0">
      <selection activeCell="A46" sqref="A46:I46"/>
    </sheetView>
  </sheetViews>
  <sheetFormatPr baseColWidth="10" defaultRowHeight="15" x14ac:dyDescent="0.25"/>
  <cols>
    <col min="1" max="1" width="18" customWidth="1"/>
    <col min="2" max="2" width="18.5703125" bestFit="1" customWidth="1"/>
    <col min="3" max="3" width="87.42578125" customWidth="1"/>
    <col min="4" max="4" width="22.7109375" customWidth="1"/>
    <col min="7" max="7" width="26.5703125" customWidth="1"/>
    <col min="8" max="8" width="27" customWidth="1"/>
    <col min="9" max="9" width="23.42578125" bestFit="1" customWidth="1"/>
  </cols>
  <sheetData>
    <row r="1" spans="1:9" ht="15.75" x14ac:dyDescent="0.25">
      <c r="A1" s="208"/>
      <c r="B1" s="209"/>
      <c r="C1" s="214" t="s">
        <v>0</v>
      </c>
      <c r="D1" s="214"/>
      <c r="E1" s="214"/>
      <c r="F1" s="214"/>
      <c r="G1" s="214"/>
      <c r="H1" s="1" t="s">
        <v>1</v>
      </c>
      <c r="I1" s="2" t="s">
        <v>143</v>
      </c>
    </row>
    <row r="2" spans="1:9" ht="16.5" thickBot="1" x14ac:dyDescent="0.3">
      <c r="A2" s="210"/>
      <c r="B2" s="211"/>
      <c r="C2" s="215" t="s">
        <v>2</v>
      </c>
      <c r="D2" s="215"/>
      <c r="E2" s="215"/>
      <c r="F2" s="215"/>
      <c r="G2" s="215"/>
      <c r="H2" s="3" t="s">
        <v>3</v>
      </c>
      <c r="I2" s="4" t="s">
        <v>243</v>
      </c>
    </row>
    <row r="3" spans="1:9" ht="22.5" customHeight="1" thickBot="1" x14ac:dyDescent="0.3">
      <c r="A3" s="210"/>
      <c r="B3" s="211"/>
      <c r="C3" s="216" t="s">
        <v>244</v>
      </c>
      <c r="D3" s="216"/>
      <c r="E3" s="216"/>
      <c r="F3" s="216"/>
      <c r="G3" s="217"/>
      <c r="H3" s="218" t="s">
        <v>4</v>
      </c>
      <c r="I3" s="199">
        <v>45687</v>
      </c>
    </row>
    <row r="4" spans="1:9" x14ac:dyDescent="0.25">
      <c r="A4" s="210"/>
      <c r="B4" s="211"/>
      <c r="C4" s="102" t="s">
        <v>5</v>
      </c>
      <c r="D4" s="202" t="s">
        <v>142</v>
      </c>
      <c r="E4" s="203"/>
      <c r="F4" s="203"/>
      <c r="G4" s="204"/>
      <c r="H4" s="219"/>
      <c r="I4" s="200"/>
    </row>
    <row r="5" spans="1:9" ht="15.75" thickBot="1" x14ac:dyDescent="0.3">
      <c r="A5" s="212"/>
      <c r="B5" s="213"/>
      <c r="C5" s="103" t="s">
        <v>6</v>
      </c>
      <c r="D5" s="205" t="s">
        <v>133</v>
      </c>
      <c r="E5" s="206"/>
      <c r="F5" s="206"/>
      <c r="G5" s="207"/>
      <c r="H5" s="220"/>
      <c r="I5" s="201"/>
    </row>
    <row r="6" spans="1:9" ht="18.75" thickBot="1" x14ac:dyDescent="0.3">
      <c r="A6" s="221" t="s">
        <v>7</v>
      </c>
      <c r="B6" s="221"/>
      <c r="C6" s="221"/>
      <c r="D6" s="222" t="s">
        <v>134</v>
      </c>
      <c r="E6" s="222"/>
      <c r="F6" s="222"/>
      <c r="G6" s="223" t="s">
        <v>8</v>
      </c>
      <c r="H6" s="223"/>
      <c r="I6" s="104" t="s">
        <v>134</v>
      </c>
    </row>
    <row r="7" spans="1:9" x14ac:dyDescent="0.25">
      <c r="A7" s="224" t="s">
        <v>9</v>
      </c>
      <c r="B7" s="226" t="s">
        <v>135</v>
      </c>
      <c r="C7" s="228" t="s">
        <v>10</v>
      </c>
      <c r="D7" s="228" t="s">
        <v>11</v>
      </c>
      <c r="E7" s="228" t="s">
        <v>12</v>
      </c>
      <c r="F7" s="228"/>
      <c r="G7" s="228" t="s">
        <v>13</v>
      </c>
      <c r="H7" s="228"/>
      <c r="I7" s="105" t="s">
        <v>14</v>
      </c>
    </row>
    <row r="8" spans="1:9" ht="27" thickBot="1" x14ac:dyDescent="0.3">
      <c r="A8" s="225"/>
      <c r="B8" s="227"/>
      <c r="C8" s="229"/>
      <c r="D8" s="229"/>
      <c r="E8" s="106" t="s">
        <v>15</v>
      </c>
      <c r="F8" s="107" t="s">
        <v>16</v>
      </c>
      <c r="G8" s="106" t="s">
        <v>15</v>
      </c>
      <c r="H8" s="107" t="s">
        <v>16</v>
      </c>
      <c r="I8" s="108" t="s">
        <v>17</v>
      </c>
    </row>
    <row r="9" spans="1:9" ht="23.25" x14ac:dyDescent="0.35">
      <c r="A9" s="109"/>
      <c r="B9" s="110"/>
      <c r="C9" s="111" t="s">
        <v>136</v>
      </c>
      <c r="D9" s="112"/>
      <c r="E9" s="113"/>
      <c r="F9" s="114"/>
      <c r="G9" s="113"/>
      <c r="H9" s="114"/>
      <c r="I9" s="115"/>
    </row>
    <row r="10" spans="1:9" ht="23.25" x14ac:dyDescent="0.35">
      <c r="A10" s="116" t="s">
        <v>46</v>
      </c>
      <c r="B10" s="117" t="s">
        <v>53</v>
      </c>
      <c r="C10" s="118" t="s">
        <v>47</v>
      </c>
      <c r="D10" s="119" t="s">
        <v>18</v>
      </c>
      <c r="E10" s="119">
        <v>10</v>
      </c>
      <c r="F10" s="120" t="s">
        <v>19</v>
      </c>
      <c r="G10" s="121"/>
      <c r="H10" s="122"/>
      <c r="I10" s="115"/>
    </row>
    <row r="11" spans="1:9" ht="23.25" x14ac:dyDescent="0.35">
      <c r="A11" s="116"/>
      <c r="B11" s="117" t="s">
        <v>234</v>
      </c>
      <c r="C11" s="118" t="s">
        <v>144</v>
      </c>
      <c r="D11" s="119" t="s">
        <v>20</v>
      </c>
      <c r="E11" s="119">
        <v>112</v>
      </c>
      <c r="F11" s="120" t="s">
        <v>19</v>
      </c>
      <c r="G11" s="121"/>
      <c r="H11" s="123"/>
      <c r="I11" s="115"/>
    </row>
    <row r="12" spans="1:9" ht="23.25" x14ac:dyDescent="0.35">
      <c r="A12" s="116" t="s">
        <v>64</v>
      </c>
      <c r="B12" s="117" t="s">
        <v>65</v>
      </c>
      <c r="C12" s="124" t="s">
        <v>66</v>
      </c>
      <c r="D12" s="119" t="s">
        <v>18</v>
      </c>
      <c r="E12" s="125">
        <v>30</v>
      </c>
      <c r="F12" s="126" t="s">
        <v>19</v>
      </c>
      <c r="G12" s="121"/>
      <c r="H12" s="127"/>
      <c r="I12" s="115"/>
    </row>
    <row r="13" spans="1:9" ht="23.25" x14ac:dyDescent="0.35">
      <c r="A13" s="128"/>
      <c r="B13" s="128"/>
      <c r="C13" s="129"/>
      <c r="D13" s="130"/>
      <c r="E13" s="121"/>
      <c r="F13" s="131"/>
      <c r="G13" s="121"/>
      <c r="H13" s="127"/>
      <c r="I13" s="115"/>
    </row>
    <row r="14" spans="1:9" ht="23.25" x14ac:dyDescent="0.35">
      <c r="A14" s="132"/>
      <c r="B14" s="133"/>
      <c r="C14" s="134"/>
      <c r="D14" s="122"/>
      <c r="E14" s="121"/>
      <c r="F14" s="131"/>
      <c r="G14" s="121"/>
      <c r="H14" s="127"/>
      <c r="I14" s="115"/>
    </row>
    <row r="15" spans="1:9" ht="23.25" x14ac:dyDescent="0.35">
      <c r="A15" s="135"/>
      <c r="B15" s="136"/>
      <c r="C15" s="137"/>
      <c r="D15" s="122"/>
      <c r="E15" s="121"/>
      <c r="F15" s="131"/>
      <c r="G15" s="138"/>
      <c r="H15" s="127"/>
      <c r="I15" s="115"/>
    </row>
    <row r="16" spans="1:9" ht="23.25" x14ac:dyDescent="0.35">
      <c r="A16" s="135"/>
      <c r="B16" s="136"/>
      <c r="C16" s="137"/>
      <c r="D16" s="122"/>
      <c r="E16" s="121"/>
      <c r="F16" s="131"/>
      <c r="G16" s="138"/>
      <c r="H16" s="127"/>
      <c r="I16" s="115"/>
    </row>
    <row r="17" spans="1:9" ht="23.25" x14ac:dyDescent="0.35">
      <c r="A17" s="139"/>
      <c r="B17" s="139"/>
      <c r="C17" s="140"/>
      <c r="D17" s="141"/>
      <c r="E17" s="142"/>
      <c r="F17" s="143"/>
      <c r="G17" s="138"/>
      <c r="H17" s="127"/>
      <c r="I17" s="115"/>
    </row>
    <row r="18" spans="1:9" ht="23.25" x14ac:dyDescent="0.35">
      <c r="A18" s="128"/>
      <c r="B18" s="128"/>
      <c r="C18" s="129"/>
      <c r="D18" s="144"/>
      <c r="E18" s="145"/>
      <c r="F18" s="146"/>
      <c r="G18" s="147"/>
      <c r="H18" s="127"/>
      <c r="I18" s="115"/>
    </row>
    <row r="19" spans="1:9" ht="23.25" x14ac:dyDescent="0.35">
      <c r="A19" s="128"/>
      <c r="B19" s="128"/>
      <c r="C19" s="148"/>
      <c r="D19" s="149"/>
      <c r="E19" s="149"/>
      <c r="F19" s="150"/>
      <c r="G19" s="113"/>
      <c r="H19" s="151"/>
      <c r="I19" s="115"/>
    </row>
    <row r="20" spans="1:9" ht="23.25" x14ac:dyDescent="0.35">
      <c r="A20" s="152"/>
      <c r="B20" s="153"/>
      <c r="C20" s="154" t="s">
        <v>137</v>
      </c>
      <c r="D20" s="155" t="s">
        <v>138</v>
      </c>
      <c r="E20" s="156"/>
      <c r="F20" s="150"/>
      <c r="G20" s="113"/>
      <c r="H20" s="151"/>
      <c r="I20" s="115"/>
    </row>
    <row r="21" spans="1:9" ht="23.25" x14ac:dyDescent="0.35">
      <c r="A21" s="116" t="s">
        <v>48</v>
      </c>
      <c r="B21" s="117" t="s">
        <v>54</v>
      </c>
      <c r="C21" s="148" t="s">
        <v>49</v>
      </c>
      <c r="D21" s="119" t="s">
        <v>20</v>
      </c>
      <c r="E21" s="125">
        <v>90</v>
      </c>
      <c r="F21" s="126" t="s">
        <v>19</v>
      </c>
      <c r="G21" s="147"/>
      <c r="H21" s="147" t="s">
        <v>139</v>
      </c>
      <c r="I21" s="115"/>
    </row>
    <row r="22" spans="1:9" ht="23.25" x14ac:dyDescent="0.35">
      <c r="A22" s="116" t="s">
        <v>46</v>
      </c>
      <c r="B22" s="117" t="s">
        <v>53</v>
      </c>
      <c r="C22" s="148" t="s">
        <v>47</v>
      </c>
      <c r="D22" s="119" t="s">
        <v>18</v>
      </c>
      <c r="E22" s="125">
        <v>15</v>
      </c>
      <c r="F22" s="126" t="s">
        <v>19</v>
      </c>
      <c r="G22" s="121"/>
      <c r="H22" s="122"/>
      <c r="I22" s="115"/>
    </row>
    <row r="23" spans="1:9" ht="23.25" x14ac:dyDescent="0.35">
      <c r="A23" s="157" t="s">
        <v>62</v>
      </c>
      <c r="B23" s="157" t="s">
        <v>63</v>
      </c>
      <c r="C23" s="158" t="s">
        <v>68</v>
      </c>
      <c r="D23" s="159" t="s">
        <v>20</v>
      </c>
      <c r="E23" s="125">
        <v>3</v>
      </c>
      <c r="F23" s="131" t="s">
        <v>19</v>
      </c>
      <c r="G23" s="230"/>
      <c r="H23" s="231"/>
      <c r="I23" s="115"/>
    </row>
    <row r="24" spans="1:9" ht="23.25" x14ac:dyDescent="0.35">
      <c r="A24" s="128"/>
      <c r="B24" s="128" t="s">
        <v>235</v>
      </c>
      <c r="C24" s="129" t="s">
        <v>236</v>
      </c>
      <c r="D24" s="159" t="s">
        <v>131</v>
      </c>
      <c r="E24" s="125">
        <v>1</v>
      </c>
      <c r="F24" s="131" t="s">
        <v>22</v>
      </c>
      <c r="G24" s="113"/>
      <c r="H24" s="151"/>
      <c r="I24" s="115"/>
    </row>
    <row r="25" spans="1:9" ht="23.25" x14ac:dyDescent="0.35">
      <c r="A25" s="128"/>
      <c r="B25" s="128"/>
      <c r="C25" s="148"/>
      <c r="D25" s="160" t="s">
        <v>138</v>
      </c>
      <c r="E25" s="161"/>
      <c r="F25" s="162"/>
      <c r="G25" s="113"/>
      <c r="H25" s="151"/>
      <c r="I25" s="115"/>
    </row>
    <row r="26" spans="1:9" ht="23.25" x14ac:dyDescent="0.35">
      <c r="A26" s="163"/>
      <c r="B26" s="164"/>
      <c r="C26" s="165" t="s">
        <v>140</v>
      </c>
      <c r="D26" s="166" t="s">
        <v>138</v>
      </c>
      <c r="E26" s="113"/>
      <c r="F26" s="114"/>
      <c r="G26" s="113"/>
      <c r="H26" s="151"/>
      <c r="I26" s="115"/>
    </row>
    <row r="27" spans="1:9" ht="23.25" x14ac:dyDescent="0.35">
      <c r="A27" s="116" t="s">
        <v>50</v>
      </c>
      <c r="B27" s="117" t="s">
        <v>55</v>
      </c>
      <c r="C27" s="118" t="s">
        <v>51</v>
      </c>
      <c r="D27" s="119" t="s">
        <v>52</v>
      </c>
      <c r="E27" s="167">
        <v>1</v>
      </c>
      <c r="F27" s="168" t="s">
        <v>22</v>
      </c>
      <c r="G27" s="138"/>
      <c r="H27" s="151"/>
      <c r="I27" s="115"/>
    </row>
    <row r="28" spans="1:9" ht="23.25" x14ac:dyDescent="0.35">
      <c r="A28" s="169">
        <v>702077</v>
      </c>
      <c r="B28" s="170" t="s">
        <v>56</v>
      </c>
      <c r="C28" s="171" t="s">
        <v>24</v>
      </c>
      <c r="D28" s="172" t="s">
        <v>26</v>
      </c>
      <c r="E28" s="120">
        <v>1</v>
      </c>
      <c r="F28" s="168" t="s">
        <v>22</v>
      </c>
      <c r="G28" s="173"/>
      <c r="H28" s="151"/>
      <c r="I28" s="115"/>
    </row>
    <row r="29" spans="1:9" ht="23.25" x14ac:dyDescent="0.35">
      <c r="A29" s="169">
        <v>702007</v>
      </c>
      <c r="B29" s="170" t="s">
        <v>57</v>
      </c>
      <c r="C29" s="171" t="s">
        <v>25</v>
      </c>
      <c r="D29" s="172" t="s">
        <v>26</v>
      </c>
      <c r="E29" s="120">
        <v>1</v>
      </c>
      <c r="F29" s="168" t="s">
        <v>22</v>
      </c>
      <c r="G29" s="113"/>
      <c r="H29" s="151"/>
      <c r="I29" s="115"/>
    </row>
    <row r="30" spans="1:9" ht="23.25" x14ac:dyDescent="0.35">
      <c r="A30" s="169">
        <v>702123</v>
      </c>
      <c r="B30" s="170" t="s">
        <v>58</v>
      </c>
      <c r="C30" s="171" t="s">
        <v>27</v>
      </c>
      <c r="D30" s="172"/>
      <c r="E30" s="120" t="s">
        <v>28</v>
      </c>
      <c r="F30" s="168" t="s">
        <v>22</v>
      </c>
      <c r="G30" s="113"/>
      <c r="H30" s="151"/>
      <c r="I30" s="115"/>
    </row>
    <row r="31" spans="1:9" ht="23.25" x14ac:dyDescent="0.35">
      <c r="A31" s="169">
        <v>702174</v>
      </c>
      <c r="B31" s="170" t="s">
        <v>59</v>
      </c>
      <c r="C31" s="171" t="s">
        <v>29</v>
      </c>
      <c r="D31" s="172"/>
      <c r="E31" s="120" t="s">
        <v>45</v>
      </c>
      <c r="F31" s="168" t="s">
        <v>22</v>
      </c>
      <c r="G31" s="113"/>
      <c r="H31" s="151"/>
      <c r="I31" s="115"/>
    </row>
    <row r="32" spans="1:9" ht="23.25" x14ac:dyDescent="0.35">
      <c r="A32" s="169" t="s">
        <v>30</v>
      </c>
      <c r="B32" s="170" t="s">
        <v>60</v>
      </c>
      <c r="C32" s="171" t="s">
        <v>31</v>
      </c>
      <c r="D32" s="172"/>
      <c r="E32" s="120" t="s">
        <v>28</v>
      </c>
      <c r="F32" s="174" t="s">
        <v>22</v>
      </c>
      <c r="G32" s="175"/>
      <c r="H32" s="151"/>
      <c r="I32" s="115"/>
    </row>
    <row r="33" spans="1:9" ht="23.25" x14ac:dyDescent="0.35">
      <c r="A33" s="169">
        <v>701096</v>
      </c>
      <c r="B33" s="170" t="s">
        <v>61</v>
      </c>
      <c r="C33" s="171" t="s">
        <v>32</v>
      </c>
      <c r="D33" s="172"/>
      <c r="E33" s="120">
        <v>1</v>
      </c>
      <c r="F33" s="176" t="s">
        <v>22</v>
      </c>
      <c r="G33" s="149"/>
      <c r="H33" s="151"/>
      <c r="I33" s="115"/>
    </row>
    <row r="34" spans="1:9" ht="23.25" x14ac:dyDescent="0.35">
      <c r="A34" s="177"/>
      <c r="B34" s="128"/>
      <c r="C34" s="178"/>
      <c r="D34" s="179"/>
      <c r="E34" s="131"/>
      <c r="F34" s="131"/>
      <c r="G34" s="149"/>
      <c r="H34" s="151"/>
      <c r="I34" s="115"/>
    </row>
    <row r="35" spans="1:9" ht="23.25" x14ac:dyDescent="0.35">
      <c r="A35" s="128"/>
      <c r="B35" s="180"/>
      <c r="C35" s="129"/>
      <c r="D35" s="122"/>
      <c r="E35" s="121"/>
      <c r="F35" s="131"/>
      <c r="G35" s="149"/>
      <c r="H35" s="155"/>
      <c r="I35" s="115"/>
    </row>
    <row r="36" spans="1:9" ht="23.25" x14ac:dyDescent="0.35">
      <c r="A36" s="152"/>
      <c r="B36" s="153"/>
      <c r="C36" s="181"/>
      <c r="D36" s="155"/>
      <c r="E36" s="155"/>
      <c r="F36" s="150"/>
      <c r="G36" s="155"/>
      <c r="H36" s="155"/>
      <c r="I36" s="115"/>
    </row>
    <row r="37" spans="1:9" ht="24" thickBot="1" x14ac:dyDescent="0.4">
      <c r="A37" s="182"/>
      <c r="B37" s="183"/>
      <c r="C37" s="184"/>
      <c r="D37" s="184"/>
      <c r="E37" s="185"/>
      <c r="F37" s="186"/>
      <c r="G37" s="184"/>
      <c r="H37" s="184"/>
      <c r="I37" s="187"/>
    </row>
    <row r="38" spans="1:9" ht="24" thickBot="1" x14ac:dyDescent="0.4">
      <c r="A38" s="188"/>
      <c r="B38" s="189"/>
      <c r="C38" s="190"/>
      <c r="D38" s="191" t="s">
        <v>15</v>
      </c>
      <c r="E38" s="192" t="s">
        <v>33</v>
      </c>
      <c r="F38" s="193"/>
      <c r="G38" s="190"/>
      <c r="H38" s="190"/>
      <c r="I38" s="194"/>
    </row>
    <row r="39" spans="1:9" ht="23.25" x14ac:dyDescent="0.35">
      <c r="A39" s="232" t="s">
        <v>34</v>
      </c>
      <c r="B39" s="233"/>
      <c r="C39" s="234"/>
      <c r="D39" s="195">
        <v>229</v>
      </c>
      <c r="E39" s="196" t="s">
        <v>19</v>
      </c>
      <c r="F39" s="235" t="s">
        <v>35</v>
      </c>
      <c r="G39" s="235"/>
      <c r="H39" s="236"/>
      <c r="I39" s="237"/>
    </row>
    <row r="40" spans="1:9" ht="23.25" x14ac:dyDescent="0.35">
      <c r="A40" s="238" t="s">
        <v>36</v>
      </c>
      <c r="B40" s="239"/>
      <c r="C40" s="240"/>
      <c r="D40" s="141">
        <v>5</v>
      </c>
      <c r="E40" s="122" t="s">
        <v>37</v>
      </c>
      <c r="F40" s="241" t="s">
        <v>38</v>
      </c>
      <c r="G40" s="241"/>
      <c r="H40" s="242"/>
      <c r="I40" s="243"/>
    </row>
    <row r="41" spans="1:9" ht="23.25" x14ac:dyDescent="0.35">
      <c r="A41" s="238" t="s">
        <v>39</v>
      </c>
      <c r="B41" s="239"/>
      <c r="C41" s="240"/>
      <c r="D41" s="122">
        <v>1</v>
      </c>
      <c r="E41" s="122" t="s">
        <v>22</v>
      </c>
      <c r="F41" s="241" t="s">
        <v>40</v>
      </c>
      <c r="G41" s="241"/>
      <c r="H41" s="242"/>
      <c r="I41" s="243"/>
    </row>
    <row r="42" spans="1:9" ht="23.25" x14ac:dyDescent="0.35">
      <c r="A42" s="238" t="s">
        <v>41</v>
      </c>
      <c r="B42" s="239"/>
      <c r="C42" s="240"/>
      <c r="D42" s="122">
        <v>229</v>
      </c>
      <c r="E42" s="122" t="s">
        <v>19</v>
      </c>
      <c r="F42" s="248" t="s">
        <v>42</v>
      </c>
      <c r="G42" s="249"/>
      <c r="H42" s="242"/>
      <c r="I42" s="243"/>
    </row>
    <row r="43" spans="1:9" ht="24" thickBot="1" x14ac:dyDescent="0.4">
      <c r="A43" s="250" t="s">
        <v>43</v>
      </c>
      <c r="B43" s="251"/>
      <c r="C43" s="252"/>
      <c r="D43" s="197">
        <f>SUM(E10:E24)-D39</f>
        <v>32</v>
      </c>
      <c r="E43" s="198" t="s">
        <v>19</v>
      </c>
      <c r="F43" s="253"/>
      <c r="G43" s="253"/>
      <c r="H43" s="254"/>
      <c r="I43" s="255"/>
    </row>
    <row r="44" spans="1:9" ht="24" thickBot="1" x14ac:dyDescent="0.4">
      <c r="A44" s="256" t="s">
        <v>44</v>
      </c>
      <c r="B44" s="257"/>
      <c r="C44" s="257"/>
      <c r="D44" s="257"/>
      <c r="E44" s="257"/>
      <c r="F44" s="257"/>
      <c r="G44" s="257"/>
      <c r="H44" s="257"/>
      <c r="I44" s="258"/>
    </row>
    <row r="45" spans="1:9" ht="54.75" customHeight="1" x14ac:dyDescent="0.35">
      <c r="A45" s="306" t="s">
        <v>245</v>
      </c>
      <c r="B45" s="245"/>
      <c r="C45" s="246"/>
      <c r="D45" s="246"/>
      <c r="E45" s="246"/>
      <c r="F45" s="246"/>
      <c r="G45" s="246"/>
      <c r="H45" s="246"/>
      <c r="I45" s="247"/>
    </row>
    <row r="46" spans="1:9" ht="23.25" x14ac:dyDescent="0.35">
      <c r="A46" s="244" t="s">
        <v>238</v>
      </c>
      <c r="B46" s="245"/>
      <c r="C46" s="246"/>
      <c r="D46" s="246"/>
      <c r="E46" s="246"/>
      <c r="F46" s="246"/>
      <c r="G46" s="246"/>
      <c r="H46" s="246"/>
      <c r="I46" s="247"/>
    </row>
    <row r="47" spans="1:9" ht="23.25" x14ac:dyDescent="0.35">
      <c r="A47" s="244" t="s">
        <v>239</v>
      </c>
      <c r="B47" s="245"/>
      <c r="C47" s="246"/>
      <c r="D47" s="246"/>
      <c r="E47" s="246"/>
      <c r="F47" s="246"/>
      <c r="G47" s="246"/>
      <c r="H47" s="246"/>
      <c r="I47" s="247"/>
    </row>
    <row r="48" spans="1:9" ht="23.25" x14ac:dyDescent="0.35">
      <c r="A48" s="244" t="s">
        <v>240</v>
      </c>
      <c r="B48" s="245"/>
      <c r="C48" s="246"/>
      <c r="D48" s="246"/>
      <c r="E48" s="246"/>
      <c r="F48" s="246"/>
      <c r="G48" s="246"/>
      <c r="H48" s="246"/>
      <c r="I48" s="247"/>
    </row>
    <row r="49" spans="1:9" ht="23.25" x14ac:dyDescent="0.35">
      <c r="A49" s="244" t="s">
        <v>241</v>
      </c>
      <c r="B49" s="245"/>
      <c r="C49" s="246"/>
      <c r="D49" s="246"/>
      <c r="E49" s="246"/>
      <c r="F49" s="246"/>
      <c r="G49" s="246"/>
      <c r="H49" s="246"/>
      <c r="I49" s="247"/>
    </row>
    <row r="50" spans="1:9" ht="23.25" x14ac:dyDescent="0.35">
      <c r="A50" s="261" t="s">
        <v>242</v>
      </c>
      <c r="B50" s="262"/>
      <c r="C50" s="262"/>
      <c r="D50" s="262"/>
      <c r="E50" s="262"/>
      <c r="F50" s="262"/>
      <c r="G50" s="262"/>
      <c r="H50" s="262"/>
      <c r="I50" s="263"/>
    </row>
    <row r="51" spans="1:9" ht="23.25" x14ac:dyDescent="0.35">
      <c r="A51" s="264" t="s">
        <v>130</v>
      </c>
      <c r="B51" s="265"/>
      <c r="C51" s="265"/>
      <c r="D51" s="265"/>
      <c r="E51" s="265"/>
      <c r="F51" s="265"/>
      <c r="G51" s="265"/>
      <c r="H51" s="265"/>
      <c r="I51" s="266"/>
    </row>
    <row r="52" spans="1:9" ht="23.25" x14ac:dyDescent="0.35">
      <c r="A52" s="264"/>
      <c r="B52" s="265"/>
      <c r="C52" s="265"/>
      <c r="D52" s="265"/>
      <c r="E52" s="265"/>
      <c r="F52" s="265"/>
      <c r="G52" s="265"/>
      <c r="H52" s="265"/>
      <c r="I52" s="266"/>
    </row>
    <row r="53" spans="1:9" ht="18" customHeight="1" x14ac:dyDescent="0.35">
      <c r="A53" s="264"/>
      <c r="B53" s="265"/>
      <c r="C53" s="265"/>
      <c r="D53" s="265"/>
      <c r="E53" s="265"/>
      <c r="F53" s="265"/>
      <c r="G53" s="265"/>
      <c r="H53" s="265"/>
      <c r="I53" s="266"/>
    </row>
    <row r="54" spans="1:9" ht="23.25" x14ac:dyDescent="0.35">
      <c r="A54" s="264"/>
      <c r="B54" s="265"/>
      <c r="C54" s="265"/>
      <c r="D54" s="265"/>
      <c r="E54" s="265"/>
      <c r="F54" s="265"/>
      <c r="G54" s="265"/>
      <c r="H54" s="265"/>
      <c r="I54" s="266"/>
    </row>
    <row r="55" spans="1:9" ht="24" thickBot="1" x14ac:dyDescent="0.4">
      <c r="A55" s="267"/>
      <c r="B55" s="268"/>
      <c r="C55" s="268"/>
      <c r="D55" s="268"/>
      <c r="E55" s="268"/>
      <c r="F55" s="268"/>
      <c r="G55" s="268"/>
      <c r="H55" s="268"/>
      <c r="I55" s="269"/>
    </row>
    <row r="56" spans="1:9" ht="23.25" x14ac:dyDescent="0.35">
      <c r="A56" s="270" t="s">
        <v>141</v>
      </c>
      <c r="B56" s="271"/>
      <c r="C56" s="271"/>
      <c r="D56" s="271"/>
      <c r="E56" s="271"/>
      <c r="F56" s="271"/>
      <c r="G56" s="271"/>
      <c r="H56" s="271"/>
      <c r="I56" s="271"/>
    </row>
    <row r="57" spans="1:9" ht="23.25" x14ac:dyDescent="0.35">
      <c r="A57" s="272" t="s">
        <v>145</v>
      </c>
      <c r="B57" s="273"/>
      <c r="C57" s="273"/>
      <c r="D57" s="273"/>
      <c r="E57" s="273"/>
      <c r="F57" s="273"/>
      <c r="G57" s="273"/>
      <c r="H57" s="273"/>
      <c r="I57" s="274"/>
    </row>
    <row r="58" spans="1:9" ht="23.25" x14ac:dyDescent="0.35">
      <c r="A58" s="259" t="s">
        <v>237</v>
      </c>
      <c r="B58" s="260"/>
      <c r="C58" s="260"/>
      <c r="D58" s="260"/>
      <c r="E58" s="260"/>
      <c r="F58" s="260"/>
      <c r="G58" s="260"/>
      <c r="H58" s="260"/>
      <c r="I58" s="260"/>
    </row>
  </sheetData>
  <mergeCells count="48"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G23:H23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3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7441-8C46-4AA2-BF3A-656C2B5DDA76}">
  <dimension ref="A2:L36"/>
  <sheetViews>
    <sheetView topLeftCell="A28" workbookViewId="0">
      <selection activeCell="C35" sqref="C35"/>
    </sheetView>
  </sheetViews>
  <sheetFormatPr baseColWidth="10" defaultRowHeight="15" x14ac:dyDescent="0.25"/>
  <sheetData>
    <row r="2" spans="1:2" x14ac:dyDescent="0.25">
      <c r="A2" t="s">
        <v>146</v>
      </c>
    </row>
    <row r="3" spans="1:2" x14ac:dyDescent="0.25">
      <c r="A3" t="s">
        <v>147</v>
      </c>
      <c r="B3" t="s">
        <v>148</v>
      </c>
    </row>
    <row r="4" spans="1:2" x14ac:dyDescent="0.25">
      <c r="A4" t="s">
        <v>149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155</v>
      </c>
      <c r="B7" t="s">
        <v>156</v>
      </c>
    </row>
    <row r="8" spans="1:2" x14ac:dyDescent="0.25">
      <c r="A8" t="s">
        <v>157</v>
      </c>
      <c r="B8" t="s">
        <v>158</v>
      </c>
    </row>
    <row r="9" spans="1:2" x14ac:dyDescent="0.25">
      <c r="A9" t="s">
        <v>159</v>
      </c>
      <c r="B9" t="s">
        <v>160</v>
      </c>
    </row>
    <row r="10" spans="1:2" x14ac:dyDescent="0.25">
      <c r="A10" t="s">
        <v>161</v>
      </c>
      <c r="B10" t="s">
        <v>162</v>
      </c>
    </row>
    <row r="11" spans="1:2" x14ac:dyDescent="0.25">
      <c r="A11" t="s">
        <v>163</v>
      </c>
      <c r="B11" t="s">
        <v>138</v>
      </c>
    </row>
    <row r="12" spans="1:2" x14ac:dyDescent="0.25">
      <c r="A12" t="s">
        <v>164</v>
      </c>
      <c r="B12" t="s">
        <v>28</v>
      </c>
    </row>
    <row r="13" spans="1:2" x14ac:dyDescent="0.25">
      <c r="A13" t="s">
        <v>165</v>
      </c>
      <c r="B13" t="s">
        <v>166</v>
      </c>
    </row>
    <row r="14" spans="1:2" x14ac:dyDescent="0.25">
      <c r="A14" t="s">
        <v>167</v>
      </c>
      <c r="B14" t="s">
        <v>168</v>
      </c>
    </row>
    <row r="17" spans="1:12" x14ac:dyDescent="0.25">
      <c r="A17" t="s">
        <v>169</v>
      </c>
      <c r="B17" t="s">
        <v>170</v>
      </c>
    </row>
    <row r="18" spans="1:12" x14ac:dyDescent="0.25">
      <c r="A18" t="s">
        <v>171</v>
      </c>
      <c r="B18" t="s">
        <v>172</v>
      </c>
    </row>
    <row r="20" spans="1:12" x14ac:dyDescent="0.25">
      <c r="A20" t="s">
        <v>173</v>
      </c>
      <c r="B20" t="s">
        <v>174</v>
      </c>
      <c r="C20" t="s">
        <v>175</v>
      </c>
      <c r="D20" t="s">
        <v>176</v>
      </c>
      <c r="E20" t="s">
        <v>177</v>
      </c>
      <c r="F20" t="s">
        <v>178</v>
      </c>
      <c r="G20" t="s">
        <v>179</v>
      </c>
      <c r="H20" t="s">
        <v>180</v>
      </c>
      <c r="I20" t="s">
        <v>78</v>
      </c>
      <c r="J20" t="s">
        <v>75</v>
      </c>
      <c r="K20" t="s">
        <v>181</v>
      </c>
    </row>
    <row r="21" spans="1:12" x14ac:dyDescent="0.25">
      <c r="A21" t="s">
        <v>53</v>
      </c>
      <c r="B21" t="s">
        <v>28</v>
      </c>
      <c r="C21" t="s">
        <v>182</v>
      </c>
      <c r="D21" t="s">
        <v>183</v>
      </c>
      <c r="E21" t="s">
        <v>184</v>
      </c>
      <c r="F21" t="s">
        <v>183</v>
      </c>
      <c r="G21" t="s">
        <v>183</v>
      </c>
      <c r="H21" t="s">
        <v>183</v>
      </c>
      <c r="I21" t="s">
        <v>185</v>
      </c>
      <c r="J21" t="s">
        <v>186</v>
      </c>
      <c r="K21" t="s">
        <v>187</v>
      </c>
      <c r="L21">
        <v>42.55</v>
      </c>
    </row>
    <row r="22" spans="1:12" x14ac:dyDescent="0.25">
      <c r="A22" t="s">
        <v>132</v>
      </c>
      <c r="B22" t="s">
        <v>28</v>
      </c>
      <c r="C22" t="s">
        <v>188</v>
      </c>
      <c r="D22" t="s">
        <v>28</v>
      </c>
      <c r="E22" t="s">
        <v>184</v>
      </c>
      <c r="F22" t="s">
        <v>28</v>
      </c>
      <c r="G22" t="s">
        <v>28</v>
      </c>
      <c r="H22" t="s">
        <v>28</v>
      </c>
      <c r="I22" t="s">
        <v>189</v>
      </c>
      <c r="J22" t="s">
        <v>75</v>
      </c>
      <c r="K22" t="s">
        <v>190</v>
      </c>
      <c r="L22">
        <v>100.88</v>
      </c>
    </row>
    <row r="23" spans="1:12" x14ac:dyDescent="0.25">
      <c r="A23" t="s">
        <v>55</v>
      </c>
      <c r="B23" t="s">
        <v>28</v>
      </c>
      <c r="C23" t="s">
        <v>191</v>
      </c>
      <c r="D23" t="s">
        <v>28</v>
      </c>
      <c r="E23" t="s">
        <v>184</v>
      </c>
      <c r="F23" t="s">
        <v>28</v>
      </c>
      <c r="G23" t="s">
        <v>28</v>
      </c>
      <c r="H23" t="s">
        <v>28</v>
      </c>
      <c r="I23" t="s">
        <v>192</v>
      </c>
      <c r="J23" t="s">
        <v>75</v>
      </c>
      <c r="K23" t="s">
        <v>192</v>
      </c>
      <c r="L23">
        <v>129</v>
      </c>
    </row>
    <row r="24" spans="1:12" x14ac:dyDescent="0.25">
      <c r="A24" t="s">
        <v>56</v>
      </c>
      <c r="B24" t="s">
        <v>28</v>
      </c>
      <c r="C24" t="s">
        <v>193</v>
      </c>
      <c r="D24" t="s">
        <v>28</v>
      </c>
      <c r="E24" t="s">
        <v>184</v>
      </c>
      <c r="F24" t="s">
        <v>28</v>
      </c>
      <c r="G24" t="s">
        <v>28</v>
      </c>
      <c r="H24" t="s">
        <v>28</v>
      </c>
      <c r="I24" t="s">
        <v>194</v>
      </c>
      <c r="J24" t="s">
        <v>75</v>
      </c>
      <c r="K24" t="s">
        <v>194</v>
      </c>
      <c r="L24">
        <v>13.45</v>
      </c>
    </row>
    <row r="25" spans="1:12" x14ac:dyDescent="0.25">
      <c r="A25" t="s">
        <v>57</v>
      </c>
      <c r="B25" t="s">
        <v>28</v>
      </c>
      <c r="C25" t="s">
        <v>195</v>
      </c>
      <c r="D25" t="s">
        <v>28</v>
      </c>
      <c r="E25" t="s">
        <v>184</v>
      </c>
      <c r="F25" t="s">
        <v>28</v>
      </c>
      <c r="G25" t="s">
        <v>28</v>
      </c>
      <c r="H25" t="s">
        <v>28</v>
      </c>
      <c r="I25" t="s">
        <v>196</v>
      </c>
      <c r="J25" t="s">
        <v>75</v>
      </c>
      <c r="K25" t="s">
        <v>196</v>
      </c>
      <c r="L25">
        <v>0.28000000000000003</v>
      </c>
    </row>
    <row r="26" spans="1:12" x14ac:dyDescent="0.25">
      <c r="A26" t="s">
        <v>58</v>
      </c>
      <c r="B26" t="s">
        <v>28</v>
      </c>
      <c r="C26" t="s">
        <v>197</v>
      </c>
      <c r="D26" t="s">
        <v>28</v>
      </c>
      <c r="E26" t="s">
        <v>184</v>
      </c>
      <c r="F26" t="s">
        <v>28</v>
      </c>
      <c r="G26" t="s">
        <v>28</v>
      </c>
      <c r="H26" t="s">
        <v>28</v>
      </c>
      <c r="I26" t="s">
        <v>198</v>
      </c>
      <c r="J26" t="s">
        <v>75</v>
      </c>
      <c r="K26" t="s">
        <v>199</v>
      </c>
      <c r="L26">
        <v>2.13</v>
      </c>
    </row>
    <row r="27" spans="1:12" x14ac:dyDescent="0.25">
      <c r="A27" t="s">
        <v>59</v>
      </c>
      <c r="B27" t="s">
        <v>28</v>
      </c>
      <c r="C27" t="s">
        <v>200</v>
      </c>
      <c r="D27" t="s">
        <v>45</v>
      </c>
      <c r="E27" t="s">
        <v>184</v>
      </c>
      <c r="F27" t="s">
        <v>45</v>
      </c>
      <c r="G27" t="s">
        <v>45</v>
      </c>
      <c r="H27" t="s">
        <v>45</v>
      </c>
      <c r="I27" t="s">
        <v>201</v>
      </c>
      <c r="J27" t="s">
        <v>75</v>
      </c>
      <c r="K27" t="s">
        <v>202</v>
      </c>
      <c r="L27">
        <v>12</v>
      </c>
    </row>
    <row r="28" spans="1:12" x14ac:dyDescent="0.25">
      <c r="A28" t="s">
        <v>60</v>
      </c>
      <c r="B28" t="s">
        <v>28</v>
      </c>
      <c r="C28" t="s">
        <v>203</v>
      </c>
      <c r="D28" t="s">
        <v>204</v>
      </c>
      <c r="E28" t="s">
        <v>184</v>
      </c>
      <c r="F28" t="s">
        <v>204</v>
      </c>
      <c r="G28" t="s">
        <v>204</v>
      </c>
      <c r="H28" t="s">
        <v>204</v>
      </c>
      <c r="I28" t="s">
        <v>205</v>
      </c>
      <c r="J28" t="s">
        <v>75</v>
      </c>
      <c r="K28" t="s">
        <v>206</v>
      </c>
      <c r="L28">
        <v>12.8</v>
      </c>
    </row>
    <row r="29" spans="1:12" x14ac:dyDescent="0.25">
      <c r="A29" t="s">
        <v>61</v>
      </c>
      <c r="B29" t="s">
        <v>28</v>
      </c>
      <c r="C29" t="s">
        <v>207</v>
      </c>
      <c r="D29" t="s">
        <v>28</v>
      </c>
      <c r="E29" t="s">
        <v>184</v>
      </c>
      <c r="F29" t="s">
        <v>28</v>
      </c>
      <c r="G29" t="s">
        <v>28</v>
      </c>
      <c r="H29" t="s">
        <v>28</v>
      </c>
      <c r="I29" t="s">
        <v>208</v>
      </c>
      <c r="J29" t="s">
        <v>75</v>
      </c>
      <c r="K29" t="s">
        <v>208</v>
      </c>
      <c r="L29">
        <v>0.39</v>
      </c>
    </row>
    <row r="30" spans="1:12" x14ac:dyDescent="0.25">
      <c r="A30" t="s">
        <v>209</v>
      </c>
      <c r="B30" t="s">
        <v>28</v>
      </c>
      <c r="C30" t="s">
        <v>210</v>
      </c>
      <c r="D30" t="s">
        <v>211</v>
      </c>
      <c r="E30" t="s">
        <v>184</v>
      </c>
      <c r="F30" t="s">
        <v>211</v>
      </c>
      <c r="G30" t="s">
        <v>211</v>
      </c>
      <c r="H30" t="s">
        <v>211</v>
      </c>
      <c r="I30" t="s">
        <v>212</v>
      </c>
      <c r="J30" t="s">
        <v>75</v>
      </c>
      <c r="K30" t="s">
        <v>213</v>
      </c>
      <c r="L30">
        <v>251.79</v>
      </c>
    </row>
    <row r="31" spans="1:12" x14ac:dyDescent="0.25">
      <c r="A31" t="s">
        <v>214</v>
      </c>
      <c r="B31" t="s">
        <v>28</v>
      </c>
      <c r="C31" t="s">
        <v>215</v>
      </c>
      <c r="D31" t="s">
        <v>211</v>
      </c>
      <c r="E31" t="s">
        <v>184</v>
      </c>
      <c r="F31" t="s">
        <v>211</v>
      </c>
      <c r="G31" t="s">
        <v>211</v>
      </c>
      <c r="H31" t="s">
        <v>211</v>
      </c>
      <c r="I31" t="s">
        <v>216</v>
      </c>
      <c r="J31" t="s">
        <v>75</v>
      </c>
      <c r="K31" t="s">
        <v>217</v>
      </c>
      <c r="L31">
        <v>209.28</v>
      </c>
    </row>
    <row r="32" spans="1:12" x14ac:dyDescent="0.25">
      <c r="A32" t="s">
        <v>54</v>
      </c>
      <c r="B32" t="s">
        <v>28</v>
      </c>
      <c r="C32" t="s">
        <v>218</v>
      </c>
      <c r="D32" t="s">
        <v>219</v>
      </c>
      <c r="E32" t="s">
        <v>184</v>
      </c>
      <c r="F32" t="s">
        <v>219</v>
      </c>
      <c r="G32" t="s">
        <v>219</v>
      </c>
      <c r="H32" t="s">
        <v>219</v>
      </c>
      <c r="I32" t="s">
        <v>220</v>
      </c>
      <c r="J32" t="s">
        <v>221</v>
      </c>
      <c r="K32" t="s">
        <v>222</v>
      </c>
      <c r="L32">
        <v>195.65</v>
      </c>
    </row>
    <row r="33" spans="1:12" x14ac:dyDescent="0.25">
      <c r="A33" t="s">
        <v>65</v>
      </c>
      <c r="B33" t="s">
        <v>28</v>
      </c>
      <c r="C33" t="s">
        <v>223</v>
      </c>
      <c r="D33" t="s">
        <v>224</v>
      </c>
      <c r="E33" t="s">
        <v>184</v>
      </c>
      <c r="F33" t="s">
        <v>224</v>
      </c>
      <c r="G33" t="s">
        <v>224</v>
      </c>
      <c r="H33" t="s">
        <v>224</v>
      </c>
      <c r="I33" t="s">
        <v>225</v>
      </c>
      <c r="J33" t="s">
        <v>221</v>
      </c>
      <c r="K33" t="s">
        <v>226</v>
      </c>
      <c r="L33">
        <v>66.13</v>
      </c>
    </row>
    <row r="34" spans="1:12" x14ac:dyDescent="0.25">
      <c r="A34" t="s">
        <v>63</v>
      </c>
      <c r="B34" t="s">
        <v>28</v>
      </c>
      <c r="C34" t="s">
        <v>227</v>
      </c>
      <c r="D34" t="s">
        <v>228</v>
      </c>
      <c r="E34" t="s">
        <v>184</v>
      </c>
      <c r="F34" t="s">
        <v>228</v>
      </c>
      <c r="G34" t="s">
        <v>228</v>
      </c>
      <c r="H34" t="s">
        <v>228</v>
      </c>
      <c r="I34" t="s">
        <v>229</v>
      </c>
      <c r="J34" t="s">
        <v>221</v>
      </c>
      <c r="K34" t="s">
        <v>230</v>
      </c>
      <c r="L34">
        <v>15.4</v>
      </c>
    </row>
    <row r="35" spans="1:12" x14ac:dyDescent="0.25">
      <c r="A35" t="s">
        <v>129</v>
      </c>
      <c r="B35" t="s">
        <v>28</v>
      </c>
      <c r="C35" t="s">
        <v>231</v>
      </c>
      <c r="D35" t="s">
        <v>28</v>
      </c>
      <c r="E35" t="s">
        <v>184</v>
      </c>
      <c r="F35" t="s">
        <v>28</v>
      </c>
      <c r="G35" t="s">
        <v>28</v>
      </c>
      <c r="H35" t="s">
        <v>28</v>
      </c>
      <c r="I35" t="s">
        <v>232</v>
      </c>
      <c r="J35" t="s">
        <v>75</v>
      </c>
      <c r="K35" t="s">
        <v>233</v>
      </c>
      <c r="L35">
        <v>127.45</v>
      </c>
    </row>
    <row r="36" spans="1:12" x14ac:dyDescent="0.25">
      <c r="L36">
        <f>SUM(L21:L35)</f>
        <v>1179.18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1E25-0AE0-4AAE-A20C-7A542EC9C23C}">
  <dimension ref="A2:L36"/>
  <sheetViews>
    <sheetView topLeftCell="A22" workbookViewId="0">
      <selection activeCell="I35" sqref="I35"/>
    </sheetView>
  </sheetViews>
  <sheetFormatPr baseColWidth="10" defaultColWidth="11.42578125" defaultRowHeight="15" x14ac:dyDescent="0.25"/>
  <sheetData>
    <row r="2" spans="1:2" x14ac:dyDescent="0.25">
      <c r="A2" t="s">
        <v>146</v>
      </c>
    </row>
    <row r="3" spans="1:2" x14ac:dyDescent="0.25">
      <c r="A3" t="s">
        <v>147</v>
      </c>
      <c r="B3" t="s">
        <v>148</v>
      </c>
    </row>
    <row r="4" spans="1:2" x14ac:dyDescent="0.25">
      <c r="A4" t="s">
        <v>149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155</v>
      </c>
      <c r="B7" t="s">
        <v>156</v>
      </c>
    </row>
    <row r="8" spans="1:2" x14ac:dyDescent="0.25">
      <c r="A8" t="s">
        <v>157</v>
      </c>
      <c r="B8" t="s">
        <v>158</v>
      </c>
    </row>
    <row r="9" spans="1:2" x14ac:dyDescent="0.25">
      <c r="A9" t="s">
        <v>159</v>
      </c>
      <c r="B9" t="s">
        <v>160</v>
      </c>
    </row>
    <row r="10" spans="1:2" x14ac:dyDescent="0.25">
      <c r="A10" t="s">
        <v>161</v>
      </c>
      <c r="B10" t="s">
        <v>162</v>
      </c>
    </row>
    <row r="11" spans="1:2" x14ac:dyDescent="0.25">
      <c r="A11" t="s">
        <v>163</v>
      </c>
      <c r="B11" t="s">
        <v>138</v>
      </c>
    </row>
    <row r="12" spans="1:2" x14ac:dyDescent="0.25">
      <c r="A12" t="s">
        <v>164</v>
      </c>
      <c r="B12" t="s">
        <v>28</v>
      </c>
    </row>
    <row r="13" spans="1:2" x14ac:dyDescent="0.25">
      <c r="A13" t="s">
        <v>165</v>
      </c>
      <c r="B13" t="s">
        <v>166</v>
      </c>
    </row>
    <row r="14" spans="1:2" x14ac:dyDescent="0.25">
      <c r="A14" t="s">
        <v>167</v>
      </c>
      <c r="B14" t="s">
        <v>168</v>
      </c>
    </row>
    <row r="17" spans="1:12" x14ac:dyDescent="0.25">
      <c r="A17" t="s">
        <v>169</v>
      </c>
      <c r="B17" t="s">
        <v>170</v>
      </c>
    </row>
    <row r="18" spans="1:12" x14ac:dyDescent="0.25">
      <c r="A18" t="s">
        <v>171</v>
      </c>
      <c r="B18" t="s">
        <v>172</v>
      </c>
    </row>
    <row r="20" spans="1:12" x14ac:dyDescent="0.25">
      <c r="A20" t="s">
        <v>173</v>
      </c>
      <c r="B20" t="s">
        <v>174</v>
      </c>
      <c r="C20" t="s">
        <v>175</v>
      </c>
      <c r="D20" t="s">
        <v>176</v>
      </c>
      <c r="E20" t="s">
        <v>177</v>
      </c>
      <c r="F20" t="s">
        <v>178</v>
      </c>
      <c r="G20" t="s">
        <v>179</v>
      </c>
      <c r="H20" t="s">
        <v>180</v>
      </c>
      <c r="I20" t="s">
        <v>78</v>
      </c>
      <c r="J20" t="s">
        <v>75</v>
      </c>
      <c r="K20" t="s">
        <v>181</v>
      </c>
    </row>
    <row r="21" spans="1:12" x14ac:dyDescent="0.25">
      <c r="A21" t="s">
        <v>53</v>
      </c>
      <c r="B21" t="s">
        <v>28</v>
      </c>
      <c r="C21" t="s">
        <v>182</v>
      </c>
      <c r="D21" t="s">
        <v>183</v>
      </c>
      <c r="E21" t="s">
        <v>184</v>
      </c>
      <c r="F21" t="s">
        <v>183</v>
      </c>
      <c r="G21" t="s">
        <v>183</v>
      </c>
      <c r="H21" t="s">
        <v>183</v>
      </c>
      <c r="I21" t="s">
        <v>185</v>
      </c>
      <c r="J21" t="s">
        <v>186</v>
      </c>
      <c r="K21" t="s">
        <v>187</v>
      </c>
      <c r="L21">
        <v>42.55</v>
      </c>
    </row>
    <row r="22" spans="1:12" x14ac:dyDescent="0.25">
      <c r="A22" t="s">
        <v>132</v>
      </c>
      <c r="B22" t="s">
        <v>28</v>
      </c>
      <c r="C22" t="s">
        <v>188</v>
      </c>
      <c r="D22" t="s">
        <v>28</v>
      </c>
      <c r="E22" t="s">
        <v>184</v>
      </c>
      <c r="F22" t="s">
        <v>28</v>
      </c>
      <c r="G22" t="s">
        <v>28</v>
      </c>
      <c r="H22" t="s">
        <v>28</v>
      </c>
      <c r="I22" t="s">
        <v>189</v>
      </c>
      <c r="J22" t="s">
        <v>75</v>
      </c>
      <c r="K22" t="s">
        <v>190</v>
      </c>
      <c r="L22">
        <v>100.88</v>
      </c>
    </row>
    <row r="23" spans="1:12" x14ac:dyDescent="0.25">
      <c r="A23" t="s">
        <v>55</v>
      </c>
      <c r="B23" t="s">
        <v>28</v>
      </c>
      <c r="C23" t="s">
        <v>191</v>
      </c>
      <c r="D23" t="s">
        <v>28</v>
      </c>
      <c r="E23" t="s">
        <v>184</v>
      </c>
      <c r="F23" t="s">
        <v>28</v>
      </c>
      <c r="G23" t="s">
        <v>28</v>
      </c>
      <c r="H23" t="s">
        <v>28</v>
      </c>
      <c r="I23" t="s">
        <v>192</v>
      </c>
      <c r="J23" t="s">
        <v>75</v>
      </c>
      <c r="K23" t="s">
        <v>192</v>
      </c>
      <c r="L23">
        <v>129</v>
      </c>
    </row>
    <row r="24" spans="1:12" x14ac:dyDescent="0.25">
      <c r="A24" t="s">
        <v>56</v>
      </c>
      <c r="B24" t="s">
        <v>28</v>
      </c>
      <c r="C24" t="s">
        <v>193</v>
      </c>
      <c r="D24" t="s">
        <v>28</v>
      </c>
      <c r="E24" t="s">
        <v>184</v>
      </c>
      <c r="F24" t="s">
        <v>28</v>
      </c>
      <c r="G24" t="s">
        <v>28</v>
      </c>
      <c r="H24" t="s">
        <v>28</v>
      </c>
      <c r="I24" t="s">
        <v>194</v>
      </c>
      <c r="J24" t="s">
        <v>75</v>
      </c>
      <c r="K24" t="s">
        <v>194</v>
      </c>
      <c r="L24">
        <v>13.45</v>
      </c>
    </row>
    <row r="25" spans="1:12" x14ac:dyDescent="0.25">
      <c r="A25" t="s">
        <v>57</v>
      </c>
      <c r="B25" t="s">
        <v>28</v>
      </c>
      <c r="C25" t="s">
        <v>195</v>
      </c>
      <c r="D25" t="s">
        <v>28</v>
      </c>
      <c r="E25" t="s">
        <v>184</v>
      </c>
      <c r="F25" t="s">
        <v>28</v>
      </c>
      <c r="G25" t="s">
        <v>28</v>
      </c>
      <c r="H25" t="s">
        <v>28</v>
      </c>
      <c r="I25" t="s">
        <v>196</v>
      </c>
      <c r="J25" t="s">
        <v>75</v>
      </c>
      <c r="K25" t="s">
        <v>196</v>
      </c>
      <c r="L25">
        <v>0.28000000000000003</v>
      </c>
    </row>
    <row r="26" spans="1:12" x14ac:dyDescent="0.25">
      <c r="A26" t="s">
        <v>58</v>
      </c>
      <c r="B26" t="s">
        <v>28</v>
      </c>
      <c r="C26" t="s">
        <v>197</v>
      </c>
      <c r="D26" t="s">
        <v>28</v>
      </c>
      <c r="E26" t="s">
        <v>184</v>
      </c>
      <c r="F26" t="s">
        <v>28</v>
      </c>
      <c r="G26" t="s">
        <v>28</v>
      </c>
      <c r="H26" t="s">
        <v>28</v>
      </c>
      <c r="I26" t="s">
        <v>198</v>
      </c>
      <c r="J26" t="s">
        <v>75</v>
      </c>
      <c r="K26" t="s">
        <v>199</v>
      </c>
      <c r="L26">
        <v>2.13</v>
      </c>
    </row>
    <row r="27" spans="1:12" x14ac:dyDescent="0.25">
      <c r="A27" t="s">
        <v>59</v>
      </c>
      <c r="B27" t="s">
        <v>28</v>
      </c>
      <c r="C27" t="s">
        <v>200</v>
      </c>
      <c r="D27" t="s">
        <v>45</v>
      </c>
      <c r="E27" t="s">
        <v>184</v>
      </c>
      <c r="F27" t="s">
        <v>45</v>
      </c>
      <c r="G27" t="s">
        <v>45</v>
      </c>
      <c r="H27" t="s">
        <v>45</v>
      </c>
      <c r="I27" t="s">
        <v>201</v>
      </c>
      <c r="J27" t="s">
        <v>75</v>
      </c>
      <c r="K27" t="s">
        <v>202</v>
      </c>
      <c r="L27">
        <v>12</v>
      </c>
    </row>
    <row r="28" spans="1:12" x14ac:dyDescent="0.25">
      <c r="A28" t="s">
        <v>60</v>
      </c>
      <c r="B28" t="s">
        <v>28</v>
      </c>
      <c r="C28" t="s">
        <v>203</v>
      </c>
      <c r="D28" t="s">
        <v>204</v>
      </c>
      <c r="E28" t="s">
        <v>184</v>
      </c>
      <c r="F28" t="s">
        <v>204</v>
      </c>
      <c r="G28" t="s">
        <v>204</v>
      </c>
      <c r="H28" t="s">
        <v>204</v>
      </c>
      <c r="I28" t="s">
        <v>205</v>
      </c>
      <c r="J28" t="s">
        <v>75</v>
      </c>
      <c r="K28" t="s">
        <v>206</v>
      </c>
      <c r="L28">
        <v>12.8</v>
      </c>
    </row>
    <row r="29" spans="1:12" x14ac:dyDescent="0.25">
      <c r="A29" t="s">
        <v>61</v>
      </c>
      <c r="B29" t="s">
        <v>28</v>
      </c>
      <c r="C29" t="s">
        <v>207</v>
      </c>
      <c r="D29" t="s">
        <v>28</v>
      </c>
      <c r="E29" t="s">
        <v>184</v>
      </c>
      <c r="F29" t="s">
        <v>28</v>
      </c>
      <c r="G29" t="s">
        <v>28</v>
      </c>
      <c r="H29" t="s">
        <v>28</v>
      </c>
      <c r="I29" t="s">
        <v>208</v>
      </c>
      <c r="J29" t="s">
        <v>75</v>
      </c>
      <c r="K29" t="s">
        <v>208</v>
      </c>
      <c r="L29">
        <v>0.39</v>
      </c>
    </row>
    <row r="30" spans="1:12" x14ac:dyDescent="0.25">
      <c r="A30" t="s">
        <v>209</v>
      </c>
      <c r="B30" t="s">
        <v>28</v>
      </c>
      <c r="C30" t="s">
        <v>210</v>
      </c>
      <c r="D30" t="s">
        <v>211</v>
      </c>
      <c r="E30" t="s">
        <v>184</v>
      </c>
      <c r="F30" t="s">
        <v>211</v>
      </c>
      <c r="G30" t="s">
        <v>211</v>
      </c>
      <c r="H30" t="s">
        <v>211</v>
      </c>
      <c r="I30" t="s">
        <v>212</v>
      </c>
      <c r="J30" t="s">
        <v>75</v>
      </c>
      <c r="K30" t="s">
        <v>213</v>
      </c>
      <c r="L30">
        <v>251.79</v>
      </c>
    </row>
    <row r="31" spans="1:12" x14ac:dyDescent="0.25">
      <c r="A31" t="s">
        <v>214</v>
      </c>
      <c r="B31" t="s">
        <v>28</v>
      </c>
      <c r="C31" t="s">
        <v>215</v>
      </c>
      <c r="D31" t="s">
        <v>211</v>
      </c>
      <c r="E31" t="s">
        <v>184</v>
      </c>
      <c r="F31" t="s">
        <v>211</v>
      </c>
      <c r="G31" t="s">
        <v>211</v>
      </c>
      <c r="H31" t="s">
        <v>211</v>
      </c>
      <c r="I31" t="s">
        <v>216</v>
      </c>
      <c r="J31" t="s">
        <v>75</v>
      </c>
      <c r="K31" t="s">
        <v>217</v>
      </c>
      <c r="L31">
        <v>209.28</v>
      </c>
    </row>
    <row r="32" spans="1:12" x14ac:dyDescent="0.25">
      <c r="A32" t="s">
        <v>54</v>
      </c>
      <c r="B32" t="s">
        <v>28</v>
      </c>
      <c r="C32" t="s">
        <v>218</v>
      </c>
      <c r="D32" t="s">
        <v>219</v>
      </c>
      <c r="E32" t="s">
        <v>184</v>
      </c>
      <c r="F32" t="s">
        <v>219</v>
      </c>
      <c r="G32" t="s">
        <v>219</v>
      </c>
      <c r="H32" t="s">
        <v>219</v>
      </c>
      <c r="I32" t="s">
        <v>220</v>
      </c>
      <c r="J32" t="s">
        <v>221</v>
      </c>
      <c r="K32" t="s">
        <v>222</v>
      </c>
      <c r="L32">
        <v>195.65</v>
      </c>
    </row>
    <row r="33" spans="1:12" x14ac:dyDescent="0.25">
      <c r="A33" t="s">
        <v>65</v>
      </c>
      <c r="B33" t="s">
        <v>28</v>
      </c>
      <c r="C33" t="s">
        <v>223</v>
      </c>
      <c r="D33" t="s">
        <v>224</v>
      </c>
      <c r="E33" t="s">
        <v>184</v>
      </c>
      <c r="F33" t="s">
        <v>224</v>
      </c>
      <c r="G33" t="s">
        <v>224</v>
      </c>
      <c r="H33" t="s">
        <v>224</v>
      </c>
      <c r="I33" t="s">
        <v>225</v>
      </c>
      <c r="J33" t="s">
        <v>221</v>
      </c>
      <c r="K33" t="s">
        <v>226</v>
      </c>
      <c r="L33">
        <v>66.13</v>
      </c>
    </row>
    <row r="34" spans="1:12" x14ac:dyDescent="0.25">
      <c r="A34" t="s">
        <v>63</v>
      </c>
      <c r="B34" t="s">
        <v>28</v>
      </c>
      <c r="C34" t="s">
        <v>227</v>
      </c>
      <c r="D34" t="s">
        <v>228</v>
      </c>
      <c r="E34" t="s">
        <v>184</v>
      </c>
      <c r="F34" t="s">
        <v>228</v>
      </c>
      <c r="G34" t="s">
        <v>228</v>
      </c>
      <c r="H34" t="s">
        <v>228</v>
      </c>
      <c r="I34" t="s">
        <v>229</v>
      </c>
      <c r="J34" t="s">
        <v>221</v>
      </c>
      <c r="K34" t="s">
        <v>230</v>
      </c>
      <c r="L34">
        <v>15.4</v>
      </c>
    </row>
    <row r="35" spans="1:12" x14ac:dyDescent="0.25">
      <c r="A35" t="s">
        <v>129</v>
      </c>
      <c r="B35" t="s">
        <v>28</v>
      </c>
      <c r="C35" t="s">
        <v>231</v>
      </c>
      <c r="D35" t="s">
        <v>28</v>
      </c>
      <c r="E35" t="s">
        <v>184</v>
      </c>
      <c r="F35" t="s">
        <v>28</v>
      </c>
      <c r="G35" t="s">
        <v>28</v>
      </c>
      <c r="H35" t="s">
        <v>28</v>
      </c>
      <c r="I35">
        <v>151.34</v>
      </c>
      <c r="J35" t="s">
        <v>75</v>
      </c>
      <c r="K35">
        <v>151.34</v>
      </c>
      <c r="L35">
        <v>151.34</v>
      </c>
    </row>
    <row r="36" spans="1:12" x14ac:dyDescent="0.25">
      <c r="L36">
        <f>SUM(L21:L35)</f>
        <v>1203.07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FFE3-ABC2-4D6E-AEB6-DBE1AAC7A722}">
  <dimension ref="A1:Q94"/>
  <sheetViews>
    <sheetView topLeftCell="A40" workbookViewId="0">
      <selection activeCell="A27" sqref="A27:H33"/>
    </sheetView>
  </sheetViews>
  <sheetFormatPr baseColWidth="10" defaultColWidth="8.42578125" defaultRowHeight="12.75" x14ac:dyDescent="0.25"/>
  <cols>
    <col min="1" max="1" width="10" style="10" bestFit="1" customWidth="1"/>
    <col min="2" max="2" width="44.28515625" style="10" bestFit="1" customWidth="1"/>
    <col min="3" max="3" width="10.42578125" style="10" bestFit="1" customWidth="1"/>
    <col min="4" max="4" width="10.42578125" style="10" customWidth="1"/>
    <col min="5" max="5" width="9.7109375" style="10" bestFit="1" customWidth="1"/>
    <col min="6" max="6" width="9.5703125" style="10" bestFit="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7109375" style="9" customWidth="1"/>
    <col min="11" max="11" width="7" style="10" bestFit="1" customWidth="1"/>
    <col min="12" max="12" width="6.28515625" style="10" customWidth="1"/>
    <col min="13" max="13" width="20.42578125" style="10" customWidth="1"/>
    <col min="14" max="14" width="6.42578125" style="10" bestFit="1" customWidth="1"/>
    <col min="15" max="16" width="8.42578125" style="10"/>
    <col min="17" max="17" width="3.28515625" style="10" customWidth="1"/>
    <col min="18" max="256" width="8.42578125" style="10"/>
    <col min="257" max="257" width="10" style="10" bestFit="1" customWidth="1"/>
    <col min="258" max="258" width="44.28515625" style="10" bestFit="1" customWidth="1"/>
    <col min="259" max="259" width="10.42578125" style="10" bestFit="1" customWidth="1"/>
    <col min="260" max="260" width="10.42578125" style="10" customWidth="1"/>
    <col min="261" max="261" width="9.7109375" style="10" bestFit="1" customWidth="1"/>
    <col min="262" max="263" width="9.5703125" style="10" bestFit="1" customWidth="1"/>
    <col min="264" max="264" width="10.42578125" style="10" bestFit="1" customWidth="1"/>
    <col min="265" max="265" width="4.5703125" style="10" customWidth="1"/>
    <col min="266" max="266" width="1.7109375" style="10" customWidth="1"/>
    <col min="267" max="267" width="7" style="10" bestFit="1" customWidth="1"/>
    <col min="268" max="268" width="6.28515625" style="10" customWidth="1"/>
    <col min="269" max="269" width="20.42578125" style="10" customWidth="1"/>
    <col min="270" max="270" width="6.42578125" style="10" bestFit="1" customWidth="1"/>
    <col min="271" max="272" width="8.42578125" style="10"/>
    <col min="273" max="273" width="3.28515625" style="10" customWidth="1"/>
    <col min="274" max="512" width="8.42578125" style="10"/>
    <col min="513" max="513" width="10" style="10" bestFit="1" customWidth="1"/>
    <col min="514" max="514" width="44.28515625" style="10" bestFit="1" customWidth="1"/>
    <col min="515" max="515" width="10.42578125" style="10" bestFit="1" customWidth="1"/>
    <col min="516" max="516" width="10.42578125" style="10" customWidth="1"/>
    <col min="517" max="517" width="9.7109375" style="10" bestFit="1" customWidth="1"/>
    <col min="518" max="519" width="9.5703125" style="10" bestFit="1" customWidth="1"/>
    <col min="520" max="520" width="10.42578125" style="10" bestFit="1" customWidth="1"/>
    <col min="521" max="521" width="4.5703125" style="10" customWidth="1"/>
    <col min="522" max="522" width="1.7109375" style="10" customWidth="1"/>
    <col min="523" max="523" width="7" style="10" bestFit="1" customWidth="1"/>
    <col min="524" max="524" width="6.28515625" style="10" customWidth="1"/>
    <col min="525" max="525" width="20.42578125" style="10" customWidth="1"/>
    <col min="526" max="526" width="6.42578125" style="10" bestFit="1" customWidth="1"/>
    <col min="527" max="528" width="8.42578125" style="10"/>
    <col min="529" max="529" width="3.28515625" style="10" customWidth="1"/>
    <col min="530" max="768" width="8.42578125" style="10"/>
    <col min="769" max="769" width="10" style="10" bestFit="1" customWidth="1"/>
    <col min="770" max="770" width="44.28515625" style="10" bestFit="1" customWidth="1"/>
    <col min="771" max="771" width="10.42578125" style="10" bestFit="1" customWidth="1"/>
    <col min="772" max="772" width="10.42578125" style="10" customWidth="1"/>
    <col min="773" max="773" width="9.7109375" style="10" bestFit="1" customWidth="1"/>
    <col min="774" max="775" width="9.5703125" style="10" bestFit="1" customWidth="1"/>
    <col min="776" max="776" width="10.42578125" style="10" bestFit="1" customWidth="1"/>
    <col min="777" max="777" width="4.5703125" style="10" customWidth="1"/>
    <col min="778" max="778" width="1.7109375" style="10" customWidth="1"/>
    <col min="779" max="779" width="7" style="10" bestFit="1" customWidth="1"/>
    <col min="780" max="780" width="6.28515625" style="10" customWidth="1"/>
    <col min="781" max="781" width="20.42578125" style="10" customWidth="1"/>
    <col min="782" max="782" width="6.42578125" style="10" bestFit="1" customWidth="1"/>
    <col min="783" max="784" width="8.42578125" style="10"/>
    <col min="785" max="785" width="3.28515625" style="10" customWidth="1"/>
    <col min="786" max="1024" width="8.42578125" style="10"/>
    <col min="1025" max="1025" width="10" style="10" bestFit="1" customWidth="1"/>
    <col min="1026" max="1026" width="44.28515625" style="10" bestFit="1" customWidth="1"/>
    <col min="1027" max="1027" width="10.42578125" style="10" bestFit="1" customWidth="1"/>
    <col min="1028" max="1028" width="10.42578125" style="10" customWidth="1"/>
    <col min="1029" max="1029" width="9.7109375" style="10" bestFit="1" customWidth="1"/>
    <col min="1030" max="1031" width="9.5703125" style="10" bestFit="1" customWidth="1"/>
    <col min="1032" max="1032" width="10.42578125" style="10" bestFit="1" customWidth="1"/>
    <col min="1033" max="1033" width="4.5703125" style="10" customWidth="1"/>
    <col min="1034" max="1034" width="1.7109375" style="10" customWidth="1"/>
    <col min="1035" max="1035" width="7" style="10" bestFit="1" customWidth="1"/>
    <col min="1036" max="1036" width="6.28515625" style="10" customWidth="1"/>
    <col min="1037" max="1037" width="20.42578125" style="10" customWidth="1"/>
    <col min="1038" max="1038" width="6.42578125" style="10" bestFit="1" customWidth="1"/>
    <col min="1039" max="1040" width="8.42578125" style="10"/>
    <col min="1041" max="1041" width="3.28515625" style="10" customWidth="1"/>
    <col min="1042" max="1280" width="8.42578125" style="10"/>
    <col min="1281" max="1281" width="10" style="10" bestFit="1" customWidth="1"/>
    <col min="1282" max="1282" width="44.28515625" style="10" bestFit="1" customWidth="1"/>
    <col min="1283" max="1283" width="10.42578125" style="10" bestFit="1" customWidth="1"/>
    <col min="1284" max="1284" width="10.42578125" style="10" customWidth="1"/>
    <col min="1285" max="1285" width="9.7109375" style="10" bestFit="1" customWidth="1"/>
    <col min="1286" max="1287" width="9.5703125" style="10" bestFit="1" customWidth="1"/>
    <col min="1288" max="1288" width="10.42578125" style="10" bestFit="1" customWidth="1"/>
    <col min="1289" max="1289" width="4.5703125" style="10" customWidth="1"/>
    <col min="1290" max="1290" width="1.7109375" style="10" customWidth="1"/>
    <col min="1291" max="1291" width="7" style="10" bestFit="1" customWidth="1"/>
    <col min="1292" max="1292" width="6.28515625" style="10" customWidth="1"/>
    <col min="1293" max="1293" width="20.42578125" style="10" customWidth="1"/>
    <col min="1294" max="1294" width="6.42578125" style="10" bestFit="1" customWidth="1"/>
    <col min="1295" max="1296" width="8.42578125" style="10"/>
    <col min="1297" max="1297" width="3.28515625" style="10" customWidth="1"/>
    <col min="1298" max="1536" width="8.42578125" style="10"/>
    <col min="1537" max="1537" width="10" style="10" bestFit="1" customWidth="1"/>
    <col min="1538" max="1538" width="44.28515625" style="10" bestFit="1" customWidth="1"/>
    <col min="1539" max="1539" width="10.42578125" style="10" bestFit="1" customWidth="1"/>
    <col min="1540" max="1540" width="10.42578125" style="10" customWidth="1"/>
    <col min="1541" max="1541" width="9.7109375" style="10" bestFit="1" customWidth="1"/>
    <col min="1542" max="1543" width="9.5703125" style="10" bestFit="1" customWidth="1"/>
    <col min="1544" max="1544" width="10.42578125" style="10" bestFit="1" customWidth="1"/>
    <col min="1545" max="1545" width="4.5703125" style="10" customWidth="1"/>
    <col min="1546" max="1546" width="1.7109375" style="10" customWidth="1"/>
    <col min="1547" max="1547" width="7" style="10" bestFit="1" customWidth="1"/>
    <col min="1548" max="1548" width="6.28515625" style="10" customWidth="1"/>
    <col min="1549" max="1549" width="20.42578125" style="10" customWidth="1"/>
    <col min="1550" max="1550" width="6.42578125" style="10" bestFit="1" customWidth="1"/>
    <col min="1551" max="1552" width="8.42578125" style="10"/>
    <col min="1553" max="1553" width="3.28515625" style="10" customWidth="1"/>
    <col min="1554" max="1792" width="8.42578125" style="10"/>
    <col min="1793" max="1793" width="10" style="10" bestFit="1" customWidth="1"/>
    <col min="1794" max="1794" width="44.28515625" style="10" bestFit="1" customWidth="1"/>
    <col min="1795" max="1795" width="10.42578125" style="10" bestFit="1" customWidth="1"/>
    <col min="1796" max="1796" width="10.42578125" style="10" customWidth="1"/>
    <col min="1797" max="1797" width="9.7109375" style="10" bestFit="1" customWidth="1"/>
    <col min="1798" max="1799" width="9.5703125" style="10" bestFit="1" customWidth="1"/>
    <col min="1800" max="1800" width="10.42578125" style="10" bestFit="1" customWidth="1"/>
    <col min="1801" max="1801" width="4.5703125" style="10" customWidth="1"/>
    <col min="1802" max="1802" width="1.7109375" style="10" customWidth="1"/>
    <col min="1803" max="1803" width="7" style="10" bestFit="1" customWidth="1"/>
    <col min="1804" max="1804" width="6.28515625" style="10" customWidth="1"/>
    <col min="1805" max="1805" width="20.42578125" style="10" customWidth="1"/>
    <col min="1806" max="1806" width="6.42578125" style="10" bestFit="1" customWidth="1"/>
    <col min="1807" max="1808" width="8.42578125" style="10"/>
    <col min="1809" max="1809" width="3.28515625" style="10" customWidth="1"/>
    <col min="1810" max="2048" width="8.42578125" style="10"/>
    <col min="2049" max="2049" width="10" style="10" bestFit="1" customWidth="1"/>
    <col min="2050" max="2050" width="44.28515625" style="10" bestFit="1" customWidth="1"/>
    <col min="2051" max="2051" width="10.42578125" style="10" bestFit="1" customWidth="1"/>
    <col min="2052" max="2052" width="10.42578125" style="10" customWidth="1"/>
    <col min="2053" max="2053" width="9.7109375" style="10" bestFit="1" customWidth="1"/>
    <col min="2054" max="2055" width="9.5703125" style="10" bestFit="1" customWidth="1"/>
    <col min="2056" max="2056" width="10.42578125" style="10" bestFit="1" customWidth="1"/>
    <col min="2057" max="2057" width="4.5703125" style="10" customWidth="1"/>
    <col min="2058" max="2058" width="1.7109375" style="10" customWidth="1"/>
    <col min="2059" max="2059" width="7" style="10" bestFit="1" customWidth="1"/>
    <col min="2060" max="2060" width="6.28515625" style="10" customWidth="1"/>
    <col min="2061" max="2061" width="20.42578125" style="10" customWidth="1"/>
    <col min="2062" max="2062" width="6.42578125" style="10" bestFit="1" customWidth="1"/>
    <col min="2063" max="2064" width="8.42578125" style="10"/>
    <col min="2065" max="2065" width="3.28515625" style="10" customWidth="1"/>
    <col min="2066" max="2304" width="8.42578125" style="10"/>
    <col min="2305" max="2305" width="10" style="10" bestFit="1" customWidth="1"/>
    <col min="2306" max="2306" width="44.28515625" style="10" bestFit="1" customWidth="1"/>
    <col min="2307" max="2307" width="10.42578125" style="10" bestFit="1" customWidth="1"/>
    <col min="2308" max="2308" width="10.42578125" style="10" customWidth="1"/>
    <col min="2309" max="2309" width="9.7109375" style="10" bestFit="1" customWidth="1"/>
    <col min="2310" max="2311" width="9.5703125" style="10" bestFit="1" customWidth="1"/>
    <col min="2312" max="2312" width="10.42578125" style="10" bestFit="1" customWidth="1"/>
    <col min="2313" max="2313" width="4.5703125" style="10" customWidth="1"/>
    <col min="2314" max="2314" width="1.7109375" style="10" customWidth="1"/>
    <col min="2315" max="2315" width="7" style="10" bestFit="1" customWidth="1"/>
    <col min="2316" max="2316" width="6.28515625" style="10" customWidth="1"/>
    <col min="2317" max="2317" width="20.42578125" style="10" customWidth="1"/>
    <col min="2318" max="2318" width="6.42578125" style="10" bestFit="1" customWidth="1"/>
    <col min="2319" max="2320" width="8.42578125" style="10"/>
    <col min="2321" max="2321" width="3.28515625" style="10" customWidth="1"/>
    <col min="2322" max="2560" width="8.42578125" style="10"/>
    <col min="2561" max="2561" width="10" style="10" bestFit="1" customWidth="1"/>
    <col min="2562" max="2562" width="44.28515625" style="10" bestFit="1" customWidth="1"/>
    <col min="2563" max="2563" width="10.42578125" style="10" bestFit="1" customWidth="1"/>
    <col min="2564" max="2564" width="10.42578125" style="10" customWidth="1"/>
    <col min="2565" max="2565" width="9.7109375" style="10" bestFit="1" customWidth="1"/>
    <col min="2566" max="2567" width="9.5703125" style="10" bestFit="1" customWidth="1"/>
    <col min="2568" max="2568" width="10.42578125" style="10" bestFit="1" customWidth="1"/>
    <col min="2569" max="2569" width="4.5703125" style="10" customWidth="1"/>
    <col min="2570" max="2570" width="1.7109375" style="10" customWidth="1"/>
    <col min="2571" max="2571" width="7" style="10" bestFit="1" customWidth="1"/>
    <col min="2572" max="2572" width="6.28515625" style="10" customWidth="1"/>
    <col min="2573" max="2573" width="20.42578125" style="10" customWidth="1"/>
    <col min="2574" max="2574" width="6.42578125" style="10" bestFit="1" customWidth="1"/>
    <col min="2575" max="2576" width="8.42578125" style="10"/>
    <col min="2577" max="2577" width="3.28515625" style="10" customWidth="1"/>
    <col min="2578" max="2816" width="8.42578125" style="10"/>
    <col min="2817" max="2817" width="10" style="10" bestFit="1" customWidth="1"/>
    <col min="2818" max="2818" width="44.28515625" style="10" bestFit="1" customWidth="1"/>
    <col min="2819" max="2819" width="10.42578125" style="10" bestFit="1" customWidth="1"/>
    <col min="2820" max="2820" width="10.42578125" style="10" customWidth="1"/>
    <col min="2821" max="2821" width="9.7109375" style="10" bestFit="1" customWidth="1"/>
    <col min="2822" max="2823" width="9.5703125" style="10" bestFit="1" customWidth="1"/>
    <col min="2824" max="2824" width="10.42578125" style="10" bestFit="1" customWidth="1"/>
    <col min="2825" max="2825" width="4.5703125" style="10" customWidth="1"/>
    <col min="2826" max="2826" width="1.7109375" style="10" customWidth="1"/>
    <col min="2827" max="2827" width="7" style="10" bestFit="1" customWidth="1"/>
    <col min="2828" max="2828" width="6.28515625" style="10" customWidth="1"/>
    <col min="2829" max="2829" width="20.42578125" style="10" customWidth="1"/>
    <col min="2830" max="2830" width="6.42578125" style="10" bestFit="1" customWidth="1"/>
    <col min="2831" max="2832" width="8.42578125" style="10"/>
    <col min="2833" max="2833" width="3.28515625" style="10" customWidth="1"/>
    <col min="2834" max="3072" width="8.42578125" style="10"/>
    <col min="3073" max="3073" width="10" style="10" bestFit="1" customWidth="1"/>
    <col min="3074" max="3074" width="44.28515625" style="10" bestFit="1" customWidth="1"/>
    <col min="3075" max="3075" width="10.42578125" style="10" bestFit="1" customWidth="1"/>
    <col min="3076" max="3076" width="10.42578125" style="10" customWidth="1"/>
    <col min="3077" max="3077" width="9.7109375" style="10" bestFit="1" customWidth="1"/>
    <col min="3078" max="3079" width="9.5703125" style="10" bestFit="1" customWidth="1"/>
    <col min="3080" max="3080" width="10.42578125" style="10" bestFit="1" customWidth="1"/>
    <col min="3081" max="3081" width="4.5703125" style="10" customWidth="1"/>
    <col min="3082" max="3082" width="1.7109375" style="10" customWidth="1"/>
    <col min="3083" max="3083" width="7" style="10" bestFit="1" customWidth="1"/>
    <col min="3084" max="3084" width="6.28515625" style="10" customWidth="1"/>
    <col min="3085" max="3085" width="20.42578125" style="10" customWidth="1"/>
    <col min="3086" max="3086" width="6.42578125" style="10" bestFit="1" customWidth="1"/>
    <col min="3087" max="3088" width="8.42578125" style="10"/>
    <col min="3089" max="3089" width="3.28515625" style="10" customWidth="1"/>
    <col min="3090" max="3328" width="8.42578125" style="10"/>
    <col min="3329" max="3329" width="10" style="10" bestFit="1" customWidth="1"/>
    <col min="3330" max="3330" width="44.28515625" style="10" bestFit="1" customWidth="1"/>
    <col min="3331" max="3331" width="10.42578125" style="10" bestFit="1" customWidth="1"/>
    <col min="3332" max="3332" width="10.42578125" style="10" customWidth="1"/>
    <col min="3333" max="3333" width="9.7109375" style="10" bestFit="1" customWidth="1"/>
    <col min="3334" max="3335" width="9.5703125" style="10" bestFit="1" customWidth="1"/>
    <col min="3336" max="3336" width="10.42578125" style="10" bestFit="1" customWidth="1"/>
    <col min="3337" max="3337" width="4.5703125" style="10" customWidth="1"/>
    <col min="3338" max="3338" width="1.7109375" style="10" customWidth="1"/>
    <col min="3339" max="3339" width="7" style="10" bestFit="1" customWidth="1"/>
    <col min="3340" max="3340" width="6.28515625" style="10" customWidth="1"/>
    <col min="3341" max="3341" width="20.42578125" style="10" customWidth="1"/>
    <col min="3342" max="3342" width="6.42578125" style="10" bestFit="1" customWidth="1"/>
    <col min="3343" max="3344" width="8.42578125" style="10"/>
    <col min="3345" max="3345" width="3.28515625" style="10" customWidth="1"/>
    <col min="3346" max="3584" width="8.42578125" style="10"/>
    <col min="3585" max="3585" width="10" style="10" bestFit="1" customWidth="1"/>
    <col min="3586" max="3586" width="44.28515625" style="10" bestFit="1" customWidth="1"/>
    <col min="3587" max="3587" width="10.42578125" style="10" bestFit="1" customWidth="1"/>
    <col min="3588" max="3588" width="10.42578125" style="10" customWidth="1"/>
    <col min="3589" max="3589" width="9.7109375" style="10" bestFit="1" customWidth="1"/>
    <col min="3590" max="3591" width="9.5703125" style="10" bestFit="1" customWidth="1"/>
    <col min="3592" max="3592" width="10.42578125" style="10" bestFit="1" customWidth="1"/>
    <col min="3593" max="3593" width="4.5703125" style="10" customWidth="1"/>
    <col min="3594" max="3594" width="1.7109375" style="10" customWidth="1"/>
    <col min="3595" max="3595" width="7" style="10" bestFit="1" customWidth="1"/>
    <col min="3596" max="3596" width="6.28515625" style="10" customWidth="1"/>
    <col min="3597" max="3597" width="20.42578125" style="10" customWidth="1"/>
    <col min="3598" max="3598" width="6.42578125" style="10" bestFit="1" customWidth="1"/>
    <col min="3599" max="3600" width="8.42578125" style="10"/>
    <col min="3601" max="3601" width="3.28515625" style="10" customWidth="1"/>
    <col min="3602" max="3840" width="8.42578125" style="10"/>
    <col min="3841" max="3841" width="10" style="10" bestFit="1" customWidth="1"/>
    <col min="3842" max="3842" width="44.28515625" style="10" bestFit="1" customWidth="1"/>
    <col min="3843" max="3843" width="10.42578125" style="10" bestFit="1" customWidth="1"/>
    <col min="3844" max="3844" width="10.42578125" style="10" customWidth="1"/>
    <col min="3845" max="3845" width="9.7109375" style="10" bestFit="1" customWidth="1"/>
    <col min="3846" max="3847" width="9.5703125" style="10" bestFit="1" customWidth="1"/>
    <col min="3848" max="3848" width="10.42578125" style="10" bestFit="1" customWidth="1"/>
    <col min="3849" max="3849" width="4.5703125" style="10" customWidth="1"/>
    <col min="3850" max="3850" width="1.7109375" style="10" customWidth="1"/>
    <col min="3851" max="3851" width="7" style="10" bestFit="1" customWidth="1"/>
    <col min="3852" max="3852" width="6.28515625" style="10" customWidth="1"/>
    <col min="3853" max="3853" width="20.42578125" style="10" customWidth="1"/>
    <col min="3854" max="3854" width="6.42578125" style="10" bestFit="1" customWidth="1"/>
    <col min="3855" max="3856" width="8.42578125" style="10"/>
    <col min="3857" max="3857" width="3.28515625" style="10" customWidth="1"/>
    <col min="3858" max="4096" width="8.42578125" style="10"/>
    <col min="4097" max="4097" width="10" style="10" bestFit="1" customWidth="1"/>
    <col min="4098" max="4098" width="44.28515625" style="10" bestFit="1" customWidth="1"/>
    <col min="4099" max="4099" width="10.42578125" style="10" bestFit="1" customWidth="1"/>
    <col min="4100" max="4100" width="10.42578125" style="10" customWidth="1"/>
    <col min="4101" max="4101" width="9.7109375" style="10" bestFit="1" customWidth="1"/>
    <col min="4102" max="4103" width="9.5703125" style="10" bestFit="1" customWidth="1"/>
    <col min="4104" max="4104" width="10.42578125" style="10" bestFit="1" customWidth="1"/>
    <col min="4105" max="4105" width="4.5703125" style="10" customWidth="1"/>
    <col min="4106" max="4106" width="1.7109375" style="10" customWidth="1"/>
    <col min="4107" max="4107" width="7" style="10" bestFit="1" customWidth="1"/>
    <col min="4108" max="4108" width="6.28515625" style="10" customWidth="1"/>
    <col min="4109" max="4109" width="20.42578125" style="10" customWidth="1"/>
    <col min="4110" max="4110" width="6.42578125" style="10" bestFit="1" customWidth="1"/>
    <col min="4111" max="4112" width="8.42578125" style="10"/>
    <col min="4113" max="4113" width="3.28515625" style="10" customWidth="1"/>
    <col min="4114" max="4352" width="8.42578125" style="10"/>
    <col min="4353" max="4353" width="10" style="10" bestFit="1" customWidth="1"/>
    <col min="4354" max="4354" width="44.28515625" style="10" bestFit="1" customWidth="1"/>
    <col min="4355" max="4355" width="10.42578125" style="10" bestFit="1" customWidth="1"/>
    <col min="4356" max="4356" width="10.42578125" style="10" customWidth="1"/>
    <col min="4357" max="4357" width="9.7109375" style="10" bestFit="1" customWidth="1"/>
    <col min="4358" max="4359" width="9.5703125" style="10" bestFit="1" customWidth="1"/>
    <col min="4360" max="4360" width="10.42578125" style="10" bestFit="1" customWidth="1"/>
    <col min="4361" max="4361" width="4.5703125" style="10" customWidth="1"/>
    <col min="4362" max="4362" width="1.7109375" style="10" customWidth="1"/>
    <col min="4363" max="4363" width="7" style="10" bestFit="1" customWidth="1"/>
    <col min="4364" max="4364" width="6.28515625" style="10" customWidth="1"/>
    <col min="4365" max="4365" width="20.42578125" style="10" customWidth="1"/>
    <col min="4366" max="4366" width="6.42578125" style="10" bestFit="1" customWidth="1"/>
    <col min="4367" max="4368" width="8.42578125" style="10"/>
    <col min="4369" max="4369" width="3.28515625" style="10" customWidth="1"/>
    <col min="4370" max="4608" width="8.42578125" style="10"/>
    <col min="4609" max="4609" width="10" style="10" bestFit="1" customWidth="1"/>
    <col min="4610" max="4610" width="44.28515625" style="10" bestFit="1" customWidth="1"/>
    <col min="4611" max="4611" width="10.42578125" style="10" bestFit="1" customWidth="1"/>
    <col min="4612" max="4612" width="10.42578125" style="10" customWidth="1"/>
    <col min="4613" max="4613" width="9.7109375" style="10" bestFit="1" customWidth="1"/>
    <col min="4614" max="4615" width="9.5703125" style="10" bestFit="1" customWidth="1"/>
    <col min="4616" max="4616" width="10.42578125" style="10" bestFit="1" customWidth="1"/>
    <col min="4617" max="4617" width="4.5703125" style="10" customWidth="1"/>
    <col min="4618" max="4618" width="1.7109375" style="10" customWidth="1"/>
    <col min="4619" max="4619" width="7" style="10" bestFit="1" customWidth="1"/>
    <col min="4620" max="4620" width="6.28515625" style="10" customWidth="1"/>
    <col min="4621" max="4621" width="20.42578125" style="10" customWidth="1"/>
    <col min="4622" max="4622" width="6.42578125" style="10" bestFit="1" customWidth="1"/>
    <col min="4623" max="4624" width="8.42578125" style="10"/>
    <col min="4625" max="4625" width="3.28515625" style="10" customWidth="1"/>
    <col min="4626" max="4864" width="8.42578125" style="10"/>
    <col min="4865" max="4865" width="10" style="10" bestFit="1" customWidth="1"/>
    <col min="4866" max="4866" width="44.28515625" style="10" bestFit="1" customWidth="1"/>
    <col min="4867" max="4867" width="10.42578125" style="10" bestFit="1" customWidth="1"/>
    <col min="4868" max="4868" width="10.42578125" style="10" customWidth="1"/>
    <col min="4869" max="4869" width="9.7109375" style="10" bestFit="1" customWidth="1"/>
    <col min="4870" max="4871" width="9.5703125" style="10" bestFit="1" customWidth="1"/>
    <col min="4872" max="4872" width="10.42578125" style="10" bestFit="1" customWidth="1"/>
    <col min="4873" max="4873" width="4.5703125" style="10" customWidth="1"/>
    <col min="4874" max="4874" width="1.7109375" style="10" customWidth="1"/>
    <col min="4875" max="4875" width="7" style="10" bestFit="1" customWidth="1"/>
    <col min="4876" max="4876" width="6.28515625" style="10" customWidth="1"/>
    <col min="4877" max="4877" width="20.42578125" style="10" customWidth="1"/>
    <col min="4878" max="4878" width="6.42578125" style="10" bestFit="1" customWidth="1"/>
    <col min="4879" max="4880" width="8.42578125" style="10"/>
    <col min="4881" max="4881" width="3.28515625" style="10" customWidth="1"/>
    <col min="4882" max="5120" width="8.42578125" style="10"/>
    <col min="5121" max="5121" width="10" style="10" bestFit="1" customWidth="1"/>
    <col min="5122" max="5122" width="44.28515625" style="10" bestFit="1" customWidth="1"/>
    <col min="5123" max="5123" width="10.42578125" style="10" bestFit="1" customWidth="1"/>
    <col min="5124" max="5124" width="10.42578125" style="10" customWidth="1"/>
    <col min="5125" max="5125" width="9.7109375" style="10" bestFit="1" customWidth="1"/>
    <col min="5126" max="5127" width="9.5703125" style="10" bestFit="1" customWidth="1"/>
    <col min="5128" max="5128" width="10.42578125" style="10" bestFit="1" customWidth="1"/>
    <col min="5129" max="5129" width="4.5703125" style="10" customWidth="1"/>
    <col min="5130" max="5130" width="1.7109375" style="10" customWidth="1"/>
    <col min="5131" max="5131" width="7" style="10" bestFit="1" customWidth="1"/>
    <col min="5132" max="5132" width="6.28515625" style="10" customWidth="1"/>
    <col min="5133" max="5133" width="20.42578125" style="10" customWidth="1"/>
    <col min="5134" max="5134" width="6.42578125" style="10" bestFit="1" customWidth="1"/>
    <col min="5135" max="5136" width="8.42578125" style="10"/>
    <col min="5137" max="5137" width="3.28515625" style="10" customWidth="1"/>
    <col min="5138" max="5376" width="8.42578125" style="10"/>
    <col min="5377" max="5377" width="10" style="10" bestFit="1" customWidth="1"/>
    <col min="5378" max="5378" width="44.28515625" style="10" bestFit="1" customWidth="1"/>
    <col min="5379" max="5379" width="10.42578125" style="10" bestFit="1" customWidth="1"/>
    <col min="5380" max="5380" width="10.42578125" style="10" customWidth="1"/>
    <col min="5381" max="5381" width="9.7109375" style="10" bestFit="1" customWidth="1"/>
    <col min="5382" max="5383" width="9.5703125" style="10" bestFit="1" customWidth="1"/>
    <col min="5384" max="5384" width="10.42578125" style="10" bestFit="1" customWidth="1"/>
    <col min="5385" max="5385" width="4.5703125" style="10" customWidth="1"/>
    <col min="5386" max="5386" width="1.7109375" style="10" customWidth="1"/>
    <col min="5387" max="5387" width="7" style="10" bestFit="1" customWidth="1"/>
    <col min="5388" max="5388" width="6.28515625" style="10" customWidth="1"/>
    <col min="5389" max="5389" width="20.42578125" style="10" customWidth="1"/>
    <col min="5390" max="5390" width="6.42578125" style="10" bestFit="1" customWidth="1"/>
    <col min="5391" max="5392" width="8.42578125" style="10"/>
    <col min="5393" max="5393" width="3.28515625" style="10" customWidth="1"/>
    <col min="5394" max="5632" width="8.42578125" style="10"/>
    <col min="5633" max="5633" width="10" style="10" bestFit="1" customWidth="1"/>
    <col min="5634" max="5634" width="44.28515625" style="10" bestFit="1" customWidth="1"/>
    <col min="5635" max="5635" width="10.42578125" style="10" bestFit="1" customWidth="1"/>
    <col min="5636" max="5636" width="10.42578125" style="10" customWidth="1"/>
    <col min="5637" max="5637" width="9.7109375" style="10" bestFit="1" customWidth="1"/>
    <col min="5638" max="5639" width="9.5703125" style="10" bestFit="1" customWidth="1"/>
    <col min="5640" max="5640" width="10.42578125" style="10" bestFit="1" customWidth="1"/>
    <col min="5641" max="5641" width="4.5703125" style="10" customWidth="1"/>
    <col min="5642" max="5642" width="1.7109375" style="10" customWidth="1"/>
    <col min="5643" max="5643" width="7" style="10" bestFit="1" customWidth="1"/>
    <col min="5644" max="5644" width="6.28515625" style="10" customWidth="1"/>
    <col min="5645" max="5645" width="20.42578125" style="10" customWidth="1"/>
    <col min="5646" max="5646" width="6.42578125" style="10" bestFit="1" customWidth="1"/>
    <col min="5647" max="5648" width="8.42578125" style="10"/>
    <col min="5649" max="5649" width="3.28515625" style="10" customWidth="1"/>
    <col min="5650" max="5888" width="8.42578125" style="10"/>
    <col min="5889" max="5889" width="10" style="10" bestFit="1" customWidth="1"/>
    <col min="5890" max="5890" width="44.28515625" style="10" bestFit="1" customWidth="1"/>
    <col min="5891" max="5891" width="10.42578125" style="10" bestFit="1" customWidth="1"/>
    <col min="5892" max="5892" width="10.42578125" style="10" customWidth="1"/>
    <col min="5893" max="5893" width="9.7109375" style="10" bestFit="1" customWidth="1"/>
    <col min="5894" max="5895" width="9.5703125" style="10" bestFit="1" customWidth="1"/>
    <col min="5896" max="5896" width="10.42578125" style="10" bestFit="1" customWidth="1"/>
    <col min="5897" max="5897" width="4.5703125" style="10" customWidth="1"/>
    <col min="5898" max="5898" width="1.7109375" style="10" customWidth="1"/>
    <col min="5899" max="5899" width="7" style="10" bestFit="1" customWidth="1"/>
    <col min="5900" max="5900" width="6.28515625" style="10" customWidth="1"/>
    <col min="5901" max="5901" width="20.42578125" style="10" customWidth="1"/>
    <col min="5902" max="5902" width="6.42578125" style="10" bestFit="1" customWidth="1"/>
    <col min="5903" max="5904" width="8.42578125" style="10"/>
    <col min="5905" max="5905" width="3.28515625" style="10" customWidth="1"/>
    <col min="5906" max="6144" width="8.42578125" style="10"/>
    <col min="6145" max="6145" width="10" style="10" bestFit="1" customWidth="1"/>
    <col min="6146" max="6146" width="44.28515625" style="10" bestFit="1" customWidth="1"/>
    <col min="6147" max="6147" width="10.42578125" style="10" bestFit="1" customWidth="1"/>
    <col min="6148" max="6148" width="10.42578125" style="10" customWidth="1"/>
    <col min="6149" max="6149" width="9.7109375" style="10" bestFit="1" customWidth="1"/>
    <col min="6150" max="6151" width="9.5703125" style="10" bestFit="1" customWidth="1"/>
    <col min="6152" max="6152" width="10.42578125" style="10" bestFit="1" customWidth="1"/>
    <col min="6153" max="6153" width="4.5703125" style="10" customWidth="1"/>
    <col min="6154" max="6154" width="1.7109375" style="10" customWidth="1"/>
    <col min="6155" max="6155" width="7" style="10" bestFit="1" customWidth="1"/>
    <col min="6156" max="6156" width="6.28515625" style="10" customWidth="1"/>
    <col min="6157" max="6157" width="20.42578125" style="10" customWidth="1"/>
    <col min="6158" max="6158" width="6.42578125" style="10" bestFit="1" customWidth="1"/>
    <col min="6159" max="6160" width="8.42578125" style="10"/>
    <col min="6161" max="6161" width="3.28515625" style="10" customWidth="1"/>
    <col min="6162" max="6400" width="8.42578125" style="10"/>
    <col min="6401" max="6401" width="10" style="10" bestFit="1" customWidth="1"/>
    <col min="6402" max="6402" width="44.28515625" style="10" bestFit="1" customWidth="1"/>
    <col min="6403" max="6403" width="10.42578125" style="10" bestFit="1" customWidth="1"/>
    <col min="6404" max="6404" width="10.42578125" style="10" customWidth="1"/>
    <col min="6405" max="6405" width="9.7109375" style="10" bestFit="1" customWidth="1"/>
    <col min="6406" max="6407" width="9.5703125" style="10" bestFit="1" customWidth="1"/>
    <col min="6408" max="6408" width="10.42578125" style="10" bestFit="1" customWidth="1"/>
    <col min="6409" max="6409" width="4.5703125" style="10" customWidth="1"/>
    <col min="6410" max="6410" width="1.7109375" style="10" customWidth="1"/>
    <col min="6411" max="6411" width="7" style="10" bestFit="1" customWidth="1"/>
    <col min="6412" max="6412" width="6.28515625" style="10" customWidth="1"/>
    <col min="6413" max="6413" width="20.42578125" style="10" customWidth="1"/>
    <col min="6414" max="6414" width="6.42578125" style="10" bestFit="1" customWidth="1"/>
    <col min="6415" max="6416" width="8.42578125" style="10"/>
    <col min="6417" max="6417" width="3.28515625" style="10" customWidth="1"/>
    <col min="6418" max="6656" width="8.42578125" style="10"/>
    <col min="6657" max="6657" width="10" style="10" bestFit="1" customWidth="1"/>
    <col min="6658" max="6658" width="44.28515625" style="10" bestFit="1" customWidth="1"/>
    <col min="6659" max="6659" width="10.42578125" style="10" bestFit="1" customWidth="1"/>
    <col min="6660" max="6660" width="10.42578125" style="10" customWidth="1"/>
    <col min="6661" max="6661" width="9.7109375" style="10" bestFit="1" customWidth="1"/>
    <col min="6662" max="6663" width="9.5703125" style="10" bestFit="1" customWidth="1"/>
    <col min="6664" max="6664" width="10.42578125" style="10" bestFit="1" customWidth="1"/>
    <col min="6665" max="6665" width="4.5703125" style="10" customWidth="1"/>
    <col min="6666" max="6666" width="1.7109375" style="10" customWidth="1"/>
    <col min="6667" max="6667" width="7" style="10" bestFit="1" customWidth="1"/>
    <col min="6668" max="6668" width="6.28515625" style="10" customWidth="1"/>
    <col min="6669" max="6669" width="20.42578125" style="10" customWidth="1"/>
    <col min="6670" max="6670" width="6.42578125" style="10" bestFit="1" customWidth="1"/>
    <col min="6671" max="6672" width="8.42578125" style="10"/>
    <col min="6673" max="6673" width="3.28515625" style="10" customWidth="1"/>
    <col min="6674" max="6912" width="8.42578125" style="10"/>
    <col min="6913" max="6913" width="10" style="10" bestFit="1" customWidth="1"/>
    <col min="6914" max="6914" width="44.28515625" style="10" bestFit="1" customWidth="1"/>
    <col min="6915" max="6915" width="10.42578125" style="10" bestFit="1" customWidth="1"/>
    <col min="6916" max="6916" width="10.42578125" style="10" customWidth="1"/>
    <col min="6917" max="6917" width="9.7109375" style="10" bestFit="1" customWidth="1"/>
    <col min="6918" max="6919" width="9.5703125" style="10" bestFit="1" customWidth="1"/>
    <col min="6920" max="6920" width="10.42578125" style="10" bestFit="1" customWidth="1"/>
    <col min="6921" max="6921" width="4.5703125" style="10" customWidth="1"/>
    <col min="6922" max="6922" width="1.7109375" style="10" customWidth="1"/>
    <col min="6923" max="6923" width="7" style="10" bestFit="1" customWidth="1"/>
    <col min="6924" max="6924" width="6.28515625" style="10" customWidth="1"/>
    <col min="6925" max="6925" width="20.42578125" style="10" customWidth="1"/>
    <col min="6926" max="6926" width="6.42578125" style="10" bestFit="1" customWidth="1"/>
    <col min="6927" max="6928" width="8.42578125" style="10"/>
    <col min="6929" max="6929" width="3.28515625" style="10" customWidth="1"/>
    <col min="6930" max="7168" width="8.42578125" style="10"/>
    <col min="7169" max="7169" width="10" style="10" bestFit="1" customWidth="1"/>
    <col min="7170" max="7170" width="44.28515625" style="10" bestFit="1" customWidth="1"/>
    <col min="7171" max="7171" width="10.42578125" style="10" bestFit="1" customWidth="1"/>
    <col min="7172" max="7172" width="10.42578125" style="10" customWidth="1"/>
    <col min="7173" max="7173" width="9.7109375" style="10" bestFit="1" customWidth="1"/>
    <col min="7174" max="7175" width="9.5703125" style="10" bestFit="1" customWidth="1"/>
    <col min="7176" max="7176" width="10.42578125" style="10" bestFit="1" customWidth="1"/>
    <col min="7177" max="7177" width="4.5703125" style="10" customWidth="1"/>
    <col min="7178" max="7178" width="1.7109375" style="10" customWidth="1"/>
    <col min="7179" max="7179" width="7" style="10" bestFit="1" customWidth="1"/>
    <col min="7180" max="7180" width="6.28515625" style="10" customWidth="1"/>
    <col min="7181" max="7181" width="20.42578125" style="10" customWidth="1"/>
    <col min="7182" max="7182" width="6.42578125" style="10" bestFit="1" customWidth="1"/>
    <col min="7183" max="7184" width="8.42578125" style="10"/>
    <col min="7185" max="7185" width="3.28515625" style="10" customWidth="1"/>
    <col min="7186" max="7424" width="8.42578125" style="10"/>
    <col min="7425" max="7425" width="10" style="10" bestFit="1" customWidth="1"/>
    <col min="7426" max="7426" width="44.28515625" style="10" bestFit="1" customWidth="1"/>
    <col min="7427" max="7427" width="10.42578125" style="10" bestFit="1" customWidth="1"/>
    <col min="7428" max="7428" width="10.42578125" style="10" customWidth="1"/>
    <col min="7429" max="7429" width="9.7109375" style="10" bestFit="1" customWidth="1"/>
    <col min="7430" max="7431" width="9.5703125" style="10" bestFit="1" customWidth="1"/>
    <col min="7432" max="7432" width="10.42578125" style="10" bestFit="1" customWidth="1"/>
    <col min="7433" max="7433" width="4.5703125" style="10" customWidth="1"/>
    <col min="7434" max="7434" width="1.7109375" style="10" customWidth="1"/>
    <col min="7435" max="7435" width="7" style="10" bestFit="1" customWidth="1"/>
    <col min="7436" max="7436" width="6.28515625" style="10" customWidth="1"/>
    <col min="7437" max="7437" width="20.42578125" style="10" customWidth="1"/>
    <col min="7438" max="7438" width="6.42578125" style="10" bestFit="1" customWidth="1"/>
    <col min="7439" max="7440" width="8.42578125" style="10"/>
    <col min="7441" max="7441" width="3.28515625" style="10" customWidth="1"/>
    <col min="7442" max="7680" width="8.42578125" style="10"/>
    <col min="7681" max="7681" width="10" style="10" bestFit="1" customWidth="1"/>
    <col min="7682" max="7682" width="44.28515625" style="10" bestFit="1" customWidth="1"/>
    <col min="7683" max="7683" width="10.42578125" style="10" bestFit="1" customWidth="1"/>
    <col min="7684" max="7684" width="10.42578125" style="10" customWidth="1"/>
    <col min="7685" max="7685" width="9.7109375" style="10" bestFit="1" customWidth="1"/>
    <col min="7686" max="7687" width="9.5703125" style="10" bestFit="1" customWidth="1"/>
    <col min="7688" max="7688" width="10.42578125" style="10" bestFit="1" customWidth="1"/>
    <col min="7689" max="7689" width="4.5703125" style="10" customWidth="1"/>
    <col min="7690" max="7690" width="1.7109375" style="10" customWidth="1"/>
    <col min="7691" max="7691" width="7" style="10" bestFit="1" customWidth="1"/>
    <col min="7692" max="7692" width="6.28515625" style="10" customWidth="1"/>
    <col min="7693" max="7693" width="20.42578125" style="10" customWidth="1"/>
    <col min="7694" max="7694" width="6.42578125" style="10" bestFit="1" customWidth="1"/>
    <col min="7695" max="7696" width="8.42578125" style="10"/>
    <col min="7697" max="7697" width="3.28515625" style="10" customWidth="1"/>
    <col min="7698" max="7936" width="8.42578125" style="10"/>
    <col min="7937" max="7937" width="10" style="10" bestFit="1" customWidth="1"/>
    <col min="7938" max="7938" width="44.28515625" style="10" bestFit="1" customWidth="1"/>
    <col min="7939" max="7939" width="10.42578125" style="10" bestFit="1" customWidth="1"/>
    <col min="7940" max="7940" width="10.42578125" style="10" customWidth="1"/>
    <col min="7941" max="7941" width="9.7109375" style="10" bestFit="1" customWidth="1"/>
    <col min="7942" max="7943" width="9.5703125" style="10" bestFit="1" customWidth="1"/>
    <col min="7944" max="7944" width="10.42578125" style="10" bestFit="1" customWidth="1"/>
    <col min="7945" max="7945" width="4.5703125" style="10" customWidth="1"/>
    <col min="7946" max="7946" width="1.7109375" style="10" customWidth="1"/>
    <col min="7947" max="7947" width="7" style="10" bestFit="1" customWidth="1"/>
    <col min="7948" max="7948" width="6.28515625" style="10" customWidth="1"/>
    <col min="7949" max="7949" width="20.42578125" style="10" customWidth="1"/>
    <col min="7950" max="7950" width="6.42578125" style="10" bestFit="1" customWidth="1"/>
    <col min="7951" max="7952" width="8.42578125" style="10"/>
    <col min="7953" max="7953" width="3.28515625" style="10" customWidth="1"/>
    <col min="7954" max="8192" width="8.42578125" style="10"/>
    <col min="8193" max="8193" width="10" style="10" bestFit="1" customWidth="1"/>
    <col min="8194" max="8194" width="44.28515625" style="10" bestFit="1" customWidth="1"/>
    <col min="8195" max="8195" width="10.42578125" style="10" bestFit="1" customWidth="1"/>
    <col min="8196" max="8196" width="10.42578125" style="10" customWidth="1"/>
    <col min="8197" max="8197" width="9.7109375" style="10" bestFit="1" customWidth="1"/>
    <col min="8198" max="8199" width="9.5703125" style="10" bestFit="1" customWidth="1"/>
    <col min="8200" max="8200" width="10.42578125" style="10" bestFit="1" customWidth="1"/>
    <col min="8201" max="8201" width="4.5703125" style="10" customWidth="1"/>
    <col min="8202" max="8202" width="1.7109375" style="10" customWidth="1"/>
    <col min="8203" max="8203" width="7" style="10" bestFit="1" customWidth="1"/>
    <col min="8204" max="8204" width="6.28515625" style="10" customWidth="1"/>
    <col min="8205" max="8205" width="20.42578125" style="10" customWidth="1"/>
    <col min="8206" max="8206" width="6.42578125" style="10" bestFit="1" customWidth="1"/>
    <col min="8207" max="8208" width="8.42578125" style="10"/>
    <col min="8209" max="8209" width="3.28515625" style="10" customWidth="1"/>
    <col min="8210" max="8448" width="8.42578125" style="10"/>
    <col min="8449" max="8449" width="10" style="10" bestFit="1" customWidth="1"/>
    <col min="8450" max="8450" width="44.28515625" style="10" bestFit="1" customWidth="1"/>
    <col min="8451" max="8451" width="10.42578125" style="10" bestFit="1" customWidth="1"/>
    <col min="8452" max="8452" width="10.42578125" style="10" customWidth="1"/>
    <col min="8453" max="8453" width="9.7109375" style="10" bestFit="1" customWidth="1"/>
    <col min="8454" max="8455" width="9.5703125" style="10" bestFit="1" customWidth="1"/>
    <col min="8456" max="8456" width="10.42578125" style="10" bestFit="1" customWidth="1"/>
    <col min="8457" max="8457" width="4.5703125" style="10" customWidth="1"/>
    <col min="8458" max="8458" width="1.7109375" style="10" customWidth="1"/>
    <col min="8459" max="8459" width="7" style="10" bestFit="1" customWidth="1"/>
    <col min="8460" max="8460" width="6.28515625" style="10" customWidth="1"/>
    <col min="8461" max="8461" width="20.42578125" style="10" customWidth="1"/>
    <col min="8462" max="8462" width="6.42578125" style="10" bestFit="1" customWidth="1"/>
    <col min="8463" max="8464" width="8.42578125" style="10"/>
    <col min="8465" max="8465" width="3.28515625" style="10" customWidth="1"/>
    <col min="8466" max="8704" width="8.42578125" style="10"/>
    <col min="8705" max="8705" width="10" style="10" bestFit="1" customWidth="1"/>
    <col min="8706" max="8706" width="44.28515625" style="10" bestFit="1" customWidth="1"/>
    <col min="8707" max="8707" width="10.42578125" style="10" bestFit="1" customWidth="1"/>
    <col min="8708" max="8708" width="10.42578125" style="10" customWidth="1"/>
    <col min="8709" max="8709" width="9.7109375" style="10" bestFit="1" customWidth="1"/>
    <col min="8710" max="8711" width="9.5703125" style="10" bestFit="1" customWidth="1"/>
    <col min="8712" max="8712" width="10.42578125" style="10" bestFit="1" customWidth="1"/>
    <col min="8713" max="8713" width="4.5703125" style="10" customWidth="1"/>
    <col min="8714" max="8714" width="1.7109375" style="10" customWidth="1"/>
    <col min="8715" max="8715" width="7" style="10" bestFit="1" customWidth="1"/>
    <col min="8716" max="8716" width="6.28515625" style="10" customWidth="1"/>
    <col min="8717" max="8717" width="20.42578125" style="10" customWidth="1"/>
    <col min="8718" max="8718" width="6.42578125" style="10" bestFit="1" customWidth="1"/>
    <col min="8719" max="8720" width="8.42578125" style="10"/>
    <col min="8721" max="8721" width="3.28515625" style="10" customWidth="1"/>
    <col min="8722" max="8960" width="8.42578125" style="10"/>
    <col min="8961" max="8961" width="10" style="10" bestFit="1" customWidth="1"/>
    <col min="8962" max="8962" width="44.28515625" style="10" bestFit="1" customWidth="1"/>
    <col min="8963" max="8963" width="10.42578125" style="10" bestFit="1" customWidth="1"/>
    <col min="8964" max="8964" width="10.42578125" style="10" customWidth="1"/>
    <col min="8965" max="8965" width="9.7109375" style="10" bestFit="1" customWidth="1"/>
    <col min="8966" max="8967" width="9.5703125" style="10" bestFit="1" customWidth="1"/>
    <col min="8968" max="8968" width="10.42578125" style="10" bestFit="1" customWidth="1"/>
    <col min="8969" max="8969" width="4.5703125" style="10" customWidth="1"/>
    <col min="8970" max="8970" width="1.7109375" style="10" customWidth="1"/>
    <col min="8971" max="8971" width="7" style="10" bestFit="1" customWidth="1"/>
    <col min="8972" max="8972" width="6.28515625" style="10" customWidth="1"/>
    <col min="8973" max="8973" width="20.42578125" style="10" customWidth="1"/>
    <col min="8974" max="8974" width="6.42578125" style="10" bestFit="1" customWidth="1"/>
    <col min="8975" max="8976" width="8.42578125" style="10"/>
    <col min="8977" max="8977" width="3.28515625" style="10" customWidth="1"/>
    <col min="8978" max="9216" width="8.42578125" style="10"/>
    <col min="9217" max="9217" width="10" style="10" bestFit="1" customWidth="1"/>
    <col min="9218" max="9218" width="44.28515625" style="10" bestFit="1" customWidth="1"/>
    <col min="9219" max="9219" width="10.42578125" style="10" bestFit="1" customWidth="1"/>
    <col min="9220" max="9220" width="10.42578125" style="10" customWidth="1"/>
    <col min="9221" max="9221" width="9.7109375" style="10" bestFit="1" customWidth="1"/>
    <col min="9222" max="9223" width="9.5703125" style="10" bestFit="1" customWidth="1"/>
    <col min="9224" max="9224" width="10.42578125" style="10" bestFit="1" customWidth="1"/>
    <col min="9225" max="9225" width="4.5703125" style="10" customWidth="1"/>
    <col min="9226" max="9226" width="1.7109375" style="10" customWidth="1"/>
    <col min="9227" max="9227" width="7" style="10" bestFit="1" customWidth="1"/>
    <col min="9228" max="9228" width="6.28515625" style="10" customWidth="1"/>
    <col min="9229" max="9229" width="20.42578125" style="10" customWidth="1"/>
    <col min="9230" max="9230" width="6.42578125" style="10" bestFit="1" customWidth="1"/>
    <col min="9231" max="9232" width="8.42578125" style="10"/>
    <col min="9233" max="9233" width="3.28515625" style="10" customWidth="1"/>
    <col min="9234" max="9472" width="8.42578125" style="10"/>
    <col min="9473" max="9473" width="10" style="10" bestFit="1" customWidth="1"/>
    <col min="9474" max="9474" width="44.28515625" style="10" bestFit="1" customWidth="1"/>
    <col min="9475" max="9475" width="10.42578125" style="10" bestFit="1" customWidth="1"/>
    <col min="9476" max="9476" width="10.42578125" style="10" customWidth="1"/>
    <col min="9477" max="9477" width="9.7109375" style="10" bestFit="1" customWidth="1"/>
    <col min="9478" max="9479" width="9.5703125" style="10" bestFit="1" customWidth="1"/>
    <col min="9480" max="9480" width="10.42578125" style="10" bestFit="1" customWidth="1"/>
    <col min="9481" max="9481" width="4.5703125" style="10" customWidth="1"/>
    <col min="9482" max="9482" width="1.7109375" style="10" customWidth="1"/>
    <col min="9483" max="9483" width="7" style="10" bestFit="1" customWidth="1"/>
    <col min="9484" max="9484" width="6.28515625" style="10" customWidth="1"/>
    <col min="9485" max="9485" width="20.42578125" style="10" customWidth="1"/>
    <col min="9486" max="9486" width="6.42578125" style="10" bestFit="1" customWidth="1"/>
    <col min="9487" max="9488" width="8.42578125" style="10"/>
    <col min="9489" max="9489" width="3.28515625" style="10" customWidth="1"/>
    <col min="9490" max="9728" width="8.42578125" style="10"/>
    <col min="9729" max="9729" width="10" style="10" bestFit="1" customWidth="1"/>
    <col min="9730" max="9730" width="44.28515625" style="10" bestFit="1" customWidth="1"/>
    <col min="9731" max="9731" width="10.42578125" style="10" bestFit="1" customWidth="1"/>
    <col min="9732" max="9732" width="10.42578125" style="10" customWidth="1"/>
    <col min="9733" max="9733" width="9.7109375" style="10" bestFit="1" customWidth="1"/>
    <col min="9734" max="9735" width="9.5703125" style="10" bestFit="1" customWidth="1"/>
    <col min="9736" max="9736" width="10.42578125" style="10" bestFit="1" customWidth="1"/>
    <col min="9737" max="9737" width="4.5703125" style="10" customWidth="1"/>
    <col min="9738" max="9738" width="1.7109375" style="10" customWidth="1"/>
    <col min="9739" max="9739" width="7" style="10" bestFit="1" customWidth="1"/>
    <col min="9740" max="9740" width="6.28515625" style="10" customWidth="1"/>
    <col min="9741" max="9741" width="20.42578125" style="10" customWidth="1"/>
    <col min="9742" max="9742" width="6.42578125" style="10" bestFit="1" customWidth="1"/>
    <col min="9743" max="9744" width="8.42578125" style="10"/>
    <col min="9745" max="9745" width="3.28515625" style="10" customWidth="1"/>
    <col min="9746" max="9984" width="8.42578125" style="10"/>
    <col min="9985" max="9985" width="10" style="10" bestFit="1" customWidth="1"/>
    <col min="9986" max="9986" width="44.28515625" style="10" bestFit="1" customWidth="1"/>
    <col min="9987" max="9987" width="10.42578125" style="10" bestFit="1" customWidth="1"/>
    <col min="9988" max="9988" width="10.42578125" style="10" customWidth="1"/>
    <col min="9989" max="9989" width="9.7109375" style="10" bestFit="1" customWidth="1"/>
    <col min="9990" max="9991" width="9.5703125" style="10" bestFit="1" customWidth="1"/>
    <col min="9992" max="9992" width="10.42578125" style="10" bestFit="1" customWidth="1"/>
    <col min="9993" max="9993" width="4.5703125" style="10" customWidth="1"/>
    <col min="9994" max="9994" width="1.7109375" style="10" customWidth="1"/>
    <col min="9995" max="9995" width="7" style="10" bestFit="1" customWidth="1"/>
    <col min="9996" max="9996" width="6.28515625" style="10" customWidth="1"/>
    <col min="9997" max="9997" width="20.42578125" style="10" customWidth="1"/>
    <col min="9998" max="9998" width="6.42578125" style="10" bestFit="1" customWidth="1"/>
    <col min="9999" max="10000" width="8.42578125" style="10"/>
    <col min="10001" max="10001" width="3.28515625" style="10" customWidth="1"/>
    <col min="10002" max="10240" width="8.42578125" style="10"/>
    <col min="10241" max="10241" width="10" style="10" bestFit="1" customWidth="1"/>
    <col min="10242" max="10242" width="44.28515625" style="10" bestFit="1" customWidth="1"/>
    <col min="10243" max="10243" width="10.42578125" style="10" bestFit="1" customWidth="1"/>
    <col min="10244" max="10244" width="10.42578125" style="10" customWidth="1"/>
    <col min="10245" max="10245" width="9.7109375" style="10" bestFit="1" customWidth="1"/>
    <col min="10246" max="10247" width="9.5703125" style="10" bestFit="1" customWidth="1"/>
    <col min="10248" max="10248" width="10.42578125" style="10" bestFit="1" customWidth="1"/>
    <col min="10249" max="10249" width="4.5703125" style="10" customWidth="1"/>
    <col min="10250" max="10250" width="1.7109375" style="10" customWidth="1"/>
    <col min="10251" max="10251" width="7" style="10" bestFit="1" customWidth="1"/>
    <col min="10252" max="10252" width="6.28515625" style="10" customWidth="1"/>
    <col min="10253" max="10253" width="20.42578125" style="10" customWidth="1"/>
    <col min="10254" max="10254" width="6.42578125" style="10" bestFit="1" customWidth="1"/>
    <col min="10255" max="10256" width="8.42578125" style="10"/>
    <col min="10257" max="10257" width="3.28515625" style="10" customWidth="1"/>
    <col min="10258" max="10496" width="8.42578125" style="10"/>
    <col min="10497" max="10497" width="10" style="10" bestFit="1" customWidth="1"/>
    <col min="10498" max="10498" width="44.28515625" style="10" bestFit="1" customWidth="1"/>
    <col min="10499" max="10499" width="10.42578125" style="10" bestFit="1" customWidth="1"/>
    <col min="10500" max="10500" width="10.42578125" style="10" customWidth="1"/>
    <col min="10501" max="10501" width="9.7109375" style="10" bestFit="1" customWidth="1"/>
    <col min="10502" max="10503" width="9.5703125" style="10" bestFit="1" customWidth="1"/>
    <col min="10504" max="10504" width="10.42578125" style="10" bestFit="1" customWidth="1"/>
    <col min="10505" max="10505" width="4.5703125" style="10" customWidth="1"/>
    <col min="10506" max="10506" width="1.7109375" style="10" customWidth="1"/>
    <col min="10507" max="10507" width="7" style="10" bestFit="1" customWidth="1"/>
    <col min="10508" max="10508" width="6.28515625" style="10" customWidth="1"/>
    <col min="10509" max="10509" width="20.42578125" style="10" customWidth="1"/>
    <col min="10510" max="10510" width="6.42578125" style="10" bestFit="1" customWidth="1"/>
    <col min="10511" max="10512" width="8.42578125" style="10"/>
    <col min="10513" max="10513" width="3.28515625" style="10" customWidth="1"/>
    <col min="10514" max="10752" width="8.42578125" style="10"/>
    <col min="10753" max="10753" width="10" style="10" bestFit="1" customWidth="1"/>
    <col min="10754" max="10754" width="44.28515625" style="10" bestFit="1" customWidth="1"/>
    <col min="10755" max="10755" width="10.42578125" style="10" bestFit="1" customWidth="1"/>
    <col min="10756" max="10756" width="10.42578125" style="10" customWidth="1"/>
    <col min="10757" max="10757" width="9.7109375" style="10" bestFit="1" customWidth="1"/>
    <col min="10758" max="10759" width="9.5703125" style="10" bestFit="1" customWidth="1"/>
    <col min="10760" max="10760" width="10.42578125" style="10" bestFit="1" customWidth="1"/>
    <col min="10761" max="10761" width="4.5703125" style="10" customWidth="1"/>
    <col min="10762" max="10762" width="1.7109375" style="10" customWidth="1"/>
    <col min="10763" max="10763" width="7" style="10" bestFit="1" customWidth="1"/>
    <col min="10764" max="10764" width="6.28515625" style="10" customWidth="1"/>
    <col min="10765" max="10765" width="20.42578125" style="10" customWidth="1"/>
    <col min="10766" max="10766" width="6.42578125" style="10" bestFit="1" customWidth="1"/>
    <col min="10767" max="10768" width="8.42578125" style="10"/>
    <col min="10769" max="10769" width="3.28515625" style="10" customWidth="1"/>
    <col min="10770" max="11008" width="8.42578125" style="10"/>
    <col min="11009" max="11009" width="10" style="10" bestFit="1" customWidth="1"/>
    <col min="11010" max="11010" width="44.28515625" style="10" bestFit="1" customWidth="1"/>
    <col min="11011" max="11011" width="10.42578125" style="10" bestFit="1" customWidth="1"/>
    <col min="11012" max="11012" width="10.42578125" style="10" customWidth="1"/>
    <col min="11013" max="11013" width="9.7109375" style="10" bestFit="1" customWidth="1"/>
    <col min="11014" max="11015" width="9.5703125" style="10" bestFit="1" customWidth="1"/>
    <col min="11016" max="11016" width="10.42578125" style="10" bestFit="1" customWidth="1"/>
    <col min="11017" max="11017" width="4.5703125" style="10" customWidth="1"/>
    <col min="11018" max="11018" width="1.7109375" style="10" customWidth="1"/>
    <col min="11019" max="11019" width="7" style="10" bestFit="1" customWidth="1"/>
    <col min="11020" max="11020" width="6.28515625" style="10" customWidth="1"/>
    <col min="11021" max="11021" width="20.42578125" style="10" customWidth="1"/>
    <col min="11022" max="11022" width="6.42578125" style="10" bestFit="1" customWidth="1"/>
    <col min="11023" max="11024" width="8.42578125" style="10"/>
    <col min="11025" max="11025" width="3.28515625" style="10" customWidth="1"/>
    <col min="11026" max="11264" width="8.42578125" style="10"/>
    <col min="11265" max="11265" width="10" style="10" bestFit="1" customWidth="1"/>
    <col min="11266" max="11266" width="44.28515625" style="10" bestFit="1" customWidth="1"/>
    <col min="11267" max="11267" width="10.42578125" style="10" bestFit="1" customWidth="1"/>
    <col min="11268" max="11268" width="10.42578125" style="10" customWidth="1"/>
    <col min="11269" max="11269" width="9.7109375" style="10" bestFit="1" customWidth="1"/>
    <col min="11270" max="11271" width="9.5703125" style="10" bestFit="1" customWidth="1"/>
    <col min="11272" max="11272" width="10.42578125" style="10" bestFit="1" customWidth="1"/>
    <col min="11273" max="11273" width="4.5703125" style="10" customWidth="1"/>
    <col min="11274" max="11274" width="1.7109375" style="10" customWidth="1"/>
    <col min="11275" max="11275" width="7" style="10" bestFit="1" customWidth="1"/>
    <col min="11276" max="11276" width="6.28515625" style="10" customWidth="1"/>
    <col min="11277" max="11277" width="20.42578125" style="10" customWidth="1"/>
    <col min="11278" max="11278" width="6.42578125" style="10" bestFit="1" customWidth="1"/>
    <col min="11279" max="11280" width="8.42578125" style="10"/>
    <col min="11281" max="11281" width="3.28515625" style="10" customWidth="1"/>
    <col min="11282" max="11520" width="8.42578125" style="10"/>
    <col min="11521" max="11521" width="10" style="10" bestFit="1" customWidth="1"/>
    <col min="11522" max="11522" width="44.28515625" style="10" bestFit="1" customWidth="1"/>
    <col min="11523" max="11523" width="10.42578125" style="10" bestFit="1" customWidth="1"/>
    <col min="11524" max="11524" width="10.42578125" style="10" customWidth="1"/>
    <col min="11525" max="11525" width="9.7109375" style="10" bestFit="1" customWidth="1"/>
    <col min="11526" max="11527" width="9.5703125" style="10" bestFit="1" customWidth="1"/>
    <col min="11528" max="11528" width="10.42578125" style="10" bestFit="1" customWidth="1"/>
    <col min="11529" max="11529" width="4.5703125" style="10" customWidth="1"/>
    <col min="11530" max="11530" width="1.7109375" style="10" customWidth="1"/>
    <col min="11531" max="11531" width="7" style="10" bestFit="1" customWidth="1"/>
    <col min="11532" max="11532" width="6.28515625" style="10" customWidth="1"/>
    <col min="11533" max="11533" width="20.42578125" style="10" customWidth="1"/>
    <col min="11534" max="11534" width="6.42578125" style="10" bestFit="1" customWidth="1"/>
    <col min="11535" max="11536" width="8.42578125" style="10"/>
    <col min="11537" max="11537" width="3.28515625" style="10" customWidth="1"/>
    <col min="11538" max="11776" width="8.42578125" style="10"/>
    <col min="11777" max="11777" width="10" style="10" bestFit="1" customWidth="1"/>
    <col min="11778" max="11778" width="44.28515625" style="10" bestFit="1" customWidth="1"/>
    <col min="11779" max="11779" width="10.42578125" style="10" bestFit="1" customWidth="1"/>
    <col min="11780" max="11780" width="10.42578125" style="10" customWidth="1"/>
    <col min="11781" max="11781" width="9.7109375" style="10" bestFit="1" customWidth="1"/>
    <col min="11782" max="11783" width="9.5703125" style="10" bestFit="1" customWidth="1"/>
    <col min="11784" max="11784" width="10.42578125" style="10" bestFit="1" customWidth="1"/>
    <col min="11785" max="11785" width="4.5703125" style="10" customWidth="1"/>
    <col min="11786" max="11786" width="1.7109375" style="10" customWidth="1"/>
    <col min="11787" max="11787" width="7" style="10" bestFit="1" customWidth="1"/>
    <col min="11788" max="11788" width="6.28515625" style="10" customWidth="1"/>
    <col min="11789" max="11789" width="20.42578125" style="10" customWidth="1"/>
    <col min="11790" max="11790" width="6.42578125" style="10" bestFit="1" customWidth="1"/>
    <col min="11791" max="11792" width="8.42578125" style="10"/>
    <col min="11793" max="11793" width="3.28515625" style="10" customWidth="1"/>
    <col min="11794" max="12032" width="8.42578125" style="10"/>
    <col min="12033" max="12033" width="10" style="10" bestFit="1" customWidth="1"/>
    <col min="12034" max="12034" width="44.28515625" style="10" bestFit="1" customWidth="1"/>
    <col min="12035" max="12035" width="10.42578125" style="10" bestFit="1" customWidth="1"/>
    <col min="12036" max="12036" width="10.42578125" style="10" customWidth="1"/>
    <col min="12037" max="12037" width="9.7109375" style="10" bestFit="1" customWidth="1"/>
    <col min="12038" max="12039" width="9.5703125" style="10" bestFit="1" customWidth="1"/>
    <col min="12040" max="12040" width="10.42578125" style="10" bestFit="1" customWidth="1"/>
    <col min="12041" max="12041" width="4.5703125" style="10" customWidth="1"/>
    <col min="12042" max="12042" width="1.7109375" style="10" customWidth="1"/>
    <col min="12043" max="12043" width="7" style="10" bestFit="1" customWidth="1"/>
    <col min="12044" max="12044" width="6.28515625" style="10" customWidth="1"/>
    <col min="12045" max="12045" width="20.42578125" style="10" customWidth="1"/>
    <col min="12046" max="12046" width="6.42578125" style="10" bestFit="1" customWidth="1"/>
    <col min="12047" max="12048" width="8.42578125" style="10"/>
    <col min="12049" max="12049" width="3.28515625" style="10" customWidth="1"/>
    <col min="12050" max="12288" width="8.42578125" style="10"/>
    <col min="12289" max="12289" width="10" style="10" bestFit="1" customWidth="1"/>
    <col min="12290" max="12290" width="44.28515625" style="10" bestFit="1" customWidth="1"/>
    <col min="12291" max="12291" width="10.42578125" style="10" bestFit="1" customWidth="1"/>
    <col min="12292" max="12292" width="10.42578125" style="10" customWidth="1"/>
    <col min="12293" max="12293" width="9.7109375" style="10" bestFit="1" customWidth="1"/>
    <col min="12294" max="12295" width="9.5703125" style="10" bestFit="1" customWidth="1"/>
    <col min="12296" max="12296" width="10.42578125" style="10" bestFit="1" customWidth="1"/>
    <col min="12297" max="12297" width="4.5703125" style="10" customWidth="1"/>
    <col min="12298" max="12298" width="1.7109375" style="10" customWidth="1"/>
    <col min="12299" max="12299" width="7" style="10" bestFit="1" customWidth="1"/>
    <col min="12300" max="12300" width="6.28515625" style="10" customWidth="1"/>
    <col min="12301" max="12301" width="20.42578125" style="10" customWidth="1"/>
    <col min="12302" max="12302" width="6.42578125" style="10" bestFit="1" customWidth="1"/>
    <col min="12303" max="12304" width="8.42578125" style="10"/>
    <col min="12305" max="12305" width="3.28515625" style="10" customWidth="1"/>
    <col min="12306" max="12544" width="8.42578125" style="10"/>
    <col min="12545" max="12545" width="10" style="10" bestFit="1" customWidth="1"/>
    <col min="12546" max="12546" width="44.28515625" style="10" bestFit="1" customWidth="1"/>
    <col min="12547" max="12547" width="10.42578125" style="10" bestFit="1" customWidth="1"/>
    <col min="12548" max="12548" width="10.42578125" style="10" customWidth="1"/>
    <col min="12549" max="12549" width="9.7109375" style="10" bestFit="1" customWidth="1"/>
    <col min="12550" max="12551" width="9.5703125" style="10" bestFit="1" customWidth="1"/>
    <col min="12552" max="12552" width="10.42578125" style="10" bestFit="1" customWidth="1"/>
    <col min="12553" max="12553" width="4.5703125" style="10" customWidth="1"/>
    <col min="12554" max="12554" width="1.7109375" style="10" customWidth="1"/>
    <col min="12555" max="12555" width="7" style="10" bestFit="1" customWidth="1"/>
    <col min="12556" max="12556" width="6.28515625" style="10" customWidth="1"/>
    <col min="12557" max="12557" width="20.42578125" style="10" customWidth="1"/>
    <col min="12558" max="12558" width="6.42578125" style="10" bestFit="1" customWidth="1"/>
    <col min="12559" max="12560" width="8.42578125" style="10"/>
    <col min="12561" max="12561" width="3.28515625" style="10" customWidth="1"/>
    <col min="12562" max="12800" width="8.42578125" style="10"/>
    <col min="12801" max="12801" width="10" style="10" bestFit="1" customWidth="1"/>
    <col min="12802" max="12802" width="44.28515625" style="10" bestFit="1" customWidth="1"/>
    <col min="12803" max="12803" width="10.42578125" style="10" bestFit="1" customWidth="1"/>
    <col min="12804" max="12804" width="10.42578125" style="10" customWidth="1"/>
    <col min="12805" max="12805" width="9.7109375" style="10" bestFit="1" customWidth="1"/>
    <col min="12806" max="12807" width="9.5703125" style="10" bestFit="1" customWidth="1"/>
    <col min="12808" max="12808" width="10.42578125" style="10" bestFit="1" customWidth="1"/>
    <col min="12809" max="12809" width="4.5703125" style="10" customWidth="1"/>
    <col min="12810" max="12810" width="1.7109375" style="10" customWidth="1"/>
    <col min="12811" max="12811" width="7" style="10" bestFit="1" customWidth="1"/>
    <col min="12812" max="12812" width="6.28515625" style="10" customWidth="1"/>
    <col min="12813" max="12813" width="20.42578125" style="10" customWidth="1"/>
    <col min="12814" max="12814" width="6.42578125" style="10" bestFit="1" customWidth="1"/>
    <col min="12815" max="12816" width="8.42578125" style="10"/>
    <col min="12817" max="12817" width="3.28515625" style="10" customWidth="1"/>
    <col min="12818" max="13056" width="8.42578125" style="10"/>
    <col min="13057" max="13057" width="10" style="10" bestFit="1" customWidth="1"/>
    <col min="13058" max="13058" width="44.28515625" style="10" bestFit="1" customWidth="1"/>
    <col min="13059" max="13059" width="10.42578125" style="10" bestFit="1" customWidth="1"/>
    <col min="13060" max="13060" width="10.42578125" style="10" customWidth="1"/>
    <col min="13061" max="13061" width="9.7109375" style="10" bestFit="1" customWidth="1"/>
    <col min="13062" max="13063" width="9.5703125" style="10" bestFit="1" customWidth="1"/>
    <col min="13064" max="13064" width="10.42578125" style="10" bestFit="1" customWidth="1"/>
    <col min="13065" max="13065" width="4.5703125" style="10" customWidth="1"/>
    <col min="13066" max="13066" width="1.7109375" style="10" customWidth="1"/>
    <col min="13067" max="13067" width="7" style="10" bestFit="1" customWidth="1"/>
    <col min="13068" max="13068" width="6.28515625" style="10" customWidth="1"/>
    <col min="13069" max="13069" width="20.42578125" style="10" customWidth="1"/>
    <col min="13070" max="13070" width="6.42578125" style="10" bestFit="1" customWidth="1"/>
    <col min="13071" max="13072" width="8.42578125" style="10"/>
    <col min="13073" max="13073" width="3.28515625" style="10" customWidth="1"/>
    <col min="13074" max="13312" width="8.42578125" style="10"/>
    <col min="13313" max="13313" width="10" style="10" bestFit="1" customWidth="1"/>
    <col min="13314" max="13314" width="44.28515625" style="10" bestFit="1" customWidth="1"/>
    <col min="13315" max="13315" width="10.42578125" style="10" bestFit="1" customWidth="1"/>
    <col min="13316" max="13316" width="10.42578125" style="10" customWidth="1"/>
    <col min="13317" max="13317" width="9.7109375" style="10" bestFit="1" customWidth="1"/>
    <col min="13318" max="13319" width="9.5703125" style="10" bestFit="1" customWidth="1"/>
    <col min="13320" max="13320" width="10.42578125" style="10" bestFit="1" customWidth="1"/>
    <col min="13321" max="13321" width="4.5703125" style="10" customWidth="1"/>
    <col min="13322" max="13322" width="1.7109375" style="10" customWidth="1"/>
    <col min="13323" max="13323" width="7" style="10" bestFit="1" customWidth="1"/>
    <col min="13324" max="13324" width="6.28515625" style="10" customWidth="1"/>
    <col min="13325" max="13325" width="20.42578125" style="10" customWidth="1"/>
    <col min="13326" max="13326" width="6.42578125" style="10" bestFit="1" customWidth="1"/>
    <col min="13327" max="13328" width="8.42578125" style="10"/>
    <col min="13329" max="13329" width="3.28515625" style="10" customWidth="1"/>
    <col min="13330" max="13568" width="8.42578125" style="10"/>
    <col min="13569" max="13569" width="10" style="10" bestFit="1" customWidth="1"/>
    <col min="13570" max="13570" width="44.28515625" style="10" bestFit="1" customWidth="1"/>
    <col min="13571" max="13571" width="10.42578125" style="10" bestFit="1" customWidth="1"/>
    <col min="13572" max="13572" width="10.42578125" style="10" customWidth="1"/>
    <col min="13573" max="13573" width="9.7109375" style="10" bestFit="1" customWidth="1"/>
    <col min="13574" max="13575" width="9.5703125" style="10" bestFit="1" customWidth="1"/>
    <col min="13576" max="13576" width="10.42578125" style="10" bestFit="1" customWidth="1"/>
    <col min="13577" max="13577" width="4.5703125" style="10" customWidth="1"/>
    <col min="13578" max="13578" width="1.7109375" style="10" customWidth="1"/>
    <col min="13579" max="13579" width="7" style="10" bestFit="1" customWidth="1"/>
    <col min="13580" max="13580" width="6.28515625" style="10" customWidth="1"/>
    <col min="13581" max="13581" width="20.42578125" style="10" customWidth="1"/>
    <col min="13582" max="13582" width="6.42578125" style="10" bestFit="1" customWidth="1"/>
    <col min="13583" max="13584" width="8.42578125" style="10"/>
    <col min="13585" max="13585" width="3.28515625" style="10" customWidth="1"/>
    <col min="13586" max="13824" width="8.42578125" style="10"/>
    <col min="13825" max="13825" width="10" style="10" bestFit="1" customWidth="1"/>
    <col min="13826" max="13826" width="44.28515625" style="10" bestFit="1" customWidth="1"/>
    <col min="13827" max="13827" width="10.42578125" style="10" bestFit="1" customWidth="1"/>
    <col min="13828" max="13828" width="10.42578125" style="10" customWidth="1"/>
    <col min="13829" max="13829" width="9.7109375" style="10" bestFit="1" customWidth="1"/>
    <col min="13830" max="13831" width="9.5703125" style="10" bestFit="1" customWidth="1"/>
    <col min="13832" max="13832" width="10.42578125" style="10" bestFit="1" customWidth="1"/>
    <col min="13833" max="13833" width="4.5703125" style="10" customWidth="1"/>
    <col min="13834" max="13834" width="1.7109375" style="10" customWidth="1"/>
    <col min="13835" max="13835" width="7" style="10" bestFit="1" customWidth="1"/>
    <col min="13836" max="13836" width="6.28515625" style="10" customWidth="1"/>
    <col min="13837" max="13837" width="20.42578125" style="10" customWidth="1"/>
    <col min="13838" max="13838" width="6.42578125" style="10" bestFit="1" customWidth="1"/>
    <col min="13839" max="13840" width="8.42578125" style="10"/>
    <col min="13841" max="13841" width="3.28515625" style="10" customWidth="1"/>
    <col min="13842" max="14080" width="8.42578125" style="10"/>
    <col min="14081" max="14081" width="10" style="10" bestFit="1" customWidth="1"/>
    <col min="14082" max="14082" width="44.28515625" style="10" bestFit="1" customWidth="1"/>
    <col min="14083" max="14083" width="10.42578125" style="10" bestFit="1" customWidth="1"/>
    <col min="14084" max="14084" width="10.42578125" style="10" customWidth="1"/>
    <col min="14085" max="14085" width="9.7109375" style="10" bestFit="1" customWidth="1"/>
    <col min="14086" max="14087" width="9.5703125" style="10" bestFit="1" customWidth="1"/>
    <col min="14088" max="14088" width="10.42578125" style="10" bestFit="1" customWidth="1"/>
    <col min="14089" max="14089" width="4.5703125" style="10" customWidth="1"/>
    <col min="14090" max="14090" width="1.7109375" style="10" customWidth="1"/>
    <col min="14091" max="14091" width="7" style="10" bestFit="1" customWidth="1"/>
    <col min="14092" max="14092" width="6.28515625" style="10" customWidth="1"/>
    <col min="14093" max="14093" width="20.42578125" style="10" customWidth="1"/>
    <col min="14094" max="14094" width="6.42578125" style="10" bestFit="1" customWidth="1"/>
    <col min="14095" max="14096" width="8.42578125" style="10"/>
    <col min="14097" max="14097" width="3.28515625" style="10" customWidth="1"/>
    <col min="14098" max="14336" width="8.42578125" style="10"/>
    <col min="14337" max="14337" width="10" style="10" bestFit="1" customWidth="1"/>
    <col min="14338" max="14338" width="44.28515625" style="10" bestFit="1" customWidth="1"/>
    <col min="14339" max="14339" width="10.42578125" style="10" bestFit="1" customWidth="1"/>
    <col min="14340" max="14340" width="10.42578125" style="10" customWidth="1"/>
    <col min="14341" max="14341" width="9.7109375" style="10" bestFit="1" customWidth="1"/>
    <col min="14342" max="14343" width="9.5703125" style="10" bestFit="1" customWidth="1"/>
    <col min="14344" max="14344" width="10.42578125" style="10" bestFit="1" customWidth="1"/>
    <col min="14345" max="14345" width="4.5703125" style="10" customWidth="1"/>
    <col min="14346" max="14346" width="1.7109375" style="10" customWidth="1"/>
    <col min="14347" max="14347" width="7" style="10" bestFit="1" customWidth="1"/>
    <col min="14348" max="14348" width="6.28515625" style="10" customWidth="1"/>
    <col min="14349" max="14349" width="20.42578125" style="10" customWidth="1"/>
    <col min="14350" max="14350" width="6.42578125" style="10" bestFit="1" customWidth="1"/>
    <col min="14351" max="14352" width="8.42578125" style="10"/>
    <col min="14353" max="14353" width="3.28515625" style="10" customWidth="1"/>
    <col min="14354" max="14592" width="8.42578125" style="10"/>
    <col min="14593" max="14593" width="10" style="10" bestFit="1" customWidth="1"/>
    <col min="14594" max="14594" width="44.28515625" style="10" bestFit="1" customWidth="1"/>
    <col min="14595" max="14595" width="10.42578125" style="10" bestFit="1" customWidth="1"/>
    <col min="14596" max="14596" width="10.42578125" style="10" customWidth="1"/>
    <col min="14597" max="14597" width="9.7109375" style="10" bestFit="1" customWidth="1"/>
    <col min="14598" max="14599" width="9.5703125" style="10" bestFit="1" customWidth="1"/>
    <col min="14600" max="14600" width="10.42578125" style="10" bestFit="1" customWidth="1"/>
    <col min="14601" max="14601" width="4.5703125" style="10" customWidth="1"/>
    <col min="14602" max="14602" width="1.7109375" style="10" customWidth="1"/>
    <col min="14603" max="14603" width="7" style="10" bestFit="1" customWidth="1"/>
    <col min="14604" max="14604" width="6.28515625" style="10" customWidth="1"/>
    <col min="14605" max="14605" width="20.42578125" style="10" customWidth="1"/>
    <col min="14606" max="14606" width="6.42578125" style="10" bestFit="1" customWidth="1"/>
    <col min="14607" max="14608" width="8.42578125" style="10"/>
    <col min="14609" max="14609" width="3.28515625" style="10" customWidth="1"/>
    <col min="14610" max="14848" width="8.42578125" style="10"/>
    <col min="14849" max="14849" width="10" style="10" bestFit="1" customWidth="1"/>
    <col min="14850" max="14850" width="44.28515625" style="10" bestFit="1" customWidth="1"/>
    <col min="14851" max="14851" width="10.42578125" style="10" bestFit="1" customWidth="1"/>
    <col min="14852" max="14852" width="10.42578125" style="10" customWidth="1"/>
    <col min="14853" max="14853" width="9.7109375" style="10" bestFit="1" customWidth="1"/>
    <col min="14854" max="14855" width="9.5703125" style="10" bestFit="1" customWidth="1"/>
    <col min="14856" max="14856" width="10.42578125" style="10" bestFit="1" customWidth="1"/>
    <col min="14857" max="14857" width="4.5703125" style="10" customWidth="1"/>
    <col min="14858" max="14858" width="1.7109375" style="10" customWidth="1"/>
    <col min="14859" max="14859" width="7" style="10" bestFit="1" customWidth="1"/>
    <col min="14860" max="14860" width="6.28515625" style="10" customWidth="1"/>
    <col min="14861" max="14861" width="20.42578125" style="10" customWidth="1"/>
    <col min="14862" max="14862" width="6.42578125" style="10" bestFit="1" customWidth="1"/>
    <col min="14863" max="14864" width="8.42578125" style="10"/>
    <col min="14865" max="14865" width="3.28515625" style="10" customWidth="1"/>
    <col min="14866" max="15104" width="8.42578125" style="10"/>
    <col min="15105" max="15105" width="10" style="10" bestFit="1" customWidth="1"/>
    <col min="15106" max="15106" width="44.28515625" style="10" bestFit="1" customWidth="1"/>
    <col min="15107" max="15107" width="10.42578125" style="10" bestFit="1" customWidth="1"/>
    <col min="15108" max="15108" width="10.42578125" style="10" customWidth="1"/>
    <col min="15109" max="15109" width="9.7109375" style="10" bestFit="1" customWidth="1"/>
    <col min="15110" max="15111" width="9.5703125" style="10" bestFit="1" customWidth="1"/>
    <col min="15112" max="15112" width="10.42578125" style="10" bestFit="1" customWidth="1"/>
    <col min="15113" max="15113" width="4.5703125" style="10" customWidth="1"/>
    <col min="15114" max="15114" width="1.7109375" style="10" customWidth="1"/>
    <col min="15115" max="15115" width="7" style="10" bestFit="1" customWidth="1"/>
    <col min="15116" max="15116" width="6.28515625" style="10" customWidth="1"/>
    <col min="15117" max="15117" width="20.42578125" style="10" customWidth="1"/>
    <col min="15118" max="15118" width="6.42578125" style="10" bestFit="1" customWidth="1"/>
    <col min="15119" max="15120" width="8.42578125" style="10"/>
    <col min="15121" max="15121" width="3.28515625" style="10" customWidth="1"/>
    <col min="15122" max="15360" width="8.42578125" style="10"/>
    <col min="15361" max="15361" width="10" style="10" bestFit="1" customWidth="1"/>
    <col min="15362" max="15362" width="44.28515625" style="10" bestFit="1" customWidth="1"/>
    <col min="15363" max="15363" width="10.42578125" style="10" bestFit="1" customWidth="1"/>
    <col min="15364" max="15364" width="10.42578125" style="10" customWidth="1"/>
    <col min="15365" max="15365" width="9.7109375" style="10" bestFit="1" customWidth="1"/>
    <col min="15366" max="15367" width="9.5703125" style="10" bestFit="1" customWidth="1"/>
    <col min="15368" max="15368" width="10.42578125" style="10" bestFit="1" customWidth="1"/>
    <col min="15369" max="15369" width="4.5703125" style="10" customWidth="1"/>
    <col min="15370" max="15370" width="1.7109375" style="10" customWidth="1"/>
    <col min="15371" max="15371" width="7" style="10" bestFit="1" customWidth="1"/>
    <col min="15372" max="15372" width="6.28515625" style="10" customWidth="1"/>
    <col min="15373" max="15373" width="20.42578125" style="10" customWidth="1"/>
    <col min="15374" max="15374" width="6.42578125" style="10" bestFit="1" customWidth="1"/>
    <col min="15375" max="15376" width="8.42578125" style="10"/>
    <col min="15377" max="15377" width="3.28515625" style="10" customWidth="1"/>
    <col min="15378" max="15616" width="8.42578125" style="10"/>
    <col min="15617" max="15617" width="10" style="10" bestFit="1" customWidth="1"/>
    <col min="15618" max="15618" width="44.28515625" style="10" bestFit="1" customWidth="1"/>
    <col min="15619" max="15619" width="10.42578125" style="10" bestFit="1" customWidth="1"/>
    <col min="15620" max="15620" width="10.42578125" style="10" customWidth="1"/>
    <col min="15621" max="15621" width="9.7109375" style="10" bestFit="1" customWidth="1"/>
    <col min="15622" max="15623" width="9.5703125" style="10" bestFit="1" customWidth="1"/>
    <col min="15624" max="15624" width="10.42578125" style="10" bestFit="1" customWidth="1"/>
    <col min="15625" max="15625" width="4.5703125" style="10" customWidth="1"/>
    <col min="15626" max="15626" width="1.7109375" style="10" customWidth="1"/>
    <col min="15627" max="15627" width="7" style="10" bestFit="1" customWidth="1"/>
    <col min="15628" max="15628" width="6.28515625" style="10" customWidth="1"/>
    <col min="15629" max="15629" width="20.42578125" style="10" customWidth="1"/>
    <col min="15630" max="15630" width="6.42578125" style="10" bestFit="1" customWidth="1"/>
    <col min="15631" max="15632" width="8.42578125" style="10"/>
    <col min="15633" max="15633" width="3.28515625" style="10" customWidth="1"/>
    <col min="15634" max="15872" width="8.42578125" style="10"/>
    <col min="15873" max="15873" width="10" style="10" bestFit="1" customWidth="1"/>
    <col min="15874" max="15874" width="44.28515625" style="10" bestFit="1" customWidth="1"/>
    <col min="15875" max="15875" width="10.42578125" style="10" bestFit="1" customWidth="1"/>
    <col min="15876" max="15876" width="10.42578125" style="10" customWidth="1"/>
    <col min="15877" max="15877" width="9.7109375" style="10" bestFit="1" customWidth="1"/>
    <col min="15878" max="15879" width="9.5703125" style="10" bestFit="1" customWidth="1"/>
    <col min="15880" max="15880" width="10.42578125" style="10" bestFit="1" customWidth="1"/>
    <col min="15881" max="15881" width="4.5703125" style="10" customWidth="1"/>
    <col min="15882" max="15882" width="1.7109375" style="10" customWidth="1"/>
    <col min="15883" max="15883" width="7" style="10" bestFit="1" customWidth="1"/>
    <col min="15884" max="15884" width="6.28515625" style="10" customWidth="1"/>
    <col min="15885" max="15885" width="20.42578125" style="10" customWidth="1"/>
    <col min="15886" max="15886" width="6.42578125" style="10" bestFit="1" customWidth="1"/>
    <col min="15887" max="15888" width="8.42578125" style="10"/>
    <col min="15889" max="15889" width="3.28515625" style="10" customWidth="1"/>
    <col min="15890" max="16128" width="8.42578125" style="10"/>
    <col min="16129" max="16129" width="10" style="10" bestFit="1" customWidth="1"/>
    <col min="16130" max="16130" width="44.28515625" style="10" bestFit="1" customWidth="1"/>
    <col min="16131" max="16131" width="10.42578125" style="10" bestFit="1" customWidth="1"/>
    <col min="16132" max="16132" width="10.42578125" style="10" customWidth="1"/>
    <col min="16133" max="16133" width="9.7109375" style="10" bestFit="1" customWidth="1"/>
    <col min="16134" max="16135" width="9.5703125" style="10" bestFit="1" customWidth="1"/>
    <col min="16136" max="16136" width="10.42578125" style="10" bestFit="1" customWidth="1"/>
    <col min="16137" max="16137" width="4.5703125" style="10" customWidth="1"/>
    <col min="16138" max="16138" width="1.7109375" style="10" customWidth="1"/>
    <col min="16139" max="16139" width="7" style="10" bestFit="1" customWidth="1"/>
    <col min="16140" max="16140" width="6.28515625" style="10" customWidth="1"/>
    <col min="16141" max="16141" width="20.42578125" style="10" customWidth="1"/>
    <col min="16142" max="16142" width="6.42578125" style="10" bestFit="1" customWidth="1"/>
    <col min="16143" max="16144" width="8.42578125" style="10"/>
    <col min="16145" max="16145" width="3.28515625" style="10" customWidth="1"/>
    <col min="16146" max="16384" width="8.42578125" style="10"/>
  </cols>
  <sheetData>
    <row r="1" spans="1:10" ht="27.75" customHeight="1" x14ac:dyDescent="0.25">
      <c r="A1" s="5"/>
      <c r="B1" s="5"/>
      <c r="C1" s="5"/>
      <c r="D1" s="5"/>
      <c r="E1" s="6" t="s">
        <v>69</v>
      </c>
      <c r="F1" s="7" t="s">
        <v>70</v>
      </c>
      <c r="G1" s="7" t="s">
        <v>71</v>
      </c>
      <c r="H1" s="7" t="s">
        <v>72</v>
      </c>
      <c r="I1" s="8"/>
    </row>
    <row r="2" spans="1:10" ht="30.75" customHeight="1" x14ac:dyDescent="0.25">
      <c r="A2" s="5"/>
      <c r="B2" s="5"/>
      <c r="C2" s="5"/>
      <c r="D2" s="5"/>
      <c r="E2" s="11">
        <f>IFERROR(O65,"")</f>
        <v>1380.8144578188451</v>
      </c>
      <c r="F2" s="11">
        <f>IFERROR(H56,"")</f>
        <v>586.03119004873054</v>
      </c>
      <c r="G2" s="11">
        <f>IFERROR(H57,"")</f>
        <v>173.02997745607848</v>
      </c>
      <c r="H2" s="11">
        <f>IFERROR(H59,"")</f>
        <v>318.71387150551425</v>
      </c>
      <c r="I2" s="12"/>
    </row>
    <row r="3" spans="1:10" ht="15" customHeight="1" x14ac:dyDescent="0.25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3">
      <c r="A4" s="285"/>
      <c r="B4" s="285"/>
      <c r="C4" s="285"/>
      <c r="D4" s="285"/>
      <c r="E4" s="285"/>
      <c r="F4" s="285"/>
      <c r="G4" s="285"/>
      <c r="H4" s="285"/>
      <c r="I4" s="14"/>
    </row>
    <row r="5" spans="1:10" ht="19.5" customHeight="1" thickBot="1" x14ac:dyDescent="0.3">
      <c r="A5" s="290" t="s">
        <v>73</v>
      </c>
      <c r="B5" s="291"/>
      <c r="C5" s="291"/>
      <c r="D5" s="291"/>
      <c r="E5" s="291"/>
      <c r="F5" s="291"/>
      <c r="G5" s="291"/>
      <c r="H5" s="292"/>
      <c r="I5" s="15"/>
    </row>
    <row r="6" spans="1:10" ht="19.5" thickBot="1" x14ac:dyDescent="0.3">
      <c r="A6" s="15"/>
      <c r="B6" s="15"/>
      <c r="C6" s="15"/>
      <c r="D6" s="15"/>
      <c r="E6" s="15"/>
      <c r="F6" s="293" t="s">
        <v>74</v>
      </c>
      <c r="G6" s="293"/>
      <c r="H6" s="16">
        <f ca="1">TODAY()</f>
        <v>45849</v>
      </c>
      <c r="I6" s="16"/>
    </row>
    <row r="7" spans="1:10" ht="26.25" thickBot="1" x14ac:dyDescent="0.3">
      <c r="A7" s="17" t="s">
        <v>75</v>
      </c>
      <c r="B7" s="18" t="s">
        <v>76</v>
      </c>
      <c r="C7" s="18" t="s">
        <v>75</v>
      </c>
      <c r="D7" s="19" t="s">
        <v>77</v>
      </c>
      <c r="E7" s="19" t="s">
        <v>78</v>
      </c>
      <c r="F7" s="19" t="s">
        <v>79</v>
      </c>
      <c r="G7" s="19" t="s">
        <v>80</v>
      </c>
      <c r="H7" s="20" t="s">
        <v>81</v>
      </c>
      <c r="I7" s="21"/>
    </row>
    <row r="8" spans="1:10" ht="13.5" x14ac:dyDescent="0.25">
      <c r="A8" s="22">
        <v>20</v>
      </c>
      <c r="B8" s="10" t="s">
        <v>47</v>
      </c>
      <c r="C8" s="23">
        <f>+A8</f>
        <v>20</v>
      </c>
      <c r="D8" s="24" t="s">
        <v>120</v>
      </c>
      <c r="E8" s="24">
        <v>2.56</v>
      </c>
      <c r="F8" s="24">
        <f>IFERROR(C8*E8,"")</f>
        <v>51.2</v>
      </c>
      <c r="G8" s="25">
        <f t="shared" ref="G8:G14" si="0">IFERROR(F8/$F$69,"")</f>
        <v>4.7593294861268717E-2</v>
      </c>
      <c r="H8" s="26" t="s">
        <v>46</v>
      </c>
      <c r="I8" s="26"/>
      <c r="J8" s="27"/>
    </row>
    <row r="9" spans="1:10" ht="13.5" x14ac:dyDescent="0.25">
      <c r="A9" s="22">
        <v>1</v>
      </c>
      <c r="B9" s="10" t="str">
        <f>IFERROR(VLOOKUP(H9,'[1]Consolidado MP Planta'!$A$2:$M$823,3,0),"")</f>
        <v>CHOCOLATE TULIPAN MARMOL (CAJA:150 UND)</v>
      </c>
      <c r="C9" s="23">
        <f t="shared" ref="C9:C14" si="1">+A9</f>
        <v>1</v>
      </c>
      <c r="D9" s="24" t="str">
        <f>IFERROR(VLOOKUP(H9,'[1]Consolidado MP Planta'!$A$2:$M$823,13,0),"")</f>
        <v>Und</v>
      </c>
      <c r="E9" s="24">
        <v>120</v>
      </c>
      <c r="F9" s="24">
        <f t="shared" ref="F9:F14" si="2">IFERROR(C9*E9,"")</f>
        <v>120</v>
      </c>
      <c r="G9" s="25">
        <f t="shared" si="0"/>
        <v>0.11154678483109855</v>
      </c>
      <c r="H9" s="26" t="s">
        <v>21</v>
      </c>
      <c r="I9" s="26"/>
      <c r="J9" s="27"/>
    </row>
    <row r="10" spans="1:10" ht="13.5" hidden="1" x14ac:dyDescent="0.25">
      <c r="A10" s="22"/>
      <c r="B10" s="10" t="str">
        <f>IFERROR(VLOOKUP(H10,'[1]Consolidado MP Planta'!$A$2:$M$823,3,0),"")</f>
        <v/>
      </c>
      <c r="C10" s="23">
        <f t="shared" si="1"/>
        <v>0</v>
      </c>
      <c r="D10" s="24" t="str">
        <f>IFERROR(VLOOKUP(H10,'[1]Consolidado MP Planta'!$A$2:$M$823,13,0),"")</f>
        <v/>
      </c>
      <c r="E10" s="24" t="str">
        <f>IFERROR(VLOOKUP(H10,'[1]Consolidado MP Planta'!$A$2:$M$823,12,0),"")</f>
        <v/>
      </c>
      <c r="F10" s="24" t="str">
        <f t="shared" si="2"/>
        <v/>
      </c>
      <c r="G10" s="25" t="str">
        <f t="shared" si="0"/>
        <v/>
      </c>
      <c r="H10" s="26"/>
      <c r="I10" s="26"/>
      <c r="J10" s="27"/>
    </row>
    <row r="11" spans="1:10" ht="13.5" hidden="1" x14ac:dyDescent="0.25">
      <c r="A11" s="22"/>
      <c r="B11" s="10" t="str">
        <f>IFERROR(VLOOKUP(H11,'[1]Consolidado MP Planta'!$A$2:$M$823,3,0),"")</f>
        <v/>
      </c>
      <c r="C11" s="23">
        <f t="shared" si="1"/>
        <v>0</v>
      </c>
      <c r="D11" s="24" t="str">
        <f>IFERROR(VLOOKUP(H11,'[1]Consolidado MP Planta'!$A$2:$M$823,13,0),"")</f>
        <v/>
      </c>
      <c r="E11" s="24" t="str">
        <f>IFERROR(VLOOKUP(H11,'[1]Consolidado MP Planta'!$A$2:$M$823,12,0),"")</f>
        <v/>
      </c>
      <c r="F11" s="24" t="str">
        <f t="shared" si="2"/>
        <v/>
      </c>
      <c r="G11" s="25" t="str">
        <f t="shared" si="0"/>
        <v/>
      </c>
      <c r="H11" s="26"/>
      <c r="I11" s="26"/>
      <c r="J11" s="27"/>
    </row>
    <row r="12" spans="1:10" ht="13.5" hidden="1" x14ac:dyDescent="0.25">
      <c r="A12" s="22"/>
      <c r="B12" s="10" t="str">
        <f>IFERROR(VLOOKUP(H12,'[1]Consolidado MP Planta'!$A$2:$M$823,3,0),"")</f>
        <v/>
      </c>
      <c r="C12" s="23">
        <f t="shared" si="1"/>
        <v>0</v>
      </c>
      <c r="D12" s="24" t="str">
        <f>IFERROR(VLOOKUP(H12,'[1]Consolidado MP Planta'!$A$2:$M$823,13,0),"")</f>
        <v/>
      </c>
      <c r="E12" s="24" t="str">
        <f>IFERROR(VLOOKUP(H12,'[1]Consolidado MP Planta'!$A$2:$M$823,12,0),"")</f>
        <v/>
      </c>
      <c r="F12" s="24" t="str">
        <f t="shared" si="2"/>
        <v/>
      </c>
      <c r="G12" s="25" t="str">
        <f t="shared" si="0"/>
        <v/>
      </c>
      <c r="H12" s="26"/>
      <c r="I12" s="26"/>
      <c r="J12" s="27"/>
    </row>
    <row r="13" spans="1:10" ht="13.5" hidden="1" x14ac:dyDescent="0.25">
      <c r="A13" s="22"/>
      <c r="B13" s="10" t="str">
        <f>IFERROR(VLOOKUP(H13,'[1]Consolidado MP Planta'!$A$2:$M$823,3,0),"")</f>
        <v/>
      </c>
      <c r="C13" s="23">
        <f t="shared" si="1"/>
        <v>0</v>
      </c>
      <c r="D13" s="24" t="str">
        <f>IFERROR(VLOOKUP(H13,'[1]Consolidado MP Planta'!$A$2:$M$823,13,0),"")</f>
        <v/>
      </c>
      <c r="E13" s="24" t="str">
        <f>IFERROR(VLOOKUP(H13,'[1]Consolidado MP Planta'!$A$2:$M$823,12,0),"")</f>
        <v/>
      </c>
      <c r="F13" s="24" t="str">
        <f t="shared" si="2"/>
        <v/>
      </c>
      <c r="G13" s="25" t="str">
        <f t="shared" si="0"/>
        <v/>
      </c>
      <c r="H13" s="26"/>
      <c r="I13" s="26"/>
      <c r="J13" s="27"/>
    </row>
    <row r="14" spans="1:10" ht="13.5" hidden="1" x14ac:dyDescent="0.25">
      <c r="A14" s="22"/>
      <c r="B14" s="10" t="str">
        <f>IFERROR(VLOOKUP(H14,'[1]Consolidado MP Planta'!$A$2:$M$823,3,0),"")</f>
        <v/>
      </c>
      <c r="C14" s="23">
        <f t="shared" si="1"/>
        <v>0</v>
      </c>
      <c r="D14" s="24" t="str">
        <f>IFERROR(VLOOKUP(H14,'[1]Consolidado MP Planta'!$A$2:$M$823,13,0),"")</f>
        <v/>
      </c>
      <c r="E14" s="24" t="str">
        <f>IFERROR(VLOOKUP(H14,'[1]Consolidado MP Planta'!$A$2:$M$823,12,0),"")</f>
        <v/>
      </c>
      <c r="F14" s="24" t="str">
        <f t="shared" si="2"/>
        <v/>
      </c>
      <c r="G14" s="25" t="str">
        <f t="shared" si="0"/>
        <v/>
      </c>
      <c r="H14" s="26"/>
      <c r="I14" s="26"/>
      <c r="J14" s="27"/>
    </row>
    <row r="15" spans="1:10" ht="14.25" thickBot="1" x14ac:dyDescent="0.3">
      <c r="A15" s="22"/>
      <c r="B15" s="10" t="str">
        <f>IFERROR(VLOOKUP(H15,'[2]ARTICULOS MP PLANTA'!$A$2:$G$589,2,0),"")</f>
        <v/>
      </c>
      <c r="C15" s="23"/>
      <c r="D15" s="24"/>
      <c r="E15" s="24"/>
      <c r="F15" s="24"/>
      <c r="G15" s="25"/>
      <c r="H15" s="26"/>
      <c r="I15" s="26"/>
      <c r="J15" s="27"/>
    </row>
    <row r="16" spans="1:10" ht="26.25" thickBot="1" x14ac:dyDescent="0.3">
      <c r="A16" s="17" t="s">
        <v>75</v>
      </c>
      <c r="B16" s="18" t="s">
        <v>82</v>
      </c>
      <c r="C16" s="18" t="s">
        <v>75</v>
      </c>
      <c r="D16" s="19" t="s">
        <v>77</v>
      </c>
      <c r="E16" s="19" t="s">
        <v>78</v>
      </c>
      <c r="F16" s="19" t="s">
        <v>79</v>
      </c>
      <c r="G16" s="19" t="s">
        <v>80</v>
      </c>
      <c r="H16" s="20" t="s">
        <v>81</v>
      </c>
      <c r="I16" s="21"/>
      <c r="J16" s="27"/>
    </row>
    <row r="17" spans="1:12" ht="13.5" x14ac:dyDescent="0.25">
      <c r="A17" s="22">
        <v>1</v>
      </c>
      <c r="B17" s="10" t="s">
        <v>67</v>
      </c>
      <c r="C17" s="23">
        <f>+A17</f>
        <v>1</v>
      </c>
      <c r="D17" s="23" t="s">
        <v>121</v>
      </c>
      <c r="E17" s="24">
        <f>+'[3]COSTO ROSQUETE'!$H$52</f>
        <v>136.64119004873046</v>
      </c>
      <c r="F17" s="24">
        <f>IFERROR(E17*C17,"")</f>
        <v>136.64119004873046</v>
      </c>
      <c r="G17" s="25">
        <f t="shared" ref="G17:G24" si="3">IFERROR(F17/$F$69,"")</f>
        <v>0.12701571187859151</v>
      </c>
      <c r="H17" s="26" t="s">
        <v>122</v>
      </c>
      <c r="I17" s="26"/>
      <c r="J17" s="27"/>
    </row>
    <row r="18" spans="1:12" ht="13.5" x14ac:dyDescent="0.25">
      <c r="A18" s="22">
        <v>30</v>
      </c>
      <c r="B18" s="10" t="s">
        <v>66</v>
      </c>
      <c r="C18" s="23">
        <f t="shared" ref="C18:C24" si="4">+A18</f>
        <v>30</v>
      </c>
      <c r="D18" s="23" t="s">
        <v>120</v>
      </c>
      <c r="E18" s="24">
        <v>2.3199999999999998</v>
      </c>
      <c r="F18" s="24">
        <f t="shared" ref="F18:F24" si="5">IFERROR(E18*C18,"")</f>
        <v>69.599999999999994</v>
      </c>
      <c r="G18" s="25">
        <f t="shared" si="3"/>
        <v>6.4697135202037154E-2</v>
      </c>
      <c r="H18" s="26" t="s">
        <v>64</v>
      </c>
      <c r="I18" s="26"/>
      <c r="J18" s="27"/>
    </row>
    <row r="19" spans="1:12" ht="13.5" x14ac:dyDescent="0.25">
      <c r="A19" s="22">
        <v>80</v>
      </c>
      <c r="B19" s="10" t="s">
        <v>49</v>
      </c>
      <c r="C19" s="23">
        <f>+A19</f>
        <v>80</v>
      </c>
      <c r="D19" s="23" t="s">
        <v>120</v>
      </c>
      <c r="E19" s="24">
        <v>2.4300000000000002</v>
      </c>
      <c r="F19" s="24">
        <f>IFERROR(E19*C19,"")</f>
        <v>194.4</v>
      </c>
      <c r="G19" s="25">
        <f t="shared" si="3"/>
        <v>0.18070579142637963</v>
      </c>
      <c r="H19" s="26" t="s">
        <v>48</v>
      </c>
      <c r="I19" s="26"/>
      <c r="J19" s="27"/>
    </row>
    <row r="20" spans="1:12" ht="13.5" x14ac:dyDescent="0.25">
      <c r="A20" s="22">
        <v>3</v>
      </c>
      <c r="B20" s="10" t="s">
        <v>68</v>
      </c>
      <c r="C20" s="23">
        <f>+A20</f>
        <v>3</v>
      </c>
      <c r="D20" s="23" t="s">
        <v>120</v>
      </c>
      <c r="E20" s="24">
        <v>4.7300000000000004</v>
      </c>
      <c r="F20" s="24">
        <f>IFERROR(E20*C20,"")</f>
        <v>14.190000000000001</v>
      </c>
      <c r="G20" s="25">
        <f t="shared" si="3"/>
        <v>1.3190407306277404E-2</v>
      </c>
      <c r="H20" s="26" t="s">
        <v>62</v>
      </c>
      <c r="I20" s="26"/>
      <c r="J20" s="27"/>
    </row>
    <row r="21" spans="1:12" ht="13.5" hidden="1" x14ac:dyDescent="0.25">
      <c r="A21" s="22"/>
      <c r="B21" s="10" t="str">
        <f>IFERROR(VLOOKUP(H21,[1]SEMIELABORADOS!$A$2:$M$6000,2,0),"")</f>
        <v/>
      </c>
      <c r="C21" s="23">
        <f>+A21</f>
        <v>0</v>
      </c>
      <c r="D21" s="23" t="str">
        <f>IFERROR(VLOOKUP(H21,[1]SEMIELABORADOS!$A$2:$M$6000,6,0),"")</f>
        <v/>
      </c>
      <c r="E21" s="24" t="str">
        <f>IFERROR(VLOOKUP(H21,[1]SEMIELABORADOS!$A$2:$H$65536,8,0),"")</f>
        <v/>
      </c>
      <c r="F21" s="24" t="str">
        <f>IFERROR(E21*C21,"")</f>
        <v/>
      </c>
      <c r="G21" s="25" t="str">
        <f t="shared" si="3"/>
        <v/>
      </c>
      <c r="H21" s="26"/>
      <c r="I21" s="26"/>
      <c r="J21" s="27"/>
    </row>
    <row r="22" spans="1:12" ht="13.5" hidden="1" x14ac:dyDescent="0.25">
      <c r="A22" s="22"/>
      <c r="B22" s="10" t="str">
        <f>IFERROR(VLOOKUP(H22,[1]SEMIELABORADOS!$A$2:$M$6000,2,0),"")</f>
        <v/>
      </c>
      <c r="C22" s="23">
        <f t="shared" si="4"/>
        <v>0</v>
      </c>
      <c r="D22" s="23" t="str">
        <f>IFERROR(VLOOKUP(H22,[1]SEMIELABORADOS!$A$2:$M$6000,6,0),"")</f>
        <v/>
      </c>
      <c r="E22" s="24" t="str">
        <f>IFERROR(VLOOKUP(H22,[1]SEMIELABORADOS!$A$2:$H$65536,8,0),"")</f>
        <v/>
      </c>
      <c r="F22" s="24" t="str">
        <f t="shared" si="5"/>
        <v/>
      </c>
      <c r="G22" s="25" t="str">
        <f t="shared" si="3"/>
        <v/>
      </c>
      <c r="H22" s="26"/>
      <c r="I22" s="26"/>
      <c r="J22" s="27"/>
    </row>
    <row r="23" spans="1:12" ht="13.5" hidden="1" x14ac:dyDescent="0.25">
      <c r="A23" s="22"/>
      <c r="B23" s="10" t="str">
        <f>IFERROR(VLOOKUP(H23,[1]SEMIELABORADOS!$A$2:$M$6000,2,0),"")</f>
        <v/>
      </c>
      <c r="C23" s="23">
        <f t="shared" si="4"/>
        <v>0</v>
      </c>
      <c r="D23" s="23" t="str">
        <f>IFERROR(VLOOKUP(H23,[1]SEMIELABORADOS!$A$2:$M$6000,6,0),"")</f>
        <v/>
      </c>
      <c r="E23" s="24" t="str">
        <f>IFERROR(VLOOKUP(H23,[1]SEMIELABORADOS!$A$2:$H$65536,8,0),"")</f>
        <v/>
      </c>
      <c r="F23" s="24" t="str">
        <f t="shared" si="5"/>
        <v/>
      </c>
      <c r="G23" s="25" t="str">
        <f t="shared" si="3"/>
        <v/>
      </c>
      <c r="H23" s="26"/>
      <c r="I23" s="26"/>
      <c r="J23" s="27"/>
    </row>
    <row r="24" spans="1:12" ht="13.5" hidden="1" x14ac:dyDescent="0.25">
      <c r="A24" s="22"/>
      <c r="B24" s="10" t="str">
        <f>IFERROR(VLOOKUP(H24,[1]SEMIELABORADOS!$A$2:$M$6000,2,0),"")</f>
        <v/>
      </c>
      <c r="C24" s="23">
        <f t="shared" si="4"/>
        <v>0</v>
      </c>
      <c r="D24" s="23" t="str">
        <f>IFERROR(VLOOKUP(H24,[1]SEMIELABORADOS!$A$2:$M$6000,6,0),"")</f>
        <v/>
      </c>
      <c r="E24" s="24" t="str">
        <f>IFERROR(VLOOKUP(H24,[1]SEMIELABORADOS!$A$2:$H$65536,8,0),"")</f>
        <v/>
      </c>
      <c r="F24" s="24" t="str">
        <f t="shared" si="5"/>
        <v/>
      </c>
      <c r="G24" s="25" t="str">
        <f t="shared" si="3"/>
        <v/>
      </c>
      <c r="H24" s="26"/>
      <c r="I24" s="26"/>
      <c r="J24" s="27"/>
    </row>
    <row r="25" spans="1:12" ht="14.25" thickBot="1" x14ac:dyDescent="0.3">
      <c r="A25" s="22"/>
      <c r="C25" s="23"/>
      <c r="D25" s="23"/>
      <c r="E25" s="24"/>
      <c r="F25" s="24"/>
      <c r="G25" s="25"/>
      <c r="H25" s="26"/>
      <c r="I25" s="26"/>
      <c r="J25" s="27"/>
    </row>
    <row r="26" spans="1:12" ht="26.25" thickBot="1" x14ac:dyDescent="0.3">
      <c r="A26" s="17" t="s">
        <v>75</v>
      </c>
      <c r="B26" s="18" t="s">
        <v>23</v>
      </c>
      <c r="C26" s="18" t="s">
        <v>75</v>
      </c>
      <c r="D26" s="19" t="s">
        <v>77</v>
      </c>
      <c r="E26" s="19" t="s">
        <v>78</v>
      </c>
      <c r="F26" s="19" t="s">
        <v>79</v>
      </c>
      <c r="G26" s="19" t="s">
        <v>80</v>
      </c>
      <c r="H26" s="20" t="s">
        <v>81</v>
      </c>
      <c r="I26" s="21"/>
    </row>
    <row r="27" spans="1:12" ht="13.5" x14ac:dyDescent="0.25">
      <c r="A27" s="22">
        <v>1</v>
      </c>
      <c r="B27" s="28" t="s">
        <v>51</v>
      </c>
      <c r="C27" s="23">
        <f t="shared" ref="C27:C35" si="6">+A27</f>
        <v>1</v>
      </c>
      <c r="D27" s="24" t="s">
        <v>128</v>
      </c>
      <c r="E27" s="24">
        <v>129</v>
      </c>
      <c r="F27" s="24">
        <f t="shared" ref="F27:F35" si="7">IFERROR(C27*E27,"")</f>
        <v>129</v>
      </c>
      <c r="G27" s="25">
        <f>IFERROR(F27/$F$69,"")</f>
        <v>0.11991279369343093</v>
      </c>
      <c r="H27" s="29" t="s">
        <v>50</v>
      </c>
      <c r="I27" s="29"/>
      <c r="J27" s="27"/>
      <c r="K27" s="286"/>
      <c r="L27" s="286"/>
    </row>
    <row r="28" spans="1:12" ht="13.5" x14ac:dyDescent="0.25">
      <c r="A28" s="22">
        <v>1</v>
      </c>
      <c r="B28" s="28" t="str">
        <f>IFERROR(VLOOKUP(H28,'[1]Consolidado MP Planta'!$A$2:$M$823,3,0),"")</f>
        <v>ETIQ. GENERICA PEQUEÑA V-274 (UND)</v>
      </c>
      <c r="C28" s="23">
        <f t="shared" ref="C28:C30" si="8">+A28</f>
        <v>1</v>
      </c>
      <c r="D28" s="24" t="str">
        <f>IFERROR(VLOOKUP(H28,'[1]Consolidado MP Planta'!$A$2:$M$823,13,0),"")</f>
        <v>Und</v>
      </c>
      <c r="E28" s="24">
        <v>13.45</v>
      </c>
      <c r="F28" s="24">
        <f t="shared" ref="F28:F30" si="9">IFERROR(C28*E28,"")</f>
        <v>13.45</v>
      </c>
      <c r="G28" s="25">
        <f t="shared" ref="G28:G30" si="10">IFERROR(F28/$F$69,"")</f>
        <v>1.2502535466485628E-2</v>
      </c>
      <c r="H28" s="29" t="s">
        <v>123</v>
      </c>
      <c r="I28" s="29"/>
      <c r="J28" s="27"/>
      <c r="K28" s="8"/>
      <c r="L28" s="8"/>
    </row>
    <row r="29" spans="1:12" ht="13.5" x14ac:dyDescent="0.25">
      <c r="A29" s="22">
        <v>1</v>
      </c>
      <c r="B29" s="28" t="s">
        <v>25</v>
      </c>
      <c r="C29" s="23">
        <f t="shared" si="8"/>
        <v>1</v>
      </c>
      <c r="D29" s="24" t="s">
        <v>128</v>
      </c>
      <c r="E29" s="24">
        <v>0.36</v>
      </c>
      <c r="F29" s="24">
        <f t="shared" si="9"/>
        <v>0.36</v>
      </c>
      <c r="G29" s="25">
        <f t="shared" si="10"/>
        <v>3.3464035449329559E-4</v>
      </c>
      <c r="H29" s="29" t="s">
        <v>124</v>
      </c>
      <c r="I29" s="29"/>
      <c r="J29" s="27"/>
      <c r="K29" s="8"/>
      <c r="L29" s="8"/>
    </row>
    <row r="30" spans="1:12" ht="13.5" x14ac:dyDescent="0.25">
      <c r="A30" s="22" t="s">
        <v>28</v>
      </c>
      <c r="B30" s="28" t="str">
        <f>IFERROR(VLOOKUP(H30,'[1]Consolidado MP Planta'!$A$2:$M$823,3,0),"")</f>
        <v>ETIQUETA BLANCA 2 5/8X1 15/16 (UND)</v>
      </c>
      <c r="C30" s="23" t="str">
        <f t="shared" si="8"/>
        <v>1</v>
      </c>
      <c r="D30" s="24" t="str">
        <f>IFERROR(VLOOKUP(H30,'[1]Consolidado MP Planta'!$A$2:$M$823,13,0),"")</f>
        <v>Und</v>
      </c>
      <c r="E30" s="24">
        <f>IFERROR(VLOOKUP(H30,'[1]Consolidado MP Planta'!$A$2:$M$823,12,0),"")</f>
        <v>2.1280000000000001</v>
      </c>
      <c r="F30" s="24">
        <f t="shared" si="9"/>
        <v>2.1280000000000001</v>
      </c>
      <c r="G30" s="25">
        <f t="shared" si="10"/>
        <v>1.9780963176714811E-3</v>
      </c>
      <c r="H30" s="29" t="s">
        <v>125</v>
      </c>
      <c r="I30" s="29"/>
      <c r="J30" s="27"/>
      <c r="K30" s="8"/>
      <c r="L30" s="8"/>
    </row>
    <row r="31" spans="1:12" ht="13.5" x14ac:dyDescent="0.25">
      <c r="A31" s="22" t="s">
        <v>45</v>
      </c>
      <c r="B31" s="28" t="str">
        <f>IFERROR(VLOOKUP(H31,'[1]Consolidado MP Planta'!$A$2:$M$823,3,0),"")</f>
        <v>ETIQUETA SELLO SEGURIDAD (ROLLO:1000)</v>
      </c>
      <c r="C31" s="23" t="str">
        <f t="shared" si="6"/>
        <v>2</v>
      </c>
      <c r="D31" s="24" t="str">
        <f>IFERROR(VLOOKUP(H31,'[1]Consolidado MP Planta'!$A$2:$M$823,13,0),"")</f>
        <v>Und</v>
      </c>
      <c r="E31" s="24">
        <f>IFERROR(VLOOKUP(H31,'[1]Consolidado MP Planta'!$A$2:$M$823,12,0),"")</f>
        <v>6</v>
      </c>
      <c r="F31" s="24">
        <f t="shared" si="7"/>
        <v>12</v>
      </c>
      <c r="G31" s="25">
        <f>IFERROR(F31/$F$69,"")</f>
        <v>1.1154678483109854E-2</v>
      </c>
      <c r="H31" s="29" t="s">
        <v>126</v>
      </c>
      <c r="I31" s="29"/>
      <c r="J31" s="27"/>
      <c r="K31" s="286"/>
      <c r="L31" s="286"/>
    </row>
    <row r="32" spans="1:12" ht="13.5" x14ac:dyDescent="0.25">
      <c r="A32" s="22">
        <v>0.1</v>
      </c>
      <c r="B32" s="28" t="str">
        <f>IFERROR(VLOOKUP(H32,'[1]Consolidado MP Planta'!$A$2:$M$823,3,0),"")</f>
        <v>BASE PARA ROSQUETE (UND)</v>
      </c>
      <c r="C32" s="23">
        <f t="shared" si="6"/>
        <v>0.1</v>
      </c>
      <c r="D32" s="24" t="str">
        <f>IFERROR(VLOOKUP(H32,'[1]Consolidado MP Planta'!$A$2:$M$823,13,0),"")</f>
        <v>Und</v>
      </c>
      <c r="E32" s="24">
        <v>128</v>
      </c>
      <c r="F32" s="24">
        <f t="shared" si="7"/>
        <v>12.8</v>
      </c>
      <c r="G32" s="25">
        <f>IFERROR(F32/$F$69,"")</f>
        <v>1.1898323715317179E-2</v>
      </c>
      <c r="H32" s="29" t="s">
        <v>30</v>
      </c>
      <c r="I32" s="29"/>
      <c r="J32" s="27"/>
      <c r="K32" s="286"/>
      <c r="L32" s="286"/>
    </row>
    <row r="33" spans="1:13" ht="13.5" x14ac:dyDescent="0.25">
      <c r="A33" s="22">
        <v>1</v>
      </c>
      <c r="B33" s="28" t="str">
        <f>IFERROR(VLOOKUP(H33,'[1]Consolidado MP Planta'!$A$2:$M$823,3,0),"")</f>
        <v>ETIQUETA BLANCA R-153 (UND)</v>
      </c>
      <c r="C33" s="23">
        <f t="shared" si="6"/>
        <v>1</v>
      </c>
      <c r="D33" s="24" t="str">
        <f>IFERROR(VLOOKUP(H33,'[1]Consolidado MP Planta'!$A$2:$M$823,13,0),"")</f>
        <v>Und</v>
      </c>
      <c r="E33" s="24">
        <f>IFERROR(VLOOKUP(H33,'[1]Consolidado MP Planta'!$A$2:$M$823,12,0),"")</f>
        <v>0.39</v>
      </c>
      <c r="F33" s="24">
        <f t="shared" si="7"/>
        <v>0.39</v>
      </c>
      <c r="G33" s="25">
        <f>IFERROR(F33/$F$69,"")</f>
        <v>3.6252705070107026E-4</v>
      </c>
      <c r="H33" s="29" t="s">
        <v>127</v>
      </c>
      <c r="I33" s="29"/>
      <c r="J33" s="27"/>
      <c r="K33" s="286"/>
      <c r="L33" s="286"/>
    </row>
    <row r="34" spans="1:13" ht="13.5" hidden="1" x14ac:dyDescent="0.25">
      <c r="A34" s="22"/>
      <c r="B34" s="28" t="str">
        <f>IFERROR(VLOOKUP(H34,'[1]Consolidado MP Planta'!$A$2:$M$823,3,0),"")</f>
        <v/>
      </c>
      <c r="C34" s="23">
        <f t="shared" si="6"/>
        <v>0</v>
      </c>
      <c r="D34" s="24" t="str">
        <f>IFERROR(VLOOKUP(H34,'[1]Consolidado MP Planta'!$A$2:$M$823,13,0),"")</f>
        <v/>
      </c>
      <c r="E34" s="24" t="str">
        <f>IFERROR(VLOOKUP(H34,'[1]Consolidado MP Planta'!$A$2:$M$823,12,0),"")</f>
        <v/>
      </c>
      <c r="F34" s="24" t="str">
        <f t="shared" si="7"/>
        <v/>
      </c>
      <c r="G34" s="25" t="str">
        <f>IFERROR(F34/$F$69,"")</f>
        <v/>
      </c>
      <c r="H34" s="29"/>
      <c r="I34" s="29"/>
      <c r="J34" s="27"/>
      <c r="K34" s="30"/>
      <c r="L34" s="31"/>
    </row>
    <row r="35" spans="1:13" ht="13.5" hidden="1" x14ac:dyDescent="0.25">
      <c r="A35" s="22"/>
      <c r="B35" s="28" t="str">
        <f>IFERROR(VLOOKUP(H35,'[1]Consolidado MP Planta'!$A$2:$M$823,3,0),"")</f>
        <v/>
      </c>
      <c r="C35" s="23">
        <f t="shared" si="6"/>
        <v>0</v>
      </c>
      <c r="D35" s="24" t="str">
        <f>IFERROR(VLOOKUP(H35,'[1]Consolidado MP Planta'!$A$2:$M$823,13,0),"")</f>
        <v/>
      </c>
      <c r="E35" s="24" t="str">
        <f>IFERROR(VLOOKUP(H35,'[1]Consolidado MP Planta'!$A$2:$M$823,12,0),"")</f>
        <v/>
      </c>
      <c r="F35" s="24" t="str">
        <f t="shared" si="7"/>
        <v/>
      </c>
      <c r="G35" s="25" t="str">
        <f>IFERROR(F35/$F$69,"")</f>
        <v/>
      </c>
      <c r="H35" s="29"/>
      <c r="I35" s="29"/>
      <c r="J35" s="27"/>
    </row>
    <row r="36" spans="1:13" ht="14.25" thickBot="1" x14ac:dyDescent="0.3">
      <c r="A36" s="22"/>
      <c r="B36" s="28"/>
      <c r="C36" s="23"/>
      <c r="D36" s="24"/>
      <c r="E36" s="24"/>
      <c r="F36" s="24"/>
      <c r="G36" s="25"/>
      <c r="H36" s="29"/>
      <c r="I36" s="29"/>
      <c r="J36" s="27"/>
    </row>
    <row r="37" spans="1:13" ht="26.25" thickBot="1" x14ac:dyDescent="0.25">
      <c r="A37" s="17" t="s">
        <v>75</v>
      </c>
      <c r="B37" s="18" t="s">
        <v>83</v>
      </c>
      <c r="C37" s="18" t="s">
        <v>75</v>
      </c>
      <c r="D37" s="19" t="s">
        <v>77</v>
      </c>
      <c r="E37" s="19" t="s">
        <v>78</v>
      </c>
      <c r="F37" s="19" t="s">
        <v>79</v>
      </c>
      <c r="G37" s="19" t="s">
        <v>80</v>
      </c>
      <c r="H37" s="20" t="s">
        <v>81</v>
      </c>
      <c r="I37" s="29"/>
      <c r="J37" s="27"/>
    </row>
    <row r="38" spans="1:13" ht="13.5" x14ac:dyDescent="0.25">
      <c r="A38" s="22">
        <f t="shared" ref="A38:A44" si="11">+A17</f>
        <v>1</v>
      </c>
      <c r="B38" s="28" t="s">
        <v>67</v>
      </c>
      <c r="C38" s="23">
        <f>+A38</f>
        <v>1</v>
      </c>
      <c r="D38" s="24" t="s">
        <v>121</v>
      </c>
      <c r="E38" s="24">
        <f>+'[3]COSTO ROSQUETE'!$H$53</f>
        <v>2.1019774560784814</v>
      </c>
      <c r="F38" s="24">
        <f>IFERROR(E38*C38,"")</f>
        <v>2.1019774560784814</v>
      </c>
      <c r="G38" s="25">
        <f t="shared" ref="G38:G44" si="12">IFERROR(F38/$F$69,"")</f>
        <v>1.9539068917750523E-3</v>
      </c>
      <c r="H38" s="29" t="s">
        <v>122</v>
      </c>
      <c r="I38" s="29"/>
      <c r="J38" s="27"/>
    </row>
    <row r="39" spans="1:13" ht="13.5" x14ac:dyDescent="0.25">
      <c r="A39" s="22">
        <f t="shared" si="11"/>
        <v>30</v>
      </c>
      <c r="B39" s="28" t="s">
        <v>66</v>
      </c>
      <c r="C39" s="23">
        <f t="shared" ref="C39:C44" si="13">+A39</f>
        <v>30</v>
      </c>
      <c r="D39" s="24" t="s">
        <v>120</v>
      </c>
      <c r="E39" s="24">
        <v>0</v>
      </c>
      <c r="F39" s="24">
        <f t="shared" ref="F39:F44" si="14">IFERROR(E39*C39,"")</f>
        <v>0</v>
      </c>
      <c r="G39" s="25">
        <f t="shared" si="12"/>
        <v>0</v>
      </c>
      <c r="H39" s="29" t="s">
        <v>64</v>
      </c>
      <c r="I39" s="29"/>
      <c r="J39" s="27"/>
    </row>
    <row r="40" spans="1:13" ht="13.5" x14ac:dyDescent="0.25">
      <c r="A40" s="22">
        <f t="shared" si="11"/>
        <v>80</v>
      </c>
      <c r="B40" s="28" t="s">
        <v>49</v>
      </c>
      <c r="C40" s="23">
        <f t="shared" si="13"/>
        <v>80</v>
      </c>
      <c r="D40" s="24" t="s">
        <v>120</v>
      </c>
      <c r="E40" s="24">
        <v>0.01</v>
      </c>
      <c r="F40" s="24">
        <f t="shared" si="14"/>
        <v>0.8</v>
      </c>
      <c r="G40" s="25">
        <f t="shared" si="12"/>
        <v>7.4364523220732371E-4</v>
      </c>
      <c r="H40" s="29" t="s">
        <v>48</v>
      </c>
      <c r="I40" s="29"/>
      <c r="J40" s="27"/>
    </row>
    <row r="41" spans="1:13" ht="13.5" x14ac:dyDescent="0.25">
      <c r="A41" s="22">
        <f t="shared" si="11"/>
        <v>3</v>
      </c>
      <c r="B41" s="28" t="s">
        <v>68</v>
      </c>
      <c r="C41" s="23">
        <f>+A41</f>
        <v>3</v>
      </c>
      <c r="D41" s="23" t="s">
        <v>120</v>
      </c>
      <c r="E41" s="24">
        <v>0</v>
      </c>
      <c r="F41" s="24">
        <f>IFERROR(E41*C41,"")</f>
        <v>0</v>
      </c>
      <c r="G41" s="25">
        <f t="shared" si="12"/>
        <v>0</v>
      </c>
      <c r="H41" s="29" t="s">
        <v>62</v>
      </c>
      <c r="I41" s="29"/>
      <c r="J41" s="27"/>
    </row>
    <row r="42" spans="1:13" ht="13.5" hidden="1" x14ac:dyDescent="0.25">
      <c r="A42" s="22">
        <f t="shared" si="11"/>
        <v>0</v>
      </c>
      <c r="B42" s="28" t="str">
        <f>IFERROR(VLOOKUP(H42,[1]SEMIELABORADOS!$A$2:$M$6000,2,0),"")</f>
        <v/>
      </c>
      <c r="C42" s="23">
        <f>+A42</f>
        <v>0</v>
      </c>
      <c r="D42" s="24" t="str">
        <f>IFERROR(VLOOKUP(H42,[1]SEMIELABORADOS!$A$2:$M$6000,6,0),"")</f>
        <v/>
      </c>
      <c r="E42" s="24" t="str">
        <f>IFERROR(VLOOKUP(H42,[1]SEMIELABORADOS!$A$2:$M$65536,10,0),"")</f>
        <v/>
      </c>
      <c r="F42" s="24" t="str">
        <f>IFERROR(E42*C42,"")</f>
        <v/>
      </c>
      <c r="G42" s="25" t="str">
        <f t="shared" si="12"/>
        <v/>
      </c>
      <c r="H42" s="29"/>
      <c r="I42" s="29"/>
      <c r="J42" s="27"/>
    </row>
    <row r="43" spans="1:13" ht="13.5" hidden="1" x14ac:dyDescent="0.25">
      <c r="A43" s="22">
        <f t="shared" si="11"/>
        <v>0</v>
      </c>
      <c r="B43" s="28" t="str">
        <f>IFERROR(VLOOKUP(H43,[1]SEMIELABORADOS!$A$2:$M$6000,2,0),"")</f>
        <v/>
      </c>
      <c r="C43" s="23">
        <f t="shared" si="13"/>
        <v>0</v>
      </c>
      <c r="D43" s="24" t="str">
        <f>IFERROR(VLOOKUP(H43,[1]SEMIELABORADOS!$A$2:$M$6000,6,0),"")</f>
        <v/>
      </c>
      <c r="E43" s="24" t="str">
        <f>IFERROR(VLOOKUP(H43,[1]SEMIELABORADOS!$A$2:$M$65536,10,0),"")</f>
        <v/>
      </c>
      <c r="F43" s="24" t="str">
        <f t="shared" si="14"/>
        <v/>
      </c>
      <c r="G43" s="25" t="str">
        <f t="shared" si="12"/>
        <v/>
      </c>
      <c r="H43" s="29"/>
      <c r="I43" s="29"/>
      <c r="J43" s="27"/>
    </row>
    <row r="44" spans="1:13" ht="13.5" hidden="1" x14ac:dyDescent="0.25">
      <c r="A44" s="22">
        <f t="shared" si="11"/>
        <v>0</v>
      </c>
      <c r="B44" s="28" t="str">
        <f>IFERROR(VLOOKUP(H44,[1]SEMIELABORADOS!$A$2:$M$6000,2,0),"")</f>
        <v/>
      </c>
      <c r="C44" s="23">
        <f t="shared" si="13"/>
        <v>0</v>
      </c>
      <c r="D44" s="24" t="str">
        <f>IFERROR(VLOOKUP(H44,[1]SEMIELABORADOS!$A$2:$M$6000,6,0),"")</f>
        <v/>
      </c>
      <c r="E44" s="24" t="str">
        <f>IFERROR(VLOOKUP(H44,[1]SEMIELABORADOS!$A$2:$M$65536,10,0),"")</f>
        <v/>
      </c>
      <c r="F44" s="24" t="str">
        <f t="shared" si="14"/>
        <v/>
      </c>
      <c r="G44" s="25" t="str">
        <f t="shared" si="12"/>
        <v/>
      </c>
      <c r="H44" s="29"/>
      <c r="I44" s="29"/>
      <c r="J44" s="27"/>
    </row>
    <row r="45" spans="1:13" ht="14.25" thickBot="1" x14ac:dyDescent="0.3">
      <c r="A45" s="22"/>
      <c r="B45" s="28"/>
      <c r="C45" s="23"/>
      <c r="D45" s="24"/>
      <c r="E45" s="24"/>
      <c r="F45" s="24"/>
      <c r="G45" s="25"/>
      <c r="H45" s="29"/>
      <c r="I45" s="29"/>
      <c r="J45" s="27"/>
    </row>
    <row r="46" spans="1:13" ht="26.25" thickBot="1" x14ac:dyDescent="0.3">
      <c r="A46" s="17" t="s">
        <v>75</v>
      </c>
      <c r="B46" s="18" t="s">
        <v>84</v>
      </c>
      <c r="C46" s="18" t="s">
        <v>75</v>
      </c>
      <c r="D46" s="19" t="s">
        <v>77</v>
      </c>
      <c r="E46" s="19" t="s">
        <v>78</v>
      </c>
      <c r="F46" s="19" t="s">
        <v>79</v>
      </c>
      <c r="G46" s="19" t="s">
        <v>80</v>
      </c>
      <c r="H46" s="20" t="s">
        <v>81</v>
      </c>
      <c r="I46" s="21"/>
      <c r="J46" s="27"/>
    </row>
    <row r="47" spans="1:13" ht="13.5" x14ac:dyDescent="0.25">
      <c r="A47" s="22">
        <f>+A38</f>
        <v>1</v>
      </c>
      <c r="B47" s="28" t="s">
        <v>67</v>
      </c>
      <c r="C47" s="23">
        <f>+A47</f>
        <v>1</v>
      </c>
      <c r="D47" s="24" t="s">
        <v>121</v>
      </c>
      <c r="E47" s="24">
        <f>+'[3]COSTO ROSQUETE'!$H$55</f>
        <v>2.3438715055142345</v>
      </c>
      <c r="F47" s="24">
        <f>IFERROR(E47*C47,"")</f>
        <v>2.3438715055142345</v>
      </c>
      <c r="G47" s="25">
        <f>IFERROR(F47/$F$69,"")</f>
        <v>2.1787610874778275E-3</v>
      </c>
      <c r="H47" s="29" t="s">
        <v>122</v>
      </c>
      <c r="I47" s="21"/>
      <c r="J47" s="27"/>
    </row>
    <row r="48" spans="1:13" ht="13.5" x14ac:dyDescent="0.25">
      <c r="A48" s="22">
        <f t="shared" ref="A48:A53" si="15">+A39</f>
        <v>30</v>
      </c>
      <c r="B48" s="28" t="s">
        <v>66</v>
      </c>
      <c r="C48" s="23">
        <f t="shared" ref="C48:C53" si="16">+A48</f>
        <v>30</v>
      </c>
      <c r="D48" s="24" t="s">
        <v>120</v>
      </c>
      <c r="E48" s="24">
        <v>0.13</v>
      </c>
      <c r="F48" s="24">
        <f t="shared" ref="F48:F53" si="17">IFERROR(E48*C48,"")</f>
        <v>3.9000000000000004</v>
      </c>
      <c r="G48" s="25">
        <f t="shared" ref="G48:G53" si="18">IFERROR(F48/$F$69,"")</f>
        <v>3.6252705070107028E-3</v>
      </c>
      <c r="H48" s="29" t="s">
        <v>64</v>
      </c>
      <c r="I48" s="21"/>
      <c r="J48" s="27"/>
      <c r="M48" s="32"/>
    </row>
    <row r="49" spans="1:17" ht="13.5" x14ac:dyDescent="0.25">
      <c r="A49" s="22">
        <f t="shared" si="15"/>
        <v>80</v>
      </c>
      <c r="B49" s="28" t="s">
        <v>49</v>
      </c>
      <c r="C49" s="23">
        <f t="shared" si="16"/>
        <v>80</v>
      </c>
      <c r="D49" s="24" t="s">
        <v>120</v>
      </c>
      <c r="E49" s="24">
        <v>0.09</v>
      </c>
      <c r="F49" s="24">
        <f t="shared" si="17"/>
        <v>7.1999999999999993</v>
      </c>
      <c r="G49" s="25">
        <f t="shared" si="18"/>
        <v>6.6928070898659119E-3</v>
      </c>
      <c r="H49" s="29" t="s">
        <v>48</v>
      </c>
      <c r="I49" s="21"/>
      <c r="J49" s="27"/>
    </row>
    <row r="50" spans="1:17" ht="13.5" x14ac:dyDescent="0.25">
      <c r="A50" s="22">
        <f t="shared" si="15"/>
        <v>3</v>
      </c>
      <c r="B50" s="28" t="s">
        <v>68</v>
      </c>
      <c r="C50" s="23">
        <f t="shared" si="16"/>
        <v>3</v>
      </c>
      <c r="D50" s="23" t="s">
        <v>120</v>
      </c>
      <c r="E50" s="24">
        <v>0.09</v>
      </c>
      <c r="F50" s="24">
        <f t="shared" si="17"/>
        <v>0.27</v>
      </c>
      <c r="G50" s="25">
        <f t="shared" si="18"/>
        <v>2.5098026586997175E-4</v>
      </c>
      <c r="H50" s="29" t="s">
        <v>62</v>
      </c>
      <c r="I50" s="21"/>
      <c r="J50" s="27"/>
    </row>
    <row r="51" spans="1:17" ht="13.5" hidden="1" x14ac:dyDescent="0.25">
      <c r="A51" s="22">
        <f t="shared" si="15"/>
        <v>0</v>
      </c>
      <c r="B51" s="28" t="str">
        <f>IFERROR(VLOOKUP(H51,[1]SEMIELABORADOS!$A$2:$M$6000,2,0),"")</f>
        <v/>
      </c>
      <c r="C51" s="23">
        <f t="shared" si="16"/>
        <v>0</v>
      </c>
      <c r="D51" s="24" t="str">
        <f>IFERROR(VLOOKUP(H51,[1]SEMIELABORADOS!$A$2:$M$6000,6,0),"")</f>
        <v/>
      </c>
      <c r="E51" s="24" t="str">
        <f>IFERROR(VLOOKUP(H51,[1]SEMIELABORADOS!$A$2:$M$65536,12,0),"")</f>
        <v/>
      </c>
      <c r="F51" s="24" t="str">
        <f t="shared" si="17"/>
        <v/>
      </c>
      <c r="G51" s="25" t="str">
        <f t="shared" si="18"/>
        <v/>
      </c>
      <c r="H51" s="29"/>
      <c r="I51" s="21"/>
      <c r="J51" s="27"/>
    </row>
    <row r="52" spans="1:17" ht="13.5" hidden="1" x14ac:dyDescent="0.25">
      <c r="A52" s="22">
        <f t="shared" si="15"/>
        <v>0</v>
      </c>
      <c r="B52" s="28" t="str">
        <f>IFERROR(VLOOKUP(H52,[1]SEMIELABORADOS!$A$2:$M$6000,2,0),"")</f>
        <v/>
      </c>
      <c r="C52" s="23">
        <f t="shared" si="16"/>
        <v>0</v>
      </c>
      <c r="D52" s="24" t="str">
        <f>IFERROR(VLOOKUP(H52,[1]SEMIELABORADOS!$A$2:$M$6000,6,0),"")</f>
        <v/>
      </c>
      <c r="E52" s="24" t="str">
        <f>IFERROR(VLOOKUP(H52,[1]SEMIELABORADOS!$A$2:$M$65536,12,0),"")</f>
        <v/>
      </c>
      <c r="F52" s="24" t="str">
        <f t="shared" si="17"/>
        <v/>
      </c>
      <c r="G52" s="25" t="str">
        <f t="shared" si="18"/>
        <v/>
      </c>
      <c r="H52" s="29"/>
      <c r="I52" s="21"/>
      <c r="J52" s="27"/>
    </row>
    <row r="53" spans="1:17" ht="13.5" hidden="1" x14ac:dyDescent="0.25">
      <c r="A53" s="22">
        <f t="shared" si="15"/>
        <v>0</v>
      </c>
      <c r="B53" s="28" t="str">
        <f>IFERROR(VLOOKUP(H53,[1]SEMIELABORADOS!$A$2:$M$6000,2,0),"")</f>
        <v/>
      </c>
      <c r="C53" s="23">
        <f t="shared" si="16"/>
        <v>0</v>
      </c>
      <c r="D53" s="24" t="str">
        <f>IFERROR(VLOOKUP(H53,[1]SEMIELABORADOS!$A$2:$M$6000,6,0),"")</f>
        <v/>
      </c>
      <c r="E53" s="24" t="str">
        <f>IFERROR(VLOOKUP(H53,[1]SEMIELABORADOS!$A$2:$M$65536,12,0),"")</f>
        <v/>
      </c>
      <c r="F53" s="24" t="str">
        <f t="shared" si="17"/>
        <v/>
      </c>
      <c r="G53" s="25" t="str">
        <f t="shared" si="18"/>
        <v/>
      </c>
      <c r="H53" s="28"/>
      <c r="I53" s="21"/>
      <c r="J53" s="27"/>
    </row>
    <row r="54" spans="1:17" ht="13.5" x14ac:dyDescent="0.25">
      <c r="A54" s="22">
        <v>1</v>
      </c>
      <c r="B54" s="28" t="s">
        <v>85</v>
      </c>
      <c r="C54" s="23">
        <f>+A54</f>
        <v>1</v>
      </c>
      <c r="D54" s="23" t="s">
        <v>86</v>
      </c>
      <c r="E54" s="24">
        <f>+F68</f>
        <v>305</v>
      </c>
      <c r="F54" s="24">
        <f>IFERROR(C54*E54,"")</f>
        <v>305</v>
      </c>
      <c r="G54" s="25">
        <f>IFERROR(F54/$F$69,"")</f>
        <v>0.28351474477904215</v>
      </c>
      <c r="H54" s="33"/>
      <c r="I54" s="33"/>
      <c r="J54" s="27"/>
    </row>
    <row r="55" spans="1:17" ht="14.25" thickBot="1" x14ac:dyDescent="0.3">
      <c r="A55" s="22"/>
      <c r="B55" s="28"/>
      <c r="C55" s="23"/>
      <c r="D55" s="23"/>
      <c r="E55" s="24"/>
      <c r="F55" s="24"/>
      <c r="G55" s="25"/>
      <c r="H55" s="33"/>
      <c r="I55" s="33"/>
      <c r="J55" s="27"/>
    </row>
    <row r="56" spans="1:17" ht="13.5" thickBot="1" x14ac:dyDescent="0.3">
      <c r="A56" s="34"/>
      <c r="B56" s="278" t="s">
        <v>87</v>
      </c>
      <c r="C56" s="278"/>
      <c r="D56" s="278"/>
      <c r="E56" s="278"/>
      <c r="F56" s="36">
        <f>SUM(F8:F14,F17:F24)</f>
        <v>586.03119004873054</v>
      </c>
      <c r="G56" s="25">
        <f>+F56/$F$69</f>
        <v>0.54474912550565302</v>
      </c>
      <c r="H56" s="37">
        <f>+F56/$D$63</f>
        <v>586.03119004873054</v>
      </c>
      <c r="I56" s="37"/>
      <c r="J56" s="38"/>
      <c r="K56" s="39"/>
      <c r="L56" s="39"/>
      <c r="M56" s="39"/>
      <c r="N56" s="39"/>
      <c r="O56" s="39"/>
      <c r="P56" s="39"/>
      <c r="Q56" s="40"/>
    </row>
    <row r="57" spans="1:17" x14ac:dyDescent="0.2">
      <c r="A57" s="34"/>
      <c r="B57" s="278" t="s">
        <v>88</v>
      </c>
      <c r="C57" s="278"/>
      <c r="D57" s="278"/>
      <c r="E57" s="278"/>
      <c r="F57" s="36">
        <f>SUM(F27:F35,F38:F44)</f>
        <v>173.02997745607848</v>
      </c>
      <c r="G57" s="25">
        <f>+F57/$F$69</f>
        <v>0.16084114720519183</v>
      </c>
      <c r="H57" s="37">
        <f>+F57/$D$63</f>
        <v>173.02997745607848</v>
      </c>
      <c r="I57" s="37"/>
      <c r="J57" s="41"/>
      <c r="K57" s="275" t="s">
        <v>89</v>
      </c>
      <c r="L57" s="276"/>
      <c r="M57" s="276"/>
      <c r="N57" s="276"/>
      <c r="O57" s="42">
        <f>+F58</f>
        <v>759.06116750480896</v>
      </c>
      <c r="P57" s="42"/>
      <c r="Q57" s="43"/>
    </row>
    <row r="58" spans="1:17" x14ac:dyDescent="0.2">
      <c r="A58" s="34"/>
      <c r="B58" s="278" t="s">
        <v>90</v>
      </c>
      <c r="C58" s="278"/>
      <c r="D58" s="278"/>
      <c r="E58" s="278"/>
      <c r="F58" s="36">
        <f>+F56+F57</f>
        <v>759.06116750480896</v>
      </c>
      <c r="G58" s="25">
        <f>+F58/$F$69</f>
        <v>0.70559027271084473</v>
      </c>
      <c r="H58" s="37">
        <f>+F58/$D$63</f>
        <v>759.06116750480896</v>
      </c>
      <c r="I58" s="37"/>
      <c r="J58" s="44"/>
      <c r="K58" s="45"/>
      <c r="M58" s="46" t="s">
        <v>91</v>
      </c>
      <c r="N58" s="47"/>
      <c r="O58" s="42">
        <f>+H59</f>
        <v>318.71387150551425</v>
      </c>
      <c r="P58" s="42"/>
      <c r="Q58" s="43"/>
    </row>
    <row r="59" spans="1:17" ht="13.5" thickBot="1" x14ac:dyDescent="0.25">
      <c r="A59" s="34"/>
      <c r="B59" s="35"/>
      <c r="C59" s="278" t="s">
        <v>92</v>
      </c>
      <c r="D59" s="278"/>
      <c r="E59" s="278"/>
      <c r="F59" s="36">
        <f>SUM(F47:F54)</f>
        <v>318.71387150551425</v>
      </c>
      <c r="G59" s="25">
        <f>+F59/$F$69</f>
        <v>0.29626256372926657</v>
      </c>
      <c r="H59" s="37">
        <f>+F59/$D$63</f>
        <v>318.71387150551425</v>
      </c>
      <c r="I59" s="37"/>
      <c r="J59" s="44"/>
      <c r="K59" s="45"/>
      <c r="L59" s="45"/>
      <c r="M59" s="45" t="s">
        <v>93</v>
      </c>
      <c r="N59" s="48"/>
      <c r="O59" s="42">
        <f>O57*N59</f>
        <v>0</v>
      </c>
      <c r="P59" s="42"/>
      <c r="Q59" s="43"/>
    </row>
    <row r="60" spans="1:17" ht="13.5" thickBot="1" x14ac:dyDescent="0.25">
      <c r="A60" s="34"/>
      <c r="B60" s="49"/>
      <c r="C60" s="49"/>
      <c r="D60" s="49"/>
      <c r="E60" s="49"/>
      <c r="F60" s="50"/>
      <c r="G60" s="25"/>
      <c r="H60" s="51"/>
      <c r="I60" s="37"/>
      <c r="J60" s="44"/>
      <c r="K60" s="52"/>
      <c r="M60" s="53" t="s">
        <v>94</v>
      </c>
      <c r="N60" s="54"/>
      <c r="O60" s="55">
        <f>SUM(O57:O59)</f>
        <v>1077.7750390103233</v>
      </c>
      <c r="P60" s="56"/>
      <c r="Q60" s="43"/>
    </row>
    <row r="61" spans="1:17" x14ac:dyDescent="0.2">
      <c r="B61" s="282" t="s">
        <v>95</v>
      </c>
      <c r="C61" s="282"/>
      <c r="D61" s="57">
        <v>190</v>
      </c>
      <c r="E61" s="58"/>
      <c r="G61" s="25"/>
      <c r="H61" s="51">
        <f>+H59/61</f>
        <v>5.2248175656641678</v>
      </c>
      <c r="I61" s="59"/>
      <c r="J61" s="44"/>
      <c r="K61" s="52"/>
      <c r="L61" s="45"/>
      <c r="M61" s="45" t="s">
        <v>96</v>
      </c>
      <c r="N61" s="60"/>
      <c r="O61" s="42">
        <f>+H62</f>
        <v>303.03941880852176</v>
      </c>
      <c r="P61" s="42"/>
      <c r="Q61" s="43"/>
    </row>
    <row r="62" spans="1:17" x14ac:dyDescent="0.2">
      <c r="B62" s="282" t="s">
        <v>97</v>
      </c>
      <c r="C62" s="282"/>
      <c r="D62" s="61">
        <v>190</v>
      </c>
      <c r="E62" s="58"/>
      <c r="G62" s="25"/>
      <c r="H62" s="51">
        <f>+H61*58</f>
        <v>303.03941880852176</v>
      </c>
      <c r="I62" s="59"/>
      <c r="J62" s="44"/>
      <c r="K62" s="52"/>
      <c r="L62" s="45"/>
      <c r="M62" s="295" t="s">
        <v>94</v>
      </c>
      <c r="N62" s="295"/>
      <c r="O62" s="42">
        <f>SUM(O60:O61)</f>
        <v>1380.8144578188451</v>
      </c>
      <c r="P62" s="42"/>
      <c r="Q62" s="43"/>
    </row>
    <row r="63" spans="1:17" ht="13.5" thickBot="1" x14ac:dyDescent="0.25">
      <c r="B63" s="283" t="s">
        <v>98</v>
      </c>
      <c r="C63" s="283"/>
      <c r="D63" s="57">
        <f>+D61/D62</f>
        <v>1</v>
      </c>
      <c r="E63" s="58"/>
      <c r="F63" s="62"/>
      <c r="G63" s="25"/>
      <c r="H63" s="51"/>
      <c r="I63" s="59"/>
      <c r="J63" s="44"/>
      <c r="K63" s="52"/>
      <c r="L63" s="295"/>
      <c r="M63" s="295"/>
      <c r="N63" s="60"/>
      <c r="O63" s="42">
        <f>+O62*N63</f>
        <v>0</v>
      </c>
      <c r="P63" s="42"/>
      <c r="Q63" s="43"/>
    </row>
    <row r="64" spans="1:17" ht="13.5" thickBot="1" x14ac:dyDescent="0.25">
      <c r="B64" s="283" t="s">
        <v>99</v>
      </c>
      <c r="C64" s="283"/>
      <c r="D64" s="63"/>
      <c r="E64" s="58"/>
      <c r="F64" s="62"/>
      <c r="G64" s="25"/>
      <c r="H64" s="51"/>
      <c r="I64" s="59"/>
      <c r="J64" s="44"/>
      <c r="K64" s="279" t="s">
        <v>100</v>
      </c>
      <c r="L64" s="280"/>
      <c r="M64" s="280"/>
      <c r="N64" s="281"/>
      <c r="O64" s="55">
        <f>SUM(O62:O63)</f>
        <v>1380.8144578188451</v>
      </c>
      <c r="P64" s="64" t="s">
        <v>101</v>
      </c>
      <c r="Q64" s="43"/>
    </row>
    <row r="65" spans="2:17" ht="13.5" thickBot="1" x14ac:dyDescent="0.25">
      <c r="C65" s="34" t="s">
        <v>102</v>
      </c>
      <c r="D65" s="65"/>
      <c r="E65" s="8" t="s">
        <v>103</v>
      </c>
      <c r="F65" s="66" t="s">
        <v>104</v>
      </c>
      <c r="G65" s="25"/>
      <c r="H65" s="51"/>
      <c r="I65" s="59"/>
      <c r="J65" s="67"/>
      <c r="K65" s="68"/>
      <c r="L65" s="289" t="s">
        <v>105</v>
      </c>
      <c r="M65" s="289"/>
      <c r="N65" s="289"/>
      <c r="O65" s="69">
        <f>+O64/D63</f>
        <v>1380.8144578188451</v>
      </c>
      <c r="P65" s="70">
        <f>+O65/D62</f>
        <v>7.2674445148360265</v>
      </c>
      <c r="Q65" s="71"/>
    </row>
    <row r="66" spans="2:17" ht="13.5" thickBot="1" x14ac:dyDescent="0.25">
      <c r="B66" s="294" t="s">
        <v>90</v>
      </c>
      <c r="C66" s="294"/>
      <c r="D66" s="294"/>
      <c r="E66" s="72">
        <f>+F66/F66</f>
        <v>1</v>
      </c>
      <c r="F66" s="73">
        <f>SUM(F58)</f>
        <v>759.06116750480896</v>
      </c>
      <c r="G66" s="25">
        <f>+F66/$F$69</f>
        <v>0.70559027271084473</v>
      </c>
      <c r="H66" s="51"/>
      <c r="I66" s="59"/>
      <c r="K66" s="287"/>
      <c r="L66" s="288"/>
      <c r="M66" s="288"/>
      <c r="N66" s="288"/>
      <c r="O66" s="74"/>
      <c r="P66" s="75"/>
    </row>
    <row r="67" spans="2:17" ht="13.5" thickBot="1" x14ac:dyDescent="0.3">
      <c r="B67" s="284" t="s">
        <v>106</v>
      </c>
      <c r="C67" s="284"/>
      <c r="D67" s="284"/>
      <c r="E67" s="76">
        <v>0.02</v>
      </c>
      <c r="F67" s="73">
        <f>+F56*E67</f>
        <v>11.720623800974611</v>
      </c>
      <c r="G67" s="25">
        <f>+F67/$F$69</f>
        <v>1.089498251011306E-2</v>
      </c>
      <c r="H67" s="37"/>
      <c r="I67" s="59"/>
      <c r="J67" s="77"/>
      <c r="O67" s="78"/>
      <c r="P67" s="35"/>
    </row>
    <row r="68" spans="2:17" ht="13.5" thickBot="1" x14ac:dyDescent="0.3">
      <c r="B68" s="301" t="s">
        <v>107</v>
      </c>
      <c r="C68" s="302"/>
      <c r="D68" s="79">
        <v>5</v>
      </c>
      <c r="E68" s="80">
        <v>61</v>
      </c>
      <c r="F68" s="73">
        <f>+E68*D68</f>
        <v>305</v>
      </c>
      <c r="G68" s="25">
        <f>+F68/$F$69</f>
        <v>0.28351474477904215</v>
      </c>
      <c r="H68" s="37"/>
      <c r="I68" s="37"/>
      <c r="J68" s="27"/>
    </row>
    <row r="69" spans="2:17" ht="13.5" thickBot="1" x14ac:dyDescent="0.3">
      <c r="B69" s="298" t="s">
        <v>108</v>
      </c>
      <c r="C69" s="299"/>
      <c r="D69" s="299"/>
      <c r="E69" s="300"/>
      <c r="F69" s="50">
        <f>SUM(F66:F68)</f>
        <v>1075.7817913057836</v>
      </c>
      <c r="G69" s="25">
        <f>+F69/$F$69</f>
        <v>1</v>
      </c>
      <c r="H69" s="277"/>
      <c r="I69" s="37"/>
      <c r="J69" s="27"/>
      <c r="M69" s="10" t="s">
        <v>109</v>
      </c>
    </row>
    <row r="70" spans="2:17" x14ac:dyDescent="0.25">
      <c r="C70" s="32"/>
      <c r="D70" s="32"/>
      <c r="E70" s="82"/>
      <c r="F70" s="73"/>
      <c r="G70" s="25"/>
      <c r="H70" s="277"/>
      <c r="I70" s="81"/>
      <c r="J70" s="10"/>
      <c r="M70" s="10" t="s">
        <v>110</v>
      </c>
    </row>
    <row r="71" spans="2:17" ht="13.5" thickBot="1" x14ac:dyDescent="0.3">
      <c r="B71" s="297" t="s">
        <v>111</v>
      </c>
      <c r="C71" s="297"/>
      <c r="D71" s="297"/>
      <c r="E71" s="297"/>
      <c r="F71" s="297"/>
      <c r="G71" s="25"/>
      <c r="H71" s="84"/>
      <c r="I71" s="81"/>
      <c r="J71" s="10"/>
      <c r="M71" s="10" t="s">
        <v>112</v>
      </c>
    </row>
    <row r="72" spans="2:17" ht="13.5" thickBot="1" x14ac:dyDescent="0.3">
      <c r="B72" s="85" t="s">
        <v>113</v>
      </c>
      <c r="C72" s="86">
        <f>+F56</f>
        <v>586.03119004873054</v>
      </c>
      <c r="D72" s="86">
        <f>+D61</f>
        <v>190</v>
      </c>
      <c r="E72" s="87">
        <f>+C72/D72</f>
        <v>3.084374684467003</v>
      </c>
      <c r="F72" s="25"/>
      <c r="G72" s="84"/>
      <c r="H72" s="27"/>
      <c r="I72" s="84"/>
      <c r="J72" s="10"/>
    </row>
    <row r="73" spans="2:17" x14ac:dyDescent="0.25">
      <c r="B73" s="88"/>
      <c r="C73" s="89"/>
      <c r="D73" s="90"/>
      <c r="E73" s="73"/>
      <c r="F73" s="25"/>
      <c r="G73" s="84"/>
      <c r="H73" s="27"/>
      <c r="I73" s="27"/>
      <c r="J73" s="10"/>
    </row>
    <row r="74" spans="2:17" x14ac:dyDescent="0.25">
      <c r="B74" s="85" t="s">
        <v>114</v>
      </c>
      <c r="C74" s="86">
        <f>SUM(F66:F67)</f>
        <v>770.7817913057836</v>
      </c>
      <c r="D74" s="86">
        <f>+D61</f>
        <v>190</v>
      </c>
      <c r="E74" s="91">
        <f>+C74/D74</f>
        <v>4.0567462700304402</v>
      </c>
      <c r="F74" s="25"/>
      <c r="G74" s="84"/>
      <c r="H74" s="27"/>
      <c r="I74" s="27"/>
      <c r="J74" s="10"/>
    </row>
    <row r="75" spans="2:17" x14ac:dyDescent="0.25">
      <c r="B75" s="85"/>
      <c r="C75" s="86"/>
      <c r="D75" s="86"/>
      <c r="E75" s="91"/>
      <c r="F75" s="25"/>
      <c r="G75" s="84"/>
      <c r="H75" s="27"/>
      <c r="I75" s="27"/>
      <c r="J75" s="10"/>
    </row>
    <row r="76" spans="2:17" ht="13.5" thickBot="1" x14ac:dyDescent="0.3">
      <c r="B76" s="85" t="s">
        <v>115</v>
      </c>
      <c r="C76" s="86">
        <f>+F68</f>
        <v>305</v>
      </c>
      <c r="D76" s="86">
        <f>+D61</f>
        <v>190</v>
      </c>
      <c r="E76" s="91">
        <f>+C76/D76</f>
        <v>1.6052631578947369</v>
      </c>
      <c r="F76" s="25"/>
      <c r="G76" s="84"/>
      <c r="H76" s="27"/>
      <c r="I76" s="27"/>
      <c r="J76" s="10"/>
    </row>
    <row r="77" spans="2:17" ht="13.5" thickBot="1" x14ac:dyDescent="0.3">
      <c r="B77" s="85" t="s">
        <v>116</v>
      </c>
      <c r="C77" s="86">
        <f>+F59</f>
        <v>318.71387150551425</v>
      </c>
      <c r="D77" s="86">
        <f>+D76</f>
        <v>190</v>
      </c>
      <c r="E77" s="87">
        <f>+C77/D77</f>
        <v>1.6774414289763908</v>
      </c>
      <c r="F77" s="25"/>
      <c r="G77" s="84"/>
      <c r="H77" s="27"/>
      <c r="I77" s="27"/>
      <c r="J77" s="10"/>
    </row>
    <row r="78" spans="2:17" ht="13.5" thickBot="1" x14ac:dyDescent="0.3">
      <c r="B78" s="49"/>
      <c r="C78" s="50"/>
      <c r="D78" s="50"/>
      <c r="E78" s="91"/>
      <c r="F78" s="25"/>
      <c r="G78" s="84"/>
      <c r="H78" s="27"/>
      <c r="I78" s="27"/>
      <c r="J78" s="10"/>
    </row>
    <row r="79" spans="2:17" ht="13.5" thickBot="1" x14ac:dyDescent="0.3">
      <c r="B79" s="85" t="s">
        <v>117</v>
      </c>
      <c r="C79" s="86">
        <f>+F57</f>
        <v>173.02997745607848</v>
      </c>
      <c r="D79" s="86">
        <f>+D77</f>
        <v>190</v>
      </c>
      <c r="E79" s="87">
        <f>+C79/D79</f>
        <v>0.91068409187409727</v>
      </c>
      <c r="F79" s="25"/>
      <c r="G79" s="84"/>
      <c r="H79" s="27"/>
      <c r="I79" s="27"/>
      <c r="J79" s="27"/>
    </row>
    <row r="80" spans="2:17" ht="13.5" thickBot="1" x14ac:dyDescent="0.3">
      <c r="B80" s="49"/>
      <c r="C80" s="50"/>
      <c r="D80" s="50"/>
      <c r="E80" s="91"/>
      <c r="F80" s="25"/>
      <c r="G80" s="84"/>
      <c r="H80" s="27"/>
      <c r="I80" s="27"/>
    </row>
    <row r="81" spans="1:10" ht="13.5" thickBot="1" x14ac:dyDescent="0.3">
      <c r="B81" s="303" t="s">
        <v>118</v>
      </c>
      <c r="C81" s="304"/>
      <c r="D81" s="305"/>
      <c r="E81" s="87">
        <f>+E72+E77</f>
        <v>4.7618161134433938</v>
      </c>
      <c r="G81" s="25"/>
      <c r="H81" s="84"/>
      <c r="I81" s="27"/>
      <c r="J81" s="91"/>
    </row>
    <row r="82" spans="1:10" x14ac:dyDescent="0.25">
      <c r="I82" s="84"/>
      <c r="J82" s="10"/>
    </row>
    <row r="83" spans="1:10" ht="13.5" thickBot="1" x14ac:dyDescent="0.3">
      <c r="B83" s="297" t="s">
        <v>119</v>
      </c>
      <c r="C83" s="297"/>
      <c r="D83" s="297"/>
      <c r="E83" s="297"/>
      <c r="F83" s="297"/>
      <c r="G83" s="25"/>
      <c r="H83" s="84"/>
      <c r="J83" s="10"/>
    </row>
    <row r="84" spans="1:10" ht="13.5" thickBot="1" x14ac:dyDescent="0.3">
      <c r="B84" s="85" t="s">
        <v>113</v>
      </c>
      <c r="C84" s="86">
        <f>+C72</f>
        <v>586.03119004873054</v>
      </c>
      <c r="D84" s="86">
        <f>+D63</f>
        <v>1</v>
      </c>
      <c r="E84" s="87">
        <f>+C84/D84</f>
        <v>586.03119004873054</v>
      </c>
      <c r="F84" s="25"/>
      <c r="G84" s="84"/>
      <c r="H84" s="27"/>
      <c r="I84" s="84"/>
      <c r="J84" s="10"/>
    </row>
    <row r="85" spans="1:10" x14ac:dyDescent="0.25">
      <c r="B85" s="88"/>
      <c r="C85" s="89"/>
      <c r="D85" s="90"/>
      <c r="E85" s="73"/>
      <c r="F85" s="25"/>
      <c r="G85" s="84"/>
      <c r="H85" s="27"/>
      <c r="I85" s="27"/>
      <c r="J85" s="10"/>
    </row>
    <row r="86" spans="1:10" x14ac:dyDescent="0.25">
      <c r="B86" s="85" t="s">
        <v>114</v>
      </c>
      <c r="C86" s="86">
        <f>+C74</f>
        <v>770.7817913057836</v>
      </c>
      <c r="D86" s="86">
        <f>+D63</f>
        <v>1</v>
      </c>
      <c r="E86" s="91">
        <f>+C86/D86</f>
        <v>770.7817913057836</v>
      </c>
      <c r="F86" s="25"/>
      <c r="G86" s="84"/>
      <c r="H86" s="27"/>
      <c r="I86" s="27"/>
      <c r="J86" s="10"/>
    </row>
    <row r="87" spans="1:10" x14ac:dyDescent="0.25">
      <c r="B87" s="85"/>
      <c r="C87" s="86"/>
      <c r="D87" s="86"/>
      <c r="E87" s="91"/>
      <c r="F87" s="25"/>
      <c r="G87" s="84"/>
      <c r="H87" s="27"/>
      <c r="I87" s="27"/>
      <c r="J87" s="10"/>
    </row>
    <row r="88" spans="1:10" ht="13.5" thickBot="1" x14ac:dyDescent="0.3">
      <c r="B88" s="85" t="s">
        <v>116</v>
      </c>
      <c r="C88" s="86">
        <f>+C76</f>
        <v>305</v>
      </c>
      <c r="D88" s="86">
        <f>+D63</f>
        <v>1</v>
      </c>
      <c r="E88" s="91">
        <f>+C88/D88</f>
        <v>305</v>
      </c>
      <c r="F88" s="93"/>
      <c r="G88" s="83"/>
      <c r="H88" s="9"/>
      <c r="I88" s="27"/>
    </row>
    <row r="89" spans="1:10" ht="13.5" thickBot="1" x14ac:dyDescent="0.3">
      <c r="B89" s="85" t="s">
        <v>116</v>
      </c>
      <c r="C89" s="86">
        <f>+C77</f>
        <v>318.71387150551425</v>
      </c>
      <c r="D89" s="86">
        <f>+D88</f>
        <v>1</v>
      </c>
      <c r="E89" s="87">
        <f>+C89/D89</f>
        <v>318.71387150551425</v>
      </c>
      <c r="F89" s="92"/>
      <c r="G89" s="83"/>
      <c r="H89" s="9"/>
      <c r="I89" s="9"/>
    </row>
    <row r="90" spans="1:10" x14ac:dyDescent="0.25">
      <c r="I90" s="9"/>
    </row>
    <row r="91" spans="1:10" x14ac:dyDescent="0.2">
      <c r="A91" s="296"/>
      <c r="B91" s="296"/>
      <c r="C91" s="94"/>
      <c r="D91" s="94"/>
      <c r="E91" s="95"/>
      <c r="G91" s="96"/>
    </row>
    <row r="92" spans="1:10" x14ac:dyDescent="0.2">
      <c r="A92" s="28"/>
      <c r="B92" s="97"/>
      <c r="C92" s="98"/>
      <c r="D92" s="98"/>
      <c r="E92" s="99"/>
      <c r="G92" s="96"/>
    </row>
    <row r="93" spans="1:10" x14ac:dyDescent="0.2">
      <c r="A93" s="28"/>
      <c r="B93" s="97"/>
      <c r="C93" s="100"/>
      <c r="D93" s="100"/>
      <c r="E93" s="28"/>
      <c r="G93" s="96"/>
    </row>
    <row r="94" spans="1:10" x14ac:dyDescent="0.2">
      <c r="A94" s="28"/>
      <c r="B94" s="97"/>
      <c r="C94" s="101"/>
      <c r="D94" s="101"/>
      <c r="E94" s="28"/>
      <c r="G94" s="96"/>
    </row>
  </sheetData>
  <mergeCells count="30">
    <mergeCell ref="A91:B91"/>
    <mergeCell ref="B71:F71"/>
    <mergeCell ref="B83:F83"/>
    <mergeCell ref="B69:E69"/>
    <mergeCell ref="B68:C68"/>
    <mergeCell ref="B81:D81"/>
    <mergeCell ref="A4:H4"/>
    <mergeCell ref="K33:L33"/>
    <mergeCell ref="K66:N66"/>
    <mergeCell ref="B56:E56"/>
    <mergeCell ref="L65:N65"/>
    <mergeCell ref="A5:H5"/>
    <mergeCell ref="B57:E57"/>
    <mergeCell ref="F6:G6"/>
    <mergeCell ref="B58:E58"/>
    <mergeCell ref="B64:C64"/>
    <mergeCell ref="B66:D66"/>
    <mergeCell ref="K27:L27"/>
    <mergeCell ref="L63:M63"/>
    <mergeCell ref="M62:N62"/>
    <mergeCell ref="K31:L31"/>
    <mergeCell ref="K32:L32"/>
    <mergeCell ref="K57:N57"/>
    <mergeCell ref="H69:H70"/>
    <mergeCell ref="C59:E59"/>
    <mergeCell ref="K64:N64"/>
    <mergeCell ref="B62:C62"/>
    <mergeCell ref="B61:C61"/>
    <mergeCell ref="B63:C63"/>
    <mergeCell ref="B67:D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E85046-AB7E-4745-8EA0-2EA4AA82FF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45A58E-CA68-488A-AB6C-8A3EC5EB58C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036A06E-B5B8-459B-9507-4DE2C0E70B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Costo Actual </vt:lpstr>
      <vt:lpstr>Costo Nuevo</vt:lpstr>
      <vt:lpstr>COSTO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2025-07-11T17:19:33Z</cp:lastPrinted>
  <dcterms:created xsi:type="dcterms:W3CDTF">2021-04-23T17:37:26Z</dcterms:created>
  <dcterms:modified xsi:type="dcterms:W3CDTF">2025-07-11T17:23:40Z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897600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
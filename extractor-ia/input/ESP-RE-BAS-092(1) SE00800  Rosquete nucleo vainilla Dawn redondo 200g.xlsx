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3.xml" ContentType="application/vnd.openxmlformats-officedocument.spreadsheetml.externalLink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B821F509-7E56-4628-8491-924D8A7C0E1A}" xr6:coauthVersionLast="47" xr6:coauthVersionMax="47" xr10:uidLastSave="{53A5DF80-A295-417E-A118-5C708736CF5F}"/>
  <bookViews>
    <workbookView xWindow="-120" yWindow="-120" windowWidth="20730" windowHeight="11040" tabRatio="936" firstSheet="3" activeTab="3" xr2:uid="{74C28F6A-68B1-4D67-8851-9F7AD3A672D3}"/>
  </bookViews>
  <sheets>
    <sheet name="Ensamble 2" sheetId="1" state="hidden" r:id="rId1"/>
    <sheet name="Ensamble 3" sheetId="3" state="hidden" r:id="rId2"/>
    <sheet name="Costo Ensamble " sheetId="2" state="hidden" r:id="rId3"/>
    <sheet name="Rosquete Nucleo Vainilla Dawn " sheetId="4" r:id="rId4"/>
    <sheet name="Costo Rosquete" sheetId="14" state="hidden" r:id="rId5"/>
    <sheet name="Batido Nucleo Vainilla Dawn " sheetId="5" state="hidden" r:id="rId6"/>
    <sheet name="Premezcla Nucleo Vainilla Dawn " sheetId="6" state="hidden" r:id="rId7"/>
    <sheet name="Leches Pasteurizada " sheetId="7" state="hidden" r:id="rId8"/>
    <sheet name="Mezcla Leches Pasteurizada " sheetId="8" state="hidden" r:id="rId9"/>
    <sheet name="Caramelo con choco Blanco" sheetId="9" state="hidden" r:id="rId10"/>
    <sheet name="Caramelo Crocante" sheetId="10" state="hidden" r:id="rId11"/>
    <sheet name="Crema Beidge" sheetId="11" state="hidden" r:id="rId12"/>
    <sheet name="Crema Blanca supremo" sheetId="12" state="hidden" r:id="rId13"/>
  </sheets>
  <externalReferences>
    <externalReference r:id="rId14"/>
    <externalReference r:id="rId15"/>
    <externalReference r:id="rId16"/>
  </externalReferences>
  <definedNames>
    <definedName name="_xlnm.Print_Area" localSheetId="0">'Ensamble 2'!$A$1:$I$59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K15" i="2"/>
  <c r="P46" i="2"/>
  <c r="O46" i="2"/>
  <c r="P43" i="2"/>
  <c r="D74" i="14" l="1"/>
  <c r="D76" i="14" s="1"/>
  <c r="D73" i="14"/>
  <c r="D71" i="14"/>
  <c r="D69" i="14"/>
  <c r="F65" i="14"/>
  <c r="E51" i="14" s="1"/>
  <c r="D60" i="14"/>
  <c r="D85" i="14" s="1"/>
  <c r="D86" i="14" s="1"/>
  <c r="C51" i="14"/>
  <c r="F51" i="14" s="1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A45" i="14"/>
  <c r="C45" i="14" s="1"/>
  <c r="E41" i="14"/>
  <c r="F41" i="14" s="1"/>
  <c r="D41" i="14"/>
  <c r="C41" i="14"/>
  <c r="B41" i="14"/>
  <c r="A41" i="14"/>
  <c r="A50" i="14" s="1"/>
  <c r="C50" i="14" s="1"/>
  <c r="E40" i="14"/>
  <c r="F40" i="14" s="1"/>
  <c r="D40" i="14"/>
  <c r="C40" i="14"/>
  <c r="B40" i="14"/>
  <c r="A40" i="14"/>
  <c r="A49" i="14" s="1"/>
  <c r="C49" i="14" s="1"/>
  <c r="E39" i="14"/>
  <c r="F39" i="14" s="1"/>
  <c r="D39" i="14"/>
  <c r="C39" i="14"/>
  <c r="B39" i="14"/>
  <c r="A39" i="14"/>
  <c r="A48" i="14" s="1"/>
  <c r="C48" i="14" s="1"/>
  <c r="E38" i="14"/>
  <c r="D38" i="14"/>
  <c r="B38" i="14"/>
  <c r="A38" i="14"/>
  <c r="C38" i="14" s="1"/>
  <c r="E37" i="14"/>
  <c r="F37" i="14" s="1"/>
  <c r="D37" i="14"/>
  <c r="B37" i="14"/>
  <c r="A37" i="14"/>
  <c r="C37" i="14" s="1"/>
  <c r="E36" i="14"/>
  <c r="D36" i="14"/>
  <c r="B36" i="14"/>
  <c r="A36" i="14"/>
  <c r="C36" i="14" s="1"/>
  <c r="A35" i="14"/>
  <c r="C35" i="14" s="1"/>
  <c r="F35" i="14" s="1"/>
  <c r="E32" i="14"/>
  <c r="D32" i="14"/>
  <c r="C32" i="14"/>
  <c r="B32" i="14"/>
  <c r="E31" i="14"/>
  <c r="F31" i="14" s="1"/>
  <c r="D31" i="14"/>
  <c r="C31" i="14"/>
  <c r="B31" i="14"/>
  <c r="E30" i="14"/>
  <c r="D30" i="14"/>
  <c r="C30" i="14"/>
  <c r="B30" i="14"/>
  <c r="E29" i="14"/>
  <c r="F29" i="14" s="1"/>
  <c r="D29" i="14"/>
  <c r="C29" i="14"/>
  <c r="B29" i="14"/>
  <c r="E28" i="14"/>
  <c r="D28" i="14"/>
  <c r="C28" i="14"/>
  <c r="B28" i="14"/>
  <c r="E27" i="14"/>
  <c r="F27" i="14" s="1"/>
  <c r="D27" i="14"/>
  <c r="C27" i="14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D18" i="14"/>
  <c r="C18" i="14"/>
  <c r="F18" i="14" s="1"/>
  <c r="B18" i="14"/>
  <c r="F17" i="14"/>
  <c r="C17" i="14"/>
  <c r="B15" i="14"/>
  <c r="E14" i="14"/>
  <c r="D14" i="14"/>
  <c r="C14" i="14"/>
  <c r="B14" i="14"/>
  <c r="E13" i="14"/>
  <c r="F13" i="14" s="1"/>
  <c r="D13" i="14"/>
  <c r="C13" i="14"/>
  <c r="B13" i="14"/>
  <c r="E12" i="14"/>
  <c r="D12" i="14"/>
  <c r="C12" i="14"/>
  <c r="B12" i="14"/>
  <c r="E11" i="14"/>
  <c r="F11" i="14" s="1"/>
  <c r="D11" i="14"/>
  <c r="C11" i="14"/>
  <c r="B11" i="14"/>
  <c r="E10" i="14"/>
  <c r="D10" i="14"/>
  <c r="C10" i="14"/>
  <c r="B10" i="14"/>
  <c r="E9" i="14"/>
  <c r="F9" i="14" s="1"/>
  <c r="D9" i="14"/>
  <c r="C9" i="14"/>
  <c r="B9" i="14"/>
  <c r="E8" i="14"/>
  <c r="D8" i="14"/>
  <c r="C8" i="14"/>
  <c r="B8" i="14"/>
  <c r="H6" i="14"/>
  <c r="F14" i="14" l="1"/>
  <c r="F36" i="14"/>
  <c r="F10" i="14"/>
  <c r="F32" i="14"/>
  <c r="F38" i="14"/>
  <c r="F8" i="14"/>
  <c r="F30" i="14"/>
  <c r="F45" i="14"/>
  <c r="F28" i="14"/>
  <c r="F12" i="14"/>
  <c r="F50" i="14"/>
  <c r="F49" i="14"/>
  <c r="F48" i="14"/>
  <c r="D81" i="14"/>
  <c r="A47" i="14"/>
  <c r="C47" i="14" s="1"/>
  <c r="F47" i="14" s="1"/>
  <c r="C73" i="14"/>
  <c r="D83" i="14"/>
  <c r="A46" i="14"/>
  <c r="C46" i="14" s="1"/>
  <c r="F46" i="14" s="1"/>
  <c r="A44" i="14"/>
  <c r="C44" i="14" s="1"/>
  <c r="F44" i="14" s="1"/>
  <c r="F54" i="14" l="1"/>
  <c r="C76" i="14" s="1"/>
  <c r="E76" i="14" s="1"/>
  <c r="F53" i="14"/>
  <c r="C69" i="14" s="1"/>
  <c r="C85" i="14"/>
  <c r="E85" i="14" s="1"/>
  <c r="E73" i="14"/>
  <c r="F56" i="14"/>
  <c r="H53" i="14" l="1"/>
  <c r="F2" i="14" s="1"/>
  <c r="F64" i="14"/>
  <c r="F55" i="14"/>
  <c r="H55" i="14" s="1"/>
  <c r="H54" i="14"/>
  <c r="G2" i="14" s="1"/>
  <c r="E69" i="14"/>
  <c r="C81" i="14"/>
  <c r="E81" i="14" s="1"/>
  <c r="H56" i="14"/>
  <c r="C74" i="14"/>
  <c r="F63" i="14" l="1"/>
  <c r="C71" i="14" s="1"/>
  <c r="O54" i="14"/>
  <c r="O56" i="14" s="1"/>
  <c r="C86" i="14"/>
  <c r="E86" i="14" s="1"/>
  <c r="E74" i="14"/>
  <c r="O55" i="14"/>
  <c r="H2" i="14"/>
  <c r="H58" i="14"/>
  <c r="H59" i="14" s="1"/>
  <c r="O58" i="14" s="1"/>
  <c r="E78" i="14"/>
  <c r="O57" i="14" l="1"/>
  <c r="O59" i="14" s="1"/>
  <c r="E63" i="14"/>
  <c r="F66" i="14"/>
  <c r="G63" i="14" s="1"/>
  <c r="O60" i="14"/>
  <c r="O61" i="14" s="1"/>
  <c r="O62" i="14" s="1"/>
  <c r="G66" i="14"/>
  <c r="G13" i="14"/>
  <c r="G11" i="14"/>
  <c r="G9" i="14"/>
  <c r="G37" i="14"/>
  <c r="G36" i="14"/>
  <c r="G41" i="14"/>
  <c r="G65" i="14"/>
  <c r="G45" i="14"/>
  <c r="G40" i="14"/>
  <c r="G30" i="14"/>
  <c r="G32" i="14"/>
  <c r="G29" i="14"/>
  <c r="G20" i="14"/>
  <c r="G14" i="14"/>
  <c r="G12" i="14"/>
  <c r="G10" i="14"/>
  <c r="G28" i="14"/>
  <c r="G24" i="14"/>
  <c r="G51" i="14"/>
  <c r="G19" i="14"/>
  <c r="G21" i="14"/>
  <c r="G22" i="14"/>
  <c r="G35" i="14"/>
  <c r="G8" i="14"/>
  <c r="G27" i="14"/>
  <c r="G50" i="14"/>
  <c r="G46" i="14"/>
  <c r="G47" i="14"/>
  <c r="G53" i="14"/>
  <c r="G49" i="14"/>
  <c r="G64" i="14"/>
  <c r="G56" i="14"/>
  <c r="G55" i="14"/>
  <c r="C83" i="14"/>
  <c r="E83" i="14" s="1"/>
  <c r="E71" i="14"/>
  <c r="G44" i="14" l="1"/>
  <c r="G17" i="14"/>
  <c r="G23" i="14"/>
  <c r="G54" i="14"/>
  <c r="G39" i="14"/>
  <c r="G38" i="14"/>
  <c r="G48" i="14"/>
  <c r="G18" i="14"/>
  <c r="G31" i="14"/>
  <c r="P62" i="14"/>
  <c r="E2" i="14"/>
  <c r="D43" i="12" l="1"/>
  <c r="D39" i="12"/>
  <c r="L17" i="12"/>
  <c r="K13" i="12"/>
  <c r="J13" i="12"/>
  <c r="L12" i="12"/>
  <c r="K12" i="12"/>
  <c r="J12" i="12"/>
  <c r="L11" i="12"/>
  <c r="K11" i="12"/>
  <c r="J11" i="12"/>
  <c r="K10" i="12"/>
  <c r="J10" i="12"/>
  <c r="D45" i="11" l="1"/>
  <c r="E10" i="11"/>
  <c r="D20" i="9"/>
  <c r="D18" i="9"/>
  <c r="L13" i="9"/>
  <c r="D27" i="4" l="1"/>
  <c r="D73" i="2"/>
  <c r="D74" i="2" s="1"/>
  <c r="D76" i="2" s="1"/>
  <c r="D71" i="2"/>
  <c r="D69" i="2"/>
  <c r="F65" i="2"/>
  <c r="E51" i="2" s="1"/>
  <c r="D60" i="2"/>
  <c r="D85" i="2" s="1"/>
  <c r="D86" i="2" s="1"/>
  <c r="C51" i="2"/>
  <c r="E50" i="2"/>
  <c r="D50" i="2"/>
  <c r="B50" i="2"/>
  <c r="E41" i="2"/>
  <c r="D41" i="2"/>
  <c r="C41" i="2"/>
  <c r="B41" i="2"/>
  <c r="A41" i="2"/>
  <c r="A50" i="2" s="1"/>
  <c r="C50" i="2" s="1"/>
  <c r="E40" i="2"/>
  <c r="D40" i="2"/>
  <c r="B40" i="2"/>
  <c r="A40" i="2"/>
  <c r="C40" i="2" s="1"/>
  <c r="A39" i="2"/>
  <c r="C39" i="2" s="1"/>
  <c r="A38" i="2"/>
  <c r="A47" i="2" s="1"/>
  <c r="C47" i="2" s="1"/>
  <c r="F37" i="2"/>
  <c r="A37" i="2"/>
  <c r="C37" i="2" s="1"/>
  <c r="A36" i="2"/>
  <c r="A45" i="2" s="1"/>
  <c r="C45" i="2" s="1"/>
  <c r="A35" i="2"/>
  <c r="A44" i="2" s="1"/>
  <c r="C44" i="2" s="1"/>
  <c r="C31" i="2"/>
  <c r="C30" i="2"/>
  <c r="C29" i="2"/>
  <c r="F29" i="2" s="1"/>
  <c r="C28" i="2"/>
  <c r="C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F21" i="2"/>
  <c r="C21" i="2"/>
  <c r="C20" i="2"/>
  <c r="F19" i="2"/>
  <c r="C19" i="2"/>
  <c r="C18" i="2"/>
  <c r="C17" i="2"/>
  <c r="B15" i="2"/>
  <c r="E14" i="2"/>
  <c r="F14" i="2" s="1"/>
  <c r="D14" i="2"/>
  <c r="C14" i="2"/>
  <c r="B14" i="2"/>
  <c r="E13" i="2"/>
  <c r="F13" i="2" s="1"/>
  <c r="D13" i="2"/>
  <c r="C13" i="2"/>
  <c r="B13" i="2"/>
  <c r="E12" i="2"/>
  <c r="F12" i="2" s="1"/>
  <c r="D12" i="2"/>
  <c r="C12" i="2"/>
  <c r="B12" i="2"/>
  <c r="E11" i="2"/>
  <c r="F11" i="2" s="1"/>
  <c r="D11" i="2"/>
  <c r="C11" i="2"/>
  <c r="B11" i="2"/>
  <c r="E10" i="2"/>
  <c r="D10" i="2"/>
  <c r="C10" i="2"/>
  <c r="B10" i="2"/>
  <c r="C9" i="2"/>
  <c r="C8" i="2"/>
  <c r="H6" i="2"/>
  <c r="D43" i="1"/>
  <c r="F9" i="2" l="1"/>
  <c r="C35" i="2"/>
  <c r="F40" i="2"/>
  <c r="F41" i="2"/>
  <c r="C73" i="2"/>
  <c r="C85" i="2" s="1"/>
  <c r="E85" i="2" s="1"/>
  <c r="F51" i="2"/>
  <c r="F27" i="2"/>
  <c r="F30" i="2"/>
  <c r="F28" i="2"/>
  <c r="F31" i="2"/>
  <c r="F10" i="2"/>
  <c r="F8" i="2"/>
  <c r="F20" i="2"/>
  <c r="C38" i="2"/>
  <c r="F38" i="2" s="1"/>
  <c r="F18" i="2"/>
  <c r="F45" i="2"/>
  <c r="C36" i="2"/>
  <c r="F36" i="2"/>
  <c r="F47" i="2"/>
  <c r="F39" i="2"/>
  <c r="D81" i="2"/>
  <c r="C32" i="2"/>
  <c r="D83" i="2"/>
  <c r="A46" i="2"/>
  <c r="C46" i="2" s="1"/>
  <c r="F46" i="2" s="1"/>
  <c r="A48" i="2"/>
  <c r="C48" i="2" s="1"/>
  <c r="F48" i="2" s="1"/>
  <c r="E73" i="2" l="1"/>
  <c r="E17" i="2" l="1"/>
  <c r="F17" i="2" s="1"/>
  <c r="E35" i="2"/>
  <c r="F35" i="2" s="1"/>
  <c r="E44" i="2"/>
  <c r="F44" i="2" s="1"/>
  <c r="F54" i="2" l="1"/>
  <c r="F53" i="2"/>
  <c r="F56" i="2"/>
  <c r="C76" i="2" l="1"/>
  <c r="E76" i="2" s="1"/>
  <c r="H54" i="2"/>
  <c r="G2" i="2" s="1"/>
  <c r="C74" i="2"/>
  <c r="H56" i="2"/>
  <c r="C69" i="2"/>
  <c r="F64" i="2"/>
  <c r="F55" i="2"/>
  <c r="H53" i="2"/>
  <c r="F2" i="2" s="1"/>
  <c r="C81" i="2" l="1"/>
  <c r="E81" i="2" s="1"/>
  <c r="E69" i="2"/>
  <c r="H55" i="2"/>
  <c r="F63" i="2"/>
  <c r="O54" i="2"/>
  <c r="O56" i="2" s="1"/>
  <c r="H58" i="2"/>
  <c r="H59" i="2" s="1"/>
  <c r="O58" i="2" s="1"/>
  <c r="O55" i="2"/>
  <c r="H2" i="2"/>
  <c r="C86" i="2"/>
  <c r="E86" i="2" s="1"/>
  <c r="E74" i="2"/>
  <c r="O57" i="2" l="1"/>
  <c r="O59" i="2" s="1"/>
  <c r="O60" i="2" s="1"/>
  <c r="O61" i="2" s="1"/>
  <c r="O62" i="2" s="1"/>
  <c r="E2" i="2" s="1"/>
  <c r="E63" i="2"/>
  <c r="F66" i="2"/>
  <c r="G63" i="2" s="1"/>
  <c r="C71" i="2"/>
  <c r="E78" i="2"/>
  <c r="P62" i="2" l="1"/>
  <c r="E71" i="2"/>
  <c r="C83" i="2"/>
  <c r="E83" i="2" s="1"/>
  <c r="G10" i="2"/>
  <c r="G66" i="2"/>
  <c r="G18" i="2"/>
  <c r="G12" i="2"/>
  <c r="G36" i="2"/>
  <c r="G24" i="2"/>
  <c r="G22" i="2"/>
  <c r="G19" i="2"/>
  <c r="G9" i="2"/>
  <c r="G45" i="2"/>
  <c r="G50" i="2"/>
  <c r="G40" i="2"/>
  <c r="G38" i="2"/>
  <c r="G51" i="2"/>
  <c r="G41" i="2"/>
  <c r="G48" i="2"/>
  <c r="G37" i="2"/>
  <c r="G29" i="2"/>
  <c r="G30" i="2"/>
  <c r="G21" i="2"/>
  <c r="G23" i="2"/>
  <c r="G13" i="2"/>
  <c r="G8" i="2"/>
  <c r="G32" i="2"/>
  <c r="G46" i="2"/>
  <c r="G39" i="2"/>
  <c r="G14" i="2"/>
  <c r="G65" i="2"/>
  <c r="G11" i="2"/>
  <c r="G31" i="2"/>
  <c r="G47" i="2"/>
  <c r="G27" i="2"/>
  <c r="G28" i="2"/>
  <c r="G20" i="2"/>
  <c r="G17" i="2"/>
  <c r="G44" i="2"/>
  <c r="G35" i="2"/>
  <c r="G54" i="2"/>
  <c r="G56" i="2"/>
  <c r="G53" i="2"/>
  <c r="G64" i="2"/>
  <c r="G55" i="2"/>
</calcChain>
</file>

<file path=xl/sharedStrings.xml><?xml version="1.0" encoding="utf-8"?>
<sst xmlns="http://schemas.openxmlformats.org/spreadsheetml/2006/main" count="1149" uniqueCount="351">
  <si>
    <t>CONTROL DE CAMBIOS</t>
  </si>
  <si>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</si>
  <si>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</si>
  <si>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</si>
  <si>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</si>
  <si>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</si>
  <si>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</si>
  <si>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</si>
  <si>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</si>
  <si>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</si>
  <si>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</si>
  <si>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</si>
  <si>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</si>
  <si>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</si>
  <si>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</si>
  <si>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</si>
  <si>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</si>
  <si>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</si>
  <si>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</si>
  <si>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</si>
  <si>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</si>
  <si>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</si>
  <si>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</si>
  <si>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</si>
  <si>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</si>
  <si>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</si>
  <si>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</si>
  <si>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</si>
  <si>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</si>
  <si>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</si>
  <si>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</si>
  <si>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</si>
  <si>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</si>
  <si>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</si>
  <si>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</si>
  <si>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Mariela Barrantes Sánchez, Chef</t>
  </si>
  <si>
    <t>Esteban Cartin, Gte Manufactura</t>
  </si>
  <si>
    <t>Ensamble</t>
  </si>
  <si>
    <t>SE00254</t>
  </si>
  <si>
    <t>Leches Pasteurizada Con Agua</t>
  </si>
  <si>
    <t xml:space="preserve">DECORACIÓN </t>
  </si>
  <si>
    <t>SE00069</t>
  </si>
  <si>
    <t>Crema Beidge</t>
  </si>
  <si>
    <t>Decoración</t>
  </si>
  <si>
    <t xml:space="preserve">Decoración </t>
  </si>
  <si>
    <t>SE00386</t>
  </si>
  <si>
    <t>Trasvasado de leche condensada cocinada</t>
  </si>
  <si>
    <t xml:space="preserve">Caramelo con chocolate blanco </t>
  </si>
  <si>
    <t>SE00682</t>
  </si>
  <si>
    <t>ENCREMAR</t>
  </si>
  <si>
    <t>COLOCHO BOQUILLA#5CS</t>
  </si>
  <si>
    <t>EM10025</t>
  </si>
  <si>
    <t>ORLA CARTON  8" DORADA</t>
  </si>
  <si>
    <t/>
  </si>
  <si>
    <t>EM10002</t>
  </si>
  <si>
    <t>ETIQ.BLANCA 1 1/4 * 3/4</t>
  </si>
  <si>
    <t>CEMUSA</t>
  </si>
  <si>
    <t>EM10124</t>
  </si>
  <si>
    <t>ETIQUETA BLANCA R-153</t>
  </si>
  <si>
    <t>ETIPLAST</t>
  </si>
  <si>
    <t>EM10011</t>
  </si>
  <si>
    <t>ETIQUETA BLANCA 2 5/8X1 15/16 PRE BLANCA</t>
  </si>
  <si>
    <t>Empaque</t>
  </si>
  <si>
    <t xml:space="preserve">Trozos de Chocolate de colores </t>
  </si>
  <si>
    <t>NUEVO</t>
  </si>
  <si>
    <t>40g x capa</t>
  </si>
  <si>
    <t>180g x capa</t>
  </si>
  <si>
    <t>1/4 TAZA</t>
  </si>
  <si>
    <t xml:space="preserve">2, Por ultimo tapar con rosquete tambien mojado con las leches pausterizadas. </t>
  </si>
  <si>
    <t>1, Partir los rosquetes, mojar con la leche pausterizada, agregar el trasvasado de leche condensada cocinada y el caramelo con chocolate, colocar la otra capa se moja con las leches pasusterizadas, el trasvasado de leche cocinada, el caramelo con chocolate.</t>
  </si>
  <si>
    <t>3, Encremar con la crema beige dejandola lisa.</t>
  </si>
  <si>
    <t>4, Realizar el colocho con crema biege con la boquilla #5CS y en colocho colocar trozos de chocolate de colores</t>
  </si>
  <si>
    <t>5, Tapar y etiquetar.</t>
  </si>
  <si>
    <t>1 TAZA</t>
  </si>
  <si>
    <t>ROSQUETE EASY VAINILLA BC 200G</t>
  </si>
  <si>
    <t>2 ROSQUETES</t>
  </si>
  <si>
    <t>NUEVA</t>
  </si>
  <si>
    <t>TAPA Y DOMO G50CT ALTA #9</t>
  </si>
  <si>
    <t>TORTA DE CUMPLEAÑOS LOCAL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</si>
  <si>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</si>
  <si>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</si>
  <si>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</si>
  <si>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</si>
  <si>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</si>
  <si>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</si>
  <si>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</si>
  <si>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</si>
  <si>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</si>
  <si>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</si>
  <si>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</si>
  <si>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</si>
  <si>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</si>
  <si>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</si>
  <si>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</si>
  <si>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</si>
  <si>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</si>
  <si>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</si>
  <si>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</si>
  <si>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</si>
  <si>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</si>
  <si>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</si>
  <si>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</si>
  <si>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</si>
  <si>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</si>
  <si>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</si>
  <si>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</si>
  <si>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</si>
  <si>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</si>
  <si>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</si>
  <si>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</si>
  <si>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</si>
  <si>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</si>
  <si>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</si>
  <si>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</si>
  <si>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</si>
  <si>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</si>
  <si>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</si>
  <si>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</si>
  <si>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</si>
  <si>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</si>
  <si>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</si>
  <si>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</si>
  <si>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</si>
  <si>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</si>
  <si>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</si>
  <si>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</si>
  <si>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</si>
  <si>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</si>
  <si>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</si>
  <si>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</si>
  <si>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</si>
  <si>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</si>
  <si>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nuevo</t>
  </si>
  <si>
    <t>Gramos</t>
  </si>
  <si>
    <t xml:space="preserve"> Rosquete nucleo vainilla Dawn redondo 200g </t>
  </si>
  <si>
    <t>UND</t>
  </si>
  <si>
    <t>Sebastian Díaz, Gte Manufactura</t>
  </si>
  <si>
    <t>Acetato Duro</t>
  </si>
  <si>
    <t>cm</t>
  </si>
  <si>
    <t>1.5 ROSQUETES</t>
  </si>
  <si>
    <t>PTL00140</t>
  </si>
  <si>
    <t>Leche Cond Cocinada Loc</t>
  </si>
  <si>
    <t>300g x capa</t>
  </si>
  <si>
    <t>Chispas de colores pastel</t>
  </si>
  <si>
    <t>6g x capa</t>
  </si>
  <si>
    <t xml:space="preserve">Bordes y centro </t>
  </si>
  <si>
    <t>ENCREMAR (Pare Superior)</t>
  </si>
  <si>
    <t>COLOCHO BOQUILLA#6CS</t>
  </si>
  <si>
    <t xml:space="preserve">1, Partir los rosquetes, mojar con la leche pausterizada, colocar el acetato alrededor del la primera capa de rosquete. </t>
  </si>
  <si>
    <t xml:space="preserve">2, Agregar el trasvasado de leche condensada cocinada y el caramelo con chocolate y colocar chispas de colores tocando el borde, colocar la otra capa se moja con las leches pasusterizadas, el trasvasado de leche cocinada, el caramelo con chocolate y las chipas de colores. </t>
  </si>
  <si>
    <t xml:space="preserve">3, Por ultimo tapar con rosquete tambien mojado con las leches pausterizadas. </t>
  </si>
  <si>
    <t xml:space="preserve">4, Encrema solamete la parte superior dejandola lisa. </t>
  </si>
  <si>
    <t>5, Realizar el colocho con crema biege con la boquilla #6CS y en colocho colocar trozos de chocolate de colores</t>
  </si>
  <si>
    <t>6, Tapar y etiquetar.</t>
  </si>
  <si>
    <t>Javier Tong, Chef</t>
  </si>
  <si>
    <t>Batidos</t>
  </si>
  <si>
    <t>SE00444</t>
  </si>
  <si>
    <t>BATIDO NUCLEO VAINILLA DAWN</t>
  </si>
  <si>
    <t>902000019</t>
  </si>
  <si>
    <t>SE00701</t>
  </si>
  <si>
    <t>MEZCLA P/ENGRASE MOLDES KILO</t>
  </si>
  <si>
    <t>AS00028</t>
  </si>
  <si>
    <t>BOLSA TRANSPARENTE 56X96X1.80 KILO</t>
  </si>
  <si>
    <t>PLASTICOS P</t>
  </si>
  <si>
    <t>0702007</t>
  </si>
  <si>
    <t>EM10004</t>
  </si>
  <si>
    <t>ETIQ.FECHA VENCIMIENTO BLANCO (ROLLO)</t>
  </si>
  <si>
    <t>0702069</t>
  </si>
  <si>
    <t>ETIQ.BLANCA 1 1/4 * 3/4 (UND)</t>
  </si>
  <si>
    <t>Minutos</t>
  </si>
  <si>
    <t>uds</t>
  </si>
  <si>
    <t>1.- Pesar 200g de mezcla en los moldes previamente engrasados.</t>
  </si>
  <si>
    <t>2.- Hornear por Dicte 1 o 2 a 175°C por 50 min</t>
  </si>
  <si>
    <t>3.- Enfriar, desmoldar, colocar 22 rosquetes por lata, etiquetar con nombre y fecha de producción.</t>
  </si>
  <si>
    <t>ESP-RE-BAS-027</t>
  </si>
  <si>
    <t>01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</si>
  <si>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</si>
  <si>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</si>
  <si>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</si>
  <si>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</si>
  <si>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</si>
  <si>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</si>
  <si>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</si>
  <si>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</si>
  <si>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</si>
  <si>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</si>
  <si>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</si>
  <si>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Tanda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</si>
  <si>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</si>
  <si>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</si>
  <si>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</si>
  <si>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</si>
  <si>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</si>
  <si>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</si>
  <si>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</si>
  <si>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</si>
  <si>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</si>
  <si>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</si>
  <si>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</si>
  <si>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</si>
  <si>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</si>
  <si>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</si>
  <si>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</si>
  <si>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</si>
  <si>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</si>
  <si>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</si>
  <si>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</si>
  <si>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</si>
  <si>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MP10008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</si>
  <si>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</si>
  <si>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</si>
  <si>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</si>
  <si>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</si>
  <si>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</si>
  <si>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</si>
  <si>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</si>
  <si>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</si>
  <si>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</si>
  <si>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</si>
  <si>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</si>
  <si>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</si>
  <si>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</si>
  <si>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</si>
  <si>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</si>
  <si>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</si>
  <si>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</si>
  <si>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</si>
  <si>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</si>
  <si>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</si>
  <si>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</si>
  <si>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</si>
  <si>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</si>
  <si>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ESP-RE-DES-026</t>
  </si>
  <si>
    <t>Leches pasteurizadas con Agua 320g Spoon 910000003(SE00254)</t>
  </si>
  <si>
    <t>Decoracion</t>
  </si>
  <si>
    <t>907000001</t>
  </si>
  <si>
    <t>SE00031</t>
  </si>
  <si>
    <t xml:space="preserve">MEZCLA DE LECHE PASTEURIZADA </t>
  </si>
  <si>
    <t>AGUA</t>
  </si>
  <si>
    <t>1212412</t>
  </si>
  <si>
    <t>MP10025</t>
  </si>
  <si>
    <t>PRESERVANTE 1017 (PAQ=5 KILO)</t>
  </si>
  <si>
    <t>Aseal</t>
  </si>
  <si>
    <t>Tortas</t>
  </si>
  <si>
    <t>1.- Colocar la mezcla de leches con agua y preservante en un balde.</t>
  </si>
  <si>
    <t>ESP-RE-POS-020</t>
  </si>
  <si>
    <t>02</t>
  </si>
  <si>
    <t>Mezcla para Tres Leches Pasteurizada SE00031</t>
  </si>
  <si>
    <t>Postres</t>
  </si>
  <si>
    <t>MP10030</t>
  </si>
  <si>
    <t>LECHE 2% PASTEURIZADA (UND)</t>
  </si>
  <si>
    <t xml:space="preserve">g </t>
  </si>
  <si>
    <t>1110414</t>
  </si>
  <si>
    <t>MP10024</t>
  </si>
  <si>
    <t>LECHE EVAPORADA (LITRO)</t>
  </si>
  <si>
    <t>NESTLE</t>
  </si>
  <si>
    <t>MP10050</t>
  </si>
  <si>
    <t>LECHE CONDENSADA</t>
  </si>
  <si>
    <t>MP10048</t>
  </si>
  <si>
    <t xml:space="preserve">CREMA PRESTIGE GRAND </t>
  </si>
  <si>
    <t>RICH</t>
  </si>
  <si>
    <t>SE00016</t>
  </si>
  <si>
    <t>AZUCAR BLANCO INDUSTRIAL KILO</t>
  </si>
  <si>
    <t>Min.</t>
  </si>
  <si>
    <t>tanda</t>
  </si>
  <si>
    <t xml:space="preserve">1. Disolver completamente  el preservante en un litro de leche estandar empleando el homogenizador manual. </t>
  </si>
  <si>
    <t>2. Colocar en un bolw con una paleta manual,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</si>
  <si>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</si>
  <si>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</si>
  <si>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</si>
  <si>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</si>
  <si>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 xml:space="preserve">2Actualización procedimiento </t>
  </si>
  <si>
    <t>ESP-RE-POS-072</t>
  </si>
  <si>
    <t>1</t>
  </si>
  <si>
    <t xml:space="preserve"> SE00682 CARAMELO CON CHOCOLATE BLANCO</t>
  </si>
  <si>
    <t>Juan Pablo Brenes-Chef</t>
  </si>
  <si>
    <t xml:space="preserve">Esteban Cartin, Gerente de Manofactura </t>
  </si>
  <si>
    <t xml:space="preserve">Postres </t>
  </si>
  <si>
    <t>SE00355</t>
  </si>
  <si>
    <t>Caramelo Crocante</t>
  </si>
  <si>
    <t>MP10143</t>
  </si>
  <si>
    <t>Cobertura Chocolate Blanco Nacional</t>
  </si>
  <si>
    <t>NACIONAL</t>
  </si>
  <si>
    <t>EM10016</t>
  </si>
  <si>
    <t>Bolsa 12X18 Transparente</t>
  </si>
  <si>
    <t>Plasticos P</t>
  </si>
  <si>
    <t>Unid</t>
  </si>
  <si>
    <t>EM10120</t>
  </si>
  <si>
    <t>Etiq.Blanca 1 13/16 * 1 7/8</t>
  </si>
  <si>
    <t>Mayca</t>
  </si>
  <si>
    <t>LLEGO C</t>
  </si>
  <si>
    <t>1.Realizar el Brittle de almendras, una vez listo y procesado, derretir chocolate  blanco y mezclarlo muy bien.</t>
  </si>
  <si>
    <t>2. Exparsirlo bien en una bandeja y dejarlo secar.</t>
  </si>
  <si>
    <t>3. Cuando este bien seco. Se vuelve a procesar para que queden pequeños trozos.</t>
  </si>
  <si>
    <t>4. Guardar y etiquetar.</t>
  </si>
  <si>
    <t>ESP-RE-POS-022</t>
  </si>
  <si>
    <t>Caramelo Crocante 1000g Spoon SE00355</t>
  </si>
  <si>
    <t>MP10078</t>
  </si>
  <si>
    <t xml:space="preserve">AZUCAR REFINO INDUSTRIAL </t>
  </si>
  <si>
    <t>MAYCA</t>
  </si>
  <si>
    <t>BOLSA 12X18 TRANSPARENTE</t>
  </si>
  <si>
    <t>ETIQ.BLANCA 1 13/16 * 1 7/8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</si>
  <si>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</si>
  <si>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</si>
  <si>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</si>
  <si>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</si>
  <si>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>ESP-RE-DES-021</t>
  </si>
  <si>
    <t>03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</si>
  <si>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</si>
  <si>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</si>
  <si>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</si>
  <si>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</si>
  <si>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</si>
  <si>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</si>
  <si>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0.2</t>
  </si>
  <si>
    <t>Min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</si>
  <si>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</si>
  <si>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</si>
  <si>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</si>
  <si>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</si>
  <si>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</si>
  <si>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</si>
  <si>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</si>
  <si>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</si>
  <si>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</si>
  <si>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</si>
  <si>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>MP10047</t>
  </si>
  <si>
    <t>BETTERCREME SUPREMO (UND:4 K)</t>
  </si>
  <si>
    <t>RICHS</t>
  </si>
  <si>
    <t>AYA</t>
  </si>
  <si>
    <t>Etiplas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</si>
  <si>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</si>
  <si>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</si>
  <si>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</si>
  <si>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</si>
  <si>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</si>
  <si>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</si>
  <si>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</si>
  <si>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</si>
  <si>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</si>
  <si>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Melina</t>
  </si>
  <si>
    <t>Karol</t>
  </si>
  <si>
    <t>907000306</t>
  </si>
  <si>
    <t>1950928</t>
  </si>
  <si>
    <t>Centimetros</t>
  </si>
  <si>
    <t>Acetato</t>
  </si>
  <si>
    <t>EM10494</t>
  </si>
  <si>
    <t>MP10894</t>
  </si>
  <si>
    <t>Confitura Tortas Acetato Cumpleaños</t>
  </si>
  <si>
    <t xml:space="preserve">SE00800  Rosquete nucleo vainilla Dawn redondo 200g </t>
  </si>
  <si>
    <t>ESP-RE-BAS-092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</si>
</sst>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10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Century Gothic"/>
      <family val="2"/>
    </font>
    <font>
      <sz val="11"/>
      <color rgb="FF000000"/>
      <name val="Calibri"/>
      <family val="2"/>
      <scheme val="minor"/>
    </font>
    <font>
      <b/>
      <sz val="11"/>
      <name val="Times New Roman"/>
      <family val="1"/>
    </font>
    <font>
      <sz val="11"/>
      <color rgb="FF0070C0"/>
      <name val="Times New Roman"/>
      <family val="1"/>
    </font>
    <font>
      <b/>
      <sz val="11"/>
      <color rgb="FF000000"/>
      <name val="Calibri"/>
      <family val="2"/>
      <scheme val="minor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8"/>
      <name val="Calibri"/>
      <family val="2"/>
      <scheme val="minor"/>
    </font>
    <font>
      <b/>
      <sz val="11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b/>
      <i/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sz val="9.85"/>
      <color indexed="8"/>
      <name val="Times New Roman"/>
      <family val="1"/>
    </font>
    <font>
      <sz val="11"/>
      <name val="Arial"/>
      <family val="2"/>
    </font>
    <font>
      <b/>
      <sz val="14"/>
      <name val="Century Gothic"/>
      <family val="2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indexed="8"/>
      <name val="Times New Roman"/>
      <family val="1"/>
    </font>
    <font>
      <sz val="15"/>
      <name val="Arial"/>
      <family val="2"/>
    </font>
    <font>
      <sz val="15"/>
      <color theme="1"/>
      <name val="Century Gothic"/>
      <family val="2"/>
    </font>
    <font>
      <sz val="15"/>
      <color theme="1"/>
      <name val="Calibri"/>
      <family val="2"/>
      <scheme val="minor"/>
    </font>
    <font>
      <sz val="15"/>
      <color indexed="8"/>
      <name val="Century Gothic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6" fillId="0" borderId="0"/>
    <xf numFmtId="0" fontId="1" fillId="0" borderId="0"/>
    <xf numFmtId="0" fontId="7" fillId="0" borderId="0"/>
    <xf numFmtId="0" fontId="1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167">
    <xf numFmtId="0" fontId="0" fillId="0" borderId="0" xfId="0"/>
    <xf numFmtId="0" fontId="0" fillId="0" borderId="15" xfId="0" applyBorder="1"/>
    <xf numFmtId="0" fontId="9" fillId="2" borderId="29" xfId="2" applyFont="1" applyFill="1" applyBorder="1" applyAlignment="1">
      <alignment horizontal="right"/>
    </xf>
    <xf numFmtId="0" fontId="8" fillId="2" borderId="28" xfId="2" applyFont="1" applyFill="1" applyBorder="1" applyAlignment="1">
      <alignment horizontal="center"/>
    </xf>
    <xf numFmtId="0" fontId="9" fillId="2" borderId="15" xfId="2" applyFont="1" applyFill="1" applyBorder="1" applyAlignment="1">
      <alignment horizontal="right"/>
    </xf>
    <xf numFmtId="49" fontId="8" fillId="2" borderId="24" xfId="2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right"/>
    </xf>
    <xf numFmtId="0" fontId="8" fillId="2" borderId="15" xfId="2" applyFont="1" applyFill="1" applyBorder="1" applyAlignment="1">
      <alignment horizontal="right"/>
    </xf>
    <xf numFmtId="14" fontId="11" fillId="2" borderId="0" xfId="2" applyNumberFormat="1" applyFont="1" applyFill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1" fontId="9" fillId="3" borderId="9" xfId="1" applyNumberFormat="1" applyFont="1" applyFill="1" applyBorder="1" applyAlignment="1">
      <alignment horizontal="center"/>
    </xf>
    <xf numFmtId="1" fontId="9" fillId="3" borderId="9" xfId="1" applyNumberFormat="1" applyFont="1" applyFill="1" applyBorder="1" applyAlignment="1">
      <alignment horizontal="center" wrapText="1"/>
    </xf>
    <xf numFmtId="0" fontId="9" fillId="3" borderId="27" xfId="1" applyFont="1" applyFill="1" applyBorder="1" applyAlignment="1">
      <alignment horizontal="center"/>
    </xf>
    <xf numFmtId="0" fontId="12" fillId="0" borderId="25" xfId="1" applyFont="1" applyBorder="1" applyAlignment="1">
      <alignment horizontal="center" vertical="center"/>
    </xf>
    <xf numFmtId="0" fontId="13" fillId="0" borderId="15" xfId="1" applyFont="1" applyBorder="1" applyAlignment="1">
      <alignment vertical="center"/>
    </xf>
    <xf numFmtId="0" fontId="12" fillId="0" borderId="15" xfId="1" applyFont="1" applyBorder="1" applyAlignment="1">
      <alignment horizontal="center" vertical="center"/>
    </xf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0" fontId="5" fillId="0" borderId="24" xfId="1" applyFont="1" applyBorder="1" applyAlignment="1">
      <alignment horizontal="center"/>
    </xf>
    <xf numFmtId="49" fontId="5" fillId="4" borderId="25" xfId="0" applyNumberFormat="1" applyFont="1" applyFill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/>
    </xf>
    <xf numFmtId="49" fontId="5" fillId="4" borderId="15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/>
    </xf>
    <xf numFmtId="49" fontId="12" fillId="0" borderId="15" xfId="1" applyNumberFormat="1" applyFont="1" applyBorder="1" applyAlignment="1">
      <alignment horizontal="center"/>
    </xf>
    <xf numFmtId="49" fontId="15" fillId="2" borderId="23" xfId="1" applyNumberFormat="1" applyFont="1" applyFill="1" applyBorder="1" applyAlignment="1">
      <alignment horizontal="center" vertical="center"/>
    </xf>
    <xf numFmtId="49" fontId="15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22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/>
    </xf>
    <xf numFmtId="0" fontId="8" fillId="3" borderId="5" xfId="1" applyFont="1" applyFill="1" applyBorder="1"/>
    <xf numFmtId="0" fontId="9" fillId="3" borderId="5" xfId="1" applyFont="1" applyFill="1" applyBorder="1" applyAlignment="1">
      <alignment horizontal="center"/>
    </xf>
    <xf numFmtId="1" fontId="9" fillId="3" borderId="5" xfId="1" applyNumberFormat="1" applyFont="1" applyFill="1" applyBorder="1" applyAlignment="1">
      <alignment horizontal="center"/>
    </xf>
    <xf numFmtId="164" fontId="8" fillId="3" borderId="5" xfId="1" applyNumberFormat="1" applyFont="1" applyFill="1" applyBorder="1" applyAlignment="1">
      <alignment horizontal="center" wrapText="1"/>
    </xf>
    <xf numFmtId="0" fontId="8" fillId="3" borderId="4" xfId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6" fillId="0" borderId="15" xfId="0" applyFont="1" applyBorder="1"/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 wrapText="1"/>
    </xf>
    <xf numFmtId="0" fontId="19" fillId="0" borderId="15" xfId="0" applyFont="1" applyBorder="1"/>
    <xf numFmtId="0" fontId="18" fillId="0" borderId="16" xfId="0" applyFont="1" applyBorder="1" applyAlignment="1">
      <alignment horizontal="left"/>
    </xf>
    <xf numFmtId="0" fontId="1" fillId="7" borderId="1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/>
    </xf>
    <xf numFmtId="0" fontId="2" fillId="7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/>
    </xf>
    <xf numFmtId="0" fontId="18" fillId="0" borderId="16" xfId="0" applyFont="1" applyBorder="1"/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12" fontId="2" fillId="0" borderId="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3" fillId="0" borderId="15" xfId="0" applyFont="1" applyBorder="1" applyAlignment="1">
      <alignment horizontal="center"/>
    </xf>
    <xf numFmtId="49" fontId="4" fillId="0" borderId="14" xfId="1" applyNumberFormat="1" applyFont="1" applyBorder="1" applyAlignment="1">
      <alignment horizontal="center"/>
    </xf>
    <xf numFmtId="49" fontId="24" fillId="0" borderId="15" xfId="1" applyNumberFormat="1" applyFont="1" applyBorder="1"/>
    <xf numFmtId="49" fontId="4" fillId="0" borderId="15" xfId="1" applyNumberFormat="1" applyFont="1" applyBorder="1" applyAlignment="1">
      <alignment horizontal="center"/>
    </xf>
    <xf numFmtId="1" fontId="4" fillId="0" borderId="15" xfId="1" applyNumberFormat="1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4" fillId="0" borderId="26" xfId="0" applyFont="1" applyBorder="1" applyAlignment="1">
      <alignment horizontal="center"/>
    </xf>
    <xf numFmtId="1" fontId="1" fillId="0" borderId="15" xfId="0" applyNumberFormat="1" applyFont="1" applyBorder="1" applyAlignment="1">
      <alignment horizontal="left" vertical="center"/>
    </xf>
    <xf numFmtId="0" fontId="13" fillId="4" borderId="15" xfId="1" applyFont="1" applyFill="1" applyBorder="1" applyAlignment="1">
      <alignment vertical="center"/>
    </xf>
    <xf numFmtId="0" fontId="2" fillId="7" borderId="15" xfId="0" applyFont="1" applyFill="1" applyBorder="1"/>
    <xf numFmtId="0" fontId="24" fillId="4" borderId="0" xfId="0" applyFont="1" applyFill="1" applyAlignment="1">
      <alignment vertical="center"/>
    </xf>
    <xf numFmtId="0" fontId="25" fillId="8" borderId="15" xfId="0" applyFont="1" applyFill="1" applyBorder="1" applyAlignment="1">
      <alignment horizontal="center" vertical="center" wrapText="1"/>
    </xf>
    <xf numFmtId="0" fontId="25" fillId="8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43" fontId="25" fillId="0" borderId="15" xfId="6" applyFont="1" applyFill="1" applyBorder="1" applyAlignment="1">
      <alignment horizontal="center" vertical="center"/>
    </xf>
    <xf numFmtId="43" fontId="25" fillId="0" borderId="0" xfId="6" applyFont="1" applyFill="1" applyBorder="1" applyAlignment="1">
      <alignment horizontal="center" vertical="center"/>
    </xf>
    <xf numFmtId="43" fontId="27" fillId="0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6" fontId="30" fillId="0" borderId="0" xfId="0" applyNumberFormat="1" applyFont="1" applyAlignment="1">
      <alignment horizontal="center" vertical="center" wrapText="1"/>
    </xf>
    <xf numFmtId="0" fontId="25" fillId="9" borderId="48" xfId="0" applyFont="1" applyFill="1" applyBorder="1" applyAlignment="1">
      <alignment horizontal="center" vertical="center"/>
    </xf>
    <xf numFmtId="0" fontId="25" fillId="9" borderId="49" xfId="0" applyFont="1" applyFill="1" applyBorder="1" applyAlignment="1">
      <alignment horizontal="center" vertical="center"/>
    </xf>
    <xf numFmtId="0" fontId="25" fillId="9" borderId="49" xfId="0" applyFont="1" applyFill="1" applyBorder="1" applyAlignment="1">
      <alignment horizontal="center" vertical="center" wrapText="1"/>
    </xf>
    <xf numFmtId="0" fontId="25" fillId="9" borderId="5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/>
    </xf>
    <xf numFmtId="4" fontId="31" fillId="0" borderId="0" xfId="7" applyNumberFormat="1" applyFont="1" applyFill="1" applyAlignment="1">
      <alignment horizontal="center" vertical="center"/>
    </xf>
    <xf numFmtId="4" fontId="25" fillId="0" borderId="0" xfId="7" applyNumberFormat="1" applyFont="1" applyFill="1" applyAlignment="1">
      <alignment horizontal="center" vertical="center"/>
    </xf>
    <xf numFmtId="10" fontId="25" fillId="0" borderId="0" xfId="8" applyNumberFormat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10" fontId="26" fillId="0" borderId="0" xfId="8" applyNumberFormat="1" applyFont="1" applyFill="1" applyAlignment="1">
      <alignment vertical="center"/>
    </xf>
    <xf numFmtId="0" fontId="24" fillId="0" borderId="0" xfId="0" applyFont="1"/>
    <xf numFmtId="49" fontId="25" fillId="0" borderId="0" xfId="0" applyNumberFormat="1" applyFont="1" applyAlignment="1">
      <alignment horizontal="center"/>
    </xf>
    <xf numFmtId="167" fontId="24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43" fontId="24" fillId="0" borderId="0" xfId="6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4" fontId="25" fillId="0" borderId="0" xfId="6" applyNumberFormat="1" applyFont="1" applyFill="1" applyAlignment="1">
      <alignment vertical="center"/>
    </xf>
    <xf numFmtId="43" fontId="33" fillId="0" borderId="0" xfId="6" applyFont="1" applyFill="1" applyAlignment="1">
      <alignment horizontal="center" vertical="center"/>
    </xf>
    <xf numFmtId="10" fontId="26" fillId="9" borderId="51" xfId="8" applyNumberFormat="1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0" fontId="24" fillId="9" borderId="51" xfId="0" applyFont="1" applyFill="1" applyBorder="1" applyAlignment="1">
      <alignment vertical="center"/>
    </xf>
    <xf numFmtId="43" fontId="33" fillId="9" borderId="52" xfId="6" applyFont="1" applyFill="1" applyBorder="1" applyAlignment="1">
      <alignment horizontal="center" vertical="center"/>
    </xf>
    <xf numFmtId="43" fontId="35" fillId="0" borderId="0" xfId="6" applyFont="1" applyFill="1" applyBorder="1" applyAlignment="1">
      <alignment horizontal="right"/>
    </xf>
    <xf numFmtId="0" fontId="24" fillId="9" borderId="52" xfId="0" applyFont="1" applyFill="1" applyBorder="1" applyAlignment="1">
      <alignment vertical="center"/>
    </xf>
    <xf numFmtId="10" fontId="26" fillId="9" borderId="52" xfId="8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0" fontId="34" fillId="0" borderId="0" xfId="0" applyFont="1"/>
    <xf numFmtId="9" fontId="34" fillId="0" borderId="0" xfId="0" applyNumberFormat="1" applyFont="1"/>
    <xf numFmtId="9" fontId="36" fillId="0" borderId="0" xfId="8" applyFont="1" applyFill="1" applyAlignment="1">
      <alignment horizontal="center"/>
    </xf>
    <xf numFmtId="0" fontId="33" fillId="0" borderId="0" xfId="0" applyFont="1" applyAlignment="1">
      <alignment horizontal="right" vertical="center"/>
    </xf>
    <xf numFmtId="4" fontId="33" fillId="0" borderId="0" xfId="6" applyNumberFormat="1" applyFont="1" applyFill="1" applyAlignment="1">
      <alignment vertical="center"/>
    </xf>
    <xf numFmtId="4" fontId="33" fillId="0" borderId="0" xfId="7" applyNumberFormat="1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22" xfId="0" applyFont="1" applyBorder="1" applyAlignment="1">
      <alignment horizontal="right"/>
    </xf>
    <xf numFmtId="43" fontId="39" fillId="5" borderId="53" xfId="6" applyFont="1" applyFill="1" applyBorder="1" applyAlignment="1">
      <alignment horizontal="right"/>
    </xf>
    <xf numFmtId="43" fontId="39" fillId="0" borderId="0" xfId="6" applyFont="1" applyFill="1" applyBorder="1" applyAlignment="1">
      <alignment horizontal="right"/>
    </xf>
    <xf numFmtId="43" fontId="25" fillId="0" borderId="15" xfId="6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4" fontId="33" fillId="0" borderId="0" xfId="7" applyNumberFormat="1" applyFont="1" applyFill="1" applyAlignment="1">
      <alignment horizontal="center" vertical="center"/>
    </xf>
    <xf numFmtId="10" fontId="41" fillId="0" borderId="0" xfId="8" applyNumberFormat="1" applyFont="1" applyFill="1" applyAlignment="1">
      <alignment horizontal="right"/>
    </xf>
    <xf numFmtId="168" fontId="25" fillId="9" borderId="15" xfId="6" applyNumberFormat="1" applyFont="1" applyFill="1" applyBorder="1" applyAlignment="1">
      <alignment vertical="center"/>
    </xf>
    <xf numFmtId="4" fontId="24" fillId="0" borderId="0" xfId="0" applyNumberFormat="1" applyFont="1" applyAlignment="1">
      <alignment horizontal="center" vertical="center"/>
    </xf>
    <xf numFmtId="43" fontId="25" fillId="10" borderId="15" xfId="6" applyFont="1" applyFill="1" applyBorder="1" applyAlignment="1">
      <alignment vertical="center"/>
    </xf>
    <xf numFmtId="165" fontId="42" fillId="0" borderId="0" xfId="0" applyNumberFormat="1" applyFont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26" fillId="9" borderId="54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2" fontId="41" fillId="0" borderId="0" xfId="6" applyNumberFormat="1" applyFont="1" applyFill="1" applyBorder="1" applyAlignment="1">
      <alignment horizontal="center"/>
    </xf>
    <xf numFmtId="2" fontId="38" fillId="0" borderId="0" xfId="6" applyNumberFormat="1" applyFont="1" applyFill="1" applyBorder="1" applyAlignment="1">
      <alignment horizontal="center"/>
    </xf>
    <xf numFmtId="0" fontId="24" fillId="9" borderId="54" xfId="0" applyFont="1" applyFill="1" applyBorder="1" applyAlignment="1">
      <alignment vertical="center"/>
    </xf>
    <xf numFmtId="10" fontId="24" fillId="0" borderId="0" xfId="8" applyNumberFormat="1" applyFont="1" applyFill="1" applyAlignment="1">
      <alignment vertical="center"/>
    </xf>
    <xf numFmtId="4" fontId="24" fillId="0" borderId="0" xfId="6" applyNumberFormat="1" applyFont="1" applyFill="1" applyAlignment="1">
      <alignment vertical="center"/>
    </xf>
    <xf numFmtId="43" fontId="39" fillId="9" borderId="5" xfId="6" applyFont="1" applyFill="1" applyBorder="1" applyAlignment="1">
      <alignment horizontal="right"/>
    </xf>
    <xf numFmtId="0" fontId="25" fillId="9" borderId="4" xfId="0" applyFont="1" applyFill="1" applyBorder="1" applyAlignment="1">
      <alignment horizontal="right" vertical="center"/>
    </xf>
    <xf numFmtId="10" fontId="45" fillId="0" borderId="0" xfId="6" applyNumberFormat="1" applyFont="1" applyFill="1" applyAlignment="1">
      <alignment vertical="center"/>
    </xf>
    <xf numFmtId="10" fontId="26" fillId="0" borderId="0" xfId="8" applyNumberFormat="1" applyFont="1" applyFill="1" applyBorder="1" applyAlignment="1">
      <alignment vertical="center"/>
    </xf>
    <xf numFmtId="165" fontId="46" fillId="0" borderId="0" xfId="0" applyNumberFormat="1" applyFont="1" applyAlignment="1">
      <alignment horizontal="center" vertical="center"/>
    </xf>
    <xf numFmtId="0" fontId="24" fillId="4" borderId="53" xfId="0" applyFont="1" applyFill="1" applyBorder="1" applyAlignment="1">
      <alignment horizontal="center" vertical="center"/>
    </xf>
    <xf numFmtId="43" fontId="47" fillId="0" borderId="0" xfId="6" applyFont="1" applyFill="1" applyAlignment="1">
      <alignment vertical="center"/>
    </xf>
    <xf numFmtId="4" fontId="48" fillId="0" borderId="0" xfId="7" applyNumberFormat="1" applyFont="1" applyFill="1" applyAlignment="1">
      <alignment horizontal="center" vertical="center" wrapText="1"/>
    </xf>
    <xf numFmtId="9" fontId="24" fillId="0" borderId="0" xfId="6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4" fontId="32" fillId="0" borderId="0" xfId="6" applyNumberFormat="1" applyFont="1" applyFill="1" applyAlignment="1">
      <alignment vertical="center"/>
    </xf>
    <xf numFmtId="4" fontId="25" fillId="12" borderId="53" xfId="6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3" fontId="49" fillId="0" borderId="0" xfId="6" applyFont="1" applyFill="1" applyAlignment="1">
      <alignment vertical="center"/>
    </xf>
    <xf numFmtId="9" fontId="49" fillId="0" borderId="0" xfId="6" applyNumberFormat="1" applyFont="1" applyFill="1" applyAlignment="1">
      <alignment vertical="center"/>
    </xf>
    <xf numFmtId="4" fontId="25" fillId="0" borderId="0" xfId="6" applyNumberFormat="1" applyFont="1" applyFill="1" applyAlignment="1">
      <alignment horizontal="center" vertical="center"/>
    </xf>
    <xf numFmtId="10" fontId="42" fillId="0" borderId="0" xfId="8" applyNumberFormat="1" applyFont="1" applyFill="1" applyAlignment="1">
      <alignment vertical="center"/>
    </xf>
    <xf numFmtId="43" fontId="42" fillId="0" borderId="0" xfId="6" applyFont="1" applyFill="1" applyBorder="1" applyAlignment="1">
      <alignment vertical="center"/>
    </xf>
    <xf numFmtId="4" fontId="24" fillId="0" borderId="0" xfId="0" applyNumberFormat="1" applyFont="1" applyAlignment="1">
      <alignment horizontal="center"/>
    </xf>
    <xf numFmtId="43" fontId="24" fillId="0" borderId="0" xfId="6" applyFont="1" applyFill="1" applyBorder="1"/>
    <xf numFmtId="10" fontId="42" fillId="0" borderId="0" xfId="8" applyNumberFormat="1" applyFont="1" applyFill="1" applyBorder="1" applyAlignment="1">
      <alignment vertical="center"/>
    </xf>
    <xf numFmtId="0" fontId="42" fillId="0" borderId="0" xfId="0" applyFont="1" applyAlignment="1">
      <alignment horizontal="right"/>
    </xf>
    <xf numFmtId="43" fontId="24" fillId="0" borderId="0" xfId="6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25" fillId="0" borderId="0" xfId="0" applyNumberFormat="1" applyFont="1" applyAlignment="1">
      <alignment horizontal="center"/>
    </xf>
    <xf numFmtId="165" fontId="25" fillId="0" borderId="0" xfId="0" applyNumberFormat="1" applyFont="1"/>
    <xf numFmtId="0" fontId="2" fillId="2" borderId="28" xfId="2" applyFont="1" applyFill="1" applyBorder="1" applyAlignment="1">
      <alignment horizontal="center"/>
    </xf>
    <xf numFmtId="0" fontId="3" fillId="2" borderId="29" xfId="2" applyFont="1" applyFill="1" applyBorder="1" applyAlignment="1">
      <alignment horizontal="right"/>
    </xf>
    <xf numFmtId="0" fontId="5" fillId="0" borderId="16" xfId="1" applyFont="1" applyBorder="1" applyAlignment="1">
      <alignment horizontal="center"/>
    </xf>
    <xf numFmtId="0" fontId="5" fillId="0" borderId="15" xfId="1" applyFont="1" applyBorder="1" applyAlignment="1">
      <alignment horizontal="center" vertical="center"/>
    </xf>
    <xf numFmtId="0" fontId="53" fillId="0" borderId="15" xfId="1" applyFont="1" applyBorder="1" applyAlignment="1">
      <alignment vertical="center"/>
    </xf>
    <xf numFmtId="1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49" fontId="5" fillId="13" borderId="15" xfId="0" applyNumberFormat="1" applyFont="1" applyFill="1" applyBorder="1" applyAlignment="1">
      <alignment horizontal="center"/>
    </xf>
    <xf numFmtId="0" fontId="5" fillId="13" borderId="15" xfId="2" applyFont="1" applyFill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54" fillId="0" borderId="15" xfId="0" applyFont="1" applyBorder="1"/>
    <xf numFmtId="12" fontId="5" fillId="0" borderId="2" xfId="0" applyNumberFormat="1" applyFont="1" applyBorder="1" applyAlignment="1">
      <alignment horizontal="center"/>
    </xf>
    <xf numFmtId="0" fontId="54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5" fillId="7" borderId="15" xfId="0" applyFont="1" applyFill="1" applyBorder="1" applyAlignment="1">
      <alignment horizontal="center" vertical="center"/>
    </xf>
    <xf numFmtId="0" fontId="55" fillId="0" borderId="15" xfId="0" applyFont="1" applyBorder="1" applyAlignment="1">
      <alignment horizontal="center"/>
    </xf>
    <xf numFmtId="0" fontId="16" fillId="0" borderId="13" xfId="0" applyFont="1" applyBorder="1"/>
    <xf numFmtId="0" fontId="54" fillId="0" borderId="13" xfId="0" applyFont="1" applyBorder="1" applyAlignment="1">
      <alignment horizontal="center"/>
    </xf>
    <xf numFmtId="0" fontId="20" fillId="0" borderId="13" xfId="0" applyFont="1" applyBorder="1" applyAlignment="1">
      <alignment horizontal="left"/>
    </xf>
    <xf numFmtId="49" fontId="4" fillId="0" borderId="16" xfId="1" applyNumberFormat="1" applyFont="1" applyBorder="1" applyAlignment="1">
      <alignment horizontal="center"/>
    </xf>
    <xf numFmtId="0" fontId="18" fillId="0" borderId="14" xfId="0" applyFont="1" applyBorder="1"/>
    <xf numFmtId="0" fontId="18" fillId="0" borderId="14" xfId="0" applyFont="1" applyBorder="1" applyAlignment="1">
      <alignment horizontal="center"/>
    </xf>
    <xf numFmtId="0" fontId="5" fillId="0" borderId="25" xfId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wrapText="1"/>
    </xf>
    <xf numFmtId="0" fontId="0" fillId="0" borderId="14" xfId="0" applyBorder="1"/>
    <xf numFmtId="0" fontId="14" fillId="0" borderId="0" xfId="0" applyFont="1"/>
    <xf numFmtId="0" fontId="3" fillId="2" borderId="15" xfId="2" applyFont="1" applyFill="1" applyBorder="1" applyAlignment="1">
      <alignment horizontal="right"/>
    </xf>
    <xf numFmtId="49" fontId="2" fillId="2" borderId="24" xfId="2" applyNumberFormat="1" applyFont="1" applyFill="1" applyBorder="1" applyAlignment="1">
      <alignment horizontal="center"/>
    </xf>
    <xf numFmtId="0" fontId="2" fillId="2" borderId="2" xfId="2" applyFont="1" applyFill="1" applyBorder="1" applyAlignment="1">
      <alignment horizontal="right"/>
    </xf>
    <xf numFmtId="0" fontId="2" fillId="2" borderId="15" xfId="2" applyFont="1" applyFill="1" applyBorder="1" applyAlignment="1">
      <alignment horizontal="right"/>
    </xf>
    <xf numFmtId="14" fontId="58" fillId="2" borderId="0" xfId="2" applyNumberFormat="1" applyFont="1" applyFill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1" fontId="3" fillId="3" borderId="9" xfId="1" applyNumberFormat="1" applyFont="1" applyFill="1" applyBorder="1" applyAlignment="1">
      <alignment horizontal="center"/>
    </xf>
    <xf numFmtId="1" fontId="3" fillId="3" borderId="9" xfId="1" applyNumberFormat="1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center"/>
    </xf>
    <xf numFmtId="0" fontId="17" fillId="0" borderId="25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59" fillId="0" borderId="15" xfId="1" applyFont="1" applyBorder="1" applyAlignment="1">
      <alignment vertical="center"/>
    </xf>
    <xf numFmtId="0" fontId="17" fillId="0" borderId="15" xfId="1" applyFont="1" applyBorder="1" applyAlignment="1">
      <alignment horizontal="center" vertical="center"/>
    </xf>
    <xf numFmtId="1" fontId="17" fillId="0" borderId="15" xfId="1" applyNumberFormat="1" applyFont="1" applyBorder="1" applyAlignment="1">
      <alignment horizontal="center"/>
    </xf>
    <xf numFmtId="1" fontId="17" fillId="0" borderId="15" xfId="1" applyNumberFormat="1" applyFont="1" applyBorder="1" applyAlignment="1">
      <alignment horizontal="center" wrapText="1"/>
    </xf>
    <xf numFmtId="0" fontId="4" fillId="0" borderId="24" xfId="1" applyFont="1" applyBorder="1" applyAlignment="1">
      <alignment horizontal="center"/>
    </xf>
    <xf numFmtId="1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4" fillId="0" borderId="25" xfId="1" applyNumberFormat="1" applyFont="1" applyBorder="1" applyAlignment="1">
      <alignment horizontal="center"/>
    </xf>
    <xf numFmtId="0" fontId="12" fillId="4" borderId="15" xfId="1" applyFont="1" applyFill="1" applyBorder="1" applyAlignment="1">
      <alignment horizontal="left"/>
    </xf>
    <xf numFmtId="0" fontId="2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4" fillId="0" borderId="15" xfId="1" applyFont="1" applyBorder="1" applyAlignment="1">
      <alignment horizontal="center"/>
    </xf>
    <xf numFmtId="169" fontId="4" fillId="0" borderId="15" xfId="1" applyNumberFormat="1" applyFont="1" applyBorder="1" applyAlignment="1">
      <alignment horizontal="center"/>
    </xf>
    <xf numFmtId="1" fontId="4" fillId="0" borderId="15" xfId="1" applyNumberFormat="1" applyFont="1" applyBorder="1" applyAlignment="1">
      <alignment horizontal="center" wrapText="1"/>
    </xf>
    <xf numFmtId="0" fontId="60" fillId="4" borderId="25" xfId="0" applyFont="1" applyFill="1" applyBorder="1" applyAlignment="1">
      <alignment horizontal="center"/>
    </xf>
    <xf numFmtId="0" fontId="60" fillId="4" borderId="3" xfId="0" applyFont="1" applyFill="1" applyBorder="1" applyAlignment="1">
      <alignment horizontal="center"/>
    </xf>
    <xf numFmtId="0" fontId="60" fillId="4" borderId="2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 wrapText="1"/>
    </xf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49" fontId="17" fillId="0" borderId="17" xfId="1" applyNumberFormat="1" applyFont="1" applyBorder="1" applyAlignment="1">
      <alignment horizontal="center"/>
    </xf>
    <xf numFmtId="49" fontId="17" fillId="0" borderId="16" xfId="1" applyNumberFormat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169" fontId="17" fillId="0" borderId="1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49" fontId="25" fillId="0" borderId="15" xfId="0" applyNumberFormat="1" applyFont="1" applyBorder="1"/>
    <xf numFmtId="1" fontId="4" fillId="0" borderId="15" xfId="0" applyNumberFormat="1" applyFont="1" applyBorder="1" applyAlignment="1">
      <alignment horizontal="center"/>
    </xf>
    <xf numFmtId="1" fontId="4" fillId="0" borderId="15" xfId="0" applyNumberFormat="1" applyFont="1" applyBorder="1" applyAlignment="1">
      <alignment horizontal="center" wrapText="1"/>
    </xf>
    <xf numFmtId="170" fontId="3" fillId="4" borderId="15" xfId="6" applyNumberFormat="1" applyFont="1" applyFill="1" applyBorder="1" applyAlignment="1">
      <alignment horizontal="center"/>
    </xf>
    <xf numFmtId="0" fontId="61" fillId="0" borderId="25" xfId="0" applyFont="1" applyBorder="1" applyAlignment="1">
      <alignment horizontal="center"/>
    </xf>
    <xf numFmtId="0" fontId="61" fillId="0" borderId="14" xfId="0" applyFont="1" applyBorder="1" applyAlignment="1">
      <alignment horizontal="center"/>
    </xf>
    <xf numFmtId="0" fontId="49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4" fillId="0" borderId="15" xfId="1" applyNumberFormat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5" xfId="0" quotePrefix="1" applyFont="1" applyBorder="1"/>
    <xf numFmtId="49" fontId="62" fillId="2" borderId="23" xfId="1" applyNumberFormat="1" applyFont="1" applyFill="1" applyBorder="1" applyAlignment="1">
      <alignment horizontal="center" vertical="center"/>
    </xf>
    <xf numFmtId="49" fontId="62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22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3" borderId="5" xfId="1" applyFont="1" applyFill="1" applyBorder="1"/>
    <xf numFmtId="0" fontId="3" fillId="3" borderId="5" xfId="1" applyFont="1" applyFill="1" applyBorder="1" applyAlignment="1">
      <alignment horizontal="center"/>
    </xf>
    <xf numFmtId="1" fontId="3" fillId="3" borderId="5" xfId="1" applyNumberFormat="1" applyFont="1" applyFill="1" applyBorder="1" applyAlignment="1">
      <alignment horizontal="center"/>
    </xf>
    <xf numFmtId="164" fontId="2" fillId="3" borderId="5" xfId="1" applyNumberFormat="1" applyFont="1" applyFill="1" applyBorder="1" applyAlignment="1">
      <alignment horizontal="center" wrapText="1"/>
    </xf>
    <xf numFmtId="0" fontId="2" fillId="3" borderId="4" xfId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57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58" xfId="1" applyBorder="1" applyAlignment="1">
      <alignment horizontal="left" vertical="center"/>
    </xf>
    <xf numFmtId="16" fontId="2" fillId="0" borderId="2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0" fontId="2" fillId="0" borderId="13" xfId="1" quotePrefix="1" applyFont="1" applyBorder="1" applyAlignment="1">
      <alignment horizontal="center"/>
    </xf>
    <xf numFmtId="0" fontId="2" fillId="0" borderId="15" xfId="1" quotePrefix="1" applyFont="1" applyBorder="1" applyAlignment="1">
      <alignment horizontal="center"/>
    </xf>
    <xf numFmtId="0" fontId="2" fillId="0" borderId="14" xfId="1" quotePrefix="1" applyFont="1" applyBorder="1"/>
    <xf numFmtId="16" fontId="2" fillId="0" borderId="15" xfId="1" applyNumberFormat="1" applyFont="1" applyBorder="1" applyAlignment="1">
      <alignment horizontal="center"/>
    </xf>
    <xf numFmtId="0" fontId="0" fillId="0" borderId="15" xfId="0" applyBorder="1" applyAlignment="1">
      <alignment horizontal="left"/>
    </xf>
    <xf numFmtId="0" fontId="64" fillId="0" borderId="15" xfId="0" applyFont="1" applyBorder="1" applyAlignment="1">
      <alignment horizontal="center" vertical="center"/>
    </xf>
    <xf numFmtId="0" fontId="12" fillId="0" borderId="15" xfId="0" applyFont="1" applyBorder="1"/>
    <xf numFmtId="49" fontId="2" fillId="4" borderId="2" xfId="0" applyNumberFormat="1" applyFont="1" applyFill="1" applyBorder="1" applyAlignment="1">
      <alignment horizontal="center"/>
    </xf>
    <xf numFmtId="1" fontId="2" fillId="4" borderId="15" xfId="1" applyNumberFormat="1" applyFont="1" applyFill="1" applyBorder="1" applyAlignment="1">
      <alignment horizontal="center"/>
    </xf>
    <xf numFmtId="1" fontId="2" fillId="4" borderId="15" xfId="1" applyNumberFormat="1" applyFont="1" applyFill="1" applyBorder="1" applyAlignment="1">
      <alignment horizontal="center" wrapText="1"/>
    </xf>
    <xf numFmtId="49" fontId="4" fillId="0" borderId="15" xfId="0" applyNumberFormat="1" applyFont="1" applyBorder="1" applyAlignment="1">
      <alignment horizontal="center"/>
    </xf>
    <xf numFmtId="49" fontId="24" fillId="0" borderId="15" xfId="0" applyNumberFormat="1" applyFont="1" applyBorder="1"/>
    <xf numFmtId="16" fontId="4" fillId="0" borderId="15" xfId="0" applyNumberFormat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60" fillId="4" borderId="15" xfId="0" applyFont="1" applyFill="1" applyBorder="1" applyAlignment="1">
      <alignment horizontal="center"/>
    </xf>
    <xf numFmtId="1" fontId="2" fillId="4" borderId="15" xfId="0" applyNumberFormat="1" applyFont="1" applyFill="1" applyBorder="1" applyAlignment="1">
      <alignment horizontal="center"/>
    </xf>
    <xf numFmtId="1" fontId="2" fillId="4" borderId="15" xfId="0" applyNumberFormat="1" applyFont="1" applyFill="1" applyBorder="1" applyAlignment="1">
      <alignment horizontal="center" wrapText="1"/>
    </xf>
    <xf numFmtId="0" fontId="60" fillId="4" borderId="14" xfId="0" applyFont="1" applyFill="1" applyBorder="1" applyAlignment="1">
      <alignment horizontal="center"/>
    </xf>
    <xf numFmtId="0" fontId="60" fillId="4" borderId="15" xfId="0" applyFont="1" applyFill="1" applyBorder="1"/>
    <xf numFmtId="0" fontId="20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0" fontId="20" fillId="7" borderId="15" xfId="0" applyFont="1" applyFill="1" applyBorder="1"/>
    <xf numFmtId="0" fontId="20" fillId="7" borderId="0" xfId="0" applyFont="1" applyFill="1" applyAlignment="1">
      <alignment horizontal="center"/>
    </xf>
    <xf numFmtId="0" fontId="20" fillId="7" borderId="0" xfId="0" applyFont="1" applyFill="1"/>
    <xf numFmtId="0" fontId="3" fillId="7" borderId="15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0" fillId="7" borderId="15" xfId="0" applyFont="1" applyFill="1" applyBorder="1" applyAlignment="1">
      <alignment horizontal="left" vertical="center"/>
    </xf>
    <xf numFmtId="16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" fontId="2" fillId="4" borderId="15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6" fontId="4" fillId="0" borderId="15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1" fontId="24" fillId="4" borderId="15" xfId="0" applyNumberFormat="1" applyFont="1" applyFill="1" applyBorder="1"/>
    <xf numFmtId="0" fontId="24" fillId="4" borderId="1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 wrapText="1"/>
    </xf>
    <xf numFmtId="0" fontId="68" fillId="2" borderId="29" xfId="2" applyFont="1" applyFill="1" applyBorder="1" applyAlignment="1">
      <alignment horizontal="right"/>
    </xf>
    <xf numFmtId="0" fontId="67" fillId="2" borderId="28" xfId="2" applyFont="1" applyFill="1" applyBorder="1" applyAlignment="1">
      <alignment horizontal="center"/>
    </xf>
    <xf numFmtId="0" fontId="68" fillId="2" borderId="15" xfId="2" applyFont="1" applyFill="1" applyBorder="1" applyAlignment="1">
      <alignment horizontal="right"/>
    </xf>
    <xf numFmtId="49" fontId="67" fillId="2" borderId="24" xfId="2" applyNumberFormat="1" applyFont="1" applyFill="1" applyBorder="1" applyAlignment="1">
      <alignment horizontal="center"/>
    </xf>
    <xf numFmtId="0" fontId="67" fillId="2" borderId="2" xfId="2" applyFont="1" applyFill="1" applyBorder="1" applyAlignment="1">
      <alignment horizontal="right"/>
    </xf>
    <xf numFmtId="0" fontId="67" fillId="2" borderId="15" xfId="2" applyFont="1" applyFill="1" applyBorder="1" applyAlignment="1">
      <alignment horizontal="right"/>
    </xf>
    <xf numFmtId="14" fontId="70" fillId="2" borderId="0" xfId="2" applyNumberFormat="1" applyFont="1" applyFill="1" applyAlignment="1">
      <alignment horizontal="center" vertical="center" wrapText="1"/>
    </xf>
    <xf numFmtId="0" fontId="68" fillId="3" borderId="28" xfId="1" applyFont="1" applyFill="1" applyBorder="1" applyAlignment="1">
      <alignment horizontal="center" vertical="center" wrapText="1"/>
    </xf>
    <xf numFmtId="1" fontId="68" fillId="3" borderId="9" xfId="1" applyNumberFormat="1" applyFont="1" applyFill="1" applyBorder="1" applyAlignment="1">
      <alignment horizontal="center"/>
    </xf>
    <xf numFmtId="1" fontId="68" fillId="3" borderId="9" xfId="1" applyNumberFormat="1" applyFont="1" applyFill="1" applyBorder="1" applyAlignment="1">
      <alignment horizontal="center" wrapText="1"/>
    </xf>
    <xf numFmtId="0" fontId="68" fillId="3" borderId="27" xfId="1" applyFont="1" applyFill="1" applyBorder="1" applyAlignment="1">
      <alignment horizontal="center"/>
    </xf>
    <xf numFmtId="0" fontId="71" fillId="0" borderId="25" xfId="1" applyFont="1" applyBorder="1" applyAlignment="1">
      <alignment horizontal="center" vertical="center"/>
    </xf>
    <xf numFmtId="0" fontId="71" fillId="0" borderId="14" xfId="1" applyFont="1" applyBorder="1" applyAlignment="1">
      <alignment horizontal="center" vertical="center"/>
    </xf>
    <xf numFmtId="0" fontId="72" fillId="0" borderId="15" xfId="1" applyFont="1" applyBorder="1" applyAlignment="1">
      <alignment vertical="center"/>
    </xf>
    <xf numFmtId="0" fontId="71" fillId="0" borderId="15" xfId="1" applyFont="1" applyBorder="1" applyAlignment="1">
      <alignment horizontal="center" vertical="center"/>
    </xf>
    <xf numFmtId="1" fontId="71" fillId="0" borderId="15" xfId="1" applyNumberFormat="1" applyFont="1" applyBorder="1" applyAlignment="1">
      <alignment horizontal="center"/>
    </xf>
    <xf numFmtId="1" fontId="71" fillId="0" borderId="15" xfId="1" applyNumberFormat="1" applyFont="1" applyBorder="1" applyAlignment="1">
      <alignment horizontal="center" wrapText="1"/>
    </xf>
    <xf numFmtId="0" fontId="73" fillId="0" borderId="24" xfId="1" applyFont="1" applyBorder="1" applyAlignment="1">
      <alignment horizontal="center"/>
    </xf>
    <xf numFmtId="49" fontId="74" fillId="4" borderId="15" xfId="1" applyNumberFormat="1" applyFont="1" applyFill="1" applyBorder="1" applyAlignment="1">
      <alignment horizontal="center"/>
    </xf>
    <xf numFmtId="0" fontId="74" fillId="0" borderId="15" xfId="1" applyFont="1" applyBorder="1" applyAlignment="1">
      <alignment horizontal="left" wrapText="1"/>
    </xf>
    <xf numFmtId="16" fontId="73" fillId="0" borderId="15" xfId="1" applyNumberFormat="1" applyFont="1" applyBorder="1" applyAlignment="1">
      <alignment horizontal="center"/>
    </xf>
    <xf numFmtId="1" fontId="73" fillId="0" borderId="15" xfId="1" applyNumberFormat="1" applyFont="1" applyBorder="1" applyAlignment="1">
      <alignment horizontal="center"/>
    </xf>
    <xf numFmtId="1" fontId="73" fillId="0" borderId="15" xfId="1" applyNumberFormat="1" applyFont="1" applyBorder="1" applyAlignment="1">
      <alignment horizontal="center" wrapText="1"/>
    </xf>
    <xf numFmtId="0" fontId="67" fillId="0" borderId="2" xfId="0" applyFont="1" applyBorder="1" applyAlignment="1">
      <alignment horizontal="center" wrapText="1"/>
    </xf>
    <xf numFmtId="12" fontId="67" fillId="0" borderId="2" xfId="0" applyNumberFormat="1" applyFont="1" applyBorder="1" applyAlignment="1">
      <alignment horizontal="center"/>
    </xf>
    <xf numFmtId="0" fontId="75" fillId="0" borderId="15" xfId="0" applyFont="1" applyBorder="1" applyAlignment="1">
      <alignment horizontal="center" vertical="top"/>
    </xf>
    <xf numFmtId="0" fontId="75" fillId="0" borderId="14" xfId="0" applyFont="1" applyBorder="1" applyAlignment="1">
      <alignment horizontal="center" vertical="top"/>
    </xf>
    <xf numFmtId="0" fontId="75" fillId="4" borderId="15" xfId="0" applyFont="1" applyFill="1" applyBorder="1"/>
    <xf numFmtId="16" fontId="73" fillId="2" borderId="15" xfId="0" applyNumberFormat="1" applyFont="1" applyFill="1" applyBorder="1" applyAlignment="1">
      <alignment horizontal="center"/>
    </xf>
    <xf numFmtId="1" fontId="73" fillId="2" borderId="15" xfId="0" applyNumberFormat="1" applyFont="1" applyFill="1" applyBorder="1" applyAlignment="1">
      <alignment horizontal="center"/>
    </xf>
    <xf numFmtId="1" fontId="73" fillId="2" borderId="15" xfId="0" applyNumberFormat="1" applyFont="1" applyFill="1" applyBorder="1" applyAlignment="1">
      <alignment horizontal="center" wrapText="1"/>
    </xf>
    <xf numFmtId="0" fontId="75" fillId="0" borderId="25" xfId="0" quotePrefix="1" applyFont="1" applyBorder="1" applyAlignment="1">
      <alignment horizontal="center"/>
    </xf>
    <xf numFmtId="0" fontId="75" fillId="0" borderId="14" xfId="0" quotePrefix="1" applyFont="1" applyBorder="1" applyAlignment="1">
      <alignment horizontal="center"/>
    </xf>
    <xf numFmtId="0" fontId="75" fillId="0" borderId="15" xfId="0" quotePrefix="1" applyFont="1" applyBorder="1"/>
    <xf numFmtId="0" fontId="73" fillId="0" borderId="15" xfId="0" applyFont="1" applyBorder="1" applyAlignment="1">
      <alignment horizontal="center"/>
    </xf>
    <xf numFmtId="0" fontId="67" fillId="0" borderId="15" xfId="0" applyFont="1" applyBorder="1" applyAlignment="1">
      <alignment horizontal="center"/>
    </xf>
    <xf numFmtId="0" fontId="75" fillId="0" borderId="15" xfId="0" applyFont="1" applyBorder="1" applyAlignment="1">
      <alignment horizontal="center"/>
    </xf>
    <xf numFmtId="0" fontId="73" fillId="0" borderId="15" xfId="1" applyFont="1" applyBorder="1" applyAlignment="1">
      <alignment horizontal="center"/>
    </xf>
    <xf numFmtId="1" fontId="75" fillId="0" borderId="15" xfId="0" applyNumberFormat="1" applyFont="1" applyBorder="1"/>
    <xf numFmtId="0" fontId="75" fillId="0" borderId="15" xfId="0" applyFont="1" applyBorder="1"/>
    <xf numFmtId="0" fontId="67" fillId="4" borderId="15" xfId="1" applyFont="1" applyFill="1" applyBorder="1" applyAlignment="1">
      <alignment horizontal="center"/>
    </xf>
    <xf numFmtId="49" fontId="73" fillId="0" borderId="25" xfId="1" applyNumberFormat="1" applyFont="1" applyBorder="1" applyAlignment="1">
      <alignment horizontal="center"/>
    </xf>
    <xf numFmtId="49" fontId="73" fillId="0" borderId="14" xfId="1" applyNumberFormat="1" applyFont="1" applyBorder="1" applyAlignment="1">
      <alignment horizontal="center"/>
    </xf>
    <xf numFmtId="0" fontId="71" fillId="4" borderId="15" xfId="1" applyFont="1" applyFill="1" applyBorder="1" applyAlignment="1">
      <alignment horizontal="left"/>
    </xf>
    <xf numFmtId="169" fontId="73" fillId="0" borderId="15" xfId="1" applyNumberFormat="1" applyFont="1" applyBorder="1" applyAlignment="1">
      <alignment horizontal="center"/>
    </xf>
    <xf numFmtId="0" fontId="76" fillId="4" borderId="25" xfId="0" applyFont="1" applyFill="1" applyBorder="1" applyAlignment="1">
      <alignment horizontal="center"/>
    </xf>
    <xf numFmtId="0" fontId="76" fillId="4" borderId="3" xfId="0" applyFont="1" applyFill="1" applyBorder="1" applyAlignment="1">
      <alignment horizontal="center"/>
    </xf>
    <xf numFmtId="0" fontId="76" fillId="4" borderId="2" xfId="0" applyFont="1" applyFill="1" applyBorder="1"/>
    <xf numFmtId="0" fontId="67" fillId="4" borderId="14" xfId="0" applyFont="1" applyFill="1" applyBorder="1" applyAlignment="1">
      <alignment horizontal="center"/>
    </xf>
    <xf numFmtId="1" fontId="67" fillId="4" borderId="2" xfId="0" applyNumberFormat="1" applyFont="1" applyFill="1" applyBorder="1" applyAlignment="1">
      <alignment horizontal="center"/>
    </xf>
    <xf numFmtId="1" fontId="67" fillId="4" borderId="2" xfId="0" applyNumberFormat="1" applyFont="1" applyFill="1" applyBorder="1" applyAlignment="1">
      <alignment horizontal="center" wrapText="1"/>
    </xf>
    <xf numFmtId="49" fontId="67" fillId="4" borderId="2" xfId="0" applyNumberFormat="1" applyFont="1" applyFill="1" applyBorder="1" applyAlignment="1">
      <alignment horizontal="center"/>
    </xf>
    <xf numFmtId="1" fontId="67" fillId="4" borderId="15" xfId="1" applyNumberFormat="1" applyFont="1" applyFill="1" applyBorder="1" applyAlignment="1">
      <alignment horizontal="center"/>
    </xf>
    <xf numFmtId="1" fontId="67" fillId="4" borderId="15" xfId="1" applyNumberFormat="1" applyFont="1" applyFill="1" applyBorder="1" applyAlignment="1">
      <alignment horizontal="center" wrapText="1"/>
    </xf>
    <xf numFmtId="1" fontId="67" fillId="4" borderId="15" xfId="0" applyNumberFormat="1" applyFont="1" applyFill="1" applyBorder="1" applyAlignment="1">
      <alignment horizontal="center"/>
    </xf>
    <xf numFmtId="0" fontId="75" fillId="0" borderId="0" xfId="0" applyFont="1" applyAlignment="1">
      <alignment horizontal="center"/>
    </xf>
    <xf numFmtId="0" fontId="75" fillId="0" borderId="0" xfId="0" applyFont="1"/>
    <xf numFmtId="16" fontId="67" fillId="4" borderId="15" xfId="0" applyNumberFormat="1" applyFont="1" applyFill="1" applyBorder="1" applyAlignment="1">
      <alignment horizontal="center"/>
    </xf>
    <xf numFmtId="0" fontId="67" fillId="2" borderId="15" xfId="0" applyFont="1" applyFill="1" applyBorder="1" applyAlignment="1">
      <alignment horizontal="center"/>
    </xf>
    <xf numFmtId="1" fontId="67" fillId="0" borderId="2" xfId="0" applyNumberFormat="1" applyFont="1" applyBorder="1" applyAlignment="1">
      <alignment horizontal="center" wrapText="1"/>
    </xf>
    <xf numFmtId="16" fontId="67" fillId="0" borderId="15" xfId="0" applyNumberFormat="1" applyFont="1" applyBorder="1" applyAlignment="1">
      <alignment horizontal="center"/>
    </xf>
    <xf numFmtId="1" fontId="67" fillId="0" borderId="2" xfId="0" applyNumberFormat="1" applyFont="1" applyBorder="1" applyAlignment="1">
      <alignment horizontal="center"/>
    </xf>
    <xf numFmtId="1" fontId="67" fillId="0" borderId="15" xfId="0" applyNumberFormat="1" applyFont="1" applyBorder="1" applyAlignment="1">
      <alignment horizontal="center"/>
    </xf>
    <xf numFmtId="1" fontId="67" fillId="0" borderId="15" xfId="0" applyNumberFormat="1" applyFont="1" applyBorder="1" applyAlignment="1">
      <alignment horizontal="center" wrapText="1"/>
    </xf>
    <xf numFmtId="49" fontId="71" fillId="0" borderId="17" xfId="1" applyNumberFormat="1" applyFont="1" applyBorder="1" applyAlignment="1">
      <alignment horizontal="center"/>
    </xf>
    <xf numFmtId="49" fontId="71" fillId="0" borderId="16" xfId="1" applyNumberFormat="1" applyFont="1" applyBorder="1" applyAlignment="1">
      <alignment horizontal="center"/>
    </xf>
    <xf numFmtId="0" fontId="72" fillId="4" borderId="15" xfId="1" applyFont="1" applyFill="1" applyBorder="1" applyAlignment="1">
      <alignment vertical="center"/>
    </xf>
    <xf numFmtId="0" fontId="71" fillId="0" borderId="14" xfId="1" applyFont="1" applyBorder="1" applyAlignment="1">
      <alignment horizontal="center"/>
    </xf>
    <xf numFmtId="169" fontId="71" fillId="0" borderId="15" xfId="1" applyNumberFormat="1" applyFont="1" applyBorder="1" applyAlignment="1">
      <alignment horizontal="center"/>
    </xf>
    <xf numFmtId="49" fontId="73" fillId="0" borderId="15" xfId="0" applyNumberFormat="1" applyFont="1" applyBorder="1" applyAlignment="1">
      <alignment horizontal="center"/>
    </xf>
    <xf numFmtId="49" fontId="73" fillId="0" borderId="15" xfId="0" applyNumberFormat="1" applyFont="1" applyBorder="1"/>
    <xf numFmtId="1" fontId="73" fillId="0" borderId="15" xfId="0" applyNumberFormat="1" applyFont="1" applyBorder="1" applyAlignment="1">
      <alignment horizontal="center"/>
    </xf>
    <xf numFmtId="1" fontId="73" fillId="0" borderId="15" xfId="0" applyNumberFormat="1" applyFont="1" applyBorder="1" applyAlignment="1">
      <alignment horizontal="center" wrapText="1"/>
    </xf>
    <xf numFmtId="170" fontId="68" fillId="4" borderId="15" xfId="6" applyNumberFormat="1" applyFont="1" applyFill="1" applyBorder="1" applyAlignment="1">
      <alignment horizontal="center"/>
    </xf>
    <xf numFmtId="0" fontId="77" fillId="0" borderId="15" xfId="9" applyFont="1" applyBorder="1" applyAlignment="1">
      <alignment horizontal="center"/>
    </xf>
    <xf numFmtId="0" fontId="77" fillId="0" borderId="15" xfId="9" applyFont="1" applyBorder="1" applyAlignment="1">
      <alignment horizontal="left"/>
    </xf>
    <xf numFmtId="16" fontId="73" fillId="0" borderId="15" xfId="0" applyNumberFormat="1" applyFont="1" applyBorder="1" applyAlignment="1">
      <alignment horizontal="center"/>
    </xf>
    <xf numFmtId="0" fontId="75" fillId="0" borderId="15" xfId="0" applyFont="1" applyBorder="1" applyAlignment="1">
      <alignment horizontal="center" vertical="center"/>
    </xf>
    <xf numFmtId="0" fontId="75" fillId="0" borderId="15" xfId="0" applyFont="1" applyBorder="1" applyAlignment="1">
      <alignment horizontal="left" vertical="center"/>
    </xf>
    <xf numFmtId="12" fontId="73" fillId="0" borderId="15" xfId="1" applyNumberFormat="1" applyFont="1" applyBorder="1" applyAlignment="1">
      <alignment horizontal="center"/>
    </xf>
    <xf numFmtId="0" fontId="67" fillId="0" borderId="15" xfId="0" quotePrefix="1" applyFont="1" applyBorder="1" applyAlignment="1">
      <alignment horizontal="center"/>
    </xf>
    <xf numFmtId="0" fontId="67" fillId="0" borderId="15" xfId="0" quotePrefix="1" applyFont="1" applyBorder="1"/>
    <xf numFmtId="49" fontId="73" fillId="0" borderId="15" xfId="1" applyNumberFormat="1" applyFont="1" applyBorder="1"/>
    <xf numFmtId="49" fontId="78" fillId="2" borderId="23" xfId="1" applyNumberFormat="1" applyFont="1" applyFill="1" applyBorder="1" applyAlignment="1">
      <alignment horizontal="center" vertical="center"/>
    </xf>
    <xf numFmtId="49" fontId="78" fillId="2" borderId="0" xfId="1" applyNumberFormat="1" applyFont="1" applyFill="1" applyAlignment="1">
      <alignment horizontal="center" vertical="center"/>
    </xf>
    <xf numFmtId="0" fontId="67" fillId="2" borderId="0" xfId="1" applyFont="1" applyFill="1"/>
    <xf numFmtId="1" fontId="67" fillId="2" borderId="0" xfId="1" applyNumberFormat="1" applyFont="1" applyFill="1" applyAlignment="1">
      <alignment horizontal="center"/>
    </xf>
    <xf numFmtId="164" fontId="67" fillId="2" borderId="0" xfId="1" applyNumberFormat="1" applyFont="1" applyFill="1" applyAlignment="1">
      <alignment horizontal="center" wrapText="1"/>
    </xf>
    <xf numFmtId="0" fontId="67" fillId="2" borderId="22" xfId="1" applyFont="1" applyFill="1" applyBorder="1" applyAlignment="1">
      <alignment horizontal="center"/>
    </xf>
    <xf numFmtId="0" fontId="67" fillId="3" borderId="6" xfId="1" applyFont="1" applyFill="1" applyBorder="1" applyAlignment="1">
      <alignment horizontal="center"/>
    </xf>
    <xf numFmtId="0" fontId="67" fillId="3" borderId="5" xfId="1" applyFont="1" applyFill="1" applyBorder="1" applyAlignment="1">
      <alignment horizontal="center"/>
    </xf>
    <xf numFmtId="0" fontId="67" fillId="3" borderId="5" xfId="1" applyFont="1" applyFill="1" applyBorder="1"/>
    <xf numFmtId="0" fontId="68" fillId="3" borderId="5" xfId="1" applyFont="1" applyFill="1" applyBorder="1" applyAlignment="1">
      <alignment horizontal="center"/>
    </xf>
    <xf numFmtId="1" fontId="68" fillId="3" borderId="5" xfId="1" applyNumberFormat="1" applyFont="1" applyFill="1" applyBorder="1" applyAlignment="1">
      <alignment horizontal="center"/>
    </xf>
    <xf numFmtId="164" fontId="67" fillId="3" borderId="5" xfId="1" applyNumberFormat="1" applyFont="1" applyFill="1" applyBorder="1" applyAlignment="1">
      <alignment horizontal="center" wrapText="1"/>
    </xf>
    <xf numFmtId="0" fontId="67" fillId="3" borderId="4" xfId="1" applyFont="1" applyFill="1" applyBorder="1" applyAlignment="1">
      <alignment horizontal="center"/>
    </xf>
    <xf numFmtId="0" fontId="67" fillId="0" borderId="19" xfId="0" applyFont="1" applyBorder="1" applyAlignment="1">
      <alignment horizontal="center"/>
    </xf>
    <xf numFmtId="1" fontId="67" fillId="0" borderId="9" xfId="0" applyNumberFormat="1" applyFont="1" applyBorder="1" applyAlignment="1">
      <alignment horizontal="center"/>
    </xf>
    <xf numFmtId="0" fontId="67" fillId="0" borderId="9" xfId="0" applyFont="1" applyBorder="1" applyAlignment="1">
      <alignment horizontal="center"/>
    </xf>
    <xf numFmtId="0" fontId="79" fillId="2" borderId="29" xfId="2" applyFont="1" applyFill="1" applyBorder="1" applyAlignment="1">
      <alignment horizontal="right"/>
    </xf>
    <xf numFmtId="0" fontId="79" fillId="2" borderId="15" xfId="2" applyFont="1" applyFill="1" applyBorder="1" applyAlignment="1">
      <alignment horizontal="right"/>
    </xf>
    <xf numFmtId="0" fontId="1" fillId="2" borderId="15" xfId="2" applyFont="1" applyFill="1" applyBorder="1" applyAlignment="1">
      <alignment horizontal="right"/>
    </xf>
    <xf numFmtId="0" fontId="1" fillId="2" borderId="9" xfId="2" applyFont="1" applyFill="1" applyBorder="1" applyAlignment="1">
      <alignment horizontal="right"/>
    </xf>
    <xf numFmtId="0" fontId="79" fillId="3" borderId="28" xfId="1" applyFont="1" applyFill="1" applyBorder="1" applyAlignment="1">
      <alignment horizontal="center" vertical="center" wrapText="1"/>
    </xf>
    <xf numFmtId="1" fontId="79" fillId="3" borderId="9" xfId="1" applyNumberFormat="1" applyFont="1" applyFill="1" applyBorder="1" applyAlignment="1">
      <alignment horizontal="center"/>
    </xf>
    <xf numFmtId="1" fontId="79" fillId="3" borderId="9" xfId="1" applyNumberFormat="1" applyFont="1" applyFill="1" applyBorder="1" applyAlignment="1">
      <alignment horizontal="center" wrapText="1"/>
    </xf>
    <xf numFmtId="0" fontId="79" fillId="3" borderId="27" xfId="1" applyFont="1" applyFill="1" applyBorder="1" applyAlignment="1">
      <alignment horizontal="center"/>
    </xf>
    <xf numFmtId="0" fontId="0" fillId="4" borderId="0" xfId="0" applyFill="1"/>
    <xf numFmtId="1" fontId="0" fillId="0" borderId="15" xfId="0" applyNumberFormat="1" applyBorder="1" applyAlignment="1">
      <alignment horizontal="center"/>
    </xf>
    <xf numFmtId="0" fontId="80" fillId="0" borderId="15" xfId="0" applyFont="1" applyBorder="1" applyAlignment="1">
      <alignment horizontal="center"/>
    </xf>
    <xf numFmtId="1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79" fillId="4" borderId="1" xfId="1" applyFont="1" applyFill="1" applyBorder="1" applyAlignment="1">
      <alignment horizontal="center"/>
    </xf>
    <xf numFmtId="0" fontId="0" fillId="4" borderId="0" xfId="0" applyFill="1" applyAlignment="1">
      <alignment wrapText="1"/>
    </xf>
    <xf numFmtId="0" fontId="0" fillId="0" borderId="2" xfId="1" applyFont="1" applyBorder="1" applyAlignment="1">
      <alignment horizontal="center"/>
    </xf>
    <xf numFmtId="0" fontId="1" fillId="0" borderId="15" xfId="1" applyBorder="1" applyAlignment="1">
      <alignment horizontal="center"/>
    </xf>
    <xf numFmtId="1" fontId="0" fillId="0" borderId="0" xfId="0" applyNumberFormat="1"/>
    <xf numFmtId="49" fontId="81" fillId="2" borderId="23" xfId="1" applyNumberFormat="1" applyFont="1" applyFill="1" applyBorder="1" applyAlignment="1">
      <alignment horizontal="center" vertical="center"/>
    </xf>
    <xf numFmtId="49" fontId="81" fillId="2" borderId="0" xfId="1" applyNumberFormat="1" applyFont="1" applyFill="1" applyAlignment="1">
      <alignment horizontal="center" vertical="center"/>
    </xf>
    <xf numFmtId="0" fontId="1" fillId="0" borderId="0" xfId="1"/>
    <xf numFmtId="1" fontId="1" fillId="2" borderId="0" xfId="1" applyNumberFormat="1" applyFill="1" applyAlignment="1">
      <alignment horizontal="center"/>
    </xf>
    <xf numFmtId="164" fontId="1" fillId="2" borderId="0" xfId="1" applyNumberFormat="1" applyFill="1" applyAlignment="1">
      <alignment horizontal="center" wrapText="1"/>
    </xf>
    <xf numFmtId="0" fontId="1" fillId="2" borderId="22" xfId="1" applyFill="1" applyBorder="1" applyAlignment="1">
      <alignment horizontal="center"/>
    </xf>
    <xf numFmtId="0" fontId="1" fillId="2" borderId="0" xfId="1" applyFill="1" applyAlignment="1">
      <alignment horizontal="left" indent="1"/>
    </xf>
    <xf numFmtId="0" fontId="1" fillId="3" borderId="6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3" borderId="5" xfId="1" applyFill="1" applyBorder="1"/>
    <xf numFmtId="0" fontId="79" fillId="3" borderId="5" xfId="1" applyFont="1" applyFill="1" applyBorder="1" applyAlignment="1">
      <alignment horizontal="center"/>
    </xf>
    <xf numFmtId="1" fontId="79" fillId="3" borderId="5" xfId="1" applyNumberFormat="1" applyFont="1" applyFill="1" applyBorder="1" applyAlignment="1">
      <alignment horizontal="center"/>
    </xf>
    <xf numFmtId="164" fontId="1" fillId="3" borderId="5" xfId="1" applyNumberFormat="1" applyFill="1" applyBorder="1" applyAlignment="1">
      <alignment horizontal="center" wrapText="1"/>
    </xf>
    <xf numFmtId="0" fontId="1" fillId="3" borderId="4" xfId="1" applyFill="1" applyBorder="1" applyAlignment="1">
      <alignment horizontal="center"/>
    </xf>
    <xf numFmtId="1" fontId="1" fillId="0" borderId="15" xfId="1" applyNumberFormat="1" applyBorder="1" applyAlignment="1">
      <alignment horizontal="center"/>
    </xf>
    <xf numFmtId="0" fontId="1" fillId="0" borderId="19" xfId="1" applyBorder="1" applyAlignment="1">
      <alignment horizontal="center"/>
    </xf>
    <xf numFmtId="9" fontId="1" fillId="2" borderId="0" xfId="10" applyFill="1"/>
    <xf numFmtId="1" fontId="1" fillId="0" borderId="9" xfId="1" applyNumberFormat="1" applyBorder="1" applyAlignment="1">
      <alignment horizontal="center"/>
    </xf>
    <xf numFmtId="0" fontId="1" fillId="0" borderId="9" xfId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81" fillId="2" borderId="0" xfId="1" applyFont="1" applyFill="1" applyAlignment="1">
      <alignment vertical="center"/>
    </xf>
    <xf numFmtId="49" fontId="49" fillId="4" borderId="15" xfId="1" applyNumberFormat="1" applyFont="1" applyFill="1" applyBorder="1" applyAlignment="1">
      <alignment horizontal="center"/>
    </xf>
    <xf numFmtId="0" fontId="49" fillId="0" borderId="15" xfId="1" applyFont="1" applyBorder="1" applyAlignment="1">
      <alignment horizontal="left" wrapText="1"/>
    </xf>
    <xf numFmtId="16" fontId="24" fillId="0" borderId="15" xfId="1" applyNumberFormat="1" applyFont="1" applyBorder="1" applyAlignment="1">
      <alignment horizontal="center"/>
    </xf>
    <xf numFmtId="1" fontId="24" fillId="0" borderId="15" xfId="1" applyNumberFormat="1" applyFont="1" applyBorder="1" applyAlignment="1">
      <alignment horizontal="center"/>
    </xf>
    <xf numFmtId="1" fontId="24" fillId="0" borderId="15" xfId="1" applyNumberFormat="1" applyFont="1" applyBorder="1" applyAlignment="1">
      <alignment horizontal="center" wrapText="1"/>
    </xf>
    <xf numFmtId="0" fontId="0" fillId="0" borderId="15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4" borderId="15" xfId="0" applyFill="1" applyBorder="1"/>
    <xf numFmtId="16" fontId="4" fillId="2" borderId="15" xfId="0" applyNumberFormat="1" applyFont="1" applyFill="1" applyBorder="1" applyAlignment="1">
      <alignment horizontal="center"/>
    </xf>
    <xf numFmtId="1" fontId="5" fillId="2" borderId="15" xfId="0" applyNumberFormat="1" applyFont="1" applyFill="1" applyBorder="1" applyAlignment="1">
      <alignment horizontal="center"/>
    </xf>
    <xf numFmtId="1" fontId="4" fillId="2" borderId="15" xfId="0" applyNumberFormat="1" applyFont="1" applyFill="1" applyBorder="1" applyAlignment="1">
      <alignment horizontal="center" wrapText="1"/>
    </xf>
    <xf numFmtId="0" fontId="1" fillId="0" borderId="25" xfId="0" quotePrefix="1" applyFont="1" applyBorder="1" applyAlignment="1">
      <alignment horizontal="center"/>
    </xf>
    <xf numFmtId="0" fontId="1" fillId="0" borderId="14" xfId="0" quotePrefix="1" applyFont="1" applyBorder="1" applyAlignment="1">
      <alignment horizontal="center"/>
    </xf>
    <xf numFmtId="0" fontId="1" fillId="0" borderId="15" xfId="0" quotePrefix="1" applyFont="1" applyBorder="1"/>
    <xf numFmtId="0" fontId="0" fillId="0" borderId="25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7" fillId="0" borderId="15" xfId="9" applyBorder="1" applyAlignment="1">
      <alignment horizontal="center"/>
    </xf>
    <xf numFmtId="0" fontId="7" fillId="0" borderId="15" xfId="9" applyBorder="1" applyAlignment="1">
      <alignment horizontal="left"/>
    </xf>
    <xf numFmtId="0" fontId="12" fillId="0" borderId="14" xfId="1" applyFont="1" applyBorder="1" applyAlignment="1">
      <alignment horizontal="center" vertical="center"/>
    </xf>
    <xf numFmtId="0" fontId="83" fillId="4" borderId="25" xfId="0" applyFont="1" applyFill="1" applyBorder="1" applyAlignment="1">
      <alignment horizontal="center"/>
    </xf>
    <xf numFmtId="0" fontId="83" fillId="4" borderId="15" xfId="0" applyFont="1" applyFill="1" applyBorder="1" applyAlignment="1">
      <alignment horizontal="center"/>
    </xf>
    <xf numFmtId="0" fontId="83" fillId="4" borderId="2" xfId="0" applyFont="1" applyFill="1" applyBorder="1"/>
    <xf numFmtId="0" fontId="8" fillId="4" borderId="14" xfId="0" applyFont="1" applyFill="1" applyBorder="1" applyAlignment="1">
      <alignment horizontal="center"/>
    </xf>
    <xf numFmtId="1" fontId="8" fillId="4" borderId="15" xfId="0" applyNumberFormat="1" applyFont="1" applyFill="1" applyBorder="1" applyAlignment="1">
      <alignment horizontal="center"/>
    </xf>
    <xf numFmtId="1" fontId="8" fillId="4" borderId="15" xfId="0" applyNumberFormat="1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12" fontId="8" fillId="0" borderId="2" xfId="0" applyNumberFormat="1" applyFont="1" applyBorder="1" applyAlignment="1">
      <alignment horizontal="center"/>
    </xf>
    <xf numFmtId="0" fontId="83" fillId="4" borderId="14" xfId="0" applyFont="1" applyFill="1" applyBorder="1" applyAlignment="1">
      <alignment horizontal="center"/>
    </xf>
    <xf numFmtId="0" fontId="83" fillId="4" borderId="15" xfId="0" applyFont="1" applyFill="1" applyBorder="1"/>
    <xf numFmtId="1" fontId="8" fillId="4" borderId="2" xfId="0" applyNumberFormat="1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 wrapText="1"/>
    </xf>
    <xf numFmtId="0" fontId="8" fillId="0" borderId="15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4" fillId="0" borderId="15" xfId="0" applyFont="1" applyBorder="1" applyAlignment="1">
      <alignment horizontal="center"/>
    </xf>
    <xf numFmtId="0" fontId="84" fillId="0" borderId="15" xfId="0" applyFont="1" applyBorder="1" applyAlignment="1">
      <alignment horizontal="center" vertical="center"/>
    </xf>
    <xf numFmtId="0" fontId="84" fillId="7" borderId="15" xfId="0" applyFont="1" applyFill="1" applyBorder="1"/>
    <xf numFmtId="0" fontId="8" fillId="0" borderId="15" xfId="0" applyFont="1" applyBorder="1" applyAlignment="1">
      <alignment horizontal="center" wrapText="1"/>
    </xf>
    <xf numFmtId="0" fontId="84" fillId="7" borderId="0" xfId="0" applyFont="1" applyFill="1" applyAlignment="1">
      <alignment horizontal="center"/>
    </xf>
    <xf numFmtId="0" fontId="84" fillId="7" borderId="0" xfId="0" applyFont="1" applyFill="1"/>
    <xf numFmtId="0" fontId="9" fillId="7" borderId="15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4" fillId="7" borderId="15" xfId="0" applyFont="1" applyFill="1" applyBorder="1" applyAlignment="1">
      <alignment horizontal="left" vertical="center"/>
    </xf>
    <xf numFmtId="0" fontId="6" fillId="0" borderId="15" xfId="0" applyFont="1" applyBorder="1"/>
    <xf numFmtId="49" fontId="5" fillId="0" borderId="25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169" fontId="5" fillId="0" borderId="15" xfId="1" applyNumberFormat="1" applyFont="1" applyBorder="1" applyAlignment="1">
      <alignment horizontal="center"/>
    </xf>
    <xf numFmtId="0" fontId="83" fillId="4" borderId="3" xfId="0" applyFont="1" applyFill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1" fontId="8" fillId="4" borderId="15" xfId="1" applyNumberFormat="1" applyFont="1" applyFill="1" applyBorder="1" applyAlignment="1">
      <alignment horizontal="center"/>
    </xf>
    <xf numFmtId="1" fontId="8" fillId="4" borderId="15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6" fontId="8" fillId="4" borderId="15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16" fontId="8" fillId="0" borderId="15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 wrapText="1"/>
    </xf>
    <xf numFmtId="49" fontId="12" fillId="0" borderId="17" xfId="1" applyNumberFormat="1" applyFont="1" applyBorder="1" applyAlignment="1">
      <alignment horizontal="center"/>
    </xf>
    <xf numFmtId="49" fontId="12" fillId="0" borderId="16" xfId="1" applyNumberFormat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169" fontId="12" fillId="0" borderId="15" xfId="1" applyNumberFormat="1" applyFont="1" applyBorder="1" applyAlignment="1">
      <alignment horizontal="center"/>
    </xf>
    <xf numFmtId="170" fontId="9" fillId="4" borderId="15" xfId="6" applyNumberFormat="1" applyFont="1" applyFill="1" applyBorder="1" applyAlignment="1">
      <alignment horizontal="center"/>
    </xf>
    <xf numFmtId="49" fontId="5" fillId="0" borderId="15" xfId="1" applyNumberFormat="1" applyFont="1" applyBorder="1"/>
    <xf numFmtId="16" fontId="5" fillId="0" borderId="15" xfId="1" applyNumberFormat="1" applyFont="1" applyBorder="1" applyAlignment="1">
      <alignment horizontal="center"/>
    </xf>
    <xf numFmtId="1" fontId="8" fillId="0" borderId="2" xfId="1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5" fillId="0" borderId="26" xfId="0" applyFont="1" applyBorder="1" applyAlignment="1">
      <alignment horizontal="center"/>
    </xf>
    <xf numFmtId="1" fontId="6" fillId="0" borderId="15" xfId="0" applyNumberFormat="1" applyFont="1" applyBorder="1" applyAlignment="1">
      <alignment horizontal="left" vertical="center"/>
    </xf>
    <xf numFmtId="12" fontId="5" fillId="0" borderId="15" xfId="1" applyNumberFormat="1" applyFont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85" fillId="4" borderId="0" xfId="0" applyFont="1" applyFill="1" applyAlignment="1">
      <alignment horizontal="center"/>
    </xf>
    <xf numFmtId="1" fontId="5" fillId="4" borderId="15" xfId="0" applyNumberFormat="1" applyFont="1" applyFill="1" applyBorder="1"/>
    <xf numFmtId="0" fontId="5" fillId="4" borderId="15" xfId="0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6" fillId="2" borderId="29" xfId="2" applyFont="1" applyFill="1" applyBorder="1" applyAlignment="1">
      <alignment horizontal="right"/>
    </xf>
    <xf numFmtId="0" fontId="86" fillId="2" borderId="28" xfId="2" applyFont="1" applyFill="1" applyBorder="1" applyAlignment="1">
      <alignment horizontal="center"/>
    </xf>
    <xf numFmtId="0" fontId="66" fillId="2" borderId="15" xfId="2" applyFont="1" applyFill="1" applyBorder="1" applyAlignment="1">
      <alignment horizontal="right"/>
    </xf>
    <xf numFmtId="49" fontId="86" fillId="2" borderId="24" xfId="2" applyNumberFormat="1" applyFont="1" applyFill="1" applyBorder="1" applyAlignment="1">
      <alignment horizontal="center"/>
    </xf>
    <xf numFmtId="0" fontId="86" fillId="2" borderId="2" xfId="2" applyFont="1" applyFill="1" applyBorder="1" applyAlignment="1">
      <alignment horizontal="right"/>
    </xf>
    <xf numFmtId="0" fontId="86" fillId="2" borderId="15" xfId="2" applyFont="1" applyFill="1" applyBorder="1" applyAlignment="1">
      <alignment horizontal="right"/>
    </xf>
    <xf numFmtId="14" fontId="88" fillId="2" borderId="0" xfId="2" applyNumberFormat="1" applyFont="1" applyFill="1" applyAlignment="1">
      <alignment horizontal="center" vertical="center" wrapText="1"/>
    </xf>
    <xf numFmtId="0" fontId="66" fillId="3" borderId="28" xfId="1" applyFont="1" applyFill="1" applyBorder="1" applyAlignment="1">
      <alignment horizontal="center" vertical="center" wrapText="1"/>
    </xf>
    <xf numFmtId="1" fontId="66" fillId="3" borderId="9" xfId="1" applyNumberFormat="1" applyFont="1" applyFill="1" applyBorder="1" applyAlignment="1">
      <alignment horizontal="center"/>
    </xf>
    <xf numFmtId="1" fontId="66" fillId="3" borderId="9" xfId="1" applyNumberFormat="1" applyFont="1" applyFill="1" applyBorder="1" applyAlignment="1">
      <alignment horizontal="center" wrapText="1"/>
    </xf>
    <xf numFmtId="0" fontId="66" fillId="3" borderId="27" xfId="1" applyFont="1" applyFill="1" applyBorder="1" applyAlignment="1">
      <alignment horizontal="center"/>
    </xf>
    <xf numFmtId="0" fontId="89" fillId="0" borderId="25" xfId="1" applyFont="1" applyBorder="1" applyAlignment="1">
      <alignment horizontal="center" vertical="center"/>
    </xf>
    <xf numFmtId="0" fontId="89" fillId="0" borderId="14" xfId="1" applyFont="1" applyBorder="1" applyAlignment="1">
      <alignment horizontal="center" vertical="center"/>
    </xf>
    <xf numFmtId="0" fontId="90" fillId="0" borderId="15" xfId="1" applyFont="1" applyBorder="1" applyAlignment="1">
      <alignment vertical="center"/>
    </xf>
    <xf numFmtId="0" fontId="89" fillId="0" borderId="15" xfId="1" applyFont="1" applyBorder="1" applyAlignment="1">
      <alignment horizontal="center" vertical="center"/>
    </xf>
    <xf numFmtId="1" fontId="89" fillId="0" borderId="15" xfId="1" applyNumberFormat="1" applyFont="1" applyBorder="1" applyAlignment="1">
      <alignment horizontal="center"/>
    </xf>
    <xf numFmtId="1" fontId="89" fillId="0" borderId="15" xfId="1" applyNumberFormat="1" applyFont="1" applyBorder="1" applyAlignment="1">
      <alignment horizontal="center" wrapText="1"/>
    </xf>
    <xf numFmtId="0" fontId="91" fillId="0" borderId="24" xfId="1" applyFont="1" applyBorder="1" applyAlignment="1">
      <alignment horizontal="center"/>
    </xf>
    <xf numFmtId="1" fontId="92" fillId="0" borderId="15" xfId="0" applyNumberFormat="1" applyFont="1" applyBorder="1"/>
    <xf numFmtId="0" fontId="92" fillId="0" borderId="15" xfId="0" applyFont="1" applyBorder="1" applyAlignment="1">
      <alignment horizontal="center"/>
    </xf>
    <xf numFmtId="0" fontId="92" fillId="0" borderId="15" xfId="0" applyFont="1" applyBorder="1"/>
    <xf numFmtId="0" fontId="86" fillId="0" borderId="15" xfId="0" applyFont="1" applyBorder="1" applyAlignment="1">
      <alignment horizontal="center" vertical="center"/>
    </xf>
    <xf numFmtId="1" fontId="86" fillId="0" borderId="15" xfId="0" applyNumberFormat="1" applyFont="1" applyBorder="1" applyAlignment="1">
      <alignment horizontal="center" vertical="center"/>
    </xf>
    <xf numFmtId="1" fontId="86" fillId="0" borderId="15" xfId="0" applyNumberFormat="1" applyFont="1" applyBorder="1" applyAlignment="1">
      <alignment horizontal="center" vertical="center" wrapText="1"/>
    </xf>
    <xf numFmtId="0" fontId="86" fillId="0" borderId="2" xfId="0" applyFont="1" applyBorder="1" applyAlignment="1">
      <alignment horizontal="center" wrapText="1"/>
    </xf>
    <xf numFmtId="12" fontId="86" fillId="0" borderId="2" xfId="0" applyNumberFormat="1" applyFont="1" applyBorder="1" applyAlignment="1">
      <alignment horizontal="center"/>
    </xf>
    <xf numFmtId="0" fontId="86" fillId="0" borderId="15" xfId="0" applyFont="1" applyBorder="1" applyAlignment="1">
      <alignment horizontal="left" vertical="center"/>
    </xf>
    <xf numFmtId="0" fontId="92" fillId="0" borderId="14" xfId="0" applyFont="1" applyBorder="1" applyAlignment="1">
      <alignment horizontal="center"/>
    </xf>
    <xf numFmtId="0" fontId="91" fillId="0" borderId="15" xfId="0" applyFont="1" applyBorder="1" applyAlignment="1">
      <alignment horizontal="center"/>
    </xf>
    <xf numFmtId="0" fontId="86" fillId="0" borderId="15" xfId="0" applyFont="1" applyBorder="1" applyAlignment="1">
      <alignment horizontal="center"/>
    </xf>
    <xf numFmtId="49" fontId="91" fillId="0" borderId="25" xfId="1" applyNumberFormat="1" applyFont="1" applyBorder="1" applyAlignment="1">
      <alignment horizontal="center"/>
    </xf>
    <xf numFmtId="49" fontId="91" fillId="0" borderId="14" xfId="1" applyNumberFormat="1" applyFont="1" applyBorder="1" applyAlignment="1">
      <alignment horizontal="center"/>
    </xf>
    <xf numFmtId="0" fontId="89" fillId="4" borderId="15" xfId="1" applyFont="1" applyFill="1" applyBorder="1" applyAlignment="1">
      <alignment horizontal="left"/>
    </xf>
    <xf numFmtId="0" fontId="86" fillId="4" borderId="15" xfId="1" applyFont="1" applyFill="1" applyBorder="1" applyAlignment="1">
      <alignment horizontal="center"/>
    </xf>
    <xf numFmtId="1" fontId="92" fillId="0" borderId="14" xfId="0" applyNumberFormat="1" applyFont="1" applyBorder="1"/>
    <xf numFmtId="0" fontId="91" fillId="0" borderId="15" xfId="1" applyFont="1" applyBorder="1" applyAlignment="1">
      <alignment horizontal="center"/>
    </xf>
    <xf numFmtId="169" fontId="91" fillId="0" borderId="15" xfId="1" applyNumberFormat="1" applyFont="1" applyBorder="1" applyAlignment="1">
      <alignment horizontal="center"/>
    </xf>
    <xf numFmtId="1" fontId="91" fillId="0" borderId="15" xfId="1" applyNumberFormat="1" applyFont="1" applyBorder="1" applyAlignment="1">
      <alignment horizontal="center" wrapText="1"/>
    </xf>
    <xf numFmtId="0" fontId="93" fillId="4" borderId="25" xfId="0" applyFont="1" applyFill="1" applyBorder="1" applyAlignment="1">
      <alignment horizontal="center"/>
    </xf>
    <xf numFmtId="0" fontId="93" fillId="4" borderId="3" xfId="0" applyFont="1" applyFill="1" applyBorder="1" applyAlignment="1">
      <alignment horizontal="center"/>
    </xf>
    <xf numFmtId="0" fontId="93" fillId="4" borderId="2" xfId="0" applyFont="1" applyFill="1" applyBorder="1"/>
    <xf numFmtId="0" fontId="86" fillId="4" borderId="14" xfId="0" applyFont="1" applyFill="1" applyBorder="1" applyAlignment="1">
      <alignment horizontal="center"/>
    </xf>
    <xf numFmtId="1" fontId="86" fillId="4" borderId="2" xfId="0" applyNumberFormat="1" applyFont="1" applyFill="1" applyBorder="1" applyAlignment="1">
      <alignment horizontal="center"/>
    </xf>
    <xf numFmtId="1" fontId="86" fillId="4" borderId="2" xfId="0" applyNumberFormat="1" applyFont="1" applyFill="1" applyBorder="1" applyAlignment="1">
      <alignment horizontal="center" wrapText="1"/>
    </xf>
    <xf numFmtId="16" fontId="86" fillId="0" borderId="15" xfId="0" applyNumberFormat="1" applyFont="1" applyBorder="1" applyAlignment="1">
      <alignment horizontal="center"/>
    </xf>
    <xf numFmtId="1" fontId="86" fillId="0" borderId="15" xfId="0" applyNumberFormat="1" applyFont="1" applyBorder="1" applyAlignment="1">
      <alignment horizontal="center"/>
    </xf>
    <xf numFmtId="1" fontId="86" fillId="0" borderId="15" xfId="0" applyNumberFormat="1" applyFont="1" applyBorder="1" applyAlignment="1">
      <alignment horizontal="center" wrapText="1"/>
    </xf>
    <xf numFmtId="49" fontId="89" fillId="0" borderId="17" xfId="1" applyNumberFormat="1" applyFont="1" applyBorder="1" applyAlignment="1">
      <alignment horizontal="center"/>
    </xf>
    <xf numFmtId="49" fontId="89" fillId="0" borderId="16" xfId="1" applyNumberFormat="1" applyFont="1" applyBorder="1" applyAlignment="1">
      <alignment horizontal="center"/>
    </xf>
    <xf numFmtId="0" fontId="90" fillId="4" borderId="15" xfId="1" applyFont="1" applyFill="1" applyBorder="1" applyAlignment="1">
      <alignment vertical="center"/>
    </xf>
    <xf numFmtId="0" fontId="89" fillId="0" borderId="14" xfId="1" applyFont="1" applyBorder="1" applyAlignment="1">
      <alignment horizontal="center"/>
    </xf>
    <xf numFmtId="169" fontId="89" fillId="0" borderId="15" xfId="1" applyNumberFormat="1" applyFont="1" applyBorder="1" applyAlignment="1">
      <alignment horizontal="center"/>
    </xf>
    <xf numFmtId="49" fontId="91" fillId="0" borderId="25" xfId="0" applyNumberFormat="1" applyFont="1" applyBorder="1" applyAlignment="1">
      <alignment horizontal="center"/>
    </xf>
    <xf numFmtId="49" fontId="91" fillId="0" borderId="14" xfId="0" applyNumberFormat="1" applyFont="1" applyBorder="1" applyAlignment="1">
      <alignment horizontal="center"/>
    </xf>
    <xf numFmtId="49" fontId="89" fillId="0" borderId="15" xfId="0" applyNumberFormat="1" applyFont="1" applyBorder="1"/>
    <xf numFmtId="1" fontId="91" fillId="0" borderId="15" xfId="0" applyNumberFormat="1" applyFont="1" applyBorder="1" applyAlignment="1">
      <alignment horizontal="center"/>
    </xf>
    <xf numFmtId="1" fontId="91" fillId="0" borderId="15" xfId="0" applyNumberFormat="1" applyFont="1" applyBorder="1" applyAlignment="1">
      <alignment horizontal="center" wrapText="1"/>
    </xf>
    <xf numFmtId="170" fontId="66" fillId="4" borderId="15" xfId="6" applyNumberFormat="1" applyFont="1" applyFill="1" applyBorder="1" applyAlignment="1">
      <alignment horizontal="center"/>
    </xf>
    <xf numFmtId="0" fontId="94" fillId="0" borderId="25" xfId="0" applyFont="1" applyBorder="1" applyAlignment="1">
      <alignment horizontal="center"/>
    </xf>
    <xf numFmtId="0" fontId="94" fillId="0" borderId="14" xfId="0" applyFont="1" applyBorder="1" applyAlignment="1">
      <alignment horizontal="center"/>
    </xf>
    <xf numFmtId="0" fontId="94" fillId="0" borderId="15" xfId="0" applyFont="1" applyBorder="1"/>
    <xf numFmtId="0" fontId="92" fillId="0" borderId="15" xfId="0" applyFont="1" applyBorder="1" applyAlignment="1">
      <alignment horizontal="center" vertical="center"/>
    </xf>
    <xf numFmtId="0" fontId="92" fillId="0" borderId="15" xfId="0" applyFont="1" applyBorder="1" applyAlignment="1">
      <alignment horizontal="left" vertical="center"/>
    </xf>
    <xf numFmtId="12" fontId="91" fillId="0" borderId="15" xfId="1" applyNumberFormat="1" applyFont="1" applyBorder="1" applyAlignment="1">
      <alignment horizontal="center"/>
    </xf>
    <xf numFmtId="1" fontId="91" fillId="0" borderId="15" xfId="1" applyNumberFormat="1" applyFont="1" applyBorder="1" applyAlignment="1">
      <alignment horizontal="center"/>
    </xf>
    <xf numFmtId="0" fontId="86" fillId="0" borderId="15" xfId="0" quotePrefix="1" applyFont="1" applyBorder="1" applyAlignment="1">
      <alignment horizontal="center"/>
    </xf>
    <xf numFmtId="0" fontId="86" fillId="0" borderId="15" xfId="0" quotePrefix="1" applyFont="1" applyBorder="1"/>
    <xf numFmtId="49" fontId="95" fillId="2" borderId="23" xfId="1" applyNumberFormat="1" applyFont="1" applyFill="1" applyBorder="1" applyAlignment="1">
      <alignment horizontal="center" vertical="center"/>
    </xf>
    <xf numFmtId="49" fontId="95" fillId="2" borderId="0" xfId="1" applyNumberFormat="1" applyFont="1" applyFill="1" applyAlignment="1">
      <alignment horizontal="center" vertical="center"/>
    </xf>
    <xf numFmtId="0" fontId="86" fillId="2" borderId="0" xfId="1" applyFont="1" applyFill="1"/>
    <xf numFmtId="1" fontId="86" fillId="2" borderId="0" xfId="1" applyNumberFormat="1" applyFont="1" applyFill="1" applyAlignment="1">
      <alignment horizontal="center"/>
    </xf>
    <xf numFmtId="164" fontId="86" fillId="2" borderId="0" xfId="1" applyNumberFormat="1" applyFont="1" applyFill="1" applyAlignment="1">
      <alignment horizontal="center" wrapText="1"/>
    </xf>
    <xf numFmtId="0" fontId="86" fillId="2" borderId="22" xfId="1" applyFont="1" applyFill="1" applyBorder="1" applyAlignment="1">
      <alignment horizontal="center"/>
    </xf>
    <xf numFmtId="0" fontId="86" fillId="3" borderId="6" xfId="1" applyFont="1" applyFill="1" applyBorder="1" applyAlignment="1">
      <alignment horizontal="center"/>
    </xf>
    <xf numFmtId="0" fontId="86" fillId="3" borderId="5" xfId="1" applyFont="1" applyFill="1" applyBorder="1" applyAlignment="1">
      <alignment horizontal="center"/>
    </xf>
    <xf numFmtId="0" fontId="86" fillId="3" borderId="5" xfId="1" applyFont="1" applyFill="1" applyBorder="1"/>
    <xf numFmtId="0" fontId="66" fillId="3" borderId="5" xfId="1" applyFont="1" applyFill="1" applyBorder="1" applyAlignment="1">
      <alignment horizontal="center"/>
    </xf>
    <xf numFmtId="1" fontId="66" fillId="3" borderId="5" xfId="1" applyNumberFormat="1" applyFont="1" applyFill="1" applyBorder="1" applyAlignment="1">
      <alignment horizontal="center"/>
    </xf>
    <xf numFmtId="164" fontId="86" fillId="3" borderId="5" xfId="1" applyNumberFormat="1" applyFont="1" applyFill="1" applyBorder="1" applyAlignment="1">
      <alignment horizontal="center" wrapText="1"/>
    </xf>
    <xf numFmtId="0" fontId="86" fillId="3" borderId="4" xfId="1" applyFont="1" applyFill="1" applyBorder="1" applyAlignment="1">
      <alignment horizontal="center"/>
    </xf>
    <xf numFmtId="1" fontId="66" fillId="0" borderId="2" xfId="0" applyNumberFormat="1" applyFont="1" applyBorder="1" applyAlignment="1">
      <alignment horizontal="center"/>
    </xf>
    <xf numFmtId="0" fontId="86" fillId="0" borderId="19" xfId="0" applyFont="1" applyBorder="1" applyAlignment="1">
      <alignment horizontal="center"/>
    </xf>
    <xf numFmtId="1" fontId="86" fillId="0" borderId="9" xfId="0" applyNumberFormat="1" applyFont="1" applyBorder="1" applyAlignment="1">
      <alignment horizontal="center"/>
    </xf>
    <xf numFmtId="0" fontId="86" fillId="0" borderId="9" xfId="0" applyFont="1" applyBorder="1" applyAlignment="1">
      <alignment horizontal="center"/>
    </xf>
    <xf numFmtId="0" fontId="24" fillId="15" borderId="0" xfId="0" applyFont="1" applyFill="1" applyAlignment="1">
      <alignment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 wrapText="1"/>
    </xf>
    <xf numFmtId="0" fontId="9" fillId="3" borderId="47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8" fillId="2" borderId="34" xfId="2" applyFont="1" applyFill="1" applyBorder="1" applyAlignment="1">
      <alignment horizontal="center"/>
    </xf>
    <xf numFmtId="0" fontId="8" fillId="2" borderId="36" xfId="2" applyFont="1" applyFill="1" applyBorder="1" applyAlignment="1">
      <alignment horizontal="center"/>
    </xf>
    <xf numFmtId="0" fontId="8" fillId="2" borderId="23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21" xfId="2" applyFont="1" applyFill="1" applyBorder="1" applyAlignment="1">
      <alignment horizontal="center"/>
    </xf>
    <xf numFmtId="0" fontId="8" fillId="2" borderId="20" xfId="2" applyFont="1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9" fillId="0" borderId="11" xfId="1" applyFont="1" applyBorder="1" applyAlignment="1">
      <alignment horizontal="right"/>
    </xf>
    <xf numFmtId="0" fontId="9" fillId="0" borderId="10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164" fontId="8" fillId="0" borderId="8" xfId="1" applyNumberFormat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4" fontId="8" fillId="2" borderId="38" xfId="2" applyNumberFormat="1" applyFont="1" applyFill="1" applyBorder="1" applyAlignment="1">
      <alignment horizontal="center" vertical="center" wrapText="1"/>
    </xf>
    <xf numFmtId="14" fontId="8" fillId="2" borderId="41" xfId="2" applyNumberFormat="1" applyFont="1" applyFill="1" applyBorder="1" applyAlignment="1">
      <alignment horizontal="center" vertical="center" wrapText="1"/>
    </xf>
    <xf numFmtId="14" fontId="8" fillId="2" borderId="1" xfId="2" applyNumberFormat="1" applyFont="1" applyFill="1" applyBorder="1" applyAlignment="1">
      <alignment horizontal="center" vertical="center" wrapText="1"/>
    </xf>
    <xf numFmtId="0" fontId="8" fillId="2" borderId="39" xfId="2" applyFont="1" applyFill="1" applyBorder="1" applyAlignment="1">
      <alignment horizontal="left"/>
    </xf>
    <xf numFmtId="0" fontId="8" fillId="2" borderId="40" xfId="2" applyFont="1" applyFill="1" applyBorder="1" applyAlignment="1">
      <alignment horizontal="left"/>
    </xf>
    <xf numFmtId="0" fontId="8" fillId="2" borderId="35" xfId="2" applyFont="1" applyFill="1" applyBorder="1" applyAlignment="1">
      <alignment horizontal="left"/>
    </xf>
    <xf numFmtId="0" fontId="8" fillId="2" borderId="13" xfId="2" applyFont="1" applyFill="1" applyBorder="1" applyAlignment="1">
      <alignment horizontal="left"/>
    </xf>
    <xf numFmtId="0" fontId="8" fillId="2" borderId="16" xfId="2" applyFont="1" applyFill="1" applyBorder="1" applyAlignment="1">
      <alignment horizontal="left"/>
    </xf>
    <xf numFmtId="0" fontId="8" fillId="2" borderId="14" xfId="2" applyFont="1" applyFill="1" applyBorder="1" applyAlignment="1">
      <alignment horizontal="left"/>
    </xf>
    <xf numFmtId="0" fontId="9" fillId="2" borderId="29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9" fillId="5" borderId="5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9" fillId="2" borderId="37" xfId="2" applyFont="1" applyFill="1" applyBorder="1" applyAlignment="1">
      <alignment horizontal="right" vertical="top" wrapText="1"/>
    </xf>
    <xf numFmtId="0" fontId="9" fillId="2" borderId="33" xfId="2" applyFont="1" applyFill="1" applyBorder="1" applyAlignment="1">
      <alignment horizontal="right" vertical="top" wrapText="1"/>
    </xf>
    <xf numFmtId="0" fontId="9" fillId="2" borderId="32" xfId="2" applyFont="1" applyFill="1" applyBorder="1" applyAlignment="1">
      <alignment horizontal="right" vertical="top" wrapText="1"/>
    </xf>
    <xf numFmtId="0" fontId="10" fillId="2" borderId="0" xfId="2" applyFont="1" applyFill="1" applyAlignment="1">
      <alignment horizontal="right"/>
    </xf>
    <xf numFmtId="0" fontId="11" fillId="2" borderId="31" xfId="2" applyFont="1" applyFill="1" applyBorder="1" applyAlignment="1">
      <alignment horizontal="center"/>
    </xf>
    <xf numFmtId="0" fontId="10" fillId="2" borderId="0" xfId="2" applyFont="1" applyFill="1"/>
    <xf numFmtId="164" fontId="8" fillId="0" borderId="13" xfId="1" applyNumberFormat="1" applyFont="1" applyBorder="1" applyAlignment="1">
      <alignment horizontal="right" wrapText="1"/>
    </xf>
    <xf numFmtId="164" fontId="8" fillId="0" borderId="14" xfId="1" applyNumberFormat="1" applyFont="1" applyBorder="1" applyAlignment="1">
      <alignment horizontal="right" wrapText="1"/>
    </xf>
    <xf numFmtId="164" fontId="8" fillId="0" borderId="13" xfId="1" applyNumberFormat="1" applyFont="1" applyBorder="1" applyAlignment="1">
      <alignment horizontal="center"/>
    </xf>
    <xf numFmtId="164" fontId="8" fillId="0" borderId="12" xfId="1" applyNumberFormat="1" applyFont="1" applyBorder="1" applyAlignment="1">
      <alignment horizontal="center"/>
    </xf>
    <xf numFmtId="0" fontId="9" fillId="0" borderId="17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0" fontId="8" fillId="0" borderId="15" xfId="1" applyFont="1" applyBorder="1" applyAlignment="1">
      <alignment horizontal="right"/>
    </xf>
    <xf numFmtId="0" fontId="9" fillId="0" borderId="21" xfId="1" applyFont="1" applyBorder="1" applyAlignment="1">
      <alignment horizontal="right"/>
    </xf>
    <xf numFmtId="0" fontId="9" fillId="0" borderId="20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164" fontId="8" fillId="0" borderId="2" xfId="1" applyNumberFormat="1" applyFont="1" applyBorder="1" applyAlignment="1">
      <alignment horizontal="right"/>
    </xf>
    <xf numFmtId="0" fontId="8" fillId="2" borderId="19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/>
    </xf>
    <xf numFmtId="0" fontId="3" fillId="6" borderId="44" xfId="2" applyFont="1" applyFill="1" applyBorder="1" applyAlignment="1">
      <alignment horizontal="center"/>
    </xf>
    <xf numFmtId="0" fontId="3" fillId="6" borderId="36" xfId="2" applyFont="1" applyFill="1" applyBorder="1" applyAlignment="1">
      <alignment horizontal="center"/>
    </xf>
    <xf numFmtId="0" fontId="2" fillId="2" borderId="13" xfId="2" applyFont="1" applyFill="1" applyBorder="1" applyAlignment="1">
      <alignment horizontal="left"/>
    </xf>
    <xf numFmtId="0" fontId="2" fillId="2" borderId="16" xfId="2" applyFont="1" applyFill="1" applyBorder="1" applyAlignment="1">
      <alignment horizontal="left"/>
    </xf>
    <xf numFmtId="0" fontId="2" fillId="2" borderId="14" xfId="2" applyFont="1" applyFill="1" applyBorder="1" applyAlignment="1">
      <alignment horizontal="left"/>
    </xf>
    <xf numFmtId="0" fontId="2" fillId="2" borderId="45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9" fillId="3" borderId="6" xfId="1" applyFont="1" applyFill="1" applyBorder="1" applyAlignment="1">
      <alignment horizontal="left"/>
    </xf>
    <xf numFmtId="0" fontId="9" fillId="3" borderId="5" xfId="1" applyFont="1" applyFill="1" applyBorder="1" applyAlignment="1">
      <alignment horizontal="left"/>
    </xf>
    <xf numFmtId="0" fontId="9" fillId="3" borderId="4" xfId="1" applyFont="1" applyFill="1" applyBorder="1" applyAlignment="1">
      <alignment horizontal="left"/>
    </xf>
    <xf numFmtId="0" fontId="2" fillId="0" borderId="46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2" fillId="0" borderId="35" xfId="0" applyFont="1" applyBorder="1" applyAlignment="1">
      <alignment horizontal="left" wrapText="1"/>
    </xf>
    <xf numFmtId="0" fontId="8" fillId="0" borderId="17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42" xfId="1" applyFont="1" applyBorder="1" applyAlignment="1">
      <alignment horizontal="left"/>
    </xf>
    <xf numFmtId="0" fontId="8" fillId="0" borderId="43" xfId="1" applyFont="1" applyBorder="1" applyAlignment="1">
      <alignment horizontal="left"/>
    </xf>
    <xf numFmtId="0" fontId="8" fillId="0" borderId="7" xfId="1" applyFont="1" applyBorder="1" applyAlignment="1">
      <alignment horizontal="left"/>
    </xf>
    <xf numFmtId="0" fontId="8" fillId="0" borderId="17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0" fontId="21" fillId="0" borderId="13" xfId="0" applyFont="1" applyBorder="1"/>
    <xf numFmtId="0" fontId="21" fillId="0" borderId="16" xfId="0" applyFont="1" applyBorder="1"/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5" fillId="0" borderId="0" xfId="0" applyFont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right" vertical="center" wrapText="1"/>
    </xf>
    <xf numFmtId="0" fontId="42" fillId="0" borderId="15" xfId="0" applyFont="1" applyBorder="1" applyAlignment="1">
      <alignment horizontal="right" vertical="center"/>
    </xf>
    <xf numFmtId="0" fontId="43" fillId="0" borderId="23" xfId="0" applyFont="1" applyBorder="1" applyAlignment="1">
      <alignment horizontal="right"/>
    </xf>
    <xf numFmtId="0" fontId="43" fillId="0" borderId="0" xfId="0" applyFont="1" applyAlignment="1">
      <alignment horizontal="right"/>
    </xf>
    <xf numFmtId="0" fontId="43" fillId="0" borderId="22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4" fillId="0" borderId="34" xfId="0" applyFont="1" applyBorder="1" applyAlignment="1">
      <alignment horizontal="right"/>
    </xf>
    <xf numFmtId="0" fontId="34" fillId="0" borderId="36" xfId="0" applyFont="1" applyBorder="1" applyAlignment="1">
      <alignment horizontal="right"/>
    </xf>
    <xf numFmtId="0" fontId="24" fillId="0" borderId="15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33" fillId="0" borderId="0" xfId="0" applyFont="1" applyAlignment="1">
      <alignment horizontal="center" vertical="center"/>
    </xf>
    <xf numFmtId="0" fontId="50" fillId="0" borderId="6" xfId="0" applyFont="1" applyBorder="1" applyAlignment="1">
      <alignment horizontal="right" vertical="center"/>
    </xf>
    <xf numFmtId="0" fontId="50" fillId="0" borderId="5" xfId="0" applyFont="1" applyBorder="1" applyAlignment="1">
      <alignment horizontal="right" vertical="center"/>
    </xf>
    <xf numFmtId="0" fontId="50" fillId="0" borderId="4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1" fillId="0" borderId="31" xfId="0" applyFont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9" fillId="9" borderId="6" xfId="0" applyFont="1" applyFill="1" applyBorder="1" applyAlignment="1">
      <alignment horizontal="right"/>
    </xf>
    <xf numFmtId="0" fontId="39" fillId="9" borderId="5" xfId="0" applyFont="1" applyFill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25" fillId="0" borderId="31" xfId="0" applyFont="1" applyBorder="1" applyAlignment="1">
      <alignment horizontal="right" vertical="center"/>
    </xf>
    <xf numFmtId="0" fontId="25" fillId="0" borderId="55" xfId="0" applyFont="1" applyBorder="1" applyAlignment="1">
      <alignment horizontal="right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5" xfId="0" applyFont="1" applyFill="1" applyBorder="1" applyAlignment="1">
      <alignment horizontal="right" vertical="center"/>
    </xf>
    <xf numFmtId="0" fontId="25" fillId="11" borderId="4" xfId="0" applyFont="1" applyFill="1" applyBorder="1" applyAlignment="1">
      <alignment horizontal="right" vertical="center"/>
    </xf>
    <xf numFmtId="4" fontId="48" fillId="0" borderId="0" xfId="7" applyNumberFormat="1" applyFont="1" applyFill="1" applyAlignment="1">
      <alignment horizontal="center" vertical="center" wrapText="1"/>
    </xf>
    <xf numFmtId="14" fontId="2" fillId="2" borderId="38" xfId="2" applyNumberFormat="1" applyFont="1" applyFill="1" applyBorder="1" applyAlignment="1">
      <alignment horizontal="center" vertical="center" wrapText="1"/>
    </xf>
    <xf numFmtId="14" fontId="2" fillId="2" borderId="4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2" borderId="39" xfId="2" applyFont="1" applyFill="1" applyBorder="1" applyAlignment="1">
      <alignment horizontal="left"/>
    </xf>
    <xf numFmtId="0" fontId="2" fillId="2" borderId="40" xfId="2" applyFont="1" applyFill="1" applyBorder="1" applyAlignment="1">
      <alignment horizontal="left"/>
    </xf>
    <xf numFmtId="0" fontId="2" fillId="2" borderId="35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center"/>
    </xf>
    <xf numFmtId="0" fontId="2" fillId="2" borderId="36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21" xfId="2" applyFont="1" applyFill="1" applyBorder="1" applyAlignment="1">
      <alignment horizontal="center"/>
    </xf>
    <xf numFmtId="0" fontId="2" fillId="2" borderId="20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9" fillId="2" borderId="43" xfId="2" applyFont="1" applyFill="1" applyBorder="1" applyAlignment="1">
      <alignment horizontal="center"/>
    </xf>
    <xf numFmtId="0" fontId="9" fillId="2" borderId="10" xfId="2" applyFont="1" applyFill="1" applyBorder="1" applyAlignment="1">
      <alignment horizontal="center"/>
    </xf>
    <xf numFmtId="0" fontId="56" fillId="5" borderId="13" xfId="2" applyFont="1" applyFill="1" applyBorder="1" applyAlignment="1">
      <alignment horizontal="center" vertical="center" wrapText="1"/>
    </xf>
    <xf numFmtId="0" fontId="56" fillId="5" borderId="16" xfId="2" applyFont="1" applyFill="1" applyBorder="1" applyAlignment="1">
      <alignment horizontal="center" vertical="center" wrapText="1"/>
    </xf>
    <xf numFmtId="0" fontId="56" fillId="5" borderId="14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right" vertical="top" wrapText="1"/>
    </xf>
    <xf numFmtId="0" fontId="3" fillId="2" borderId="33" xfId="2" applyFont="1" applyFill="1" applyBorder="1" applyAlignment="1">
      <alignment horizontal="right" vertical="top" wrapText="1"/>
    </xf>
    <xf numFmtId="0" fontId="3" fillId="2" borderId="32" xfId="2" applyFont="1" applyFill="1" applyBorder="1" applyAlignment="1">
      <alignment horizontal="right" vertical="top" wrapText="1"/>
    </xf>
    <xf numFmtId="0" fontId="57" fillId="2" borderId="0" xfId="2" applyFont="1" applyFill="1" applyAlignment="1">
      <alignment horizontal="right"/>
    </xf>
    <xf numFmtId="0" fontId="58" fillId="2" borderId="31" xfId="2" applyFont="1" applyFill="1" applyBorder="1" applyAlignment="1">
      <alignment horizontal="center"/>
    </xf>
    <xf numFmtId="0" fontId="57" fillId="2" borderId="0" xfId="2" applyFont="1" applyFill="1"/>
    <xf numFmtId="0" fontId="3" fillId="3" borderId="3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  <xf numFmtId="0" fontId="2" fillId="2" borderId="19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3" fillId="0" borderId="17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0" fontId="2" fillId="0" borderId="15" xfId="1" applyFont="1" applyBorder="1" applyAlignment="1">
      <alignment horizontal="right"/>
    </xf>
    <xf numFmtId="164" fontId="2" fillId="0" borderId="13" xfId="1" applyNumberFormat="1" applyFont="1" applyBorder="1" applyAlignment="1">
      <alignment horizontal="center"/>
    </xf>
    <xf numFmtId="164" fontId="2" fillId="0" borderId="12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right" wrapText="1"/>
    </xf>
    <xf numFmtId="164" fontId="2" fillId="0" borderId="14" xfId="1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2" fillId="0" borderId="56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3" fillId="0" borderId="11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0" fontId="3" fillId="3" borderId="6" xfId="1" applyFont="1" applyFill="1" applyBorder="1" applyAlignment="1">
      <alignment horizontal="left"/>
    </xf>
    <xf numFmtId="0" fontId="3" fillId="3" borderId="5" xfId="1" applyFont="1" applyFill="1" applyBorder="1" applyAlignment="1">
      <alignment horizontal="left"/>
    </xf>
    <xf numFmtId="0" fontId="3" fillId="3" borderId="4" xfId="1" applyFont="1" applyFill="1" applyBorder="1" applyAlignment="1">
      <alignment horizontal="left"/>
    </xf>
    <xf numFmtId="0" fontId="63" fillId="0" borderId="21" xfId="1" applyFont="1" applyBorder="1" applyAlignment="1">
      <alignment horizontal="left" wrapText="1"/>
    </xf>
    <xf numFmtId="0" fontId="63" fillId="0" borderId="20" xfId="1" applyFont="1" applyBorder="1" applyAlignment="1">
      <alignment horizontal="left" wrapText="1"/>
    </xf>
    <xf numFmtId="0" fontId="63" fillId="0" borderId="18" xfId="1" applyFont="1" applyBorder="1" applyAlignment="1">
      <alignment horizontal="left" wrapText="1"/>
    </xf>
    <xf numFmtId="0" fontId="2" fillId="0" borderId="56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1" xfId="1" applyFont="1" applyBorder="1" applyAlignment="1">
      <alignment horizontal="left" wrapText="1"/>
    </xf>
    <xf numFmtId="0" fontId="2" fillId="0" borderId="11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2" fillId="0" borderId="27" xfId="1" applyFont="1" applyBorder="1" applyAlignment="1">
      <alignment horizontal="left"/>
    </xf>
    <xf numFmtId="0" fontId="2" fillId="0" borderId="14" xfId="0" applyFont="1" applyBorder="1" applyAlignment="1">
      <alignment horizontal="left" wrapText="1"/>
    </xf>
    <xf numFmtId="0" fontId="65" fillId="0" borderId="21" xfId="1" applyFont="1" applyBorder="1" applyAlignment="1">
      <alignment horizontal="left"/>
    </xf>
    <xf numFmtId="0" fontId="65" fillId="0" borderId="20" xfId="1" applyFont="1" applyBorder="1" applyAlignment="1">
      <alignment horizontal="left"/>
    </xf>
    <xf numFmtId="0" fontId="65" fillId="0" borderId="18" xfId="1" applyFont="1" applyBorder="1" applyAlignment="1">
      <alignment horizontal="left"/>
    </xf>
    <xf numFmtId="0" fontId="66" fillId="5" borderId="5" xfId="2" applyFont="1" applyFill="1" applyBorder="1" applyAlignment="1">
      <alignment horizontal="center" vertical="center" wrapText="1"/>
    </xf>
    <xf numFmtId="0" fontId="66" fillId="5" borderId="4" xfId="2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17" xfId="0" applyFont="1" applyBorder="1" applyAlignment="1">
      <alignment horizontal="left" wrapText="1"/>
    </xf>
    <xf numFmtId="0" fontId="2" fillId="0" borderId="42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67" fillId="2" borderId="38" xfId="2" applyNumberFormat="1" applyFont="1" applyFill="1" applyBorder="1" applyAlignment="1">
      <alignment horizontal="center" vertical="center" wrapText="1"/>
    </xf>
    <xf numFmtId="14" fontId="67" fillId="2" borderId="41" xfId="2" applyNumberFormat="1" applyFont="1" applyFill="1" applyBorder="1" applyAlignment="1">
      <alignment horizontal="center" vertical="center" wrapText="1"/>
    </xf>
    <xf numFmtId="14" fontId="67" fillId="2" borderId="1" xfId="2" applyNumberFormat="1" applyFont="1" applyFill="1" applyBorder="1" applyAlignment="1">
      <alignment horizontal="center" vertical="center" wrapText="1"/>
    </xf>
    <xf numFmtId="0" fontId="67" fillId="2" borderId="39" xfId="2" applyFont="1" applyFill="1" applyBorder="1" applyAlignment="1">
      <alignment horizontal="left"/>
    </xf>
    <xf numFmtId="0" fontId="67" fillId="2" borderId="40" xfId="2" applyFont="1" applyFill="1" applyBorder="1" applyAlignment="1">
      <alignment horizontal="left"/>
    </xf>
    <xf numFmtId="0" fontId="67" fillId="2" borderId="35" xfId="2" applyFont="1" applyFill="1" applyBorder="1" applyAlignment="1">
      <alignment horizontal="left"/>
    </xf>
    <xf numFmtId="0" fontId="67" fillId="2" borderId="13" xfId="2" applyFont="1" applyFill="1" applyBorder="1" applyAlignment="1">
      <alignment horizontal="left"/>
    </xf>
    <xf numFmtId="0" fontId="67" fillId="2" borderId="16" xfId="2" applyFont="1" applyFill="1" applyBorder="1" applyAlignment="1">
      <alignment horizontal="left"/>
    </xf>
    <xf numFmtId="0" fontId="67" fillId="2" borderId="14" xfId="2" applyFont="1" applyFill="1" applyBorder="1" applyAlignment="1">
      <alignment horizontal="left"/>
    </xf>
    <xf numFmtId="0" fontId="67" fillId="2" borderId="34" xfId="2" applyFont="1" applyFill="1" applyBorder="1" applyAlignment="1">
      <alignment horizontal="center"/>
    </xf>
    <xf numFmtId="0" fontId="67" fillId="2" borderId="36" xfId="2" applyFont="1" applyFill="1" applyBorder="1" applyAlignment="1">
      <alignment horizontal="center"/>
    </xf>
    <xf numFmtId="0" fontId="67" fillId="2" borderId="23" xfId="2" applyFont="1" applyFill="1" applyBorder="1" applyAlignment="1">
      <alignment horizontal="center"/>
    </xf>
    <xf numFmtId="0" fontId="67" fillId="2" borderId="0" xfId="2" applyFont="1" applyFill="1" applyAlignment="1">
      <alignment horizontal="center"/>
    </xf>
    <xf numFmtId="0" fontId="67" fillId="2" borderId="21" xfId="2" applyFont="1" applyFill="1" applyBorder="1" applyAlignment="1">
      <alignment horizontal="center"/>
    </xf>
    <xf numFmtId="0" fontId="67" fillId="2" borderId="20" xfId="2" applyFont="1" applyFill="1" applyBorder="1" applyAlignment="1">
      <alignment horizontal="center"/>
    </xf>
    <xf numFmtId="0" fontId="68" fillId="2" borderId="29" xfId="2" applyFont="1" applyFill="1" applyBorder="1" applyAlignment="1">
      <alignment horizontal="center"/>
    </xf>
    <xf numFmtId="0" fontId="68" fillId="2" borderId="8" xfId="2" applyFont="1" applyFill="1" applyBorder="1" applyAlignment="1">
      <alignment horizontal="center"/>
    </xf>
    <xf numFmtId="0" fontId="68" fillId="2" borderId="43" xfId="2" applyFont="1" applyFill="1" applyBorder="1" applyAlignment="1">
      <alignment horizontal="center"/>
    </xf>
    <xf numFmtId="0" fontId="68" fillId="2" borderId="10" xfId="2" applyFont="1" applyFill="1" applyBorder="1" applyAlignment="1">
      <alignment horizontal="center"/>
    </xf>
    <xf numFmtId="0" fontId="68" fillId="5" borderId="6" xfId="2" applyFont="1" applyFill="1" applyBorder="1" applyAlignment="1">
      <alignment horizontal="center" vertical="center" wrapText="1"/>
    </xf>
    <xf numFmtId="0" fontId="68" fillId="5" borderId="5" xfId="2" applyFont="1" applyFill="1" applyBorder="1" applyAlignment="1">
      <alignment horizontal="center" vertical="center" wrapText="1"/>
    </xf>
    <xf numFmtId="0" fontId="68" fillId="5" borderId="4" xfId="2" applyFont="1" applyFill="1" applyBorder="1" applyAlignment="1">
      <alignment horizontal="center" vertical="center" wrapText="1"/>
    </xf>
    <xf numFmtId="0" fontId="68" fillId="2" borderId="37" xfId="2" applyFont="1" applyFill="1" applyBorder="1" applyAlignment="1">
      <alignment horizontal="right" vertical="top" wrapText="1"/>
    </xf>
    <xf numFmtId="0" fontId="68" fillId="2" borderId="33" xfId="2" applyFont="1" applyFill="1" applyBorder="1" applyAlignment="1">
      <alignment horizontal="right" vertical="top" wrapText="1"/>
    </xf>
    <xf numFmtId="0" fontId="68" fillId="2" borderId="32" xfId="2" applyFont="1" applyFill="1" applyBorder="1" applyAlignment="1">
      <alignment horizontal="right" vertical="top" wrapText="1"/>
    </xf>
    <xf numFmtId="0" fontId="69" fillId="2" borderId="0" xfId="2" applyFont="1" applyFill="1" applyAlignment="1">
      <alignment horizontal="right"/>
    </xf>
    <xf numFmtId="0" fontId="70" fillId="2" borderId="31" xfId="2" applyFont="1" applyFill="1" applyBorder="1" applyAlignment="1">
      <alignment horizontal="center"/>
    </xf>
    <xf numFmtId="0" fontId="69" fillId="2" borderId="0" xfId="2" applyFont="1" applyFill="1"/>
    <xf numFmtId="0" fontId="68" fillId="3" borderId="30" xfId="1" applyFont="1" applyFill="1" applyBorder="1" applyAlignment="1">
      <alignment horizontal="center" vertical="center"/>
    </xf>
    <xf numFmtId="0" fontId="68" fillId="3" borderId="11" xfId="1" applyFont="1" applyFill="1" applyBorder="1" applyAlignment="1">
      <alignment horizontal="center" vertical="center"/>
    </xf>
    <xf numFmtId="0" fontId="68" fillId="3" borderId="30" xfId="1" applyFont="1" applyFill="1" applyBorder="1" applyAlignment="1">
      <alignment horizontal="center" vertical="center" wrapText="1"/>
    </xf>
    <xf numFmtId="0" fontId="68" fillId="3" borderId="11" xfId="1" applyFont="1" applyFill="1" applyBorder="1" applyAlignment="1">
      <alignment horizontal="center" vertical="center" wrapText="1"/>
    </xf>
    <xf numFmtId="0" fontId="68" fillId="3" borderId="29" xfId="1" applyFont="1" applyFill="1" applyBorder="1" applyAlignment="1">
      <alignment horizontal="center" vertical="center"/>
    </xf>
    <xf numFmtId="0" fontId="68" fillId="3" borderId="9" xfId="1" applyFont="1" applyFill="1" applyBorder="1" applyAlignment="1">
      <alignment horizontal="center" vertical="center"/>
    </xf>
    <xf numFmtId="0" fontId="68" fillId="0" borderId="21" xfId="1" applyFont="1" applyBorder="1" applyAlignment="1">
      <alignment horizontal="right"/>
    </xf>
    <xf numFmtId="0" fontId="68" fillId="0" borderId="20" xfId="1" applyFont="1" applyBorder="1" applyAlignment="1">
      <alignment horizontal="right"/>
    </xf>
    <xf numFmtId="0" fontId="68" fillId="0" borderId="3" xfId="1" applyFont="1" applyBorder="1" applyAlignment="1">
      <alignment horizontal="right"/>
    </xf>
    <xf numFmtId="164" fontId="67" fillId="0" borderId="2" xfId="1" applyNumberFormat="1" applyFont="1" applyBorder="1" applyAlignment="1">
      <alignment horizontal="right"/>
    </xf>
    <xf numFmtId="0" fontId="67" fillId="2" borderId="19" xfId="1" applyFont="1" applyFill="1" applyBorder="1" applyAlignment="1">
      <alignment horizontal="center"/>
    </xf>
    <xf numFmtId="0" fontId="67" fillId="2" borderId="18" xfId="1" applyFont="1" applyFill="1" applyBorder="1" applyAlignment="1">
      <alignment horizontal="center"/>
    </xf>
    <xf numFmtId="0" fontId="68" fillId="0" borderId="17" xfId="1" applyFont="1" applyBorder="1" applyAlignment="1">
      <alignment horizontal="right"/>
    </xf>
    <xf numFmtId="0" fontId="68" fillId="0" borderId="16" xfId="1" applyFont="1" applyBorder="1" applyAlignment="1">
      <alignment horizontal="right"/>
    </xf>
    <xf numFmtId="0" fontId="68" fillId="0" borderId="14" xfId="1" applyFont="1" applyBorder="1" applyAlignment="1">
      <alignment horizontal="right"/>
    </xf>
    <xf numFmtId="0" fontId="67" fillId="0" borderId="15" xfId="1" applyFont="1" applyBorder="1" applyAlignment="1">
      <alignment horizontal="right"/>
    </xf>
    <xf numFmtId="164" fontId="67" fillId="0" borderId="13" xfId="1" applyNumberFormat="1" applyFont="1" applyBorder="1" applyAlignment="1">
      <alignment horizontal="center"/>
    </xf>
    <xf numFmtId="164" fontId="67" fillId="0" borderId="12" xfId="1" applyNumberFormat="1" applyFont="1" applyBorder="1" applyAlignment="1">
      <alignment horizontal="center"/>
    </xf>
    <xf numFmtId="0" fontId="73" fillId="0" borderId="15" xfId="0" applyFont="1" applyBorder="1" applyAlignment="1">
      <alignment horizontal="left" wrapText="1"/>
    </xf>
    <xf numFmtId="164" fontId="67" fillId="0" borderId="13" xfId="1" applyNumberFormat="1" applyFont="1" applyBorder="1" applyAlignment="1">
      <alignment horizontal="right" wrapText="1"/>
    </xf>
    <xf numFmtId="164" fontId="67" fillId="0" borderId="14" xfId="1" applyNumberFormat="1" applyFont="1" applyBorder="1" applyAlignment="1">
      <alignment horizontal="right" wrapText="1"/>
    </xf>
    <xf numFmtId="164" fontId="67" fillId="0" borderId="13" xfId="0" applyNumberFormat="1" applyFont="1" applyBorder="1" applyAlignment="1">
      <alignment horizontal="center" wrapText="1"/>
    </xf>
    <xf numFmtId="164" fontId="67" fillId="0" borderId="12" xfId="0" applyNumberFormat="1" applyFont="1" applyBorder="1" applyAlignment="1">
      <alignment horizontal="center" wrapText="1"/>
    </xf>
    <xf numFmtId="0" fontId="68" fillId="0" borderId="11" xfId="1" applyFont="1" applyBorder="1" applyAlignment="1">
      <alignment horizontal="right"/>
    </xf>
    <xf numFmtId="0" fontId="68" fillId="0" borderId="10" xfId="1" applyFont="1" applyBorder="1" applyAlignment="1">
      <alignment horizontal="right"/>
    </xf>
    <xf numFmtId="0" fontId="68" fillId="0" borderId="9" xfId="1" applyFont="1" applyBorder="1" applyAlignment="1">
      <alignment horizontal="right"/>
    </xf>
    <xf numFmtId="0" fontId="67" fillId="0" borderId="9" xfId="1" applyFont="1" applyBorder="1" applyAlignment="1">
      <alignment horizontal="right"/>
    </xf>
    <xf numFmtId="0" fontId="68" fillId="3" borderId="6" xfId="1" applyFont="1" applyFill="1" applyBorder="1" applyAlignment="1">
      <alignment horizontal="left"/>
    </xf>
    <xf numFmtId="0" fontId="68" fillId="3" borderId="5" xfId="1" applyFont="1" applyFill="1" applyBorder="1" applyAlignment="1">
      <alignment horizontal="left"/>
    </xf>
    <xf numFmtId="0" fontId="68" fillId="3" borderId="4" xfId="1" applyFont="1" applyFill="1" applyBorder="1" applyAlignment="1">
      <alignment horizontal="left"/>
    </xf>
    <xf numFmtId="0" fontId="73" fillId="0" borderId="15" xfId="0" applyFont="1" applyBorder="1" applyAlignment="1">
      <alignment horizontal="left"/>
    </xf>
    <xf numFmtId="0" fontId="68" fillId="6" borderId="44" xfId="2" applyFont="1" applyFill="1" applyBorder="1" applyAlignment="1">
      <alignment horizontal="center"/>
    </xf>
    <xf numFmtId="0" fontId="68" fillId="6" borderId="36" xfId="2" applyFont="1" applyFill="1" applyBorder="1" applyAlignment="1">
      <alignment horizontal="center"/>
    </xf>
    <xf numFmtId="0" fontId="67" fillId="2" borderId="45" xfId="2" applyFont="1" applyFill="1" applyBorder="1" applyAlignment="1">
      <alignment horizontal="left"/>
    </xf>
    <xf numFmtId="0" fontId="67" fillId="2" borderId="0" xfId="2" applyFont="1" applyFill="1" applyAlignment="1">
      <alignment horizontal="left"/>
    </xf>
    <xf numFmtId="0" fontId="68" fillId="0" borderId="21" xfId="1" applyFont="1" applyBorder="1" applyAlignment="1">
      <alignment horizontal="left" wrapText="1"/>
    </xf>
    <xf numFmtId="0" fontId="68" fillId="0" borderId="20" xfId="1" applyFont="1" applyBorder="1" applyAlignment="1">
      <alignment horizontal="left" wrapText="1"/>
    </xf>
    <xf numFmtId="0" fontId="68" fillId="0" borderId="18" xfId="1" applyFont="1" applyBorder="1" applyAlignment="1">
      <alignment horizontal="left" wrapText="1"/>
    </xf>
    <xf numFmtId="0" fontId="71" fillId="0" borderId="17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12" xfId="0" applyFont="1" applyBorder="1" applyAlignment="1">
      <alignment horizontal="left"/>
    </xf>
    <xf numFmtId="0" fontId="0" fillId="2" borderId="15" xfId="2" applyFont="1" applyFill="1" applyBorder="1" applyAlignment="1">
      <alignment horizontal="left"/>
    </xf>
    <xf numFmtId="0" fontId="1" fillId="2" borderId="15" xfId="2" applyFont="1" applyFill="1" applyBorder="1" applyAlignment="1">
      <alignment horizontal="left"/>
    </xf>
    <xf numFmtId="0" fontId="0" fillId="2" borderId="9" xfId="2" applyFont="1" applyFill="1" applyBorder="1" applyAlignment="1">
      <alignment horizontal="left"/>
    </xf>
    <xf numFmtId="0" fontId="1" fillId="2" borderId="9" xfId="2" applyFont="1" applyFill="1" applyBorder="1" applyAlignment="1">
      <alignment horizontal="left"/>
    </xf>
    <xf numFmtId="0" fontId="1" fillId="2" borderId="34" xfId="2" applyFont="1" applyFill="1" applyBorder="1" applyAlignment="1">
      <alignment horizontal="center"/>
    </xf>
    <xf numFmtId="0" fontId="1" fillId="2" borderId="59" xfId="2" applyFont="1" applyFill="1" applyBorder="1" applyAlignment="1">
      <alignment horizontal="center"/>
    </xf>
    <xf numFmtId="0" fontId="1" fillId="2" borderId="23" xfId="2" applyFont="1" applyFill="1" applyBorder="1" applyAlignment="1">
      <alignment horizontal="center"/>
    </xf>
    <xf numFmtId="0" fontId="1" fillId="2" borderId="33" xfId="2" applyFont="1" applyFill="1" applyBorder="1" applyAlignment="1">
      <alignment horizontal="center"/>
    </xf>
    <xf numFmtId="0" fontId="1" fillId="2" borderId="60" xfId="2" applyFont="1" applyFill="1" applyBorder="1" applyAlignment="1">
      <alignment horizontal="center"/>
    </xf>
    <xf numFmtId="0" fontId="1" fillId="2" borderId="32" xfId="2" applyFont="1" applyFill="1" applyBorder="1" applyAlignment="1">
      <alignment horizontal="center"/>
    </xf>
    <xf numFmtId="0" fontId="57" fillId="2" borderId="29" xfId="2" applyFont="1" applyFill="1" applyBorder="1" applyAlignment="1">
      <alignment horizontal="center"/>
    </xf>
    <xf numFmtId="0" fontId="57" fillId="2" borderId="15" xfId="2" applyFont="1" applyFill="1" applyBorder="1" applyAlignment="1">
      <alignment horizontal="center"/>
    </xf>
    <xf numFmtId="0" fontId="10" fillId="5" borderId="15" xfId="2" applyFont="1" applyFill="1" applyBorder="1" applyAlignment="1">
      <alignment horizontal="center" vertical="center" wrapText="1"/>
    </xf>
    <xf numFmtId="0" fontId="56" fillId="5" borderId="15" xfId="2" applyFont="1" applyFill="1" applyBorder="1" applyAlignment="1">
      <alignment horizontal="center" vertical="center" wrapText="1"/>
    </xf>
    <xf numFmtId="0" fontId="79" fillId="2" borderId="15" xfId="2" applyFont="1" applyFill="1" applyBorder="1" applyAlignment="1">
      <alignment horizontal="right" vertical="top" wrapText="1"/>
    </xf>
    <xf numFmtId="0" fontId="79" fillId="2" borderId="9" xfId="2" applyFont="1" applyFill="1" applyBorder="1" applyAlignment="1">
      <alignment horizontal="right" vertical="top" wrapText="1"/>
    </xf>
    <xf numFmtId="0" fontId="79" fillId="3" borderId="30" xfId="1" applyFont="1" applyFill="1" applyBorder="1" applyAlignment="1">
      <alignment horizontal="center" vertical="center"/>
    </xf>
    <xf numFmtId="0" fontId="79" fillId="3" borderId="11" xfId="1" applyFont="1" applyFill="1" applyBorder="1" applyAlignment="1">
      <alignment horizontal="center" vertical="center"/>
    </xf>
    <xf numFmtId="0" fontId="79" fillId="3" borderId="47" xfId="1" applyFont="1" applyFill="1" applyBorder="1" applyAlignment="1">
      <alignment horizontal="center" vertical="center"/>
    </xf>
    <xf numFmtId="0" fontId="79" fillId="3" borderId="29" xfId="1" applyFont="1" applyFill="1" applyBorder="1" applyAlignment="1">
      <alignment horizontal="center" vertical="center"/>
    </xf>
    <xf numFmtId="0" fontId="79" fillId="3" borderId="26" xfId="1" applyFont="1" applyFill="1" applyBorder="1" applyAlignment="1">
      <alignment horizontal="center" vertical="center"/>
    </xf>
    <xf numFmtId="0" fontId="79" fillId="3" borderId="9" xfId="1" applyFont="1" applyFill="1" applyBorder="1" applyAlignment="1">
      <alignment horizontal="center" vertical="center"/>
    </xf>
    <xf numFmtId="0" fontId="79" fillId="0" borderId="21" xfId="1" applyFont="1" applyBorder="1" applyAlignment="1">
      <alignment horizontal="right"/>
    </xf>
    <xf numFmtId="0" fontId="79" fillId="0" borderId="20" xfId="1" applyFont="1" applyBorder="1" applyAlignment="1">
      <alignment horizontal="right"/>
    </xf>
    <xf numFmtId="0" fontId="79" fillId="0" borderId="3" xfId="1" applyFont="1" applyBorder="1" applyAlignment="1">
      <alignment horizontal="right"/>
    </xf>
    <xf numFmtId="164" fontId="1" fillId="0" borderId="2" xfId="1" applyNumberFormat="1" applyBorder="1" applyAlignment="1">
      <alignment horizontal="right"/>
    </xf>
    <xf numFmtId="0" fontId="1" fillId="2" borderId="19" xfId="1" applyFill="1" applyBorder="1" applyAlignment="1">
      <alignment horizontal="center"/>
    </xf>
    <xf numFmtId="0" fontId="1" fillId="2" borderId="18" xfId="1" applyFill="1" applyBorder="1" applyAlignment="1">
      <alignment horizontal="center"/>
    </xf>
    <xf numFmtId="0" fontId="79" fillId="0" borderId="17" xfId="1" applyFont="1" applyBorder="1" applyAlignment="1">
      <alignment horizontal="right"/>
    </xf>
    <xf numFmtId="0" fontId="79" fillId="0" borderId="16" xfId="1" applyFont="1" applyBorder="1" applyAlignment="1">
      <alignment horizontal="right"/>
    </xf>
    <xf numFmtId="0" fontId="79" fillId="0" borderId="14" xfId="1" applyFont="1" applyBorder="1" applyAlignment="1">
      <alignment horizontal="right"/>
    </xf>
    <xf numFmtId="0" fontId="1" fillId="0" borderId="15" xfId="1" applyBorder="1" applyAlignment="1">
      <alignment horizontal="right"/>
    </xf>
    <xf numFmtId="164" fontId="1" fillId="0" borderId="13" xfId="1" applyNumberFormat="1" applyBorder="1" applyAlignment="1">
      <alignment horizontal="center"/>
    </xf>
    <xf numFmtId="164" fontId="1" fillId="0" borderId="12" xfId="1" applyNumberFormat="1" applyBorder="1" applyAlignment="1">
      <alignment horizontal="center"/>
    </xf>
    <xf numFmtId="164" fontId="1" fillId="0" borderId="13" xfId="1" applyNumberFormat="1" applyBorder="1" applyAlignment="1">
      <alignment horizontal="right" wrapText="1"/>
    </xf>
    <xf numFmtId="164" fontId="1" fillId="0" borderId="14" xfId="1" applyNumberFormat="1" applyBorder="1" applyAlignment="1">
      <alignment horizontal="right" wrapText="1"/>
    </xf>
    <xf numFmtId="0" fontId="79" fillId="0" borderId="11" xfId="1" applyFont="1" applyBorder="1" applyAlignment="1">
      <alignment horizontal="right"/>
    </xf>
    <xf numFmtId="0" fontId="79" fillId="0" borderId="10" xfId="1" applyFont="1" applyBorder="1" applyAlignment="1">
      <alignment horizontal="right"/>
    </xf>
    <xf numFmtId="0" fontId="79" fillId="0" borderId="9" xfId="1" applyFont="1" applyBorder="1" applyAlignment="1">
      <alignment horizontal="right"/>
    </xf>
    <xf numFmtId="0" fontId="1" fillId="0" borderId="9" xfId="1" applyBorder="1" applyAlignment="1">
      <alignment horizontal="right"/>
    </xf>
    <xf numFmtId="164" fontId="1" fillId="0" borderId="8" xfId="1" applyNumberFormat="1" applyBorder="1" applyAlignment="1">
      <alignment horizontal="center"/>
    </xf>
    <xf numFmtId="164" fontId="1" fillId="0" borderId="7" xfId="1" applyNumberFormat="1" applyBorder="1" applyAlignment="1">
      <alignment horizontal="center"/>
    </xf>
    <xf numFmtId="0" fontId="79" fillId="3" borderId="6" xfId="1" applyFont="1" applyFill="1" applyBorder="1" applyAlignment="1">
      <alignment horizontal="left"/>
    </xf>
    <xf numFmtId="0" fontId="79" fillId="3" borderId="5" xfId="1" applyFont="1" applyFill="1" applyBorder="1" applyAlignment="1">
      <alignment horizontal="left"/>
    </xf>
    <xf numFmtId="0" fontId="79" fillId="3" borderId="4" xfId="1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65" fillId="0" borderId="60" xfId="1" applyFont="1" applyBorder="1" applyAlignment="1">
      <alignment horizontal="left"/>
    </xf>
    <xf numFmtId="0" fontId="65" fillId="0" borderId="31" xfId="1" applyFont="1" applyBorder="1" applyAlignment="1">
      <alignment horizontal="left"/>
    </xf>
    <xf numFmtId="0" fontId="65" fillId="0" borderId="55" xfId="1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82" fillId="0" borderId="13" xfId="0" applyFont="1" applyBorder="1"/>
    <xf numFmtId="0" fontId="82" fillId="0" borderId="16" xfId="0" applyFont="1" applyBorder="1"/>
    <xf numFmtId="0" fontId="82" fillId="0" borderId="14" xfId="0" applyFont="1" applyBorder="1"/>
    <xf numFmtId="0" fontId="2" fillId="0" borderId="56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63" fillId="14" borderId="21" xfId="1" applyFont="1" applyFill="1" applyBorder="1" applyAlignment="1">
      <alignment horizontal="left"/>
    </xf>
    <xf numFmtId="0" fontId="63" fillId="14" borderId="20" xfId="1" applyFont="1" applyFill="1" applyBorder="1" applyAlignment="1">
      <alignment horizontal="left"/>
    </xf>
    <xf numFmtId="0" fontId="63" fillId="14" borderId="18" xfId="1" applyFont="1" applyFill="1" applyBorder="1" applyAlignment="1">
      <alignment horizontal="left"/>
    </xf>
    <xf numFmtId="0" fontId="66" fillId="5" borderId="46" xfId="2" applyFont="1" applyFill="1" applyBorder="1" applyAlignment="1">
      <alignment horizontal="center" vertical="center" wrapText="1"/>
    </xf>
    <xf numFmtId="0" fontId="66" fillId="5" borderId="40" xfId="2" applyFont="1" applyFill="1" applyBorder="1" applyAlignment="1">
      <alignment horizontal="center" vertical="center" wrapText="1"/>
    </xf>
    <xf numFmtId="0" fontId="66" fillId="5" borderId="61" xfId="2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9" fillId="5" borderId="6" xfId="2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164" fontId="8" fillId="0" borderId="13" xfId="0" applyNumberFormat="1" applyFont="1" applyBorder="1" applyAlignment="1">
      <alignment horizontal="center" wrapText="1"/>
    </xf>
    <xf numFmtId="164" fontId="8" fillId="0" borderId="12" xfId="0" applyNumberFormat="1" applyFont="1" applyBorder="1" applyAlignment="1">
      <alignment horizontal="center" wrapText="1"/>
    </xf>
    <xf numFmtId="0" fontId="12" fillId="0" borderId="17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6" xfId="2" applyFont="1" applyFill="1" applyBorder="1" applyAlignment="1">
      <alignment horizontal="center"/>
    </xf>
    <xf numFmtId="0" fontId="8" fillId="0" borderId="2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5" fillId="0" borderId="60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55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8" fillId="0" borderId="42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14" fontId="86" fillId="2" borderId="38" xfId="2" applyNumberFormat="1" applyFont="1" applyFill="1" applyBorder="1" applyAlignment="1">
      <alignment horizontal="center" vertical="center" wrapText="1"/>
    </xf>
    <xf numFmtId="14" fontId="86" fillId="2" borderId="41" xfId="2" applyNumberFormat="1" applyFont="1" applyFill="1" applyBorder="1" applyAlignment="1">
      <alignment horizontal="center" vertical="center" wrapText="1"/>
    </xf>
    <xf numFmtId="14" fontId="86" fillId="2" borderId="1" xfId="2" applyNumberFormat="1" applyFont="1" applyFill="1" applyBorder="1" applyAlignment="1">
      <alignment horizontal="center" vertical="center" wrapText="1"/>
    </xf>
    <xf numFmtId="0" fontId="86" fillId="2" borderId="39" xfId="2" applyFont="1" applyFill="1" applyBorder="1" applyAlignment="1">
      <alignment horizontal="left"/>
    </xf>
    <xf numFmtId="0" fontId="86" fillId="2" borderId="40" xfId="2" applyFont="1" applyFill="1" applyBorder="1" applyAlignment="1">
      <alignment horizontal="left"/>
    </xf>
    <xf numFmtId="0" fontId="86" fillId="2" borderId="35" xfId="2" applyFont="1" applyFill="1" applyBorder="1" applyAlignment="1">
      <alignment horizontal="left"/>
    </xf>
    <xf numFmtId="0" fontId="86" fillId="2" borderId="13" xfId="2" applyFont="1" applyFill="1" applyBorder="1" applyAlignment="1">
      <alignment horizontal="left"/>
    </xf>
    <xf numFmtId="0" fontId="86" fillId="2" borderId="16" xfId="2" applyFont="1" applyFill="1" applyBorder="1" applyAlignment="1">
      <alignment horizontal="left"/>
    </xf>
    <xf numFmtId="0" fontId="86" fillId="2" borderId="14" xfId="2" applyFont="1" applyFill="1" applyBorder="1" applyAlignment="1">
      <alignment horizontal="left"/>
    </xf>
    <xf numFmtId="0" fontId="86" fillId="2" borderId="34" xfId="2" applyFont="1" applyFill="1" applyBorder="1" applyAlignment="1">
      <alignment horizontal="center"/>
    </xf>
    <xf numFmtId="0" fontId="86" fillId="2" borderId="36" xfId="2" applyFont="1" applyFill="1" applyBorder="1" applyAlignment="1">
      <alignment horizontal="center"/>
    </xf>
    <xf numFmtId="0" fontId="86" fillId="2" borderId="23" xfId="2" applyFont="1" applyFill="1" applyBorder="1" applyAlignment="1">
      <alignment horizontal="center"/>
    </xf>
    <xf numFmtId="0" fontId="86" fillId="2" borderId="0" xfId="2" applyFont="1" applyFill="1" applyAlignment="1">
      <alignment horizontal="center"/>
    </xf>
    <xf numFmtId="0" fontId="86" fillId="2" borderId="21" xfId="2" applyFont="1" applyFill="1" applyBorder="1" applyAlignment="1">
      <alignment horizontal="center"/>
    </xf>
    <xf numFmtId="0" fontId="86" fillId="2" borderId="20" xfId="2" applyFont="1" applyFill="1" applyBorder="1" applyAlignment="1">
      <alignment horizontal="center"/>
    </xf>
    <xf numFmtId="0" fontId="66" fillId="2" borderId="29" xfId="2" applyFont="1" applyFill="1" applyBorder="1" applyAlignment="1">
      <alignment horizontal="center"/>
    </xf>
    <xf numFmtId="0" fontId="66" fillId="2" borderId="8" xfId="2" applyFont="1" applyFill="1" applyBorder="1" applyAlignment="1">
      <alignment horizontal="center"/>
    </xf>
    <xf numFmtId="0" fontId="66" fillId="2" borderId="43" xfId="2" applyFont="1" applyFill="1" applyBorder="1" applyAlignment="1">
      <alignment horizontal="center"/>
    </xf>
    <xf numFmtId="0" fontId="66" fillId="2" borderId="10" xfId="2" applyFont="1" applyFill="1" applyBorder="1" applyAlignment="1">
      <alignment horizontal="center"/>
    </xf>
    <xf numFmtId="0" fontId="87" fillId="5" borderId="15" xfId="2" applyFont="1" applyFill="1" applyBorder="1" applyAlignment="1">
      <alignment horizontal="center" vertical="center" wrapText="1"/>
    </xf>
    <xf numFmtId="0" fontId="66" fillId="2" borderId="37" xfId="2" applyFont="1" applyFill="1" applyBorder="1" applyAlignment="1">
      <alignment horizontal="right" vertical="top" wrapText="1"/>
    </xf>
    <xf numFmtId="0" fontId="66" fillId="2" borderId="33" xfId="2" applyFont="1" applyFill="1" applyBorder="1" applyAlignment="1">
      <alignment horizontal="right" vertical="top" wrapText="1"/>
    </xf>
    <xf numFmtId="0" fontId="66" fillId="2" borderId="32" xfId="2" applyFont="1" applyFill="1" applyBorder="1" applyAlignment="1">
      <alignment horizontal="right" vertical="top" wrapText="1"/>
    </xf>
    <xf numFmtId="0" fontId="88" fillId="2" borderId="31" xfId="2" applyFont="1" applyFill="1" applyBorder="1" applyAlignment="1">
      <alignment horizontal="center"/>
    </xf>
    <xf numFmtId="0" fontId="66" fillId="3" borderId="30" xfId="1" applyFont="1" applyFill="1" applyBorder="1" applyAlignment="1">
      <alignment horizontal="center" vertical="center"/>
    </xf>
    <xf numFmtId="0" fontId="66" fillId="3" borderId="11" xfId="1" applyFont="1" applyFill="1" applyBorder="1" applyAlignment="1">
      <alignment horizontal="center" vertical="center"/>
    </xf>
    <xf numFmtId="0" fontId="66" fillId="3" borderId="30" xfId="1" applyFont="1" applyFill="1" applyBorder="1" applyAlignment="1">
      <alignment horizontal="center" vertical="center" wrapText="1"/>
    </xf>
    <xf numFmtId="0" fontId="66" fillId="3" borderId="11" xfId="1" applyFont="1" applyFill="1" applyBorder="1" applyAlignment="1">
      <alignment horizontal="center" vertical="center" wrapText="1"/>
    </xf>
    <xf numFmtId="0" fontId="66" fillId="3" borderId="29" xfId="1" applyFont="1" applyFill="1" applyBorder="1" applyAlignment="1">
      <alignment horizontal="center" vertical="center"/>
    </xf>
    <xf numFmtId="0" fontId="66" fillId="3" borderId="9" xfId="1" applyFont="1" applyFill="1" applyBorder="1" applyAlignment="1">
      <alignment horizontal="center" vertical="center"/>
    </xf>
    <xf numFmtId="0" fontId="66" fillId="0" borderId="21" xfId="1" applyFont="1" applyBorder="1" applyAlignment="1">
      <alignment horizontal="right"/>
    </xf>
    <xf numFmtId="0" fontId="66" fillId="0" borderId="20" xfId="1" applyFont="1" applyBorder="1" applyAlignment="1">
      <alignment horizontal="right"/>
    </xf>
    <xf numFmtId="0" fontId="66" fillId="0" borderId="3" xfId="1" applyFont="1" applyBorder="1" applyAlignment="1">
      <alignment horizontal="right"/>
    </xf>
    <xf numFmtId="164" fontId="86" fillId="0" borderId="2" xfId="1" applyNumberFormat="1" applyFont="1" applyBorder="1" applyAlignment="1">
      <alignment horizontal="right"/>
    </xf>
    <xf numFmtId="0" fontId="86" fillId="2" borderId="19" xfId="1" applyFont="1" applyFill="1" applyBorder="1" applyAlignment="1">
      <alignment horizontal="center"/>
    </xf>
    <xf numFmtId="0" fontId="86" fillId="2" borderId="18" xfId="1" applyFont="1" applyFill="1" applyBorder="1" applyAlignment="1">
      <alignment horizontal="center"/>
    </xf>
    <xf numFmtId="0" fontId="66" fillId="0" borderId="17" xfId="1" applyFont="1" applyBorder="1" applyAlignment="1">
      <alignment horizontal="right"/>
    </xf>
    <xf numFmtId="0" fontId="66" fillId="0" borderId="16" xfId="1" applyFont="1" applyBorder="1" applyAlignment="1">
      <alignment horizontal="right"/>
    </xf>
    <xf numFmtId="0" fontId="66" fillId="0" borderId="14" xfId="1" applyFont="1" applyBorder="1" applyAlignment="1">
      <alignment horizontal="right"/>
    </xf>
    <xf numFmtId="0" fontId="86" fillId="0" borderId="15" xfId="1" applyFont="1" applyBorder="1" applyAlignment="1">
      <alignment horizontal="right"/>
    </xf>
    <xf numFmtId="164" fontId="86" fillId="0" borderId="13" xfId="1" applyNumberFormat="1" applyFont="1" applyBorder="1" applyAlignment="1">
      <alignment horizontal="center"/>
    </xf>
    <xf numFmtId="164" fontId="86" fillId="0" borderId="12" xfId="1" applyNumberFormat="1" applyFont="1" applyBorder="1" applyAlignment="1">
      <alignment horizontal="center"/>
    </xf>
    <xf numFmtId="164" fontId="86" fillId="0" borderId="13" xfId="1" applyNumberFormat="1" applyFont="1" applyBorder="1" applyAlignment="1">
      <alignment horizontal="right" wrapText="1"/>
    </xf>
    <xf numFmtId="164" fontId="86" fillId="0" borderId="14" xfId="1" applyNumberFormat="1" applyFont="1" applyBorder="1" applyAlignment="1">
      <alignment horizontal="right" wrapText="1"/>
    </xf>
    <xf numFmtId="164" fontId="86" fillId="0" borderId="13" xfId="0" applyNumberFormat="1" applyFont="1" applyBorder="1" applyAlignment="1">
      <alignment horizontal="center" wrapText="1"/>
    </xf>
    <xf numFmtId="164" fontId="86" fillId="0" borderId="12" xfId="0" applyNumberFormat="1" applyFont="1" applyBorder="1" applyAlignment="1">
      <alignment horizontal="center" wrapText="1"/>
    </xf>
    <xf numFmtId="0" fontId="86" fillId="0" borderId="15" xfId="1" applyFont="1" applyBorder="1" applyAlignment="1">
      <alignment horizontal="left"/>
    </xf>
    <xf numFmtId="0" fontId="66" fillId="0" borderId="11" xfId="1" applyFont="1" applyBorder="1" applyAlignment="1">
      <alignment horizontal="right"/>
    </xf>
    <xf numFmtId="0" fontId="66" fillId="0" borderId="10" xfId="1" applyFont="1" applyBorder="1" applyAlignment="1">
      <alignment horizontal="right"/>
    </xf>
    <xf numFmtId="0" fontId="66" fillId="0" borderId="9" xfId="1" applyFont="1" applyBorder="1" applyAlignment="1">
      <alignment horizontal="right"/>
    </xf>
    <xf numFmtId="0" fontId="86" fillId="0" borderId="9" xfId="1" applyFont="1" applyBorder="1" applyAlignment="1">
      <alignment horizontal="right"/>
    </xf>
    <xf numFmtId="0" fontId="66" fillId="3" borderId="6" xfId="1" applyFont="1" applyFill="1" applyBorder="1" applyAlignment="1">
      <alignment horizontal="left"/>
    </xf>
    <xf numFmtId="0" fontId="66" fillId="3" borderId="5" xfId="1" applyFont="1" applyFill="1" applyBorder="1" applyAlignment="1">
      <alignment horizontal="left"/>
    </xf>
    <xf numFmtId="0" fontId="66" fillId="3" borderId="4" xfId="1" applyFont="1" applyFill="1" applyBorder="1" applyAlignment="1">
      <alignment horizontal="left"/>
    </xf>
    <xf numFmtId="0" fontId="91" fillId="0" borderId="21" xfId="0" applyFont="1" applyBorder="1" applyAlignment="1">
      <alignment horizontal="left"/>
    </xf>
    <xf numFmtId="0" fontId="91" fillId="0" borderId="20" xfId="0" applyFont="1" applyBorder="1" applyAlignment="1">
      <alignment horizontal="left"/>
    </xf>
    <xf numFmtId="0" fontId="91" fillId="0" borderId="18" xfId="0" applyFont="1" applyBorder="1" applyAlignment="1">
      <alignment horizontal="left"/>
    </xf>
    <xf numFmtId="0" fontId="91" fillId="0" borderId="17" xfId="0" applyFont="1" applyBorder="1" applyAlignment="1">
      <alignment horizontal="left"/>
    </xf>
    <xf numFmtId="0" fontId="91" fillId="0" borderId="16" xfId="0" applyFont="1" applyBorder="1" applyAlignment="1">
      <alignment horizontal="left"/>
    </xf>
    <xf numFmtId="0" fontId="91" fillId="0" borderId="12" xfId="0" applyFont="1" applyBorder="1" applyAlignment="1">
      <alignment horizontal="left"/>
    </xf>
    <xf numFmtId="0" fontId="86" fillId="0" borderId="13" xfId="0" applyFont="1" applyBorder="1" applyAlignment="1">
      <alignment horizontal="left" wrapText="1"/>
    </xf>
    <xf numFmtId="0" fontId="86" fillId="0" borderId="16" xfId="0" applyFont="1" applyBorder="1" applyAlignment="1">
      <alignment horizontal="left" wrapText="1"/>
    </xf>
    <xf numFmtId="0" fontId="86" fillId="0" borderId="14" xfId="0" applyFont="1" applyBorder="1" applyAlignment="1">
      <alignment horizontal="left" wrapText="1"/>
    </xf>
    <xf numFmtId="0" fontId="66" fillId="6" borderId="44" xfId="2" applyFont="1" applyFill="1" applyBorder="1" applyAlignment="1">
      <alignment horizontal="center"/>
    </xf>
    <xf numFmtId="0" fontId="66" fillId="6" borderId="36" xfId="2" applyFont="1" applyFill="1" applyBorder="1" applyAlignment="1">
      <alignment horizontal="center"/>
    </xf>
    <xf numFmtId="0" fontId="86" fillId="2" borderId="15" xfId="2" applyFont="1" applyFill="1" applyBorder="1" applyAlignment="1">
      <alignment horizontal="left"/>
    </xf>
    <xf numFmtId="0" fontId="96" fillId="0" borderId="25" xfId="1" applyFont="1" applyBorder="1" applyAlignment="1">
      <alignment horizontal="center" vertical="center"/>
    </xf>
    <xf numFmtId="0" fontId="96" fillId="0" borderId="14" xfId="1" applyFont="1" applyBorder="1" applyAlignment="1">
      <alignment horizontal="center" vertical="center"/>
    </xf>
    <xf numFmtId="0" fontId="97" fillId="0" borderId="15" xfId="1" applyFont="1" applyBorder="1" applyAlignment="1">
      <alignment vertical="center"/>
    </xf>
    <xf numFmtId="0" fontId="96" fillId="0" borderId="15" xfId="1" applyFont="1" applyBorder="1" applyAlignment="1">
      <alignment horizontal="center" vertical="center"/>
    </xf>
    <xf numFmtId="1" fontId="96" fillId="0" borderId="15" xfId="1" applyNumberFormat="1" applyFont="1" applyBorder="1" applyAlignment="1">
      <alignment horizontal="center"/>
    </xf>
    <xf numFmtId="1" fontId="96" fillId="0" borderId="15" xfId="1" applyNumberFormat="1" applyFont="1" applyBorder="1" applyAlignment="1">
      <alignment horizontal="center" wrapText="1"/>
    </xf>
    <xf numFmtId="0" fontId="98" fillId="0" borderId="24" xfId="1" applyFont="1" applyBorder="1" applyAlignment="1">
      <alignment horizontal="center"/>
    </xf>
    <xf numFmtId="1" fontId="99" fillId="0" borderId="15" xfId="0" applyNumberFormat="1" applyFont="1" applyBorder="1"/>
    <xf numFmtId="0" fontId="99" fillId="0" borderId="15" xfId="0" applyFont="1" applyBorder="1" applyAlignment="1">
      <alignment horizontal="center"/>
    </xf>
    <xf numFmtId="0" fontId="99" fillId="0" borderId="15" xfId="0" applyFont="1" applyBorder="1"/>
    <xf numFmtId="0" fontId="98" fillId="0" borderId="15" xfId="0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 wrapText="1"/>
    </xf>
    <xf numFmtId="0" fontId="98" fillId="0" borderId="2" xfId="0" applyFont="1" applyBorder="1" applyAlignment="1">
      <alignment horizontal="center" wrapText="1"/>
    </xf>
    <xf numFmtId="12" fontId="98" fillId="0" borderId="2" xfId="0" applyNumberFormat="1" applyFont="1" applyBorder="1" applyAlignment="1">
      <alignment horizontal="center"/>
    </xf>
    <xf numFmtId="0" fontId="98" fillId="0" borderId="15" xfId="0" applyFont="1" applyBorder="1" applyAlignment="1">
      <alignment horizontal="left" vertical="center"/>
    </xf>
    <xf numFmtId="0" fontId="99" fillId="0" borderId="14" xfId="0" applyFont="1" applyBorder="1" applyAlignment="1">
      <alignment horizontal="center"/>
    </xf>
    <xf numFmtId="0" fontId="98" fillId="0" borderId="15" xfId="0" applyFont="1" applyBorder="1" applyAlignment="1">
      <alignment horizontal="center"/>
    </xf>
    <xf numFmtId="49" fontId="98" fillId="0" borderId="25" xfId="1" applyNumberFormat="1" applyFont="1" applyBorder="1" applyAlignment="1">
      <alignment horizontal="center"/>
    </xf>
    <xf numFmtId="49" fontId="98" fillId="0" borderId="14" xfId="1" applyNumberFormat="1" applyFont="1" applyBorder="1" applyAlignment="1">
      <alignment horizontal="center"/>
    </xf>
    <xf numFmtId="0" fontId="96" fillId="4" borderId="15" xfId="1" applyFont="1" applyFill="1" applyBorder="1" applyAlignment="1">
      <alignment horizontal="left"/>
    </xf>
    <xf numFmtId="0" fontId="99" fillId="4" borderId="25" xfId="0" applyFont="1" applyFill="1" applyBorder="1" applyAlignment="1">
      <alignment horizontal="center"/>
    </xf>
    <xf numFmtId="0" fontId="99" fillId="4" borderId="3" xfId="0" applyFont="1" applyFill="1" applyBorder="1" applyAlignment="1">
      <alignment horizontal="center"/>
    </xf>
    <xf numFmtId="0" fontId="99" fillId="4" borderId="2" xfId="0" applyFont="1" applyFill="1" applyBorder="1"/>
    <xf numFmtId="0" fontId="98" fillId="4" borderId="14" xfId="0" applyFont="1" applyFill="1" applyBorder="1" applyAlignment="1">
      <alignment horizontal="center"/>
    </xf>
    <xf numFmtId="1" fontId="98" fillId="4" borderId="2" xfId="0" applyNumberFormat="1" applyFont="1" applyFill="1" applyBorder="1" applyAlignment="1">
      <alignment horizontal="center"/>
    </xf>
    <xf numFmtId="1" fontId="98" fillId="4" borderId="2" xfId="0" applyNumberFormat="1" applyFont="1" applyFill="1" applyBorder="1" applyAlignment="1">
      <alignment horizontal="center" wrapText="1"/>
    </xf>
    <xf numFmtId="16" fontId="98" fillId="0" borderId="15" xfId="0" applyNumberFormat="1" applyFont="1" applyBorder="1" applyAlignment="1">
      <alignment horizontal="center"/>
    </xf>
    <xf numFmtId="1" fontId="98" fillId="0" borderId="15" xfId="0" applyNumberFormat="1" applyFont="1" applyBorder="1" applyAlignment="1">
      <alignment horizontal="center"/>
    </xf>
    <xf numFmtId="1" fontId="98" fillId="0" borderId="15" xfId="0" applyNumberFormat="1" applyFont="1" applyBorder="1" applyAlignment="1">
      <alignment horizontal="center" wrapText="1"/>
    </xf>
    <xf numFmtId="49" fontId="96" fillId="0" borderId="17" xfId="1" applyNumberFormat="1" applyFont="1" applyBorder="1" applyAlignment="1">
      <alignment horizontal="center"/>
    </xf>
    <xf numFmtId="49" fontId="96" fillId="0" borderId="16" xfId="1" applyNumberFormat="1" applyFont="1" applyBorder="1" applyAlignment="1">
      <alignment horizontal="center"/>
    </xf>
    <xf numFmtId="0" fontId="97" fillId="4" borderId="15" xfId="1" applyFont="1" applyFill="1" applyBorder="1" applyAlignment="1">
      <alignment vertical="center"/>
    </xf>
    <xf numFmtId="0" fontId="96" fillId="0" borderId="14" xfId="1" applyFont="1" applyBorder="1" applyAlignment="1">
      <alignment horizontal="center"/>
    </xf>
    <xf numFmtId="169" fontId="96" fillId="0" borderId="15" xfId="1" applyNumberFormat="1" applyFont="1" applyBorder="1" applyAlignment="1">
      <alignment horizontal="center"/>
    </xf>
    <xf numFmtId="49" fontId="98" fillId="0" borderId="25" xfId="0" applyNumberFormat="1" applyFont="1" applyBorder="1" applyAlignment="1">
      <alignment horizontal="center"/>
    </xf>
    <xf numFmtId="49" fontId="98" fillId="0" borderId="14" xfId="0" applyNumberFormat="1" applyFont="1" applyBorder="1" applyAlignment="1">
      <alignment horizontal="center"/>
    </xf>
    <xf numFmtId="49" fontId="96" fillId="0" borderId="15" xfId="0" applyNumberFormat="1" applyFont="1" applyBorder="1"/>
    <xf numFmtId="170" fontId="96" fillId="4" borderId="15" xfId="6" applyNumberFormat="1" applyFont="1" applyFill="1" applyBorder="1" applyAlignment="1">
      <alignment horizontal="center"/>
    </xf>
    <xf numFmtId="0" fontId="100" fillId="0" borderId="25" xfId="0" applyFont="1" applyBorder="1" applyAlignment="1">
      <alignment horizontal="center"/>
    </xf>
    <xf numFmtId="0" fontId="100" fillId="0" borderId="14" xfId="0" applyFont="1" applyBorder="1" applyAlignment="1">
      <alignment horizontal="center"/>
    </xf>
    <xf numFmtId="0" fontId="100" fillId="0" borderId="15" xfId="0" applyFont="1" applyBorder="1"/>
    <xf numFmtId="0" fontId="99" fillId="0" borderId="15" xfId="0" applyFont="1" applyBorder="1" applyAlignment="1">
      <alignment horizontal="center" vertical="center"/>
    </xf>
    <xf numFmtId="0" fontId="99" fillId="0" borderId="15" xfId="0" applyFont="1" applyBorder="1" applyAlignment="1">
      <alignment horizontal="left" vertical="center"/>
    </xf>
    <xf numFmtId="1" fontId="98" fillId="0" borderId="15" xfId="1" applyNumberFormat="1" applyFont="1" applyBorder="1" applyAlignment="1">
      <alignment horizontal="center"/>
    </xf>
    <xf numFmtId="0" fontId="98" fillId="0" borderId="15" xfId="0" quotePrefix="1" applyFont="1" applyBorder="1" applyAlignment="1">
      <alignment horizontal="center"/>
    </xf>
    <xf numFmtId="0" fontId="98" fillId="0" borderId="15" xfId="0" quotePrefix="1" applyFont="1" applyBorder="1"/>
    <xf numFmtId="49" fontId="100" fillId="2" borderId="23" xfId="1" applyNumberFormat="1" applyFont="1" applyFill="1" applyBorder="1" applyAlignment="1">
      <alignment horizontal="center" vertical="center"/>
    </xf>
    <xf numFmtId="49" fontId="100" fillId="2" borderId="0" xfId="1" applyNumberFormat="1" applyFont="1" applyFill="1" applyAlignment="1">
      <alignment horizontal="center" vertical="center"/>
    </xf>
    <xf numFmtId="0" fontId="98" fillId="2" borderId="0" xfId="1" applyFont="1" applyFill="1"/>
    <xf numFmtId="1" fontId="98" fillId="2" borderId="0" xfId="1" applyNumberFormat="1" applyFont="1" applyFill="1" applyAlignment="1">
      <alignment horizontal="center"/>
    </xf>
    <xf numFmtId="164" fontId="98" fillId="2" borderId="0" xfId="1" applyNumberFormat="1" applyFont="1" applyFill="1" applyAlignment="1">
      <alignment horizontal="center" wrapText="1"/>
    </xf>
    <xf numFmtId="0" fontId="98" fillId="2" borderId="22" xfId="1" applyFont="1" applyFill="1" applyBorder="1" applyAlignment="1">
      <alignment horizontal="center"/>
    </xf>
    <xf numFmtId="0" fontId="98" fillId="3" borderId="6" xfId="1" applyFont="1" applyFill="1" applyBorder="1" applyAlignment="1">
      <alignment horizontal="center"/>
    </xf>
    <xf numFmtId="0" fontId="98" fillId="3" borderId="5" xfId="1" applyFont="1" applyFill="1" applyBorder="1" applyAlignment="1">
      <alignment horizontal="center"/>
    </xf>
    <xf numFmtId="0" fontId="98" fillId="3" borderId="5" xfId="1" applyFont="1" applyFill="1" applyBorder="1"/>
    <xf numFmtId="0" fontId="96" fillId="3" borderId="5" xfId="1" applyFont="1" applyFill="1" applyBorder="1" applyAlignment="1">
      <alignment horizontal="center"/>
    </xf>
    <xf numFmtId="1" fontId="96" fillId="3" borderId="5" xfId="1" applyNumberFormat="1" applyFont="1" applyFill="1" applyBorder="1" applyAlignment="1">
      <alignment horizontal="center"/>
    </xf>
    <xf numFmtId="164" fontId="98" fillId="3" borderId="5" xfId="1" applyNumberFormat="1" applyFont="1" applyFill="1" applyBorder="1" applyAlignment="1">
      <alignment horizontal="center" wrapText="1"/>
    </xf>
    <xf numFmtId="0" fontId="98" fillId="3" borderId="4" xfId="1" applyFont="1" applyFill="1" applyBorder="1" applyAlignment="1">
      <alignment horizontal="center"/>
    </xf>
    <xf numFmtId="0" fontId="96" fillId="0" borderId="21" xfId="1" applyFont="1" applyBorder="1" applyAlignment="1">
      <alignment horizontal="right"/>
    </xf>
    <xf numFmtId="0" fontId="96" fillId="0" borderId="20" xfId="1" applyFont="1" applyBorder="1" applyAlignment="1">
      <alignment horizontal="right"/>
    </xf>
    <xf numFmtId="0" fontId="96" fillId="0" borderId="3" xfId="1" applyFont="1" applyBorder="1" applyAlignment="1">
      <alignment horizontal="right"/>
    </xf>
    <xf numFmtId="1" fontId="96" fillId="0" borderId="2" xfId="0" applyNumberFormat="1" applyFont="1" applyBorder="1" applyAlignment="1">
      <alignment horizontal="center"/>
    </xf>
    <xf numFmtId="0" fontId="98" fillId="0" borderId="19" xfId="0" applyFont="1" applyBorder="1" applyAlignment="1">
      <alignment horizontal="center"/>
    </xf>
    <xf numFmtId="164" fontId="98" fillId="0" borderId="2" xfId="1" applyNumberFormat="1" applyFont="1" applyBorder="1" applyAlignment="1">
      <alignment horizontal="right"/>
    </xf>
    <xf numFmtId="0" fontId="98" fillId="2" borderId="19" xfId="1" applyFont="1" applyFill="1" applyBorder="1" applyAlignment="1">
      <alignment horizontal="center"/>
    </xf>
    <xf numFmtId="0" fontId="98" fillId="2" borderId="18" xfId="1" applyFont="1" applyFill="1" applyBorder="1" applyAlignment="1">
      <alignment horizontal="center"/>
    </xf>
    <xf numFmtId="0" fontId="96" fillId="0" borderId="17" xfId="1" applyFont="1" applyBorder="1" applyAlignment="1">
      <alignment horizontal="right"/>
    </xf>
    <xf numFmtId="0" fontId="96" fillId="0" borderId="16" xfId="1" applyFont="1" applyBorder="1" applyAlignment="1">
      <alignment horizontal="right"/>
    </xf>
    <xf numFmtId="0" fontId="96" fillId="0" borderId="14" xfId="1" applyFont="1" applyBorder="1" applyAlignment="1">
      <alignment horizontal="right"/>
    </xf>
    <xf numFmtId="0" fontId="98" fillId="0" borderId="15" xfId="1" applyFont="1" applyBorder="1" applyAlignment="1">
      <alignment horizontal="right"/>
    </xf>
    <xf numFmtId="164" fontId="98" fillId="0" borderId="13" xfId="1" applyNumberFormat="1" applyFont="1" applyBorder="1" applyAlignment="1">
      <alignment horizontal="center"/>
    </xf>
    <xf numFmtId="164" fontId="98" fillId="0" borderId="12" xfId="1" applyNumberFormat="1" applyFont="1" applyBorder="1" applyAlignment="1">
      <alignment horizontal="center"/>
    </xf>
    <xf numFmtId="164" fontId="98" fillId="0" borderId="13" xfId="1" applyNumberFormat="1" applyFont="1" applyBorder="1" applyAlignment="1">
      <alignment horizontal="right" wrapText="1"/>
    </xf>
    <xf numFmtId="164" fontId="98" fillId="0" borderId="14" xfId="1" applyNumberFormat="1" applyFont="1" applyBorder="1" applyAlignment="1">
      <alignment horizontal="right" wrapText="1"/>
    </xf>
    <xf numFmtId="164" fontId="98" fillId="0" borderId="13" xfId="0" applyNumberFormat="1" applyFont="1" applyBorder="1" applyAlignment="1">
      <alignment horizontal="center" wrapText="1"/>
    </xf>
    <xf numFmtId="164" fontId="98" fillId="0" borderId="12" xfId="0" applyNumberFormat="1" applyFont="1" applyBorder="1" applyAlignment="1">
      <alignment horizontal="center" wrapText="1"/>
    </xf>
    <xf numFmtId="0" fontId="96" fillId="0" borderId="11" xfId="1" applyFont="1" applyBorder="1" applyAlignment="1">
      <alignment horizontal="right"/>
    </xf>
    <xf numFmtId="0" fontId="96" fillId="0" borderId="10" xfId="1" applyFont="1" applyBorder="1" applyAlignment="1">
      <alignment horizontal="right"/>
    </xf>
    <xf numFmtId="0" fontId="96" fillId="0" borderId="9" xfId="1" applyFont="1" applyBorder="1" applyAlignment="1">
      <alignment horizontal="right"/>
    </xf>
    <xf numFmtId="1" fontId="98" fillId="0" borderId="9" xfId="0" applyNumberFormat="1" applyFont="1" applyBorder="1" applyAlignment="1">
      <alignment horizontal="center"/>
    </xf>
    <xf numFmtId="0" fontId="98" fillId="0" borderId="9" xfId="0" applyFont="1" applyBorder="1" applyAlignment="1">
      <alignment horizontal="center"/>
    </xf>
    <xf numFmtId="0" fontId="98" fillId="0" borderId="9" xfId="1" applyFont="1" applyBorder="1" applyAlignment="1">
      <alignment horizontal="right"/>
    </xf>
    <xf numFmtId="0" fontId="98" fillId="0" borderId="56" xfId="3" applyFont="1" applyBorder="1" applyAlignment="1">
      <alignment horizontal="left"/>
    </xf>
    <xf numFmtId="0" fontId="98" fillId="0" borderId="3" xfId="3" applyFont="1" applyBorder="1" applyAlignment="1">
      <alignment horizontal="left"/>
    </xf>
    <xf numFmtId="0" fontId="98" fillId="0" borderId="2" xfId="3" applyFont="1" applyBorder="1" applyAlignment="1">
      <alignment horizontal="left"/>
    </xf>
    <xf numFmtId="0" fontId="98" fillId="0" borderId="1" xfId="3" applyFont="1" applyBorder="1" applyAlignment="1">
      <alignment horizontal="left"/>
    </xf>
    <xf numFmtId="0" fontId="98" fillId="0" borderId="56" xfId="3" applyFont="1" applyBorder="1" applyAlignment="1">
      <alignment horizontal="left" wrapText="1"/>
    </xf>
    <xf numFmtId="0" fontId="98" fillId="0" borderId="3" xfId="3" applyFont="1" applyBorder="1" applyAlignment="1">
      <alignment horizontal="left" wrapText="1"/>
    </xf>
    <xf numFmtId="0" fontId="98" fillId="0" borderId="2" xfId="3" applyFont="1" applyBorder="1" applyAlignment="1">
      <alignment horizontal="left" wrapText="1"/>
    </xf>
    <xf numFmtId="0" fontId="98" fillId="0" borderId="1" xfId="3" applyFont="1" applyBorder="1" applyAlignment="1">
      <alignment horizontal="left" wrapText="1"/>
    </xf>
    <xf numFmtId="0" fontId="98" fillId="0" borderId="17" xfId="3" applyFont="1" applyBorder="1" applyAlignment="1">
      <alignment horizontal="left"/>
    </xf>
    <xf numFmtId="0" fontId="98" fillId="0" borderId="16" xfId="3" applyFont="1" applyBorder="1" applyAlignment="1">
      <alignment horizontal="left"/>
    </xf>
    <xf numFmtId="0" fontId="98" fillId="0" borderId="12" xfId="3" applyFont="1" applyBorder="1" applyAlignment="1">
      <alignment horizontal="left"/>
    </xf>
    <xf numFmtId="0" fontId="101" fillId="5" borderId="13" xfId="2" applyFont="1" applyFill="1" applyBorder="1" applyAlignment="1">
      <alignment horizontal="center" vertical="center" wrapText="1"/>
    </xf>
    <xf numFmtId="0" fontId="101" fillId="5" borderId="16" xfId="2" applyFont="1" applyFill="1" applyBorder="1" applyAlignment="1">
      <alignment horizontal="center" vertical="center" wrapText="1"/>
    </xf>
    <xf numFmtId="0" fontId="101" fillId="5" borderId="14" xfId="2" applyFont="1" applyFill="1" applyBorder="1" applyAlignment="1">
      <alignment horizontal="center" vertical="center" wrapText="1"/>
    </xf>
    <xf numFmtId="0" fontId="96" fillId="3" borderId="6" xfId="1" applyFont="1" applyFill="1" applyBorder="1" applyAlignment="1">
      <alignment horizontal="center"/>
    </xf>
    <xf numFmtId="0" fontId="96" fillId="3" borderId="5" xfId="1" applyFont="1" applyFill="1" applyBorder="1" applyAlignment="1">
      <alignment horizontal="center"/>
    </xf>
    <xf numFmtId="0" fontId="96" fillId="3" borderId="4" xfId="1" applyFont="1" applyFill="1" applyBorder="1" applyAlignment="1">
      <alignment horizontal="center"/>
    </xf>
    <xf numFmtId="0" fontId="98" fillId="0" borderId="62" xfId="0" applyFont="1" applyBorder="1" applyAlignment="1">
      <alignment horizontal="left" wrapText="1"/>
    </xf>
    <xf numFmtId="0" fontId="98" fillId="0" borderId="63" xfId="0" applyFont="1" applyBorder="1" applyAlignment="1">
      <alignment horizontal="left" wrapText="1"/>
    </xf>
    <xf numFmtId="0" fontId="98" fillId="0" borderId="37" xfId="0" applyFont="1" applyBorder="1" applyAlignment="1">
      <alignment horizontal="left" wrapText="1"/>
    </xf>
    <xf numFmtId="0" fontId="96" fillId="6" borderId="15" xfId="2" applyFont="1" applyFill="1" applyBorder="1" applyAlignment="1">
      <alignment horizontal="center"/>
    </xf>
    <xf numFmtId="0" fontId="98" fillId="2" borderId="15" xfId="2" applyFont="1" applyFill="1" applyBorder="1" applyAlignment="1">
      <alignment horizontal="left"/>
    </xf>
  </cellXfs>
  <cellStyles count="11">
    <cellStyle name="Millares" xfId="6" builtinId="3"/>
    <cellStyle name="Millares [0]" xfId="7" builtinId="6"/>
    <cellStyle name="Normal" xfId="0" builtinId="0"/>
    <cellStyle name="Normal 2" xfId="1" xr:uid="{C0DB4AF8-A19F-4278-A9FF-581BF902206A}"/>
    <cellStyle name="Normal 2 2" xfId="3" xr:uid="{F81F2AC9-ED36-454F-8730-AB30E4881B94}"/>
    <cellStyle name="Normal 3" xfId="9" xr:uid="{7D8E817F-5394-42FF-BD9E-1C41DF1768C3}"/>
    <cellStyle name="Normal 3 2" xfId="5" xr:uid="{B1A48605-350A-4CE3-94DD-CBBF35FD5DC0}"/>
    <cellStyle name="Normal 5" xfId="4" xr:uid="{B94A487A-5ACD-454C-BDCC-075D8E038F96}"/>
    <cellStyle name="Normal_CRITERIOS DE EVALUACION PT DE GB 2" xfId="2" xr:uid="{488504B2-C3C9-4CE5-B4A0-E149C322B0F3}"/>
    <cellStyle name="Porcentaje" xfId="8" builtinId="5"/>
    <cellStyle name="Porcentaje 2" xfId="10" xr:uid="{EF70FEF0-4E5F-4FC6-8550-0CB32F875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128530</xdr:colOff>
      <xdr:row>0</xdr:row>
      <xdr:rowOff>73445</xdr:rowOff>
    </xdr:from>
    <xdr:to>
      <xdr:col>1</xdr:col>
      <xdr:colOff>607535</xdr:colOff>
      <xdr:row>4</xdr:row>
      <xdr:rowOff>9180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3AAD52-3B17-A467-98BD-E1103B84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30" y="73445"/>
          <a:ext cx="1268547" cy="743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16</xdr:col>
      <xdr:colOff>137435</xdr:colOff>
      <xdr:row>28</xdr:row>
      <xdr:rowOff>15499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D072FA-FA5A-D646-EB67-798EB9E63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1714500"/>
          <a:ext cx="3177815" cy="2987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148494</xdr:rowOff>
    </xdr:from>
    <xdr:to>
      <xdr:col>1</xdr:col>
      <xdr:colOff>952499</xdr:colOff>
      <xdr:row>4</xdr:row>
      <xdr:rowOff>23814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90FA58E-625D-47F4-A336-DE6DB681D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48494"/>
          <a:ext cx="2035968" cy="934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22860</xdr:rowOff>
    </xdr:from>
    <xdr:to>
      <xdr:col>1</xdr:col>
      <xdr:colOff>754380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ACC1B9-97BD-4DAB-8794-58ADBC81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4384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4</xdr:row>
      <xdr:rowOff>166007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EC74915-5558-4BAD-99DF-D93F80CA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55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5/Tortas%20Altas%20-%20Locales/Torta%20Frambuesa%20Local%20(003).xlsx" TargetMode="External"/><Relationship Id="rId1" Type="http://schemas.openxmlformats.org/officeDocument/2006/relationships/externalLinkPath" Target="https://sedepast-my.sharepoint.com/personal/eramirez_fascr_com/Documents/Escritorio/FACTIBILIDAD/FACTIBILIDAD%202025/Tortas%20Altas%20-%20Locales/Torta%20Frambuesa%20Local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ta Frambuesa Local"/>
      <sheetName val="Torta Frambuesa 2"/>
      <sheetName val="Torta de Frambuesa 3"/>
      <sheetName val="TORTA NAKED DE FRAMBUESA "/>
      <sheetName val="Costo Torta "/>
      <sheetName val="Crema Rosada "/>
      <sheetName val="Costo Crema Rosada "/>
      <sheetName val="Relleno de Frambuesa"/>
      <sheetName val="Relleno de Frambuesa 2"/>
      <sheetName val="Costo relleno de Frambuesa"/>
      <sheetName val="Empaque Relleno Frambuesa"/>
      <sheetName val="Costo  empaq Relleno Frambuesa"/>
      <sheetName val="Relleno Crema Pastelera "/>
      <sheetName val="Costo Relleno Crema Pastelera"/>
      <sheetName val="Rosquete Vainilla Dawn 200g"/>
      <sheetName val="Batido Nucleo Vainilla Dawn"/>
      <sheetName val="Premezcla Nucleo Vainilla Dawn"/>
      <sheetName val="Costo Rosq Vainilla Dawn 200 g "/>
      <sheetName val="Crema Beidge "/>
      <sheetName val="Crema Blanca Supremo"/>
      <sheetName val="Leches Past con agua "/>
      <sheetName val="Mezcla leche Pasteurizada "/>
      <sheetName val="Caramelo con choc blanco"/>
      <sheetName val="Caramelo Crocan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3">
          <cell r="H53">
            <v>372.24786324786322</v>
          </cell>
        </row>
        <row r="54">
          <cell r="H54">
            <v>4.9015153888888898</v>
          </cell>
        </row>
        <row r="56">
          <cell r="H56">
            <v>22.108192644628577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14E3-0E51-4764-8089-3A716BDC8284}">
  <dimension ref="A1:I59"/>
  <sheetViews>
    <sheetView view="pageBreakPreview" topLeftCell="A6" zoomScaleNormal="100" zoomScaleSheetLayoutView="100" workbookViewId="0">
      <selection activeCell="C19" sqref="C19"/>
    </sheetView>
  </sheetViews>
  <sheetFormatPr baseColWidth="10" defaultRowHeight="15" x14ac:dyDescent="0.25"/>
  <cols>
    <col min="3" max="3" width="53.140625" customWidth="1"/>
    <col min="4" max="4" width="34.28515625" bestFit="1" customWidth="1"/>
    <col min="8" max="8" width="29.28515625" customWidth="1"/>
    <col min="9" max="9" width="23.42578125" bestFit="1" customWidth="1"/>
  </cols>
  <sheetData>
    <row r="1" spans="1:9" ht="17.25" x14ac:dyDescent="0.3">
      <c r="A1" s="639"/>
      <c r="B1" s="640"/>
      <c r="C1" s="662" t="s">
        <v>33</v>
      </c>
      <c r="D1" s="662"/>
      <c r="E1" s="662"/>
      <c r="F1" s="662"/>
      <c r="G1" s="662"/>
      <c r="H1" s="2" t="s">
        <v>32</v>
      </c>
      <c r="I1" s="3"/>
    </row>
    <row r="2" spans="1:9" ht="18" thickBot="1" x14ac:dyDescent="0.35">
      <c r="A2" s="641"/>
      <c r="B2" s="642"/>
      <c r="C2" s="663" t="s">
        <v>31</v>
      </c>
      <c r="D2" s="663"/>
      <c r="E2" s="663"/>
      <c r="F2" s="663"/>
      <c r="G2" s="663"/>
      <c r="H2" s="4" t="s">
        <v>30</v>
      </c>
      <c r="I2" s="5"/>
    </row>
    <row r="3" spans="1:9" ht="15.95" customHeight="1" thickBot="1" x14ac:dyDescent="0.3">
      <c r="A3" s="641"/>
      <c r="B3" s="642"/>
      <c r="C3" s="664" t="s">
        <v>78</v>
      </c>
      <c r="D3" s="664"/>
      <c r="E3" s="664"/>
      <c r="F3" s="664"/>
      <c r="G3" s="665"/>
      <c r="H3" s="666" t="s">
        <v>29</v>
      </c>
      <c r="I3" s="653"/>
    </row>
    <row r="4" spans="1:9" ht="17.25" x14ac:dyDescent="0.3">
      <c r="A4" s="641"/>
      <c r="B4" s="642"/>
      <c r="C4" s="6" t="s">
        <v>28</v>
      </c>
      <c r="D4" s="656" t="s">
        <v>35</v>
      </c>
      <c r="E4" s="657"/>
      <c r="F4" s="657"/>
      <c r="G4" s="658"/>
      <c r="H4" s="667"/>
      <c r="I4" s="654"/>
    </row>
    <row r="5" spans="1:9" ht="18" thickBot="1" x14ac:dyDescent="0.35">
      <c r="A5" s="643"/>
      <c r="B5" s="644"/>
      <c r="C5" s="7" t="s">
        <v>27</v>
      </c>
      <c r="D5" s="659" t="s">
        <v>36</v>
      </c>
      <c r="E5" s="660"/>
      <c r="F5" s="660"/>
      <c r="G5" s="661"/>
      <c r="H5" s="668"/>
      <c r="I5" s="655"/>
    </row>
    <row r="6" spans="1:9" ht="16.5" thickBot="1" x14ac:dyDescent="0.3">
      <c r="A6" s="669" t="s">
        <v>26</v>
      </c>
      <c r="B6" s="669"/>
      <c r="C6" s="669"/>
      <c r="D6" s="670" t="s">
        <v>43</v>
      </c>
      <c r="E6" s="670"/>
      <c r="F6" s="670"/>
      <c r="G6" s="671" t="s">
        <v>25</v>
      </c>
      <c r="H6" s="671"/>
      <c r="I6" s="8" t="s">
        <v>44</v>
      </c>
    </row>
    <row r="7" spans="1:9" x14ac:dyDescent="0.25">
      <c r="A7" s="632" t="s">
        <v>24</v>
      </c>
      <c r="B7" s="634" t="s">
        <v>23</v>
      </c>
      <c r="C7" s="636" t="s">
        <v>22</v>
      </c>
      <c r="D7" s="636" t="s">
        <v>21</v>
      </c>
      <c r="E7" s="636" t="s">
        <v>20</v>
      </c>
      <c r="F7" s="636"/>
      <c r="G7" s="636" t="s">
        <v>19</v>
      </c>
      <c r="H7" s="636"/>
      <c r="I7" s="9" t="s">
        <v>18</v>
      </c>
    </row>
    <row r="8" spans="1:9" ht="31.5" thickBot="1" x14ac:dyDescent="0.3">
      <c r="A8" s="633"/>
      <c r="B8" s="635"/>
      <c r="C8" s="637"/>
      <c r="D8" s="638"/>
      <c r="E8" s="10" t="s">
        <v>15</v>
      </c>
      <c r="F8" s="11" t="s">
        <v>17</v>
      </c>
      <c r="G8" s="10" t="s">
        <v>15</v>
      </c>
      <c r="H8" s="11" t="s">
        <v>17</v>
      </c>
      <c r="I8" s="12" t="s">
        <v>16</v>
      </c>
    </row>
    <row r="9" spans="1:9" ht="15.75" x14ac:dyDescent="0.25">
      <c r="A9" s="13"/>
      <c r="B9" s="15"/>
      <c r="C9" s="14" t="s">
        <v>37</v>
      </c>
      <c r="D9" s="15"/>
      <c r="E9" s="16"/>
      <c r="F9" s="17"/>
      <c r="G9" s="16"/>
      <c r="H9" s="17"/>
      <c r="I9" s="18"/>
    </row>
    <row r="10" spans="1:9" ht="15" customHeight="1" x14ac:dyDescent="0.25">
      <c r="A10" s="19"/>
      <c r="B10" s="66" t="s">
        <v>64</v>
      </c>
      <c r="C10" s="67" t="s">
        <v>134</v>
      </c>
      <c r="D10" s="48" t="s">
        <v>34</v>
      </c>
      <c r="E10" s="49">
        <v>342</v>
      </c>
      <c r="F10" s="50" t="s">
        <v>2</v>
      </c>
      <c r="G10" s="1"/>
      <c r="H10" s="68" t="s">
        <v>75</v>
      </c>
      <c r="I10" s="62"/>
    </row>
    <row r="11" spans="1:9" ht="15" customHeight="1" x14ac:dyDescent="0.25">
      <c r="A11" s="19"/>
      <c r="B11" s="69" t="s">
        <v>38</v>
      </c>
      <c r="C11" s="1" t="s">
        <v>39</v>
      </c>
      <c r="D11" s="48" t="s">
        <v>34</v>
      </c>
      <c r="E11" s="49">
        <v>160</v>
      </c>
      <c r="F11" s="50" t="s">
        <v>2</v>
      </c>
      <c r="G11" s="1" t="s">
        <v>65</v>
      </c>
      <c r="H11" s="68"/>
      <c r="I11" s="62"/>
    </row>
    <row r="12" spans="1:9" ht="15" customHeight="1" x14ac:dyDescent="0.25">
      <c r="A12" s="19"/>
      <c r="B12" s="69" t="s">
        <v>45</v>
      </c>
      <c r="C12" s="1" t="s">
        <v>46</v>
      </c>
      <c r="D12" s="48" t="s">
        <v>34</v>
      </c>
      <c r="E12" s="49">
        <v>540</v>
      </c>
      <c r="F12" s="50" t="s">
        <v>2</v>
      </c>
      <c r="G12" s="1" t="s">
        <v>66</v>
      </c>
      <c r="H12" s="68" t="s">
        <v>73</v>
      </c>
      <c r="I12" s="62"/>
    </row>
    <row r="13" spans="1:9" ht="15" customHeight="1" x14ac:dyDescent="0.25">
      <c r="A13" s="19"/>
      <c r="B13" s="66" t="s">
        <v>48</v>
      </c>
      <c r="C13" s="67" t="s">
        <v>47</v>
      </c>
      <c r="D13" s="48" t="s">
        <v>34</v>
      </c>
      <c r="E13" s="49">
        <v>120</v>
      </c>
      <c r="F13" s="50" t="s">
        <v>2</v>
      </c>
      <c r="G13" s="1" t="s">
        <v>65</v>
      </c>
      <c r="H13" s="68" t="s">
        <v>67</v>
      </c>
      <c r="I13" s="62"/>
    </row>
    <row r="14" spans="1:9" ht="15" customHeight="1" x14ac:dyDescent="0.25">
      <c r="A14" s="19"/>
      <c r="B14" s="66"/>
      <c r="C14" s="67"/>
      <c r="D14" s="48"/>
      <c r="E14" s="49"/>
      <c r="F14" s="50"/>
      <c r="G14" s="1"/>
      <c r="H14" s="68"/>
      <c r="I14" s="62"/>
    </row>
    <row r="15" spans="1:9" ht="15" customHeight="1" x14ac:dyDescent="0.25">
      <c r="A15" s="19"/>
      <c r="B15" s="66"/>
      <c r="C15" s="67"/>
      <c r="D15" s="48"/>
      <c r="E15" s="49"/>
      <c r="F15" s="50"/>
      <c r="G15" s="1"/>
      <c r="H15" s="68"/>
      <c r="I15" s="62"/>
    </row>
    <row r="16" spans="1:9" ht="15.75" x14ac:dyDescent="0.25">
      <c r="A16" s="19"/>
      <c r="B16" s="47"/>
      <c r="C16" s="47"/>
      <c r="D16" s="51"/>
      <c r="E16" s="52"/>
      <c r="F16" s="53"/>
      <c r="G16" s="1"/>
      <c r="H16" s="64"/>
      <c r="I16" s="62"/>
    </row>
    <row r="17" spans="1:9" ht="15.75" x14ac:dyDescent="0.25">
      <c r="A17" s="19"/>
      <c r="B17" s="47"/>
      <c r="C17" s="54" t="s">
        <v>40</v>
      </c>
      <c r="D17" s="51"/>
      <c r="E17" s="51"/>
      <c r="F17" s="53"/>
      <c r="G17" s="1"/>
      <c r="H17" s="64"/>
      <c r="I17" s="62"/>
    </row>
    <row r="18" spans="1:9" ht="15.75" x14ac:dyDescent="0.25">
      <c r="A18" s="22"/>
      <c r="B18" s="69" t="s">
        <v>41</v>
      </c>
      <c r="C18" s="1" t="s">
        <v>42</v>
      </c>
      <c r="D18" s="57" t="s">
        <v>34</v>
      </c>
      <c r="E18" s="51">
        <v>120</v>
      </c>
      <c r="F18" s="53"/>
      <c r="G18" s="1"/>
      <c r="H18" s="70" t="s">
        <v>49</v>
      </c>
      <c r="I18" s="61"/>
    </row>
    <row r="19" spans="1:9" ht="15.75" x14ac:dyDescent="0.25">
      <c r="A19" s="21"/>
      <c r="B19" s="69" t="s">
        <v>41</v>
      </c>
      <c r="C19" s="1" t="s">
        <v>42</v>
      </c>
      <c r="D19" s="57" t="s">
        <v>34</v>
      </c>
      <c r="E19" s="51">
        <v>35</v>
      </c>
      <c r="F19" s="53"/>
      <c r="G19" s="1"/>
      <c r="H19" s="70" t="s">
        <v>50</v>
      </c>
      <c r="I19" s="61"/>
    </row>
    <row r="20" spans="1:9" ht="15.75" x14ac:dyDescent="0.25">
      <c r="A20" s="21"/>
      <c r="B20" s="69" t="s">
        <v>64</v>
      </c>
      <c r="C20" s="1" t="s">
        <v>63</v>
      </c>
      <c r="D20" s="57"/>
      <c r="E20" s="51">
        <v>15</v>
      </c>
      <c r="F20" s="53"/>
      <c r="G20" s="1"/>
      <c r="H20" s="70"/>
      <c r="I20" s="61"/>
    </row>
    <row r="21" spans="1:9" ht="15.75" x14ac:dyDescent="0.25">
      <c r="A21" s="21"/>
      <c r="B21" s="69"/>
      <c r="C21" s="1"/>
      <c r="D21" s="57"/>
      <c r="E21" s="51"/>
      <c r="F21" s="53"/>
      <c r="G21" s="1"/>
      <c r="H21" s="70"/>
      <c r="I21" s="61"/>
    </row>
    <row r="22" spans="1:9" ht="15.75" x14ac:dyDescent="0.25">
      <c r="A22" s="23"/>
      <c r="B22" s="47"/>
      <c r="C22" s="47"/>
      <c r="D22" s="51"/>
      <c r="E22" s="51"/>
      <c r="F22" s="53"/>
      <c r="G22" s="1"/>
      <c r="H22" s="64"/>
      <c r="I22" s="61"/>
    </row>
    <row r="23" spans="1:9" ht="15.75" x14ac:dyDescent="0.25">
      <c r="A23" s="23"/>
      <c r="B23" s="58"/>
      <c r="C23" s="80" t="s">
        <v>62</v>
      </c>
      <c r="D23" s="56"/>
      <c r="E23" s="51"/>
      <c r="F23" s="53"/>
      <c r="G23" s="1"/>
      <c r="H23" s="64"/>
      <c r="I23" s="61"/>
    </row>
    <row r="24" spans="1:9" ht="15.75" x14ac:dyDescent="0.25">
      <c r="A24" s="23"/>
      <c r="B24" s="71" t="s">
        <v>51</v>
      </c>
      <c r="C24" s="72" t="s">
        <v>52</v>
      </c>
      <c r="D24" s="73" t="s">
        <v>53</v>
      </c>
      <c r="E24" s="74">
        <v>1</v>
      </c>
      <c r="F24" s="73" t="s">
        <v>5</v>
      </c>
      <c r="G24" s="1"/>
      <c r="H24" s="64"/>
      <c r="I24" s="61"/>
    </row>
    <row r="25" spans="1:9" ht="15.75" x14ac:dyDescent="0.25">
      <c r="A25" s="22"/>
      <c r="B25" s="73" t="s">
        <v>76</v>
      </c>
      <c r="C25" s="72" t="s">
        <v>77</v>
      </c>
      <c r="D25" s="51" t="s">
        <v>59</v>
      </c>
      <c r="E25" s="75">
        <v>1</v>
      </c>
      <c r="F25" s="73" t="s">
        <v>5</v>
      </c>
      <c r="G25" s="53"/>
      <c r="H25" s="65"/>
      <c r="I25" s="61"/>
    </row>
    <row r="26" spans="1:9" ht="15.75" x14ac:dyDescent="0.25">
      <c r="A26" s="24"/>
      <c r="B26" s="76" t="s">
        <v>54</v>
      </c>
      <c r="C26" s="77" t="s">
        <v>55</v>
      </c>
      <c r="D26" s="51" t="s">
        <v>56</v>
      </c>
      <c r="E26" s="78">
        <v>2</v>
      </c>
      <c r="F26" s="53" t="s">
        <v>5</v>
      </c>
      <c r="G26" s="53"/>
      <c r="H26" s="65"/>
      <c r="I26" s="61"/>
    </row>
    <row r="27" spans="1:9" ht="15.75" x14ac:dyDescent="0.25">
      <c r="A27" s="25"/>
      <c r="B27" s="76" t="s">
        <v>57</v>
      </c>
      <c r="C27" s="79" t="s">
        <v>58</v>
      </c>
      <c r="D27" s="51" t="s">
        <v>59</v>
      </c>
      <c r="E27" s="51">
        <v>1</v>
      </c>
      <c r="F27" s="53" t="s">
        <v>5</v>
      </c>
      <c r="G27" s="53"/>
      <c r="H27" s="65"/>
      <c r="I27" s="61"/>
    </row>
    <row r="28" spans="1:9" ht="15.75" x14ac:dyDescent="0.25">
      <c r="A28" s="25"/>
      <c r="B28" s="76" t="s">
        <v>60</v>
      </c>
      <c r="C28" s="79" t="s">
        <v>61</v>
      </c>
      <c r="D28" s="51" t="s">
        <v>59</v>
      </c>
      <c r="E28" s="51">
        <v>1</v>
      </c>
      <c r="F28" s="53" t="s">
        <v>5</v>
      </c>
      <c r="G28" s="53"/>
      <c r="H28" s="65"/>
      <c r="I28" s="61"/>
    </row>
    <row r="29" spans="1:9" ht="15.75" x14ac:dyDescent="0.25">
      <c r="A29" s="25"/>
      <c r="B29" s="1"/>
      <c r="C29" s="1"/>
      <c r="D29" s="1"/>
      <c r="E29" s="1"/>
      <c r="F29" s="1"/>
      <c r="G29" s="1"/>
      <c r="H29" s="1"/>
      <c r="I29" s="61"/>
    </row>
    <row r="30" spans="1:9" ht="15.75" x14ac:dyDescent="0.25">
      <c r="A30" s="26"/>
      <c r="B30" s="1"/>
      <c r="C30" s="1"/>
      <c r="D30" s="1"/>
      <c r="E30" s="1"/>
      <c r="F30" s="1"/>
      <c r="G30" s="1"/>
      <c r="H30" s="1"/>
      <c r="I30" s="62"/>
    </row>
    <row r="31" spans="1:9" ht="15.75" x14ac:dyDescent="0.25">
      <c r="A31" s="26"/>
      <c r="B31" s="1"/>
      <c r="C31" s="1"/>
      <c r="D31" s="1"/>
      <c r="E31" s="1"/>
      <c r="F31" s="1"/>
      <c r="G31" s="1"/>
      <c r="H31" s="1"/>
      <c r="I31" s="55"/>
    </row>
    <row r="32" spans="1:9" ht="15.75" x14ac:dyDescent="0.25">
      <c r="A32" s="22"/>
      <c r="B32" s="1"/>
      <c r="C32" s="1"/>
      <c r="D32" s="1"/>
      <c r="E32" s="1"/>
      <c r="F32" s="1"/>
      <c r="G32" s="1"/>
      <c r="H32" s="1"/>
      <c r="I32" s="55"/>
    </row>
    <row r="33" spans="1:9" ht="15.75" x14ac:dyDescent="0.25">
      <c r="A33" s="22"/>
      <c r="B33" s="1"/>
      <c r="C33" s="1"/>
      <c r="D33" s="1"/>
      <c r="E33" s="1"/>
      <c r="F33" s="1"/>
      <c r="G33" s="1"/>
      <c r="H33" s="1"/>
      <c r="I33" s="55"/>
    </row>
    <row r="34" spans="1:9" ht="15.75" x14ac:dyDescent="0.25">
      <c r="A34" s="27"/>
      <c r="B34" s="1"/>
      <c r="C34" s="1"/>
      <c r="D34" s="1"/>
      <c r="E34" s="1"/>
      <c r="F34" s="1"/>
      <c r="G34" s="1"/>
      <c r="H34" s="1"/>
      <c r="I34" s="55"/>
    </row>
    <row r="35" spans="1:9" ht="15.75" x14ac:dyDescent="0.25">
      <c r="A35" s="25"/>
      <c r="B35" s="1"/>
      <c r="C35" s="1"/>
      <c r="D35" s="1"/>
      <c r="E35" s="1"/>
      <c r="F35" s="1"/>
      <c r="G35" s="1"/>
      <c r="H35" s="1"/>
      <c r="I35" s="55"/>
    </row>
    <row r="36" spans="1:9" ht="15.75" x14ac:dyDescent="0.25">
      <c r="A36" s="20"/>
      <c r="B36" s="59"/>
      <c r="C36" s="81"/>
      <c r="D36" s="59"/>
      <c r="E36" s="59"/>
      <c r="F36" s="60"/>
      <c r="G36" s="53"/>
      <c r="H36" s="63"/>
      <c r="I36" s="62"/>
    </row>
    <row r="37" spans="1:9" ht="18" thickBot="1" x14ac:dyDescent="0.35">
      <c r="A37" s="28"/>
      <c r="B37" s="29"/>
      <c r="C37" s="30"/>
      <c r="D37" s="30"/>
      <c r="E37" s="31"/>
      <c r="F37" s="32"/>
      <c r="G37" s="30"/>
      <c r="H37" s="30"/>
      <c r="I37" s="33"/>
    </row>
    <row r="38" spans="1:9" ht="18" thickBot="1" x14ac:dyDescent="0.35">
      <c r="A38" s="34"/>
      <c r="B38" s="35"/>
      <c r="C38" s="36"/>
      <c r="D38" s="37" t="s">
        <v>15</v>
      </c>
      <c r="E38" s="38" t="s">
        <v>14</v>
      </c>
      <c r="F38" s="39"/>
      <c r="G38" s="36"/>
      <c r="H38" s="36"/>
      <c r="I38" s="40"/>
    </row>
    <row r="39" spans="1:9" ht="17.25" x14ac:dyDescent="0.3">
      <c r="A39" s="680" t="s">
        <v>13</v>
      </c>
      <c r="B39" s="681"/>
      <c r="C39" s="682"/>
      <c r="D39" s="41">
        <v>1315</v>
      </c>
      <c r="E39" s="42" t="s">
        <v>2</v>
      </c>
      <c r="F39" s="683" t="s">
        <v>12</v>
      </c>
      <c r="G39" s="683"/>
      <c r="H39" s="684"/>
      <c r="I39" s="685"/>
    </row>
    <row r="40" spans="1:9" ht="17.25" x14ac:dyDescent="0.3">
      <c r="A40" s="676" t="s">
        <v>11</v>
      </c>
      <c r="B40" s="677"/>
      <c r="C40" s="678"/>
      <c r="D40" s="43">
        <v>7</v>
      </c>
      <c r="E40" s="44" t="s">
        <v>10</v>
      </c>
      <c r="F40" s="679" t="s">
        <v>9</v>
      </c>
      <c r="G40" s="679"/>
      <c r="H40" s="674"/>
      <c r="I40" s="675"/>
    </row>
    <row r="41" spans="1:9" ht="17.25" x14ac:dyDescent="0.3">
      <c r="A41" s="676" t="s">
        <v>8</v>
      </c>
      <c r="B41" s="677"/>
      <c r="C41" s="678"/>
      <c r="D41" s="44">
        <v>1</v>
      </c>
      <c r="E41" s="44" t="s">
        <v>5</v>
      </c>
      <c r="F41" s="679" t="s">
        <v>7</v>
      </c>
      <c r="G41" s="679"/>
      <c r="H41" s="674"/>
      <c r="I41" s="675"/>
    </row>
    <row r="42" spans="1:9" ht="17.25" x14ac:dyDescent="0.3">
      <c r="A42" s="676" t="s">
        <v>6</v>
      </c>
      <c r="B42" s="677"/>
      <c r="C42" s="678"/>
      <c r="D42" s="44">
        <v>1315</v>
      </c>
      <c r="E42" s="44" t="s">
        <v>2</v>
      </c>
      <c r="F42" s="672" t="s">
        <v>4</v>
      </c>
      <c r="G42" s="673"/>
      <c r="H42" s="674"/>
      <c r="I42" s="675"/>
    </row>
    <row r="43" spans="1:9" ht="18" thickBot="1" x14ac:dyDescent="0.35">
      <c r="A43" s="647" t="s">
        <v>3</v>
      </c>
      <c r="B43" s="648"/>
      <c r="C43" s="649"/>
      <c r="D43" s="45">
        <f>SUM(E10:E20)-D39</f>
        <v>17</v>
      </c>
      <c r="E43" s="46" t="s">
        <v>2</v>
      </c>
      <c r="F43" s="650"/>
      <c r="G43" s="650"/>
      <c r="H43" s="651"/>
      <c r="I43" s="652"/>
    </row>
    <row r="44" spans="1:9" ht="16.5" thickBot="1" x14ac:dyDescent="0.3">
      <c r="A44" s="693" t="s">
        <v>1</v>
      </c>
      <c r="B44" s="694"/>
      <c r="C44" s="694"/>
      <c r="D44" s="694"/>
      <c r="E44" s="694"/>
      <c r="F44" s="694"/>
      <c r="G44" s="694"/>
      <c r="H44" s="694"/>
      <c r="I44" s="695"/>
    </row>
    <row r="45" spans="1:9" ht="28.9" customHeight="1" x14ac:dyDescent="0.25">
      <c r="A45" s="696" t="s">
        <v>69</v>
      </c>
      <c r="B45" s="697"/>
      <c r="C45" s="697"/>
      <c r="D45" s="697"/>
      <c r="E45" s="697"/>
      <c r="F45" s="697"/>
      <c r="G45" s="697"/>
      <c r="H45" s="697"/>
      <c r="I45" s="698"/>
    </row>
    <row r="46" spans="1:9" ht="16.899999999999999" customHeight="1" x14ac:dyDescent="0.25">
      <c r="A46" s="645" t="s">
        <v>68</v>
      </c>
      <c r="B46" s="646"/>
      <c r="C46" s="646"/>
      <c r="D46" s="646"/>
      <c r="E46" s="646"/>
      <c r="F46" s="646"/>
      <c r="G46" s="646"/>
      <c r="H46" s="646"/>
      <c r="I46" s="646"/>
    </row>
    <row r="47" spans="1:9" ht="14.45" customHeight="1" x14ac:dyDescent="0.25">
      <c r="A47" s="645" t="s">
        <v>70</v>
      </c>
      <c r="B47" s="646"/>
      <c r="C47" s="646"/>
      <c r="D47" s="646"/>
      <c r="E47" s="646"/>
      <c r="F47" s="646"/>
      <c r="G47" s="646"/>
      <c r="H47" s="646"/>
      <c r="I47" s="710"/>
    </row>
    <row r="48" spans="1:9" ht="14.45" customHeight="1" x14ac:dyDescent="0.25">
      <c r="A48" s="646" t="s">
        <v>71</v>
      </c>
      <c r="B48" s="646"/>
      <c r="C48" s="646"/>
      <c r="D48" s="646"/>
      <c r="E48" s="646"/>
      <c r="F48" s="646"/>
      <c r="G48" s="646"/>
      <c r="H48" s="646"/>
      <c r="I48" s="646"/>
    </row>
    <row r="49" spans="1:9" ht="14.45" customHeight="1" x14ac:dyDescent="0.3">
      <c r="A49" s="708" t="s">
        <v>72</v>
      </c>
      <c r="B49" s="709"/>
      <c r="C49" s="709"/>
      <c r="D49" s="709"/>
      <c r="E49" s="709"/>
      <c r="F49" s="709"/>
      <c r="G49" s="709"/>
      <c r="H49" s="709"/>
      <c r="I49" s="709"/>
    </row>
    <row r="50" spans="1:9" ht="14.45" customHeight="1" x14ac:dyDescent="0.25">
      <c r="A50" s="711"/>
      <c r="B50" s="712"/>
      <c r="C50" s="712"/>
      <c r="D50" s="712"/>
      <c r="E50" s="712"/>
      <c r="F50" s="712"/>
      <c r="G50" s="712"/>
      <c r="H50" s="712"/>
      <c r="I50" s="712"/>
    </row>
    <row r="51" spans="1:9" ht="15.6" customHeight="1" x14ac:dyDescent="0.3">
      <c r="A51" s="705"/>
      <c r="B51" s="706"/>
      <c r="C51" s="706"/>
      <c r="D51" s="706"/>
      <c r="E51" s="706"/>
      <c r="F51" s="706"/>
      <c r="G51" s="706"/>
      <c r="H51" s="706"/>
      <c r="I51" s="707"/>
    </row>
    <row r="52" spans="1:9" ht="17.25" x14ac:dyDescent="0.3">
      <c r="A52" s="699"/>
      <c r="B52" s="700"/>
      <c r="C52" s="700"/>
      <c r="D52" s="700"/>
      <c r="E52" s="700"/>
      <c r="F52" s="700"/>
      <c r="G52" s="700"/>
      <c r="H52" s="700"/>
      <c r="I52" s="701"/>
    </row>
    <row r="53" spans="1:9" ht="17.25" x14ac:dyDescent="0.3">
      <c r="A53" s="699"/>
      <c r="B53" s="700"/>
      <c r="C53" s="700"/>
      <c r="D53" s="700"/>
      <c r="E53" s="700"/>
      <c r="F53" s="700"/>
      <c r="G53" s="700"/>
      <c r="H53" s="700"/>
      <c r="I53" s="701"/>
    </row>
    <row r="54" spans="1:9" ht="18" customHeight="1" x14ac:dyDescent="0.3">
      <c r="A54" s="699"/>
      <c r="B54" s="700"/>
      <c r="C54" s="700"/>
      <c r="D54" s="700"/>
      <c r="E54" s="700"/>
      <c r="F54" s="700"/>
      <c r="G54" s="700"/>
      <c r="H54" s="700"/>
      <c r="I54" s="701"/>
    </row>
    <row r="55" spans="1:9" ht="17.25" x14ac:dyDescent="0.3">
      <c r="A55" s="699"/>
      <c r="B55" s="700"/>
      <c r="C55" s="700"/>
      <c r="D55" s="700"/>
      <c r="E55" s="700"/>
      <c r="F55" s="700"/>
      <c r="G55" s="700"/>
      <c r="H55" s="700"/>
      <c r="I55" s="701"/>
    </row>
    <row r="56" spans="1:9" ht="18" thickBot="1" x14ac:dyDescent="0.35">
      <c r="A56" s="702"/>
      <c r="B56" s="703"/>
      <c r="C56" s="703"/>
      <c r="D56" s="703"/>
      <c r="E56" s="703"/>
      <c r="F56" s="703"/>
      <c r="G56" s="703"/>
      <c r="H56" s="703"/>
      <c r="I56" s="704"/>
    </row>
    <row r="57" spans="1:9" x14ac:dyDescent="0.25">
      <c r="A57" s="686" t="s">
        <v>0</v>
      </c>
      <c r="B57" s="687"/>
      <c r="C57" s="687"/>
      <c r="D57" s="687"/>
      <c r="E57" s="687"/>
      <c r="F57" s="687"/>
      <c r="G57" s="687"/>
      <c r="H57" s="687"/>
      <c r="I57" s="687"/>
    </row>
    <row r="58" spans="1:9" x14ac:dyDescent="0.25">
      <c r="A58" s="688"/>
      <c r="B58" s="689"/>
      <c r="C58" s="689"/>
      <c r="D58" s="689"/>
      <c r="E58" s="689"/>
      <c r="F58" s="689"/>
      <c r="G58" s="689"/>
      <c r="H58" s="689"/>
      <c r="I58" s="690"/>
    </row>
    <row r="59" spans="1:9" x14ac:dyDescent="0.25">
      <c r="A59" s="691"/>
      <c r="B59" s="692"/>
      <c r="C59" s="692"/>
      <c r="D59" s="692"/>
      <c r="E59" s="692"/>
      <c r="F59" s="692"/>
      <c r="G59" s="692"/>
      <c r="H59" s="692"/>
      <c r="I59" s="692"/>
    </row>
  </sheetData>
  <mergeCells count="48">
    <mergeCell ref="A57:I57"/>
    <mergeCell ref="A58:I58"/>
    <mergeCell ref="A59:I59"/>
    <mergeCell ref="A44:I44"/>
    <mergeCell ref="A45:I45"/>
    <mergeCell ref="A54:I54"/>
    <mergeCell ref="A55:I55"/>
    <mergeCell ref="A56:I56"/>
    <mergeCell ref="A51:I51"/>
    <mergeCell ref="A49:I49"/>
    <mergeCell ref="A52:I52"/>
    <mergeCell ref="A53:I53"/>
    <mergeCell ref="A47:I47"/>
    <mergeCell ref="A50:I50"/>
    <mergeCell ref="A48:I48"/>
    <mergeCell ref="A39:C39"/>
    <mergeCell ref="F39:G39"/>
    <mergeCell ref="H39:I39"/>
    <mergeCell ref="A40:C40"/>
    <mergeCell ref="F40:G40"/>
    <mergeCell ref="H40:I40"/>
    <mergeCell ref="F42:G42"/>
    <mergeCell ref="H42:I42"/>
    <mergeCell ref="A41:C41"/>
    <mergeCell ref="F41:G41"/>
    <mergeCell ref="H41:I41"/>
    <mergeCell ref="A42:C42"/>
    <mergeCell ref="A1:B5"/>
    <mergeCell ref="A46:I46"/>
    <mergeCell ref="A43:C43"/>
    <mergeCell ref="F43:G43"/>
    <mergeCell ref="H43:I43"/>
    <mergeCell ref="G7:H7"/>
    <mergeCell ref="I3:I5"/>
    <mergeCell ref="D4:G4"/>
    <mergeCell ref="D5:G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</mergeCells>
  <phoneticPr fontId="22" type="noConversion"/>
  <pageMargins left="0.7" right="0.7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59EA-CC06-4A3B-99B0-0C2E4ADB1F69}">
  <dimension ref="A1:I61"/>
  <sheetViews>
    <sheetView topLeftCell="A7" workbookViewId="0">
      <selection activeCell="B15" sqref="B15:C15"/>
    </sheetView>
  </sheetViews>
  <sheetFormatPr baseColWidth="10" defaultRowHeight="15" x14ac:dyDescent="0.25"/>
  <cols>
    <col min="3" max="3" width="47.5703125" customWidth="1"/>
    <col min="8" max="8" width="17.28515625" customWidth="1"/>
    <col min="9" max="9" width="17.140625" customWidth="1"/>
  </cols>
  <sheetData>
    <row r="1" spans="1:9" ht="17.25" x14ac:dyDescent="0.3">
      <c r="A1" s="639"/>
      <c r="B1" s="640"/>
      <c r="C1" s="662" t="s">
        <v>33</v>
      </c>
      <c r="D1" s="662"/>
      <c r="E1" s="662"/>
      <c r="F1" s="662"/>
      <c r="G1" s="662"/>
      <c r="H1" s="2" t="s">
        <v>32</v>
      </c>
      <c r="I1" s="3"/>
    </row>
    <row r="2" spans="1:9" ht="18" thickBot="1" x14ac:dyDescent="0.35">
      <c r="A2" s="641"/>
      <c r="B2" s="642"/>
      <c r="C2" s="663" t="s">
        <v>31</v>
      </c>
      <c r="D2" s="663"/>
      <c r="E2" s="663"/>
      <c r="F2" s="663"/>
      <c r="G2" s="663"/>
      <c r="H2" s="4" t="s">
        <v>30</v>
      </c>
      <c r="I2" s="5"/>
    </row>
    <row r="3" spans="1:9" ht="15.75" thickBot="1" x14ac:dyDescent="0.3">
      <c r="A3" s="641"/>
      <c r="B3" s="642"/>
      <c r="C3" s="664" t="s">
        <v>78</v>
      </c>
      <c r="D3" s="664"/>
      <c r="E3" s="664"/>
      <c r="F3" s="664"/>
      <c r="G3" s="665"/>
      <c r="H3" s="666" t="s">
        <v>29</v>
      </c>
      <c r="I3" s="653"/>
    </row>
    <row r="4" spans="1:9" ht="17.25" x14ac:dyDescent="0.3">
      <c r="A4" s="641"/>
      <c r="B4" s="642"/>
      <c r="C4" s="6" t="s">
        <v>28</v>
      </c>
      <c r="D4" s="656" t="s">
        <v>35</v>
      </c>
      <c r="E4" s="657"/>
      <c r="F4" s="657"/>
      <c r="G4" s="658"/>
      <c r="H4" s="667"/>
      <c r="I4" s="654"/>
    </row>
    <row r="5" spans="1:9" ht="18" thickBot="1" x14ac:dyDescent="0.35">
      <c r="A5" s="643"/>
      <c r="B5" s="644"/>
      <c r="C5" s="7" t="s">
        <v>27</v>
      </c>
      <c r="D5" s="659" t="s">
        <v>136</v>
      </c>
      <c r="E5" s="660"/>
      <c r="F5" s="660"/>
      <c r="G5" s="661"/>
      <c r="H5" s="668"/>
      <c r="I5" s="655"/>
    </row>
    <row r="6" spans="1:9" ht="16.5" thickBot="1" x14ac:dyDescent="0.3">
      <c r="A6" s="669" t="s">
        <v>26</v>
      </c>
      <c r="B6" s="669"/>
      <c r="C6" s="669"/>
      <c r="D6" s="670" t="s">
        <v>43</v>
      </c>
      <c r="E6" s="670"/>
      <c r="F6" s="670"/>
      <c r="G6" s="671" t="s">
        <v>25</v>
      </c>
      <c r="H6" s="671"/>
      <c r="I6" s="8" t="s">
        <v>44</v>
      </c>
    </row>
    <row r="7" spans="1:9" ht="30" x14ac:dyDescent="0.25">
      <c r="A7" s="632" t="s">
        <v>24</v>
      </c>
      <c r="B7" s="634" t="s">
        <v>23</v>
      </c>
      <c r="C7" s="636" t="s">
        <v>22</v>
      </c>
      <c r="D7" s="636" t="s">
        <v>21</v>
      </c>
      <c r="E7" s="636" t="s">
        <v>20</v>
      </c>
      <c r="F7" s="636"/>
      <c r="G7" s="636" t="s">
        <v>19</v>
      </c>
      <c r="H7" s="636"/>
      <c r="I7" s="9" t="s">
        <v>18</v>
      </c>
    </row>
    <row r="8" spans="1:9" ht="31.5" thickBot="1" x14ac:dyDescent="0.3">
      <c r="A8" s="633"/>
      <c r="B8" s="635"/>
      <c r="C8" s="637"/>
      <c r="D8" s="638"/>
      <c r="E8" s="10" t="s">
        <v>15</v>
      </c>
      <c r="F8" s="11" t="s">
        <v>17</v>
      </c>
      <c r="G8" s="10" t="s">
        <v>15</v>
      </c>
      <c r="H8" s="11" t="s">
        <v>17</v>
      </c>
      <c r="I8" s="12" t="s">
        <v>16</v>
      </c>
    </row>
    <row r="9" spans="1:9" ht="15.75" x14ac:dyDescent="0.25">
      <c r="A9" s="13"/>
      <c r="B9" s="15"/>
      <c r="C9" s="14" t="s">
        <v>37</v>
      </c>
      <c r="D9" s="15"/>
      <c r="E9" s="16"/>
      <c r="F9" s="17"/>
      <c r="G9" s="16"/>
      <c r="H9" s="17"/>
      <c r="I9" s="18"/>
    </row>
    <row r="10" spans="1:9" ht="15.75" x14ac:dyDescent="0.25">
      <c r="A10" s="203"/>
      <c r="B10" s="182" t="s">
        <v>64</v>
      </c>
      <c r="C10" s="183" t="s">
        <v>137</v>
      </c>
      <c r="D10" s="182"/>
      <c r="E10" s="184">
        <v>56</v>
      </c>
      <c r="F10" s="185" t="s">
        <v>138</v>
      </c>
      <c r="G10" s="184"/>
      <c r="H10" s="204"/>
      <c r="I10" s="181"/>
    </row>
    <row r="11" spans="1:9" ht="15.75" x14ac:dyDescent="0.25">
      <c r="A11" s="19"/>
      <c r="B11" s="186" t="s">
        <v>64</v>
      </c>
      <c r="C11" s="187" t="s">
        <v>134</v>
      </c>
      <c r="D11" s="188" t="s">
        <v>34</v>
      </c>
      <c r="E11" s="189">
        <v>226</v>
      </c>
      <c r="F11" s="190" t="s">
        <v>2</v>
      </c>
      <c r="G11" s="193"/>
      <c r="H11" s="192" t="s">
        <v>139</v>
      </c>
      <c r="I11" s="62"/>
    </row>
    <row r="12" spans="1:9" ht="15.75" x14ac:dyDescent="0.25">
      <c r="A12" s="19"/>
      <c r="B12" s="193" t="s">
        <v>38</v>
      </c>
      <c r="C12" s="191" t="s">
        <v>39</v>
      </c>
      <c r="D12" s="188" t="s">
        <v>34</v>
      </c>
      <c r="E12" s="189">
        <v>160</v>
      </c>
      <c r="F12" s="190" t="s">
        <v>2</v>
      </c>
      <c r="G12" s="193" t="s">
        <v>65</v>
      </c>
      <c r="H12" s="192"/>
      <c r="I12" s="62"/>
    </row>
    <row r="13" spans="1:9" ht="15.75" x14ac:dyDescent="0.25">
      <c r="A13" s="19"/>
      <c r="B13" s="22" t="s">
        <v>140</v>
      </c>
      <c r="C13" s="206" t="s">
        <v>141</v>
      </c>
      <c r="D13" s="188" t="s">
        <v>34</v>
      </c>
      <c r="E13" s="189">
        <v>600</v>
      </c>
      <c r="F13" s="190" t="s">
        <v>2</v>
      </c>
      <c r="G13" s="193" t="s">
        <v>142</v>
      </c>
      <c r="H13" s="192" t="s">
        <v>73</v>
      </c>
      <c r="I13" s="62"/>
    </row>
    <row r="14" spans="1:9" ht="15.75" x14ac:dyDescent="0.25">
      <c r="A14" s="19"/>
      <c r="B14" s="189" t="s">
        <v>48</v>
      </c>
      <c r="C14" s="194" t="s">
        <v>47</v>
      </c>
      <c r="D14" s="188" t="s">
        <v>34</v>
      </c>
      <c r="E14" s="189">
        <v>120</v>
      </c>
      <c r="F14" s="190" t="s">
        <v>2</v>
      </c>
      <c r="G14" s="193" t="s">
        <v>65</v>
      </c>
      <c r="H14" s="192" t="s">
        <v>67</v>
      </c>
      <c r="I14" s="62"/>
    </row>
    <row r="15" spans="1:9" ht="15.75" x14ac:dyDescent="0.25">
      <c r="A15" s="19"/>
      <c r="B15" s="189" t="s">
        <v>347</v>
      </c>
      <c r="C15" s="194" t="s">
        <v>348</v>
      </c>
      <c r="D15" s="188" t="s">
        <v>340</v>
      </c>
      <c r="E15" s="189">
        <v>12</v>
      </c>
      <c r="F15" s="190" t="s">
        <v>2</v>
      </c>
      <c r="G15" s="193" t="s">
        <v>144</v>
      </c>
      <c r="H15" s="192" t="s">
        <v>145</v>
      </c>
      <c r="I15" s="62"/>
    </row>
    <row r="16" spans="1:9" ht="15.75" x14ac:dyDescent="0.25">
      <c r="A16" s="19"/>
      <c r="B16" s="69"/>
      <c r="C16" s="1"/>
      <c r="D16" s="57"/>
      <c r="E16" s="51"/>
      <c r="F16" s="53"/>
      <c r="G16" s="69"/>
      <c r="H16" s="68"/>
      <c r="I16" s="62"/>
    </row>
    <row r="17" spans="1:9" ht="15.75" x14ac:dyDescent="0.25">
      <c r="A17" s="19"/>
      <c r="B17" s="197"/>
      <c r="C17" s="47"/>
      <c r="D17" s="51" t="s">
        <v>113</v>
      </c>
      <c r="E17" s="52"/>
      <c r="F17" s="53"/>
      <c r="G17" s="1"/>
      <c r="H17" s="64"/>
      <c r="I17" s="201"/>
    </row>
    <row r="18" spans="1:9" ht="15.75" x14ac:dyDescent="0.25">
      <c r="A18" s="19"/>
      <c r="B18" s="197"/>
      <c r="C18" s="54" t="s">
        <v>40</v>
      </c>
      <c r="D18" s="51"/>
      <c r="E18" s="51"/>
      <c r="F18" s="53"/>
      <c r="G18" s="1"/>
      <c r="H18" s="64"/>
      <c r="I18" s="201"/>
    </row>
    <row r="19" spans="1:9" ht="15.75" x14ac:dyDescent="0.25">
      <c r="A19" s="22"/>
      <c r="B19" s="198" t="s">
        <v>41</v>
      </c>
      <c r="C19" s="191" t="s">
        <v>42</v>
      </c>
      <c r="D19" s="195" t="s">
        <v>34</v>
      </c>
      <c r="E19" s="189">
        <v>25</v>
      </c>
      <c r="F19" s="190"/>
      <c r="G19" s="191"/>
      <c r="H19" s="196" t="s">
        <v>146</v>
      </c>
      <c r="I19" s="202"/>
    </row>
    <row r="20" spans="1:9" ht="15.75" x14ac:dyDescent="0.25">
      <c r="A20" s="21"/>
      <c r="B20" s="198" t="s">
        <v>41</v>
      </c>
      <c r="C20" s="191" t="s">
        <v>42</v>
      </c>
      <c r="D20" s="195" t="s">
        <v>34</v>
      </c>
      <c r="E20" s="189">
        <v>50</v>
      </c>
      <c r="F20" s="190"/>
      <c r="G20" s="191"/>
      <c r="H20" s="196" t="s">
        <v>147</v>
      </c>
      <c r="I20" s="202"/>
    </row>
    <row r="21" spans="1:9" ht="15.75" x14ac:dyDescent="0.25">
      <c r="A21" s="21"/>
      <c r="B21" s="198" t="s">
        <v>64</v>
      </c>
      <c r="C21" s="191" t="s">
        <v>63</v>
      </c>
      <c r="D21" s="195" t="s">
        <v>341</v>
      </c>
      <c r="E21" s="189">
        <v>15</v>
      </c>
      <c r="F21" s="190"/>
      <c r="G21" s="191"/>
      <c r="H21" s="196"/>
      <c r="I21" s="202"/>
    </row>
    <row r="22" spans="1:9" ht="15.75" x14ac:dyDescent="0.25">
      <c r="A22" s="21"/>
      <c r="C22" s="1"/>
      <c r="D22" s="1"/>
      <c r="E22" s="1"/>
      <c r="F22" s="1"/>
      <c r="H22" s="70"/>
      <c r="I22" s="202"/>
    </row>
    <row r="23" spans="1:9" ht="15.75" x14ac:dyDescent="0.25">
      <c r="A23" s="23"/>
      <c r="B23" s="197"/>
      <c r="C23" s="47"/>
      <c r="D23" s="51"/>
      <c r="E23" s="51"/>
      <c r="F23" s="53"/>
      <c r="G23" s="205"/>
      <c r="H23" s="64"/>
      <c r="I23" s="202"/>
    </row>
    <row r="24" spans="1:9" ht="15.75" x14ac:dyDescent="0.25">
      <c r="A24" s="23"/>
      <c r="B24" s="199"/>
      <c r="C24" s="80" t="s">
        <v>62</v>
      </c>
      <c r="D24" s="56"/>
      <c r="E24" s="51"/>
      <c r="F24" s="53"/>
      <c r="G24" s="1"/>
      <c r="H24" s="64"/>
      <c r="I24" s="202"/>
    </row>
    <row r="25" spans="1:9" ht="15.75" x14ac:dyDescent="0.25">
      <c r="A25" s="23"/>
      <c r="B25" s="200" t="s">
        <v>51</v>
      </c>
      <c r="C25" s="72" t="s">
        <v>52</v>
      </c>
      <c r="D25" s="73" t="s">
        <v>53</v>
      </c>
      <c r="E25" s="74">
        <v>1</v>
      </c>
      <c r="F25" s="73" t="s">
        <v>5</v>
      </c>
      <c r="G25" s="1"/>
      <c r="H25" s="64"/>
      <c r="I25" s="202"/>
    </row>
    <row r="26" spans="1:9" ht="15.75" x14ac:dyDescent="0.25">
      <c r="A26" s="22"/>
      <c r="B26" s="73" t="s">
        <v>346</v>
      </c>
      <c r="C26" s="72" t="s">
        <v>77</v>
      </c>
      <c r="D26" s="51" t="s">
        <v>59</v>
      </c>
      <c r="E26" s="75">
        <v>1</v>
      </c>
      <c r="F26" s="73" t="s">
        <v>5</v>
      </c>
      <c r="G26" s="53"/>
      <c r="H26" s="65"/>
      <c r="I26" s="61"/>
    </row>
    <row r="27" spans="1:9" ht="15.75" x14ac:dyDescent="0.25">
      <c r="A27" s="24"/>
      <c r="B27" s="76" t="s">
        <v>54</v>
      </c>
      <c r="C27" s="77" t="s">
        <v>55</v>
      </c>
      <c r="D27" s="51" t="s">
        <v>56</v>
      </c>
      <c r="E27" s="78">
        <v>2</v>
      </c>
      <c r="F27" s="53" t="s">
        <v>5</v>
      </c>
      <c r="G27" s="53"/>
      <c r="H27" s="65"/>
      <c r="I27" s="61"/>
    </row>
    <row r="28" spans="1:9" ht="15.75" x14ac:dyDescent="0.25">
      <c r="A28" s="25"/>
      <c r="B28" s="76" t="s">
        <v>57</v>
      </c>
      <c r="C28" s="79" t="s">
        <v>58</v>
      </c>
      <c r="D28" s="51" t="s">
        <v>59</v>
      </c>
      <c r="E28" s="51">
        <v>1</v>
      </c>
      <c r="F28" s="53" t="s">
        <v>5</v>
      </c>
      <c r="G28" s="53"/>
      <c r="H28" s="65"/>
      <c r="I28" s="61"/>
    </row>
    <row r="29" spans="1:9" ht="15.75" x14ac:dyDescent="0.25">
      <c r="A29" s="25"/>
      <c r="B29" s="76" t="s">
        <v>60</v>
      </c>
      <c r="C29" s="79" t="s">
        <v>61</v>
      </c>
      <c r="D29" s="51" t="s">
        <v>59</v>
      </c>
      <c r="E29" s="51">
        <v>1</v>
      </c>
      <c r="F29" s="53" t="s">
        <v>5</v>
      </c>
      <c r="G29" s="53"/>
      <c r="H29" s="65"/>
      <c r="I29" s="61"/>
    </row>
    <row r="30" spans="1:9" ht="15.75" x14ac:dyDescent="0.25">
      <c r="A30" s="25"/>
      <c r="B30" s="1"/>
      <c r="C30" s="1"/>
      <c r="D30" s="1"/>
      <c r="E30" s="1"/>
      <c r="F30" s="1"/>
      <c r="G30" s="1"/>
      <c r="H30" s="1"/>
      <c r="I30" s="61"/>
    </row>
    <row r="31" spans="1:9" ht="15.75" x14ac:dyDescent="0.25">
      <c r="A31" s="26"/>
      <c r="B31" s="1"/>
      <c r="C31" s="1"/>
      <c r="D31" s="1"/>
      <c r="E31" s="1"/>
      <c r="F31" s="1"/>
      <c r="G31" s="1"/>
      <c r="H31" s="1"/>
      <c r="I31" s="62"/>
    </row>
    <row r="32" spans="1:9" ht="15.75" x14ac:dyDescent="0.25">
      <c r="A32" s="26"/>
      <c r="B32" s="1"/>
      <c r="C32" s="1"/>
      <c r="D32" s="1"/>
      <c r="E32" s="1"/>
      <c r="F32" s="1"/>
      <c r="G32" s="1"/>
      <c r="H32" s="1"/>
      <c r="I32" s="55"/>
    </row>
    <row r="33" spans="1:9" ht="15.75" x14ac:dyDescent="0.25">
      <c r="A33" s="22"/>
      <c r="B33" s="1"/>
      <c r="C33" s="1"/>
      <c r="D33" s="1"/>
      <c r="E33" s="1"/>
      <c r="F33" s="1"/>
      <c r="G33" s="1"/>
      <c r="H33" s="1"/>
      <c r="I33" s="55"/>
    </row>
    <row r="34" spans="1:9" ht="15.75" x14ac:dyDescent="0.25">
      <c r="A34" s="22"/>
      <c r="B34" s="1"/>
      <c r="C34" s="1"/>
      <c r="D34" s="1"/>
      <c r="E34" s="1"/>
      <c r="F34" s="1"/>
      <c r="G34" s="1"/>
      <c r="H34" s="1"/>
      <c r="I34" s="55"/>
    </row>
    <row r="35" spans="1:9" ht="15.75" x14ac:dyDescent="0.25">
      <c r="A35" s="27"/>
      <c r="B35" s="1"/>
      <c r="C35" s="1"/>
      <c r="D35" s="1"/>
      <c r="E35" s="1"/>
      <c r="F35" s="1"/>
      <c r="G35" s="1"/>
      <c r="H35" s="1"/>
      <c r="I35" s="55"/>
    </row>
    <row r="36" spans="1:9" ht="15.75" x14ac:dyDescent="0.25">
      <c r="A36" s="25"/>
      <c r="B36" s="1"/>
      <c r="C36" s="1"/>
      <c r="D36" s="1"/>
      <c r="E36" s="1"/>
      <c r="F36" s="1"/>
      <c r="G36" s="1"/>
      <c r="H36" s="1"/>
      <c r="I36" s="55"/>
    </row>
    <row r="37" spans="1:9" ht="15.75" x14ac:dyDescent="0.25">
      <c r="A37" s="20"/>
      <c r="B37" s="59"/>
      <c r="C37" s="81"/>
      <c r="D37" s="59"/>
      <c r="E37" s="59"/>
      <c r="F37" s="60"/>
      <c r="G37" s="53"/>
      <c r="H37" s="63"/>
      <c r="I37" s="62"/>
    </row>
    <row r="38" spans="1:9" ht="18" thickBot="1" x14ac:dyDescent="0.35">
      <c r="A38" s="28"/>
      <c r="B38" s="29"/>
      <c r="C38" s="30"/>
      <c r="D38" s="30"/>
      <c r="E38" s="31"/>
      <c r="F38" s="32"/>
      <c r="G38" s="30"/>
      <c r="H38" s="30"/>
      <c r="I38" s="33"/>
    </row>
    <row r="39" spans="1:9" ht="18" thickBot="1" x14ac:dyDescent="0.35">
      <c r="A39" s="34"/>
      <c r="B39" s="35"/>
      <c r="C39" s="36"/>
      <c r="D39" s="37" t="s">
        <v>15</v>
      </c>
      <c r="E39" s="38" t="s">
        <v>14</v>
      </c>
      <c r="F39" s="39"/>
      <c r="G39" s="36"/>
      <c r="H39" s="36"/>
      <c r="I39" s="40"/>
    </row>
    <row r="40" spans="1:9" ht="17.25" x14ac:dyDescent="0.3">
      <c r="A40" s="680" t="s">
        <v>13</v>
      </c>
      <c r="B40" s="681"/>
      <c r="C40" s="682"/>
      <c r="D40" s="41">
        <v>1074</v>
      </c>
      <c r="E40" s="42" t="s">
        <v>2</v>
      </c>
      <c r="F40" s="683" t="s">
        <v>12</v>
      </c>
      <c r="G40" s="683"/>
      <c r="H40" s="684"/>
      <c r="I40" s="685"/>
    </row>
    <row r="41" spans="1:9" ht="17.25" x14ac:dyDescent="0.3">
      <c r="A41" s="676" t="s">
        <v>11</v>
      </c>
      <c r="B41" s="677"/>
      <c r="C41" s="678"/>
      <c r="D41" s="43">
        <v>7</v>
      </c>
      <c r="E41" s="44" t="s">
        <v>10</v>
      </c>
      <c r="F41" s="679" t="s">
        <v>9</v>
      </c>
      <c r="G41" s="679"/>
      <c r="H41" s="674"/>
      <c r="I41" s="675"/>
    </row>
    <row r="42" spans="1:9" ht="17.25" x14ac:dyDescent="0.3">
      <c r="A42" s="676" t="s">
        <v>8</v>
      </c>
      <c r="B42" s="677"/>
      <c r="C42" s="678"/>
      <c r="D42" s="44">
        <v>1</v>
      </c>
      <c r="E42" s="44" t="s">
        <v>5</v>
      </c>
      <c r="F42" s="679" t="s">
        <v>7</v>
      </c>
      <c r="G42" s="679"/>
      <c r="H42" s="674"/>
      <c r="I42" s="675"/>
    </row>
    <row r="43" spans="1:9" ht="17.25" x14ac:dyDescent="0.3">
      <c r="A43" s="676" t="s">
        <v>6</v>
      </c>
      <c r="B43" s="677"/>
      <c r="C43" s="678"/>
      <c r="D43" s="44">
        <v>1074</v>
      </c>
      <c r="E43" s="44" t="s">
        <v>2</v>
      </c>
      <c r="F43" s="672" t="s">
        <v>4</v>
      </c>
      <c r="G43" s="673"/>
      <c r="H43" s="674"/>
      <c r="I43" s="675"/>
    </row>
    <row r="44" spans="1:9" ht="18" thickBot="1" x14ac:dyDescent="0.35">
      <c r="A44" s="647" t="s">
        <v>3</v>
      </c>
      <c r="B44" s="648"/>
      <c r="C44" s="649"/>
      <c r="D44" s="45">
        <v>134</v>
      </c>
      <c r="E44" s="46" t="s">
        <v>2</v>
      </c>
      <c r="F44" s="650"/>
      <c r="G44" s="650"/>
      <c r="H44" s="651"/>
      <c r="I44" s="652"/>
    </row>
    <row r="45" spans="1:9" ht="16.5" thickBot="1" x14ac:dyDescent="0.3">
      <c r="A45" s="693" t="s">
        <v>1</v>
      </c>
      <c r="B45" s="694"/>
      <c r="C45" s="694"/>
      <c r="D45" s="694"/>
      <c r="E45" s="694"/>
      <c r="F45" s="694"/>
      <c r="G45" s="694"/>
      <c r="H45" s="694"/>
      <c r="I45" s="695"/>
    </row>
    <row r="46" spans="1:9" ht="15.75" thickBot="1" x14ac:dyDescent="0.3">
      <c r="A46" s="696" t="s">
        <v>148</v>
      </c>
      <c r="B46" s="697"/>
      <c r="C46" s="697"/>
      <c r="D46" s="697"/>
      <c r="E46" s="697"/>
      <c r="F46" s="697"/>
      <c r="G46" s="697"/>
      <c r="H46" s="697"/>
      <c r="I46" s="698"/>
    </row>
    <row r="47" spans="1:9" x14ac:dyDescent="0.25">
      <c r="A47" s="696" t="s">
        <v>149</v>
      </c>
      <c r="B47" s="697"/>
      <c r="C47" s="697"/>
      <c r="D47" s="697"/>
      <c r="E47" s="697"/>
      <c r="F47" s="697"/>
      <c r="G47" s="697"/>
      <c r="H47" s="697"/>
      <c r="I47" s="698"/>
    </row>
    <row r="48" spans="1:9" x14ac:dyDescent="0.25">
      <c r="A48" s="645" t="s">
        <v>150</v>
      </c>
      <c r="B48" s="646"/>
      <c r="C48" s="646"/>
      <c r="D48" s="646"/>
      <c r="E48" s="646"/>
      <c r="F48" s="646"/>
      <c r="G48" s="646"/>
      <c r="H48" s="646"/>
      <c r="I48" s="646"/>
    </row>
    <row r="49" spans="1:9" x14ac:dyDescent="0.25">
      <c r="A49" s="645" t="s">
        <v>151</v>
      </c>
      <c r="B49" s="646"/>
      <c r="C49" s="646"/>
      <c r="D49" s="646"/>
      <c r="E49" s="646"/>
      <c r="F49" s="646"/>
      <c r="G49" s="646"/>
      <c r="H49" s="646"/>
      <c r="I49" s="710"/>
    </row>
    <row r="50" spans="1:9" x14ac:dyDescent="0.25">
      <c r="A50" s="646" t="s">
        <v>152</v>
      </c>
      <c r="B50" s="646"/>
      <c r="C50" s="646"/>
      <c r="D50" s="646"/>
      <c r="E50" s="646"/>
      <c r="F50" s="646"/>
      <c r="G50" s="646"/>
      <c r="H50" s="646"/>
      <c r="I50" s="646"/>
    </row>
    <row r="51" spans="1:9" ht="16.5" x14ac:dyDescent="0.3">
      <c r="A51" s="708" t="s">
        <v>153</v>
      </c>
      <c r="B51" s="709"/>
      <c r="C51" s="709"/>
      <c r="D51" s="709"/>
      <c r="E51" s="709"/>
      <c r="F51" s="709"/>
      <c r="G51" s="709"/>
      <c r="H51" s="709"/>
      <c r="I51" s="709"/>
    </row>
    <row r="52" spans="1:9" x14ac:dyDescent="0.25">
      <c r="A52" s="711"/>
      <c r="B52" s="712"/>
      <c r="C52" s="712"/>
      <c r="D52" s="712"/>
      <c r="E52" s="712"/>
      <c r="F52" s="712"/>
      <c r="G52" s="712"/>
      <c r="H52" s="712"/>
      <c r="I52" s="712"/>
    </row>
    <row r="53" spans="1:9" ht="17.25" x14ac:dyDescent="0.3">
      <c r="A53" s="705"/>
      <c r="B53" s="706"/>
      <c r="C53" s="706"/>
      <c r="D53" s="706"/>
      <c r="E53" s="706"/>
      <c r="F53" s="706"/>
      <c r="G53" s="706"/>
      <c r="H53" s="706"/>
      <c r="I53" s="707"/>
    </row>
    <row r="54" spans="1:9" ht="17.25" x14ac:dyDescent="0.3">
      <c r="A54" s="699"/>
      <c r="B54" s="700"/>
      <c r="C54" s="700"/>
      <c r="D54" s="700"/>
      <c r="E54" s="700"/>
      <c r="F54" s="700"/>
      <c r="G54" s="700"/>
      <c r="H54" s="700"/>
      <c r="I54" s="701"/>
    </row>
    <row r="55" spans="1:9" ht="17.25" x14ac:dyDescent="0.3">
      <c r="A55" s="699"/>
      <c r="B55" s="700"/>
      <c r="C55" s="700"/>
      <c r="D55" s="700"/>
      <c r="E55" s="700"/>
      <c r="F55" s="700"/>
      <c r="G55" s="700"/>
      <c r="H55" s="700"/>
      <c r="I55" s="701"/>
    </row>
    <row r="56" spans="1:9" ht="17.25" x14ac:dyDescent="0.3">
      <c r="A56" s="699"/>
      <c r="B56" s="700"/>
      <c r="C56" s="700"/>
      <c r="D56" s="700"/>
      <c r="E56" s="700"/>
      <c r="F56" s="700"/>
      <c r="G56" s="700"/>
      <c r="H56" s="700"/>
      <c r="I56" s="701"/>
    </row>
    <row r="57" spans="1:9" ht="17.25" x14ac:dyDescent="0.3">
      <c r="A57" s="699"/>
      <c r="B57" s="700"/>
      <c r="C57" s="700"/>
      <c r="D57" s="700"/>
      <c r="E57" s="700"/>
      <c r="F57" s="700"/>
      <c r="G57" s="700"/>
      <c r="H57" s="700"/>
      <c r="I57" s="701"/>
    </row>
    <row r="58" spans="1:9" ht="18" thickBot="1" x14ac:dyDescent="0.35">
      <c r="A58" s="702"/>
      <c r="B58" s="703"/>
      <c r="C58" s="703"/>
      <c r="D58" s="703"/>
      <c r="E58" s="703"/>
      <c r="F58" s="703"/>
      <c r="G58" s="703"/>
      <c r="H58" s="703"/>
      <c r="I58" s="704"/>
    </row>
    <row r="59" spans="1:9" x14ac:dyDescent="0.25">
      <c r="A59" s="686" t="s">
        <v>0</v>
      </c>
      <c r="B59" s="687"/>
      <c r="C59" s="687"/>
      <c r="D59" s="687"/>
      <c r="E59" s="687"/>
      <c r="F59" s="687"/>
      <c r="G59" s="687"/>
      <c r="H59" s="687"/>
      <c r="I59" s="687"/>
    </row>
    <row r="60" spans="1:9" x14ac:dyDescent="0.25">
      <c r="A60" s="688"/>
      <c r="B60" s="689"/>
      <c r="C60" s="689"/>
      <c r="D60" s="689"/>
      <c r="E60" s="689"/>
      <c r="F60" s="689"/>
      <c r="G60" s="689"/>
      <c r="H60" s="689"/>
      <c r="I60" s="690"/>
    </row>
    <row r="61" spans="1:9" x14ac:dyDescent="0.25">
      <c r="A61" s="691"/>
      <c r="B61" s="692"/>
      <c r="C61" s="692"/>
      <c r="D61" s="692"/>
      <c r="E61" s="692"/>
      <c r="F61" s="692"/>
      <c r="G61" s="692"/>
      <c r="H61" s="692"/>
      <c r="I61" s="692"/>
    </row>
  </sheetData>
  <mergeCells count="49">
    <mergeCell ref="A40:C40"/>
    <mergeCell ref="F40:G40"/>
    <mergeCell ref="H40:I40"/>
    <mergeCell ref="A41:C41"/>
    <mergeCell ref="A7:A8"/>
    <mergeCell ref="B7:B8"/>
    <mergeCell ref="C7:C8"/>
    <mergeCell ref="D7:D8"/>
    <mergeCell ref="E7:F7"/>
    <mergeCell ref="F41:G41"/>
    <mergeCell ref="H41:I41"/>
    <mergeCell ref="A1:B5"/>
    <mergeCell ref="A48:I48"/>
    <mergeCell ref="A44:C44"/>
    <mergeCell ref="F44:G44"/>
    <mergeCell ref="H44:I44"/>
    <mergeCell ref="G7:H7"/>
    <mergeCell ref="I3:I5"/>
    <mergeCell ref="D4:G4"/>
    <mergeCell ref="D5:G5"/>
    <mergeCell ref="C1:G1"/>
    <mergeCell ref="C2:G2"/>
    <mergeCell ref="C3:G3"/>
    <mergeCell ref="H3:H5"/>
    <mergeCell ref="A6:C6"/>
    <mergeCell ref="D6:F6"/>
    <mergeCell ref="G6:H6"/>
    <mergeCell ref="A61:I61"/>
    <mergeCell ref="A45:I45"/>
    <mergeCell ref="A46:I46"/>
    <mergeCell ref="A56:I56"/>
    <mergeCell ref="A57:I57"/>
    <mergeCell ref="A58:I58"/>
    <mergeCell ref="A53:I53"/>
    <mergeCell ref="A51:I51"/>
    <mergeCell ref="A54:I54"/>
    <mergeCell ref="A55:I55"/>
    <mergeCell ref="A49:I49"/>
    <mergeCell ref="A52:I52"/>
    <mergeCell ref="A47:I47"/>
    <mergeCell ref="A50:I50"/>
    <mergeCell ref="A59:I59"/>
    <mergeCell ref="A60:I60"/>
    <mergeCell ref="F43:G43"/>
    <mergeCell ref="H43:I43"/>
    <mergeCell ref="A42:C42"/>
    <mergeCell ref="F42:G42"/>
    <mergeCell ref="H42:I42"/>
    <mergeCell ref="A43:C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39E8-A0F0-4325-8F95-72564FB4F15C}">
  <dimension ref="A1:R91"/>
  <sheetViews>
    <sheetView zoomScale="115" zoomScaleNormal="115" workbookViewId="0">
      <selection activeCell="F9" sqref="F9"/>
    </sheetView>
  </sheetViews>
  <sheetFormatPr baseColWidth="10" defaultColWidth="8.42578125" defaultRowHeight="12.75" x14ac:dyDescent="0.25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11" style="87" customWidth="1"/>
    <col min="6" max="6" width="9.5703125" style="87" bestFit="1" customWidth="1"/>
    <col min="7" max="7" width="10.85546875" style="169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5" width="8.42578125" style="87"/>
    <col min="16" max="16" width="9" style="87" bestFit="1" customWidth="1"/>
    <col min="17" max="17" width="3.28515625" style="87" customWidth="1"/>
    <col min="18" max="16384" width="8.42578125" style="87"/>
  </cols>
  <sheetData>
    <row r="1" spans="1:11" ht="27.75" customHeight="1" x14ac:dyDescent="0.25">
      <c r="A1" s="82"/>
      <c r="B1" s="82"/>
      <c r="C1" s="82"/>
      <c r="D1" s="82"/>
      <c r="E1" s="83" t="s">
        <v>79</v>
      </c>
      <c r="F1" s="84" t="s">
        <v>80</v>
      </c>
      <c r="G1" s="84" t="s">
        <v>81</v>
      </c>
      <c r="H1" s="84" t="s">
        <v>82</v>
      </c>
      <c r="I1" s="85"/>
    </row>
    <row r="2" spans="1:11" ht="30.75" customHeight="1" x14ac:dyDescent="0.25">
      <c r="A2" s="82"/>
      <c r="B2" s="82"/>
      <c r="C2" s="82"/>
      <c r="D2" s="82"/>
      <c r="E2" s="88">
        <f>IFERROR(O62,"")</f>
        <v>5520.6438891851394</v>
      </c>
      <c r="F2" s="88">
        <f>IFERROR(H53,"")</f>
        <v>3073.4717948717948</v>
      </c>
      <c r="G2" s="88">
        <f>IFERROR(H54,"")</f>
        <v>801.43227308333326</v>
      </c>
      <c r="H2" s="88">
        <f>IFERROR(H56,"")</f>
        <v>792.01228896694283</v>
      </c>
      <c r="I2" s="89"/>
    </row>
    <row r="3" spans="1:11" ht="15" customHeight="1" x14ac:dyDescent="0.25">
      <c r="A3" s="82"/>
      <c r="B3" s="82"/>
      <c r="C3" s="82"/>
      <c r="D3" s="82"/>
      <c r="E3" s="82"/>
      <c r="F3" s="90"/>
      <c r="G3" s="90"/>
      <c r="H3" s="90"/>
      <c r="I3" s="90"/>
    </row>
    <row r="4" spans="1:11" ht="24.75" customHeight="1" thickBot="1" x14ac:dyDescent="0.3">
      <c r="A4" s="714"/>
      <c r="B4" s="714"/>
      <c r="C4" s="714"/>
      <c r="D4" s="714"/>
      <c r="E4" s="714"/>
      <c r="F4" s="714"/>
      <c r="G4" s="714"/>
      <c r="H4" s="714"/>
      <c r="I4" s="91"/>
    </row>
    <row r="5" spans="1:11" ht="19.5" customHeight="1" thickBot="1" x14ac:dyDescent="0.3">
      <c r="A5" s="715" t="s">
        <v>83</v>
      </c>
      <c r="B5" s="716"/>
      <c r="C5" s="716"/>
      <c r="D5" s="716"/>
      <c r="E5" s="716"/>
      <c r="F5" s="716"/>
      <c r="G5" s="716"/>
      <c r="H5" s="717"/>
      <c r="I5" s="92"/>
    </row>
    <row r="6" spans="1:11" ht="19.5" thickBot="1" x14ac:dyDescent="0.3">
      <c r="A6" s="92"/>
      <c r="B6" s="92"/>
      <c r="C6" s="92"/>
      <c r="D6" s="92"/>
      <c r="E6" s="92"/>
      <c r="F6" s="718" t="s">
        <v>84</v>
      </c>
      <c r="G6" s="718"/>
      <c r="H6" s="93">
        <f ca="1">TODAY()</f>
        <v>46063</v>
      </c>
      <c r="I6" s="93"/>
    </row>
    <row r="7" spans="1:11" ht="26.25" thickBot="1" x14ac:dyDescent="0.3">
      <c r="A7" s="94" t="s">
        <v>85</v>
      </c>
      <c r="B7" s="95" t="s">
        <v>86</v>
      </c>
      <c r="C7" s="95" t="s">
        <v>85</v>
      </c>
      <c r="D7" s="96" t="s">
        <v>87</v>
      </c>
      <c r="E7" s="96" t="s">
        <v>88</v>
      </c>
      <c r="F7" s="96" t="s">
        <v>89</v>
      </c>
      <c r="G7" s="96" t="s">
        <v>90</v>
      </c>
      <c r="H7" s="97" t="s">
        <v>91</v>
      </c>
      <c r="I7" s="98"/>
    </row>
    <row r="8" spans="1:11" ht="13.5" x14ac:dyDescent="0.25">
      <c r="A8" s="99">
        <v>15</v>
      </c>
      <c r="B8" s="87" t="s">
        <v>63</v>
      </c>
      <c r="C8" s="100">
        <f>+A8</f>
        <v>15</v>
      </c>
      <c r="D8" s="101" t="s">
        <v>133</v>
      </c>
      <c r="E8" s="101">
        <v>37</v>
      </c>
      <c r="F8" s="101">
        <f>IFERROR(C8*E8,"")</f>
        <v>555</v>
      </c>
      <c r="G8" s="102">
        <f t="shared" ref="G8:G14" si="0">IFERROR(F8/$F$66,"")</f>
        <v>0.12401199576353479</v>
      </c>
      <c r="H8" s="103"/>
      <c r="I8" s="103"/>
      <c r="J8" s="104"/>
    </row>
    <row r="9" spans="1:11" ht="13.5" x14ac:dyDescent="0.25">
      <c r="A9" s="99">
        <v>12</v>
      </c>
      <c r="B9" s="87" t="s">
        <v>143</v>
      </c>
      <c r="C9" s="100">
        <f t="shared" ref="C9:C14" si="1">+A9</f>
        <v>12</v>
      </c>
      <c r="D9" s="101" t="s">
        <v>133</v>
      </c>
      <c r="E9" s="101">
        <v>13</v>
      </c>
      <c r="F9" s="101">
        <f t="shared" ref="F9:F14" si="2">IFERROR(C9*E9,"")</f>
        <v>156</v>
      </c>
      <c r="G9" s="102">
        <f t="shared" si="0"/>
        <v>3.4857425836236806E-2</v>
      </c>
      <c r="H9" s="103"/>
      <c r="I9" s="103"/>
      <c r="J9" s="104"/>
    </row>
    <row r="10" spans="1:11" ht="13.5" hidden="1" x14ac:dyDescent="0.25">
      <c r="A10" s="99"/>
      <c r="B10" s="87" t="str">
        <f>IFERROR(VLOOKUP(H10,'[1]Consolidado MP Planta'!$A$2:$M$823,3,0),"")</f>
        <v/>
      </c>
      <c r="C10" s="100">
        <f t="shared" si="1"/>
        <v>0</v>
      </c>
      <c r="D10" s="101" t="str">
        <f>IFERROR(VLOOKUP(H10,'[1]Consolidado MP Planta'!$A$2:$M$823,13,0),"")</f>
        <v/>
      </c>
      <c r="E10" s="101" t="str">
        <f>IFERROR(VLOOKUP(H10,'[1]Consolidado MP Planta'!$A$2:$M$823,12,0),"")</f>
        <v/>
      </c>
      <c r="F10" s="101" t="str">
        <f t="shared" si="2"/>
        <v/>
      </c>
      <c r="G10" s="102" t="str">
        <f t="shared" si="0"/>
        <v/>
      </c>
      <c r="H10" s="103"/>
      <c r="I10" s="103"/>
      <c r="J10" s="104"/>
    </row>
    <row r="11" spans="1:11" ht="13.5" hidden="1" x14ac:dyDescent="0.25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1" ht="13.5" hidden="1" x14ac:dyDescent="0.25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1" ht="13.5" hidden="1" x14ac:dyDescent="0.25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1" ht="13.5" hidden="1" x14ac:dyDescent="0.25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1" ht="14.25" thickBot="1" x14ac:dyDescent="0.3">
      <c r="A15" s="99"/>
      <c r="B15" s="87" t="str">
        <f>IFERROR(VLOOKUP(H15,[2]Hoja2!$A$2:$G$589,2,0),"")</f>
        <v/>
      </c>
      <c r="C15" s="100"/>
      <c r="D15" s="101"/>
      <c r="E15" s="101"/>
      <c r="F15" s="101"/>
      <c r="G15" s="102"/>
      <c r="H15" s="103"/>
      <c r="I15" s="103"/>
      <c r="J15" s="104"/>
      <c r="K15" s="631">
        <f>18500/500</f>
        <v>37</v>
      </c>
    </row>
    <row r="16" spans="1:11" ht="26.25" thickBot="1" x14ac:dyDescent="0.3">
      <c r="A16" s="94" t="s">
        <v>85</v>
      </c>
      <c r="B16" s="95" t="s">
        <v>92</v>
      </c>
      <c r="C16" s="95" t="s">
        <v>85</v>
      </c>
      <c r="D16" s="96" t="s">
        <v>87</v>
      </c>
      <c r="E16" s="96" t="s">
        <v>88</v>
      </c>
      <c r="F16" s="96" t="s">
        <v>89</v>
      </c>
      <c r="G16" s="96" t="s">
        <v>90</v>
      </c>
      <c r="H16" s="97" t="s">
        <v>91</v>
      </c>
      <c r="I16" s="98"/>
      <c r="J16" s="104"/>
    </row>
    <row r="17" spans="1:12" ht="13.5" x14ac:dyDescent="0.25">
      <c r="A17" s="99">
        <v>1.5</v>
      </c>
      <c r="B17" s="87" t="s">
        <v>74</v>
      </c>
      <c r="C17" s="100">
        <f>+A17</f>
        <v>1.5</v>
      </c>
      <c r="D17" s="100" t="s">
        <v>131</v>
      </c>
      <c r="E17" s="101">
        <f>+'[3]Costo Rosq Vainilla Dawn 200 g '!$H$53</f>
        <v>372.24786324786322</v>
      </c>
      <c r="F17" s="101">
        <f>IFERROR(E17*C17,"")</f>
        <v>558.3717948717948</v>
      </c>
      <c r="G17" s="102">
        <f t="shared" ref="G17:G24" si="3">IFERROR(F17/$F$66,"")</f>
        <v>0.12476540659480781</v>
      </c>
      <c r="H17" s="103" t="s">
        <v>132</v>
      </c>
      <c r="I17" s="103"/>
      <c r="J17" s="104"/>
    </row>
    <row r="18" spans="1:12" ht="13.5" x14ac:dyDescent="0.25">
      <c r="A18" s="99">
        <v>160</v>
      </c>
      <c r="B18" s="87" t="s">
        <v>39</v>
      </c>
      <c r="C18" s="100">
        <f t="shared" ref="C18:C24" si="4">+A18</f>
        <v>160</v>
      </c>
      <c r="D18" s="100" t="s">
        <v>133</v>
      </c>
      <c r="E18" s="101">
        <v>1.1000000000000001</v>
      </c>
      <c r="F18" s="101">
        <f t="shared" ref="F18:F24" si="5">IFERROR(E18*C18,"")</f>
        <v>176</v>
      </c>
      <c r="G18" s="102">
        <f t="shared" si="3"/>
        <v>3.9326326584472292E-2</v>
      </c>
      <c r="H18" s="103" t="s">
        <v>38</v>
      </c>
      <c r="I18" s="103"/>
      <c r="J18" s="104"/>
    </row>
    <row r="19" spans="1:12" ht="13.5" x14ac:dyDescent="0.25">
      <c r="A19" s="99">
        <v>600</v>
      </c>
      <c r="B19" s="87" t="s">
        <v>46</v>
      </c>
      <c r="C19" s="100">
        <f>+A19</f>
        <v>600</v>
      </c>
      <c r="D19" s="100" t="s">
        <v>133</v>
      </c>
      <c r="E19" s="101">
        <v>1.96</v>
      </c>
      <c r="F19" s="101">
        <f>IFERROR(E19*C19,"")</f>
        <v>1176</v>
      </c>
      <c r="G19" s="102">
        <f t="shared" si="3"/>
        <v>0.26277136399624668</v>
      </c>
      <c r="H19" s="103" t="s">
        <v>45</v>
      </c>
      <c r="I19" s="103"/>
      <c r="J19" s="104"/>
    </row>
    <row r="20" spans="1:12" ht="13.5" x14ac:dyDescent="0.25">
      <c r="A20" s="99">
        <v>120</v>
      </c>
      <c r="B20" s="87" t="s">
        <v>47</v>
      </c>
      <c r="C20" s="100">
        <f>+A20</f>
        <v>120</v>
      </c>
      <c r="D20" s="100" t="s">
        <v>133</v>
      </c>
      <c r="E20" s="101">
        <v>2.33</v>
      </c>
      <c r="F20" s="101">
        <f>IFERROR(E20*C20,"")</f>
        <v>279.60000000000002</v>
      </c>
      <c r="G20" s="102">
        <f t="shared" si="3"/>
        <v>6.2475232460332125E-2</v>
      </c>
      <c r="H20" s="103" t="s">
        <v>48</v>
      </c>
      <c r="I20" s="103"/>
      <c r="J20" s="104"/>
    </row>
    <row r="21" spans="1:12" ht="13.5" x14ac:dyDescent="0.25">
      <c r="A21" s="99">
        <v>75</v>
      </c>
      <c r="B21" s="87" t="s">
        <v>42</v>
      </c>
      <c r="C21" s="100">
        <f>+A21</f>
        <v>75</v>
      </c>
      <c r="D21" s="100" t="s">
        <v>133</v>
      </c>
      <c r="E21" s="101">
        <v>2.2999999999999998</v>
      </c>
      <c r="F21" s="101">
        <f>IFERROR(E21*C21,"")</f>
        <v>172.5</v>
      </c>
      <c r="G21" s="102">
        <f t="shared" si="3"/>
        <v>3.8544268953531087E-2</v>
      </c>
      <c r="H21" s="103" t="s">
        <v>41</v>
      </c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thickBot="1" x14ac:dyDescent="0.3">
      <c r="A26" s="94" t="s">
        <v>85</v>
      </c>
      <c r="B26" s="95" t="s">
        <v>93</v>
      </c>
      <c r="C26" s="95" t="s">
        <v>85</v>
      </c>
      <c r="D26" s="96" t="s">
        <v>87</v>
      </c>
      <c r="E26" s="96" t="s">
        <v>88</v>
      </c>
      <c r="F26" s="96" t="s">
        <v>89</v>
      </c>
      <c r="G26" s="96" t="s">
        <v>90</v>
      </c>
      <c r="H26" s="97" t="s">
        <v>91</v>
      </c>
      <c r="I26" s="98"/>
    </row>
    <row r="27" spans="1:12" ht="13.5" x14ac:dyDescent="0.25">
      <c r="A27" s="99">
        <v>1</v>
      </c>
      <c r="B27" s="105" t="s">
        <v>52</v>
      </c>
      <c r="C27" s="100">
        <f t="shared" ref="C27:C31" si="6">+A27</f>
        <v>1</v>
      </c>
      <c r="D27" s="101" t="s">
        <v>135</v>
      </c>
      <c r="E27" s="101">
        <v>78</v>
      </c>
      <c r="F27" s="101">
        <f t="shared" ref="F27:F32" si="7">IFERROR(C27*E27,"")</f>
        <v>78</v>
      </c>
      <c r="G27" s="102">
        <f t="shared" ref="G27:G31" si="8">IFERROR(F27/$F$66,"")</f>
        <v>1.7428712918118403E-2</v>
      </c>
      <c r="H27" s="106" t="s">
        <v>51</v>
      </c>
      <c r="I27" s="106"/>
      <c r="J27" s="104"/>
      <c r="K27" s="713"/>
      <c r="L27" s="713"/>
    </row>
    <row r="28" spans="1:12" ht="13.5" x14ac:dyDescent="0.25">
      <c r="A28" s="99">
        <v>1</v>
      </c>
      <c r="B28" s="105" t="s">
        <v>77</v>
      </c>
      <c r="C28" s="100">
        <f t="shared" si="6"/>
        <v>1</v>
      </c>
      <c r="D28" s="101" t="s">
        <v>135</v>
      </c>
      <c r="E28" s="101">
        <v>470</v>
      </c>
      <c r="F28" s="101">
        <f t="shared" si="7"/>
        <v>470</v>
      </c>
      <c r="G28" s="102">
        <f t="shared" si="8"/>
        <v>0.10501916758353397</v>
      </c>
      <c r="H28" s="106" t="s">
        <v>76</v>
      </c>
      <c r="I28" s="106"/>
      <c r="J28" s="104"/>
      <c r="K28" s="713"/>
      <c r="L28" s="713"/>
    </row>
    <row r="29" spans="1:12" ht="13.5" x14ac:dyDescent="0.25">
      <c r="A29" s="99">
        <v>2</v>
      </c>
      <c r="B29" s="105" t="s">
        <v>55</v>
      </c>
      <c r="C29" s="100">
        <f t="shared" si="6"/>
        <v>2</v>
      </c>
      <c r="D29" s="101" t="s">
        <v>135</v>
      </c>
      <c r="E29" s="101">
        <v>0.57999999999999996</v>
      </c>
      <c r="F29" s="101">
        <f t="shared" si="7"/>
        <v>1.1599999999999999</v>
      </c>
      <c r="G29" s="102">
        <f t="shared" si="8"/>
        <v>2.5919624339765831E-4</v>
      </c>
      <c r="H29" s="106" t="s">
        <v>54</v>
      </c>
      <c r="I29" s="106"/>
      <c r="J29" s="104"/>
      <c r="K29" s="713"/>
      <c r="L29" s="713"/>
    </row>
    <row r="30" spans="1:12" ht="13.5" x14ac:dyDescent="0.25">
      <c r="A30" s="99">
        <v>1</v>
      </c>
      <c r="B30" s="105" t="s">
        <v>58</v>
      </c>
      <c r="C30" s="100">
        <f t="shared" si="6"/>
        <v>1</v>
      </c>
      <c r="D30" s="101" t="s">
        <v>135</v>
      </c>
      <c r="E30" s="101">
        <v>0.39</v>
      </c>
      <c r="F30" s="101">
        <f t="shared" si="7"/>
        <v>0.39</v>
      </c>
      <c r="G30" s="102">
        <f t="shared" si="8"/>
        <v>8.7143564590592013E-5</v>
      </c>
      <c r="H30" s="106" t="s">
        <v>57</v>
      </c>
      <c r="I30" s="106"/>
      <c r="J30" s="104"/>
      <c r="K30" s="713"/>
      <c r="L30" s="713"/>
    </row>
    <row r="31" spans="1:12" ht="13.5" x14ac:dyDescent="0.25">
      <c r="A31" s="99">
        <v>1</v>
      </c>
      <c r="B31" s="105" t="s">
        <v>61</v>
      </c>
      <c r="C31" s="100">
        <f t="shared" si="6"/>
        <v>1</v>
      </c>
      <c r="D31" s="101" t="s">
        <v>135</v>
      </c>
      <c r="E31" s="101">
        <v>2.13</v>
      </c>
      <c r="F31" s="101">
        <f t="shared" si="7"/>
        <v>2.13</v>
      </c>
      <c r="G31" s="102">
        <f t="shared" si="8"/>
        <v>4.7593792968707944E-4</v>
      </c>
      <c r="H31" s="106" t="s">
        <v>60</v>
      </c>
      <c r="I31" s="106"/>
      <c r="J31" s="104"/>
      <c r="K31" s="107"/>
      <c r="L31" s="108"/>
    </row>
    <row r="32" spans="1:12" ht="13.5" x14ac:dyDescent="0.25">
      <c r="A32" s="99">
        <v>56</v>
      </c>
      <c r="B32" s="105" t="s">
        <v>345</v>
      </c>
      <c r="C32" s="100">
        <f>+A32</f>
        <v>56</v>
      </c>
      <c r="D32" s="101" t="s">
        <v>344</v>
      </c>
      <c r="E32" s="101">
        <v>4.1500000000000004</v>
      </c>
      <c r="F32" s="101">
        <f t="shared" si="7"/>
        <v>232.40000000000003</v>
      </c>
      <c r="G32" s="102">
        <f>IFERROR(F32/$F$66,"")</f>
        <v>5.1928626694496376E-2</v>
      </c>
      <c r="H32" s="106"/>
      <c r="I32" s="106"/>
      <c r="J32" s="104"/>
    </row>
    <row r="33" spans="1:18" ht="14.25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8" ht="26.25" thickBot="1" x14ac:dyDescent="0.25">
      <c r="A34" s="94" t="s">
        <v>85</v>
      </c>
      <c r="B34" s="95" t="s">
        <v>94</v>
      </c>
      <c r="C34" s="95" t="s">
        <v>85</v>
      </c>
      <c r="D34" s="96" t="s">
        <v>87</v>
      </c>
      <c r="E34" s="96" t="s">
        <v>88</v>
      </c>
      <c r="F34" s="96" t="s">
        <v>89</v>
      </c>
      <c r="G34" s="96" t="s">
        <v>90</v>
      </c>
      <c r="H34" s="97" t="s">
        <v>91</v>
      </c>
      <c r="I34" s="106"/>
      <c r="J34" s="104"/>
    </row>
    <row r="35" spans="1:18" ht="13.5" x14ac:dyDescent="0.25">
      <c r="A35" s="99">
        <f>+A17</f>
        <v>1.5</v>
      </c>
      <c r="B35" s="87" t="s">
        <v>74</v>
      </c>
      <c r="C35" s="100">
        <f>+A35</f>
        <v>1.5</v>
      </c>
      <c r="D35" s="100" t="s">
        <v>131</v>
      </c>
      <c r="E35" s="101">
        <f>+'[3]Costo Rosq Vainilla Dawn 200 g '!$H$54</f>
        <v>4.9015153888888898</v>
      </c>
      <c r="F35" s="101">
        <f>IFERROR(E35*C35,"")</f>
        <v>7.3522730833333352</v>
      </c>
      <c r="G35" s="102">
        <f t="shared" ref="G35:G41" si="9">IFERROR(F35/$F$66,"")</f>
        <v>1.642828934166999E-3</v>
      </c>
      <c r="H35" s="103" t="s">
        <v>132</v>
      </c>
      <c r="I35" s="106"/>
      <c r="J35" s="104"/>
    </row>
    <row r="36" spans="1:18" ht="13.5" x14ac:dyDescent="0.25">
      <c r="A36" s="99">
        <f t="shared" ref="A36:A41" si="10">+A18</f>
        <v>160</v>
      </c>
      <c r="B36" s="87" t="s">
        <v>39</v>
      </c>
      <c r="C36" s="100">
        <f t="shared" ref="C36:C41" si="11">+A36</f>
        <v>160</v>
      </c>
      <c r="D36" s="101" t="s">
        <v>133</v>
      </c>
      <c r="E36" s="101">
        <v>0.01</v>
      </c>
      <c r="F36" s="101">
        <f t="shared" ref="F36:F41" si="12">IFERROR(E36*C36,"")</f>
        <v>1.6</v>
      </c>
      <c r="G36" s="102">
        <f t="shared" si="9"/>
        <v>3.5751205985883907E-4</v>
      </c>
      <c r="H36" s="106" t="s">
        <v>38</v>
      </c>
      <c r="I36" s="106"/>
      <c r="J36" s="104"/>
    </row>
    <row r="37" spans="1:18" ht="13.5" x14ac:dyDescent="0.25">
      <c r="A37" s="99">
        <f t="shared" si="10"/>
        <v>600</v>
      </c>
      <c r="B37" s="87" t="s">
        <v>46</v>
      </c>
      <c r="C37" s="100">
        <f t="shared" si="11"/>
        <v>600</v>
      </c>
      <c r="D37" s="101" t="s">
        <v>133</v>
      </c>
      <c r="E37" s="101">
        <v>0.01</v>
      </c>
      <c r="F37" s="101">
        <f t="shared" si="12"/>
        <v>6</v>
      </c>
      <c r="G37" s="102">
        <f t="shared" si="9"/>
        <v>1.3406702244706465E-3</v>
      </c>
      <c r="H37" s="106" t="s">
        <v>45</v>
      </c>
      <c r="I37" s="106"/>
      <c r="J37" s="104"/>
    </row>
    <row r="38" spans="1:18" ht="13.5" x14ac:dyDescent="0.25">
      <c r="A38" s="99">
        <f t="shared" si="10"/>
        <v>120</v>
      </c>
      <c r="B38" s="105" t="s">
        <v>47</v>
      </c>
      <c r="C38" s="100">
        <f>+A38</f>
        <v>120</v>
      </c>
      <c r="D38" s="101" t="s">
        <v>133</v>
      </c>
      <c r="E38" s="101">
        <v>0.02</v>
      </c>
      <c r="F38" s="101">
        <f>IFERROR(E38*C38,"")</f>
        <v>2.4</v>
      </c>
      <c r="G38" s="102">
        <f t="shared" si="9"/>
        <v>5.3626808978825854E-4</v>
      </c>
      <c r="H38" s="106" t="s">
        <v>48</v>
      </c>
      <c r="I38" s="106"/>
      <c r="J38" s="104"/>
    </row>
    <row r="39" spans="1:18" ht="13.5" x14ac:dyDescent="0.25">
      <c r="A39" s="99">
        <f t="shared" si="10"/>
        <v>75</v>
      </c>
      <c r="B39" s="105" t="s">
        <v>42</v>
      </c>
      <c r="C39" s="100">
        <f>+A39</f>
        <v>75</v>
      </c>
      <c r="D39" s="101" t="s">
        <v>133</v>
      </c>
      <c r="E39" s="101">
        <v>0</v>
      </c>
      <c r="F39" s="101">
        <f>IFERROR(E39*C39,"")</f>
        <v>0</v>
      </c>
      <c r="G39" s="102">
        <f t="shared" si="9"/>
        <v>0</v>
      </c>
      <c r="H39" s="106" t="s">
        <v>41</v>
      </c>
      <c r="I39" s="106"/>
      <c r="J39" s="104"/>
    </row>
    <row r="40" spans="1:18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8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8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8" ht="26.25" thickBot="1" x14ac:dyDescent="0.3">
      <c r="A43" s="94" t="s">
        <v>85</v>
      </c>
      <c r="B43" s="95" t="s">
        <v>95</v>
      </c>
      <c r="C43" s="95" t="s">
        <v>85</v>
      </c>
      <c r="D43" s="96" t="s">
        <v>87</v>
      </c>
      <c r="E43" s="96" t="s">
        <v>88</v>
      </c>
      <c r="F43" s="96" t="s">
        <v>89</v>
      </c>
      <c r="G43" s="96" t="s">
        <v>90</v>
      </c>
      <c r="H43" s="97" t="s">
        <v>91</v>
      </c>
      <c r="I43" s="98"/>
      <c r="J43" s="104"/>
      <c r="O43" s="87" t="s">
        <v>345</v>
      </c>
      <c r="P43" s="631">
        <f>12461/3000</f>
        <v>4.1536666666666671</v>
      </c>
    </row>
    <row r="44" spans="1:18" ht="13.5" x14ac:dyDescent="0.25">
      <c r="A44" s="99">
        <f>+A35</f>
        <v>1.5</v>
      </c>
      <c r="B44" s="87" t="s">
        <v>74</v>
      </c>
      <c r="C44" s="100">
        <f>+A44</f>
        <v>1.5</v>
      </c>
      <c r="D44" s="100" t="s">
        <v>131</v>
      </c>
      <c r="E44" s="101">
        <f>+'[3]Costo Rosq Vainilla Dawn 200 g '!$H$56</f>
        <v>22.108192644628577</v>
      </c>
      <c r="F44" s="101">
        <f>IFERROR(E44*C44,"")</f>
        <v>33.162288966942867</v>
      </c>
      <c r="G44" s="102">
        <f>IFERROR(F44/$F$66,"")</f>
        <v>7.4099488988786221E-3</v>
      </c>
      <c r="H44" s="103" t="s">
        <v>132</v>
      </c>
      <c r="I44" s="98"/>
      <c r="J44" s="104"/>
    </row>
    <row r="45" spans="1:18" ht="13.5" x14ac:dyDescent="0.25">
      <c r="A45" s="99">
        <f t="shared" ref="A45:A50" si="13">+A36</f>
        <v>160</v>
      </c>
      <c r="B45" s="87" t="s">
        <v>39</v>
      </c>
      <c r="C45" s="100">
        <f t="shared" ref="C45:C50" si="14">+A45</f>
        <v>160</v>
      </c>
      <c r="D45" s="101" t="s">
        <v>133</v>
      </c>
      <c r="E45" s="101">
        <v>0.13</v>
      </c>
      <c r="F45" s="101">
        <f t="shared" ref="F45:F48" si="15">IFERROR(E45*C45,"")</f>
        <v>20.8</v>
      </c>
      <c r="G45" s="102">
        <f t="shared" ref="G45:G50" si="16">IFERROR(F45/$F$66,"")</f>
        <v>4.6476567781649075E-3</v>
      </c>
      <c r="H45" s="106" t="s">
        <v>38</v>
      </c>
      <c r="I45" s="98"/>
      <c r="J45" s="104"/>
      <c r="M45" s="109"/>
    </row>
    <row r="46" spans="1:18" ht="13.5" x14ac:dyDescent="0.25">
      <c r="A46" s="99">
        <f t="shared" si="13"/>
        <v>600</v>
      </c>
      <c r="B46" s="87" t="s">
        <v>46</v>
      </c>
      <c r="C46" s="100">
        <f t="shared" si="14"/>
        <v>600</v>
      </c>
      <c r="D46" s="101" t="s">
        <v>133</v>
      </c>
      <c r="E46" s="101">
        <v>0.23</v>
      </c>
      <c r="F46" s="101">
        <f t="shared" si="15"/>
        <v>138</v>
      </c>
      <c r="G46" s="102">
        <f t="shared" si="16"/>
        <v>3.0835415162824866E-2</v>
      </c>
      <c r="H46" s="106" t="s">
        <v>45</v>
      </c>
      <c r="I46" s="98"/>
      <c r="J46" s="104"/>
      <c r="M46" s="631">
        <v>3</v>
      </c>
      <c r="N46" s="631"/>
      <c r="O46" s="631">
        <f>56/3000</f>
        <v>1.8666666666666668E-2</v>
      </c>
      <c r="P46" s="631">
        <f>+O46*12461</f>
        <v>232.60533333333336</v>
      </c>
      <c r="R46" s="87" t="s">
        <v>345</v>
      </c>
    </row>
    <row r="47" spans="1:18" ht="13.5" x14ac:dyDescent="0.25">
      <c r="A47" s="99">
        <f t="shared" si="13"/>
        <v>120</v>
      </c>
      <c r="B47" s="105" t="s">
        <v>47</v>
      </c>
      <c r="C47" s="100">
        <f t="shared" si="14"/>
        <v>120</v>
      </c>
      <c r="D47" s="101" t="s">
        <v>133</v>
      </c>
      <c r="E47" s="101">
        <v>0.49</v>
      </c>
      <c r="F47" s="101">
        <f t="shared" si="15"/>
        <v>58.8</v>
      </c>
      <c r="G47" s="102">
        <f t="shared" si="16"/>
        <v>1.3138568199812335E-2</v>
      </c>
      <c r="H47" s="106" t="s">
        <v>48</v>
      </c>
      <c r="I47" s="98"/>
      <c r="J47" s="104"/>
      <c r="M47" s="631">
        <v>3000</v>
      </c>
      <c r="N47" s="631">
        <v>56</v>
      </c>
      <c r="O47" s="631"/>
      <c r="P47" s="631"/>
    </row>
    <row r="48" spans="1:18" ht="13.5" x14ac:dyDescent="0.25">
      <c r="A48" s="99">
        <f t="shared" si="13"/>
        <v>75</v>
      </c>
      <c r="B48" s="105" t="s">
        <v>42</v>
      </c>
      <c r="C48" s="100">
        <f t="shared" si="14"/>
        <v>75</v>
      </c>
      <c r="D48" s="101" t="s">
        <v>133</v>
      </c>
      <c r="E48" s="101">
        <v>0.03</v>
      </c>
      <c r="F48" s="101">
        <f t="shared" si="15"/>
        <v>2.25</v>
      </c>
      <c r="G48" s="102">
        <f t="shared" si="16"/>
        <v>5.0275133417649243E-4</v>
      </c>
      <c r="H48" s="106" t="s">
        <v>41</v>
      </c>
      <c r="I48" s="98"/>
      <c r="J48" s="104"/>
    </row>
    <row r="49" spans="1:17" hidden="1" x14ac:dyDescent="0.2">
      <c r="H49" s="106"/>
      <c r="I49" s="98"/>
      <c r="J49" s="104"/>
    </row>
    <row r="50" spans="1:17" ht="13.5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>
        <v>0</v>
      </c>
      <c r="G50" s="102">
        <f t="shared" si="16"/>
        <v>0</v>
      </c>
      <c r="H50" s="105"/>
      <c r="I50" s="98"/>
      <c r="J50" s="104"/>
    </row>
    <row r="51" spans="1:17" ht="13.5" x14ac:dyDescent="0.25">
      <c r="A51" s="99">
        <v>1</v>
      </c>
      <c r="B51" s="105" t="s">
        <v>96</v>
      </c>
      <c r="C51" s="100">
        <f>+A51</f>
        <v>1</v>
      </c>
      <c r="D51" s="100" t="s">
        <v>97</v>
      </c>
      <c r="E51" s="101">
        <f>+F65</f>
        <v>539</v>
      </c>
      <c r="F51" s="101">
        <f>IFERROR(C51*E51,"")</f>
        <v>539</v>
      </c>
      <c r="G51" s="102">
        <f>IFERROR(F51/$F$66,"")</f>
        <v>0.1204368751649464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3">
      <c r="A53" s="111"/>
      <c r="B53" s="723" t="s">
        <v>98</v>
      </c>
      <c r="C53" s="723"/>
      <c r="D53" s="723"/>
      <c r="E53" s="723"/>
      <c r="F53" s="113">
        <f>SUM(F8:F14,F17:F24)</f>
        <v>3073.4717948717948</v>
      </c>
      <c r="G53" s="102">
        <f>+F53/$F$66</f>
        <v>0.68675202018916159</v>
      </c>
      <c r="H53" s="114">
        <f>+F53/$D$60</f>
        <v>3073.4717948717948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723" t="s">
        <v>99</v>
      </c>
      <c r="C54" s="723"/>
      <c r="D54" s="723"/>
      <c r="E54" s="723"/>
      <c r="F54" s="113">
        <f>SUM(F27:F32,F35:F41)</f>
        <v>801.43227308333326</v>
      </c>
      <c r="G54" s="102">
        <f>+F54/$F$66</f>
        <v>0.17907606424210878</v>
      </c>
      <c r="H54" s="114">
        <f>+F54/$D$60</f>
        <v>801.43227308333326</v>
      </c>
      <c r="I54" s="114"/>
      <c r="J54" s="118"/>
      <c r="K54" s="724" t="s">
        <v>100</v>
      </c>
      <c r="L54" s="725"/>
      <c r="M54" s="725"/>
      <c r="N54" s="725"/>
      <c r="O54" s="119">
        <f>+F55</f>
        <v>3874.9040679551281</v>
      </c>
      <c r="P54" s="119"/>
      <c r="Q54" s="120"/>
    </row>
    <row r="55" spans="1:17" x14ac:dyDescent="0.2">
      <c r="A55" s="111"/>
      <c r="B55" s="723" t="s">
        <v>101</v>
      </c>
      <c r="C55" s="723"/>
      <c r="D55" s="723"/>
      <c r="E55" s="723"/>
      <c r="F55" s="113">
        <f>+F53+F54</f>
        <v>3874.9040679551281</v>
      </c>
      <c r="G55" s="102">
        <f>+F55/$F$66</f>
        <v>0.86582808443127046</v>
      </c>
      <c r="H55" s="114">
        <f>+F55/$D$60</f>
        <v>3874.9040679551281</v>
      </c>
      <c r="I55" s="114"/>
      <c r="J55" s="121"/>
      <c r="K55" s="122"/>
      <c r="M55" s="123" t="s">
        <v>102</v>
      </c>
      <c r="N55" s="124"/>
      <c r="O55" s="119">
        <f>+H56</f>
        <v>792.01228896694283</v>
      </c>
      <c r="P55" s="119"/>
      <c r="Q55" s="120"/>
    </row>
    <row r="56" spans="1:17" ht="13.5" thickBot="1" x14ac:dyDescent="0.25">
      <c r="A56" s="111"/>
      <c r="B56" s="112"/>
      <c r="C56" s="723" t="s">
        <v>103</v>
      </c>
      <c r="D56" s="723"/>
      <c r="E56" s="723"/>
      <c r="F56" s="113">
        <f>SUM(F44:F51)</f>
        <v>792.01228896694283</v>
      </c>
      <c r="G56" s="102">
        <f>+F56/$F$66</f>
        <v>0.17697121553880363</v>
      </c>
      <c r="H56" s="114">
        <f>+F56/$D$60</f>
        <v>792.01228896694283</v>
      </c>
      <c r="I56" s="114"/>
      <c r="J56" s="121"/>
      <c r="K56" s="122"/>
      <c r="L56" s="122"/>
      <c r="M56" s="122" t="s">
        <v>104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105</v>
      </c>
      <c r="N57" s="131"/>
      <c r="O57" s="132">
        <f>SUM(O54:O56)</f>
        <v>4666.9163569220709</v>
      </c>
      <c r="P57" s="133"/>
      <c r="Q57" s="120"/>
    </row>
    <row r="58" spans="1:17" x14ac:dyDescent="0.2">
      <c r="B58" s="726" t="s">
        <v>106</v>
      </c>
      <c r="C58" s="726"/>
      <c r="D58" s="134">
        <v>1074</v>
      </c>
      <c r="E58" s="135"/>
      <c r="G58" s="102"/>
      <c r="H58" s="128">
        <f>+H56/77</f>
        <v>10.28587388268757</v>
      </c>
      <c r="I58" s="136"/>
      <c r="J58" s="121"/>
      <c r="K58" s="129"/>
      <c r="L58" s="122"/>
      <c r="M58" s="122" t="s">
        <v>107</v>
      </c>
      <c r="N58" s="137"/>
      <c r="O58" s="119">
        <f>+H59</f>
        <v>853.72753226306827</v>
      </c>
      <c r="P58" s="119"/>
      <c r="Q58" s="120"/>
    </row>
    <row r="59" spans="1:17" x14ac:dyDescent="0.2">
      <c r="B59" s="726" t="s">
        <v>108</v>
      </c>
      <c r="C59" s="726"/>
      <c r="D59" s="138">
        <v>1074</v>
      </c>
      <c r="E59" s="135"/>
      <c r="G59" s="102"/>
      <c r="H59" s="128">
        <f>+H58*83</f>
        <v>853.72753226306827</v>
      </c>
      <c r="I59" s="136"/>
      <c r="J59" s="121"/>
      <c r="K59" s="129"/>
      <c r="L59" s="122"/>
      <c r="M59" s="727" t="s">
        <v>105</v>
      </c>
      <c r="N59" s="727"/>
      <c r="O59" s="119">
        <f>SUM(O57:O58)</f>
        <v>5520.6438891851394</v>
      </c>
      <c r="P59" s="119"/>
      <c r="Q59" s="120"/>
    </row>
    <row r="60" spans="1:17" ht="13.5" thickBot="1" x14ac:dyDescent="0.25">
      <c r="B60" s="719" t="s">
        <v>109</v>
      </c>
      <c r="C60" s="719"/>
      <c r="D60" s="134">
        <f>+D58/D59</f>
        <v>1</v>
      </c>
      <c r="E60" s="135"/>
      <c r="F60" s="139"/>
      <c r="G60" s="102"/>
      <c r="H60" s="128"/>
      <c r="I60" s="136"/>
      <c r="J60" s="121"/>
      <c r="K60" s="129"/>
      <c r="L60" s="727"/>
      <c r="M60" s="727"/>
      <c r="N60" s="137"/>
      <c r="O60" s="119">
        <f>+O59*N60</f>
        <v>0</v>
      </c>
      <c r="P60" s="119"/>
      <c r="Q60" s="120"/>
    </row>
    <row r="61" spans="1:17" ht="13.5" thickBot="1" x14ac:dyDescent="0.25">
      <c r="B61" s="719" t="s">
        <v>110</v>
      </c>
      <c r="C61" s="719"/>
      <c r="D61" s="140"/>
      <c r="E61" s="135"/>
      <c r="F61" s="139"/>
      <c r="G61" s="102"/>
      <c r="H61" s="128"/>
      <c r="I61" s="136"/>
      <c r="J61" s="121"/>
      <c r="K61" s="720" t="s">
        <v>111</v>
      </c>
      <c r="L61" s="721"/>
      <c r="M61" s="721"/>
      <c r="N61" s="722"/>
      <c r="O61" s="132">
        <f>SUM(O59:O60)</f>
        <v>5520.6438891851394</v>
      </c>
      <c r="P61" s="141" t="s">
        <v>112</v>
      </c>
      <c r="Q61" s="120"/>
    </row>
    <row r="62" spans="1:17" ht="13.5" thickBot="1" x14ac:dyDescent="0.25">
      <c r="C62" s="111" t="s">
        <v>113</v>
      </c>
      <c r="D62" s="142"/>
      <c r="E62" s="85" t="s">
        <v>114</v>
      </c>
      <c r="F62" s="143" t="s">
        <v>115</v>
      </c>
      <c r="G62" s="102"/>
      <c r="H62" s="128"/>
      <c r="I62" s="136"/>
      <c r="J62" s="144"/>
      <c r="K62" s="145"/>
      <c r="L62" s="733" t="s">
        <v>116</v>
      </c>
      <c r="M62" s="733"/>
      <c r="N62" s="733"/>
      <c r="O62" s="146">
        <f>+O61/D60</f>
        <v>5520.6438891851394</v>
      </c>
      <c r="P62" s="147">
        <f>+O62/D59</f>
        <v>5.1402643288502228</v>
      </c>
      <c r="Q62" s="148"/>
    </row>
    <row r="63" spans="1:17" ht="13.5" thickBot="1" x14ac:dyDescent="0.25">
      <c r="B63" s="734" t="s">
        <v>101</v>
      </c>
      <c r="C63" s="734"/>
      <c r="D63" s="734"/>
      <c r="E63" s="149">
        <f>+F63/F63</f>
        <v>1</v>
      </c>
      <c r="F63" s="150">
        <f>SUM(F55)</f>
        <v>3874.9040679551281</v>
      </c>
      <c r="G63" s="102">
        <f>+F63/$F$66</f>
        <v>0.86582808443127046</v>
      </c>
      <c r="H63" s="128"/>
      <c r="I63" s="136"/>
      <c r="K63" s="735"/>
      <c r="L63" s="736"/>
      <c r="M63" s="736"/>
      <c r="N63" s="736"/>
      <c r="O63" s="151"/>
      <c r="P63" s="152"/>
    </row>
    <row r="64" spans="1:17" ht="13.5" thickBot="1" x14ac:dyDescent="0.3">
      <c r="B64" s="737" t="s">
        <v>117</v>
      </c>
      <c r="C64" s="737"/>
      <c r="D64" s="737"/>
      <c r="E64" s="153">
        <v>0.02</v>
      </c>
      <c r="F64" s="150">
        <f>+F53*E64</f>
        <v>61.469435897435901</v>
      </c>
      <c r="G64" s="102">
        <f>+F64/$F$66</f>
        <v>1.3735040403783233E-2</v>
      </c>
      <c r="H64" s="114"/>
      <c r="I64" s="136"/>
      <c r="J64" s="154"/>
      <c r="O64" s="155"/>
      <c r="P64" s="112"/>
    </row>
    <row r="65" spans="2:13" ht="13.5" thickBot="1" x14ac:dyDescent="0.3">
      <c r="B65" s="738" t="s">
        <v>118</v>
      </c>
      <c r="C65" s="739"/>
      <c r="D65" s="156">
        <v>7</v>
      </c>
      <c r="E65" s="157">
        <v>77</v>
      </c>
      <c r="F65" s="150">
        <f>+E65*D65</f>
        <v>539</v>
      </c>
      <c r="G65" s="102">
        <f>+F65/$F$66</f>
        <v>0.1204368751649464</v>
      </c>
      <c r="H65" s="114"/>
      <c r="I65" s="114"/>
      <c r="J65" s="104"/>
    </row>
    <row r="66" spans="2:13" ht="13.5" thickBot="1" x14ac:dyDescent="0.3">
      <c r="B66" s="740" t="s">
        <v>119</v>
      </c>
      <c r="C66" s="741"/>
      <c r="D66" s="741"/>
      <c r="E66" s="742"/>
      <c r="F66" s="127">
        <f>SUM(F63:F65)</f>
        <v>4475.3735038525638</v>
      </c>
      <c r="G66" s="102">
        <f>+F66/$F$66</f>
        <v>1</v>
      </c>
      <c r="H66" s="743"/>
      <c r="I66" s="114"/>
      <c r="J66" s="104"/>
      <c r="M66" s="87" t="s">
        <v>120</v>
      </c>
    </row>
    <row r="67" spans="2:13" x14ac:dyDescent="0.25">
      <c r="C67" s="109"/>
      <c r="D67" s="109"/>
      <c r="E67" s="159"/>
      <c r="F67" s="150"/>
      <c r="G67" s="102"/>
      <c r="H67" s="743"/>
      <c r="I67" s="158"/>
      <c r="J67" s="87"/>
      <c r="M67" s="87" t="s">
        <v>121</v>
      </c>
    </row>
    <row r="68" spans="2:13" ht="13.5" thickBot="1" x14ac:dyDescent="0.3">
      <c r="B68" s="728" t="s">
        <v>122</v>
      </c>
      <c r="C68" s="728"/>
      <c r="D68" s="728"/>
      <c r="E68" s="728"/>
      <c r="F68" s="728"/>
      <c r="G68" s="102"/>
      <c r="H68" s="161"/>
      <c r="I68" s="158"/>
      <c r="J68" s="87"/>
      <c r="M68" s="87" t="s">
        <v>123</v>
      </c>
    </row>
    <row r="69" spans="2:13" ht="13.5" thickBot="1" x14ac:dyDescent="0.3">
      <c r="B69" s="162" t="s">
        <v>124</v>
      </c>
      <c r="C69" s="163">
        <f>+F53</f>
        <v>3073.4717948717948</v>
      </c>
      <c r="D69" s="163">
        <f>+D58</f>
        <v>1074</v>
      </c>
      <c r="E69" s="164">
        <f>+C69/D69</f>
        <v>2.8617055818173136</v>
      </c>
      <c r="F69" s="102"/>
      <c r="G69" s="161"/>
      <c r="H69" s="104"/>
      <c r="I69" s="161"/>
      <c r="J69" s="87"/>
    </row>
    <row r="70" spans="2:13" x14ac:dyDescent="0.25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5">
      <c r="B71" s="162" t="s">
        <v>125</v>
      </c>
      <c r="C71" s="163">
        <f>SUM(F63:F64)</f>
        <v>3936.3735038525638</v>
      </c>
      <c r="D71" s="163">
        <f>+D58</f>
        <v>1074</v>
      </c>
      <c r="E71" s="168">
        <f>+C71/D71</f>
        <v>3.6651522382239885</v>
      </c>
      <c r="F71" s="102"/>
      <c r="G71" s="161"/>
      <c r="H71" s="104"/>
      <c r="I71" s="104"/>
      <c r="J71" s="87"/>
    </row>
    <row r="72" spans="2:13" x14ac:dyDescent="0.25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3">
      <c r="B73" s="162" t="s">
        <v>126</v>
      </c>
      <c r="C73" s="163">
        <f>+F65</f>
        <v>539</v>
      </c>
      <c r="D73" s="163">
        <f>+D58</f>
        <v>1074</v>
      </c>
      <c r="E73" s="168">
        <f>+C73/D73</f>
        <v>0.5018621973929237</v>
      </c>
      <c r="F73" s="102"/>
      <c r="G73" s="161"/>
      <c r="H73" s="104"/>
      <c r="I73" s="104"/>
      <c r="J73" s="87"/>
    </row>
    <row r="74" spans="2:13" ht="13.5" thickBot="1" x14ac:dyDescent="0.3">
      <c r="B74" s="162" t="s">
        <v>127</v>
      </c>
      <c r="C74" s="163">
        <f>+F56</f>
        <v>792.01228896694283</v>
      </c>
      <c r="D74" s="163">
        <f>+D73</f>
        <v>1074</v>
      </c>
      <c r="E74" s="164">
        <f>+C74/D74</f>
        <v>0.73744160983886675</v>
      </c>
      <c r="F74" s="102"/>
      <c r="G74" s="161"/>
      <c r="H74" s="104"/>
      <c r="I74" s="104"/>
      <c r="J74" s="87"/>
    </row>
    <row r="75" spans="2:13" ht="13.5" thickBot="1" x14ac:dyDescent="0.3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3">
      <c r="B76" s="162" t="s">
        <v>128</v>
      </c>
      <c r="C76" s="163">
        <f>+F54</f>
        <v>801.43227308333326</v>
      </c>
      <c r="D76" s="163">
        <f>+D74</f>
        <v>1074</v>
      </c>
      <c r="E76" s="164">
        <f>+C76/D76</f>
        <v>0.74621254477032894</v>
      </c>
      <c r="F76" s="102"/>
      <c r="G76" s="161"/>
      <c r="H76" s="104"/>
      <c r="I76" s="104"/>
      <c r="J76" s="104"/>
    </row>
    <row r="77" spans="2:13" ht="13.5" thickBot="1" x14ac:dyDescent="0.3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3">
      <c r="B78" s="729" t="s">
        <v>129</v>
      </c>
      <c r="C78" s="730"/>
      <c r="D78" s="731"/>
      <c r="E78" s="164">
        <f>+E69+E74</f>
        <v>3.5991471916561801</v>
      </c>
      <c r="G78" s="102"/>
      <c r="H78" s="161"/>
      <c r="I78" s="104"/>
      <c r="J78" s="168"/>
    </row>
    <row r="79" spans="2:13" x14ac:dyDescent="0.25">
      <c r="I79" s="161"/>
      <c r="J79" s="87"/>
    </row>
    <row r="80" spans="2:13" ht="13.5" thickBot="1" x14ac:dyDescent="0.3">
      <c r="B80" s="728" t="s">
        <v>130</v>
      </c>
      <c r="C80" s="728"/>
      <c r="D80" s="728"/>
      <c r="E80" s="728"/>
      <c r="F80" s="728"/>
      <c r="G80" s="102"/>
      <c r="H80" s="161"/>
      <c r="J80" s="87"/>
    </row>
    <row r="81" spans="1:10" ht="13.5" thickBot="1" x14ac:dyDescent="0.3">
      <c r="B81" s="162" t="s">
        <v>124</v>
      </c>
      <c r="C81" s="163">
        <f>+C69</f>
        <v>3073.4717948717948</v>
      </c>
      <c r="D81" s="163">
        <f>+D60</f>
        <v>1</v>
      </c>
      <c r="E81" s="164">
        <f>+C81/D81</f>
        <v>3073.4717948717948</v>
      </c>
      <c r="F81" s="102"/>
      <c r="G81" s="161"/>
      <c r="H81" s="104"/>
      <c r="I81" s="161"/>
      <c r="J81" s="87"/>
    </row>
    <row r="82" spans="1:10" x14ac:dyDescent="0.25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5">
      <c r="B83" s="162" t="s">
        <v>125</v>
      </c>
      <c r="C83" s="163">
        <f>+C71</f>
        <v>3936.3735038525638</v>
      </c>
      <c r="D83" s="163">
        <f>+D60</f>
        <v>1</v>
      </c>
      <c r="E83" s="168">
        <f>+C83/D83</f>
        <v>3936.3735038525638</v>
      </c>
      <c r="F83" s="102"/>
      <c r="G83" s="161"/>
      <c r="H83" s="104"/>
      <c r="I83" s="104"/>
      <c r="J83" s="87"/>
    </row>
    <row r="84" spans="1:10" x14ac:dyDescent="0.25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3">
      <c r="B85" s="162" t="s">
        <v>127</v>
      </c>
      <c r="C85" s="163">
        <f>+C73</f>
        <v>539</v>
      </c>
      <c r="D85" s="163">
        <f>+D60</f>
        <v>1</v>
      </c>
      <c r="E85" s="168">
        <f>+C85/D85</f>
        <v>539</v>
      </c>
      <c r="F85" s="170"/>
      <c r="G85" s="160"/>
      <c r="H85" s="86"/>
      <c r="I85" s="104"/>
    </row>
    <row r="86" spans="1:10" ht="13.5" thickBot="1" x14ac:dyDescent="0.3">
      <c r="B86" s="162" t="s">
        <v>127</v>
      </c>
      <c r="C86" s="163">
        <f>+C74</f>
        <v>792.01228896694283</v>
      </c>
      <c r="D86" s="163">
        <f>+D85</f>
        <v>1</v>
      </c>
      <c r="E86" s="164">
        <f>+C86/D86</f>
        <v>792.01228896694283</v>
      </c>
      <c r="F86" s="169"/>
      <c r="G86" s="160"/>
      <c r="H86" s="86"/>
      <c r="I86" s="86"/>
    </row>
    <row r="87" spans="1:10" x14ac:dyDescent="0.25">
      <c r="I87" s="86"/>
    </row>
    <row r="88" spans="1:10" x14ac:dyDescent="0.2">
      <c r="A88" s="732"/>
      <c r="B88" s="732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33E7-A7B5-4D2C-B70B-5008A96C80B0}">
  <sheetPr>
    <pageSetUpPr fitToPage="1"/>
  </sheetPr>
  <dimension ref="A1:I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5" customWidth="1"/>
    <col min="3" max="3" width="64.85546875" customWidth="1"/>
    <col min="4" max="4" width="20.85546875" bestFit="1" customWidth="1"/>
    <col min="5" max="5" width="13.140625" customWidth="1"/>
    <col min="6" max="6" width="12.7109375" customWidth="1"/>
    <col min="7" max="7" width="21.5703125" customWidth="1"/>
    <col min="8" max="8" width="15.85546875" customWidth="1"/>
    <col min="9" max="9" width="18.140625" bestFit="1" customWidth="1"/>
  </cols>
  <sheetData>
    <row r="1" spans="1:9" ht="15.75" x14ac:dyDescent="0.25">
      <c r="A1" s="750"/>
      <c r="B1" s="751"/>
      <c r="C1" s="662" t="s">
        <v>33</v>
      </c>
      <c r="D1" s="662"/>
      <c r="E1" s="662"/>
      <c r="F1" s="662"/>
      <c r="G1" s="662"/>
      <c r="H1" s="180" t="s">
        <v>32</v>
      </c>
      <c r="I1" s="179" t="s">
        <v>350</v>
      </c>
    </row>
    <row r="2" spans="1:9" ht="18" customHeight="1" thickBot="1" x14ac:dyDescent="0.3">
      <c r="A2" s="752"/>
      <c r="B2" s="753"/>
      <c r="C2" s="756" t="s">
        <v>31</v>
      </c>
      <c r="D2" s="757"/>
      <c r="E2" s="757"/>
      <c r="F2" s="757"/>
      <c r="G2" s="758"/>
      <c r="H2" s="207" t="s">
        <v>30</v>
      </c>
      <c r="I2" s="208" t="s">
        <v>175</v>
      </c>
    </row>
    <row r="3" spans="1:9" ht="31.5" customHeight="1" thickBot="1" x14ac:dyDescent="0.3">
      <c r="A3" s="752"/>
      <c r="B3" s="753"/>
      <c r="C3" s="1156" t="s">
        <v>349</v>
      </c>
      <c r="D3" s="1157"/>
      <c r="E3" s="1157"/>
      <c r="F3" s="1157"/>
      <c r="G3" s="1158"/>
      <c r="H3" s="762" t="s">
        <v>29</v>
      </c>
      <c r="I3" s="744">
        <v>46063</v>
      </c>
    </row>
    <row r="4" spans="1:9" ht="18" customHeight="1" x14ac:dyDescent="0.25">
      <c r="A4" s="752"/>
      <c r="B4" s="753"/>
      <c r="C4" s="209" t="s">
        <v>28</v>
      </c>
      <c r="D4" s="747" t="s">
        <v>154</v>
      </c>
      <c r="E4" s="748"/>
      <c r="F4" s="748"/>
      <c r="G4" s="749"/>
      <c r="H4" s="763"/>
      <c r="I4" s="745"/>
    </row>
    <row r="5" spans="1:9" ht="15.75" thickBot="1" x14ac:dyDescent="0.3">
      <c r="A5" s="754"/>
      <c r="B5" s="755"/>
      <c r="C5" s="210" t="s">
        <v>27</v>
      </c>
      <c r="D5" s="688" t="s">
        <v>36</v>
      </c>
      <c r="E5" s="689"/>
      <c r="F5" s="689"/>
      <c r="G5" s="690"/>
      <c r="H5" s="764"/>
      <c r="I5" s="746"/>
    </row>
    <row r="6" spans="1:9" ht="18.75" thickBot="1" x14ac:dyDescent="0.3">
      <c r="A6" s="765" t="s">
        <v>26</v>
      </c>
      <c r="B6" s="765"/>
      <c r="C6" s="765"/>
      <c r="D6" s="670" t="s">
        <v>155</v>
      </c>
      <c r="E6" s="670"/>
      <c r="F6" s="670"/>
      <c r="G6" s="767" t="s">
        <v>25</v>
      </c>
      <c r="H6" s="767"/>
      <c r="I6" s="8" t="s">
        <v>155</v>
      </c>
    </row>
    <row r="7" spans="1:9" ht="30.75" customHeight="1" x14ac:dyDescent="0.25">
      <c r="A7" s="768" t="s">
        <v>24</v>
      </c>
      <c r="B7" s="770" t="s">
        <v>23</v>
      </c>
      <c r="C7" s="772" t="s">
        <v>22</v>
      </c>
      <c r="D7" s="772" t="s">
        <v>21</v>
      </c>
      <c r="E7" s="772" t="s">
        <v>20</v>
      </c>
      <c r="F7" s="772"/>
      <c r="G7" s="772" t="s">
        <v>19</v>
      </c>
      <c r="H7" s="772"/>
      <c r="I7" s="212" t="s">
        <v>18</v>
      </c>
    </row>
    <row r="8" spans="1:9" ht="32.25" customHeight="1" thickBot="1" x14ac:dyDescent="0.3">
      <c r="A8" s="769"/>
      <c r="B8" s="771"/>
      <c r="C8" s="773"/>
      <c r="D8" s="773"/>
      <c r="E8" s="213" t="s">
        <v>15</v>
      </c>
      <c r="F8" s="214" t="s">
        <v>17</v>
      </c>
      <c r="G8" s="213" t="s">
        <v>15</v>
      </c>
      <c r="H8" s="214" t="s">
        <v>17</v>
      </c>
      <c r="I8" s="215" t="s">
        <v>16</v>
      </c>
    </row>
    <row r="9" spans="1:9" ht="20.25" x14ac:dyDescent="0.3">
      <c r="A9" s="1061"/>
      <c r="B9" s="1062"/>
      <c r="C9" s="1063" t="s">
        <v>37</v>
      </c>
      <c r="D9" s="1064"/>
      <c r="E9" s="1065"/>
      <c r="F9" s="1066"/>
      <c r="G9" s="1065"/>
      <c r="H9" s="1066"/>
      <c r="I9" s="1067"/>
    </row>
    <row r="10" spans="1:9" ht="20.25" x14ac:dyDescent="0.3">
      <c r="A10" s="1068">
        <v>907000306</v>
      </c>
      <c r="B10" s="1069" t="s">
        <v>156</v>
      </c>
      <c r="C10" s="1070" t="s">
        <v>157</v>
      </c>
      <c r="D10" s="1071" t="s">
        <v>34</v>
      </c>
      <c r="E10" s="1072">
        <v>24000</v>
      </c>
      <c r="F10" s="1073" t="s">
        <v>2</v>
      </c>
      <c r="G10" s="1074"/>
      <c r="H10" s="1075"/>
      <c r="I10" s="1067"/>
    </row>
    <row r="11" spans="1:9" ht="20.25" x14ac:dyDescent="0.3">
      <c r="A11" s="1071"/>
      <c r="B11" s="1071"/>
      <c r="C11" s="1076"/>
      <c r="D11" s="1071"/>
      <c r="E11" s="1072"/>
      <c r="F11" s="1073"/>
      <c r="G11" s="1074"/>
      <c r="H11" s="1075"/>
      <c r="I11" s="1067"/>
    </row>
    <row r="12" spans="1:9" ht="20.25" x14ac:dyDescent="0.3">
      <c r="A12" s="1077"/>
      <c r="B12" s="1077"/>
      <c r="C12" s="1070"/>
      <c r="D12" s="1078"/>
      <c r="E12" s="1078"/>
      <c r="F12" s="1078"/>
      <c r="G12" s="1078"/>
      <c r="H12" s="1075"/>
      <c r="I12" s="1067"/>
    </row>
    <row r="13" spans="1:9" ht="20.25" x14ac:dyDescent="0.3">
      <c r="A13" s="1079"/>
      <c r="B13" s="1080"/>
      <c r="C13" s="1081" t="s">
        <v>43</v>
      </c>
      <c r="D13" s="1078"/>
      <c r="E13" s="1078"/>
      <c r="F13" s="1078"/>
      <c r="G13" s="1078"/>
      <c r="H13" s="1075"/>
      <c r="I13" s="1067"/>
    </row>
    <row r="14" spans="1:9" ht="20.25" x14ac:dyDescent="0.3">
      <c r="A14" s="1082"/>
      <c r="B14" s="1083"/>
      <c r="C14" s="1084"/>
      <c r="D14" s="1085"/>
      <c r="E14" s="1086"/>
      <c r="F14" s="1087"/>
      <c r="G14" s="1065"/>
      <c r="H14" s="1075"/>
      <c r="I14" s="1067"/>
    </row>
    <row r="15" spans="1:9" ht="20.25" x14ac:dyDescent="0.3">
      <c r="A15" s="1069"/>
      <c r="B15" s="1069"/>
      <c r="C15" s="1070"/>
      <c r="D15" s="1088"/>
      <c r="E15" s="1089"/>
      <c r="F15" s="1090"/>
      <c r="G15" s="1065"/>
      <c r="H15" s="1075"/>
      <c r="I15" s="1067"/>
    </row>
    <row r="16" spans="1:9" ht="20.25" x14ac:dyDescent="0.3">
      <c r="A16" s="1091"/>
      <c r="B16" s="1092"/>
      <c r="C16" s="1093" t="s">
        <v>62</v>
      </c>
      <c r="D16" s="1094"/>
      <c r="E16" s="1095"/>
      <c r="F16" s="1066"/>
      <c r="G16" s="1065"/>
      <c r="H16" s="1075"/>
      <c r="I16" s="1067"/>
    </row>
    <row r="17" spans="1:9" ht="20.25" x14ac:dyDescent="0.3">
      <c r="A17" s="1096" t="s">
        <v>158</v>
      </c>
      <c r="B17" s="1097" t="s">
        <v>159</v>
      </c>
      <c r="C17" s="1098" t="s">
        <v>160</v>
      </c>
      <c r="D17" s="1078" t="s">
        <v>34</v>
      </c>
      <c r="E17" s="1089">
        <v>1300</v>
      </c>
      <c r="F17" s="1090" t="s">
        <v>2</v>
      </c>
      <c r="G17" s="1099"/>
      <c r="H17" s="1075"/>
      <c r="I17" s="1067"/>
    </row>
    <row r="18" spans="1:9" ht="20.25" x14ac:dyDescent="0.3">
      <c r="A18" s="1096">
        <v>1950928</v>
      </c>
      <c r="B18" s="1097" t="s">
        <v>161</v>
      </c>
      <c r="C18" s="1098" t="s">
        <v>162</v>
      </c>
      <c r="D18" s="1078" t="s">
        <v>163</v>
      </c>
      <c r="E18" s="1089">
        <v>6</v>
      </c>
      <c r="F18" s="1090" t="s">
        <v>5</v>
      </c>
      <c r="G18" s="1099"/>
      <c r="H18" s="1075"/>
      <c r="I18" s="1067"/>
    </row>
    <row r="19" spans="1:9" ht="20.25" x14ac:dyDescent="0.3">
      <c r="A19" s="1100" t="s">
        <v>164</v>
      </c>
      <c r="B19" s="1101" t="s">
        <v>165</v>
      </c>
      <c r="C19" s="1102" t="s">
        <v>166</v>
      </c>
      <c r="D19" s="1078" t="s">
        <v>59</v>
      </c>
      <c r="E19" s="1089">
        <v>6</v>
      </c>
      <c r="F19" s="1090" t="s">
        <v>5</v>
      </c>
      <c r="G19" s="1099"/>
      <c r="H19" s="1075"/>
      <c r="I19" s="1067"/>
    </row>
    <row r="20" spans="1:9" ht="20.25" x14ac:dyDescent="0.3">
      <c r="A20" s="1103" t="s">
        <v>167</v>
      </c>
      <c r="B20" s="1103" t="s">
        <v>54</v>
      </c>
      <c r="C20" s="1104" t="s">
        <v>168</v>
      </c>
      <c r="D20" s="1078" t="s">
        <v>56</v>
      </c>
      <c r="E20" s="1089">
        <v>6</v>
      </c>
      <c r="F20" s="1090" t="s">
        <v>5</v>
      </c>
      <c r="G20" s="1065"/>
      <c r="H20" s="1075"/>
      <c r="I20" s="1067"/>
    </row>
    <row r="21" spans="1:9" ht="20.25" x14ac:dyDescent="0.3">
      <c r="A21" s="1103"/>
      <c r="B21" s="1103"/>
      <c r="C21" s="1104"/>
      <c r="D21" s="1078"/>
      <c r="E21" s="1089"/>
      <c r="F21" s="1090"/>
      <c r="G21" s="1105"/>
      <c r="H21" s="1075"/>
      <c r="I21" s="1067"/>
    </row>
    <row r="22" spans="1:9" ht="20.25" x14ac:dyDescent="0.3">
      <c r="A22" s="1106"/>
      <c r="B22" s="1106"/>
      <c r="C22" s="1107"/>
      <c r="D22" s="1078"/>
      <c r="E22" s="1090"/>
      <c r="F22" s="1090"/>
      <c r="G22" s="1105"/>
      <c r="H22" s="1066"/>
      <c r="I22" s="1067"/>
    </row>
    <row r="23" spans="1:9" ht="21" thickBot="1" x14ac:dyDescent="0.35">
      <c r="A23" s="1108"/>
      <c r="B23" s="1109"/>
      <c r="C23" s="1110" t="s">
        <v>53</v>
      </c>
      <c r="D23" s="1110"/>
      <c r="E23" s="1111"/>
      <c r="F23" s="1112"/>
      <c r="G23" s="1110"/>
      <c r="H23" s="1110"/>
      <c r="I23" s="1113"/>
    </row>
    <row r="24" spans="1:9" ht="21" thickBot="1" x14ac:dyDescent="0.35">
      <c r="A24" s="1114"/>
      <c r="B24" s="1115"/>
      <c r="C24" s="1116" t="s">
        <v>53</v>
      </c>
      <c r="D24" s="1117" t="s">
        <v>15</v>
      </c>
      <c r="E24" s="1118" t="s">
        <v>14</v>
      </c>
      <c r="F24" s="1119"/>
      <c r="G24" s="1116"/>
      <c r="H24" s="1116"/>
      <c r="I24" s="1120"/>
    </row>
    <row r="25" spans="1:9" ht="20.25" x14ac:dyDescent="0.3">
      <c r="A25" s="1121" t="s">
        <v>13</v>
      </c>
      <c r="B25" s="1122"/>
      <c r="C25" s="1123"/>
      <c r="D25" s="1124">
        <v>23400</v>
      </c>
      <c r="E25" s="1125" t="s">
        <v>2</v>
      </c>
      <c r="F25" s="1126" t="s">
        <v>12</v>
      </c>
      <c r="G25" s="1126"/>
      <c r="H25" s="1127"/>
      <c r="I25" s="1128"/>
    </row>
    <row r="26" spans="1:9" ht="20.25" x14ac:dyDescent="0.3">
      <c r="A26" s="1129" t="s">
        <v>11</v>
      </c>
      <c r="B26" s="1130"/>
      <c r="C26" s="1131"/>
      <c r="D26" s="1078">
        <v>20</v>
      </c>
      <c r="E26" s="1078" t="s">
        <v>169</v>
      </c>
      <c r="F26" s="1132" t="s">
        <v>9</v>
      </c>
      <c r="G26" s="1132"/>
      <c r="H26" s="1133"/>
      <c r="I26" s="1134"/>
    </row>
    <row r="27" spans="1:9" ht="20.25" x14ac:dyDescent="0.3">
      <c r="A27" s="1129" t="s">
        <v>8</v>
      </c>
      <c r="B27" s="1130"/>
      <c r="C27" s="1131"/>
      <c r="D27" s="1089">
        <f>D25/D28</f>
        <v>117</v>
      </c>
      <c r="E27" s="1078" t="s">
        <v>170</v>
      </c>
      <c r="F27" s="1132" t="s">
        <v>7</v>
      </c>
      <c r="G27" s="1132"/>
      <c r="H27" s="1133"/>
      <c r="I27" s="1134"/>
    </row>
    <row r="28" spans="1:9" ht="20.25" x14ac:dyDescent="0.3">
      <c r="A28" s="1129" t="s">
        <v>6</v>
      </c>
      <c r="B28" s="1130"/>
      <c r="C28" s="1131"/>
      <c r="D28" s="1089">
        <v>200</v>
      </c>
      <c r="E28" s="1078" t="s">
        <v>2</v>
      </c>
      <c r="F28" s="1135" t="s">
        <v>4</v>
      </c>
      <c r="G28" s="1136"/>
      <c r="H28" s="1137"/>
      <c r="I28" s="1138"/>
    </row>
    <row r="29" spans="1:9" ht="21" thickBot="1" x14ac:dyDescent="0.35">
      <c r="A29" s="1139" t="s">
        <v>3</v>
      </c>
      <c r="B29" s="1140"/>
      <c r="C29" s="1141"/>
      <c r="D29" s="1142">
        <v>600</v>
      </c>
      <c r="E29" s="1143" t="s">
        <v>2</v>
      </c>
      <c r="F29" s="1144"/>
      <c r="G29" s="1144"/>
      <c r="H29" s="1133"/>
      <c r="I29" s="1134"/>
    </row>
    <row r="30" spans="1:9" ht="21" thickBot="1" x14ac:dyDescent="0.35">
      <c r="A30" s="1159" t="s">
        <v>1</v>
      </c>
      <c r="B30" s="1160"/>
      <c r="C30" s="1160"/>
      <c r="D30" s="1160"/>
      <c r="E30" s="1160"/>
      <c r="F30" s="1160"/>
      <c r="G30" s="1160"/>
      <c r="H30" s="1160"/>
      <c r="I30" s="1161"/>
    </row>
    <row r="31" spans="1:9" ht="20.25" x14ac:dyDescent="0.3">
      <c r="A31" s="1145" t="s">
        <v>171</v>
      </c>
      <c r="B31" s="1146"/>
      <c r="C31" s="1147"/>
      <c r="D31" s="1147"/>
      <c r="E31" s="1147"/>
      <c r="F31" s="1147"/>
      <c r="G31" s="1147"/>
      <c r="H31" s="1147"/>
      <c r="I31" s="1148"/>
    </row>
    <row r="32" spans="1:9" ht="20.25" x14ac:dyDescent="0.3">
      <c r="A32" s="1149" t="s">
        <v>172</v>
      </c>
      <c r="B32" s="1150"/>
      <c r="C32" s="1151"/>
      <c r="D32" s="1151"/>
      <c r="E32" s="1151"/>
      <c r="F32" s="1151"/>
      <c r="G32" s="1151"/>
      <c r="H32" s="1151"/>
      <c r="I32" s="1152"/>
    </row>
    <row r="33" spans="1:9" ht="20.25" x14ac:dyDescent="0.3">
      <c r="A33" s="1153" t="s">
        <v>173</v>
      </c>
      <c r="B33" s="1154"/>
      <c r="C33" s="1154"/>
      <c r="D33" s="1154"/>
      <c r="E33" s="1154"/>
      <c r="F33" s="1154"/>
      <c r="G33" s="1154"/>
      <c r="H33" s="1154"/>
      <c r="I33" s="1155"/>
    </row>
    <row r="34" spans="1:9" ht="20.25" x14ac:dyDescent="0.3">
      <c r="A34" s="1162"/>
      <c r="B34" s="1163"/>
      <c r="C34" s="1163"/>
      <c r="D34" s="1163"/>
      <c r="E34" s="1163"/>
      <c r="F34" s="1163"/>
      <c r="G34" s="1163"/>
      <c r="H34" s="1163"/>
      <c r="I34" s="1164"/>
    </row>
    <row r="35" spans="1:9" ht="20.25" x14ac:dyDescent="0.3">
      <c r="A35" s="1165" t="s">
        <v>0</v>
      </c>
      <c r="B35" s="1165"/>
      <c r="C35" s="1165"/>
      <c r="D35" s="1165"/>
      <c r="E35" s="1165"/>
      <c r="F35" s="1165"/>
      <c r="G35" s="1165"/>
      <c r="H35" s="1165"/>
      <c r="I35" s="1165"/>
    </row>
    <row r="36" spans="1:9" ht="20.25" x14ac:dyDescent="0.3">
      <c r="A36" s="1166"/>
      <c r="B36" s="1166"/>
      <c r="C36" s="1166"/>
      <c r="D36" s="1166"/>
      <c r="E36" s="1166"/>
      <c r="F36" s="1166"/>
      <c r="G36" s="1166"/>
      <c r="H36" s="1166"/>
      <c r="I36" s="1166"/>
    </row>
    <row r="37" spans="1:9" ht="20.25" x14ac:dyDescent="0.3">
      <c r="A37" s="1166"/>
      <c r="B37" s="1166"/>
      <c r="C37" s="1166"/>
      <c r="D37" s="1166"/>
      <c r="E37" s="1166"/>
      <c r="F37" s="1166"/>
      <c r="G37" s="1166"/>
      <c r="H37" s="1166"/>
      <c r="I37" s="1166"/>
    </row>
  </sheetData>
  <mergeCells count="40">
    <mergeCell ref="A34:I34"/>
    <mergeCell ref="A35:I35"/>
    <mergeCell ref="A36:I36"/>
    <mergeCell ref="A37:I37"/>
    <mergeCell ref="A29:C29"/>
    <mergeCell ref="F29:G29"/>
    <mergeCell ref="H29:I29"/>
    <mergeCell ref="A30:I30"/>
    <mergeCell ref="A31:I31"/>
    <mergeCell ref="A32:I32"/>
    <mergeCell ref="A33:I33"/>
    <mergeCell ref="A27:C27"/>
    <mergeCell ref="F27:G27"/>
    <mergeCell ref="H27:I27"/>
    <mergeCell ref="A28:C28"/>
    <mergeCell ref="F28:G28"/>
    <mergeCell ref="H28:I28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82D4-E10F-477D-9487-9BB7AF590434}">
  <dimension ref="A1:Q91"/>
  <sheetViews>
    <sheetView workbookViewId="0">
      <selection activeCell="F34" sqref="F34"/>
    </sheetView>
  </sheetViews>
  <sheetFormatPr baseColWidth="10" defaultColWidth="8.42578125" defaultRowHeight="12.75" x14ac:dyDescent="0.25"/>
  <cols>
    <col min="1" max="1" width="10" style="87" bestFit="1" customWidth="1"/>
    <col min="2" max="2" width="44.28515625" style="87" bestFit="1" customWidth="1"/>
    <col min="3" max="3" width="10.42578125" style="87" bestFit="1" customWidth="1"/>
    <col min="4" max="4" width="10.42578125" style="87" customWidth="1"/>
    <col min="5" max="5" width="11" style="87" customWidth="1"/>
    <col min="6" max="6" width="9.5703125" style="87" bestFit="1" customWidth="1"/>
    <col min="7" max="7" width="10.85546875" style="169" customWidth="1"/>
    <col min="8" max="8" width="10.42578125" style="160" bestFit="1" customWidth="1"/>
    <col min="9" max="9" width="4.5703125" style="160" customWidth="1"/>
    <col min="10" max="10" width="1.85546875" style="86" customWidth="1"/>
    <col min="11" max="11" width="7" style="87" bestFit="1" customWidth="1"/>
    <col min="12" max="12" width="6.28515625" style="87" customWidth="1"/>
    <col min="13" max="13" width="20.42578125" style="87" customWidth="1"/>
    <col min="14" max="14" width="6.42578125" style="87" bestFit="1" customWidth="1"/>
    <col min="15" max="16" width="8.42578125" style="87"/>
    <col min="17" max="17" width="3.28515625" style="87" customWidth="1"/>
    <col min="18" max="16384" width="8.42578125" style="87"/>
  </cols>
  <sheetData>
    <row r="1" spans="1:10" ht="27.75" customHeight="1" x14ac:dyDescent="0.25">
      <c r="A1" s="82"/>
      <c r="B1" s="82"/>
      <c r="C1" s="82"/>
      <c r="D1" s="82"/>
      <c r="E1" s="83" t="s">
        <v>79</v>
      </c>
      <c r="F1" s="84" t="s">
        <v>80</v>
      </c>
      <c r="G1" s="84" t="s">
        <v>81</v>
      </c>
      <c r="H1" s="84" t="s">
        <v>82</v>
      </c>
      <c r="I1" s="85"/>
    </row>
    <row r="2" spans="1:10" ht="30.75" customHeight="1" x14ac:dyDescent="0.25">
      <c r="A2" s="82"/>
      <c r="B2" s="82"/>
      <c r="C2" s="82"/>
      <c r="D2" s="82"/>
      <c r="E2" s="88">
        <f>IFERROR(O62,"")</f>
        <v>377.54202053076267</v>
      </c>
      <c r="F2" s="88">
        <f>IFERROR(H53,"")</f>
        <v>372.24786324786322</v>
      </c>
      <c r="G2" s="88">
        <f>IFERROR(H54,"")</f>
        <v>4.9015153888888898</v>
      </c>
      <c r="H2" s="88">
        <f>IFERROR(H56,"")</f>
        <v>22.108192644628577</v>
      </c>
      <c r="I2" s="89"/>
    </row>
    <row r="3" spans="1:10" ht="15" customHeight="1" x14ac:dyDescent="0.25">
      <c r="A3" s="82"/>
      <c r="B3" s="82"/>
      <c r="C3" s="82"/>
      <c r="D3" s="82"/>
      <c r="E3" s="82"/>
      <c r="F3" s="90"/>
      <c r="G3" s="90"/>
      <c r="H3" s="90"/>
      <c r="I3" s="90"/>
    </row>
    <row r="4" spans="1:10" ht="24.75" customHeight="1" thickBot="1" x14ac:dyDescent="0.3">
      <c r="A4" s="714"/>
      <c r="B4" s="714"/>
      <c r="C4" s="714"/>
      <c r="D4" s="714"/>
      <c r="E4" s="714"/>
      <c r="F4" s="714"/>
      <c r="G4" s="714"/>
      <c r="H4" s="714"/>
      <c r="I4" s="91"/>
    </row>
    <row r="5" spans="1:10" ht="19.5" customHeight="1" thickBot="1" x14ac:dyDescent="0.3">
      <c r="A5" s="715" t="s">
        <v>83</v>
      </c>
      <c r="B5" s="716"/>
      <c r="C5" s="716"/>
      <c r="D5" s="716"/>
      <c r="E5" s="716"/>
      <c r="F5" s="716"/>
      <c r="G5" s="716"/>
      <c r="H5" s="717"/>
      <c r="I5" s="92"/>
    </row>
    <row r="6" spans="1:10" ht="19.5" thickBot="1" x14ac:dyDescent="0.3">
      <c r="A6" s="92"/>
      <c r="B6" s="92"/>
      <c r="C6" s="92"/>
      <c r="D6" s="92"/>
      <c r="E6" s="92"/>
      <c r="F6" s="718" t="s">
        <v>84</v>
      </c>
      <c r="G6" s="718"/>
      <c r="H6" s="93">
        <f ca="1">TODAY()</f>
        <v>46063</v>
      </c>
      <c r="I6" s="93"/>
    </row>
    <row r="7" spans="1:10" ht="26.25" hidden="1" thickBot="1" x14ac:dyDescent="0.3">
      <c r="A7" s="94" t="s">
        <v>85</v>
      </c>
      <c r="B7" s="95" t="s">
        <v>86</v>
      </c>
      <c r="C7" s="95" t="s">
        <v>85</v>
      </c>
      <c r="D7" s="96" t="s">
        <v>87</v>
      </c>
      <c r="E7" s="96" t="s">
        <v>88</v>
      </c>
      <c r="F7" s="96" t="s">
        <v>89</v>
      </c>
      <c r="G7" s="96" t="s">
        <v>90</v>
      </c>
      <c r="H7" s="97" t="s">
        <v>91</v>
      </c>
      <c r="I7" s="98"/>
    </row>
    <row r="8" spans="1:10" ht="14.25" hidden="1" thickBot="1" x14ac:dyDescent="0.3">
      <c r="A8" s="99"/>
      <c r="B8" s="87" t="str">
        <f>IFERROR(VLOOKUP(H8,'[1]Consolidado MP Planta'!$A$2:$M$823,3,0),"")</f>
        <v/>
      </c>
      <c r="C8" s="100">
        <f>+A8</f>
        <v>0</v>
      </c>
      <c r="D8" s="101" t="str">
        <f>IFERROR(VLOOKUP(H8,'[1]Consolidado MP Planta'!$A$2:$M$823,13,0),"")</f>
        <v/>
      </c>
      <c r="E8" s="101" t="str">
        <f>IFERROR(VLOOKUP(H8,'[1]Consolidado MP Planta'!$A$2:$M$823,12,0),"")</f>
        <v/>
      </c>
      <c r="F8" s="101" t="str">
        <f>IFERROR(C8*E8,"")</f>
        <v/>
      </c>
      <c r="G8" s="102" t="str">
        <f t="shared" ref="G8:G14" si="0">IFERROR(F8/$F$66,"")</f>
        <v/>
      </c>
      <c r="H8" s="103"/>
      <c r="I8" s="103"/>
      <c r="J8" s="104"/>
    </row>
    <row r="9" spans="1:10" ht="14.25" hidden="1" thickBot="1" x14ac:dyDescent="0.3">
      <c r="A9" s="99"/>
      <c r="B9" s="87" t="str">
        <f>IFERROR(VLOOKUP(H9,'[1]Consolidado MP Planta'!$A$2:$M$823,3,0),"")</f>
        <v/>
      </c>
      <c r="C9" s="100">
        <f t="shared" ref="C9:C14" si="1">+A9</f>
        <v>0</v>
      </c>
      <c r="D9" s="101" t="str">
        <f>IFERROR(VLOOKUP(H9,'[1]Consolidado MP Planta'!$A$2:$M$823,13,0),"")</f>
        <v/>
      </c>
      <c r="E9" s="101" t="str">
        <f>IFERROR(VLOOKUP(H9,'[1]Consolidado MP Planta'!$A$2:$M$823,12,0),"")</f>
        <v/>
      </c>
      <c r="F9" s="101" t="str">
        <f t="shared" ref="F9:F14" si="2">IFERROR(C9*E9,"")</f>
        <v/>
      </c>
      <c r="G9" s="102" t="str">
        <f t="shared" si="0"/>
        <v/>
      </c>
      <c r="H9" s="103"/>
      <c r="I9" s="103"/>
      <c r="J9" s="104"/>
    </row>
    <row r="10" spans="1:10" ht="14.25" hidden="1" thickBot="1" x14ac:dyDescent="0.3">
      <c r="A10" s="99"/>
      <c r="B10" s="87" t="str">
        <f>IFERROR(VLOOKUP(H10,'[1]Consolidado MP Planta'!$A$2:$M$823,3,0),"")</f>
        <v/>
      </c>
      <c r="C10" s="100">
        <f t="shared" si="1"/>
        <v>0</v>
      </c>
      <c r="D10" s="101" t="str">
        <f>IFERROR(VLOOKUP(H10,'[1]Consolidado MP Planta'!$A$2:$M$823,13,0),"")</f>
        <v/>
      </c>
      <c r="E10" s="101" t="str">
        <f>IFERROR(VLOOKUP(H10,'[1]Consolidado MP Planta'!$A$2:$M$823,12,0),"")</f>
        <v/>
      </c>
      <c r="F10" s="101" t="str">
        <f t="shared" si="2"/>
        <v/>
      </c>
      <c r="G10" s="102" t="str">
        <f t="shared" si="0"/>
        <v/>
      </c>
      <c r="H10" s="103"/>
      <c r="I10" s="103"/>
      <c r="J10" s="104"/>
    </row>
    <row r="11" spans="1:10" ht="14.25" hidden="1" thickBot="1" x14ac:dyDescent="0.3">
      <c r="A11" s="99"/>
      <c r="B11" s="87" t="str">
        <f>IFERROR(VLOOKUP(H11,'[1]Consolidado MP Planta'!$A$2:$M$823,3,0),"")</f>
        <v/>
      </c>
      <c r="C11" s="100">
        <f t="shared" si="1"/>
        <v>0</v>
      </c>
      <c r="D11" s="101" t="str">
        <f>IFERROR(VLOOKUP(H11,'[1]Consolidado MP Planta'!$A$2:$M$823,13,0),"")</f>
        <v/>
      </c>
      <c r="E11" s="101" t="str">
        <f>IFERROR(VLOOKUP(H11,'[1]Consolidado MP Planta'!$A$2:$M$823,12,0),"")</f>
        <v/>
      </c>
      <c r="F11" s="101" t="str">
        <f t="shared" si="2"/>
        <v/>
      </c>
      <c r="G11" s="102" t="str">
        <f t="shared" si="0"/>
        <v/>
      </c>
      <c r="H11" s="103"/>
      <c r="I11" s="103"/>
      <c r="J11" s="104"/>
    </row>
    <row r="12" spans="1:10" ht="14.25" hidden="1" thickBot="1" x14ac:dyDescent="0.3">
      <c r="A12" s="99"/>
      <c r="B12" s="87" t="str">
        <f>IFERROR(VLOOKUP(H12,'[1]Consolidado MP Planta'!$A$2:$M$823,3,0),"")</f>
        <v/>
      </c>
      <c r="C12" s="100">
        <f t="shared" si="1"/>
        <v>0</v>
      </c>
      <c r="D12" s="101" t="str">
        <f>IFERROR(VLOOKUP(H12,'[1]Consolidado MP Planta'!$A$2:$M$823,13,0),"")</f>
        <v/>
      </c>
      <c r="E12" s="101" t="str">
        <f>IFERROR(VLOOKUP(H12,'[1]Consolidado MP Planta'!$A$2:$M$823,12,0),"")</f>
        <v/>
      </c>
      <c r="F12" s="101" t="str">
        <f t="shared" si="2"/>
        <v/>
      </c>
      <c r="G12" s="102" t="str">
        <f t="shared" si="0"/>
        <v/>
      </c>
      <c r="H12" s="103"/>
      <c r="I12" s="103"/>
      <c r="J12" s="104"/>
    </row>
    <row r="13" spans="1:10" ht="14.25" hidden="1" thickBot="1" x14ac:dyDescent="0.3">
      <c r="A13" s="99"/>
      <c r="B13" s="87" t="str">
        <f>IFERROR(VLOOKUP(H13,'[1]Consolidado MP Planta'!$A$2:$M$823,3,0),"")</f>
        <v/>
      </c>
      <c r="C13" s="100">
        <f t="shared" si="1"/>
        <v>0</v>
      </c>
      <c r="D13" s="101" t="str">
        <f>IFERROR(VLOOKUP(H13,'[1]Consolidado MP Planta'!$A$2:$M$823,13,0),"")</f>
        <v/>
      </c>
      <c r="E13" s="101" t="str">
        <f>IFERROR(VLOOKUP(H13,'[1]Consolidado MP Planta'!$A$2:$M$823,12,0),"")</f>
        <v/>
      </c>
      <c r="F13" s="101" t="str">
        <f t="shared" si="2"/>
        <v/>
      </c>
      <c r="G13" s="102" t="str">
        <f t="shared" si="0"/>
        <v/>
      </c>
      <c r="H13" s="103"/>
      <c r="I13" s="103"/>
      <c r="J13" s="104"/>
    </row>
    <row r="14" spans="1:10" ht="14.25" hidden="1" thickBot="1" x14ac:dyDescent="0.3">
      <c r="A14" s="99"/>
      <c r="B14" s="87" t="str">
        <f>IFERROR(VLOOKUP(H14,'[1]Consolidado MP Planta'!$A$2:$M$823,3,0),"")</f>
        <v/>
      </c>
      <c r="C14" s="100">
        <f t="shared" si="1"/>
        <v>0</v>
      </c>
      <c r="D14" s="101" t="str">
        <f>IFERROR(VLOOKUP(H14,'[1]Consolidado MP Planta'!$A$2:$M$823,13,0),"")</f>
        <v/>
      </c>
      <c r="E14" s="101" t="str">
        <f>IFERROR(VLOOKUP(H14,'[1]Consolidado MP Planta'!$A$2:$M$823,12,0),"")</f>
        <v/>
      </c>
      <c r="F14" s="101" t="str">
        <f t="shared" si="2"/>
        <v/>
      </c>
      <c r="G14" s="102" t="str">
        <f t="shared" si="0"/>
        <v/>
      </c>
      <c r="H14" s="103"/>
      <c r="I14" s="103"/>
      <c r="J14" s="104"/>
    </row>
    <row r="15" spans="1:10" ht="14.25" hidden="1" thickBot="1" x14ac:dyDescent="0.3">
      <c r="A15" s="99"/>
      <c r="B15" s="87" t="str">
        <f>IFERROR(VLOOKUP(H15,[2]Hoja2!$A$2:$G$589,2,0),"")</f>
        <v/>
      </c>
      <c r="C15" s="100"/>
      <c r="D15" s="101"/>
      <c r="E15" s="101"/>
      <c r="F15" s="101"/>
      <c r="G15" s="102"/>
      <c r="H15" s="103"/>
      <c r="I15" s="103"/>
      <c r="J15" s="104"/>
    </row>
    <row r="16" spans="1:10" ht="26.25" thickBot="1" x14ac:dyDescent="0.3">
      <c r="A16" s="94" t="s">
        <v>85</v>
      </c>
      <c r="B16" s="95" t="s">
        <v>92</v>
      </c>
      <c r="C16" s="95" t="s">
        <v>85</v>
      </c>
      <c r="D16" s="96" t="s">
        <v>87</v>
      </c>
      <c r="E16" s="96" t="s">
        <v>88</v>
      </c>
      <c r="F16" s="96" t="s">
        <v>89</v>
      </c>
      <c r="G16" s="96" t="s">
        <v>90</v>
      </c>
      <c r="H16" s="97" t="s">
        <v>91</v>
      </c>
      <c r="I16" s="98"/>
      <c r="J16" s="104"/>
    </row>
    <row r="17" spans="1:12" ht="13.5" x14ac:dyDescent="0.25">
      <c r="A17" s="99">
        <v>24000</v>
      </c>
      <c r="B17" s="87" t="s">
        <v>157</v>
      </c>
      <c r="C17" s="100">
        <f>+A17</f>
        <v>24000</v>
      </c>
      <c r="D17" s="100" t="s">
        <v>133</v>
      </c>
      <c r="E17" s="101">
        <v>1.76</v>
      </c>
      <c r="F17" s="101">
        <f>IFERROR(E17*C17,"")</f>
        <v>42240</v>
      </c>
      <c r="G17" s="102">
        <f t="shared" ref="G17:G24" si="3">IFERROR(F17/$F$66,"")</f>
        <v>0.90765438934273324</v>
      </c>
      <c r="H17" s="103" t="s">
        <v>342</v>
      </c>
      <c r="I17" s="103"/>
      <c r="J17" s="104"/>
    </row>
    <row r="18" spans="1:12" ht="13.5" x14ac:dyDescent="0.25">
      <c r="A18" s="99">
        <v>1300</v>
      </c>
      <c r="B18" s="87" t="str">
        <f>IFERROR(VLOOKUP(H18,[1]SEMIELABORADOS!$A$2:$M$6000,2,0),"")</f>
        <v>MEZCLA P/ENGRASE MOLDES KILO</v>
      </c>
      <c r="C18" s="100">
        <f t="shared" ref="C18:C24" si="4">+A18</f>
        <v>1300</v>
      </c>
      <c r="D18" s="100" t="str">
        <f>IFERROR(VLOOKUP(H18,[1]SEMIELABORADOS!$A$2:$M$6000,6,0),"")</f>
        <v>Gramo</v>
      </c>
      <c r="E18" s="101">
        <v>1.01</v>
      </c>
      <c r="F18" s="101">
        <f t="shared" ref="F18:F24" si="5">IFERROR(E18*C18,"")</f>
        <v>1313</v>
      </c>
      <c r="G18" s="102">
        <f t="shared" si="3"/>
        <v>2.8213783456605322E-2</v>
      </c>
      <c r="H18" s="103" t="s">
        <v>158</v>
      </c>
      <c r="I18" s="103"/>
      <c r="J18" s="104"/>
    </row>
    <row r="19" spans="1:12" ht="13.5" hidden="1" x14ac:dyDescent="0.25">
      <c r="A19" s="99"/>
      <c r="B19" s="87" t="str">
        <f>IFERROR(VLOOKUP(H19,[1]SEMIELABORADOS!$A$2:$M$6000,2,0),"")</f>
        <v/>
      </c>
      <c r="C19" s="100">
        <f>+A19</f>
        <v>0</v>
      </c>
      <c r="D19" s="100" t="str">
        <f>IFERROR(VLOOKUP(H19,[1]SEMIELABORADOS!$A$2:$M$6000,6,0),"")</f>
        <v/>
      </c>
      <c r="E19" s="101" t="str">
        <f>IFERROR(VLOOKUP(H19,[1]SEMIELABORADOS!$A$2:$H$65536,8,0),"")</f>
        <v/>
      </c>
      <c r="F19" s="101" t="str">
        <f>IFERROR(E19*C19,"")</f>
        <v/>
      </c>
      <c r="G19" s="102" t="str">
        <f t="shared" si="3"/>
        <v/>
      </c>
      <c r="H19" s="103"/>
      <c r="I19" s="103"/>
      <c r="J19" s="104"/>
    </row>
    <row r="20" spans="1:12" ht="13.5" hidden="1" x14ac:dyDescent="0.25">
      <c r="A20" s="99"/>
      <c r="B20" s="87" t="str">
        <f>IFERROR(VLOOKUP(H20,[1]SEMIELABORADOS!$A$2:$M$6000,2,0),"")</f>
        <v/>
      </c>
      <c r="C20" s="100">
        <f>+A20</f>
        <v>0</v>
      </c>
      <c r="D20" s="100" t="str">
        <f>IFERROR(VLOOKUP(H20,[1]SEMIELABORADOS!$A$2:$M$6000,6,0),"")</f>
        <v/>
      </c>
      <c r="E20" s="101" t="str">
        <f>IFERROR(VLOOKUP(H20,[1]SEMIELABORADOS!$A$2:$H$65536,8,0),"")</f>
        <v/>
      </c>
      <c r="F20" s="101" t="str">
        <f>IFERROR(E20*C20,"")</f>
        <v/>
      </c>
      <c r="G20" s="102" t="str">
        <f t="shared" si="3"/>
        <v/>
      </c>
      <c r="H20" s="103"/>
      <c r="I20" s="103"/>
      <c r="J20" s="104"/>
    </row>
    <row r="21" spans="1:12" ht="13.5" hidden="1" x14ac:dyDescent="0.25">
      <c r="A21" s="99"/>
      <c r="B21" s="87" t="str">
        <f>IFERROR(VLOOKUP(H21,[1]SEMIELABORADOS!$A$2:$M$6000,2,0),"")</f>
        <v/>
      </c>
      <c r="C21" s="100">
        <f>+A21</f>
        <v>0</v>
      </c>
      <c r="D21" s="100" t="str">
        <f>IFERROR(VLOOKUP(H21,[1]SEMIELABORADOS!$A$2:$M$6000,6,0),"")</f>
        <v/>
      </c>
      <c r="E21" s="101" t="str">
        <f>IFERROR(VLOOKUP(H21,[1]SEMIELABORADOS!$A$2:$H$65536,8,0),"")</f>
        <v/>
      </c>
      <c r="F21" s="101" t="str">
        <f>IFERROR(E21*C21,"")</f>
        <v/>
      </c>
      <c r="G21" s="102" t="str">
        <f t="shared" si="3"/>
        <v/>
      </c>
      <c r="H21" s="103"/>
      <c r="I21" s="103"/>
      <c r="J21" s="104"/>
    </row>
    <row r="22" spans="1:12" ht="13.5" hidden="1" x14ac:dyDescent="0.25">
      <c r="A22" s="99"/>
      <c r="B22" s="87" t="str">
        <f>IFERROR(VLOOKUP(H22,[1]SEMIELABORADOS!$A$2:$M$6000,2,0),"")</f>
        <v/>
      </c>
      <c r="C22" s="100">
        <f t="shared" si="4"/>
        <v>0</v>
      </c>
      <c r="D22" s="100" t="str">
        <f>IFERROR(VLOOKUP(H22,[1]SEMIELABORADOS!$A$2:$M$6000,6,0),"")</f>
        <v/>
      </c>
      <c r="E22" s="101" t="str">
        <f>IFERROR(VLOOKUP(H22,[1]SEMIELABORADOS!$A$2:$H$65536,8,0),"")</f>
        <v/>
      </c>
      <c r="F22" s="101" t="str">
        <f t="shared" si="5"/>
        <v/>
      </c>
      <c r="G22" s="102" t="str">
        <f t="shared" si="3"/>
        <v/>
      </c>
      <c r="H22" s="103"/>
      <c r="I22" s="103"/>
      <c r="J22" s="104"/>
    </row>
    <row r="23" spans="1:12" ht="13.5" hidden="1" x14ac:dyDescent="0.25">
      <c r="A23" s="99"/>
      <c r="B23" s="87" t="str">
        <f>IFERROR(VLOOKUP(H23,[1]SEMIELABORADOS!$A$2:$M$6000,2,0),"")</f>
        <v/>
      </c>
      <c r="C23" s="100">
        <f t="shared" si="4"/>
        <v>0</v>
      </c>
      <c r="D23" s="100" t="str">
        <f>IFERROR(VLOOKUP(H23,[1]SEMIELABORADOS!$A$2:$M$6000,6,0),"")</f>
        <v/>
      </c>
      <c r="E23" s="101" t="str">
        <f>IFERROR(VLOOKUP(H23,[1]SEMIELABORADOS!$A$2:$H$65536,8,0),"")</f>
        <v/>
      </c>
      <c r="F23" s="101" t="str">
        <f t="shared" si="5"/>
        <v/>
      </c>
      <c r="G23" s="102" t="str">
        <f t="shared" si="3"/>
        <v/>
      </c>
      <c r="H23" s="103"/>
      <c r="I23" s="103"/>
      <c r="J23" s="104"/>
    </row>
    <row r="24" spans="1:12" ht="13.5" hidden="1" x14ac:dyDescent="0.25">
      <c r="A24" s="99"/>
      <c r="B24" s="87" t="str">
        <f>IFERROR(VLOOKUP(H24,[1]SEMIELABORADOS!$A$2:$M$6000,2,0),"")</f>
        <v/>
      </c>
      <c r="C24" s="100">
        <f t="shared" si="4"/>
        <v>0</v>
      </c>
      <c r="D24" s="100" t="str">
        <f>IFERROR(VLOOKUP(H24,[1]SEMIELABORADOS!$A$2:$M$6000,6,0),"")</f>
        <v/>
      </c>
      <c r="E24" s="101" t="str">
        <f>IFERROR(VLOOKUP(H24,[1]SEMIELABORADOS!$A$2:$H$65536,8,0),"")</f>
        <v/>
      </c>
      <c r="F24" s="101" t="str">
        <f t="shared" si="5"/>
        <v/>
      </c>
      <c r="G24" s="102" t="str">
        <f t="shared" si="3"/>
        <v/>
      </c>
      <c r="H24" s="103"/>
      <c r="I24" s="103"/>
      <c r="J24" s="104"/>
    </row>
    <row r="25" spans="1:12" ht="14.25" thickBot="1" x14ac:dyDescent="0.3">
      <c r="A25" s="99"/>
      <c r="C25" s="100"/>
      <c r="D25" s="100"/>
      <c r="E25" s="101"/>
      <c r="F25" s="101"/>
      <c r="G25" s="102"/>
      <c r="H25" s="103"/>
      <c r="I25" s="103"/>
      <c r="J25" s="104"/>
    </row>
    <row r="26" spans="1:12" ht="26.25" thickBot="1" x14ac:dyDescent="0.3">
      <c r="A26" s="94" t="s">
        <v>85</v>
      </c>
      <c r="B26" s="95" t="s">
        <v>93</v>
      </c>
      <c r="C26" s="95" t="s">
        <v>85</v>
      </c>
      <c r="D26" s="96" t="s">
        <v>87</v>
      </c>
      <c r="E26" s="96" t="s">
        <v>88</v>
      </c>
      <c r="F26" s="96" t="s">
        <v>89</v>
      </c>
      <c r="G26" s="96" t="s">
        <v>90</v>
      </c>
      <c r="H26" s="97" t="s">
        <v>91</v>
      </c>
      <c r="I26" s="98"/>
    </row>
    <row r="27" spans="1:12" ht="13.5" x14ac:dyDescent="0.25">
      <c r="A27" s="99">
        <v>6</v>
      </c>
      <c r="B27" s="105" t="str">
        <f>IFERROR(VLOOKUP(H27,'[1]Consolidado MP Planta'!$A$2:$M$823,3,0),"")</f>
        <v>BOLSA TRANSPARENTE 56X96X1.80 KILO</v>
      </c>
      <c r="C27" s="100">
        <f t="shared" ref="C27:C32" si="6">+A27</f>
        <v>6</v>
      </c>
      <c r="D27" s="101" t="str">
        <f>IFERROR(VLOOKUP(H27,'[1]Consolidado MP Planta'!$A$2:$M$823,13,0),"")</f>
        <v>Und</v>
      </c>
      <c r="E27" s="101">
        <f>IFERROR(VLOOKUP(H27,'[1]Consolidado MP Planta'!$A$2:$M$823,12,0),"")</f>
        <v>50</v>
      </c>
      <c r="F27" s="101">
        <f t="shared" ref="F27:F32" si="7">IFERROR(C27*E27,"")</f>
        <v>300</v>
      </c>
      <c r="G27" s="102">
        <f t="shared" ref="G27:G32" si="8">IFERROR(F27/$F$66,"")</f>
        <v>6.4464090152182765E-3</v>
      </c>
      <c r="H27" s="106" t="s">
        <v>343</v>
      </c>
      <c r="I27" s="106"/>
      <c r="J27" s="104"/>
      <c r="K27" s="713"/>
      <c r="L27" s="713"/>
    </row>
    <row r="28" spans="1:12" ht="13.5" x14ac:dyDescent="0.25">
      <c r="A28" s="99">
        <v>6</v>
      </c>
      <c r="B28" s="105" t="str">
        <f>IFERROR(VLOOKUP(H28,'[1]Consolidado MP Planta'!$A$2:$M$823,3,0),"")</f>
        <v>ETIQ.FECHA VENCIMIENTO BLANCO (ROLLO)</v>
      </c>
      <c r="C28" s="100">
        <f t="shared" si="6"/>
        <v>6</v>
      </c>
      <c r="D28" s="101" t="str">
        <f>IFERROR(VLOOKUP(H28,'[1]Consolidado MP Planta'!$A$2:$M$823,13,0),"")</f>
        <v>Gramos</v>
      </c>
      <c r="E28" s="101">
        <f>IFERROR(VLOOKUP(H28,'[1]Consolidado MP Planta'!$A$2:$M$823,12,0),"")</f>
        <v>0.33333333333333331</v>
      </c>
      <c r="F28" s="101">
        <f t="shared" si="7"/>
        <v>2</v>
      </c>
      <c r="G28" s="102">
        <f t="shared" si="8"/>
        <v>4.2976060101455174E-5</v>
      </c>
      <c r="H28" s="106" t="s">
        <v>164</v>
      </c>
      <c r="I28" s="106"/>
      <c r="J28" s="104"/>
      <c r="K28" s="713"/>
      <c r="L28" s="713"/>
    </row>
    <row r="29" spans="1:12" ht="13.5" x14ac:dyDescent="0.25">
      <c r="A29" s="99">
        <v>6</v>
      </c>
      <c r="B29" s="105" t="str">
        <f>IFERROR(VLOOKUP(H29,'[1]Consolidado MP Planta'!$A$2:$M$823,3,0),"")</f>
        <v>ETIQ.BLANCA 1 1/4 * 3/4 (UND)</v>
      </c>
      <c r="C29" s="100">
        <f t="shared" si="6"/>
        <v>6</v>
      </c>
      <c r="D29" s="101" t="str">
        <f>IFERROR(VLOOKUP(H29,'[1]Consolidado MP Planta'!$A$2:$M$823,13,0),"")</f>
        <v>Und</v>
      </c>
      <c r="E29" s="101">
        <f>IFERROR(VLOOKUP(H29,'[1]Consolidado MP Planta'!$A$2:$M$823,12,0),"")</f>
        <v>0.57999999999999996</v>
      </c>
      <c r="F29" s="101">
        <f t="shared" si="7"/>
        <v>3.4799999999999995</v>
      </c>
      <c r="G29" s="102">
        <f t="shared" si="8"/>
        <v>7.4778344576531989E-5</v>
      </c>
      <c r="H29" s="106" t="s">
        <v>167</v>
      </c>
      <c r="I29" s="106"/>
      <c r="J29" s="104"/>
      <c r="K29" s="713"/>
      <c r="L29" s="713"/>
    </row>
    <row r="30" spans="1:12" ht="13.5" hidden="1" x14ac:dyDescent="0.25">
      <c r="A30" s="99"/>
      <c r="B30" s="105" t="str">
        <f>IFERROR(VLOOKUP(H30,'[1]Consolidado MP Planta'!$A$2:$M$823,3,0),"")</f>
        <v/>
      </c>
      <c r="C30" s="100">
        <f t="shared" si="6"/>
        <v>0</v>
      </c>
      <c r="D30" s="101" t="str">
        <f>IFERROR(VLOOKUP(H30,'[1]Consolidado MP Planta'!$A$2:$M$823,13,0),"")</f>
        <v/>
      </c>
      <c r="E30" s="101" t="str">
        <f>IFERROR(VLOOKUP(H30,'[1]Consolidado MP Planta'!$A$2:$M$823,12,0),"")</f>
        <v/>
      </c>
      <c r="F30" s="101" t="str">
        <f t="shared" si="7"/>
        <v/>
      </c>
      <c r="G30" s="102" t="str">
        <f t="shared" si="8"/>
        <v/>
      </c>
      <c r="H30" s="106"/>
      <c r="I30" s="106"/>
      <c r="J30" s="104"/>
      <c r="K30" s="713"/>
      <c r="L30" s="713"/>
    </row>
    <row r="31" spans="1:12" ht="13.5" hidden="1" x14ac:dyDescent="0.25">
      <c r="A31" s="99"/>
      <c r="B31" s="105" t="str">
        <f>IFERROR(VLOOKUP(H31,'[1]Consolidado MP Planta'!$A$2:$M$823,3,0),"")</f>
        <v/>
      </c>
      <c r="C31" s="100">
        <f t="shared" si="6"/>
        <v>0</v>
      </c>
      <c r="D31" s="101" t="str">
        <f>IFERROR(VLOOKUP(H31,'[1]Consolidado MP Planta'!$A$2:$M$823,13,0),"")</f>
        <v/>
      </c>
      <c r="E31" s="101" t="str">
        <f>IFERROR(VLOOKUP(H31,'[1]Consolidado MP Planta'!$A$2:$M$823,12,0),"")</f>
        <v/>
      </c>
      <c r="F31" s="101" t="str">
        <f t="shared" si="7"/>
        <v/>
      </c>
      <c r="G31" s="102" t="str">
        <f t="shared" si="8"/>
        <v/>
      </c>
      <c r="H31" s="106"/>
      <c r="I31" s="106"/>
      <c r="J31" s="104"/>
      <c r="K31" s="107"/>
      <c r="L31" s="108"/>
    </row>
    <row r="32" spans="1:12" ht="13.5" hidden="1" x14ac:dyDescent="0.25">
      <c r="A32" s="99"/>
      <c r="B32" s="105" t="str">
        <f>IFERROR(VLOOKUP(H32,'[1]Consolidado MP Planta'!$A$2:$M$823,3,0),"")</f>
        <v/>
      </c>
      <c r="C32" s="100">
        <f t="shared" si="6"/>
        <v>0</v>
      </c>
      <c r="D32" s="101" t="str">
        <f>IFERROR(VLOOKUP(H32,'[1]Consolidado MP Planta'!$A$2:$M$823,13,0),"")</f>
        <v/>
      </c>
      <c r="E32" s="101" t="str">
        <f>IFERROR(VLOOKUP(H32,'[1]Consolidado MP Planta'!$A$2:$M$823,12,0),"")</f>
        <v/>
      </c>
      <c r="F32" s="101" t="str">
        <f t="shared" si="7"/>
        <v/>
      </c>
      <c r="G32" s="102" t="str">
        <f t="shared" si="8"/>
        <v/>
      </c>
      <c r="H32" s="106"/>
      <c r="I32" s="106"/>
      <c r="J32" s="104"/>
    </row>
    <row r="33" spans="1:13" ht="14.25" thickBot="1" x14ac:dyDescent="0.3">
      <c r="A33" s="99"/>
      <c r="B33" s="105"/>
      <c r="C33" s="100"/>
      <c r="D33" s="101"/>
      <c r="E33" s="101"/>
      <c r="F33" s="101"/>
      <c r="G33" s="102"/>
      <c r="H33" s="106"/>
      <c r="I33" s="106"/>
      <c r="J33" s="104"/>
    </row>
    <row r="34" spans="1:13" ht="26.25" thickBot="1" x14ac:dyDescent="0.25">
      <c r="A34" s="94" t="s">
        <v>85</v>
      </c>
      <c r="B34" s="95" t="s">
        <v>94</v>
      </c>
      <c r="C34" s="95" t="s">
        <v>85</v>
      </c>
      <c r="D34" s="96" t="s">
        <v>87</v>
      </c>
      <c r="E34" s="96" t="s">
        <v>88</v>
      </c>
      <c r="F34" s="96" t="s">
        <v>89</v>
      </c>
      <c r="G34" s="96" t="s">
        <v>90</v>
      </c>
      <c r="H34" s="97" t="s">
        <v>91</v>
      </c>
      <c r="I34" s="106"/>
      <c r="J34" s="104"/>
    </row>
    <row r="35" spans="1:13" ht="13.5" x14ac:dyDescent="0.25">
      <c r="A35" s="99">
        <f>+A17</f>
        <v>24000</v>
      </c>
      <c r="B35" s="105" t="s">
        <v>157</v>
      </c>
      <c r="C35" s="100">
        <f>+A35</f>
        <v>24000</v>
      </c>
      <c r="D35" s="101" t="s">
        <v>133</v>
      </c>
      <c r="E35" s="101">
        <v>0.01</v>
      </c>
      <c r="F35" s="101">
        <f>IFERROR(E35*C35,"")</f>
        <v>240</v>
      </c>
      <c r="G35" s="102">
        <f t="shared" ref="G35:G41" si="9">IFERROR(F35/$F$66,"")</f>
        <v>5.1571272121746208E-3</v>
      </c>
      <c r="H35" s="106" t="s">
        <v>342</v>
      </c>
      <c r="I35" s="106"/>
      <c r="J35" s="104"/>
    </row>
    <row r="36" spans="1:13" ht="13.5" x14ac:dyDescent="0.25">
      <c r="A36" s="99">
        <f t="shared" ref="A36:A41" si="10">+A18</f>
        <v>1300</v>
      </c>
      <c r="B36" s="105" t="str">
        <f>IFERROR(VLOOKUP(H36,[1]SEMIELABORADOS!$A$2:$M$6000,2,0),"")</f>
        <v>MEZCLA P/ENGRASE MOLDES KILO</v>
      </c>
      <c r="C36" s="100">
        <f t="shared" ref="C36:C41" si="11">+A36</f>
        <v>1300</v>
      </c>
      <c r="D36" s="101" t="str">
        <f>IFERROR(VLOOKUP(H36,[1]SEMIELABORADOS!$A$2:$M$6000,6,0),"")</f>
        <v>Gramo</v>
      </c>
      <c r="E36" s="101">
        <f>IFERROR(VLOOKUP(H36,[1]SEMIELABORADOS!$A$2:$M$65536,10,0),"")</f>
        <v>2.1536385000000002E-2</v>
      </c>
      <c r="F36" s="101">
        <f t="shared" ref="F36:F41" si="12">IFERROR(E36*C36,"")</f>
        <v>27.997300500000001</v>
      </c>
      <c r="G36" s="102">
        <f t="shared" si="9"/>
        <v>6.0160683448325048E-4</v>
      </c>
      <c r="H36" s="103" t="s">
        <v>158</v>
      </c>
      <c r="I36" s="106"/>
      <c r="J36" s="104"/>
    </row>
    <row r="37" spans="1:13" ht="13.5" hidden="1" x14ac:dyDescent="0.25">
      <c r="A37" s="99">
        <f t="shared" si="10"/>
        <v>0</v>
      </c>
      <c r="B37" s="105" t="str">
        <f>IFERROR(VLOOKUP(H37,[1]SEMIELABORADOS!$A$2:$M$6000,2,0),"")</f>
        <v/>
      </c>
      <c r="C37" s="100">
        <f t="shared" si="11"/>
        <v>0</v>
      </c>
      <c r="D37" s="101" t="str">
        <f>IFERROR(VLOOKUP(H37,[1]SEMIELABORADOS!$A$2:$M$6000,6,0),"")</f>
        <v/>
      </c>
      <c r="E37" s="101" t="str">
        <f>IFERROR(VLOOKUP(H37,[1]SEMIELABORADOS!$A$2:$M$65536,10,0),"")</f>
        <v/>
      </c>
      <c r="F37" s="101" t="str">
        <f t="shared" si="12"/>
        <v/>
      </c>
      <c r="G37" s="102" t="str">
        <f t="shared" si="9"/>
        <v/>
      </c>
      <c r="H37" s="106"/>
      <c r="I37" s="106"/>
      <c r="J37" s="104"/>
    </row>
    <row r="38" spans="1:13" ht="13.5" hidden="1" x14ac:dyDescent="0.25">
      <c r="A38" s="99">
        <f t="shared" si="10"/>
        <v>0</v>
      </c>
      <c r="B38" s="105" t="str">
        <f>IFERROR(VLOOKUP(H38,[1]SEMIELABORADOS!$A$2:$M$6000,2,0),"")</f>
        <v/>
      </c>
      <c r="C38" s="100">
        <f>+A38</f>
        <v>0</v>
      </c>
      <c r="D38" s="101" t="str">
        <f>IFERROR(VLOOKUP(H38,[1]SEMIELABORADOS!$A$2:$M$6000,6,0),"")</f>
        <v/>
      </c>
      <c r="E38" s="101" t="str">
        <f>IFERROR(VLOOKUP(H38,[1]SEMIELABORADOS!$A$2:$M$65536,10,0),"")</f>
        <v/>
      </c>
      <c r="F38" s="101" t="str">
        <f>IFERROR(E38*C38,"")</f>
        <v/>
      </c>
      <c r="G38" s="102" t="str">
        <f t="shared" si="9"/>
        <v/>
      </c>
      <c r="H38" s="106"/>
      <c r="I38" s="106"/>
      <c r="J38" s="104"/>
    </row>
    <row r="39" spans="1:13" ht="13.5" hidden="1" x14ac:dyDescent="0.25">
      <c r="A39" s="99">
        <f t="shared" si="10"/>
        <v>0</v>
      </c>
      <c r="B39" s="105" t="str">
        <f>IFERROR(VLOOKUP(H39,[1]SEMIELABORADOS!$A$2:$M$6000,2,0),"")</f>
        <v/>
      </c>
      <c r="C39" s="100">
        <f>+A39</f>
        <v>0</v>
      </c>
      <c r="D39" s="101" t="str">
        <f>IFERROR(VLOOKUP(H39,[1]SEMIELABORADOS!$A$2:$M$6000,6,0),"")</f>
        <v/>
      </c>
      <c r="E39" s="101" t="str">
        <f>IFERROR(VLOOKUP(H39,[1]SEMIELABORADOS!$A$2:$M$65536,10,0),"")</f>
        <v/>
      </c>
      <c r="F39" s="101" t="str">
        <f>IFERROR(E39*C39,"")</f>
        <v/>
      </c>
      <c r="G39" s="102" t="str">
        <f t="shared" si="9"/>
        <v/>
      </c>
      <c r="H39" s="106"/>
      <c r="I39" s="106"/>
      <c r="J39" s="104"/>
    </row>
    <row r="40" spans="1:13" ht="13.5" hidden="1" x14ac:dyDescent="0.25">
      <c r="A40" s="99">
        <f t="shared" si="10"/>
        <v>0</v>
      </c>
      <c r="B40" s="105" t="str">
        <f>IFERROR(VLOOKUP(H40,[1]SEMIELABORADOS!$A$2:$M$6000,2,0),"")</f>
        <v/>
      </c>
      <c r="C40" s="100">
        <f t="shared" si="11"/>
        <v>0</v>
      </c>
      <c r="D40" s="101" t="str">
        <f>IFERROR(VLOOKUP(H40,[1]SEMIELABORADOS!$A$2:$M$6000,6,0),"")</f>
        <v/>
      </c>
      <c r="E40" s="101" t="str">
        <f>IFERROR(VLOOKUP(H40,[1]SEMIELABORADOS!$A$2:$M$65536,10,0),"")</f>
        <v/>
      </c>
      <c r="F40" s="101" t="str">
        <f t="shared" si="12"/>
        <v/>
      </c>
      <c r="G40" s="102" t="str">
        <f t="shared" si="9"/>
        <v/>
      </c>
      <c r="H40" s="106"/>
      <c r="I40" s="106"/>
      <c r="J40" s="104"/>
    </row>
    <row r="41" spans="1:13" ht="13.5" hidden="1" x14ac:dyDescent="0.25">
      <c r="A41" s="99">
        <f t="shared" si="10"/>
        <v>0</v>
      </c>
      <c r="B41" s="105" t="str">
        <f>IFERROR(VLOOKUP(H41,[1]SEMIELABORADOS!$A$2:$M$6000,2,0),"")</f>
        <v/>
      </c>
      <c r="C41" s="100">
        <f t="shared" si="11"/>
        <v>0</v>
      </c>
      <c r="D41" s="101" t="str">
        <f>IFERROR(VLOOKUP(H41,[1]SEMIELABORADOS!$A$2:$M$6000,6,0),"")</f>
        <v/>
      </c>
      <c r="E41" s="101" t="str">
        <f>IFERROR(VLOOKUP(H41,[1]SEMIELABORADOS!$A$2:$M$65536,10,0),"")</f>
        <v/>
      </c>
      <c r="F41" s="101" t="str">
        <f t="shared" si="12"/>
        <v/>
      </c>
      <c r="G41" s="102" t="str">
        <f t="shared" si="9"/>
        <v/>
      </c>
      <c r="H41" s="106"/>
      <c r="I41" s="106"/>
      <c r="J41" s="104"/>
    </row>
    <row r="42" spans="1:13" ht="14.25" thickBot="1" x14ac:dyDescent="0.3">
      <c r="A42" s="99"/>
      <c r="B42" s="105"/>
      <c r="C42" s="100"/>
      <c r="D42" s="101"/>
      <c r="E42" s="101"/>
      <c r="F42" s="101"/>
      <c r="G42" s="102"/>
      <c r="H42" s="106"/>
      <c r="I42" s="106"/>
      <c r="J42" s="104"/>
    </row>
    <row r="43" spans="1:13" ht="26.25" thickBot="1" x14ac:dyDescent="0.3">
      <c r="A43" s="94" t="s">
        <v>85</v>
      </c>
      <c r="B43" s="95" t="s">
        <v>95</v>
      </c>
      <c r="C43" s="95" t="s">
        <v>85</v>
      </c>
      <c r="D43" s="96" t="s">
        <v>87</v>
      </c>
      <c r="E43" s="96" t="s">
        <v>88</v>
      </c>
      <c r="F43" s="96" t="s">
        <v>89</v>
      </c>
      <c r="G43" s="96" t="s">
        <v>90</v>
      </c>
      <c r="H43" s="97" t="s">
        <v>91</v>
      </c>
      <c r="I43" s="98"/>
      <c r="J43" s="104"/>
    </row>
    <row r="44" spans="1:13" ht="13.5" x14ac:dyDescent="0.25">
      <c r="A44" s="99">
        <f>+A35</f>
        <v>24000</v>
      </c>
      <c r="B44" s="105" t="s">
        <v>157</v>
      </c>
      <c r="C44" s="100">
        <f>+A44</f>
        <v>24000</v>
      </c>
      <c r="D44" s="101" t="s">
        <v>133</v>
      </c>
      <c r="E44" s="101">
        <v>0.03</v>
      </c>
      <c r="F44" s="101">
        <f>IFERROR(E44*C44,"")</f>
        <v>720</v>
      </c>
      <c r="G44" s="102">
        <f>IFERROR(F44/$F$66,"")</f>
        <v>1.5471381636523862E-2</v>
      </c>
      <c r="H44" s="106" t="s">
        <v>342</v>
      </c>
      <c r="I44" s="98"/>
      <c r="J44" s="104"/>
    </row>
    <row r="45" spans="1:13" ht="13.5" x14ac:dyDescent="0.25">
      <c r="A45" s="99">
        <f t="shared" ref="A45:A50" si="13">+A36</f>
        <v>1300</v>
      </c>
      <c r="B45" s="105" t="str">
        <f>IFERROR(VLOOKUP(H45,[1]SEMIELABORADOS!$A$2:$M$6000,2,0),"")</f>
        <v>MEZCLA P/ENGRASE MOLDES KILO</v>
      </c>
      <c r="C45" s="100">
        <f t="shared" ref="C45:C50" si="14">+A45</f>
        <v>1300</v>
      </c>
      <c r="D45" s="101" t="str">
        <f>IFERROR(VLOOKUP(H45,[1]SEMIELABORADOS!$A$2:$M$6000,6,0),"")</f>
        <v>Gramo</v>
      </c>
      <c r="E45" s="101">
        <f>IFERROR(VLOOKUP(H45,[1]SEMIELABORADOS!$A$2:$M$65536,12,0),"")</f>
        <v>0.25127579955503354</v>
      </c>
      <c r="F45" s="101">
        <f t="shared" ref="F45:F50" si="15">IFERROR(E45*C45,"")</f>
        <v>326.65853942154359</v>
      </c>
      <c r="G45" s="102">
        <f t="shared" ref="G45:G50" si="16">IFERROR(F45/$F$66,"")</f>
        <v>7.0192485114169111E-3</v>
      </c>
      <c r="H45" s="103" t="s">
        <v>158</v>
      </c>
      <c r="I45" s="98"/>
      <c r="J45" s="104"/>
      <c r="M45" s="109"/>
    </row>
    <row r="46" spans="1:13" ht="13.5" hidden="1" x14ac:dyDescent="0.25">
      <c r="A46" s="99">
        <f t="shared" si="13"/>
        <v>0</v>
      </c>
      <c r="B46" s="105" t="str">
        <f>IFERROR(VLOOKUP(H46,[1]SEMIELABORADOS!$A$2:$M$6000,2,0),"")</f>
        <v/>
      </c>
      <c r="C46" s="100">
        <f t="shared" si="14"/>
        <v>0</v>
      </c>
      <c r="D46" s="101" t="str">
        <f>IFERROR(VLOOKUP(H46,[1]SEMIELABORADOS!$A$2:$M$6000,6,0),"")</f>
        <v/>
      </c>
      <c r="E46" s="101" t="str">
        <f>IFERROR(VLOOKUP(H46,[1]SEMIELABORADOS!$A$2:$M$65536,12,0),"")</f>
        <v/>
      </c>
      <c r="F46" s="101" t="str">
        <f t="shared" si="15"/>
        <v/>
      </c>
      <c r="G46" s="102" t="str">
        <f t="shared" si="16"/>
        <v/>
      </c>
      <c r="H46" s="106"/>
      <c r="I46" s="98"/>
      <c r="J46" s="104"/>
    </row>
    <row r="47" spans="1:13" ht="13.5" hidden="1" x14ac:dyDescent="0.25">
      <c r="A47" s="99">
        <f t="shared" si="13"/>
        <v>0</v>
      </c>
      <c r="B47" s="105" t="str">
        <f>IFERROR(VLOOKUP(H47,[1]SEMIELABORADOS!$A$2:$M$6000,2,0),"")</f>
        <v/>
      </c>
      <c r="C47" s="100">
        <f t="shared" si="14"/>
        <v>0</v>
      </c>
      <c r="D47" s="101" t="str">
        <f>IFERROR(VLOOKUP(H47,[1]SEMIELABORADOS!$A$2:$M$6000,6,0),"")</f>
        <v/>
      </c>
      <c r="E47" s="101" t="str">
        <f>IFERROR(VLOOKUP(H47,[1]SEMIELABORADOS!$A$2:$M$65536,12,0),"")</f>
        <v/>
      </c>
      <c r="F47" s="101" t="str">
        <f t="shared" si="15"/>
        <v/>
      </c>
      <c r="G47" s="102" t="str">
        <f t="shared" si="16"/>
        <v/>
      </c>
      <c r="H47" s="106"/>
      <c r="I47" s="98"/>
      <c r="J47" s="104"/>
    </row>
    <row r="48" spans="1:13" ht="13.5" hidden="1" x14ac:dyDescent="0.25">
      <c r="A48" s="99">
        <f t="shared" si="13"/>
        <v>0</v>
      </c>
      <c r="B48" s="105" t="str">
        <f>IFERROR(VLOOKUP(H48,[1]SEMIELABORADOS!$A$2:$M$6000,2,0),"")</f>
        <v/>
      </c>
      <c r="C48" s="100">
        <f t="shared" si="14"/>
        <v>0</v>
      </c>
      <c r="D48" s="101" t="str">
        <f>IFERROR(VLOOKUP(H48,[1]SEMIELABORADOS!$A$2:$M$6000,6,0),"")</f>
        <v/>
      </c>
      <c r="E48" s="101" t="str">
        <f>IFERROR(VLOOKUP(H48,[1]SEMIELABORADOS!$A$2:$M$65536,12,0),"")</f>
        <v/>
      </c>
      <c r="F48" s="101" t="str">
        <f t="shared" si="15"/>
        <v/>
      </c>
      <c r="G48" s="102" t="str">
        <f t="shared" si="16"/>
        <v/>
      </c>
      <c r="H48" s="106"/>
      <c r="I48" s="98"/>
      <c r="J48" s="104"/>
    </row>
    <row r="49" spans="1:17" ht="13.5" hidden="1" x14ac:dyDescent="0.25">
      <c r="A49" s="99">
        <f t="shared" si="13"/>
        <v>0</v>
      </c>
      <c r="B49" s="105" t="str">
        <f>IFERROR(VLOOKUP(H49,[1]SEMIELABORADOS!$A$2:$M$6000,2,0),"")</f>
        <v/>
      </c>
      <c r="C49" s="100">
        <f t="shared" si="14"/>
        <v>0</v>
      </c>
      <c r="D49" s="101" t="str">
        <f>IFERROR(VLOOKUP(H49,[1]SEMIELABORADOS!$A$2:$M$6000,6,0),"")</f>
        <v/>
      </c>
      <c r="E49" s="101" t="str">
        <f>IFERROR(VLOOKUP(H49,[1]SEMIELABORADOS!$A$2:$M$65536,12,0),"")</f>
        <v/>
      </c>
      <c r="F49" s="101" t="str">
        <f t="shared" si="15"/>
        <v/>
      </c>
      <c r="G49" s="102" t="str">
        <f t="shared" si="16"/>
        <v/>
      </c>
      <c r="H49" s="106"/>
      <c r="I49" s="98"/>
      <c r="J49" s="104"/>
    </row>
    <row r="50" spans="1:17" ht="13.5" hidden="1" x14ac:dyDescent="0.25">
      <c r="A50" s="99">
        <f t="shared" si="13"/>
        <v>0</v>
      </c>
      <c r="B50" s="105" t="str">
        <f>IFERROR(VLOOKUP(H50,[1]SEMIELABORADOS!$A$2:$M$6000,2,0),"")</f>
        <v/>
      </c>
      <c r="C50" s="100">
        <f t="shared" si="14"/>
        <v>0</v>
      </c>
      <c r="D50" s="101" t="str">
        <f>IFERROR(VLOOKUP(H50,[1]SEMIELABORADOS!$A$2:$M$6000,6,0),"")</f>
        <v/>
      </c>
      <c r="E50" s="101" t="str">
        <f>IFERROR(VLOOKUP(H50,[1]SEMIELABORADOS!$A$2:$M$65536,12,0),"")</f>
        <v/>
      </c>
      <c r="F50" s="101" t="str">
        <f t="shared" si="15"/>
        <v/>
      </c>
      <c r="G50" s="102" t="str">
        <f t="shared" si="16"/>
        <v/>
      </c>
      <c r="H50" s="105"/>
      <c r="I50" s="98"/>
      <c r="J50" s="104"/>
    </row>
    <row r="51" spans="1:17" ht="13.5" x14ac:dyDescent="0.25">
      <c r="A51" s="99">
        <v>1</v>
      </c>
      <c r="B51" s="105" t="s">
        <v>96</v>
      </c>
      <c r="C51" s="100">
        <f>+A51</f>
        <v>1</v>
      </c>
      <c r="D51" s="100" t="s">
        <v>97</v>
      </c>
      <c r="E51" s="101">
        <f>+F65</f>
        <v>1540</v>
      </c>
      <c r="F51" s="101">
        <f>IFERROR(C51*E51,"")</f>
        <v>1540</v>
      </c>
      <c r="G51" s="102">
        <f>IFERROR(F51/$F$66,"")</f>
        <v>3.3091566278120481E-2</v>
      </c>
      <c r="H51" s="110"/>
      <c r="I51" s="110"/>
      <c r="J51" s="104"/>
    </row>
    <row r="52" spans="1:17" ht="14.25" thickBot="1" x14ac:dyDescent="0.3">
      <c r="A52" s="99"/>
      <c r="B52" s="105"/>
      <c r="C52" s="100"/>
      <c r="D52" s="100"/>
      <c r="E52" s="101"/>
      <c r="F52" s="101"/>
      <c r="G52" s="102"/>
      <c r="H52" s="110"/>
      <c r="I52" s="110"/>
      <c r="J52" s="104"/>
    </row>
    <row r="53" spans="1:17" ht="13.5" thickBot="1" x14ac:dyDescent="0.3">
      <c r="A53" s="111"/>
      <c r="B53" s="723" t="s">
        <v>98</v>
      </c>
      <c r="C53" s="723"/>
      <c r="D53" s="723"/>
      <c r="E53" s="723"/>
      <c r="F53" s="113">
        <f>SUM(F8:F14,F17:F24)</f>
        <v>43553</v>
      </c>
      <c r="G53" s="102">
        <f>+F53/$F$66</f>
        <v>0.93586817279933865</v>
      </c>
      <c r="H53" s="114">
        <f>+F53/$D$60</f>
        <v>372.24786324786322</v>
      </c>
      <c r="I53" s="114"/>
      <c r="J53" s="115"/>
      <c r="K53" s="116"/>
      <c r="L53" s="116"/>
      <c r="M53" s="116"/>
      <c r="N53" s="116"/>
      <c r="O53" s="116"/>
      <c r="P53" s="116"/>
      <c r="Q53" s="117"/>
    </row>
    <row r="54" spans="1:17" x14ac:dyDescent="0.2">
      <c r="A54" s="111"/>
      <c r="B54" s="723" t="s">
        <v>99</v>
      </c>
      <c r="C54" s="723"/>
      <c r="D54" s="723"/>
      <c r="E54" s="723"/>
      <c r="F54" s="113">
        <f>SUM(F27:F32,F35:F41)</f>
        <v>573.47730050000007</v>
      </c>
      <c r="G54" s="102">
        <f>+F54/$F$66</f>
        <v>1.2322897466554137E-2</v>
      </c>
      <c r="H54" s="114">
        <f>+F54/$D$60</f>
        <v>4.9015153888888898</v>
      </c>
      <c r="I54" s="114"/>
      <c r="J54" s="118"/>
      <c r="K54" s="724" t="s">
        <v>100</v>
      </c>
      <c r="L54" s="725"/>
      <c r="M54" s="725"/>
      <c r="N54" s="725"/>
      <c r="O54" s="119">
        <f>+F55</f>
        <v>44126.477300500002</v>
      </c>
      <c r="P54" s="119"/>
      <c r="Q54" s="120"/>
    </row>
    <row r="55" spans="1:17" x14ac:dyDescent="0.2">
      <c r="A55" s="111"/>
      <c r="B55" s="723" t="s">
        <v>101</v>
      </c>
      <c r="C55" s="723"/>
      <c r="D55" s="723"/>
      <c r="E55" s="723"/>
      <c r="F55" s="113">
        <f>+F53+F54</f>
        <v>44126.477300500002</v>
      </c>
      <c r="G55" s="102">
        <f>+F55/$F$66</f>
        <v>0.94819107026589278</v>
      </c>
      <c r="H55" s="114">
        <f>+F55/$D$60</f>
        <v>377.14937863675215</v>
      </c>
      <c r="I55" s="114"/>
      <c r="J55" s="121"/>
      <c r="K55" s="122"/>
      <c r="M55" s="123" t="s">
        <v>102</v>
      </c>
      <c r="N55" s="124"/>
      <c r="O55" s="119">
        <f>+H56</f>
        <v>22.108192644628577</v>
      </c>
      <c r="P55" s="119"/>
      <c r="Q55" s="120"/>
    </row>
    <row r="56" spans="1:17" ht="13.5" thickBot="1" x14ac:dyDescent="0.25">
      <c r="A56" s="111"/>
      <c r="B56" s="112"/>
      <c r="C56" s="723" t="s">
        <v>103</v>
      </c>
      <c r="D56" s="723"/>
      <c r="E56" s="723"/>
      <c r="F56" s="113">
        <f>SUM(F44:F51)</f>
        <v>2586.6585394215435</v>
      </c>
      <c r="G56" s="102">
        <f>+F56/$F$66</f>
        <v>5.5582196426061256E-2</v>
      </c>
      <c r="H56" s="114">
        <f>+F56/$D$60</f>
        <v>22.108192644628577</v>
      </c>
      <c r="I56" s="114"/>
      <c r="J56" s="121"/>
      <c r="K56" s="122"/>
      <c r="L56" s="122"/>
      <c r="M56" s="122" t="s">
        <v>104</v>
      </c>
      <c r="N56" s="125"/>
      <c r="O56" s="119">
        <f>O54*N56</f>
        <v>0</v>
      </c>
      <c r="P56" s="119"/>
      <c r="Q56" s="120"/>
    </row>
    <row r="57" spans="1:17" ht="13.5" thickBot="1" x14ac:dyDescent="0.25">
      <c r="A57" s="111"/>
      <c r="B57" s="126"/>
      <c r="C57" s="126"/>
      <c r="D57" s="126"/>
      <c r="E57" s="126"/>
      <c r="F57" s="127"/>
      <c r="G57" s="102"/>
      <c r="H57" s="128"/>
      <c r="I57" s="114"/>
      <c r="J57" s="121"/>
      <c r="K57" s="129"/>
      <c r="M57" s="130" t="s">
        <v>105</v>
      </c>
      <c r="N57" s="131"/>
      <c r="O57" s="132">
        <f>SUM(O54:O56)</f>
        <v>44148.58549314463</v>
      </c>
      <c r="P57" s="133"/>
      <c r="Q57" s="120"/>
    </row>
    <row r="58" spans="1:17" x14ac:dyDescent="0.2">
      <c r="B58" s="726" t="s">
        <v>106</v>
      </c>
      <c r="C58" s="726"/>
      <c r="D58" s="134">
        <v>23400</v>
      </c>
      <c r="E58" s="135"/>
      <c r="G58" s="102"/>
      <c r="H58" s="128">
        <f>+H56/77</f>
        <v>0.28711938499517631</v>
      </c>
      <c r="I58" s="136"/>
      <c r="J58" s="121"/>
      <c r="K58" s="129"/>
      <c r="L58" s="122"/>
      <c r="M58" s="122" t="s">
        <v>107</v>
      </c>
      <c r="N58" s="137"/>
      <c r="O58" s="119">
        <f>+H59</f>
        <v>23.830908954599632</v>
      </c>
      <c r="P58" s="119"/>
      <c r="Q58" s="120"/>
    </row>
    <row r="59" spans="1:17" x14ac:dyDescent="0.2">
      <c r="B59" s="726" t="s">
        <v>108</v>
      </c>
      <c r="C59" s="726"/>
      <c r="D59" s="138">
        <v>200</v>
      </c>
      <c r="E59" s="135"/>
      <c r="G59" s="102"/>
      <c r="H59" s="128">
        <f>+H58*83</f>
        <v>23.830908954599632</v>
      </c>
      <c r="I59" s="136"/>
      <c r="J59" s="121"/>
      <c r="K59" s="129"/>
      <c r="L59" s="122"/>
      <c r="M59" s="727" t="s">
        <v>105</v>
      </c>
      <c r="N59" s="727"/>
      <c r="O59" s="119">
        <f>SUM(O57:O58)</f>
        <v>44172.416402099232</v>
      </c>
      <c r="P59" s="119"/>
      <c r="Q59" s="120"/>
    </row>
    <row r="60" spans="1:17" ht="13.5" thickBot="1" x14ac:dyDescent="0.25">
      <c r="B60" s="719" t="s">
        <v>109</v>
      </c>
      <c r="C60" s="719"/>
      <c r="D60" s="134">
        <f>+D58/D59</f>
        <v>117</v>
      </c>
      <c r="E60" s="135"/>
      <c r="F60" s="139"/>
      <c r="G60" s="102"/>
      <c r="H60" s="128"/>
      <c r="I60" s="136"/>
      <c r="J60" s="121"/>
      <c r="K60" s="129"/>
      <c r="L60" s="727"/>
      <c r="M60" s="727"/>
      <c r="N60" s="137"/>
      <c r="O60" s="119">
        <f>+O59*N60</f>
        <v>0</v>
      </c>
      <c r="P60" s="119"/>
      <c r="Q60" s="120"/>
    </row>
    <row r="61" spans="1:17" ht="13.5" thickBot="1" x14ac:dyDescent="0.25">
      <c r="B61" s="719" t="s">
        <v>110</v>
      </c>
      <c r="C61" s="719"/>
      <c r="D61" s="140"/>
      <c r="E61" s="135"/>
      <c r="F61" s="139"/>
      <c r="G61" s="102"/>
      <c r="H61" s="128"/>
      <c r="I61" s="136"/>
      <c r="J61" s="121"/>
      <c r="K61" s="720" t="s">
        <v>111</v>
      </c>
      <c r="L61" s="721"/>
      <c r="M61" s="721"/>
      <c r="N61" s="722"/>
      <c r="O61" s="132">
        <f>SUM(O59:O60)</f>
        <v>44172.416402099232</v>
      </c>
      <c r="P61" s="141" t="s">
        <v>112</v>
      </c>
      <c r="Q61" s="120"/>
    </row>
    <row r="62" spans="1:17" ht="13.5" thickBot="1" x14ac:dyDescent="0.25">
      <c r="C62" s="111" t="s">
        <v>113</v>
      </c>
      <c r="D62" s="142"/>
      <c r="E62" s="85" t="s">
        <v>114</v>
      </c>
      <c r="F62" s="143" t="s">
        <v>115</v>
      </c>
      <c r="G62" s="102"/>
      <c r="H62" s="128"/>
      <c r="I62" s="136"/>
      <c r="J62" s="144"/>
      <c r="K62" s="145"/>
      <c r="L62" s="733" t="s">
        <v>116</v>
      </c>
      <c r="M62" s="733"/>
      <c r="N62" s="733"/>
      <c r="O62" s="146">
        <f>+O61/D60</f>
        <v>377.54202053076267</v>
      </c>
      <c r="P62" s="147">
        <f>+O62/D59</f>
        <v>1.8877101026538134</v>
      </c>
      <c r="Q62" s="148"/>
    </row>
    <row r="63" spans="1:17" ht="13.5" thickBot="1" x14ac:dyDescent="0.25">
      <c r="B63" s="734" t="s">
        <v>101</v>
      </c>
      <c r="C63" s="734"/>
      <c r="D63" s="734"/>
      <c r="E63" s="149">
        <f>+F63/F63</f>
        <v>1</v>
      </c>
      <c r="F63" s="150">
        <f>SUM(F55)</f>
        <v>44126.477300500002</v>
      </c>
      <c r="G63" s="102">
        <f>+F63/$F$66</f>
        <v>0.94819107026589278</v>
      </c>
      <c r="H63" s="128"/>
      <c r="I63" s="136"/>
      <c r="K63" s="735"/>
      <c r="L63" s="736"/>
      <c r="M63" s="736"/>
      <c r="N63" s="736"/>
      <c r="O63" s="151"/>
      <c r="P63" s="152"/>
    </row>
    <row r="64" spans="1:17" ht="13.5" thickBot="1" x14ac:dyDescent="0.3">
      <c r="B64" s="737" t="s">
        <v>117</v>
      </c>
      <c r="C64" s="737"/>
      <c r="D64" s="737"/>
      <c r="E64" s="153">
        <v>0.02</v>
      </c>
      <c r="F64" s="150">
        <f>+F53*E64</f>
        <v>871.06000000000006</v>
      </c>
      <c r="G64" s="102">
        <f>+F64/$F$66</f>
        <v>1.8717363455986773E-2</v>
      </c>
      <c r="H64" s="114"/>
      <c r="I64" s="136"/>
      <c r="J64" s="154"/>
      <c r="O64" s="155"/>
      <c r="P64" s="112"/>
    </row>
    <row r="65" spans="2:13" ht="13.5" thickBot="1" x14ac:dyDescent="0.3">
      <c r="B65" s="738" t="s">
        <v>118</v>
      </c>
      <c r="C65" s="739"/>
      <c r="D65" s="156">
        <v>20</v>
      </c>
      <c r="E65" s="157">
        <v>77</v>
      </c>
      <c r="F65" s="150">
        <f>+E65*D65</f>
        <v>1540</v>
      </c>
      <c r="G65" s="102">
        <f>+F65/$F$66</f>
        <v>3.3091566278120481E-2</v>
      </c>
      <c r="H65" s="114"/>
      <c r="I65" s="114"/>
      <c r="J65" s="104"/>
    </row>
    <row r="66" spans="2:13" ht="13.5" thickBot="1" x14ac:dyDescent="0.3">
      <c r="B66" s="740" t="s">
        <v>119</v>
      </c>
      <c r="C66" s="741"/>
      <c r="D66" s="741"/>
      <c r="E66" s="742"/>
      <c r="F66" s="127">
        <f>SUM(F63:F65)</f>
        <v>46537.5373005</v>
      </c>
      <c r="G66" s="102">
        <f>+F66/$F$66</f>
        <v>1</v>
      </c>
      <c r="H66" s="743"/>
      <c r="I66" s="114"/>
      <c r="J66" s="104"/>
      <c r="M66" s="87" t="s">
        <v>120</v>
      </c>
    </row>
    <row r="67" spans="2:13" x14ac:dyDescent="0.25">
      <c r="C67" s="109"/>
      <c r="D67" s="109"/>
      <c r="E67" s="159"/>
      <c r="F67" s="150"/>
      <c r="G67" s="102"/>
      <c r="H67" s="743"/>
      <c r="I67" s="158"/>
      <c r="J67" s="87"/>
      <c r="M67" s="87" t="s">
        <v>121</v>
      </c>
    </row>
    <row r="68" spans="2:13" ht="13.5" thickBot="1" x14ac:dyDescent="0.3">
      <c r="B68" s="728" t="s">
        <v>122</v>
      </c>
      <c r="C68" s="728"/>
      <c r="D68" s="728"/>
      <c r="E68" s="728"/>
      <c r="F68" s="728"/>
      <c r="G68" s="102"/>
      <c r="H68" s="161"/>
      <c r="I68" s="158"/>
      <c r="J68" s="87"/>
      <c r="M68" s="87" t="s">
        <v>123</v>
      </c>
    </row>
    <row r="69" spans="2:13" ht="13.5" thickBot="1" x14ac:dyDescent="0.3">
      <c r="B69" s="162" t="s">
        <v>124</v>
      </c>
      <c r="C69" s="163">
        <f>+F53</f>
        <v>43553</v>
      </c>
      <c r="D69" s="163">
        <f>+D58</f>
        <v>23400</v>
      </c>
      <c r="E69" s="164">
        <f>+C69/D69</f>
        <v>1.8612393162393162</v>
      </c>
      <c r="F69" s="102"/>
      <c r="G69" s="161"/>
      <c r="H69" s="104"/>
      <c r="I69" s="161"/>
      <c r="J69" s="87"/>
    </row>
    <row r="70" spans="2:13" x14ac:dyDescent="0.25">
      <c r="B70" s="165"/>
      <c r="C70" s="166"/>
      <c r="D70" s="167"/>
      <c r="E70" s="150"/>
      <c r="F70" s="102"/>
      <c r="G70" s="161"/>
      <c r="H70" s="104"/>
      <c r="I70" s="104"/>
      <c r="J70" s="87"/>
    </row>
    <row r="71" spans="2:13" x14ac:dyDescent="0.25">
      <c r="B71" s="162" t="s">
        <v>125</v>
      </c>
      <c r="C71" s="163">
        <f>SUM(F63:F64)</f>
        <v>44997.5373005</v>
      </c>
      <c r="D71" s="163">
        <f>+D58</f>
        <v>23400</v>
      </c>
      <c r="E71" s="168">
        <f>+C71/D71</f>
        <v>1.922971679508547</v>
      </c>
      <c r="F71" s="102"/>
      <c r="G71" s="161"/>
      <c r="H71" s="104"/>
      <c r="I71" s="104"/>
      <c r="J71" s="87"/>
    </row>
    <row r="72" spans="2:13" x14ac:dyDescent="0.25">
      <c r="B72" s="162"/>
      <c r="C72" s="163"/>
      <c r="D72" s="163"/>
      <c r="E72" s="168"/>
      <c r="F72" s="102"/>
      <c r="G72" s="161"/>
      <c r="H72" s="104"/>
      <c r="I72" s="104"/>
      <c r="J72" s="87"/>
    </row>
    <row r="73" spans="2:13" ht="13.5" thickBot="1" x14ac:dyDescent="0.3">
      <c r="B73" s="162" t="s">
        <v>126</v>
      </c>
      <c r="C73" s="163">
        <f>+F65</f>
        <v>1540</v>
      </c>
      <c r="D73" s="163">
        <f>+D58</f>
        <v>23400</v>
      </c>
      <c r="E73" s="168">
        <f>+C73/D73</f>
        <v>6.5811965811965814E-2</v>
      </c>
      <c r="F73" s="102"/>
      <c r="G73" s="161"/>
      <c r="H73" s="104"/>
      <c r="I73" s="104"/>
      <c r="J73" s="87"/>
    </row>
    <row r="74" spans="2:13" ht="13.5" thickBot="1" x14ac:dyDescent="0.3">
      <c r="B74" s="162" t="s">
        <v>127</v>
      </c>
      <c r="C74" s="163">
        <f>+F56</f>
        <v>2586.6585394215435</v>
      </c>
      <c r="D74" s="163">
        <f>+D73</f>
        <v>23400</v>
      </c>
      <c r="E74" s="164">
        <f>+C74/D74</f>
        <v>0.11054096322314289</v>
      </c>
      <c r="F74" s="102"/>
      <c r="G74" s="161"/>
      <c r="H74" s="104"/>
      <c r="I74" s="104"/>
      <c r="J74" s="87"/>
    </row>
    <row r="75" spans="2:13" ht="13.5" thickBot="1" x14ac:dyDescent="0.3">
      <c r="B75" s="126"/>
      <c r="C75" s="127"/>
      <c r="D75" s="127"/>
      <c r="E75" s="168"/>
      <c r="F75" s="102"/>
      <c r="G75" s="161"/>
      <c r="H75" s="104"/>
      <c r="I75" s="104"/>
      <c r="J75" s="87"/>
    </row>
    <row r="76" spans="2:13" ht="13.5" thickBot="1" x14ac:dyDescent="0.3">
      <c r="B76" s="162" t="s">
        <v>128</v>
      </c>
      <c r="C76" s="163">
        <f>+F54</f>
        <v>573.47730050000007</v>
      </c>
      <c r="D76" s="163">
        <f>+D74</f>
        <v>23400</v>
      </c>
      <c r="E76" s="164">
        <f>+C76/D76</f>
        <v>2.4507576944444446E-2</v>
      </c>
      <c r="F76" s="102"/>
      <c r="G76" s="161"/>
      <c r="H76" s="104"/>
      <c r="I76" s="104"/>
      <c r="J76" s="104"/>
    </row>
    <row r="77" spans="2:13" ht="13.5" thickBot="1" x14ac:dyDescent="0.3">
      <c r="B77" s="126"/>
      <c r="C77" s="127"/>
      <c r="D77" s="127"/>
      <c r="E77" s="168"/>
      <c r="F77" s="102"/>
      <c r="G77" s="161"/>
      <c r="H77" s="104"/>
      <c r="I77" s="104"/>
    </row>
    <row r="78" spans="2:13" ht="13.5" thickBot="1" x14ac:dyDescent="0.3">
      <c r="B78" s="729" t="s">
        <v>129</v>
      </c>
      <c r="C78" s="730"/>
      <c r="D78" s="731"/>
      <c r="E78" s="164">
        <f>+E69+E74</f>
        <v>1.971780279462459</v>
      </c>
      <c r="G78" s="102"/>
      <c r="H78" s="161"/>
      <c r="I78" s="104"/>
      <c r="J78" s="168"/>
    </row>
    <row r="79" spans="2:13" x14ac:dyDescent="0.25">
      <c r="I79" s="161"/>
      <c r="J79" s="87"/>
    </row>
    <row r="80" spans="2:13" ht="13.5" thickBot="1" x14ac:dyDescent="0.3">
      <c r="B80" s="728" t="s">
        <v>130</v>
      </c>
      <c r="C80" s="728"/>
      <c r="D80" s="728"/>
      <c r="E80" s="728"/>
      <c r="F80" s="728"/>
      <c r="G80" s="102"/>
      <c r="H80" s="161"/>
      <c r="J80" s="87"/>
    </row>
    <row r="81" spans="1:10" ht="13.5" thickBot="1" x14ac:dyDescent="0.3">
      <c r="B81" s="162" t="s">
        <v>124</v>
      </c>
      <c r="C81" s="163">
        <f>+C69</f>
        <v>43553</v>
      </c>
      <c r="D81" s="163">
        <f>+D60</f>
        <v>117</v>
      </c>
      <c r="E81" s="164">
        <f>+C81/D81</f>
        <v>372.24786324786322</v>
      </c>
      <c r="F81" s="102"/>
      <c r="G81" s="161"/>
      <c r="H81" s="104"/>
      <c r="I81" s="161"/>
      <c r="J81" s="87"/>
    </row>
    <row r="82" spans="1:10" x14ac:dyDescent="0.25">
      <c r="B82" s="165"/>
      <c r="C82" s="166"/>
      <c r="D82" s="167"/>
      <c r="E82" s="150"/>
      <c r="F82" s="102"/>
      <c r="G82" s="161"/>
      <c r="H82" s="104"/>
      <c r="I82" s="104"/>
      <c r="J82" s="87"/>
    </row>
    <row r="83" spans="1:10" x14ac:dyDescent="0.25">
      <c r="B83" s="162" t="s">
        <v>125</v>
      </c>
      <c r="C83" s="163">
        <f>+C71</f>
        <v>44997.5373005</v>
      </c>
      <c r="D83" s="163">
        <f>+D60</f>
        <v>117</v>
      </c>
      <c r="E83" s="168">
        <f>+C83/D83</f>
        <v>384.59433590170943</v>
      </c>
      <c r="F83" s="102"/>
      <c r="G83" s="161"/>
      <c r="H83" s="104"/>
      <c r="I83" s="104"/>
      <c r="J83" s="87"/>
    </row>
    <row r="84" spans="1:10" x14ac:dyDescent="0.25">
      <c r="B84" s="162"/>
      <c r="C84" s="163"/>
      <c r="D84" s="163"/>
      <c r="E84" s="168"/>
      <c r="F84" s="102"/>
      <c r="G84" s="161"/>
      <c r="H84" s="104"/>
      <c r="I84" s="104"/>
      <c r="J84" s="87"/>
    </row>
    <row r="85" spans="1:10" ht="13.5" thickBot="1" x14ac:dyDescent="0.3">
      <c r="B85" s="162" t="s">
        <v>127</v>
      </c>
      <c r="C85" s="163">
        <f>+C73</f>
        <v>1540</v>
      </c>
      <c r="D85" s="163">
        <f>+D60</f>
        <v>117</v>
      </c>
      <c r="E85" s="168">
        <f>+C85/D85</f>
        <v>13.162393162393162</v>
      </c>
      <c r="F85" s="170"/>
      <c r="G85" s="160"/>
      <c r="H85" s="86"/>
      <c r="I85" s="104"/>
    </row>
    <row r="86" spans="1:10" ht="13.5" thickBot="1" x14ac:dyDescent="0.3">
      <c r="B86" s="162" t="s">
        <v>127</v>
      </c>
      <c r="C86" s="163">
        <f>+C74</f>
        <v>2586.6585394215435</v>
      </c>
      <c r="D86" s="163">
        <f>+D85</f>
        <v>117</v>
      </c>
      <c r="E86" s="164">
        <f>+C86/D86</f>
        <v>22.108192644628577</v>
      </c>
      <c r="F86" s="169"/>
      <c r="G86" s="160"/>
      <c r="H86" s="86"/>
      <c r="I86" s="86"/>
    </row>
    <row r="87" spans="1:10" x14ac:dyDescent="0.25">
      <c r="I87" s="86"/>
    </row>
    <row r="88" spans="1:10" x14ac:dyDescent="0.2">
      <c r="A88" s="732"/>
      <c r="B88" s="732"/>
      <c r="C88" s="171"/>
      <c r="D88" s="171"/>
      <c r="E88" s="172"/>
      <c r="G88" s="173"/>
    </row>
    <row r="89" spans="1:10" x14ac:dyDescent="0.2">
      <c r="A89" s="105"/>
      <c r="B89" s="174"/>
      <c r="C89" s="175"/>
      <c r="D89" s="175"/>
      <c r="E89" s="176"/>
      <c r="G89" s="173"/>
    </row>
    <row r="90" spans="1:10" x14ac:dyDescent="0.2">
      <c r="A90" s="105"/>
      <c r="B90" s="174"/>
      <c r="C90" s="177"/>
      <c r="D90" s="177"/>
      <c r="E90" s="105"/>
      <c r="G90" s="173"/>
    </row>
    <row r="91" spans="1:10" x14ac:dyDescent="0.2">
      <c r="A91" s="105"/>
      <c r="B91" s="174"/>
      <c r="C91" s="178"/>
      <c r="D91" s="178"/>
      <c r="E91" s="105"/>
      <c r="G91" s="17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309A-7A11-4397-B1FC-A1E4EE7C8002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50"/>
      <c r="B1" s="751"/>
      <c r="C1" s="662" t="s">
        <v>33</v>
      </c>
      <c r="D1" s="662"/>
      <c r="E1" s="662"/>
      <c r="F1" s="662"/>
      <c r="G1" s="662"/>
      <c r="H1" s="180" t="s">
        <v>32</v>
      </c>
      <c r="I1" s="179" t="s">
        <v>174</v>
      </c>
    </row>
    <row r="2" spans="1:9" ht="18" customHeight="1" thickBot="1" x14ac:dyDescent="0.3">
      <c r="A2" s="752"/>
      <c r="B2" s="753"/>
      <c r="C2" s="756" t="s">
        <v>31</v>
      </c>
      <c r="D2" s="757"/>
      <c r="E2" s="757"/>
      <c r="F2" s="757"/>
      <c r="G2" s="758"/>
      <c r="H2" s="207" t="s">
        <v>30</v>
      </c>
      <c r="I2" s="208" t="s">
        <v>175</v>
      </c>
    </row>
    <row r="3" spans="1:9" ht="31.5" customHeight="1" thickBot="1" x14ac:dyDescent="0.3">
      <c r="A3" s="752"/>
      <c r="B3" s="753"/>
      <c r="C3" s="759" t="s">
        <v>176</v>
      </c>
      <c r="D3" s="760"/>
      <c r="E3" s="760"/>
      <c r="F3" s="760"/>
      <c r="G3" s="761"/>
      <c r="H3" s="762" t="s">
        <v>29</v>
      </c>
      <c r="I3" s="744">
        <v>45619</v>
      </c>
    </row>
    <row r="4" spans="1:9" ht="18" customHeight="1" x14ac:dyDescent="0.25">
      <c r="A4" s="752"/>
      <c r="B4" s="753"/>
      <c r="C4" s="209" t="s">
        <v>28</v>
      </c>
      <c r="D4" s="747" t="s">
        <v>154</v>
      </c>
      <c r="E4" s="748"/>
      <c r="F4" s="748"/>
      <c r="G4" s="749"/>
      <c r="H4" s="763"/>
      <c r="I4" s="745"/>
    </row>
    <row r="5" spans="1:9" ht="15.75" thickBot="1" x14ac:dyDescent="0.3">
      <c r="A5" s="754"/>
      <c r="B5" s="755"/>
      <c r="C5" s="210" t="s">
        <v>27</v>
      </c>
      <c r="D5" s="688" t="s">
        <v>36</v>
      </c>
      <c r="E5" s="689"/>
      <c r="F5" s="689"/>
      <c r="G5" s="690"/>
      <c r="H5" s="764"/>
      <c r="I5" s="746"/>
    </row>
    <row r="6" spans="1:9" ht="18.75" thickBot="1" x14ac:dyDescent="0.3">
      <c r="A6" s="765" t="s">
        <v>26</v>
      </c>
      <c r="B6" s="765"/>
      <c r="C6" s="765"/>
      <c r="D6" s="766" t="s">
        <v>155</v>
      </c>
      <c r="E6" s="766"/>
      <c r="F6" s="766"/>
      <c r="G6" s="767" t="s">
        <v>25</v>
      </c>
      <c r="H6" s="767"/>
      <c r="I6" s="211" t="s">
        <v>155</v>
      </c>
    </row>
    <row r="7" spans="1:9" x14ac:dyDescent="0.25">
      <c r="A7" s="768" t="s">
        <v>24</v>
      </c>
      <c r="B7" s="770" t="s">
        <v>23</v>
      </c>
      <c r="C7" s="772" t="s">
        <v>22</v>
      </c>
      <c r="D7" s="772" t="s">
        <v>21</v>
      </c>
      <c r="E7" s="772" t="s">
        <v>20</v>
      </c>
      <c r="F7" s="772"/>
      <c r="G7" s="772" t="s">
        <v>19</v>
      </c>
      <c r="H7" s="772"/>
      <c r="I7" s="212" t="s">
        <v>18</v>
      </c>
    </row>
    <row r="8" spans="1:9" ht="27" thickBot="1" x14ac:dyDescent="0.3">
      <c r="A8" s="769"/>
      <c r="B8" s="771"/>
      <c r="C8" s="773"/>
      <c r="D8" s="773"/>
      <c r="E8" s="213" t="s">
        <v>15</v>
      </c>
      <c r="F8" s="214" t="s">
        <v>17</v>
      </c>
      <c r="G8" s="213" t="s">
        <v>15</v>
      </c>
      <c r="H8" s="214" t="s">
        <v>17</v>
      </c>
      <c r="I8" s="215" t="s">
        <v>16</v>
      </c>
    </row>
    <row r="9" spans="1:9" ht="18.600000000000001" customHeight="1" x14ac:dyDescent="0.25">
      <c r="A9" s="216"/>
      <c r="B9" s="217"/>
      <c r="C9" s="218" t="s">
        <v>37</v>
      </c>
      <c r="D9" s="219"/>
      <c r="E9" s="220"/>
      <c r="F9" s="221"/>
      <c r="G9" s="220"/>
      <c r="H9" s="221"/>
      <c r="I9" s="222"/>
    </row>
    <row r="10" spans="1:9" ht="18" customHeight="1" x14ac:dyDescent="0.25">
      <c r="A10" s="223">
        <v>906000138</v>
      </c>
      <c r="B10" s="69" t="s">
        <v>177</v>
      </c>
      <c r="C10" s="1" t="s">
        <v>178</v>
      </c>
      <c r="D10" s="224" t="s">
        <v>34</v>
      </c>
      <c r="E10" s="225">
        <v>14195</v>
      </c>
      <c r="F10" s="226" t="s">
        <v>2</v>
      </c>
      <c r="G10" s="227"/>
      <c r="H10" s="68"/>
      <c r="I10" s="222"/>
    </row>
    <row r="11" spans="1:9" x14ac:dyDescent="0.25">
      <c r="A11" s="224">
        <v>1210482</v>
      </c>
      <c r="B11" s="224" t="s">
        <v>179</v>
      </c>
      <c r="C11" s="228" t="s">
        <v>180</v>
      </c>
      <c r="D11" s="224" t="s">
        <v>181</v>
      </c>
      <c r="E11" s="225">
        <v>7700</v>
      </c>
      <c r="F11" s="226" t="s">
        <v>2</v>
      </c>
      <c r="G11" s="227"/>
      <c r="H11" s="68"/>
      <c r="I11" s="222"/>
    </row>
    <row r="12" spans="1:9" x14ac:dyDescent="0.25">
      <c r="A12" s="224" t="s">
        <v>182</v>
      </c>
      <c r="B12" s="224"/>
      <c r="C12" s="228" t="s">
        <v>183</v>
      </c>
      <c r="D12" s="224" t="s">
        <v>34</v>
      </c>
      <c r="E12" s="225">
        <v>3090</v>
      </c>
      <c r="F12" s="226" t="s">
        <v>2</v>
      </c>
      <c r="G12" s="227"/>
      <c r="H12" s="68"/>
      <c r="I12" s="222"/>
    </row>
    <row r="13" spans="1:9" x14ac:dyDescent="0.25">
      <c r="A13" s="224">
        <v>1212437</v>
      </c>
      <c r="B13" s="224" t="s">
        <v>184</v>
      </c>
      <c r="C13" s="228" t="s">
        <v>185</v>
      </c>
      <c r="D13" s="224" t="s">
        <v>186</v>
      </c>
      <c r="E13" s="225">
        <v>390</v>
      </c>
      <c r="F13" s="226" t="s">
        <v>2</v>
      </c>
      <c r="G13" s="227"/>
      <c r="H13" s="68"/>
      <c r="I13" s="222"/>
    </row>
    <row r="14" spans="1:9" x14ac:dyDescent="0.25">
      <c r="A14" s="224"/>
      <c r="B14" s="224"/>
      <c r="C14" s="228"/>
      <c r="D14" s="224"/>
      <c r="E14" s="225"/>
      <c r="F14" s="226"/>
      <c r="G14" s="227"/>
      <c r="H14" s="68"/>
      <c r="I14" s="222"/>
    </row>
    <row r="15" spans="1:9" x14ac:dyDescent="0.25">
      <c r="A15" s="224"/>
      <c r="B15" s="224"/>
      <c r="C15" s="228"/>
      <c r="D15" s="224"/>
      <c r="E15" s="225"/>
      <c r="F15" s="226"/>
      <c r="G15" s="227"/>
      <c r="H15" s="68"/>
      <c r="I15" s="222"/>
    </row>
    <row r="16" spans="1:9" x14ac:dyDescent="0.25">
      <c r="A16" s="224"/>
      <c r="B16" s="224"/>
      <c r="C16" s="228"/>
      <c r="D16" s="224"/>
      <c r="E16" s="225"/>
      <c r="F16" s="226"/>
      <c r="G16" s="227"/>
      <c r="H16" s="68"/>
      <c r="I16" s="222"/>
    </row>
    <row r="17" spans="1:9" x14ac:dyDescent="0.25">
      <c r="A17" s="224"/>
      <c r="B17" s="224"/>
      <c r="C17" s="228"/>
      <c r="D17" s="224"/>
      <c r="E17" s="225"/>
      <c r="F17" s="226"/>
      <c r="G17" s="227"/>
      <c r="H17" s="68"/>
      <c r="I17" s="222"/>
    </row>
    <row r="18" spans="1:9" x14ac:dyDescent="0.25">
      <c r="A18" s="224"/>
      <c r="B18" s="224"/>
      <c r="C18" s="228"/>
      <c r="D18" s="224"/>
      <c r="E18" s="225"/>
      <c r="F18" s="226"/>
      <c r="G18" s="227"/>
      <c r="H18" s="68"/>
      <c r="I18" s="222"/>
    </row>
    <row r="19" spans="1:9" x14ac:dyDescent="0.25">
      <c r="A19" s="224"/>
      <c r="B19" s="224"/>
      <c r="C19" s="228"/>
      <c r="D19" s="224"/>
      <c r="E19" s="225"/>
      <c r="F19" s="226"/>
      <c r="G19" s="227"/>
      <c r="H19" s="68"/>
      <c r="I19" s="222"/>
    </row>
    <row r="20" spans="1:9" ht="15.75" x14ac:dyDescent="0.25">
      <c r="A20" s="229"/>
      <c r="B20" s="229"/>
      <c r="C20" s="1"/>
      <c r="D20" s="189"/>
      <c r="E20" s="189"/>
      <c r="F20" s="189"/>
      <c r="G20" s="230"/>
      <c r="H20" s="68"/>
      <c r="I20" s="222"/>
    </row>
    <row r="21" spans="1:9" ht="15.75" x14ac:dyDescent="0.25">
      <c r="A21" s="231"/>
      <c r="B21" s="71"/>
      <c r="C21" s="232" t="s">
        <v>43</v>
      </c>
      <c r="D21" s="189"/>
      <c r="E21" s="189"/>
      <c r="F21" s="189"/>
      <c r="G21" s="230"/>
      <c r="H21" s="68"/>
      <c r="I21" s="222"/>
    </row>
    <row r="22" spans="1:9" x14ac:dyDescent="0.25">
      <c r="A22" s="223"/>
      <c r="B22" s="69"/>
      <c r="C22" s="1"/>
      <c r="D22" s="233"/>
      <c r="E22" s="233"/>
      <c r="F22" s="233"/>
      <c r="G22" s="220"/>
      <c r="H22" s="68"/>
      <c r="I22" s="222"/>
    </row>
    <row r="23" spans="1:9" x14ac:dyDescent="0.25">
      <c r="A23" s="234"/>
      <c r="B23" s="229"/>
      <c r="C23" s="1"/>
      <c r="D23" s="233"/>
      <c r="E23" s="233"/>
      <c r="F23" s="233"/>
      <c r="G23" s="220"/>
      <c r="H23" s="68"/>
      <c r="I23" s="222"/>
    </row>
    <row r="24" spans="1:9" x14ac:dyDescent="0.25">
      <c r="A24" s="234"/>
      <c r="B24" s="229"/>
      <c r="C24" s="1"/>
      <c r="D24" s="233"/>
      <c r="E24" s="233"/>
      <c r="F24" s="233"/>
      <c r="G24" s="220"/>
      <c r="H24" s="68"/>
      <c r="I24" s="222"/>
    </row>
    <row r="25" spans="1:9" ht="15.75" x14ac:dyDescent="0.25">
      <c r="A25" s="231"/>
      <c r="B25" s="71"/>
      <c r="C25" s="232"/>
      <c r="D25" s="235"/>
      <c r="E25" s="236"/>
      <c r="F25" s="237"/>
      <c r="G25" s="220"/>
      <c r="H25" s="68"/>
      <c r="I25" s="222"/>
    </row>
    <row r="26" spans="1:9" x14ac:dyDescent="0.25">
      <c r="A26" s="238"/>
      <c r="B26" s="239"/>
      <c r="C26" s="240"/>
      <c r="D26" s="241"/>
      <c r="E26" s="242"/>
      <c r="F26" s="243"/>
      <c r="G26" s="220"/>
      <c r="H26" s="68"/>
      <c r="I26" s="222"/>
    </row>
    <row r="27" spans="1:9" x14ac:dyDescent="0.25">
      <c r="A27" s="69"/>
      <c r="B27" s="69"/>
      <c r="C27" s="1"/>
      <c r="D27" s="244"/>
      <c r="E27" s="245"/>
      <c r="F27" s="246"/>
      <c r="G27" s="220"/>
      <c r="H27" s="68"/>
      <c r="I27" s="222"/>
    </row>
    <row r="28" spans="1:9" ht="15.75" x14ac:dyDescent="0.25">
      <c r="A28" s="247"/>
      <c r="B28" s="248"/>
      <c r="C28" s="80" t="s">
        <v>62</v>
      </c>
      <c r="D28" s="249"/>
      <c r="E28" s="250"/>
      <c r="F28" s="221"/>
      <c r="G28" s="220"/>
      <c r="H28" s="68"/>
      <c r="I28" s="222"/>
    </row>
    <row r="29" spans="1:9" x14ac:dyDescent="0.25">
      <c r="A29" s="251"/>
      <c r="B29" s="252"/>
      <c r="C29" s="253"/>
      <c r="D29" s="51"/>
      <c r="E29" s="254"/>
      <c r="F29" s="255"/>
      <c r="G29" s="256"/>
      <c r="H29" s="68"/>
      <c r="I29" s="222"/>
    </row>
    <row r="30" spans="1:9" x14ac:dyDescent="0.25">
      <c r="A30" s="251"/>
      <c r="B30" s="252"/>
      <c r="C30" s="253"/>
      <c r="D30" s="51"/>
      <c r="E30" s="254"/>
      <c r="F30" s="255"/>
      <c r="G30" s="256"/>
      <c r="H30" s="68"/>
      <c r="I30" s="222"/>
    </row>
    <row r="31" spans="1:9" x14ac:dyDescent="0.25">
      <c r="A31" s="257"/>
      <c r="B31" s="258"/>
      <c r="C31" s="259"/>
      <c r="D31" s="51"/>
      <c r="E31" s="254"/>
      <c r="F31" s="255"/>
      <c r="G31" s="256"/>
      <c r="H31" s="68"/>
      <c r="I31" s="222"/>
    </row>
    <row r="32" spans="1:9" x14ac:dyDescent="0.25">
      <c r="A32" s="260"/>
      <c r="B32" s="260"/>
      <c r="C32" s="261"/>
      <c r="D32" s="51"/>
      <c r="E32" s="254"/>
      <c r="F32" s="255"/>
      <c r="G32" s="220"/>
      <c r="H32" s="68"/>
      <c r="I32" s="222"/>
    </row>
    <row r="33" spans="1:9" x14ac:dyDescent="0.25">
      <c r="A33" s="260"/>
      <c r="B33" s="260"/>
      <c r="C33" s="261"/>
      <c r="D33" s="51"/>
      <c r="E33" s="254"/>
      <c r="F33" s="255"/>
      <c r="G33" s="220"/>
      <c r="H33" s="68"/>
      <c r="I33" s="222"/>
    </row>
    <row r="34" spans="1:9" x14ac:dyDescent="0.25">
      <c r="A34" s="260"/>
      <c r="B34" s="260"/>
      <c r="C34" s="261"/>
      <c r="D34" s="51"/>
      <c r="E34" s="254"/>
      <c r="F34" s="255"/>
      <c r="G34" s="262"/>
      <c r="H34" s="68"/>
      <c r="I34" s="222"/>
    </row>
    <row r="35" spans="1:9" ht="15.75" x14ac:dyDescent="0.25">
      <c r="A35" s="260"/>
      <c r="B35" s="260"/>
      <c r="C35" s="261"/>
      <c r="D35" s="189"/>
      <c r="E35" s="254"/>
      <c r="F35" s="255"/>
      <c r="G35" s="74"/>
      <c r="H35" s="68"/>
      <c r="I35" s="222"/>
    </row>
    <row r="36" spans="1:9" x14ac:dyDescent="0.25">
      <c r="A36" s="263"/>
      <c r="B36" s="263"/>
      <c r="C36" s="264"/>
      <c r="D36" s="51"/>
      <c r="E36" s="246"/>
      <c r="F36" s="246"/>
      <c r="G36" s="74"/>
      <c r="H36" s="221"/>
      <c r="I36" s="222"/>
    </row>
    <row r="37" spans="1:9" ht="15.75" thickBot="1" x14ac:dyDescent="0.3">
      <c r="A37" s="265"/>
      <c r="B37" s="266"/>
      <c r="C37" s="267" t="s">
        <v>53</v>
      </c>
      <c r="D37" s="267"/>
      <c r="E37" s="268"/>
      <c r="F37" s="269"/>
      <c r="G37" s="267"/>
      <c r="H37" s="267"/>
      <c r="I37" s="270"/>
    </row>
    <row r="38" spans="1:9" ht="15.75" thickBot="1" x14ac:dyDescent="0.3">
      <c r="A38" s="271"/>
      <c r="B38" s="272"/>
      <c r="C38" s="273" t="s">
        <v>53</v>
      </c>
      <c r="D38" s="274" t="s">
        <v>15</v>
      </c>
      <c r="E38" s="275" t="s">
        <v>14</v>
      </c>
      <c r="F38" s="276"/>
      <c r="G38" s="273"/>
      <c r="H38" s="273"/>
      <c r="I38" s="277"/>
    </row>
    <row r="39" spans="1:9" x14ac:dyDescent="0.25">
      <c r="A39" s="774" t="s">
        <v>13</v>
      </c>
      <c r="B39" s="775"/>
      <c r="C39" s="776"/>
      <c r="D39" s="278">
        <v>24000</v>
      </c>
      <c r="E39" s="279" t="s">
        <v>2</v>
      </c>
      <c r="F39" s="777" t="s">
        <v>12</v>
      </c>
      <c r="G39" s="777"/>
      <c r="H39" s="778"/>
      <c r="I39" s="779"/>
    </row>
    <row r="40" spans="1:9" x14ac:dyDescent="0.25">
      <c r="A40" s="780" t="s">
        <v>11</v>
      </c>
      <c r="B40" s="781"/>
      <c r="C40" s="782"/>
      <c r="D40" s="230">
        <v>10</v>
      </c>
      <c r="E40" s="230" t="s">
        <v>10</v>
      </c>
      <c r="F40" s="783" t="s">
        <v>9</v>
      </c>
      <c r="G40" s="783"/>
      <c r="H40" s="784"/>
      <c r="I40" s="785"/>
    </row>
    <row r="41" spans="1:9" x14ac:dyDescent="0.25">
      <c r="A41" s="780" t="s">
        <v>8</v>
      </c>
      <c r="B41" s="781"/>
      <c r="C41" s="782"/>
      <c r="D41" s="245">
        <v>1</v>
      </c>
      <c r="E41" s="230" t="s">
        <v>187</v>
      </c>
      <c r="F41" s="783" t="s">
        <v>7</v>
      </c>
      <c r="G41" s="783"/>
      <c r="H41" s="784"/>
      <c r="I41" s="785"/>
    </row>
    <row r="42" spans="1:9" x14ac:dyDescent="0.25">
      <c r="A42" s="780" t="s">
        <v>6</v>
      </c>
      <c r="B42" s="781"/>
      <c r="C42" s="782"/>
      <c r="D42" s="245">
        <v>24000</v>
      </c>
      <c r="E42" s="230" t="s">
        <v>2</v>
      </c>
      <c r="F42" s="786" t="s">
        <v>4</v>
      </c>
      <c r="G42" s="787"/>
      <c r="H42" s="788"/>
      <c r="I42" s="789"/>
    </row>
    <row r="43" spans="1:9" ht="15.75" thickBot="1" x14ac:dyDescent="0.3">
      <c r="A43" s="794" t="s">
        <v>3</v>
      </c>
      <c r="B43" s="795"/>
      <c r="C43" s="796"/>
      <c r="D43" s="280">
        <v>1375</v>
      </c>
      <c r="E43" s="281" t="s">
        <v>2</v>
      </c>
      <c r="F43" s="797"/>
      <c r="G43" s="797"/>
      <c r="H43" s="784"/>
      <c r="I43" s="785"/>
    </row>
    <row r="44" spans="1:9" ht="15.75" thickBot="1" x14ac:dyDescent="0.3">
      <c r="A44" s="798" t="s">
        <v>1</v>
      </c>
      <c r="B44" s="799"/>
      <c r="C44" s="799"/>
      <c r="D44" s="799"/>
      <c r="E44" s="799"/>
      <c r="F44" s="799"/>
      <c r="G44" s="799"/>
      <c r="H44" s="799"/>
      <c r="I44" s="800"/>
    </row>
    <row r="45" spans="1:9" ht="14.45" customHeight="1" x14ac:dyDescent="0.25">
      <c r="A45" s="801"/>
      <c r="B45" s="802"/>
      <c r="C45" s="802"/>
      <c r="D45" s="802"/>
      <c r="E45" s="802"/>
      <c r="F45" s="802"/>
      <c r="G45" s="802"/>
      <c r="H45" s="802"/>
      <c r="I45" s="803"/>
    </row>
    <row r="46" spans="1:9" ht="15.6" customHeight="1" x14ac:dyDescent="0.25">
      <c r="A46" s="801" t="s">
        <v>188</v>
      </c>
      <c r="B46" s="802"/>
      <c r="C46" s="802"/>
      <c r="D46" s="802"/>
      <c r="E46" s="802"/>
      <c r="F46" s="802"/>
      <c r="G46" s="802"/>
      <c r="H46" s="802"/>
      <c r="I46" s="803"/>
    </row>
    <row r="47" spans="1:9" ht="14.45" customHeight="1" x14ac:dyDescent="0.25">
      <c r="A47" s="801" t="s">
        <v>189</v>
      </c>
      <c r="B47" s="802"/>
      <c r="C47" s="802"/>
      <c r="D47" s="802"/>
      <c r="E47" s="802"/>
      <c r="F47" s="802"/>
      <c r="G47" s="802"/>
      <c r="H47" s="802"/>
      <c r="I47" s="803"/>
    </row>
    <row r="48" spans="1:9" x14ac:dyDescent="0.25">
      <c r="A48" s="801" t="s">
        <v>190</v>
      </c>
      <c r="B48" s="802"/>
      <c r="C48" s="802"/>
      <c r="D48" s="802"/>
      <c r="E48" s="802"/>
      <c r="F48" s="802"/>
      <c r="G48" s="802"/>
      <c r="H48" s="802"/>
      <c r="I48" s="803"/>
    </row>
    <row r="49" spans="1:9" x14ac:dyDescent="0.25">
      <c r="A49" s="801"/>
      <c r="B49" s="802"/>
      <c r="C49" s="802"/>
      <c r="D49" s="802"/>
      <c r="E49" s="802"/>
      <c r="F49" s="802"/>
      <c r="G49" s="802"/>
      <c r="H49" s="802"/>
      <c r="I49" s="803"/>
    </row>
    <row r="50" spans="1:9" ht="14.45" customHeight="1" x14ac:dyDescent="0.25">
      <c r="A50" s="790"/>
      <c r="B50" s="791"/>
      <c r="C50" s="792"/>
      <c r="D50" s="792"/>
      <c r="E50" s="792"/>
      <c r="F50" s="792"/>
      <c r="G50" s="792"/>
      <c r="H50" s="792"/>
      <c r="I50" s="793"/>
    </row>
    <row r="51" spans="1:9" ht="14.45" customHeight="1" x14ac:dyDescent="0.25">
      <c r="A51" s="804"/>
      <c r="B51" s="805"/>
      <c r="C51" s="806"/>
      <c r="D51" s="806"/>
      <c r="E51" s="806"/>
      <c r="F51" s="806"/>
      <c r="G51" s="806"/>
      <c r="H51" s="806"/>
      <c r="I51" s="807"/>
    </row>
    <row r="52" spans="1:9" ht="18" customHeight="1" x14ac:dyDescent="0.25">
      <c r="A52" s="790"/>
      <c r="B52" s="791"/>
      <c r="C52" s="792"/>
      <c r="D52" s="792"/>
      <c r="E52" s="792"/>
      <c r="F52" s="792"/>
      <c r="G52" s="792"/>
      <c r="H52" s="792"/>
      <c r="I52" s="793"/>
    </row>
    <row r="53" spans="1:9" ht="14.45" customHeight="1" thickBot="1" x14ac:dyDescent="0.3">
      <c r="A53" s="808"/>
      <c r="B53" s="809"/>
      <c r="C53" s="810"/>
      <c r="D53" s="810"/>
      <c r="E53" s="810"/>
      <c r="F53" s="810"/>
      <c r="G53" s="810"/>
      <c r="H53" s="810"/>
      <c r="I53" s="811"/>
    </row>
    <row r="54" spans="1:9" ht="14.45" customHeight="1" thickBot="1" x14ac:dyDescent="0.3">
      <c r="A54" s="711"/>
      <c r="B54" s="712"/>
      <c r="C54" s="712"/>
      <c r="D54" s="712"/>
      <c r="E54" s="712"/>
      <c r="F54" s="712"/>
      <c r="G54" s="712"/>
      <c r="H54" s="712"/>
      <c r="I54" s="812"/>
    </row>
    <row r="55" spans="1:9" ht="14.45" customHeight="1" x14ac:dyDescent="0.25">
      <c r="A55" s="686" t="s">
        <v>0</v>
      </c>
      <c r="B55" s="687"/>
      <c r="C55" s="687"/>
      <c r="D55" s="687"/>
      <c r="E55" s="687"/>
      <c r="F55" s="687"/>
      <c r="G55" s="687"/>
      <c r="H55" s="687"/>
      <c r="I55" s="687"/>
    </row>
    <row r="56" spans="1:9" x14ac:dyDescent="0.25">
      <c r="A56" s="691"/>
      <c r="B56" s="692"/>
      <c r="C56" s="692"/>
      <c r="D56" s="692"/>
      <c r="E56" s="692"/>
      <c r="F56" s="692"/>
      <c r="G56" s="692"/>
      <c r="H56" s="692"/>
      <c r="I56" s="692"/>
    </row>
    <row r="57" spans="1:9" x14ac:dyDescent="0.25">
      <c r="A57" s="691"/>
      <c r="B57" s="692"/>
      <c r="C57" s="692"/>
      <c r="D57" s="692"/>
      <c r="E57" s="692"/>
      <c r="F57" s="692"/>
      <c r="G57" s="692"/>
      <c r="H57" s="692"/>
      <c r="I57" s="69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FD09-54D3-4E4E-8169-9A752FB71D61}">
  <dimension ref="A1:I59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50"/>
      <c r="B1" s="751"/>
      <c r="C1" s="662" t="s">
        <v>33</v>
      </c>
      <c r="D1" s="662"/>
      <c r="E1" s="662"/>
      <c r="F1" s="662"/>
      <c r="G1" s="662"/>
      <c r="H1" s="180" t="s">
        <v>32</v>
      </c>
      <c r="I1" s="179" t="s">
        <v>191</v>
      </c>
    </row>
    <row r="2" spans="1:9" ht="18" customHeight="1" thickBot="1" x14ac:dyDescent="0.3">
      <c r="A2" s="752"/>
      <c r="B2" s="753"/>
      <c r="C2" s="756" t="s">
        <v>31</v>
      </c>
      <c r="D2" s="757"/>
      <c r="E2" s="757"/>
      <c r="F2" s="757"/>
      <c r="G2" s="758"/>
      <c r="H2" s="207" t="s">
        <v>30</v>
      </c>
      <c r="I2" s="208" t="s">
        <v>175</v>
      </c>
    </row>
    <row r="3" spans="1:9" ht="31.5" customHeight="1" thickBot="1" x14ac:dyDescent="0.3">
      <c r="A3" s="752"/>
      <c r="B3" s="753"/>
      <c r="C3" s="759" t="s">
        <v>192</v>
      </c>
      <c r="D3" s="760"/>
      <c r="E3" s="760"/>
      <c r="F3" s="760"/>
      <c r="G3" s="761"/>
      <c r="H3" s="762" t="s">
        <v>29</v>
      </c>
      <c r="I3" s="744">
        <v>45617</v>
      </c>
    </row>
    <row r="4" spans="1:9" ht="18" customHeight="1" x14ac:dyDescent="0.25">
      <c r="A4" s="752"/>
      <c r="B4" s="753"/>
      <c r="C4" s="209" t="s">
        <v>28</v>
      </c>
      <c r="D4" s="747" t="s">
        <v>154</v>
      </c>
      <c r="E4" s="748"/>
      <c r="F4" s="748"/>
      <c r="G4" s="749"/>
      <c r="H4" s="763"/>
      <c r="I4" s="745"/>
    </row>
    <row r="5" spans="1:9" ht="15.75" thickBot="1" x14ac:dyDescent="0.3">
      <c r="A5" s="754"/>
      <c r="B5" s="755"/>
      <c r="C5" s="210" t="s">
        <v>27</v>
      </c>
      <c r="D5" s="688" t="s">
        <v>36</v>
      </c>
      <c r="E5" s="689"/>
      <c r="F5" s="689"/>
      <c r="G5" s="690"/>
      <c r="H5" s="764"/>
      <c r="I5" s="746"/>
    </row>
    <row r="6" spans="1:9" ht="18.75" thickBot="1" x14ac:dyDescent="0.3">
      <c r="A6" s="765" t="s">
        <v>26</v>
      </c>
      <c r="B6" s="765"/>
      <c r="C6" s="765"/>
      <c r="D6" s="766" t="s">
        <v>193</v>
      </c>
      <c r="E6" s="766"/>
      <c r="F6" s="766"/>
      <c r="G6" s="767" t="s">
        <v>25</v>
      </c>
      <c r="H6" s="767"/>
      <c r="I6" s="211" t="s">
        <v>193</v>
      </c>
    </row>
    <row r="7" spans="1:9" x14ac:dyDescent="0.25">
      <c r="A7" s="768" t="s">
        <v>24</v>
      </c>
      <c r="B7" s="770" t="s">
        <v>23</v>
      </c>
      <c r="C7" s="772" t="s">
        <v>22</v>
      </c>
      <c r="D7" s="772" t="s">
        <v>21</v>
      </c>
      <c r="E7" s="772" t="s">
        <v>20</v>
      </c>
      <c r="F7" s="772"/>
      <c r="G7" s="772" t="s">
        <v>19</v>
      </c>
      <c r="H7" s="772"/>
      <c r="I7" s="212" t="s">
        <v>18</v>
      </c>
    </row>
    <row r="8" spans="1:9" ht="27" thickBot="1" x14ac:dyDescent="0.3">
      <c r="A8" s="769"/>
      <c r="B8" s="771"/>
      <c r="C8" s="773"/>
      <c r="D8" s="773"/>
      <c r="E8" s="213" t="s">
        <v>15</v>
      </c>
      <c r="F8" s="214" t="s">
        <v>17</v>
      </c>
      <c r="G8" s="213" t="s">
        <v>15</v>
      </c>
      <c r="H8" s="214" t="s">
        <v>17</v>
      </c>
      <c r="I8" s="215" t="s">
        <v>16</v>
      </c>
    </row>
    <row r="9" spans="1:9" ht="18.600000000000001" customHeight="1" x14ac:dyDescent="0.25">
      <c r="A9" s="216"/>
      <c r="B9" s="217"/>
      <c r="C9" s="218" t="s">
        <v>37</v>
      </c>
      <c r="D9" s="219"/>
      <c r="E9" s="220"/>
      <c r="F9" s="221"/>
      <c r="G9" s="220"/>
      <c r="H9" s="221"/>
      <c r="I9" s="222"/>
    </row>
    <row r="10" spans="1:9" ht="18" customHeight="1" x14ac:dyDescent="0.25">
      <c r="A10" s="282">
        <v>510301</v>
      </c>
      <c r="B10" s="283" t="s">
        <v>194</v>
      </c>
      <c r="C10" s="284" t="s">
        <v>195</v>
      </c>
      <c r="D10" s="285" t="s">
        <v>196</v>
      </c>
      <c r="E10" s="286">
        <v>5820</v>
      </c>
      <c r="F10" s="287" t="s">
        <v>2</v>
      </c>
      <c r="G10" s="227"/>
      <c r="H10" s="68"/>
      <c r="I10" s="222"/>
    </row>
    <row r="11" spans="1:9" x14ac:dyDescent="0.25">
      <c r="A11" s="282">
        <v>1210445</v>
      </c>
      <c r="B11" s="69" t="s">
        <v>197</v>
      </c>
      <c r="C11" s="284" t="s">
        <v>198</v>
      </c>
      <c r="D11" s="285"/>
      <c r="E11" s="286">
        <v>350</v>
      </c>
      <c r="F11" s="287" t="s">
        <v>2</v>
      </c>
      <c r="G11" s="227"/>
      <c r="H11" s="68"/>
      <c r="I11" s="222"/>
    </row>
    <row r="12" spans="1:9" x14ac:dyDescent="0.25">
      <c r="A12" s="288">
        <v>11200072</v>
      </c>
      <c r="B12" s="289" t="s">
        <v>199</v>
      </c>
      <c r="C12" s="290" t="s">
        <v>200</v>
      </c>
      <c r="D12" s="291" t="s">
        <v>201</v>
      </c>
      <c r="E12" s="286">
        <v>3622</v>
      </c>
      <c r="F12" s="287" t="s">
        <v>2</v>
      </c>
      <c r="G12" s="230"/>
      <c r="H12" s="68"/>
      <c r="I12" s="222"/>
    </row>
    <row r="13" spans="1:9" ht="15.75" x14ac:dyDescent="0.25">
      <c r="A13" s="69">
        <v>11200087</v>
      </c>
      <c r="B13" s="69" t="s">
        <v>202</v>
      </c>
      <c r="C13" s="292" t="s">
        <v>203</v>
      </c>
      <c r="D13" s="189" t="s">
        <v>204</v>
      </c>
      <c r="E13" s="189">
        <v>3492</v>
      </c>
      <c r="F13" s="189" t="s">
        <v>2</v>
      </c>
      <c r="G13" s="230"/>
      <c r="H13" s="68"/>
      <c r="I13" s="222"/>
    </row>
    <row r="14" spans="1:9" ht="15.75" x14ac:dyDescent="0.25">
      <c r="A14" s="293">
        <v>1160001</v>
      </c>
      <c r="B14" s="293" t="s">
        <v>205</v>
      </c>
      <c r="C14" s="294" t="s">
        <v>206</v>
      </c>
      <c r="D14" s="189" t="s">
        <v>207</v>
      </c>
      <c r="E14" s="189">
        <v>60</v>
      </c>
      <c r="F14" s="189" t="s">
        <v>2</v>
      </c>
      <c r="G14" s="230"/>
      <c r="H14" s="68"/>
      <c r="I14" s="222"/>
    </row>
    <row r="15" spans="1:9" ht="15.75" x14ac:dyDescent="0.25">
      <c r="A15" s="293">
        <v>1212410</v>
      </c>
      <c r="B15" s="293" t="s">
        <v>208</v>
      </c>
      <c r="C15" s="294" t="s">
        <v>209</v>
      </c>
      <c r="D15" s="189" t="s">
        <v>210</v>
      </c>
      <c r="E15" s="189">
        <v>38</v>
      </c>
      <c r="F15" s="189" t="s">
        <v>2</v>
      </c>
      <c r="G15" s="230"/>
      <c r="H15" s="68"/>
      <c r="I15" s="222"/>
    </row>
    <row r="16" spans="1:9" ht="15.75" x14ac:dyDescent="0.25">
      <c r="A16" s="293">
        <v>10100337</v>
      </c>
      <c r="B16" s="293" t="s">
        <v>211</v>
      </c>
      <c r="C16" s="294" t="s">
        <v>212</v>
      </c>
      <c r="D16" s="189" t="s">
        <v>213</v>
      </c>
      <c r="E16" s="189">
        <v>30</v>
      </c>
      <c r="F16" s="189" t="s">
        <v>2</v>
      </c>
      <c r="G16" s="230"/>
      <c r="H16" s="68"/>
      <c r="I16" s="222"/>
    </row>
    <row r="17" spans="1:9" ht="15.75" x14ac:dyDescent="0.25">
      <c r="A17" s="293">
        <v>310145</v>
      </c>
      <c r="B17" s="293" t="s">
        <v>214</v>
      </c>
      <c r="C17" s="294" t="s">
        <v>215</v>
      </c>
      <c r="D17" s="189" t="s">
        <v>216</v>
      </c>
      <c r="E17" s="189">
        <v>518</v>
      </c>
      <c r="F17" s="189" t="s">
        <v>2</v>
      </c>
      <c r="G17" s="230"/>
      <c r="H17" s="68"/>
      <c r="I17" s="222"/>
    </row>
    <row r="18" spans="1:9" ht="15.75" x14ac:dyDescent="0.25">
      <c r="A18" s="293">
        <v>503000036</v>
      </c>
      <c r="B18" s="293" t="s">
        <v>217</v>
      </c>
      <c r="C18" s="294" t="s">
        <v>218</v>
      </c>
      <c r="D18" s="189"/>
      <c r="E18" s="189">
        <v>65</v>
      </c>
      <c r="F18" s="189" t="s">
        <v>2</v>
      </c>
      <c r="G18" s="230"/>
      <c r="H18" s="68"/>
      <c r="I18" s="222"/>
    </row>
    <row r="19" spans="1:9" ht="15.75" x14ac:dyDescent="0.25">
      <c r="A19" s="69">
        <v>11300012</v>
      </c>
      <c r="B19" s="69" t="s">
        <v>219</v>
      </c>
      <c r="C19" s="1" t="s">
        <v>220</v>
      </c>
      <c r="D19" s="189" t="s">
        <v>186</v>
      </c>
      <c r="E19" s="189">
        <v>200</v>
      </c>
      <c r="F19" s="189" t="s">
        <v>2</v>
      </c>
      <c r="G19" s="230"/>
      <c r="H19" s="68"/>
      <c r="I19" s="222"/>
    </row>
    <row r="20" spans="1:9" ht="15.75" x14ac:dyDescent="0.25">
      <c r="A20" s="69"/>
      <c r="B20" s="69"/>
      <c r="C20" s="1"/>
      <c r="D20" s="189"/>
      <c r="E20" s="189"/>
      <c r="F20" s="189"/>
      <c r="G20" s="230"/>
      <c r="H20" s="68"/>
      <c r="I20" s="222"/>
    </row>
    <row r="21" spans="1:9" ht="15.75" x14ac:dyDescent="0.25">
      <c r="A21" s="231"/>
      <c r="B21" s="71"/>
      <c r="C21" s="232" t="s">
        <v>43</v>
      </c>
      <c r="D21" s="189"/>
      <c r="E21" s="189"/>
      <c r="F21" s="189"/>
      <c r="G21" s="230"/>
      <c r="H21" s="68"/>
      <c r="I21" s="222"/>
    </row>
    <row r="22" spans="1:9" x14ac:dyDescent="0.25">
      <c r="A22" s="223"/>
      <c r="B22" s="69"/>
      <c r="C22" s="1"/>
      <c r="D22" s="233"/>
      <c r="E22" s="233"/>
      <c r="F22" s="233"/>
      <c r="G22" s="220"/>
      <c r="H22" s="68"/>
      <c r="I22" s="222"/>
    </row>
    <row r="23" spans="1:9" ht="15.75" x14ac:dyDescent="0.25">
      <c r="A23" s="231"/>
      <c r="B23" s="71"/>
      <c r="C23" s="232"/>
      <c r="D23" s="235"/>
      <c r="E23" s="236"/>
      <c r="F23" s="237"/>
      <c r="G23" s="220"/>
      <c r="H23" s="68"/>
      <c r="I23" s="222"/>
    </row>
    <row r="24" spans="1:9" x14ac:dyDescent="0.25">
      <c r="A24" s="238"/>
      <c r="B24" s="239"/>
      <c r="C24" s="240"/>
      <c r="D24" s="241"/>
      <c r="E24" s="242"/>
      <c r="F24" s="243"/>
      <c r="G24" s="220"/>
      <c r="H24" s="68"/>
      <c r="I24" s="222"/>
    </row>
    <row r="25" spans="1:9" x14ac:dyDescent="0.25">
      <c r="A25" s="238"/>
      <c r="B25" s="239"/>
      <c r="C25" s="240"/>
      <c r="D25" s="241"/>
      <c r="E25" s="295"/>
      <c r="F25" s="243"/>
      <c r="G25" s="220"/>
      <c r="H25" s="221"/>
      <c r="I25" s="222"/>
    </row>
    <row r="26" spans="1:9" x14ac:dyDescent="0.25">
      <c r="A26" s="238"/>
      <c r="B26" s="239"/>
      <c r="C26" s="240"/>
      <c r="D26" s="241"/>
      <c r="E26" s="242"/>
      <c r="F26" s="243"/>
      <c r="G26" s="220"/>
      <c r="H26" s="221"/>
      <c r="I26" s="222"/>
    </row>
    <row r="27" spans="1:9" x14ac:dyDescent="0.25">
      <c r="A27" s="238"/>
      <c r="B27" s="239"/>
      <c r="C27" s="240"/>
      <c r="D27" s="241"/>
      <c r="E27" s="296"/>
      <c r="F27" s="297"/>
      <c r="G27" s="220"/>
      <c r="H27" s="221"/>
      <c r="I27" s="222"/>
    </row>
    <row r="28" spans="1:9" x14ac:dyDescent="0.25">
      <c r="A28" s="69"/>
      <c r="B28" s="69"/>
      <c r="C28" s="1"/>
      <c r="D28" s="244"/>
      <c r="E28" s="245"/>
      <c r="F28" s="246"/>
      <c r="G28" s="220"/>
      <c r="H28" s="221"/>
      <c r="I28" s="222"/>
    </row>
    <row r="29" spans="1:9" ht="15.75" x14ac:dyDescent="0.25">
      <c r="A29" s="247"/>
      <c r="B29" s="248"/>
      <c r="C29" s="80" t="s">
        <v>62</v>
      </c>
      <c r="D29" s="249"/>
      <c r="E29" s="250"/>
      <c r="F29" s="221"/>
      <c r="G29" s="220"/>
      <c r="I29" s="222"/>
    </row>
    <row r="30" spans="1:9" x14ac:dyDescent="0.25">
      <c r="A30" s="251">
        <v>1950708</v>
      </c>
      <c r="B30" s="252" t="s">
        <v>221</v>
      </c>
      <c r="C30" s="253" t="s">
        <v>222</v>
      </c>
      <c r="D30" s="51"/>
      <c r="E30" s="254">
        <v>2</v>
      </c>
      <c r="F30" s="255" t="s">
        <v>5</v>
      </c>
      <c r="G30" s="256"/>
      <c r="H30" s="221"/>
      <c r="I30" s="222"/>
    </row>
    <row r="31" spans="1:9" x14ac:dyDescent="0.25">
      <c r="A31" s="251">
        <v>60100010</v>
      </c>
      <c r="B31" s="252" t="s">
        <v>223</v>
      </c>
      <c r="C31" s="253" t="s">
        <v>224</v>
      </c>
      <c r="D31" s="51"/>
      <c r="E31" s="254">
        <v>2</v>
      </c>
      <c r="F31" s="255" t="s">
        <v>5</v>
      </c>
      <c r="G31" s="256"/>
      <c r="H31" s="221"/>
      <c r="I31" s="222"/>
    </row>
    <row r="32" spans="1:9" x14ac:dyDescent="0.25">
      <c r="A32" s="257">
        <v>702123</v>
      </c>
      <c r="B32" s="258" t="s">
        <v>60</v>
      </c>
      <c r="C32" s="259" t="s">
        <v>225</v>
      </c>
      <c r="D32" s="51"/>
      <c r="E32" s="254">
        <v>2</v>
      </c>
      <c r="F32" s="255" t="s">
        <v>5</v>
      </c>
      <c r="G32" s="256"/>
      <c r="H32" s="221"/>
      <c r="I32" s="222"/>
    </row>
    <row r="33" spans="1:9" x14ac:dyDescent="0.25">
      <c r="A33" s="260">
        <v>1950705</v>
      </c>
      <c r="B33" s="260" t="s">
        <v>226</v>
      </c>
      <c r="C33" s="261" t="s">
        <v>227</v>
      </c>
      <c r="D33" s="51"/>
      <c r="E33" s="254">
        <v>1</v>
      </c>
      <c r="F33" s="255" t="s">
        <v>5</v>
      </c>
      <c r="G33" s="220"/>
      <c r="H33" s="221"/>
      <c r="I33" s="222"/>
    </row>
    <row r="34" spans="1:9" x14ac:dyDescent="0.25">
      <c r="A34" s="260"/>
      <c r="B34" s="260"/>
      <c r="C34" s="261"/>
      <c r="D34" s="51"/>
      <c r="E34" s="254"/>
      <c r="F34" s="255"/>
      <c r="G34" s="220"/>
      <c r="H34" s="221"/>
      <c r="I34" s="222"/>
    </row>
    <row r="35" spans="1:9" x14ac:dyDescent="0.25">
      <c r="A35" s="260"/>
      <c r="B35" s="260"/>
      <c r="C35" s="261"/>
      <c r="D35" s="51"/>
      <c r="E35" s="254"/>
      <c r="F35" s="255"/>
      <c r="G35" s="262"/>
      <c r="H35" s="221"/>
      <c r="I35" s="222"/>
    </row>
    <row r="36" spans="1:9" ht="15.75" x14ac:dyDescent="0.25">
      <c r="A36" s="260"/>
      <c r="B36" s="260"/>
      <c r="C36" s="261"/>
      <c r="D36" s="189"/>
      <c r="E36" s="254"/>
      <c r="F36" s="255"/>
      <c r="G36" s="74"/>
      <c r="H36" s="221"/>
      <c r="I36" s="222"/>
    </row>
    <row r="37" spans="1:9" x14ac:dyDescent="0.25">
      <c r="A37" s="263"/>
      <c r="B37" s="263"/>
      <c r="C37" s="264"/>
      <c r="D37" s="51"/>
      <c r="E37" s="246"/>
      <c r="F37" s="246"/>
      <c r="G37" s="74"/>
      <c r="H37" s="221"/>
      <c r="I37" s="222"/>
    </row>
    <row r="38" spans="1:9" x14ac:dyDescent="0.25">
      <c r="A38" s="298"/>
      <c r="B38" s="69"/>
      <c r="C38" s="299"/>
      <c r="D38" s="300"/>
      <c r="E38" s="245"/>
      <c r="F38" s="230"/>
      <c r="G38" s="74"/>
      <c r="H38" s="221"/>
      <c r="I38" s="222"/>
    </row>
    <row r="39" spans="1:9" ht="15.75" x14ac:dyDescent="0.25">
      <c r="A39" s="260"/>
      <c r="B39" s="260"/>
      <c r="C39" s="261"/>
      <c r="D39" s="51"/>
      <c r="E39" s="245"/>
      <c r="F39" s="230"/>
      <c r="G39" s="184"/>
      <c r="H39" s="221"/>
      <c r="I39" s="222"/>
    </row>
    <row r="40" spans="1:9" ht="15.75" x14ac:dyDescent="0.25">
      <c r="A40" s="231"/>
      <c r="B40" s="71"/>
      <c r="C40" s="72"/>
      <c r="D40" s="235"/>
      <c r="E40" s="235"/>
      <c r="F40" s="237"/>
      <c r="G40" s="301"/>
      <c r="H40" s="301"/>
      <c r="I40" s="222"/>
    </row>
    <row r="41" spans="1:9" ht="15.75" thickBot="1" x14ac:dyDescent="0.3">
      <c r="A41" s="265"/>
      <c r="B41" s="266"/>
      <c r="C41" s="267"/>
      <c r="D41" s="267"/>
      <c r="E41" s="268"/>
      <c r="F41" s="269"/>
      <c r="G41" s="267"/>
      <c r="H41" s="267"/>
      <c r="I41" s="270"/>
    </row>
    <row r="42" spans="1:9" ht="15.75" thickBot="1" x14ac:dyDescent="0.3">
      <c r="A42" s="271"/>
      <c r="B42" s="272"/>
      <c r="C42" s="273"/>
      <c r="D42" s="274" t="s">
        <v>15</v>
      </c>
      <c r="E42" s="275" t="s">
        <v>14</v>
      </c>
      <c r="F42" s="276"/>
      <c r="G42" s="273"/>
      <c r="H42" s="273"/>
      <c r="I42" s="277"/>
    </row>
    <row r="43" spans="1:9" x14ac:dyDescent="0.25">
      <c r="A43" s="774" t="s">
        <v>13</v>
      </c>
      <c r="B43" s="775"/>
      <c r="C43" s="776"/>
      <c r="D43" s="302">
        <v>14195</v>
      </c>
      <c r="E43" s="279" t="s">
        <v>2</v>
      </c>
      <c r="F43" s="777" t="s">
        <v>12</v>
      </c>
      <c r="G43" s="777"/>
      <c r="H43" s="778"/>
      <c r="I43" s="779"/>
    </row>
    <row r="44" spans="1:9" x14ac:dyDescent="0.25">
      <c r="A44" s="780" t="s">
        <v>11</v>
      </c>
      <c r="B44" s="781"/>
      <c r="C44" s="782"/>
      <c r="D44" s="245">
        <v>3</v>
      </c>
      <c r="E44" s="230" t="s">
        <v>10</v>
      </c>
      <c r="F44" s="783" t="s">
        <v>9</v>
      </c>
      <c r="G44" s="783"/>
      <c r="H44" s="784"/>
      <c r="I44" s="785"/>
    </row>
    <row r="45" spans="1:9" x14ac:dyDescent="0.25">
      <c r="A45" s="780" t="s">
        <v>8</v>
      </c>
      <c r="B45" s="781"/>
      <c r="C45" s="782"/>
      <c r="D45" s="245">
        <v>1</v>
      </c>
      <c r="E45" s="230" t="s">
        <v>5</v>
      </c>
      <c r="F45" s="783" t="s">
        <v>7</v>
      </c>
      <c r="G45" s="783"/>
      <c r="H45" s="784"/>
      <c r="I45" s="785"/>
    </row>
    <row r="46" spans="1:9" x14ac:dyDescent="0.25">
      <c r="A46" s="780" t="s">
        <v>6</v>
      </c>
      <c r="B46" s="781"/>
      <c r="C46" s="782"/>
      <c r="D46" s="245">
        <v>14195</v>
      </c>
      <c r="E46" s="230" t="s">
        <v>2</v>
      </c>
      <c r="F46" s="786" t="s">
        <v>4</v>
      </c>
      <c r="G46" s="787"/>
      <c r="H46" s="788"/>
      <c r="I46" s="789"/>
    </row>
    <row r="47" spans="1:9" ht="15.75" thickBot="1" x14ac:dyDescent="0.3">
      <c r="A47" s="794" t="s">
        <v>3</v>
      </c>
      <c r="B47" s="795"/>
      <c r="C47" s="796"/>
      <c r="D47" s="280">
        <v>0</v>
      </c>
      <c r="E47" s="281" t="s">
        <v>2</v>
      </c>
      <c r="F47" s="797"/>
      <c r="G47" s="797"/>
      <c r="H47" s="784"/>
      <c r="I47" s="785"/>
    </row>
    <row r="48" spans="1:9" ht="15.75" thickBot="1" x14ac:dyDescent="0.3">
      <c r="A48" s="798" t="s">
        <v>1</v>
      </c>
      <c r="B48" s="799"/>
      <c r="C48" s="799"/>
      <c r="D48" s="799"/>
      <c r="E48" s="799"/>
      <c r="F48" s="799"/>
      <c r="G48" s="799"/>
      <c r="H48" s="799"/>
      <c r="I48" s="800"/>
    </row>
    <row r="49" spans="1:9" ht="14.45" customHeight="1" x14ac:dyDescent="0.25">
      <c r="A49" s="801" t="s">
        <v>228</v>
      </c>
      <c r="B49" s="802"/>
      <c r="C49" s="802"/>
      <c r="D49" s="802"/>
      <c r="E49" s="802"/>
      <c r="F49" s="802"/>
      <c r="G49" s="802"/>
      <c r="H49" s="802"/>
      <c r="I49" s="803"/>
    </row>
    <row r="50" spans="1:9" ht="15.6" customHeight="1" x14ac:dyDescent="0.25">
      <c r="A50" s="801" t="s">
        <v>229</v>
      </c>
      <c r="B50" s="802"/>
      <c r="C50" s="802"/>
      <c r="D50" s="802"/>
      <c r="E50" s="802"/>
      <c r="F50" s="802"/>
      <c r="G50" s="802"/>
      <c r="H50" s="802"/>
      <c r="I50" s="803"/>
    </row>
    <row r="51" spans="1:9" ht="14.45" customHeight="1" x14ac:dyDescent="0.25">
      <c r="A51" s="801" t="s">
        <v>230</v>
      </c>
      <c r="B51" s="802"/>
      <c r="C51" s="802"/>
      <c r="D51" s="802"/>
      <c r="E51" s="802"/>
      <c r="F51" s="802"/>
      <c r="G51" s="802"/>
      <c r="H51" s="802"/>
      <c r="I51" s="803"/>
    </row>
    <row r="52" spans="1:9" ht="14.45" customHeight="1" x14ac:dyDescent="0.25">
      <c r="A52" s="801" t="s">
        <v>231</v>
      </c>
      <c r="B52" s="802"/>
      <c r="C52" s="802"/>
      <c r="D52" s="802"/>
      <c r="E52" s="802"/>
      <c r="F52" s="802"/>
      <c r="G52" s="802"/>
      <c r="H52" s="802"/>
      <c r="I52" s="803"/>
    </row>
    <row r="53" spans="1:9" ht="14.45" customHeight="1" x14ac:dyDescent="0.25">
      <c r="A53" s="801"/>
      <c r="B53" s="802"/>
      <c r="C53" s="802"/>
      <c r="D53" s="802"/>
      <c r="E53" s="802"/>
      <c r="F53" s="802"/>
      <c r="G53" s="802"/>
      <c r="H53" s="802"/>
      <c r="I53" s="803"/>
    </row>
    <row r="54" spans="1:9" ht="18" customHeight="1" x14ac:dyDescent="0.25">
      <c r="A54" s="801"/>
      <c r="B54" s="802"/>
      <c r="C54" s="802"/>
      <c r="D54" s="802"/>
      <c r="E54" s="802"/>
      <c r="F54" s="802"/>
      <c r="G54" s="802"/>
      <c r="H54" s="802"/>
      <c r="I54" s="803"/>
    </row>
    <row r="55" spans="1:9" x14ac:dyDescent="0.25">
      <c r="A55" s="813"/>
      <c r="B55" s="814"/>
      <c r="C55" s="814"/>
      <c r="D55" s="814"/>
      <c r="E55" s="814"/>
      <c r="F55" s="814"/>
      <c r="G55" s="814"/>
      <c r="H55" s="814"/>
      <c r="I55" s="815"/>
    </row>
    <row r="56" spans="1:9" ht="15.75" thickBot="1" x14ac:dyDescent="0.3">
      <c r="A56" s="813"/>
      <c r="B56" s="814"/>
      <c r="C56" s="814"/>
      <c r="D56" s="814"/>
      <c r="E56" s="814"/>
      <c r="F56" s="814"/>
      <c r="G56" s="814"/>
      <c r="H56" s="814"/>
      <c r="I56" s="815"/>
    </row>
    <row r="57" spans="1:9" x14ac:dyDescent="0.25">
      <c r="A57" s="686" t="s">
        <v>0</v>
      </c>
      <c r="B57" s="687"/>
      <c r="C57" s="687"/>
      <c r="D57" s="687"/>
      <c r="E57" s="687"/>
      <c r="F57" s="687"/>
      <c r="G57" s="687"/>
      <c r="H57" s="687"/>
      <c r="I57" s="687"/>
    </row>
    <row r="58" spans="1:9" x14ac:dyDescent="0.25">
      <c r="A58" s="691"/>
      <c r="B58" s="692"/>
      <c r="C58" s="692"/>
      <c r="D58" s="692"/>
      <c r="E58" s="692"/>
      <c r="F58" s="692"/>
      <c r="G58" s="692"/>
      <c r="H58" s="692"/>
      <c r="I58" s="692"/>
    </row>
    <row r="59" spans="1:9" x14ac:dyDescent="0.25">
      <c r="A59" s="691"/>
      <c r="B59" s="692"/>
      <c r="C59" s="692"/>
      <c r="D59" s="692"/>
      <c r="E59" s="692"/>
      <c r="F59" s="692"/>
      <c r="G59" s="692"/>
      <c r="H59" s="692"/>
      <c r="I59" s="692"/>
    </row>
  </sheetData>
  <mergeCells count="44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8E34-9060-4E42-852B-779844CB6FF7}">
  <dimension ref="A1:I58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9" ht="15.75" x14ac:dyDescent="0.25">
      <c r="A1" s="750"/>
      <c r="B1" s="751"/>
      <c r="C1" s="662" t="s">
        <v>33</v>
      </c>
      <c r="D1" s="662"/>
      <c r="E1" s="662"/>
      <c r="F1" s="662"/>
      <c r="G1" s="662"/>
      <c r="H1" s="180" t="s">
        <v>32</v>
      </c>
      <c r="I1" s="179" t="s">
        <v>232</v>
      </c>
    </row>
    <row r="2" spans="1:9" ht="18" customHeight="1" thickBot="1" x14ac:dyDescent="0.3">
      <c r="A2" s="752"/>
      <c r="B2" s="753"/>
      <c r="C2" s="756" t="s">
        <v>31</v>
      </c>
      <c r="D2" s="757"/>
      <c r="E2" s="757"/>
      <c r="F2" s="757"/>
      <c r="G2" s="758"/>
      <c r="H2" s="207" t="s">
        <v>30</v>
      </c>
      <c r="I2" s="208" t="s">
        <v>175</v>
      </c>
    </row>
    <row r="3" spans="1:9" ht="31.5" customHeight="1" thickBot="1" x14ac:dyDescent="0.3">
      <c r="A3" s="752"/>
      <c r="B3" s="753"/>
      <c r="C3" s="816" t="s">
        <v>233</v>
      </c>
      <c r="D3" s="816"/>
      <c r="E3" s="816"/>
      <c r="F3" s="816"/>
      <c r="G3" s="817"/>
      <c r="H3" s="762" t="s">
        <v>29</v>
      </c>
      <c r="I3" s="744">
        <v>45613</v>
      </c>
    </row>
    <row r="4" spans="1:9" ht="18" customHeight="1" x14ac:dyDescent="0.25">
      <c r="A4" s="752"/>
      <c r="B4" s="753"/>
      <c r="C4" s="209" t="s">
        <v>28</v>
      </c>
      <c r="D4" s="747" t="s">
        <v>154</v>
      </c>
      <c r="E4" s="748"/>
      <c r="F4" s="748"/>
      <c r="G4" s="749"/>
      <c r="H4" s="763"/>
      <c r="I4" s="745"/>
    </row>
    <row r="5" spans="1:9" ht="15.75" thickBot="1" x14ac:dyDescent="0.3">
      <c r="A5" s="754"/>
      <c r="B5" s="755"/>
      <c r="C5" s="210" t="s">
        <v>27</v>
      </c>
      <c r="D5" s="688" t="s">
        <v>36</v>
      </c>
      <c r="E5" s="689"/>
      <c r="F5" s="689"/>
      <c r="G5" s="690"/>
      <c r="H5" s="764"/>
      <c r="I5" s="746"/>
    </row>
    <row r="6" spans="1:9" ht="18.75" thickBot="1" x14ac:dyDescent="0.3">
      <c r="A6" s="765" t="s">
        <v>26</v>
      </c>
      <c r="B6" s="765"/>
      <c r="C6" s="765"/>
      <c r="D6" s="766" t="s">
        <v>43</v>
      </c>
      <c r="E6" s="766"/>
      <c r="F6" s="766"/>
      <c r="G6" s="767" t="s">
        <v>25</v>
      </c>
      <c r="H6" s="767"/>
      <c r="I6" s="211" t="s">
        <v>234</v>
      </c>
    </row>
    <row r="7" spans="1:9" ht="25.5" x14ac:dyDescent="0.25">
      <c r="A7" s="768" t="s">
        <v>24</v>
      </c>
      <c r="B7" s="770" t="s">
        <v>23</v>
      </c>
      <c r="C7" s="772" t="s">
        <v>22</v>
      </c>
      <c r="D7" s="772" t="s">
        <v>21</v>
      </c>
      <c r="E7" s="772" t="s">
        <v>20</v>
      </c>
      <c r="F7" s="772"/>
      <c r="G7" s="772" t="s">
        <v>19</v>
      </c>
      <c r="H7" s="772"/>
      <c r="I7" s="212" t="s">
        <v>18</v>
      </c>
    </row>
    <row r="8" spans="1:9" ht="27" thickBot="1" x14ac:dyDescent="0.3">
      <c r="A8" s="769"/>
      <c r="B8" s="771"/>
      <c r="C8" s="773"/>
      <c r="D8" s="773"/>
      <c r="E8" s="213" t="s">
        <v>15</v>
      </c>
      <c r="F8" s="214" t="s">
        <v>17</v>
      </c>
      <c r="G8" s="213" t="s">
        <v>15</v>
      </c>
      <c r="H8" s="214" t="s">
        <v>17</v>
      </c>
      <c r="I8" s="215" t="s">
        <v>16</v>
      </c>
    </row>
    <row r="9" spans="1:9" x14ac:dyDescent="0.25">
      <c r="A9" s="216"/>
      <c r="B9" s="217"/>
      <c r="C9" s="218" t="s">
        <v>37</v>
      </c>
      <c r="D9" s="219"/>
      <c r="E9" s="220"/>
      <c r="F9" s="221"/>
      <c r="G9" s="220"/>
      <c r="H9" s="221"/>
      <c r="I9" s="222"/>
    </row>
    <row r="10" spans="1:9" ht="18" customHeight="1" x14ac:dyDescent="0.25">
      <c r="A10" s="238" t="s">
        <v>235</v>
      </c>
      <c r="B10" s="303" t="s">
        <v>236</v>
      </c>
      <c r="C10" s="240" t="s">
        <v>237</v>
      </c>
      <c r="D10" s="241" t="s">
        <v>34</v>
      </c>
      <c r="E10" s="304">
        <v>1600</v>
      </c>
      <c r="F10" s="305" t="s">
        <v>2</v>
      </c>
      <c r="G10" s="227"/>
      <c r="H10" s="68"/>
      <c r="I10" s="222"/>
    </row>
    <row r="11" spans="1:9" x14ac:dyDescent="0.25">
      <c r="A11" s="238"/>
      <c r="B11" s="306"/>
      <c r="C11" s="307" t="s">
        <v>238</v>
      </c>
      <c r="D11" s="241" t="s">
        <v>34</v>
      </c>
      <c r="E11" s="242">
        <v>1600</v>
      </c>
      <c r="F11" s="243" t="s">
        <v>2</v>
      </c>
      <c r="G11" s="227"/>
      <c r="H11" s="68"/>
      <c r="I11" s="222"/>
    </row>
    <row r="12" spans="1:9" x14ac:dyDescent="0.25">
      <c r="A12" s="238" t="s">
        <v>239</v>
      </c>
      <c r="B12" s="306" t="s">
        <v>240</v>
      </c>
      <c r="C12" s="307" t="s">
        <v>241</v>
      </c>
      <c r="D12" s="241" t="s">
        <v>242</v>
      </c>
      <c r="E12" s="242">
        <v>3</v>
      </c>
      <c r="F12" s="243" t="s">
        <v>2</v>
      </c>
      <c r="G12" s="230"/>
      <c r="H12" s="68"/>
      <c r="I12" s="222"/>
    </row>
    <row r="13" spans="1:9" x14ac:dyDescent="0.25">
      <c r="A13" s="238"/>
      <c r="B13" s="306"/>
      <c r="C13" s="307"/>
      <c r="D13" s="241"/>
      <c r="E13" s="242"/>
      <c r="F13" s="243"/>
      <c r="G13" s="230"/>
      <c r="H13" s="68"/>
      <c r="I13" s="222"/>
    </row>
    <row r="14" spans="1:9" x14ac:dyDescent="0.25">
      <c r="A14" s="308"/>
      <c r="B14" s="309"/>
      <c r="C14" s="310"/>
      <c r="D14" s="230"/>
      <c r="E14" s="230"/>
      <c r="F14" s="60"/>
      <c r="G14" s="230"/>
      <c r="H14" s="68"/>
      <c r="I14" s="222"/>
    </row>
    <row r="15" spans="1:9" x14ac:dyDescent="0.25">
      <c r="A15" s="311"/>
      <c r="B15" s="309"/>
      <c r="C15" s="312"/>
      <c r="D15" s="230"/>
      <c r="E15" s="230"/>
      <c r="F15" s="60"/>
      <c r="G15" s="230"/>
      <c r="H15" s="68"/>
      <c r="I15" s="222"/>
    </row>
    <row r="16" spans="1:9" x14ac:dyDescent="0.25">
      <c r="A16" s="230"/>
      <c r="B16" s="230"/>
      <c r="C16" s="313"/>
      <c r="D16" s="314"/>
      <c r="E16" s="314"/>
      <c r="F16" s="227"/>
      <c r="G16" s="230"/>
      <c r="H16" s="68"/>
      <c r="I16" s="222"/>
    </row>
    <row r="17" spans="1:9" x14ac:dyDescent="0.25">
      <c r="A17" s="309"/>
      <c r="B17" s="309"/>
      <c r="C17" s="315"/>
      <c r="D17" s="230"/>
      <c r="E17" s="230"/>
      <c r="F17" s="60"/>
      <c r="G17" s="230"/>
      <c r="H17" s="68"/>
      <c r="I17" s="222"/>
    </row>
    <row r="18" spans="1:9" x14ac:dyDescent="0.25">
      <c r="A18" s="308"/>
      <c r="B18" s="309"/>
      <c r="C18" s="310"/>
      <c r="D18" s="230"/>
      <c r="E18" s="230"/>
      <c r="F18" s="60"/>
      <c r="G18" s="230"/>
      <c r="H18" s="68"/>
      <c r="I18" s="222"/>
    </row>
    <row r="19" spans="1:9" ht="15.75" x14ac:dyDescent="0.25">
      <c r="A19" s="69"/>
      <c r="B19" s="69"/>
      <c r="C19" s="1"/>
      <c r="D19" s="316"/>
      <c r="E19" s="317"/>
      <c r="F19" s="318"/>
      <c r="G19" s="220"/>
      <c r="H19" s="68"/>
      <c r="I19" s="222"/>
    </row>
    <row r="20" spans="1:9" ht="15.75" x14ac:dyDescent="0.25">
      <c r="A20" s="231"/>
      <c r="B20" s="71"/>
      <c r="C20" s="232" t="s">
        <v>43</v>
      </c>
      <c r="D20" s="235"/>
      <c r="E20" s="236"/>
      <c r="F20" s="237"/>
      <c r="G20" s="220"/>
      <c r="H20" s="221"/>
      <c r="I20" s="222"/>
    </row>
    <row r="21" spans="1:9" x14ac:dyDescent="0.25">
      <c r="A21" s="238"/>
      <c r="B21" s="239"/>
      <c r="C21" s="240"/>
      <c r="D21" s="241"/>
      <c r="E21" s="242"/>
      <c r="F21" s="243"/>
      <c r="G21" s="220"/>
      <c r="H21" s="221"/>
      <c r="I21" s="222"/>
    </row>
    <row r="22" spans="1:9" x14ac:dyDescent="0.25">
      <c r="A22" s="238"/>
      <c r="B22" s="239"/>
      <c r="C22" s="240"/>
      <c r="D22" s="241"/>
      <c r="E22" s="245"/>
      <c r="F22" s="243"/>
      <c r="G22" s="220"/>
      <c r="H22" s="221"/>
      <c r="I22" s="222"/>
    </row>
    <row r="23" spans="1:9" x14ac:dyDescent="0.25">
      <c r="A23" s="238"/>
      <c r="B23" s="239"/>
      <c r="C23" s="240"/>
      <c r="D23" s="241"/>
      <c r="E23" s="242"/>
      <c r="F23" s="243"/>
      <c r="G23" s="220"/>
      <c r="H23" s="221"/>
      <c r="I23" s="222"/>
    </row>
    <row r="24" spans="1:9" x14ac:dyDescent="0.25">
      <c r="A24" s="238"/>
      <c r="B24" s="239"/>
      <c r="C24" s="240"/>
      <c r="D24" s="241"/>
      <c r="E24" s="296"/>
      <c r="F24" s="297"/>
      <c r="G24" s="220"/>
      <c r="H24" s="221"/>
      <c r="I24" s="222"/>
    </row>
    <row r="25" spans="1:9" x14ac:dyDescent="0.25">
      <c r="A25" s="238"/>
      <c r="B25" s="239"/>
      <c r="C25" s="240"/>
      <c r="D25" s="241"/>
      <c r="E25" s="304"/>
      <c r="F25" s="297"/>
      <c r="G25" s="220"/>
      <c r="H25" s="221"/>
      <c r="I25" s="222"/>
    </row>
    <row r="26" spans="1:9" x14ac:dyDescent="0.25">
      <c r="A26" s="319"/>
      <c r="B26" s="319"/>
      <c r="D26" s="320"/>
      <c r="E26" s="321"/>
      <c r="F26" s="322"/>
      <c r="G26" s="220"/>
      <c r="H26" s="221"/>
      <c r="I26" s="222"/>
    </row>
    <row r="27" spans="1:9" x14ac:dyDescent="0.25">
      <c r="A27" s="69"/>
      <c r="B27" s="69"/>
      <c r="C27" s="1"/>
      <c r="D27" s="244"/>
      <c r="E27" s="302"/>
      <c r="F27" s="322"/>
      <c r="G27" s="220"/>
      <c r="H27" s="221"/>
      <c r="I27" s="222"/>
    </row>
    <row r="28" spans="1:9" x14ac:dyDescent="0.25">
      <c r="A28" s="69"/>
      <c r="B28" s="69"/>
      <c r="C28" s="1"/>
      <c r="D28" s="244"/>
      <c r="E28" s="245"/>
      <c r="F28" s="246"/>
      <c r="G28" s="220"/>
      <c r="H28" s="221"/>
      <c r="I28" s="222"/>
    </row>
    <row r="29" spans="1:9" ht="15.75" x14ac:dyDescent="0.25">
      <c r="A29" s="247"/>
      <c r="B29" s="248"/>
      <c r="C29" s="80" t="s">
        <v>62</v>
      </c>
      <c r="D29" s="249"/>
      <c r="E29" s="250"/>
      <c r="F29" s="221"/>
      <c r="G29" s="220"/>
      <c r="I29" s="222"/>
    </row>
    <row r="30" spans="1:9" x14ac:dyDescent="0.25">
      <c r="A30" s="73"/>
      <c r="B30" s="73"/>
      <c r="C30" s="72"/>
      <c r="D30" s="323"/>
      <c r="E30" s="75"/>
      <c r="F30" s="324"/>
      <c r="G30" s="256"/>
      <c r="H30" s="221"/>
      <c r="I30" s="222"/>
    </row>
    <row r="31" spans="1:9" x14ac:dyDescent="0.25">
      <c r="A31" s="73"/>
      <c r="B31" s="73"/>
      <c r="C31" s="72"/>
      <c r="D31" s="323"/>
      <c r="E31" s="75"/>
      <c r="F31" s="324"/>
      <c r="G31" s="256"/>
      <c r="H31" s="221"/>
      <c r="I31" s="222"/>
    </row>
    <row r="32" spans="1:9" x14ac:dyDescent="0.25">
      <c r="A32" s="73"/>
      <c r="B32" s="73"/>
      <c r="C32" s="72"/>
      <c r="D32" s="323"/>
      <c r="E32" s="75"/>
      <c r="F32" s="324"/>
      <c r="G32" s="256"/>
      <c r="H32" s="221"/>
      <c r="I32" s="222"/>
    </row>
    <row r="33" spans="1:9" x14ac:dyDescent="0.25">
      <c r="A33" s="76"/>
      <c r="B33" s="76"/>
      <c r="C33" s="77"/>
      <c r="D33" s="51"/>
      <c r="E33" s="78"/>
      <c r="F33" s="53"/>
      <c r="G33" s="220"/>
      <c r="H33" s="221"/>
      <c r="I33" s="222"/>
    </row>
    <row r="34" spans="1:9" x14ac:dyDescent="0.25">
      <c r="A34" s="76"/>
      <c r="B34" s="76"/>
      <c r="C34" s="79"/>
      <c r="D34" s="51"/>
      <c r="E34" s="51"/>
      <c r="F34" s="53"/>
      <c r="G34" s="220"/>
      <c r="H34" s="221"/>
      <c r="I34" s="222"/>
    </row>
    <row r="35" spans="1:9" x14ac:dyDescent="0.25">
      <c r="A35" s="76"/>
      <c r="B35" s="76"/>
      <c r="C35" s="79"/>
      <c r="D35" s="51"/>
      <c r="E35" s="51"/>
      <c r="F35" s="53"/>
      <c r="G35" s="262"/>
      <c r="H35" s="221"/>
      <c r="I35" s="222"/>
    </row>
    <row r="36" spans="1:9" ht="15.75" x14ac:dyDescent="0.25">
      <c r="A36" s="325"/>
      <c r="B36" s="326"/>
      <c r="C36" s="327"/>
      <c r="D36" s="328"/>
      <c r="E36" s="328"/>
      <c r="F36" s="329"/>
      <c r="G36" s="74"/>
      <c r="H36" s="221"/>
      <c r="I36" s="222"/>
    </row>
    <row r="37" spans="1:9" ht="15.75" x14ac:dyDescent="0.25">
      <c r="A37" s="231"/>
      <c r="B37" s="71"/>
      <c r="C37" s="72"/>
      <c r="D37" s="51"/>
      <c r="E37" s="74"/>
      <c r="F37" s="237"/>
      <c r="G37" s="184"/>
      <c r="H37" s="221"/>
      <c r="I37" s="222"/>
    </row>
    <row r="38" spans="1:9" ht="15.75" x14ac:dyDescent="0.25">
      <c r="A38" s="231"/>
      <c r="B38" s="71"/>
      <c r="C38" s="72"/>
      <c r="D38" s="235"/>
      <c r="E38" s="235"/>
      <c r="F38" s="237"/>
      <c r="G38" s="301"/>
      <c r="H38" s="301"/>
      <c r="I38" s="222"/>
    </row>
    <row r="39" spans="1:9" ht="15.75" thickBot="1" x14ac:dyDescent="0.3">
      <c r="A39" s="265"/>
      <c r="B39" s="266"/>
      <c r="C39" s="267"/>
      <c r="D39" s="267"/>
      <c r="E39" s="268"/>
      <c r="F39" s="269"/>
      <c r="G39" s="267"/>
      <c r="H39" s="267"/>
      <c r="I39" s="270"/>
    </row>
    <row r="40" spans="1:9" ht="15.75" thickBot="1" x14ac:dyDescent="0.3">
      <c r="A40" s="271"/>
      <c r="B40" s="272"/>
      <c r="C40" s="273"/>
      <c r="D40" s="274" t="s">
        <v>15</v>
      </c>
      <c r="E40" s="275" t="s">
        <v>14</v>
      </c>
      <c r="F40" s="276"/>
      <c r="G40" s="273"/>
      <c r="H40" s="273"/>
      <c r="I40" s="277"/>
    </row>
    <row r="41" spans="1:9" x14ac:dyDescent="0.25">
      <c r="A41" s="774" t="s">
        <v>13</v>
      </c>
      <c r="B41" s="775"/>
      <c r="C41" s="776"/>
      <c r="D41" s="302">
        <v>3200</v>
      </c>
      <c r="E41" s="279" t="s">
        <v>2</v>
      </c>
      <c r="F41" s="777" t="s">
        <v>12</v>
      </c>
      <c r="G41" s="777"/>
      <c r="H41" s="778"/>
      <c r="I41" s="779"/>
    </row>
    <row r="42" spans="1:9" x14ac:dyDescent="0.25">
      <c r="A42" s="780" t="s">
        <v>11</v>
      </c>
      <c r="B42" s="781"/>
      <c r="C42" s="782"/>
      <c r="D42" s="230">
        <v>5</v>
      </c>
      <c r="E42" s="230" t="s">
        <v>169</v>
      </c>
      <c r="F42" s="783" t="s">
        <v>9</v>
      </c>
      <c r="G42" s="783"/>
      <c r="H42" s="784"/>
      <c r="I42" s="785"/>
    </row>
    <row r="43" spans="1:9" x14ac:dyDescent="0.25">
      <c r="A43" s="780" t="s">
        <v>8</v>
      </c>
      <c r="B43" s="781"/>
      <c r="C43" s="782"/>
      <c r="D43" s="230">
        <v>10</v>
      </c>
      <c r="E43" s="230" t="s">
        <v>243</v>
      </c>
      <c r="F43" s="783" t="s">
        <v>7</v>
      </c>
      <c r="G43" s="783"/>
      <c r="H43" s="784"/>
      <c r="I43" s="785"/>
    </row>
    <row r="44" spans="1:9" x14ac:dyDescent="0.25">
      <c r="A44" s="780" t="s">
        <v>6</v>
      </c>
      <c r="B44" s="781"/>
      <c r="C44" s="782"/>
      <c r="D44" s="245">
        <v>320</v>
      </c>
      <c r="E44" s="230" t="s">
        <v>2</v>
      </c>
      <c r="F44" s="786" t="s">
        <v>4</v>
      </c>
      <c r="G44" s="787"/>
      <c r="H44" s="788"/>
      <c r="I44" s="789"/>
    </row>
    <row r="45" spans="1:9" ht="15.75" thickBot="1" x14ac:dyDescent="0.3">
      <c r="A45" s="794" t="s">
        <v>3</v>
      </c>
      <c r="B45" s="795"/>
      <c r="C45" s="796"/>
      <c r="D45" s="280">
        <v>3</v>
      </c>
      <c r="E45" s="281" t="s">
        <v>2</v>
      </c>
      <c r="F45" s="797"/>
      <c r="G45" s="797"/>
      <c r="H45" s="784"/>
      <c r="I45" s="785"/>
    </row>
    <row r="46" spans="1:9" ht="15.75" thickBot="1" x14ac:dyDescent="0.3">
      <c r="A46" s="798" t="s">
        <v>1</v>
      </c>
      <c r="B46" s="799"/>
      <c r="C46" s="799"/>
      <c r="D46" s="799"/>
      <c r="E46" s="799"/>
      <c r="F46" s="799"/>
      <c r="G46" s="799"/>
      <c r="H46" s="799"/>
      <c r="I46" s="800"/>
    </row>
    <row r="47" spans="1:9" ht="18.399999999999999" customHeight="1" x14ac:dyDescent="0.25">
      <c r="A47" s="818" t="s">
        <v>244</v>
      </c>
      <c r="B47" s="819"/>
      <c r="C47" s="819"/>
      <c r="D47" s="819"/>
      <c r="E47" s="819"/>
      <c r="F47" s="819"/>
      <c r="G47" s="819"/>
      <c r="H47" s="819"/>
      <c r="I47" s="820"/>
    </row>
    <row r="48" spans="1:9" ht="14.65" customHeight="1" x14ac:dyDescent="0.25">
      <c r="A48" s="818"/>
      <c r="B48" s="819"/>
      <c r="C48" s="819"/>
      <c r="D48" s="819"/>
      <c r="E48" s="819"/>
      <c r="F48" s="819"/>
      <c r="G48" s="819"/>
      <c r="H48" s="819"/>
      <c r="I48" s="820"/>
    </row>
    <row r="49" spans="1:9" ht="14.65" customHeight="1" x14ac:dyDescent="0.25">
      <c r="A49" s="818"/>
      <c r="B49" s="819"/>
      <c r="C49" s="819"/>
      <c r="D49" s="819"/>
      <c r="E49" s="819"/>
      <c r="F49" s="819"/>
      <c r="G49" s="819"/>
      <c r="H49" s="819"/>
      <c r="I49" s="820"/>
    </row>
    <row r="50" spans="1:9" ht="14.65" customHeight="1" x14ac:dyDescent="0.25">
      <c r="A50" s="818"/>
      <c r="B50" s="819"/>
      <c r="C50" s="819"/>
      <c r="D50" s="819"/>
      <c r="E50" s="819"/>
      <c r="F50" s="819"/>
      <c r="G50" s="819"/>
      <c r="H50" s="819"/>
      <c r="I50" s="820"/>
    </row>
    <row r="51" spans="1:9" ht="14.65" customHeight="1" x14ac:dyDescent="0.25">
      <c r="A51" s="818"/>
      <c r="B51" s="819"/>
      <c r="C51" s="819"/>
      <c r="D51" s="819"/>
      <c r="E51" s="819"/>
      <c r="F51" s="819"/>
      <c r="G51" s="819"/>
      <c r="H51" s="819"/>
      <c r="I51" s="820"/>
    </row>
    <row r="52" spans="1:9" ht="14.65" customHeight="1" thickBot="1" x14ac:dyDescent="0.3">
      <c r="A52" s="824"/>
      <c r="B52" s="825"/>
      <c r="C52" s="826"/>
      <c r="D52" s="826"/>
      <c r="E52" s="826"/>
      <c r="F52" s="826"/>
      <c r="G52" s="826"/>
      <c r="H52" s="826"/>
      <c r="I52" s="827"/>
    </row>
    <row r="53" spans="1:9" ht="18" customHeight="1" x14ac:dyDescent="0.25">
      <c r="A53" s="828"/>
      <c r="B53" s="712"/>
      <c r="C53" s="712"/>
      <c r="D53" s="712"/>
      <c r="E53" s="712"/>
      <c r="F53" s="712"/>
      <c r="G53" s="712"/>
      <c r="H53" s="712"/>
      <c r="I53" s="812"/>
    </row>
    <row r="54" spans="1:9" ht="15.75" thickBot="1" x14ac:dyDescent="0.3">
      <c r="A54" s="829"/>
      <c r="B54" s="830"/>
      <c r="C54" s="830"/>
      <c r="D54" s="830"/>
      <c r="E54" s="830"/>
      <c r="F54" s="830"/>
      <c r="G54" s="830"/>
      <c r="H54" s="830"/>
      <c r="I54" s="831"/>
    </row>
    <row r="55" spans="1:9" ht="15.75" thickBot="1" x14ac:dyDescent="0.3">
      <c r="A55" s="821"/>
      <c r="B55" s="822"/>
      <c r="C55" s="822"/>
      <c r="D55" s="822"/>
      <c r="E55" s="822"/>
      <c r="F55" s="822"/>
      <c r="G55" s="822"/>
      <c r="H55" s="822"/>
      <c r="I55" s="823"/>
    </row>
    <row r="56" spans="1:9" x14ac:dyDescent="0.25">
      <c r="A56" s="686" t="s">
        <v>0</v>
      </c>
      <c r="B56" s="687"/>
      <c r="C56" s="687"/>
      <c r="D56" s="687"/>
      <c r="E56" s="687"/>
      <c r="F56" s="687"/>
      <c r="G56" s="687"/>
      <c r="H56" s="687"/>
      <c r="I56" s="687"/>
    </row>
    <row r="57" spans="1:9" x14ac:dyDescent="0.25">
      <c r="A57" s="691"/>
      <c r="B57" s="692"/>
      <c r="C57" s="692"/>
      <c r="D57" s="692"/>
      <c r="E57" s="692"/>
      <c r="F57" s="692"/>
      <c r="G57" s="692"/>
      <c r="H57" s="692"/>
      <c r="I57" s="692"/>
    </row>
    <row r="58" spans="1:9" x14ac:dyDescent="0.25">
      <c r="A58" s="691"/>
      <c r="B58" s="692"/>
      <c r="C58" s="692"/>
      <c r="D58" s="692"/>
      <c r="E58" s="692"/>
      <c r="F58" s="692"/>
      <c r="G58" s="692"/>
      <c r="H58" s="692"/>
      <c r="I58" s="692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C965-E725-47D7-B248-798C73F274BF}">
  <dimension ref="A1:I60"/>
  <sheetViews>
    <sheetView workbookViewId="0">
      <selection sqref="A1:XFD1048576"/>
    </sheetView>
  </sheetViews>
  <sheetFormatPr baseColWidth="10" defaultRowHeight="15" x14ac:dyDescent="0.25"/>
  <cols>
    <col min="1" max="1" width="13.85546875" bestFit="1" customWidth="1"/>
    <col min="2" max="2" width="14.42578125" bestFit="1" customWidth="1"/>
    <col min="3" max="3" width="49" customWidth="1"/>
    <col min="4" max="4" width="34.42578125" bestFit="1" customWidth="1"/>
    <col min="8" max="8" width="47.5703125" bestFit="1" customWidth="1"/>
    <col min="9" max="9" width="23.28515625" bestFit="1" customWidth="1"/>
  </cols>
  <sheetData>
    <row r="1" spans="1:9" ht="18.75" x14ac:dyDescent="0.25">
      <c r="A1" s="841"/>
      <c r="B1" s="842"/>
      <c r="C1" s="847" t="s">
        <v>33</v>
      </c>
      <c r="D1" s="847"/>
      <c r="E1" s="847"/>
      <c r="F1" s="847"/>
      <c r="G1" s="847"/>
      <c r="H1" s="330" t="s">
        <v>32</v>
      </c>
      <c r="I1" s="331" t="s">
        <v>245</v>
      </c>
    </row>
    <row r="2" spans="1:9" ht="18" customHeight="1" thickBot="1" x14ac:dyDescent="0.3">
      <c r="A2" s="843"/>
      <c r="B2" s="844"/>
      <c r="C2" s="848" t="s">
        <v>31</v>
      </c>
      <c r="D2" s="849"/>
      <c r="E2" s="849"/>
      <c r="F2" s="849"/>
      <c r="G2" s="850"/>
      <c r="H2" s="332" t="s">
        <v>30</v>
      </c>
      <c r="I2" s="333" t="s">
        <v>246</v>
      </c>
    </row>
    <row r="3" spans="1:9" ht="31.5" customHeight="1" thickBot="1" x14ac:dyDescent="0.3">
      <c r="A3" s="843"/>
      <c r="B3" s="844"/>
      <c r="C3" s="851" t="s">
        <v>247</v>
      </c>
      <c r="D3" s="852"/>
      <c r="E3" s="852"/>
      <c r="F3" s="852"/>
      <c r="G3" s="853"/>
      <c r="H3" s="854" t="s">
        <v>29</v>
      </c>
      <c r="I3" s="832">
        <v>45615</v>
      </c>
    </row>
    <row r="4" spans="1:9" ht="18" customHeight="1" x14ac:dyDescent="0.25">
      <c r="A4" s="843"/>
      <c r="B4" s="844"/>
      <c r="C4" s="334" t="s">
        <v>28</v>
      </c>
      <c r="D4" s="835" t="s">
        <v>154</v>
      </c>
      <c r="E4" s="836"/>
      <c r="F4" s="836"/>
      <c r="G4" s="837"/>
      <c r="H4" s="855"/>
      <c r="I4" s="833"/>
    </row>
    <row r="5" spans="1:9" ht="19.5" thickBot="1" x14ac:dyDescent="0.3">
      <c r="A5" s="845"/>
      <c r="B5" s="846"/>
      <c r="C5" s="335" t="s">
        <v>27</v>
      </c>
      <c r="D5" s="838" t="s">
        <v>36</v>
      </c>
      <c r="E5" s="839"/>
      <c r="F5" s="839"/>
      <c r="G5" s="840"/>
      <c r="H5" s="856"/>
      <c r="I5" s="834"/>
    </row>
    <row r="6" spans="1:9" ht="20.25" thickBot="1" x14ac:dyDescent="0.35">
      <c r="A6" s="857" t="s">
        <v>26</v>
      </c>
      <c r="B6" s="857"/>
      <c r="C6" s="857"/>
      <c r="D6" s="858" t="s">
        <v>248</v>
      </c>
      <c r="E6" s="858"/>
      <c r="F6" s="858"/>
      <c r="G6" s="859" t="s">
        <v>25</v>
      </c>
      <c r="H6" s="859"/>
      <c r="I6" s="336" t="s">
        <v>248</v>
      </c>
    </row>
    <row r="7" spans="1:9" ht="37.5" x14ac:dyDescent="0.25">
      <c r="A7" s="860" t="s">
        <v>24</v>
      </c>
      <c r="B7" s="862" t="s">
        <v>23</v>
      </c>
      <c r="C7" s="864" t="s">
        <v>22</v>
      </c>
      <c r="D7" s="864" t="s">
        <v>21</v>
      </c>
      <c r="E7" s="864" t="s">
        <v>20</v>
      </c>
      <c r="F7" s="864"/>
      <c r="G7" s="864" t="s">
        <v>19</v>
      </c>
      <c r="H7" s="864"/>
      <c r="I7" s="337" t="s">
        <v>18</v>
      </c>
    </row>
    <row r="8" spans="1:9" ht="57" thickBot="1" x14ac:dyDescent="0.3">
      <c r="A8" s="861"/>
      <c r="B8" s="863"/>
      <c r="C8" s="865"/>
      <c r="D8" s="865"/>
      <c r="E8" s="338" t="s">
        <v>15</v>
      </c>
      <c r="F8" s="339" t="s">
        <v>17</v>
      </c>
      <c r="G8" s="338" t="s">
        <v>15</v>
      </c>
      <c r="H8" s="339" t="s">
        <v>17</v>
      </c>
      <c r="I8" s="340" t="s">
        <v>16</v>
      </c>
    </row>
    <row r="9" spans="1:9" ht="18.399999999999999" customHeight="1" x14ac:dyDescent="0.3">
      <c r="A9" s="341"/>
      <c r="B9" s="342"/>
      <c r="C9" s="343" t="s">
        <v>37</v>
      </c>
      <c r="D9" s="344"/>
      <c r="E9" s="345"/>
      <c r="F9" s="346"/>
      <c r="G9" s="345"/>
      <c r="H9" s="346"/>
      <c r="I9" s="347"/>
    </row>
    <row r="10" spans="1:9" ht="18" customHeight="1" x14ac:dyDescent="0.3">
      <c r="A10" s="348">
        <v>11400047</v>
      </c>
      <c r="B10" s="348" t="s">
        <v>249</v>
      </c>
      <c r="C10" s="349" t="s">
        <v>250</v>
      </c>
      <c r="D10" s="350" t="s">
        <v>216</v>
      </c>
      <c r="E10" s="351">
        <v>12230</v>
      </c>
      <c r="F10" s="352" t="s">
        <v>251</v>
      </c>
      <c r="G10" s="353"/>
      <c r="H10" s="354"/>
      <c r="I10" s="347"/>
    </row>
    <row r="11" spans="1:9" ht="19.5" x14ac:dyDescent="0.3">
      <c r="A11" s="355" t="s">
        <v>252</v>
      </c>
      <c r="B11" s="356" t="s">
        <v>253</v>
      </c>
      <c r="C11" s="357" t="s">
        <v>254</v>
      </c>
      <c r="D11" s="358" t="s">
        <v>255</v>
      </c>
      <c r="E11" s="359">
        <v>17430</v>
      </c>
      <c r="F11" s="360" t="s">
        <v>2</v>
      </c>
      <c r="G11" s="353"/>
      <c r="H11" s="354"/>
      <c r="I11" s="347"/>
    </row>
    <row r="12" spans="1:9" ht="19.5" x14ac:dyDescent="0.3">
      <c r="A12" s="361">
        <v>11400046</v>
      </c>
      <c r="B12" s="362" t="s">
        <v>256</v>
      </c>
      <c r="C12" s="363" t="s">
        <v>257</v>
      </c>
      <c r="D12" s="364" t="s">
        <v>255</v>
      </c>
      <c r="E12" s="364">
        <v>17430</v>
      </c>
      <c r="F12" s="364" t="s">
        <v>2</v>
      </c>
      <c r="G12" s="365"/>
      <c r="H12" s="354"/>
      <c r="I12" s="347"/>
    </row>
    <row r="13" spans="1:9" ht="19.5" x14ac:dyDescent="0.3">
      <c r="A13" s="361">
        <v>11400031</v>
      </c>
      <c r="B13" s="362" t="s">
        <v>258</v>
      </c>
      <c r="C13" s="363" t="s">
        <v>259</v>
      </c>
      <c r="D13" s="364" t="s">
        <v>260</v>
      </c>
      <c r="E13" s="364">
        <v>14000</v>
      </c>
      <c r="F13" s="364" t="s">
        <v>2</v>
      </c>
      <c r="G13" s="365"/>
      <c r="H13" s="354"/>
      <c r="I13" s="347"/>
    </row>
    <row r="14" spans="1:9" ht="19.5" x14ac:dyDescent="0.3">
      <c r="A14" s="366">
        <v>90100131</v>
      </c>
      <c r="B14" s="366" t="s">
        <v>261</v>
      </c>
      <c r="C14" s="357" t="s">
        <v>262</v>
      </c>
      <c r="D14" s="351" t="s">
        <v>34</v>
      </c>
      <c r="E14" s="367">
        <v>1475</v>
      </c>
      <c r="F14" s="352" t="s">
        <v>2</v>
      </c>
      <c r="G14" s="365"/>
      <c r="H14" s="354"/>
      <c r="I14" s="347"/>
    </row>
    <row r="15" spans="1:9" ht="19.5" x14ac:dyDescent="0.3">
      <c r="A15" s="366">
        <v>1212410</v>
      </c>
      <c r="B15" s="366" t="s">
        <v>208</v>
      </c>
      <c r="C15" s="357" t="s">
        <v>209</v>
      </c>
      <c r="D15" s="351" t="s">
        <v>210</v>
      </c>
      <c r="E15" s="367">
        <v>140</v>
      </c>
      <c r="F15" s="352" t="s">
        <v>2</v>
      </c>
      <c r="G15" s="365"/>
      <c r="H15" s="354"/>
      <c r="I15" s="347"/>
    </row>
    <row r="16" spans="1:9" ht="19.5" x14ac:dyDescent="0.3">
      <c r="A16" s="366"/>
      <c r="B16" s="366"/>
      <c r="C16" s="357"/>
      <c r="D16" s="351"/>
      <c r="E16" s="367"/>
      <c r="F16" s="352"/>
      <c r="G16" s="365"/>
      <c r="H16" s="354"/>
      <c r="I16" s="347"/>
    </row>
    <row r="17" spans="1:9" ht="19.5" x14ac:dyDescent="0.3">
      <c r="A17" s="366"/>
      <c r="B17" s="366"/>
      <c r="C17" s="357"/>
      <c r="D17" s="351"/>
      <c r="E17" s="367"/>
      <c r="F17" s="352"/>
      <c r="G17" s="365"/>
      <c r="H17" s="354"/>
      <c r="I17" s="347"/>
    </row>
    <row r="18" spans="1:9" ht="19.5" x14ac:dyDescent="0.3">
      <c r="A18" s="366"/>
      <c r="B18" s="366"/>
      <c r="C18" s="357"/>
      <c r="D18" s="351"/>
      <c r="E18" s="367"/>
      <c r="F18" s="352"/>
      <c r="G18" s="365"/>
      <c r="H18" s="354"/>
      <c r="I18" s="347"/>
    </row>
    <row r="19" spans="1:9" ht="19.5" x14ac:dyDescent="0.3">
      <c r="A19" s="366"/>
      <c r="B19" s="366"/>
      <c r="C19" s="357"/>
      <c r="D19" s="351"/>
      <c r="E19" s="367"/>
      <c r="F19" s="352"/>
      <c r="G19" s="365"/>
      <c r="H19" s="354"/>
      <c r="I19" s="347"/>
    </row>
    <row r="20" spans="1:9" ht="19.5" x14ac:dyDescent="0.3">
      <c r="A20" s="368"/>
      <c r="B20" s="366"/>
      <c r="C20" s="369"/>
      <c r="D20" s="370"/>
      <c r="E20" s="370"/>
      <c r="F20" s="370"/>
      <c r="G20" s="345"/>
      <c r="H20" s="354"/>
      <c r="I20" s="347"/>
    </row>
    <row r="21" spans="1:9" ht="19.5" x14ac:dyDescent="0.3">
      <c r="A21" s="371"/>
      <c r="B21" s="372"/>
      <c r="C21" s="373" t="s">
        <v>43</v>
      </c>
      <c r="D21" s="367"/>
      <c r="E21" s="374"/>
      <c r="F21" s="352"/>
      <c r="G21" s="345"/>
      <c r="H21" s="346"/>
      <c r="I21" s="347"/>
    </row>
    <row r="22" spans="1:9" ht="19.5" x14ac:dyDescent="0.3">
      <c r="A22" s="375"/>
      <c r="B22" s="376"/>
      <c r="C22" s="377"/>
      <c r="D22" s="378"/>
      <c r="E22" s="379"/>
      <c r="F22" s="380"/>
      <c r="G22" s="345"/>
      <c r="H22" s="346"/>
      <c r="I22" s="347"/>
    </row>
    <row r="23" spans="1:9" ht="19.5" x14ac:dyDescent="0.3">
      <c r="A23" s="375"/>
      <c r="B23" s="376"/>
      <c r="C23" s="377"/>
      <c r="D23" s="378"/>
      <c r="E23" s="381"/>
      <c r="F23" s="380"/>
      <c r="G23" s="345"/>
      <c r="H23" s="346"/>
      <c r="I23" s="347"/>
    </row>
    <row r="24" spans="1:9" ht="19.5" x14ac:dyDescent="0.3">
      <c r="A24" s="375"/>
      <c r="B24" s="376"/>
      <c r="C24" s="377"/>
      <c r="D24" s="378"/>
      <c r="E24" s="379"/>
      <c r="F24" s="380"/>
      <c r="G24" s="345"/>
      <c r="H24" s="346"/>
      <c r="I24" s="347"/>
    </row>
    <row r="25" spans="1:9" ht="19.5" x14ac:dyDescent="0.3">
      <c r="A25" s="375"/>
      <c r="B25" s="376"/>
      <c r="C25" s="377"/>
      <c r="D25" s="378"/>
      <c r="E25" s="382"/>
      <c r="F25" s="383"/>
      <c r="G25" s="345"/>
      <c r="H25" s="346"/>
      <c r="I25" s="347"/>
    </row>
    <row r="26" spans="1:9" ht="19.5" x14ac:dyDescent="0.3">
      <c r="A26" s="375"/>
      <c r="B26" s="376"/>
      <c r="C26" s="377"/>
      <c r="D26" s="378"/>
      <c r="E26" s="384"/>
      <c r="F26" s="383"/>
      <c r="G26" s="345"/>
      <c r="H26" s="346"/>
      <c r="I26" s="347"/>
    </row>
    <row r="27" spans="1:9" ht="19.5" x14ac:dyDescent="0.3">
      <c r="A27" s="385"/>
      <c r="B27" s="385"/>
      <c r="C27" s="386"/>
      <c r="D27" s="387"/>
      <c r="E27" s="388"/>
      <c r="F27" s="389"/>
      <c r="G27" s="345"/>
      <c r="H27" s="346"/>
      <c r="I27" s="347"/>
    </row>
    <row r="28" spans="1:9" ht="19.5" x14ac:dyDescent="0.3">
      <c r="A28" s="366"/>
      <c r="B28" s="366"/>
      <c r="C28" s="369"/>
      <c r="D28" s="390"/>
      <c r="E28" s="391"/>
      <c r="F28" s="389"/>
      <c r="G28" s="345"/>
      <c r="H28" s="346"/>
      <c r="I28" s="347"/>
    </row>
    <row r="29" spans="1:9" ht="19.5" x14ac:dyDescent="0.3">
      <c r="A29" s="366"/>
      <c r="B29" s="366"/>
      <c r="C29" s="369"/>
      <c r="D29" s="390"/>
      <c r="E29" s="392"/>
      <c r="F29" s="393"/>
      <c r="G29" s="345"/>
      <c r="H29" s="346"/>
      <c r="I29" s="347"/>
    </row>
    <row r="30" spans="1:9" ht="19.5" x14ac:dyDescent="0.3">
      <c r="A30" s="394"/>
      <c r="B30" s="395"/>
      <c r="C30" s="396" t="s">
        <v>62</v>
      </c>
      <c r="D30" s="397"/>
      <c r="E30" s="398"/>
      <c r="F30" s="346"/>
      <c r="G30" s="345"/>
      <c r="H30" s="386"/>
      <c r="I30" s="347"/>
    </row>
    <row r="31" spans="1:9" ht="19.5" x14ac:dyDescent="0.3">
      <c r="A31" s="399"/>
      <c r="B31" s="399"/>
      <c r="C31" s="400"/>
      <c r="D31" s="364"/>
      <c r="E31" s="401"/>
      <c r="F31" s="402"/>
      <c r="G31" s="403"/>
      <c r="H31" s="346"/>
      <c r="I31" s="347"/>
    </row>
    <row r="32" spans="1:9" ht="19.5" x14ac:dyDescent="0.3">
      <c r="A32" s="404"/>
      <c r="B32" s="404"/>
      <c r="C32" s="405"/>
      <c r="D32" s="364"/>
      <c r="E32" s="401"/>
      <c r="F32" s="402"/>
      <c r="G32" s="403"/>
      <c r="H32" s="346"/>
      <c r="I32" s="347"/>
    </row>
    <row r="33" spans="1:9" ht="19.5" x14ac:dyDescent="0.3">
      <c r="A33" s="366"/>
      <c r="B33" s="366"/>
      <c r="C33" s="369"/>
      <c r="D33" s="406"/>
      <c r="E33" s="392"/>
      <c r="F33" s="365"/>
      <c r="G33" s="403"/>
      <c r="H33" s="346"/>
      <c r="I33" s="347"/>
    </row>
    <row r="34" spans="1:9" ht="19.5" x14ac:dyDescent="0.3">
      <c r="A34" s="407"/>
      <c r="B34" s="407"/>
      <c r="C34" s="408"/>
      <c r="D34" s="364"/>
      <c r="E34" s="401"/>
      <c r="F34" s="402"/>
      <c r="G34" s="345"/>
      <c r="H34" s="346"/>
      <c r="I34" s="347"/>
    </row>
    <row r="35" spans="1:9" ht="19.5" x14ac:dyDescent="0.3">
      <c r="A35" s="407"/>
      <c r="B35" s="407"/>
      <c r="C35" s="408"/>
      <c r="D35" s="364"/>
      <c r="E35" s="401"/>
      <c r="F35" s="402"/>
      <c r="G35" s="345"/>
      <c r="H35" s="346"/>
      <c r="I35" s="347"/>
    </row>
    <row r="36" spans="1:9" ht="19.5" x14ac:dyDescent="0.3">
      <c r="A36" s="407"/>
      <c r="B36" s="407"/>
      <c r="C36" s="408"/>
      <c r="D36" s="364"/>
      <c r="E36" s="401"/>
      <c r="F36" s="402"/>
      <c r="G36" s="409"/>
      <c r="H36" s="346"/>
      <c r="I36" s="347"/>
    </row>
    <row r="37" spans="1:9" ht="19.5" x14ac:dyDescent="0.3">
      <c r="A37" s="407"/>
      <c r="B37" s="407"/>
      <c r="C37" s="408" t="s">
        <v>53</v>
      </c>
      <c r="D37" s="364"/>
      <c r="E37" s="401"/>
      <c r="F37" s="402"/>
      <c r="G37" s="351"/>
      <c r="H37" s="346"/>
      <c r="I37" s="347"/>
    </row>
    <row r="38" spans="1:9" ht="19.5" x14ac:dyDescent="0.3">
      <c r="A38" s="410"/>
      <c r="B38" s="410"/>
      <c r="C38" s="411"/>
      <c r="D38" s="364"/>
      <c r="E38" s="393"/>
      <c r="F38" s="393"/>
      <c r="G38" s="351"/>
      <c r="H38" s="346"/>
      <c r="I38" s="347"/>
    </row>
    <row r="39" spans="1:9" ht="19.5" x14ac:dyDescent="0.3">
      <c r="A39" s="399"/>
      <c r="B39" s="366"/>
      <c r="C39" s="400"/>
      <c r="D39" s="406"/>
      <c r="E39" s="392"/>
      <c r="F39" s="365"/>
      <c r="G39" s="351"/>
      <c r="H39" s="346"/>
      <c r="I39" s="347"/>
    </row>
    <row r="40" spans="1:9" ht="19.5" x14ac:dyDescent="0.3">
      <c r="A40" s="407"/>
      <c r="B40" s="407"/>
      <c r="C40" s="408"/>
      <c r="D40" s="364"/>
      <c r="E40" s="392"/>
      <c r="F40" s="365"/>
      <c r="G40" s="351"/>
      <c r="H40" s="346"/>
      <c r="I40" s="347"/>
    </row>
    <row r="41" spans="1:9" ht="19.5" x14ac:dyDescent="0.3">
      <c r="A41" s="371"/>
      <c r="B41" s="372"/>
      <c r="C41" s="412"/>
      <c r="D41" s="367"/>
      <c r="E41" s="367"/>
      <c r="F41" s="352"/>
      <c r="G41" s="367"/>
      <c r="H41" s="367"/>
      <c r="I41" s="347"/>
    </row>
    <row r="42" spans="1:9" ht="19.5" thickBot="1" x14ac:dyDescent="0.3">
      <c r="A42" s="413"/>
      <c r="B42" s="414"/>
      <c r="C42" s="415"/>
      <c r="D42" s="415"/>
      <c r="E42" s="416"/>
      <c r="F42" s="417"/>
      <c r="G42" s="415"/>
      <c r="H42" s="415"/>
      <c r="I42" s="418"/>
    </row>
    <row r="43" spans="1:9" ht="19.5" thickBot="1" x14ac:dyDescent="0.3">
      <c r="A43" s="419"/>
      <c r="B43" s="420"/>
      <c r="C43" s="421"/>
      <c r="D43" s="422" t="s">
        <v>15</v>
      </c>
      <c r="E43" s="423" t="s">
        <v>14</v>
      </c>
      <c r="F43" s="424"/>
      <c r="G43" s="421"/>
      <c r="H43" s="421"/>
      <c r="I43" s="425"/>
    </row>
    <row r="44" spans="1:9" ht="18.75" x14ac:dyDescent="0.25">
      <c r="A44" s="866" t="s">
        <v>13</v>
      </c>
      <c r="B44" s="867"/>
      <c r="C44" s="868"/>
      <c r="D44" s="391">
        <v>62500</v>
      </c>
      <c r="E44" s="426" t="s">
        <v>2</v>
      </c>
      <c r="F44" s="869" t="s">
        <v>12</v>
      </c>
      <c r="G44" s="869"/>
      <c r="H44" s="870"/>
      <c r="I44" s="871"/>
    </row>
    <row r="45" spans="1:9" ht="18.75" x14ac:dyDescent="0.25">
      <c r="A45" s="872" t="s">
        <v>11</v>
      </c>
      <c r="B45" s="873"/>
      <c r="C45" s="874"/>
      <c r="D45" s="392">
        <v>11</v>
      </c>
      <c r="E45" s="365" t="s">
        <v>263</v>
      </c>
      <c r="F45" s="875" t="s">
        <v>9</v>
      </c>
      <c r="G45" s="875"/>
      <c r="H45" s="876"/>
      <c r="I45" s="877"/>
    </row>
    <row r="46" spans="1:9" ht="18.75" x14ac:dyDescent="0.25">
      <c r="A46" s="872" t="s">
        <v>8</v>
      </c>
      <c r="B46" s="873"/>
      <c r="C46" s="874"/>
      <c r="D46" s="392">
        <v>1</v>
      </c>
      <c r="E46" s="365" t="s">
        <v>264</v>
      </c>
      <c r="F46" s="875" t="s">
        <v>7</v>
      </c>
      <c r="G46" s="875"/>
      <c r="H46" s="876"/>
      <c r="I46" s="877"/>
    </row>
    <row r="47" spans="1:9" ht="18.75" x14ac:dyDescent="0.25">
      <c r="A47" s="872" t="s">
        <v>6</v>
      </c>
      <c r="B47" s="873"/>
      <c r="C47" s="874"/>
      <c r="D47" s="392">
        <v>62500</v>
      </c>
      <c r="E47" s="365" t="s">
        <v>2</v>
      </c>
      <c r="F47" s="879" t="s">
        <v>4</v>
      </c>
      <c r="G47" s="880"/>
      <c r="H47" s="881"/>
      <c r="I47" s="882"/>
    </row>
    <row r="48" spans="1:9" ht="19.5" thickBot="1" x14ac:dyDescent="0.3">
      <c r="A48" s="883" t="s">
        <v>3</v>
      </c>
      <c r="B48" s="884"/>
      <c r="C48" s="885"/>
      <c r="D48" s="427">
        <v>205</v>
      </c>
      <c r="E48" s="428" t="s">
        <v>2</v>
      </c>
      <c r="F48" s="886"/>
      <c r="G48" s="886"/>
      <c r="H48" s="876"/>
      <c r="I48" s="877"/>
    </row>
    <row r="49" spans="1:9" ht="19.5" thickBot="1" x14ac:dyDescent="0.3">
      <c r="A49" s="887" t="s">
        <v>1</v>
      </c>
      <c r="B49" s="888"/>
      <c r="C49" s="888"/>
      <c r="D49" s="888"/>
      <c r="E49" s="888"/>
      <c r="F49" s="888"/>
      <c r="G49" s="888"/>
      <c r="H49" s="888"/>
      <c r="I49" s="889"/>
    </row>
    <row r="50" spans="1:9" ht="18.399999999999999" customHeight="1" x14ac:dyDescent="0.3">
      <c r="A50" s="890" t="s">
        <v>265</v>
      </c>
      <c r="B50" s="890"/>
      <c r="C50" s="890"/>
      <c r="D50" s="890"/>
      <c r="E50" s="890"/>
      <c r="F50" s="890"/>
      <c r="G50" s="890"/>
      <c r="H50" s="890"/>
      <c r="I50" s="890"/>
    </row>
    <row r="51" spans="1:9" ht="19.5" x14ac:dyDescent="0.3">
      <c r="A51" s="878" t="s">
        <v>266</v>
      </c>
      <c r="B51" s="878"/>
      <c r="C51" s="878"/>
      <c r="D51" s="878"/>
      <c r="E51" s="878"/>
      <c r="F51" s="878"/>
      <c r="G51" s="878"/>
      <c r="H51" s="878"/>
      <c r="I51" s="878"/>
    </row>
    <row r="52" spans="1:9" ht="19.5" x14ac:dyDescent="0.3">
      <c r="A52" s="878" t="s">
        <v>267</v>
      </c>
      <c r="B52" s="878"/>
      <c r="C52" s="890"/>
      <c r="D52" s="890"/>
      <c r="E52" s="890"/>
      <c r="F52" s="890"/>
      <c r="G52" s="890"/>
      <c r="H52" s="890"/>
      <c r="I52" s="890"/>
    </row>
    <row r="53" spans="1:9" ht="19.5" x14ac:dyDescent="0.3">
      <c r="A53" s="890" t="s">
        <v>268</v>
      </c>
      <c r="B53" s="890"/>
      <c r="C53" s="890"/>
      <c r="D53" s="890"/>
      <c r="E53" s="890"/>
      <c r="F53" s="890"/>
      <c r="G53" s="890"/>
      <c r="H53" s="890"/>
      <c r="I53" s="890"/>
    </row>
    <row r="54" spans="1:9" ht="19.5" x14ac:dyDescent="0.3">
      <c r="A54" s="890" t="s">
        <v>269</v>
      </c>
      <c r="B54" s="890"/>
      <c r="C54" s="890"/>
      <c r="D54" s="890"/>
      <c r="E54" s="890"/>
      <c r="F54" s="890"/>
      <c r="G54" s="890"/>
      <c r="H54" s="890"/>
      <c r="I54" s="890"/>
    </row>
    <row r="55" spans="1:9" ht="18" customHeight="1" x14ac:dyDescent="0.3">
      <c r="A55" s="890" t="s">
        <v>270</v>
      </c>
      <c r="B55" s="890"/>
      <c r="C55" s="890"/>
      <c r="D55" s="890"/>
      <c r="E55" s="890"/>
      <c r="F55" s="890"/>
      <c r="G55" s="890"/>
      <c r="H55" s="890"/>
      <c r="I55" s="890"/>
    </row>
    <row r="56" spans="1:9" ht="18.75" x14ac:dyDescent="0.25">
      <c r="A56" s="895"/>
      <c r="B56" s="896"/>
      <c r="C56" s="896"/>
      <c r="D56" s="896"/>
      <c r="E56" s="896"/>
      <c r="F56" s="896"/>
      <c r="G56" s="896"/>
      <c r="H56" s="896"/>
      <c r="I56" s="897"/>
    </row>
    <row r="57" spans="1:9" ht="20.25" thickBot="1" x14ac:dyDescent="0.35">
      <c r="A57" s="898"/>
      <c r="B57" s="899"/>
      <c r="C57" s="899"/>
      <c r="D57" s="899"/>
      <c r="E57" s="899"/>
      <c r="F57" s="899"/>
      <c r="G57" s="899"/>
      <c r="H57" s="899"/>
      <c r="I57" s="900"/>
    </row>
    <row r="58" spans="1:9" ht="18.75" x14ac:dyDescent="0.25">
      <c r="A58" s="891" t="s">
        <v>0</v>
      </c>
      <c r="B58" s="892"/>
      <c r="C58" s="892"/>
      <c r="D58" s="892"/>
      <c r="E58" s="892"/>
      <c r="F58" s="892"/>
      <c r="G58" s="892"/>
      <c r="H58" s="892"/>
      <c r="I58" s="892"/>
    </row>
    <row r="59" spans="1:9" ht="18.75" x14ac:dyDescent="0.25">
      <c r="A59" s="838" t="s">
        <v>271</v>
      </c>
      <c r="B59" s="839"/>
      <c r="C59" s="839"/>
      <c r="D59" s="839"/>
      <c r="E59" s="839"/>
      <c r="F59" s="839"/>
      <c r="G59" s="839"/>
      <c r="H59" s="839"/>
      <c r="I59" s="840"/>
    </row>
    <row r="60" spans="1:9" ht="18.75" x14ac:dyDescent="0.25">
      <c r="A60" s="893"/>
      <c r="B60" s="894"/>
      <c r="C60" s="894"/>
      <c r="D60" s="894"/>
      <c r="E60" s="894"/>
      <c r="F60" s="894"/>
      <c r="G60" s="894"/>
      <c r="H60" s="894"/>
      <c r="I60" s="894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1F16-B967-4BFD-AF57-7B431084C865}">
  <dimension ref="A1:M33"/>
  <sheetViews>
    <sheetView workbookViewId="0">
      <selection sqref="A1:XFD1048576"/>
    </sheetView>
  </sheetViews>
  <sheetFormatPr baseColWidth="10" defaultRowHeight="15" x14ac:dyDescent="0.25"/>
  <cols>
    <col min="3" max="3" width="42.42578125" customWidth="1"/>
    <col min="4" max="4" width="16.85546875" customWidth="1"/>
    <col min="8" max="8" width="18.7109375" customWidth="1"/>
    <col min="9" max="9" width="17.28515625" customWidth="1"/>
    <col min="11" max="11" width="59.42578125" customWidth="1"/>
  </cols>
  <sheetData>
    <row r="1" spans="1:13" ht="18" x14ac:dyDescent="0.25">
      <c r="A1" s="905"/>
      <c r="B1" s="906"/>
      <c r="C1" s="911" t="s">
        <v>33</v>
      </c>
      <c r="D1" s="911"/>
      <c r="E1" s="911"/>
      <c r="F1" s="911"/>
      <c r="G1" s="911"/>
      <c r="H1" s="429" t="s">
        <v>32</v>
      </c>
      <c r="I1" s="179" t="s">
        <v>272</v>
      </c>
    </row>
    <row r="2" spans="1:13" ht="18" x14ac:dyDescent="0.25">
      <c r="A2" s="907"/>
      <c r="B2" s="908"/>
      <c r="C2" s="912" t="s">
        <v>31</v>
      </c>
      <c r="D2" s="912"/>
      <c r="E2" s="912"/>
      <c r="F2" s="912"/>
      <c r="G2" s="912"/>
      <c r="H2" s="430" t="s">
        <v>30</v>
      </c>
      <c r="I2" s="208" t="s">
        <v>273</v>
      </c>
    </row>
    <row r="3" spans="1:13" x14ac:dyDescent="0.25">
      <c r="A3" s="907"/>
      <c r="B3" s="908"/>
      <c r="C3" s="913" t="s">
        <v>274</v>
      </c>
      <c r="D3" s="914"/>
      <c r="E3" s="914"/>
      <c r="F3" s="914"/>
      <c r="G3" s="914"/>
      <c r="H3" s="915" t="s">
        <v>29</v>
      </c>
      <c r="I3" s="744">
        <v>45715</v>
      </c>
    </row>
    <row r="4" spans="1:13" x14ac:dyDescent="0.25">
      <c r="A4" s="907"/>
      <c r="B4" s="908"/>
      <c r="C4" s="431" t="s">
        <v>28</v>
      </c>
      <c r="D4" s="901" t="s">
        <v>275</v>
      </c>
      <c r="E4" s="902"/>
      <c r="F4" s="902"/>
      <c r="G4" s="902"/>
      <c r="H4" s="915"/>
      <c r="I4" s="745"/>
    </row>
    <row r="5" spans="1:13" ht="15.75" thickBot="1" x14ac:dyDescent="0.3">
      <c r="A5" s="909"/>
      <c r="B5" s="910"/>
      <c r="C5" s="432" t="s">
        <v>27</v>
      </c>
      <c r="D5" s="903" t="s">
        <v>276</v>
      </c>
      <c r="E5" s="904"/>
      <c r="F5" s="904"/>
      <c r="G5" s="904"/>
      <c r="H5" s="916"/>
      <c r="I5" s="746"/>
    </row>
    <row r="6" spans="1:13" ht="18.75" thickBot="1" x14ac:dyDescent="0.3">
      <c r="A6" s="765" t="s">
        <v>26</v>
      </c>
      <c r="B6" s="765"/>
      <c r="C6" s="765"/>
      <c r="D6" s="766" t="s">
        <v>277</v>
      </c>
      <c r="E6" s="766"/>
      <c r="F6" s="766"/>
      <c r="G6" s="767" t="s">
        <v>25</v>
      </c>
      <c r="H6" s="767"/>
      <c r="I6" s="211" t="s">
        <v>248</v>
      </c>
    </row>
    <row r="7" spans="1:13" ht="25.5" x14ac:dyDescent="0.25">
      <c r="A7" s="917" t="s">
        <v>24</v>
      </c>
      <c r="B7" s="917" t="s">
        <v>24</v>
      </c>
      <c r="C7" s="920" t="s">
        <v>22</v>
      </c>
      <c r="D7" s="920" t="s">
        <v>21</v>
      </c>
      <c r="E7" s="920" t="s">
        <v>20</v>
      </c>
      <c r="F7" s="920"/>
      <c r="G7" s="920" t="s">
        <v>19</v>
      </c>
      <c r="H7" s="920"/>
      <c r="I7" s="433" t="s">
        <v>18</v>
      </c>
    </row>
    <row r="8" spans="1:13" ht="27" thickBot="1" x14ac:dyDescent="0.3">
      <c r="A8" s="918"/>
      <c r="B8" s="919"/>
      <c r="C8" s="921"/>
      <c r="D8" s="922"/>
      <c r="E8" s="434" t="s">
        <v>15</v>
      </c>
      <c r="F8" s="435" t="s">
        <v>17</v>
      </c>
      <c r="G8" s="434" t="s">
        <v>15</v>
      </c>
      <c r="H8" s="435" t="s">
        <v>17</v>
      </c>
      <c r="I8" s="436" t="s">
        <v>16</v>
      </c>
      <c r="K8" s="437"/>
      <c r="L8" s="437"/>
    </row>
    <row r="9" spans="1:13" x14ac:dyDescent="0.25">
      <c r="A9" s="438"/>
      <c r="B9" s="439" t="s">
        <v>278</v>
      </c>
      <c r="C9" s="439" t="s">
        <v>279</v>
      </c>
      <c r="D9" s="323" t="s">
        <v>34</v>
      </c>
      <c r="E9" s="74">
        <v>1000</v>
      </c>
      <c r="F9" s="237" t="s">
        <v>2</v>
      </c>
      <c r="G9" s="440"/>
      <c r="H9" s="441"/>
      <c r="I9" s="442"/>
      <c r="K9" s="437"/>
      <c r="L9" s="437"/>
    </row>
    <row r="10" spans="1:13" x14ac:dyDescent="0.25">
      <c r="A10" s="298"/>
      <c r="B10" s="319" t="s">
        <v>280</v>
      </c>
      <c r="C10" s="319" t="s">
        <v>281</v>
      </c>
      <c r="D10" s="323" t="s">
        <v>282</v>
      </c>
      <c r="E10" s="74">
        <v>1000</v>
      </c>
      <c r="F10" s="237" t="s">
        <v>2</v>
      </c>
      <c r="G10" s="440"/>
      <c r="H10" s="441"/>
      <c r="I10" s="442"/>
      <c r="K10" s="443"/>
      <c r="L10" s="437"/>
    </row>
    <row r="11" spans="1:13" x14ac:dyDescent="0.25">
      <c r="A11" s="438">
        <v>1950702</v>
      </c>
      <c r="B11" s="69" t="s">
        <v>283</v>
      </c>
      <c r="C11" s="229" t="s">
        <v>284</v>
      </c>
      <c r="D11" s="323" t="s">
        <v>285</v>
      </c>
      <c r="E11" s="74">
        <v>1</v>
      </c>
      <c r="F11" s="237" t="s">
        <v>286</v>
      </c>
      <c r="G11" s="440"/>
      <c r="H11" s="444"/>
      <c r="I11" s="442"/>
      <c r="K11" s="437"/>
      <c r="L11" s="437"/>
    </row>
    <row r="12" spans="1:13" x14ac:dyDescent="0.25">
      <c r="A12" s="438">
        <v>702067</v>
      </c>
      <c r="B12" s="69" t="s">
        <v>287</v>
      </c>
      <c r="C12" s="69" t="s">
        <v>288</v>
      </c>
      <c r="D12" s="445" t="s">
        <v>289</v>
      </c>
      <c r="E12" s="445">
        <v>1</v>
      </c>
      <c r="F12" s="445" t="s">
        <v>286</v>
      </c>
      <c r="G12" s="440"/>
      <c r="H12" s="441"/>
      <c r="I12" s="442"/>
      <c r="K12" s="437"/>
      <c r="L12" s="437"/>
    </row>
    <row r="13" spans="1:13" x14ac:dyDescent="0.25">
      <c r="A13" s="1"/>
      <c r="B13" s="1"/>
      <c r="C13" s="1"/>
      <c r="D13" s="323"/>
      <c r="E13" s="74"/>
      <c r="F13" s="237" t="s">
        <v>2</v>
      </c>
      <c r="G13" s="440"/>
      <c r="H13" s="441"/>
      <c r="I13" s="442"/>
      <c r="L13" s="446">
        <f>SUM(E9:E10)</f>
        <v>2000</v>
      </c>
    </row>
    <row r="14" spans="1:13" ht="15.75" thickBot="1" x14ac:dyDescent="0.3">
      <c r="A14" s="447"/>
      <c r="B14" s="448"/>
      <c r="C14" s="449"/>
      <c r="D14" s="449"/>
      <c r="E14" s="450"/>
      <c r="F14" s="451"/>
      <c r="G14" s="449"/>
      <c r="H14" s="449"/>
      <c r="I14" s="452"/>
      <c r="J14" s="449"/>
      <c r="K14" s="449"/>
      <c r="L14" s="453"/>
      <c r="M14" s="449"/>
    </row>
    <row r="15" spans="1:13" ht="15.75" thickBot="1" x14ac:dyDescent="0.3">
      <c r="A15" s="454"/>
      <c r="B15" s="455"/>
      <c r="C15" s="456"/>
      <c r="D15" s="457" t="s">
        <v>15</v>
      </c>
      <c r="E15" s="458" t="s">
        <v>14</v>
      </c>
      <c r="F15" s="459"/>
      <c r="G15" s="456"/>
      <c r="H15" s="456"/>
      <c r="I15" s="460"/>
      <c r="J15" s="449"/>
      <c r="K15" s="449"/>
      <c r="L15" s="453"/>
      <c r="M15" s="449"/>
    </row>
    <row r="16" spans="1:13" x14ac:dyDescent="0.25">
      <c r="A16" s="923" t="s">
        <v>13</v>
      </c>
      <c r="B16" s="924"/>
      <c r="C16" s="925"/>
      <c r="D16" s="461">
        <v>2000</v>
      </c>
      <c r="E16" s="462" t="s">
        <v>2</v>
      </c>
      <c r="F16" s="926"/>
      <c r="G16" s="926"/>
      <c r="H16" s="927"/>
      <c r="I16" s="928"/>
      <c r="J16" s="449"/>
      <c r="K16" s="449"/>
      <c r="L16" s="453"/>
      <c r="M16" s="449"/>
    </row>
    <row r="17" spans="1:13" x14ac:dyDescent="0.25">
      <c r="A17" s="929" t="s">
        <v>11</v>
      </c>
      <c r="B17" s="930"/>
      <c r="C17" s="931"/>
      <c r="D17" s="445">
        <v>5</v>
      </c>
      <c r="E17" s="445" t="s">
        <v>10</v>
      </c>
      <c r="F17" s="932"/>
      <c r="G17" s="932"/>
      <c r="H17" s="933"/>
      <c r="I17" s="934"/>
      <c r="J17" s="449"/>
      <c r="K17" s="449"/>
      <c r="L17" s="453"/>
      <c r="M17" s="449"/>
    </row>
    <row r="18" spans="1:13" x14ac:dyDescent="0.25">
      <c r="A18" s="929" t="s">
        <v>8</v>
      </c>
      <c r="B18" s="930"/>
      <c r="C18" s="931"/>
      <c r="D18" s="461">
        <f>(D16/D19)</f>
        <v>1</v>
      </c>
      <c r="E18" s="445" t="s">
        <v>5</v>
      </c>
      <c r="F18" s="932"/>
      <c r="G18" s="932"/>
      <c r="H18" s="933"/>
      <c r="I18" s="934"/>
      <c r="J18" s="449"/>
      <c r="K18" s="449"/>
      <c r="L18" s="453"/>
      <c r="M18" s="449"/>
    </row>
    <row r="19" spans="1:13" x14ac:dyDescent="0.25">
      <c r="A19" s="929" t="s">
        <v>6</v>
      </c>
      <c r="B19" s="930"/>
      <c r="C19" s="931"/>
      <c r="D19" s="461">
        <v>2000</v>
      </c>
      <c r="E19" s="445" t="s">
        <v>2</v>
      </c>
      <c r="F19" s="935"/>
      <c r="G19" s="936"/>
      <c r="H19" s="933"/>
      <c r="I19" s="934"/>
      <c r="J19" s="449"/>
      <c r="K19" s="449"/>
      <c r="L19" s="453"/>
      <c r="M19" s="463"/>
    </row>
    <row r="20" spans="1:13" ht="15.75" thickBot="1" x14ac:dyDescent="0.3">
      <c r="A20" s="937" t="s">
        <v>3</v>
      </c>
      <c r="B20" s="938"/>
      <c r="C20" s="939"/>
      <c r="D20" s="464">
        <f>SUM(E9:E10)-D16</f>
        <v>0</v>
      </c>
      <c r="E20" s="465" t="s">
        <v>2</v>
      </c>
      <c r="F20" s="940"/>
      <c r="G20" s="940"/>
      <c r="H20" s="941"/>
      <c r="I20" s="942"/>
      <c r="J20" s="449"/>
      <c r="K20" s="449"/>
      <c r="L20" s="453"/>
      <c r="M20" s="449"/>
    </row>
    <row r="21" spans="1:13" ht="15.75" thickBot="1" x14ac:dyDescent="0.3">
      <c r="A21" s="943" t="s">
        <v>290</v>
      </c>
      <c r="B21" s="944"/>
      <c r="C21" s="944"/>
      <c r="D21" s="944"/>
      <c r="E21" s="944"/>
      <c r="F21" s="944"/>
      <c r="G21" s="944"/>
      <c r="H21" s="944"/>
      <c r="I21" s="945"/>
      <c r="J21" s="449"/>
      <c r="K21" s="449"/>
      <c r="L21" s="449"/>
      <c r="M21" s="449"/>
    </row>
    <row r="22" spans="1:13" x14ac:dyDescent="0.25">
      <c r="A22" s="946" t="s">
        <v>291</v>
      </c>
      <c r="B22" s="947"/>
      <c r="C22" s="948"/>
      <c r="D22" s="948"/>
      <c r="E22" s="948"/>
      <c r="F22" s="948"/>
      <c r="G22" s="948"/>
      <c r="H22" s="948"/>
      <c r="I22" s="949"/>
    </row>
    <row r="23" spans="1:13" x14ac:dyDescent="0.25">
      <c r="A23" s="466" t="s">
        <v>292</v>
      </c>
      <c r="B23" s="466"/>
      <c r="C23" s="466"/>
      <c r="D23" s="466"/>
      <c r="E23" s="466"/>
      <c r="F23" s="466"/>
      <c r="G23" s="466"/>
      <c r="H23" s="466"/>
      <c r="I23" s="466"/>
    </row>
    <row r="24" spans="1:13" x14ac:dyDescent="0.25">
      <c r="A24" s="711" t="s">
        <v>293</v>
      </c>
      <c r="B24" s="712"/>
      <c r="C24" s="712"/>
      <c r="D24" s="712"/>
      <c r="E24" s="712"/>
      <c r="F24" s="712"/>
      <c r="G24" s="712"/>
      <c r="H24" s="712"/>
      <c r="I24" s="812"/>
    </row>
    <row r="25" spans="1:13" x14ac:dyDescent="0.25">
      <c r="A25" s="953" t="s">
        <v>294</v>
      </c>
      <c r="B25" s="710"/>
      <c r="C25" s="954"/>
      <c r="D25" s="954"/>
      <c r="E25" s="954"/>
      <c r="F25" s="954"/>
      <c r="G25" s="954"/>
      <c r="H25" s="954"/>
      <c r="I25" s="955"/>
    </row>
    <row r="26" spans="1:13" ht="16.5" x14ac:dyDescent="0.3">
      <c r="A26" s="956"/>
      <c r="B26" s="957"/>
      <c r="C26" s="957"/>
      <c r="D26" s="957"/>
      <c r="E26" s="957"/>
      <c r="F26" s="957"/>
      <c r="G26" s="957"/>
      <c r="H26" s="957"/>
      <c r="I26" s="958"/>
    </row>
    <row r="27" spans="1:13" x14ac:dyDescent="0.25">
      <c r="A27" s="959"/>
      <c r="B27" s="960"/>
      <c r="C27" s="961"/>
      <c r="D27" s="961"/>
      <c r="E27" s="961"/>
      <c r="F27" s="961"/>
      <c r="G27" s="961"/>
      <c r="H27" s="961"/>
      <c r="I27" s="962"/>
    </row>
    <row r="28" spans="1:13" x14ac:dyDescent="0.25">
      <c r="A28" s="801"/>
      <c r="B28" s="802"/>
      <c r="C28" s="802"/>
      <c r="D28" s="802"/>
      <c r="E28" s="802"/>
      <c r="F28" s="802"/>
      <c r="G28" s="802"/>
      <c r="H28" s="802"/>
      <c r="I28" s="803"/>
    </row>
    <row r="29" spans="1:13" x14ac:dyDescent="0.25">
      <c r="A29" s="813"/>
      <c r="B29" s="814"/>
      <c r="C29" s="814"/>
      <c r="D29" s="814"/>
      <c r="E29" s="814"/>
      <c r="F29" s="814"/>
      <c r="G29" s="814"/>
      <c r="H29" s="814"/>
      <c r="I29" s="815"/>
    </row>
    <row r="30" spans="1:13" x14ac:dyDescent="0.25">
      <c r="A30" s="963" t="s">
        <v>0</v>
      </c>
      <c r="B30" s="964"/>
      <c r="C30" s="964"/>
      <c r="D30" s="964"/>
      <c r="E30" s="964"/>
      <c r="F30" s="964"/>
      <c r="G30" s="964"/>
      <c r="H30" s="964"/>
      <c r="I30" s="965"/>
    </row>
    <row r="31" spans="1:13" ht="15.75" thickBot="1" x14ac:dyDescent="0.3">
      <c r="A31" s="950"/>
      <c r="B31" s="951"/>
      <c r="C31" s="951"/>
      <c r="D31" s="951"/>
      <c r="E31" s="951"/>
      <c r="F31" s="951"/>
      <c r="G31" s="951"/>
      <c r="H31" s="951"/>
      <c r="I31" s="952"/>
    </row>
    <row r="33" spans="1:9" x14ac:dyDescent="0.25">
      <c r="A33" s="467"/>
      <c r="B33" s="467"/>
      <c r="C33" s="467"/>
      <c r="D33" s="449"/>
      <c r="E33" s="449"/>
      <c r="F33" s="449"/>
      <c r="G33" s="449"/>
      <c r="H33" s="449"/>
      <c r="I33" s="449"/>
    </row>
  </sheetData>
  <mergeCells count="42">
    <mergeCell ref="A31:I31"/>
    <mergeCell ref="A25:I25"/>
    <mergeCell ref="A26:I26"/>
    <mergeCell ref="A27:I27"/>
    <mergeCell ref="A28:I28"/>
    <mergeCell ref="A29:I29"/>
    <mergeCell ref="A30:I30"/>
    <mergeCell ref="A24:I24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I21"/>
    <mergeCell ref="A22:I22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A43C-0407-4296-B004-4E0A207CB1CC}">
  <dimension ref="A1:I60"/>
  <sheetViews>
    <sheetView zoomScale="85" zoomScaleNormal="85"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750"/>
      <c r="B1" s="751"/>
      <c r="C1" s="662" t="s">
        <v>33</v>
      </c>
      <c r="D1" s="662"/>
      <c r="E1" s="662"/>
      <c r="F1" s="662"/>
      <c r="G1" s="662"/>
      <c r="H1" s="180" t="s">
        <v>32</v>
      </c>
      <c r="I1" s="179" t="s">
        <v>295</v>
      </c>
    </row>
    <row r="2" spans="1:9" ht="18" customHeight="1" thickBot="1" x14ac:dyDescent="0.3">
      <c r="A2" s="752"/>
      <c r="B2" s="753"/>
      <c r="C2" s="756" t="s">
        <v>31</v>
      </c>
      <c r="D2" s="757"/>
      <c r="E2" s="757"/>
      <c r="F2" s="757"/>
      <c r="G2" s="758"/>
      <c r="H2" s="207" t="s">
        <v>30</v>
      </c>
      <c r="I2" s="208" t="s">
        <v>175</v>
      </c>
    </row>
    <row r="3" spans="1:9" ht="31.5" customHeight="1" thickBot="1" x14ac:dyDescent="0.3">
      <c r="A3" s="752"/>
      <c r="B3" s="753"/>
      <c r="C3" s="966" t="s">
        <v>296</v>
      </c>
      <c r="D3" s="967"/>
      <c r="E3" s="967"/>
      <c r="F3" s="967"/>
      <c r="G3" s="968"/>
      <c r="H3" s="762" t="s">
        <v>29</v>
      </c>
      <c r="I3" s="744">
        <v>45615</v>
      </c>
    </row>
    <row r="4" spans="1:9" ht="18" customHeight="1" x14ac:dyDescent="0.25">
      <c r="A4" s="752"/>
      <c r="B4" s="753"/>
      <c r="C4" s="209" t="s">
        <v>28</v>
      </c>
      <c r="D4" s="747" t="s">
        <v>154</v>
      </c>
      <c r="E4" s="748"/>
      <c r="F4" s="748"/>
      <c r="G4" s="749"/>
      <c r="H4" s="763"/>
      <c r="I4" s="745"/>
    </row>
    <row r="5" spans="1:9" ht="15.75" thickBot="1" x14ac:dyDescent="0.3">
      <c r="A5" s="754"/>
      <c r="B5" s="755"/>
      <c r="C5" s="210" t="s">
        <v>27</v>
      </c>
      <c r="D5" s="688" t="s">
        <v>36</v>
      </c>
      <c r="E5" s="689"/>
      <c r="F5" s="689"/>
      <c r="G5" s="690"/>
      <c r="H5" s="764"/>
      <c r="I5" s="746"/>
    </row>
    <row r="6" spans="1:9" ht="18.75" thickBot="1" x14ac:dyDescent="0.3">
      <c r="A6" s="765" t="s">
        <v>26</v>
      </c>
      <c r="B6" s="765"/>
      <c r="C6" s="765"/>
      <c r="D6" s="766" t="s">
        <v>248</v>
      </c>
      <c r="E6" s="766"/>
      <c r="F6" s="766"/>
      <c r="G6" s="767" t="s">
        <v>25</v>
      </c>
      <c r="H6" s="767"/>
      <c r="I6" s="211" t="s">
        <v>248</v>
      </c>
    </row>
    <row r="7" spans="1:9" ht="25.5" x14ac:dyDescent="0.25">
      <c r="A7" s="768" t="s">
        <v>24</v>
      </c>
      <c r="B7" s="770" t="s">
        <v>23</v>
      </c>
      <c r="C7" s="772" t="s">
        <v>22</v>
      </c>
      <c r="D7" s="772" t="s">
        <v>21</v>
      </c>
      <c r="E7" s="772" t="s">
        <v>20</v>
      </c>
      <c r="F7" s="772"/>
      <c r="G7" s="772" t="s">
        <v>19</v>
      </c>
      <c r="H7" s="772"/>
      <c r="I7" s="212" t="s">
        <v>18</v>
      </c>
    </row>
    <row r="8" spans="1:9" ht="27" thickBot="1" x14ac:dyDescent="0.3">
      <c r="A8" s="769"/>
      <c r="B8" s="771"/>
      <c r="C8" s="773"/>
      <c r="D8" s="773"/>
      <c r="E8" s="213" t="s">
        <v>15</v>
      </c>
      <c r="F8" s="214" t="s">
        <v>17</v>
      </c>
      <c r="G8" s="213" t="s">
        <v>15</v>
      </c>
      <c r="H8" s="214" t="s">
        <v>17</v>
      </c>
      <c r="I8" s="215" t="s">
        <v>16</v>
      </c>
    </row>
    <row r="9" spans="1:9" ht="18.600000000000001" customHeight="1" x14ac:dyDescent="0.25">
      <c r="A9" s="216"/>
      <c r="B9" s="217"/>
      <c r="C9" s="218" t="s">
        <v>37</v>
      </c>
      <c r="D9" s="219"/>
      <c r="E9" s="220"/>
      <c r="F9" s="221"/>
      <c r="G9" s="220"/>
      <c r="H9" s="221"/>
      <c r="I9" s="222"/>
    </row>
    <row r="10" spans="1:9" ht="18" customHeight="1" x14ac:dyDescent="0.25">
      <c r="A10" s="468">
        <v>510302</v>
      </c>
      <c r="B10" s="468" t="s">
        <v>297</v>
      </c>
      <c r="C10" s="469" t="s">
        <v>298</v>
      </c>
      <c r="D10" s="470" t="s">
        <v>299</v>
      </c>
      <c r="E10" s="471">
        <v>1100</v>
      </c>
      <c r="F10" s="472" t="s">
        <v>2</v>
      </c>
      <c r="G10" s="227"/>
      <c r="H10" s="68"/>
      <c r="I10" s="222"/>
    </row>
    <row r="11" spans="1:9" ht="15.75" x14ac:dyDescent="0.25">
      <c r="A11" s="473"/>
      <c r="B11" s="474"/>
      <c r="C11" s="475"/>
      <c r="D11" s="476"/>
      <c r="E11" s="477"/>
      <c r="F11" s="478"/>
      <c r="G11" s="227"/>
      <c r="H11" s="68"/>
      <c r="I11" s="222"/>
    </row>
    <row r="12" spans="1:9" ht="15.75" x14ac:dyDescent="0.25">
      <c r="A12" s="479"/>
      <c r="B12" s="480"/>
      <c r="C12" s="481"/>
      <c r="D12" s="189"/>
      <c r="E12" s="189"/>
      <c r="F12" s="189"/>
      <c r="G12" s="230"/>
      <c r="H12" s="68"/>
      <c r="I12" s="222"/>
    </row>
    <row r="13" spans="1:9" ht="15.75" x14ac:dyDescent="0.25">
      <c r="A13" s="482"/>
      <c r="B13" s="483"/>
      <c r="C13" s="481"/>
      <c r="D13" s="189"/>
      <c r="E13" s="189"/>
      <c r="F13" s="189"/>
      <c r="G13" s="230"/>
      <c r="H13" s="68"/>
      <c r="I13" s="222"/>
    </row>
    <row r="14" spans="1:9" x14ac:dyDescent="0.25">
      <c r="A14" s="69"/>
      <c r="B14" s="69"/>
      <c r="C14" s="475"/>
      <c r="D14" s="74"/>
      <c r="E14" s="235"/>
      <c r="F14" s="237"/>
      <c r="G14" s="230"/>
      <c r="H14" s="68"/>
      <c r="I14" s="222"/>
    </row>
    <row r="15" spans="1:9" x14ac:dyDescent="0.25">
      <c r="A15" s="69"/>
      <c r="B15" s="69"/>
      <c r="C15" s="475"/>
      <c r="D15" s="74"/>
      <c r="E15" s="235"/>
      <c r="F15" s="237"/>
      <c r="G15" s="230"/>
      <c r="H15" s="68"/>
      <c r="I15" s="222"/>
    </row>
    <row r="16" spans="1:9" x14ac:dyDescent="0.25">
      <c r="A16" s="69"/>
      <c r="B16" s="69"/>
      <c r="C16" s="475"/>
      <c r="D16" s="74"/>
      <c r="E16" s="235"/>
      <c r="F16" s="237"/>
      <c r="G16" s="230"/>
      <c r="H16" s="68"/>
      <c r="I16" s="222"/>
    </row>
    <row r="17" spans="1:9" x14ac:dyDescent="0.25">
      <c r="A17" s="69"/>
      <c r="B17" s="69"/>
      <c r="C17" s="475"/>
      <c r="D17" s="74"/>
      <c r="E17" s="235"/>
      <c r="F17" s="237"/>
      <c r="G17" s="230"/>
      <c r="H17" s="68"/>
      <c r="I17" s="222"/>
    </row>
    <row r="18" spans="1:9" x14ac:dyDescent="0.25">
      <c r="A18" s="69"/>
      <c r="B18" s="69"/>
      <c r="C18" s="475"/>
      <c r="D18" s="74"/>
      <c r="E18" s="235"/>
      <c r="F18" s="237"/>
      <c r="G18" s="230"/>
      <c r="H18" s="68"/>
      <c r="I18" s="222"/>
    </row>
    <row r="19" spans="1:9" x14ac:dyDescent="0.25">
      <c r="A19" s="69"/>
      <c r="B19" s="69"/>
      <c r="C19" s="475"/>
      <c r="D19" s="74"/>
      <c r="E19" s="235"/>
      <c r="F19" s="237"/>
      <c r="G19" s="230"/>
      <c r="H19" s="68"/>
      <c r="I19" s="222"/>
    </row>
    <row r="20" spans="1:9" x14ac:dyDescent="0.25">
      <c r="A20" s="223"/>
      <c r="B20" s="69"/>
      <c r="C20" s="1"/>
      <c r="D20" s="233"/>
      <c r="E20" s="233"/>
      <c r="F20" s="233"/>
      <c r="G20" s="220"/>
      <c r="H20" s="68"/>
      <c r="I20" s="222"/>
    </row>
    <row r="21" spans="1:9" ht="15.75" x14ac:dyDescent="0.25">
      <c r="A21" s="231"/>
      <c r="B21" s="71"/>
      <c r="C21" s="232" t="s">
        <v>43</v>
      </c>
      <c r="D21" s="235"/>
      <c r="E21" s="236"/>
      <c r="F21" s="237"/>
      <c r="G21" s="220"/>
      <c r="H21" s="221"/>
      <c r="I21" s="222"/>
    </row>
    <row r="22" spans="1:9" x14ac:dyDescent="0.25">
      <c r="A22" s="238"/>
      <c r="B22" s="239"/>
      <c r="C22" s="240"/>
      <c r="D22" s="241"/>
      <c r="E22" s="242"/>
      <c r="F22" s="243"/>
      <c r="G22" s="220"/>
      <c r="H22" s="221"/>
      <c r="I22" s="222"/>
    </row>
    <row r="23" spans="1:9" x14ac:dyDescent="0.25">
      <c r="A23" s="238"/>
      <c r="B23" s="239"/>
      <c r="C23" s="240"/>
      <c r="D23" s="241"/>
      <c r="E23" s="295"/>
      <c r="F23" s="243"/>
      <c r="G23" s="220"/>
      <c r="H23" s="221"/>
      <c r="I23" s="222"/>
    </row>
    <row r="24" spans="1:9" x14ac:dyDescent="0.25">
      <c r="A24" s="238"/>
      <c r="B24" s="239"/>
      <c r="C24" s="240"/>
      <c r="D24" s="241"/>
      <c r="E24" s="242"/>
      <c r="F24" s="243"/>
      <c r="G24" s="220"/>
      <c r="H24" s="221"/>
      <c r="I24" s="222"/>
    </row>
    <row r="25" spans="1:9" x14ac:dyDescent="0.25">
      <c r="A25" s="238"/>
      <c r="B25" s="239"/>
      <c r="C25" s="240"/>
      <c r="D25" s="241"/>
      <c r="E25" s="296"/>
      <c r="F25" s="297"/>
      <c r="G25" s="220"/>
      <c r="H25" s="221"/>
      <c r="I25" s="222"/>
    </row>
    <row r="26" spans="1:9" x14ac:dyDescent="0.25">
      <c r="A26" s="238"/>
      <c r="B26" s="239"/>
      <c r="C26" s="240"/>
      <c r="D26" s="241"/>
      <c r="E26" s="304"/>
      <c r="F26" s="297"/>
      <c r="G26" s="220"/>
      <c r="H26" s="221"/>
      <c r="I26" s="222"/>
    </row>
    <row r="27" spans="1:9" x14ac:dyDescent="0.25">
      <c r="A27" s="319"/>
      <c r="B27" s="319"/>
      <c r="D27" s="320"/>
      <c r="E27" s="321"/>
      <c r="F27" s="322"/>
      <c r="G27" s="220"/>
      <c r="H27" s="221"/>
      <c r="I27" s="222"/>
    </row>
    <row r="28" spans="1:9" x14ac:dyDescent="0.25">
      <c r="A28" s="69"/>
      <c r="B28" s="69"/>
      <c r="C28" s="1"/>
      <c r="D28" s="244"/>
      <c r="E28" s="302"/>
      <c r="F28" s="322"/>
      <c r="G28" s="220"/>
      <c r="H28" s="221"/>
      <c r="I28" s="222"/>
    </row>
    <row r="29" spans="1:9" x14ac:dyDescent="0.25">
      <c r="A29" s="69"/>
      <c r="B29" s="69"/>
      <c r="C29" s="1"/>
      <c r="D29" s="244"/>
      <c r="E29" s="245"/>
      <c r="F29" s="246"/>
      <c r="G29" s="220"/>
      <c r="H29" s="221"/>
      <c r="I29" s="222"/>
    </row>
    <row r="30" spans="1:9" ht="15.75" x14ac:dyDescent="0.25">
      <c r="A30" s="247"/>
      <c r="B30" s="248"/>
      <c r="C30" s="80" t="s">
        <v>62</v>
      </c>
      <c r="D30" s="249"/>
      <c r="E30" s="250"/>
      <c r="F30" s="221"/>
      <c r="G30" s="220"/>
      <c r="I30" s="222"/>
    </row>
    <row r="31" spans="1:9" x14ac:dyDescent="0.25">
      <c r="A31" s="298">
        <v>1950702</v>
      </c>
      <c r="B31" s="298" t="s">
        <v>283</v>
      </c>
      <c r="C31" s="299" t="s">
        <v>300</v>
      </c>
      <c r="D31" s="51" t="s">
        <v>163</v>
      </c>
      <c r="E31" s="254">
        <v>1</v>
      </c>
      <c r="F31" s="255" t="s">
        <v>286</v>
      </c>
      <c r="G31" s="256"/>
      <c r="H31" s="221"/>
      <c r="I31" s="222"/>
    </row>
    <row r="32" spans="1:9" x14ac:dyDescent="0.25">
      <c r="A32" s="484">
        <v>702067</v>
      </c>
      <c r="B32" s="484" t="s">
        <v>287</v>
      </c>
      <c r="C32" s="485" t="s">
        <v>301</v>
      </c>
      <c r="D32" s="51" t="s">
        <v>299</v>
      </c>
      <c r="E32" s="254">
        <v>1</v>
      </c>
      <c r="F32" s="255" t="s">
        <v>286</v>
      </c>
      <c r="G32" s="256"/>
      <c r="H32" s="221"/>
      <c r="I32" s="222"/>
    </row>
    <row r="33" spans="1:9" x14ac:dyDescent="0.25">
      <c r="A33" s="69"/>
      <c r="B33" s="69"/>
      <c r="C33" s="1"/>
      <c r="D33" s="300"/>
      <c r="E33" s="245"/>
      <c r="F33" s="230"/>
      <c r="G33" s="256"/>
      <c r="H33" s="221"/>
      <c r="I33" s="222"/>
    </row>
    <row r="34" spans="1:9" x14ac:dyDescent="0.25">
      <c r="A34" s="260"/>
      <c r="B34" s="260"/>
      <c r="C34" s="261"/>
      <c r="D34" s="51"/>
      <c r="E34" s="254"/>
      <c r="F34" s="255"/>
      <c r="G34" s="220"/>
      <c r="H34" s="221"/>
      <c r="I34" s="222"/>
    </row>
    <row r="35" spans="1:9" x14ac:dyDescent="0.25">
      <c r="A35" s="260"/>
      <c r="B35" s="260"/>
      <c r="C35" s="261"/>
      <c r="D35" s="51"/>
      <c r="E35" s="254"/>
      <c r="F35" s="255"/>
      <c r="G35" s="220"/>
      <c r="H35" s="221"/>
      <c r="I35" s="222"/>
    </row>
    <row r="36" spans="1:9" x14ac:dyDescent="0.25">
      <c r="A36" s="260"/>
      <c r="B36" s="260"/>
      <c r="C36" s="261"/>
      <c r="D36" s="51"/>
      <c r="E36" s="254"/>
      <c r="F36" s="255"/>
      <c r="G36" s="262"/>
      <c r="H36" s="221"/>
      <c r="I36" s="222"/>
    </row>
    <row r="37" spans="1:9" ht="15.75" x14ac:dyDescent="0.25">
      <c r="A37" s="260"/>
      <c r="B37" s="260"/>
      <c r="C37" s="261"/>
      <c r="D37" s="189"/>
      <c r="E37" s="254"/>
      <c r="F37" s="255"/>
      <c r="G37" s="74"/>
      <c r="H37" s="221"/>
      <c r="I37" s="222"/>
    </row>
    <row r="38" spans="1:9" x14ac:dyDescent="0.25">
      <c r="A38" s="263"/>
      <c r="B38" s="263"/>
      <c r="C38" s="264"/>
      <c r="D38" s="51"/>
      <c r="E38" s="246"/>
      <c r="F38" s="246"/>
      <c r="G38" s="74"/>
      <c r="H38" s="221"/>
      <c r="I38" s="222"/>
    </row>
    <row r="39" spans="1:9" x14ac:dyDescent="0.25">
      <c r="A39" s="298"/>
      <c r="B39" s="69"/>
      <c r="C39" s="299"/>
      <c r="D39" s="300"/>
      <c r="E39" s="245"/>
      <c r="F39" s="230"/>
      <c r="G39" s="74"/>
      <c r="H39" s="221"/>
      <c r="I39" s="222"/>
    </row>
    <row r="40" spans="1:9" ht="15.75" x14ac:dyDescent="0.25">
      <c r="A40" s="260"/>
      <c r="B40" s="260"/>
      <c r="C40" s="261"/>
      <c r="D40" s="51"/>
      <c r="E40" s="245"/>
      <c r="F40" s="230"/>
      <c r="G40" s="184"/>
      <c r="H40" s="221"/>
      <c r="I40" s="222"/>
    </row>
    <row r="41" spans="1:9" ht="15.75" x14ac:dyDescent="0.25">
      <c r="A41" s="231"/>
      <c r="B41" s="71"/>
      <c r="C41" s="72"/>
      <c r="D41" s="235"/>
      <c r="E41" s="235"/>
      <c r="F41" s="237"/>
      <c r="G41" s="301"/>
      <c r="H41" s="301"/>
      <c r="I41" s="222"/>
    </row>
    <row r="42" spans="1:9" ht="15.75" thickBot="1" x14ac:dyDescent="0.3">
      <c r="A42" s="265"/>
      <c r="B42" s="266"/>
      <c r="C42" s="267"/>
      <c r="D42" s="267"/>
      <c r="E42" s="268"/>
      <c r="F42" s="269"/>
      <c r="G42" s="267"/>
      <c r="H42" s="267"/>
      <c r="I42" s="270"/>
    </row>
    <row r="43" spans="1:9" ht="15.75" thickBot="1" x14ac:dyDescent="0.3">
      <c r="A43" s="271"/>
      <c r="B43" s="272"/>
      <c r="C43" s="273"/>
      <c r="D43" s="274" t="s">
        <v>15</v>
      </c>
      <c r="E43" s="275" t="s">
        <v>14</v>
      </c>
      <c r="F43" s="276"/>
      <c r="G43" s="273"/>
      <c r="H43" s="273"/>
      <c r="I43" s="277"/>
    </row>
    <row r="44" spans="1:9" x14ac:dyDescent="0.25">
      <c r="A44" s="774" t="s">
        <v>13</v>
      </c>
      <c r="B44" s="775"/>
      <c r="C44" s="776"/>
      <c r="D44" s="302">
        <v>1000</v>
      </c>
      <c r="E44" s="279" t="s">
        <v>2</v>
      </c>
      <c r="F44" s="777" t="s">
        <v>12</v>
      </c>
      <c r="G44" s="777"/>
      <c r="H44" s="778"/>
      <c r="I44" s="779"/>
    </row>
    <row r="45" spans="1:9" x14ac:dyDescent="0.25">
      <c r="A45" s="780" t="s">
        <v>11</v>
      </c>
      <c r="B45" s="781"/>
      <c r="C45" s="782"/>
      <c r="D45" s="245">
        <v>6</v>
      </c>
      <c r="E45" s="230" t="s">
        <v>10</v>
      </c>
      <c r="F45" s="783" t="s">
        <v>9</v>
      </c>
      <c r="G45" s="783"/>
      <c r="H45" s="784"/>
      <c r="I45" s="785"/>
    </row>
    <row r="46" spans="1:9" x14ac:dyDescent="0.25">
      <c r="A46" s="780" t="s">
        <v>8</v>
      </c>
      <c r="B46" s="781"/>
      <c r="C46" s="782"/>
      <c r="D46" s="245">
        <v>1</v>
      </c>
      <c r="E46" s="230" t="s">
        <v>5</v>
      </c>
      <c r="F46" s="783" t="s">
        <v>7</v>
      </c>
      <c r="G46" s="783"/>
      <c r="H46" s="784"/>
      <c r="I46" s="785"/>
    </row>
    <row r="47" spans="1:9" x14ac:dyDescent="0.25">
      <c r="A47" s="780" t="s">
        <v>6</v>
      </c>
      <c r="B47" s="781"/>
      <c r="C47" s="782"/>
      <c r="D47" s="245">
        <v>1000</v>
      </c>
      <c r="E47" s="230" t="s">
        <v>2</v>
      </c>
      <c r="F47" s="786" t="s">
        <v>4</v>
      </c>
      <c r="G47" s="787"/>
      <c r="H47" s="788"/>
      <c r="I47" s="789"/>
    </row>
    <row r="48" spans="1:9" ht="15.75" thickBot="1" x14ac:dyDescent="0.3">
      <c r="A48" s="794" t="s">
        <v>3</v>
      </c>
      <c r="B48" s="795"/>
      <c r="C48" s="796"/>
      <c r="D48" s="280">
        <v>100</v>
      </c>
      <c r="E48" s="281" t="s">
        <v>2</v>
      </c>
      <c r="F48" s="797"/>
      <c r="G48" s="797"/>
      <c r="H48" s="784"/>
      <c r="I48" s="785"/>
    </row>
    <row r="49" spans="1:9" ht="15.75" thickBot="1" x14ac:dyDescent="0.3">
      <c r="A49" s="798" t="s">
        <v>1</v>
      </c>
      <c r="B49" s="799"/>
      <c r="C49" s="799"/>
      <c r="D49" s="799"/>
      <c r="E49" s="799"/>
      <c r="F49" s="799"/>
      <c r="G49" s="799"/>
      <c r="H49" s="799"/>
      <c r="I49" s="800"/>
    </row>
    <row r="50" spans="1:9" ht="18.600000000000001" customHeight="1" x14ac:dyDescent="0.25">
      <c r="A50" s="946" t="s">
        <v>302</v>
      </c>
      <c r="B50" s="947"/>
      <c r="C50" s="948"/>
      <c r="D50" s="948"/>
      <c r="E50" s="948"/>
      <c r="F50" s="948"/>
      <c r="G50" s="948"/>
      <c r="H50" s="948"/>
      <c r="I50" s="949"/>
    </row>
    <row r="51" spans="1:9" ht="15.6" customHeight="1" x14ac:dyDescent="0.25">
      <c r="A51" s="711" t="s">
        <v>303</v>
      </c>
      <c r="B51" s="712"/>
      <c r="C51" s="712"/>
      <c r="D51" s="712"/>
      <c r="E51" s="712"/>
      <c r="F51" s="712"/>
      <c r="G51" s="712"/>
      <c r="H51" s="712"/>
      <c r="I51" s="812"/>
    </row>
    <row r="52" spans="1:9" ht="14.45" customHeight="1" x14ac:dyDescent="0.25">
      <c r="A52" s="953" t="s">
        <v>304</v>
      </c>
      <c r="B52" s="710"/>
      <c r="C52" s="954"/>
      <c r="D52" s="954"/>
      <c r="E52" s="954"/>
      <c r="F52" s="954"/>
      <c r="G52" s="954"/>
      <c r="H52" s="954"/>
      <c r="I52" s="955"/>
    </row>
    <row r="53" spans="1:9" ht="14.45" customHeight="1" x14ac:dyDescent="0.3">
      <c r="A53" s="956" t="s">
        <v>305</v>
      </c>
      <c r="B53" s="957"/>
      <c r="C53" s="957"/>
      <c r="D53" s="957"/>
      <c r="E53" s="957"/>
      <c r="F53" s="957"/>
      <c r="G53" s="957"/>
      <c r="H53" s="957"/>
      <c r="I53" s="958"/>
    </row>
    <row r="54" spans="1:9" ht="14.45" customHeight="1" x14ac:dyDescent="0.25">
      <c r="A54" s="959"/>
      <c r="B54" s="960"/>
      <c r="C54" s="961"/>
      <c r="D54" s="961"/>
      <c r="E54" s="961"/>
      <c r="F54" s="961"/>
      <c r="G54" s="961"/>
      <c r="H54" s="961"/>
      <c r="I54" s="962"/>
    </row>
    <row r="55" spans="1:9" ht="18" customHeight="1" x14ac:dyDescent="0.25">
      <c r="A55" s="969"/>
      <c r="B55" s="970"/>
      <c r="C55" s="970"/>
      <c r="D55" s="970"/>
      <c r="E55" s="970"/>
      <c r="F55" s="970"/>
      <c r="G55" s="970"/>
      <c r="H55" s="970"/>
      <c r="I55" s="971"/>
    </row>
    <row r="56" spans="1:9" x14ac:dyDescent="0.25">
      <c r="A56" s="818"/>
      <c r="B56" s="819"/>
      <c r="C56" s="819"/>
      <c r="D56" s="819"/>
      <c r="E56" s="819"/>
      <c r="F56" s="819"/>
      <c r="G56" s="819"/>
      <c r="H56" s="819"/>
      <c r="I56" s="820"/>
    </row>
    <row r="57" spans="1:9" ht="15.75" thickBot="1" x14ac:dyDescent="0.3">
      <c r="A57" s="821"/>
      <c r="B57" s="822"/>
      <c r="C57" s="822"/>
      <c r="D57" s="822"/>
      <c r="E57" s="822"/>
      <c r="F57" s="822"/>
      <c r="G57" s="822"/>
      <c r="H57" s="822"/>
      <c r="I57" s="823"/>
    </row>
    <row r="58" spans="1:9" x14ac:dyDescent="0.25">
      <c r="A58" s="686" t="s">
        <v>0</v>
      </c>
      <c r="B58" s="687"/>
      <c r="C58" s="687"/>
      <c r="D58" s="687"/>
      <c r="E58" s="687"/>
      <c r="F58" s="687"/>
      <c r="G58" s="687"/>
      <c r="H58" s="687"/>
      <c r="I58" s="687"/>
    </row>
    <row r="59" spans="1:9" x14ac:dyDescent="0.25">
      <c r="A59" s="691"/>
      <c r="B59" s="692"/>
      <c r="C59" s="692"/>
      <c r="D59" s="692"/>
      <c r="E59" s="692"/>
      <c r="F59" s="692"/>
      <c r="G59" s="692"/>
      <c r="H59" s="692"/>
      <c r="I59" s="692"/>
    </row>
    <row r="60" spans="1:9" x14ac:dyDescent="0.25">
      <c r="A60" s="691"/>
      <c r="B60" s="692"/>
      <c r="C60" s="692"/>
      <c r="D60" s="692"/>
      <c r="E60" s="692"/>
      <c r="F60" s="692"/>
      <c r="G60" s="692"/>
      <c r="H60" s="692"/>
      <c r="I60" s="692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56ED-54DF-4526-A911-C8308A025228}">
  <dimension ref="A1:I58"/>
  <sheetViews>
    <sheetView workbookViewId="0">
      <selection sqref="A1:XFD1048576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639"/>
      <c r="B1" s="640"/>
      <c r="C1" s="662" t="s">
        <v>33</v>
      </c>
      <c r="D1" s="662"/>
      <c r="E1" s="662"/>
      <c r="F1" s="662"/>
      <c r="G1" s="662"/>
      <c r="H1" s="2" t="s">
        <v>32</v>
      </c>
      <c r="I1" s="3" t="s">
        <v>306</v>
      </c>
    </row>
    <row r="2" spans="1:9" ht="18" thickBot="1" x14ac:dyDescent="0.35">
      <c r="A2" s="641"/>
      <c r="B2" s="642"/>
      <c r="C2" s="756" t="s">
        <v>31</v>
      </c>
      <c r="D2" s="757"/>
      <c r="E2" s="757"/>
      <c r="F2" s="757"/>
      <c r="G2" s="758"/>
      <c r="H2" s="4" t="s">
        <v>30</v>
      </c>
      <c r="I2" s="5" t="s">
        <v>307</v>
      </c>
    </row>
    <row r="3" spans="1:9" ht="15.75" thickBot="1" x14ac:dyDescent="0.3">
      <c r="A3" s="641"/>
      <c r="B3" s="642"/>
      <c r="C3" s="972" t="s">
        <v>308</v>
      </c>
      <c r="D3" s="664"/>
      <c r="E3" s="664"/>
      <c r="F3" s="664"/>
      <c r="G3" s="665"/>
      <c r="H3" s="666" t="s">
        <v>29</v>
      </c>
      <c r="I3" s="653">
        <v>45663</v>
      </c>
    </row>
    <row r="4" spans="1:9" ht="17.25" x14ac:dyDescent="0.3">
      <c r="A4" s="641"/>
      <c r="B4" s="642"/>
      <c r="C4" s="6" t="s">
        <v>28</v>
      </c>
      <c r="D4" s="656" t="s">
        <v>154</v>
      </c>
      <c r="E4" s="657"/>
      <c r="F4" s="657"/>
      <c r="G4" s="658"/>
      <c r="H4" s="667"/>
      <c r="I4" s="654"/>
    </row>
    <row r="5" spans="1:9" ht="18" thickBot="1" x14ac:dyDescent="0.35">
      <c r="A5" s="643"/>
      <c r="B5" s="644"/>
      <c r="C5" s="7" t="s">
        <v>27</v>
      </c>
      <c r="D5" s="659" t="s">
        <v>36</v>
      </c>
      <c r="E5" s="660"/>
      <c r="F5" s="660"/>
      <c r="G5" s="661"/>
      <c r="H5" s="668"/>
      <c r="I5" s="655"/>
    </row>
    <row r="6" spans="1:9" ht="16.5" thickBot="1" x14ac:dyDescent="0.3">
      <c r="A6" s="669" t="s">
        <v>26</v>
      </c>
      <c r="B6" s="669"/>
      <c r="C6" s="669"/>
      <c r="D6" s="670" t="s">
        <v>43</v>
      </c>
      <c r="E6" s="670"/>
      <c r="F6" s="670"/>
      <c r="G6" s="671" t="s">
        <v>25</v>
      </c>
      <c r="H6" s="671"/>
      <c r="I6" s="8" t="s">
        <v>234</v>
      </c>
    </row>
    <row r="7" spans="1:9" x14ac:dyDescent="0.25">
      <c r="A7" s="632" t="s">
        <v>24</v>
      </c>
      <c r="B7" s="634" t="s">
        <v>23</v>
      </c>
      <c r="C7" s="636" t="s">
        <v>22</v>
      </c>
      <c r="D7" s="636" t="s">
        <v>21</v>
      </c>
      <c r="E7" s="636" t="s">
        <v>20</v>
      </c>
      <c r="F7" s="636"/>
      <c r="G7" s="636" t="s">
        <v>19</v>
      </c>
      <c r="H7" s="636"/>
      <c r="I7" s="9" t="s">
        <v>18</v>
      </c>
    </row>
    <row r="8" spans="1:9" ht="31.5" thickBot="1" x14ac:dyDescent="0.3">
      <c r="A8" s="633"/>
      <c r="B8" s="973"/>
      <c r="C8" s="638"/>
      <c r="D8" s="638"/>
      <c r="E8" s="10" t="s">
        <v>15</v>
      </c>
      <c r="F8" s="11" t="s">
        <v>17</v>
      </c>
      <c r="G8" s="10" t="s">
        <v>15</v>
      </c>
      <c r="H8" s="11" t="s">
        <v>17</v>
      </c>
      <c r="I8" s="12" t="s">
        <v>16</v>
      </c>
    </row>
    <row r="9" spans="1:9" ht="15.75" x14ac:dyDescent="0.25">
      <c r="A9" s="13"/>
      <c r="B9" s="486"/>
      <c r="C9" s="14" t="s">
        <v>37</v>
      </c>
      <c r="D9" s="15"/>
      <c r="E9" s="16"/>
      <c r="F9" s="17"/>
      <c r="G9" s="16"/>
      <c r="H9" s="17"/>
      <c r="I9" s="18"/>
    </row>
    <row r="10" spans="1:9" ht="17.25" x14ac:dyDescent="0.3">
      <c r="A10" s="487"/>
      <c r="B10" s="488" t="s">
        <v>309</v>
      </c>
      <c r="C10" s="489" t="s">
        <v>310</v>
      </c>
      <c r="D10" s="490" t="s">
        <v>34</v>
      </c>
      <c r="E10" s="491">
        <f>16580/16.58</f>
        <v>1000.0000000000001</v>
      </c>
      <c r="F10" s="492" t="s">
        <v>2</v>
      </c>
      <c r="G10" s="493"/>
      <c r="H10" s="494"/>
      <c r="I10" s="18"/>
    </row>
    <row r="11" spans="1:9" ht="17.25" x14ac:dyDescent="0.3">
      <c r="A11" s="487">
        <v>10400008</v>
      </c>
      <c r="B11" s="495" t="s">
        <v>311</v>
      </c>
      <c r="C11" s="496" t="s">
        <v>312</v>
      </c>
      <c r="D11" s="490" t="s">
        <v>313</v>
      </c>
      <c r="E11" s="497" t="s">
        <v>314</v>
      </c>
      <c r="F11" s="498" t="s">
        <v>2</v>
      </c>
      <c r="G11" s="493"/>
      <c r="H11" s="494"/>
      <c r="I11" s="18"/>
    </row>
    <row r="12" spans="1:9" ht="17.25" x14ac:dyDescent="0.3">
      <c r="A12" s="1"/>
      <c r="B12" s="1"/>
      <c r="C12" s="1"/>
      <c r="D12" s="1"/>
      <c r="E12" s="1"/>
      <c r="F12" s="1"/>
      <c r="G12" s="499"/>
      <c r="H12" s="494"/>
      <c r="I12" s="18"/>
    </row>
    <row r="13" spans="1:9" ht="17.25" x14ac:dyDescent="0.3">
      <c r="A13" s="488"/>
      <c r="B13" s="488"/>
      <c r="C13" s="496"/>
      <c r="D13" s="500"/>
      <c r="E13" s="491"/>
      <c r="F13" s="492"/>
      <c r="G13" s="499"/>
      <c r="H13" s="494"/>
      <c r="I13" s="18"/>
    </row>
    <row r="14" spans="1:9" ht="17.25" x14ac:dyDescent="0.3">
      <c r="A14" s="501"/>
      <c r="B14" s="502"/>
      <c r="C14" s="503"/>
      <c r="D14" s="499"/>
      <c r="E14" s="499"/>
      <c r="F14" s="504"/>
      <c r="G14" s="499"/>
      <c r="H14" s="494"/>
      <c r="I14" s="18"/>
    </row>
    <row r="15" spans="1:9" ht="17.25" x14ac:dyDescent="0.3">
      <c r="A15" s="505"/>
      <c r="B15" s="502"/>
      <c r="C15" s="506"/>
      <c r="D15" s="499"/>
      <c r="E15" s="499"/>
      <c r="F15" s="504"/>
      <c r="G15" s="499"/>
      <c r="H15" s="494"/>
      <c r="I15" s="18"/>
    </row>
    <row r="16" spans="1:9" ht="17.25" x14ac:dyDescent="0.3">
      <c r="A16" s="499"/>
      <c r="B16" s="499"/>
      <c r="C16" s="507"/>
      <c r="D16" s="508"/>
      <c r="E16" s="508"/>
      <c r="F16" s="493"/>
      <c r="G16" s="499"/>
      <c r="H16" s="494"/>
      <c r="I16" s="18"/>
    </row>
    <row r="17" spans="1:9" ht="17.25" x14ac:dyDescent="0.3">
      <c r="A17" s="502"/>
      <c r="B17" s="502"/>
      <c r="C17" s="509"/>
      <c r="D17" s="499"/>
      <c r="E17" s="499"/>
      <c r="F17" s="504"/>
      <c r="G17" s="499"/>
      <c r="H17" s="494"/>
      <c r="I17" s="18"/>
    </row>
    <row r="18" spans="1:9" ht="17.25" x14ac:dyDescent="0.3">
      <c r="A18" s="501"/>
      <c r="B18" s="502"/>
      <c r="C18" s="503"/>
      <c r="D18" s="499"/>
      <c r="E18" s="499"/>
      <c r="F18" s="504"/>
      <c r="G18" s="499"/>
      <c r="H18" s="494"/>
      <c r="I18" s="18"/>
    </row>
    <row r="19" spans="1:9" ht="17.25" x14ac:dyDescent="0.3">
      <c r="A19" s="44"/>
      <c r="B19" s="44"/>
      <c r="C19" s="510"/>
      <c r="D19" s="316"/>
      <c r="E19" s="317"/>
      <c r="F19" s="318"/>
      <c r="G19" s="16"/>
      <c r="H19" s="494"/>
      <c r="I19" s="18"/>
    </row>
    <row r="20" spans="1:9" ht="15.75" x14ac:dyDescent="0.25">
      <c r="A20" s="511"/>
      <c r="B20" s="512"/>
      <c r="C20" s="232" t="s">
        <v>43</v>
      </c>
      <c r="D20" s="301"/>
      <c r="E20" s="513"/>
      <c r="F20" s="185"/>
      <c r="G20" s="16"/>
      <c r="H20" s="17"/>
      <c r="I20" s="18"/>
    </row>
    <row r="21" spans="1:9" ht="17.25" x14ac:dyDescent="0.3">
      <c r="A21" s="487"/>
      <c r="B21" s="514"/>
      <c r="C21" s="489"/>
      <c r="D21" s="490"/>
      <c r="E21" s="497"/>
      <c r="F21" s="498"/>
      <c r="G21" s="16"/>
      <c r="H21" s="17"/>
      <c r="I21" s="18"/>
    </row>
    <row r="22" spans="1:9" ht="17.25" x14ac:dyDescent="0.3">
      <c r="A22" s="487"/>
      <c r="B22" s="514"/>
      <c r="C22" s="489"/>
      <c r="D22" s="490"/>
      <c r="E22" s="515"/>
      <c r="F22" s="498"/>
      <c r="G22" s="16"/>
      <c r="H22" s="17"/>
      <c r="I22" s="18"/>
    </row>
    <row r="23" spans="1:9" ht="17.25" x14ac:dyDescent="0.3">
      <c r="A23" s="487"/>
      <c r="B23" s="514"/>
      <c r="C23" s="489"/>
      <c r="D23" s="490"/>
      <c r="E23" s="497"/>
      <c r="F23" s="498"/>
      <c r="G23" s="16"/>
      <c r="H23" s="17"/>
      <c r="I23" s="18"/>
    </row>
    <row r="24" spans="1:9" ht="17.25" x14ac:dyDescent="0.3">
      <c r="A24" s="487"/>
      <c r="B24" s="514"/>
      <c r="C24" s="489"/>
      <c r="D24" s="490"/>
      <c r="E24" s="516"/>
      <c r="F24" s="517"/>
      <c r="G24" s="16"/>
      <c r="H24" s="17"/>
      <c r="I24" s="18"/>
    </row>
    <row r="25" spans="1:9" ht="17.25" x14ac:dyDescent="0.3">
      <c r="A25" s="487"/>
      <c r="B25" s="514"/>
      <c r="C25" s="489"/>
      <c r="D25" s="490"/>
      <c r="E25" s="491"/>
      <c r="F25" s="517"/>
      <c r="G25" s="16"/>
      <c r="H25" s="17"/>
      <c r="I25" s="18"/>
    </row>
    <row r="26" spans="1:9" ht="17.25" x14ac:dyDescent="0.3">
      <c r="A26" s="518"/>
      <c r="B26" s="518"/>
      <c r="C26" s="519"/>
      <c r="D26" s="520"/>
      <c r="E26" s="521"/>
      <c r="F26" s="522"/>
      <c r="G26" s="16"/>
      <c r="H26" s="17"/>
      <c r="I26" s="18"/>
    </row>
    <row r="27" spans="1:9" ht="17.25" x14ac:dyDescent="0.3">
      <c r="A27" s="44"/>
      <c r="B27" s="44"/>
      <c r="C27" s="510"/>
      <c r="D27" s="523"/>
      <c r="E27" s="524"/>
      <c r="F27" s="522"/>
      <c r="G27" s="16"/>
      <c r="H27" s="17"/>
      <c r="I27" s="18"/>
    </row>
    <row r="28" spans="1:9" ht="17.25" x14ac:dyDescent="0.3">
      <c r="A28" s="44"/>
      <c r="B28" s="44"/>
      <c r="C28" s="510"/>
      <c r="D28" s="523"/>
      <c r="E28" s="515"/>
      <c r="F28" s="525"/>
      <c r="G28" s="16"/>
      <c r="H28" s="17"/>
      <c r="I28" s="18"/>
    </row>
    <row r="29" spans="1:9" ht="15.75" x14ac:dyDescent="0.25">
      <c r="A29" s="526"/>
      <c r="B29" s="527"/>
      <c r="C29" s="80" t="s">
        <v>62</v>
      </c>
      <c r="D29" s="528"/>
      <c r="E29" s="529"/>
      <c r="F29" s="17"/>
      <c r="G29" s="16"/>
      <c r="H29" s="519"/>
      <c r="I29" s="18"/>
    </row>
    <row r="30" spans="1:9" ht="17.25" x14ac:dyDescent="0.3">
      <c r="A30" s="487" t="s">
        <v>167</v>
      </c>
      <c r="B30" s="495" t="s">
        <v>54</v>
      </c>
      <c r="C30" s="496" t="s">
        <v>55</v>
      </c>
      <c r="D30" s="490" t="s">
        <v>59</v>
      </c>
      <c r="E30" s="497">
        <v>1</v>
      </c>
      <c r="F30" s="498" t="s">
        <v>5</v>
      </c>
      <c r="G30" s="530"/>
      <c r="H30" s="17"/>
      <c r="I30" s="18"/>
    </row>
    <row r="31" spans="1:9" ht="17.25" x14ac:dyDescent="0.3">
      <c r="A31" s="24"/>
      <c r="B31" s="24"/>
      <c r="C31" s="531"/>
      <c r="D31" s="532"/>
      <c r="E31" s="533"/>
      <c r="F31" s="534"/>
      <c r="G31" s="530"/>
      <c r="H31" s="17"/>
      <c r="I31" s="18"/>
    </row>
    <row r="32" spans="1:9" ht="17.25" x14ac:dyDescent="0.3">
      <c r="A32" s="24"/>
      <c r="B32" s="24"/>
      <c r="C32" s="531"/>
      <c r="D32" s="532"/>
      <c r="E32" s="533"/>
      <c r="F32" s="534"/>
      <c r="G32" s="530"/>
      <c r="H32" s="17"/>
      <c r="I32" s="18"/>
    </row>
    <row r="33" spans="1:9" ht="15.75" x14ac:dyDescent="0.25">
      <c r="A33" s="535"/>
      <c r="B33" s="535"/>
      <c r="C33" s="536"/>
      <c r="D33" s="189"/>
      <c r="E33" s="537"/>
      <c r="F33" s="190"/>
      <c r="G33" s="16"/>
      <c r="H33" s="17"/>
      <c r="I33" s="18"/>
    </row>
    <row r="34" spans="1:9" ht="15.75" x14ac:dyDescent="0.25">
      <c r="A34" s="535"/>
      <c r="B34" s="535"/>
      <c r="C34" s="538"/>
      <c r="D34" s="189"/>
      <c r="E34" s="189"/>
      <c r="F34" s="190"/>
      <c r="G34" s="16"/>
      <c r="H34" s="17"/>
      <c r="I34" s="18"/>
    </row>
    <row r="35" spans="1:9" ht="15.75" x14ac:dyDescent="0.25">
      <c r="A35" s="535"/>
      <c r="B35" s="535"/>
      <c r="C35" s="538"/>
      <c r="D35" s="189"/>
      <c r="E35" s="189"/>
      <c r="F35" s="190"/>
      <c r="G35" s="539"/>
      <c r="H35" s="17"/>
      <c r="I35" s="18"/>
    </row>
    <row r="36" spans="1:9" ht="15.75" x14ac:dyDescent="0.25">
      <c r="A36" s="540"/>
      <c r="B36" s="541"/>
      <c r="C36" s="542"/>
      <c r="D36" s="543"/>
      <c r="E36" s="543"/>
      <c r="F36" s="329"/>
      <c r="G36" s="184"/>
      <c r="H36" s="17"/>
      <c r="I36" s="18"/>
    </row>
    <row r="37" spans="1:9" ht="15.75" x14ac:dyDescent="0.25">
      <c r="A37" s="511"/>
      <c r="B37" s="512"/>
      <c r="C37" s="531"/>
      <c r="D37" s="189"/>
      <c r="E37" s="184"/>
      <c r="F37" s="185"/>
      <c r="G37" s="184"/>
      <c r="H37" s="17"/>
      <c r="I37" s="18"/>
    </row>
    <row r="38" spans="1:9" ht="15.75" x14ac:dyDescent="0.25">
      <c r="A38" s="511"/>
      <c r="B38" s="512"/>
      <c r="C38" s="531"/>
      <c r="D38" s="301"/>
      <c r="E38" s="301"/>
      <c r="F38" s="185"/>
      <c r="G38" s="301"/>
      <c r="H38" s="301"/>
      <c r="I38" s="18"/>
    </row>
    <row r="39" spans="1:9" ht="18" thickBot="1" x14ac:dyDescent="0.35">
      <c r="A39" s="28"/>
      <c r="B39" s="29"/>
      <c r="C39" s="30"/>
      <c r="D39" s="30"/>
      <c r="E39" s="31"/>
      <c r="F39" s="32"/>
      <c r="G39" s="30"/>
      <c r="H39" s="30"/>
      <c r="I39" s="33"/>
    </row>
    <row r="40" spans="1:9" ht="18" thickBot="1" x14ac:dyDescent="0.35">
      <c r="A40" s="34"/>
      <c r="B40" s="35"/>
      <c r="C40" s="36"/>
      <c r="D40" s="37" t="s">
        <v>15</v>
      </c>
      <c r="E40" s="38" t="s">
        <v>14</v>
      </c>
      <c r="F40" s="39"/>
      <c r="G40" s="36"/>
      <c r="H40" s="36"/>
      <c r="I40" s="40"/>
    </row>
    <row r="41" spans="1:9" ht="17.25" x14ac:dyDescent="0.3">
      <c r="A41" s="680" t="s">
        <v>13</v>
      </c>
      <c r="B41" s="681"/>
      <c r="C41" s="682"/>
      <c r="D41" s="524">
        <v>1000</v>
      </c>
      <c r="E41" s="544" t="s">
        <v>2</v>
      </c>
      <c r="F41" s="683" t="s">
        <v>12</v>
      </c>
      <c r="G41" s="683"/>
      <c r="H41" s="684"/>
      <c r="I41" s="685"/>
    </row>
    <row r="42" spans="1:9" ht="17.25" x14ac:dyDescent="0.3">
      <c r="A42" s="676" t="s">
        <v>11</v>
      </c>
      <c r="B42" s="677"/>
      <c r="C42" s="678"/>
      <c r="D42" s="499">
        <v>3</v>
      </c>
      <c r="E42" s="499" t="s">
        <v>315</v>
      </c>
      <c r="F42" s="679" t="s">
        <v>9</v>
      </c>
      <c r="G42" s="679"/>
      <c r="H42" s="674"/>
      <c r="I42" s="675"/>
    </row>
    <row r="43" spans="1:9" ht="17.25" x14ac:dyDescent="0.3">
      <c r="A43" s="676" t="s">
        <v>8</v>
      </c>
      <c r="B43" s="677"/>
      <c r="C43" s="678"/>
      <c r="D43" s="499">
        <v>1</v>
      </c>
      <c r="E43" s="499" t="s">
        <v>187</v>
      </c>
      <c r="F43" s="679" t="s">
        <v>7</v>
      </c>
      <c r="G43" s="679"/>
      <c r="H43" s="674"/>
      <c r="I43" s="675"/>
    </row>
    <row r="44" spans="1:9" ht="17.25" x14ac:dyDescent="0.3">
      <c r="A44" s="676" t="s">
        <v>6</v>
      </c>
      <c r="B44" s="677"/>
      <c r="C44" s="678"/>
      <c r="D44" s="515">
        <v>1000</v>
      </c>
      <c r="E44" s="499" t="s">
        <v>2</v>
      </c>
      <c r="F44" s="672" t="s">
        <v>4</v>
      </c>
      <c r="G44" s="673"/>
      <c r="H44" s="977"/>
      <c r="I44" s="978"/>
    </row>
    <row r="45" spans="1:9" ht="18" thickBot="1" x14ac:dyDescent="0.35">
      <c r="A45" s="647" t="s">
        <v>3</v>
      </c>
      <c r="B45" s="648"/>
      <c r="C45" s="649"/>
      <c r="D45" s="545">
        <f>SUM(E10:E11)-D41</f>
        <v>0</v>
      </c>
      <c r="E45" s="546" t="s">
        <v>2</v>
      </c>
      <c r="F45" s="650"/>
      <c r="G45" s="650"/>
      <c r="H45" s="674"/>
      <c r="I45" s="675"/>
    </row>
    <row r="46" spans="1:9" ht="16.5" thickBot="1" x14ac:dyDescent="0.3">
      <c r="A46" s="693" t="s">
        <v>1</v>
      </c>
      <c r="B46" s="694"/>
      <c r="C46" s="694"/>
      <c r="D46" s="694"/>
      <c r="E46" s="694"/>
      <c r="F46" s="694"/>
      <c r="G46" s="694"/>
      <c r="H46" s="694"/>
      <c r="I46" s="695"/>
    </row>
    <row r="47" spans="1:9" ht="15.75" x14ac:dyDescent="0.25">
      <c r="A47" s="974" t="s">
        <v>316</v>
      </c>
      <c r="B47" s="975"/>
      <c r="C47" s="975"/>
      <c r="D47" s="975"/>
      <c r="E47" s="975"/>
      <c r="F47" s="975"/>
      <c r="G47" s="975"/>
      <c r="H47" s="975"/>
      <c r="I47" s="976"/>
    </row>
    <row r="48" spans="1:9" ht="15.75" x14ac:dyDescent="0.25">
      <c r="A48" s="974" t="s">
        <v>317</v>
      </c>
      <c r="B48" s="975"/>
      <c r="C48" s="975"/>
      <c r="D48" s="975"/>
      <c r="E48" s="975"/>
      <c r="F48" s="975"/>
      <c r="G48" s="975"/>
      <c r="H48" s="975"/>
      <c r="I48" s="976"/>
    </row>
    <row r="49" spans="1:9" ht="15.75" x14ac:dyDescent="0.25">
      <c r="A49" s="974" t="s">
        <v>318</v>
      </c>
      <c r="B49" s="975"/>
      <c r="C49" s="975"/>
      <c r="D49" s="975"/>
      <c r="E49" s="975"/>
      <c r="F49" s="975"/>
      <c r="G49" s="975"/>
      <c r="H49" s="975"/>
      <c r="I49" s="976"/>
    </row>
    <row r="50" spans="1:9" ht="15.75" x14ac:dyDescent="0.25">
      <c r="A50" s="974" t="s">
        <v>319</v>
      </c>
      <c r="B50" s="975"/>
      <c r="C50" s="975"/>
      <c r="D50" s="975"/>
      <c r="E50" s="975"/>
      <c r="F50" s="975"/>
      <c r="G50" s="975"/>
      <c r="H50" s="975"/>
      <c r="I50" s="976"/>
    </row>
    <row r="51" spans="1:9" ht="17.25" x14ac:dyDescent="0.3">
      <c r="A51" s="984"/>
      <c r="B51" s="985"/>
      <c r="C51" s="986"/>
      <c r="D51" s="986"/>
      <c r="E51" s="986"/>
      <c r="F51" s="986"/>
      <c r="G51" s="986"/>
      <c r="H51" s="986"/>
      <c r="I51" s="987"/>
    </row>
    <row r="52" spans="1:9" ht="16.5" thickBot="1" x14ac:dyDescent="0.3">
      <c r="A52" s="988"/>
      <c r="B52" s="989"/>
      <c r="C52" s="989"/>
      <c r="D52" s="989"/>
      <c r="E52" s="989"/>
      <c r="F52" s="989"/>
      <c r="G52" s="989"/>
      <c r="H52" s="989"/>
      <c r="I52" s="990"/>
    </row>
    <row r="53" spans="1:9" ht="17.25" x14ac:dyDescent="0.3">
      <c r="A53" s="705"/>
      <c r="B53" s="706"/>
      <c r="C53" s="706"/>
      <c r="D53" s="706"/>
      <c r="E53" s="706"/>
      <c r="F53" s="706"/>
      <c r="G53" s="706"/>
      <c r="H53" s="706"/>
      <c r="I53" s="991"/>
    </row>
    <row r="54" spans="1:9" ht="18" thickBot="1" x14ac:dyDescent="0.35">
      <c r="A54" s="992"/>
      <c r="B54" s="993"/>
      <c r="C54" s="993"/>
      <c r="D54" s="993"/>
      <c r="E54" s="993"/>
      <c r="F54" s="993"/>
      <c r="G54" s="993"/>
      <c r="H54" s="993"/>
      <c r="I54" s="994"/>
    </row>
    <row r="55" spans="1:9" ht="16.5" thickBot="1" x14ac:dyDescent="0.3">
      <c r="A55" s="979"/>
      <c r="B55" s="980"/>
      <c r="C55" s="980"/>
      <c r="D55" s="980"/>
      <c r="E55" s="980"/>
      <c r="F55" s="980"/>
      <c r="G55" s="980"/>
      <c r="H55" s="980"/>
      <c r="I55" s="981"/>
    </row>
    <row r="56" spans="1:9" ht="15.75" x14ac:dyDescent="0.25">
      <c r="A56" s="982" t="s">
        <v>0</v>
      </c>
      <c r="B56" s="983"/>
      <c r="C56" s="983"/>
      <c r="D56" s="983"/>
      <c r="E56" s="983"/>
      <c r="F56" s="983"/>
      <c r="G56" s="983"/>
      <c r="H56" s="983"/>
      <c r="I56" s="983"/>
    </row>
    <row r="57" spans="1:9" ht="17.25" x14ac:dyDescent="0.3">
      <c r="A57" s="659" t="s">
        <v>320</v>
      </c>
      <c r="B57" s="660"/>
      <c r="C57" s="660"/>
      <c r="D57" s="660"/>
      <c r="E57" s="660"/>
      <c r="F57" s="660"/>
      <c r="G57" s="660"/>
      <c r="H57" s="660"/>
      <c r="I57" s="661"/>
    </row>
    <row r="58" spans="1:9" x14ac:dyDescent="0.25">
      <c r="A58" s="688" t="s">
        <v>321</v>
      </c>
      <c r="B58" s="689"/>
      <c r="C58" s="689"/>
      <c r="D58" s="689"/>
      <c r="E58" s="689"/>
      <c r="F58" s="689"/>
      <c r="G58" s="689"/>
      <c r="H58" s="689"/>
      <c r="I58" s="690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D45D-C4D9-4F87-AEB7-CE137F17FBB7}">
  <dimension ref="A1:L59"/>
  <sheetViews>
    <sheetView workbookViewId="0">
      <selection activeCell="D10" sqref="D10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004"/>
      <c r="B1" s="1005"/>
      <c r="C1" s="1010" t="s">
        <v>33</v>
      </c>
      <c r="D1" s="1010"/>
      <c r="E1" s="1010"/>
      <c r="F1" s="1010"/>
      <c r="G1" s="1010"/>
      <c r="H1" s="547" t="s">
        <v>32</v>
      </c>
      <c r="I1" s="548" t="s">
        <v>322</v>
      </c>
    </row>
    <row r="2" spans="1:12" ht="18" customHeight="1" thickBot="1" x14ac:dyDescent="0.3">
      <c r="A2" s="1006"/>
      <c r="B2" s="1007"/>
      <c r="C2" s="1011" t="s">
        <v>31</v>
      </c>
      <c r="D2" s="1012"/>
      <c r="E2" s="1012"/>
      <c r="F2" s="1012"/>
      <c r="G2" s="1013"/>
      <c r="H2" s="549" t="s">
        <v>30</v>
      </c>
      <c r="I2" s="550" t="s">
        <v>323</v>
      </c>
    </row>
    <row r="3" spans="1:12" ht="31.5" customHeight="1" thickBot="1" x14ac:dyDescent="0.3">
      <c r="A3" s="1006"/>
      <c r="B3" s="1007"/>
      <c r="C3" s="1014" t="s">
        <v>324</v>
      </c>
      <c r="D3" s="1014"/>
      <c r="E3" s="1014"/>
      <c r="F3" s="1014"/>
      <c r="G3" s="1014"/>
      <c r="H3" s="1015" t="s">
        <v>29</v>
      </c>
      <c r="I3" s="995">
        <v>45659</v>
      </c>
    </row>
    <row r="4" spans="1:12" ht="18" customHeight="1" x14ac:dyDescent="0.25">
      <c r="A4" s="1006"/>
      <c r="B4" s="1007"/>
      <c r="C4" s="551" t="s">
        <v>28</v>
      </c>
      <c r="D4" s="998" t="s">
        <v>154</v>
      </c>
      <c r="E4" s="999"/>
      <c r="F4" s="999"/>
      <c r="G4" s="1000"/>
      <c r="H4" s="1016"/>
      <c r="I4" s="996"/>
    </row>
    <row r="5" spans="1:12" ht="18.75" thickBot="1" x14ac:dyDescent="0.3">
      <c r="A5" s="1008"/>
      <c r="B5" s="1009"/>
      <c r="C5" s="552" t="s">
        <v>27</v>
      </c>
      <c r="D5" s="1001" t="s">
        <v>36</v>
      </c>
      <c r="E5" s="1002"/>
      <c r="F5" s="1002"/>
      <c r="G5" s="1003"/>
      <c r="H5" s="1017"/>
      <c r="I5" s="997"/>
    </row>
    <row r="6" spans="1:12" ht="18.75" thickBot="1" x14ac:dyDescent="0.3">
      <c r="A6" s="765" t="s">
        <v>26</v>
      </c>
      <c r="B6" s="765"/>
      <c r="C6" s="765"/>
      <c r="D6" s="1018" t="s">
        <v>325</v>
      </c>
      <c r="E6" s="1018"/>
      <c r="F6" s="1018"/>
      <c r="G6" s="767" t="s">
        <v>25</v>
      </c>
      <c r="H6" s="767"/>
      <c r="I6" s="553" t="s">
        <v>43</v>
      </c>
    </row>
    <row r="7" spans="1:12" ht="36" x14ac:dyDescent="0.25">
      <c r="A7" s="1019" t="s">
        <v>24</v>
      </c>
      <c r="B7" s="1021" t="s">
        <v>23</v>
      </c>
      <c r="C7" s="1023" t="s">
        <v>22</v>
      </c>
      <c r="D7" s="1023" t="s">
        <v>21</v>
      </c>
      <c r="E7" s="1023" t="s">
        <v>20</v>
      </c>
      <c r="F7" s="1023"/>
      <c r="G7" s="1023" t="s">
        <v>19</v>
      </c>
      <c r="H7" s="1023"/>
      <c r="I7" s="554" t="s">
        <v>18</v>
      </c>
    </row>
    <row r="8" spans="1:12" ht="36.75" thickBot="1" x14ac:dyDescent="0.3">
      <c r="A8" s="1020"/>
      <c r="B8" s="1022"/>
      <c r="C8" s="1024"/>
      <c r="D8" s="1024"/>
      <c r="E8" s="555" t="s">
        <v>15</v>
      </c>
      <c r="F8" s="556" t="s">
        <v>17</v>
      </c>
      <c r="G8" s="555" t="s">
        <v>15</v>
      </c>
      <c r="H8" s="556" t="s">
        <v>17</v>
      </c>
      <c r="I8" s="557" t="s">
        <v>16</v>
      </c>
      <c r="L8" s="446"/>
    </row>
    <row r="9" spans="1:12" ht="18.600000000000001" customHeight="1" x14ac:dyDescent="0.3">
      <c r="A9" s="558"/>
      <c r="B9" s="559"/>
      <c r="C9" s="560" t="s">
        <v>37</v>
      </c>
      <c r="D9" s="561"/>
      <c r="E9" s="562"/>
      <c r="F9" s="563"/>
      <c r="G9" s="562"/>
      <c r="H9" s="563"/>
      <c r="I9" s="564"/>
    </row>
    <row r="10" spans="1:12" ht="18" customHeight="1" x14ac:dyDescent="0.3">
      <c r="A10" s="565">
        <v>310148</v>
      </c>
      <c r="B10" s="566" t="s">
        <v>326</v>
      </c>
      <c r="C10" s="567" t="s">
        <v>327</v>
      </c>
      <c r="D10" s="568" t="s">
        <v>328</v>
      </c>
      <c r="E10" s="569">
        <v>16150</v>
      </c>
      <c r="F10" s="570" t="s">
        <v>2</v>
      </c>
      <c r="G10" s="571"/>
      <c r="H10" s="572"/>
      <c r="I10" s="564"/>
      <c r="J10">
        <f>+E10/$D$39</f>
        <v>0.99299053083824285</v>
      </c>
      <c r="K10">
        <f>+J10*1000</f>
        <v>992.99053083824288</v>
      </c>
    </row>
    <row r="11" spans="1:12" ht="18.75" x14ac:dyDescent="0.3">
      <c r="A11" s="568" t="s">
        <v>182</v>
      </c>
      <c r="B11" s="568"/>
      <c r="C11" s="573" t="s">
        <v>183</v>
      </c>
      <c r="D11" s="568" t="s">
        <v>329</v>
      </c>
      <c r="E11" s="569">
        <v>100</v>
      </c>
      <c r="F11" s="570" t="s">
        <v>2</v>
      </c>
      <c r="G11" s="571"/>
      <c r="H11" s="572"/>
      <c r="I11" s="564"/>
      <c r="J11">
        <f t="shared" ref="J11:J13" si="0">+E11/$D$39</f>
        <v>6.1485481785649712E-3</v>
      </c>
      <c r="K11">
        <f t="shared" ref="K11:K13" si="1">+J11*1000</f>
        <v>6.1485481785649716</v>
      </c>
      <c r="L11" s="446">
        <f>SUM(E10:E13)</f>
        <v>16264.002020610224</v>
      </c>
    </row>
    <row r="12" spans="1:12" ht="18.75" x14ac:dyDescent="0.3">
      <c r="A12" s="568">
        <v>1212410</v>
      </c>
      <c r="B12" s="568" t="s">
        <v>208</v>
      </c>
      <c r="C12" s="573" t="s">
        <v>209</v>
      </c>
      <c r="D12" s="568" t="s">
        <v>210</v>
      </c>
      <c r="E12" s="569">
        <v>10.002020610224299</v>
      </c>
      <c r="F12" s="570" t="s">
        <v>2</v>
      </c>
      <c r="G12" s="571"/>
      <c r="H12" s="572"/>
      <c r="I12" s="564"/>
      <c r="J12">
        <f>+E12/$D$39</f>
        <v>6.149790560496392E-4</v>
      </c>
      <c r="K12">
        <f t="shared" si="1"/>
        <v>0.61497905604963921</v>
      </c>
      <c r="L12" s="446">
        <f>L11-230</f>
        <v>16034.002020610224</v>
      </c>
    </row>
    <row r="13" spans="1:12" ht="18.75" x14ac:dyDescent="0.3">
      <c r="A13" s="487">
        <v>10400008</v>
      </c>
      <c r="B13" s="495" t="s">
        <v>311</v>
      </c>
      <c r="C13" s="496" t="s">
        <v>312</v>
      </c>
      <c r="D13" s="490" t="s">
        <v>313</v>
      </c>
      <c r="E13" s="497">
        <v>4</v>
      </c>
      <c r="F13" s="498" t="s">
        <v>2</v>
      </c>
      <c r="G13" s="571"/>
      <c r="H13" s="572"/>
      <c r="I13" s="564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568"/>
      <c r="B14" s="568"/>
      <c r="C14" s="573"/>
      <c r="D14" s="568"/>
      <c r="E14" s="569"/>
      <c r="F14" s="570"/>
      <c r="G14" s="571"/>
      <c r="H14" s="572"/>
      <c r="I14" s="564"/>
    </row>
    <row r="15" spans="1:12" ht="18.75" x14ac:dyDescent="0.3">
      <c r="A15" s="568"/>
      <c r="B15" s="568"/>
      <c r="C15" s="573"/>
      <c r="D15" s="568"/>
      <c r="E15" s="569"/>
      <c r="F15" s="570"/>
      <c r="G15" s="571"/>
      <c r="H15" s="572"/>
      <c r="I15" s="564"/>
    </row>
    <row r="16" spans="1:12" ht="18.75" x14ac:dyDescent="0.3">
      <c r="A16" s="568"/>
      <c r="B16" s="568"/>
      <c r="C16" s="573"/>
      <c r="D16" s="568"/>
      <c r="E16" s="569"/>
      <c r="F16" s="570"/>
      <c r="G16" s="571"/>
      <c r="H16" s="572"/>
      <c r="I16" s="564"/>
    </row>
    <row r="17" spans="1:12" ht="18.75" x14ac:dyDescent="0.3">
      <c r="A17" s="568"/>
      <c r="B17" s="568"/>
      <c r="C17" s="573"/>
      <c r="D17" s="568"/>
      <c r="E17" s="569"/>
      <c r="F17" s="570"/>
      <c r="G17" s="571"/>
      <c r="H17" s="572"/>
      <c r="I17" s="564"/>
      <c r="L17">
        <f>E10/1000</f>
        <v>16.149999999999999</v>
      </c>
    </row>
    <row r="18" spans="1:12" ht="18.75" x14ac:dyDescent="0.3">
      <c r="A18" s="568"/>
      <c r="B18" s="568"/>
      <c r="C18" s="573"/>
      <c r="D18" s="568"/>
      <c r="E18" s="569"/>
      <c r="F18" s="570"/>
      <c r="G18" s="571"/>
      <c r="H18" s="572"/>
      <c r="I18" s="564"/>
    </row>
    <row r="19" spans="1:12" ht="18.75" x14ac:dyDescent="0.3">
      <c r="A19" s="568"/>
      <c r="B19" s="568"/>
      <c r="C19" s="573"/>
      <c r="D19" s="568"/>
      <c r="E19" s="569"/>
      <c r="F19" s="570"/>
      <c r="G19" s="571"/>
      <c r="H19" s="572"/>
      <c r="I19" s="564"/>
    </row>
    <row r="20" spans="1:12" ht="18.75" x14ac:dyDescent="0.3">
      <c r="A20" s="574"/>
      <c r="B20" s="574"/>
      <c r="C20" s="567"/>
      <c r="D20" s="575"/>
      <c r="E20" s="575"/>
      <c r="F20" s="575"/>
      <c r="G20" s="576"/>
      <c r="H20" s="572"/>
      <c r="I20" s="564"/>
    </row>
    <row r="21" spans="1:12" ht="18.75" x14ac:dyDescent="0.3">
      <c r="A21" s="577"/>
      <c r="B21" s="578"/>
      <c r="C21" s="579" t="s">
        <v>43</v>
      </c>
      <c r="D21" s="575"/>
      <c r="E21" s="575"/>
      <c r="F21" s="575"/>
      <c r="G21" s="576"/>
      <c r="H21" s="572"/>
      <c r="I21" s="564"/>
    </row>
    <row r="22" spans="1:12" ht="18.75" x14ac:dyDescent="0.3">
      <c r="A22" s="565"/>
      <c r="B22" s="566"/>
      <c r="C22" s="567"/>
      <c r="D22" s="580"/>
      <c r="E22" s="580"/>
      <c r="F22" s="580"/>
      <c r="G22" s="562"/>
      <c r="H22" s="572"/>
      <c r="I22" s="564"/>
    </row>
    <row r="23" spans="1:12" ht="18.75" x14ac:dyDescent="0.3">
      <c r="A23" s="581"/>
      <c r="B23" s="574"/>
      <c r="C23" s="567"/>
      <c r="D23" s="580"/>
      <c r="E23" s="580"/>
      <c r="F23" s="580"/>
      <c r="G23" s="562"/>
      <c r="H23" s="572"/>
      <c r="I23" s="564"/>
    </row>
    <row r="24" spans="1:12" ht="18.75" x14ac:dyDescent="0.3">
      <c r="A24" s="581"/>
      <c r="B24" s="574"/>
      <c r="C24" s="567"/>
      <c r="D24" s="580"/>
      <c r="E24" s="580"/>
      <c r="F24" s="580"/>
      <c r="G24" s="562"/>
      <c r="H24" s="572"/>
      <c r="I24" s="564"/>
    </row>
    <row r="25" spans="1:12" ht="18.75" x14ac:dyDescent="0.3">
      <c r="A25" s="577"/>
      <c r="B25" s="578"/>
      <c r="C25" s="579"/>
      <c r="D25" s="582"/>
      <c r="E25" s="583"/>
      <c r="F25" s="584"/>
      <c r="G25" s="562"/>
      <c r="H25" s="572"/>
      <c r="I25" s="564"/>
    </row>
    <row r="26" spans="1:12" ht="18.75" x14ac:dyDescent="0.3">
      <c r="A26" s="585"/>
      <c r="B26" s="586"/>
      <c r="C26" s="587"/>
      <c r="D26" s="588"/>
      <c r="E26" s="589"/>
      <c r="F26" s="590"/>
      <c r="G26" s="562"/>
      <c r="H26" s="572"/>
      <c r="I26" s="564"/>
    </row>
    <row r="27" spans="1:12" ht="18.75" x14ac:dyDescent="0.3">
      <c r="A27" s="566"/>
      <c r="B27" s="566"/>
      <c r="C27" s="567"/>
      <c r="D27" s="591"/>
      <c r="E27" s="592"/>
      <c r="F27" s="593"/>
      <c r="G27" s="562"/>
      <c r="H27" s="572"/>
      <c r="I27" s="564"/>
    </row>
    <row r="28" spans="1:12" ht="18.75" x14ac:dyDescent="0.3">
      <c r="A28" s="594"/>
      <c r="B28" s="595"/>
      <c r="C28" s="596" t="s">
        <v>62</v>
      </c>
      <c r="D28" s="597"/>
      <c r="E28" s="598"/>
      <c r="F28" s="563"/>
      <c r="G28" s="562"/>
      <c r="H28" s="572"/>
      <c r="I28" s="564"/>
    </row>
    <row r="29" spans="1:12" ht="18.75" x14ac:dyDescent="0.3">
      <c r="A29" s="599">
        <v>702123</v>
      </c>
      <c r="B29" s="600" t="s">
        <v>60</v>
      </c>
      <c r="C29" s="601" t="s">
        <v>225</v>
      </c>
      <c r="D29" s="575" t="s">
        <v>330</v>
      </c>
      <c r="E29" s="602">
        <v>1</v>
      </c>
      <c r="F29" s="603" t="s">
        <v>5</v>
      </c>
      <c r="G29" s="604"/>
      <c r="H29" s="572"/>
      <c r="I29" s="564"/>
    </row>
    <row r="30" spans="1:12" ht="18.75" x14ac:dyDescent="0.3">
      <c r="A30" s="599"/>
      <c r="B30" s="600"/>
      <c r="C30" s="601"/>
      <c r="D30" s="575"/>
      <c r="E30" s="602"/>
      <c r="F30" s="603"/>
      <c r="G30" s="604"/>
      <c r="H30" s="572"/>
      <c r="I30" s="564"/>
    </row>
    <row r="31" spans="1:12" ht="18.75" x14ac:dyDescent="0.3">
      <c r="A31" s="605"/>
      <c r="B31" s="606"/>
      <c r="C31" s="607"/>
      <c r="D31" s="575"/>
      <c r="E31" s="602"/>
      <c r="F31" s="603"/>
      <c r="G31" s="604"/>
      <c r="H31" s="572"/>
      <c r="I31" s="564"/>
    </row>
    <row r="32" spans="1:12" ht="18.75" x14ac:dyDescent="0.3">
      <c r="A32" s="608"/>
      <c r="B32" s="608"/>
      <c r="C32" s="609"/>
      <c r="D32" s="575"/>
      <c r="E32" s="602"/>
      <c r="F32" s="603"/>
      <c r="G32" s="562"/>
      <c r="H32" s="572"/>
      <c r="I32" s="564"/>
    </row>
    <row r="33" spans="1:9" ht="18.75" x14ac:dyDescent="0.3">
      <c r="A33" s="608"/>
      <c r="B33" s="608"/>
      <c r="C33" s="609"/>
      <c r="D33" s="575"/>
      <c r="E33" s="602"/>
      <c r="F33" s="603"/>
      <c r="G33" s="562"/>
      <c r="H33" s="572"/>
      <c r="I33" s="564"/>
    </row>
    <row r="34" spans="1:9" ht="18.75" x14ac:dyDescent="0.3">
      <c r="A34" s="608"/>
      <c r="B34" s="608"/>
      <c r="C34" s="609"/>
      <c r="D34" s="575"/>
      <c r="E34" s="602"/>
      <c r="F34" s="603"/>
      <c r="G34" s="610"/>
      <c r="H34" s="572"/>
      <c r="I34" s="564"/>
    </row>
    <row r="35" spans="1:9" ht="18.75" x14ac:dyDescent="0.3">
      <c r="A35" s="608"/>
      <c r="B35" s="608"/>
      <c r="C35" s="609"/>
      <c r="D35" s="575"/>
      <c r="E35" s="602"/>
      <c r="F35" s="603"/>
      <c r="G35" s="611"/>
      <c r="H35" s="572"/>
      <c r="I35" s="564"/>
    </row>
    <row r="36" spans="1:9" ht="18.75" x14ac:dyDescent="0.3">
      <c r="A36" s="612"/>
      <c r="B36" s="612"/>
      <c r="C36" s="613"/>
      <c r="D36" s="575"/>
      <c r="E36" s="593"/>
      <c r="F36" s="593"/>
      <c r="G36" s="611"/>
      <c r="H36" s="572"/>
      <c r="I36" s="564"/>
    </row>
    <row r="37" spans="1:9" ht="18.75" thickBot="1" x14ac:dyDescent="0.3">
      <c r="A37" s="614"/>
      <c r="B37" s="615"/>
      <c r="C37" s="616" t="s">
        <v>53</v>
      </c>
      <c r="D37" s="616"/>
      <c r="E37" s="617"/>
      <c r="F37" s="618"/>
      <c r="G37" s="616"/>
      <c r="H37" s="616"/>
      <c r="I37" s="619"/>
    </row>
    <row r="38" spans="1:9" ht="18.75" thickBot="1" x14ac:dyDescent="0.3">
      <c r="A38" s="620"/>
      <c r="B38" s="621"/>
      <c r="C38" s="622" t="s">
        <v>53</v>
      </c>
      <c r="D38" s="623" t="s">
        <v>15</v>
      </c>
      <c r="E38" s="624" t="s">
        <v>14</v>
      </c>
      <c r="F38" s="625"/>
      <c r="G38" s="622"/>
      <c r="H38" s="622"/>
      <c r="I38" s="626"/>
    </row>
    <row r="39" spans="1:9" ht="18" x14ac:dyDescent="0.25">
      <c r="A39" s="1025" t="s">
        <v>13</v>
      </c>
      <c r="B39" s="1026"/>
      <c r="C39" s="1027"/>
      <c r="D39" s="627">
        <f>SUM(E10:E13)</f>
        <v>16264.002020610224</v>
      </c>
      <c r="E39" s="628" t="s">
        <v>2</v>
      </c>
      <c r="F39" s="1028" t="s">
        <v>12</v>
      </c>
      <c r="G39" s="1028"/>
      <c r="H39" s="1029"/>
      <c r="I39" s="1030"/>
    </row>
    <row r="40" spans="1:9" ht="18" x14ac:dyDescent="0.25">
      <c r="A40" s="1031" t="s">
        <v>11</v>
      </c>
      <c r="B40" s="1032"/>
      <c r="C40" s="1033"/>
      <c r="D40" s="576">
        <v>15</v>
      </c>
      <c r="E40" s="576" t="s">
        <v>10</v>
      </c>
      <c r="F40" s="1034" t="s">
        <v>9</v>
      </c>
      <c r="G40" s="1034"/>
      <c r="H40" s="1035"/>
      <c r="I40" s="1036"/>
    </row>
    <row r="41" spans="1:9" ht="18" x14ac:dyDescent="0.25">
      <c r="A41" s="1031" t="s">
        <v>8</v>
      </c>
      <c r="B41" s="1032"/>
      <c r="C41" s="1033"/>
      <c r="D41" s="592">
        <v>1</v>
      </c>
      <c r="E41" s="576" t="s">
        <v>187</v>
      </c>
      <c r="F41" s="1034" t="s">
        <v>7</v>
      </c>
      <c r="G41" s="1034"/>
      <c r="H41" s="1035"/>
      <c r="I41" s="1036"/>
    </row>
    <row r="42" spans="1:9" ht="18" x14ac:dyDescent="0.25">
      <c r="A42" s="1031" t="s">
        <v>6</v>
      </c>
      <c r="B42" s="1032"/>
      <c r="C42" s="1033"/>
      <c r="D42" s="592">
        <v>16263</v>
      </c>
      <c r="E42" s="576" t="s">
        <v>2</v>
      </c>
      <c r="F42" s="1037" t="s">
        <v>4</v>
      </c>
      <c r="G42" s="1038"/>
      <c r="H42" s="1039"/>
      <c r="I42" s="1040"/>
    </row>
    <row r="43" spans="1:9" ht="18.75" thickBot="1" x14ac:dyDescent="0.3">
      <c r="A43" s="1042" t="s">
        <v>3</v>
      </c>
      <c r="B43" s="1043"/>
      <c r="C43" s="1044"/>
      <c r="D43" s="629">
        <f>SUM(E10:E13)-D39</f>
        <v>0</v>
      </c>
      <c r="E43" s="630" t="s">
        <v>2</v>
      </c>
      <c r="F43" s="1045"/>
      <c r="G43" s="1045"/>
      <c r="H43" s="1035"/>
      <c r="I43" s="1036"/>
    </row>
    <row r="44" spans="1:9" ht="18.75" thickBot="1" x14ac:dyDescent="0.3">
      <c r="A44" s="1046" t="s">
        <v>1</v>
      </c>
      <c r="B44" s="1047"/>
      <c r="C44" s="1047"/>
      <c r="D44" s="1047"/>
      <c r="E44" s="1047"/>
      <c r="F44" s="1047"/>
      <c r="G44" s="1047"/>
      <c r="H44" s="1047"/>
      <c r="I44" s="1048"/>
    </row>
    <row r="45" spans="1:9" ht="14.45" customHeight="1" x14ac:dyDescent="0.3">
      <c r="A45" s="1049" t="s">
        <v>331</v>
      </c>
      <c r="B45" s="1050"/>
      <c r="C45" s="1050"/>
      <c r="D45" s="1050"/>
      <c r="E45" s="1050"/>
      <c r="F45" s="1050"/>
      <c r="G45" s="1050"/>
      <c r="H45" s="1050"/>
      <c r="I45" s="1051"/>
    </row>
    <row r="46" spans="1:9" ht="23.45" customHeight="1" x14ac:dyDescent="0.3">
      <c r="A46" s="1049" t="s">
        <v>332</v>
      </c>
      <c r="B46" s="1050"/>
      <c r="C46" s="1050"/>
      <c r="D46" s="1050"/>
      <c r="E46" s="1050"/>
      <c r="F46" s="1050"/>
      <c r="G46" s="1050"/>
      <c r="H46" s="1050"/>
      <c r="I46" s="1051"/>
    </row>
    <row r="47" spans="1:9" ht="18" customHeight="1" x14ac:dyDescent="0.3">
      <c r="A47" s="1049" t="s">
        <v>333</v>
      </c>
      <c r="B47" s="1050"/>
      <c r="C47" s="1050"/>
      <c r="D47" s="1050"/>
      <c r="E47" s="1050"/>
      <c r="F47" s="1050"/>
      <c r="G47" s="1050"/>
      <c r="H47" s="1050"/>
      <c r="I47" s="1051"/>
    </row>
    <row r="48" spans="1:9" ht="24" customHeight="1" x14ac:dyDescent="0.3">
      <c r="A48" s="1052" t="s">
        <v>334</v>
      </c>
      <c r="B48" s="1053"/>
      <c r="C48" s="1053"/>
      <c r="D48" s="1053"/>
      <c r="E48" s="1053"/>
      <c r="F48" s="1053"/>
      <c r="G48" s="1053"/>
      <c r="H48" s="1053"/>
      <c r="I48" s="1054"/>
    </row>
    <row r="49" spans="1:9" ht="23.45" customHeight="1" x14ac:dyDescent="0.3">
      <c r="A49" s="1049" t="s">
        <v>335</v>
      </c>
      <c r="B49" s="1050"/>
      <c r="C49" s="1050"/>
      <c r="D49" s="1050"/>
      <c r="E49" s="1050"/>
      <c r="F49" s="1050"/>
      <c r="G49" s="1050"/>
      <c r="H49" s="1050"/>
      <c r="I49" s="1051"/>
    </row>
    <row r="50" spans="1:9" ht="23.45" customHeight="1" x14ac:dyDescent="0.3">
      <c r="A50" s="1049" t="s">
        <v>336</v>
      </c>
      <c r="B50" s="1050"/>
      <c r="C50" s="1050"/>
      <c r="D50" s="1050"/>
      <c r="E50" s="1050"/>
      <c r="F50" s="1050"/>
      <c r="G50" s="1050"/>
      <c r="H50" s="1050"/>
      <c r="I50" s="1051"/>
    </row>
    <row r="51" spans="1:9" ht="14.45" customHeight="1" x14ac:dyDescent="0.25">
      <c r="A51" s="1041"/>
      <c r="B51" s="1041"/>
      <c r="C51" s="1041"/>
      <c r="D51" s="1041"/>
      <c r="E51" s="1041"/>
      <c r="F51" s="1041"/>
      <c r="G51" s="1041"/>
      <c r="H51" s="1041"/>
      <c r="I51" s="1041"/>
    </row>
    <row r="52" spans="1:9" ht="14.45" customHeight="1" x14ac:dyDescent="0.25">
      <c r="A52" s="1041"/>
      <c r="B52" s="1041"/>
      <c r="C52" s="1041"/>
      <c r="D52" s="1041"/>
      <c r="E52" s="1041"/>
      <c r="F52" s="1041"/>
      <c r="G52" s="1041"/>
      <c r="H52" s="1041"/>
      <c r="I52" s="1041"/>
    </row>
    <row r="53" spans="1:9" ht="18" customHeight="1" x14ac:dyDescent="0.25">
      <c r="A53" s="1041"/>
      <c r="B53" s="1041"/>
      <c r="C53" s="1041"/>
      <c r="D53" s="1041"/>
      <c r="E53" s="1041"/>
      <c r="F53" s="1041"/>
      <c r="G53" s="1041"/>
      <c r="H53" s="1041"/>
      <c r="I53" s="1041"/>
    </row>
    <row r="54" spans="1:9" ht="14.45" customHeight="1" x14ac:dyDescent="0.25">
      <c r="A54" s="1041"/>
      <c r="B54" s="1041"/>
      <c r="C54" s="1041"/>
      <c r="D54" s="1041"/>
      <c r="E54" s="1041"/>
      <c r="F54" s="1041"/>
      <c r="G54" s="1041"/>
      <c r="H54" s="1041"/>
      <c r="I54" s="1041"/>
    </row>
    <row r="55" spans="1:9" ht="14.45" customHeight="1" thickBot="1" x14ac:dyDescent="0.3">
      <c r="A55" s="1055"/>
      <c r="B55" s="1056"/>
      <c r="C55" s="1056"/>
      <c r="D55" s="1056"/>
      <c r="E55" s="1056"/>
      <c r="F55" s="1056"/>
      <c r="G55" s="1056"/>
      <c r="H55" s="1056"/>
      <c r="I55" s="1057"/>
    </row>
    <row r="56" spans="1:9" ht="14.45" customHeight="1" x14ac:dyDescent="0.25">
      <c r="A56" s="1058" t="s">
        <v>0</v>
      </c>
      <c r="B56" s="1059"/>
      <c r="C56" s="1059"/>
      <c r="D56" s="1059"/>
      <c r="E56" s="1059"/>
      <c r="F56" s="1059"/>
      <c r="G56" s="1059"/>
      <c r="H56" s="1059"/>
      <c r="I56" s="1059"/>
    </row>
    <row r="57" spans="1:9" ht="18" x14ac:dyDescent="0.25">
      <c r="A57" s="1060" t="s">
        <v>337</v>
      </c>
      <c r="B57" s="1060"/>
      <c r="C57" s="1060"/>
      <c r="D57" s="1060"/>
      <c r="E57" s="1060"/>
      <c r="F57" s="1060"/>
      <c r="G57" s="1060"/>
      <c r="H57" s="1060"/>
      <c r="I57" s="1060"/>
    </row>
    <row r="58" spans="1:9" ht="18" x14ac:dyDescent="0.25">
      <c r="A58" s="1001" t="s">
        <v>338</v>
      </c>
      <c r="B58" s="1002"/>
      <c r="C58" s="1002"/>
      <c r="D58" s="1002"/>
      <c r="E58" s="1002"/>
      <c r="F58" s="1002"/>
      <c r="G58" s="1002"/>
      <c r="H58" s="1002"/>
      <c r="I58" s="1003"/>
    </row>
    <row r="59" spans="1:9" ht="18" x14ac:dyDescent="0.25">
      <c r="A59" s="1001" t="s">
        <v>339</v>
      </c>
      <c r="B59" s="1002"/>
      <c r="C59" s="1002"/>
      <c r="D59" s="1002"/>
      <c r="E59" s="1002"/>
      <c r="F59" s="1002"/>
      <c r="G59" s="1002"/>
      <c r="H59" s="1002"/>
      <c r="I59" s="1003"/>
    </row>
  </sheetData>
  <mergeCells count="48">
    <mergeCell ref="A59:I59"/>
    <mergeCell ref="A53:I53"/>
    <mergeCell ref="A54:I54"/>
    <mergeCell ref="A55:I55"/>
    <mergeCell ref="A56:I56"/>
    <mergeCell ref="A57:I57"/>
    <mergeCell ref="A58:I58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00B7F8F-9106-4BA0-B3A9-9E2DC3A23529}"/>
</file>

<file path=customXml/itemProps2.xml><?xml version="1.0" encoding="utf-8"?>
<ds:datastoreItem xmlns:ds="http://schemas.openxmlformats.org/officeDocument/2006/customXml" ds:itemID="{557AE4E6-5D75-4EE8-907A-4D0340DAF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5830D-A004-483A-9E6B-72DEF49F5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Ensamble 2</vt:lpstr>
      <vt:lpstr>Ensamble 3</vt:lpstr>
      <vt:lpstr>Costo Ensamble </vt:lpstr>
      <vt:lpstr>Rosquete Nucleo Vainilla Dawn </vt:lpstr>
      <vt:lpstr>Costo Rosquete</vt:lpstr>
      <vt:lpstr>Batido Nucleo Vainilla Dawn </vt:lpstr>
      <vt:lpstr>Premezcla Nucleo Vainilla Dawn </vt:lpstr>
      <vt:lpstr>Leches Pasteurizada </vt:lpstr>
      <vt:lpstr>Mezcla Leches Pasteurizada </vt:lpstr>
      <vt:lpstr>Caramelo con choco Blanco</vt:lpstr>
      <vt:lpstr>Caramelo Crocante</vt:lpstr>
      <vt:lpstr>Crema Beidge</vt:lpstr>
      <vt:lpstr>Crema Blanca supremo</vt:lpstr>
      <vt:lpstr>'Ensamble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2026-02-10T16:08:09Z</cp:lastPrinted>
  <dcterms:created xsi:type="dcterms:W3CDTF">2024-02-13T19:26:55Z</dcterms:created>
  <dcterms:modified xsi:type="dcterms:W3CDTF">2026-02-10T16:08:13Z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
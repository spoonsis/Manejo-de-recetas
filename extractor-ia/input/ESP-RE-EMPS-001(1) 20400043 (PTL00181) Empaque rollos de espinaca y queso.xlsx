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6" documentId="8_{CD5707DF-6E94-4328-803E-656F3B6D6FE1}" xr6:coauthVersionLast="47" xr6:coauthVersionMax="47" xr10:uidLastSave="{AA5CD012-5EE9-4B58-B8E5-6D27095F961E}"/>
  <bookViews>
    <workbookView xWindow="-120" yWindow="-120" windowWidth="29040" windowHeight="15840" tabRatio="876" firstSheet="1" activeTab="1" xr2:uid="{D13915B3-4EB2-42C3-9690-FBC160EEB019}"/>
  </bookViews>
  <sheets>
    <sheet name="Costo Rollo" sheetId="7" state="hidden" r:id="rId1"/>
    <sheet name="Hoja1" sheetId="9" r:id="rId2"/>
    <sheet name="costo empaque " sheetId="8" state="hidden" r:id="rId3"/>
  </sheets>
  <externalReferences>
    <externalReference r:id="rId4"/>
    <externalReference r:id="rId5"/>
    <externalReference r:id="rId6"/>
  </externalReferences>
  <definedNames>
    <definedName name="_xlnm.Print_Area" localSheetId="1">Hoja1!$A$1:$I$53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8" l="1"/>
  <c r="E29" i="8"/>
  <c r="F29" i="8"/>
  <c r="D29" i="8"/>
  <c r="C29" i="8"/>
  <c r="B29" i="8"/>
  <c r="E28" i="8"/>
  <c r="F28" i="8"/>
  <c r="D28" i="8"/>
  <c r="C28" i="8"/>
  <c r="B28" i="8"/>
  <c r="D27" i="8"/>
  <c r="C27" i="8"/>
  <c r="F27" i="8"/>
  <c r="B27" i="8"/>
  <c r="D72" i="8"/>
  <c r="D73" i="8"/>
  <c r="D75" i="8"/>
  <c r="D70" i="8"/>
  <c r="D68" i="8"/>
  <c r="F64" i="8"/>
  <c r="E50" i="8"/>
  <c r="F50" i="8"/>
  <c r="D59" i="8"/>
  <c r="D84" i="8"/>
  <c r="D85" i="8"/>
  <c r="C50" i="8"/>
  <c r="E49" i="8"/>
  <c r="F49" i="8"/>
  <c r="D49" i="8"/>
  <c r="B49" i="8"/>
  <c r="E48" i="8"/>
  <c r="F48" i="8"/>
  <c r="D48" i="8"/>
  <c r="B48" i="8"/>
  <c r="A48" i="8"/>
  <c r="C48" i="8"/>
  <c r="E47" i="8"/>
  <c r="F47" i="8"/>
  <c r="D47" i="8"/>
  <c r="B47" i="8"/>
  <c r="E46" i="8"/>
  <c r="F46" i="8"/>
  <c r="D46" i="8"/>
  <c r="B46" i="8"/>
  <c r="E45" i="8"/>
  <c r="D45" i="8"/>
  <c r="B45" i="8"/>
  <c r="E44" i="8"/>
  <c r="F44" i="8"/>
  <c r="D44" i="8"/>
  <c r="B44" i="8"/>
  <c r="E40" i="8"/>
  <c r="F40" i="8"/>
  <c r="D40" i="8"/>
  <c r="B40" i="8"/>
  <c r="A40" i="8"/>
  <c r="A49" i="8"/>
  <c r="C49" i="8"/>
  <c r="E39" i="8"/>
  <c r="F39" i="8"/>
  <c r="D39" i="8"/>
  <c r="C39" i="8"/>
  <c r="B39" i="8"/>
  <c r="A39" i="8"/>
  <c r="E38" i="8"/>
  <c r="F38" i="8"/>
  <c r="D38" i="8"/>
  <c r="B38" i="8"/>
  <c r="A38" i="8"/>
  <c r="E37" i="8"/>
  <c r="F37" i="8"/>
  <c r="D37" i="8"/>
  <c r="B37" i="8"/>
  <c r="A37" i="8"/>
  <c r="C37" i="8"/>
  <c r="E36" i="8"/>
  <c r="F36" i="8"/>
  <c r="D36" i="8"/>
  <c r="B36" i="8"/>
  <c r="A36" i="8"/>
  <c r="A45" i="8"/>
  <c r="C45" i="8"/>
  <c r="E35" i="8"/>
  <c r="F35" i="8"/>
  <c r="D35" i="8"/>
  <c r="B35" i="8"/>
  <c r="A35" i="8"/>
  <c r="A44" i="8"/>
  <c r="C44" i="8"/>
  <c r="A34" i="8"/>
  <c r="E31" i="8"/>
  <c r="F31" i="8"/>
  <c r="D31" i="8"/>
  <c r="C31" i="8"/>
  <c r="B31" i="8"/>
  <c r="E30" i="8"/>
  <c r="F30" i="8"/>
  <c r="D30" i="8"/>
  <c r="C30" i="8"/>
  <c r="B30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D11" i="8"/>
  <c r="C11" i="8"/>
  <c r="B11" i="8"/>
  <c r="E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73" i="7"/>
  <c r="D74" i="7"/>
  <c r="D76" i="7"/>
  <c r="D71" i="7"/>
  <c r="D69" i="7"/>
  <c r="F65" i="7"/>
  <c r="E51" i="7"/>
  <c r="F51" i="7"/>
  <c r="D60" i="7"/>
  <c r="D85" i="7"/>
  <c r="D86" i="7"/>
  <c r="C51" i="7"/>
  <c r="E50" i="7"/>
  <c r="F50" i="7"/>
  <c r="D50" i="7"/>
  <c r="B50" i="7"/>
  <c r="E49" i="7"/>
  <c r="F49" i="7"/>
  <c r="D49" i="7"/>
  <c r="B49" i="7"/>
  <c r="E48" i="7"/>
  <c r="F48" i="7"/>
  <c r="D48" i="7"/>
  <c r="B48" i="7"/>
  <c r="E47" i="7"/>
  <c r="F47" i="7"/>
  <c r="D47" i="7"/>
  <c r="B47" i="7"/>
  <c r="E46" i="7"/>
  <c r="F46" i="7"/>
  <c r="D46" i="7"/>
  <c r="B46" i="7"/>
  <c r="D44" i="7"/>
  <c r="B44" i="7"/>
  <c r="E41" i="7"/>
  <c r="F41" i="7"/>
  <c r="D41" i="7"/>
  <c r="C41" i="7"/>
  <c r="B41" i="7"/>
  <c r="A41" i="7"/>
  <c r="A50" i="7"/>
  <c r="C50" i="7"/>
  <c r="E40" i="7"/>
  <c r="F40" i="7"/>
  <c r="D40" i="7"/>
  <c r="B40" i="7"/>
  <c r="A40" i="7"/>
  <c r="A49" i="7"/>
  <c r="C49" i="7"/>
  <c r="E39" i="7"/>
  <c r="F39" i="7"/>
  <c r="D39" i="7"/>
  <c r="B39" i="7"/>
  <c r="A39" i="7"/>
  <c r="C39" i="7"/>
  <c r="E38" i="7"/>
  <c r="F38" i="7"/>
  <c r="D38" i="7"/>
  <c r="B38" i="7"/>
  <c r="A38" i="7"/>
  <c r="C38" i="7"/>
  <c r="E37" i="7"/>
  <c r="F37" i="7"/>
  <c r="D37" i="7"/>
  <c r="B37" i="7"/>
  <c r="A37" i="7"/>
  <c r="A46" i="7"/>
  <c r="C46" i="7"/>
  <c r="A36" i="7"/>
  <c r="C36" i="7"/>
  <c r="D35" i="7"/>
  <c r="B35" i="7"/>
  <c r="A35" i="7"/>
  <c r="C35" i="7"/>
  <c r="E32" i="7"/>
  <c r="F32" i="7"/>
  <c r="D32" i="7"/>
  <c r="C32" i="7"/>
  <c r="B32" i="7"/>
  <c r="E31" i="7"/>
  <c r="F31" i="7"/>
  <c r="D31" i="7"/>
  <c r="C31" i="7"/>
  <c r="B31" i="7"/>
  <c r="E30" i="7"/>
  <c r="F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7" i="7"/>
  <c r="F27" i="7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D19" i="7"/>
  <c r="C19" i="7"/>
  <c r="B19" i="7"/>
  <c r="C18" i="7"/>
  <c r="F17" i="7"/>
  <c r="D17" i="7"/>
  <c r="C17" i="7"/>
  <c r="B17" i="7"/>
  <c r="B15" i="7"/>
  <c r="E14" i="7"/>
  <c r="F14" i="7"/>
  <c r="D14" i="7"/>
  <c r="C14" i="7"/>
  <c r="B14" i="7"/>
  <c r="E13" i="7"/>
  <c r="F13" i="7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/>
  <c r="D10" i="7"/>
  <c r="C10" i="7"/>
  <c r="B10" i="7"/>
  <c r="E9" i="7"/>
  <c r="F9" i="7"/>
  <c r="D9" i="7"/>
  <c r="C9" i="7"/>
  <c r="B9" i="7"/>
  <c r="E8" i="7"/>
  <c r="F8" i="7"/>
  <c r="D8" i="7"/>
  <c r="C8" i="7"/>
  <c r="B8" i="7"/>
  <c r="H6" i="7"/>
  <c r="D82" i="8"/>
  <c r="F45" i="8"/>
  <c r="C35" i="8"/>
  <c r="F11" i="8"/>
  <c r="C40" i="8"/>
  <c r="F20" i="8"/>
  <c r="C36" i="8"/>
  <c r="D80" i="8"/>
  <c r="F10" i="8"/>
  <c r="D81" i="7"/>
  <c r="D83" i="7"/>
  <c r="C40" i="7"/>
  <c r="F19" i="7"/>
  <c r="C37" i="7"/>
  <c r="A45" i="7"/>
  <c r="C45" i="7"/>
  <c r="F35" i="7"/>
  <c r="C34" i="8"/>
  <c r="A43" i="8"/>
  <c r="C43" i="8"/>
  <c r="C38" i="8"/>
  <c r="A47" i="8"/>
  <c r="C47" i="8"/>
  <c r="A46" i="8"/>
  <c r="C46" i="8"/>
  <c r="C72" i="8"/>
  <c r="A44" i="7"/>
  <c r="C44" i="7"/>
  <c r="F44" i="7"/>
  <c r="A48" i="7"/>
  <c r="C48" i="7"/>
  <c r="A47" i="7"/>
  <c r="C47" i="7"/>
  <c r="C73" i="7"/>
  <c r="C84" i="8"/>
  <c r="E84" i="8"/>
  <c r="E72" i="8"/>
  <c r="C85" i="7"/>
  <c r="E85" i="7"/>
  <c r="E73" i="7"/>
  <c r="E18" i="7"/>
  <c r="F18" i="7"/>
  <c r="E36" i="7"/>
  <c r="F36" i="7"/>
  <c r="E45" i="7"/>
  <c r="F45" i="7"/>
  <c r="F53" i="7"/>
  <c r="F56" i="7"/>
  <c r="F54" i="7"/>
  <c r="H53" i="7"/>
  <c r="C69" i="7"/>
  <c r="F64" i="7"/>
  <c r="F55" i="7"/>
  <c r="C76" i="7"/>
  <c r="E76" i="7"/>
  <c r="H54" i="7"/>
  <c r="H56" i="7"/>
  <c r="C74" i="7"/>
  <c r="C86" i="7"/>
  <c r="E86" i="7"/>
  <c r="E74" i="7"/>
  <c r="E69" i="7"/>
  <c r="E78" i="7"/>
  <c r="C81" i="7"/>
  <c r="E81" i="7"/>
  <c r="H58" i="7"/>
  <c r="H59" i="7"/>
  <c r="O58" i="7"/>
  <c r="E43" i="8"/>
  <c r="F43" i="8"/>
  <c r="O55" i="7"/>
  <c r="H2" i="7"/>
  <c r="E34" i="8"/>
  <c r="F34" i="8"/>
  <c r="G2" i="7"/>
  <c r="H55" i="7"/>
  <c r="O54" i="7"/>
  <c r="F63" i="7"/>
  <c r="F2" i="7"/>
  <c r="E17" i="8"/>
  <c r="F17" i="8"/>
  <c r="F53" i="8"/>
  <c r="F55" i="8"/>
  <c r="F52" i="8"/>
  <c r="F66" i="7"/>
  <c r="C71" i="7"/>
  <c r="E63" i="7"/>
  <c r="O56" i="7"/>
  <c r="O57" i="7"/>
  <c r="O59" i="7"/>
  <c r="O60" i="7"/>
  <c r="O61" i="7"/>
  <c r="O62" i="7"/>
  <c r="C83" i="7"/>
  <c r="E83" i="7"/>
  <c r="E71" i="7"/>
  <c r="G41" i="7"/>
  <c r="G9" i="7"/>
  <c r="G36" i="7"/>
  <c r="G30" i="7"/>
  <c r="G29" i="7"/>
  <c r="G44" i="7"/>
  <c r="G66" i="7"/>
  <c r="G8" i="7"/>
  <c r="G19" i="7"/>
  <c r="G14" i="7"/>
  <c r="G51" i="7"/>
  <c r="G35" i="7"/>
  <c r="G17" i="7"/>
  <c r="G11" i="7"/>
  <c r="G22" i="7"/>
  <c r="G38" i="7"/>
  <c r="G65" i="7"/>
  <c r="G31" i="7"/>
  <c r="G28" i="7"/>
  <c r="G50" i="7"/>
  <c r="G10" i="7"/>
  <c r="G23" i="7"/>
  <c r="G37" i="7"/>
  <c r="G20" i="7"/>
  <c r="G47" i="7"/>
  <c r="G12" i="7"/>
  <c r="G40" i="7"/>
  <c r="G45" i="7"/>
  <c r="G13" i="7"/>
  <c r="G48" i="7"/>
  <c r="G18" i="7"/>
  <c r="G21" i="7"/>
  <c r="G49" i="7"/>
  <c r="G32" i="7"/>
  <c r="G46" i="7"/>
  <c r="G24" i="7"/>
  <c r="G27" i="7"/>
  <c r="G39" i="7"/>
  <c r="G53" i="7"/>
  <c r="G54" i="7"/>
  <c r="G56" i="7"/>
  <c r="G55" i="7"/>
  <c r="G64" i="7"/>
  <c r="H53" i="8"/>
  <c r="G2" i="8"/>
  <c r="C75" i="8"/>
  <c r="E75" i="8"/>
  <c r="G63" i="7"/>
  <c r="F63" i="8"/>
  <c r="F54" i="8"/>
  <c r="H52" i="8"/>
  <c r="F2" i="8"/>
  <c r="C68" i="8"/>
  <c r="C73" i="8"/>
  <c r="H55" i="8"/>
  <c r="P62" i="7"/>
  <c r="E2" i="7"/>
  <c r="E68" i="8"/>
  <c r="C80" i="8"/>
  <c r="E80" i="8"/>
  <c r="O54" i="8"/>
  <c r="H57" i="8"/>
  <c r="H58" i="8"/>
  <c r="O57" i="8"/>
  <c r="H2" i="8"/>
  <c r="C85" i="8"/>
  <c r="E85" i="8"/>
  <c r="E73" i="8"/>
  <c r="H54" i="8"/>
  <c r="F62" i="8"/>
  <c r="O53" i="8"/>
  <c r="E77" i="8"/>
  <c r="O55" i="8"/>
  <c r="O56" i="8"/>
  <c r="O58" i="8"/>
  <c r="E62" i="8"/>
  <c r="F65" i="8"/>
  <c r="G62" i="8"/>
  <c r="C70" i="8"/>
  <c r="G64" i="8"/>
  <c r="G39" i="8"/>
  <c r="G12" i="8"/>
  <c r="G45" i="8"/>
  <c r="G13" i="8"/>
  <c r="G50" i="8"/>
  <c r="G27" i="8"/>
  <c r="G65" i="8"/>
  <c r="G19" i="8"/>
  <c r="G44" i="8"/>
  <c r="G31" i="8"/>
  <c r="G21" i="8"/>
  <c r="G46" i="8"/>
  <c r="G28" i="8"/>
  <c r="G8" i="8"/>
  <c r="G29" i="8"/>
  <c r="G22" i="8"/>
  <c r="G14" i="8"/>
  <c r="G10" i="8"/>
  <c r="G37" i="8"/>
  <c r="G9" i="8"/>
  <c r="G40" i="8"/>
  <c r="G47" i="8"/>
  <c r="G18" i="8"/>
  <c r="G30" i="8"/>
  <c r="G20" i="8"/>
  <c r="G36" i="8"/>
  <c r="G24" i="8"/>
  <c r="G23" i="8"/>
  <c r="G38" i="8"/>
  <c r="G48" i="8"/>
  <c r="G49" i="8"/>
  <c r="G35" i="8"/>
  <c r="G11" i="8"/>
  <c r="G34" i="8"/>
  <c r="G17" i="8"/>
  <c r="G43" i="8"/>
  <c r="G53" i="8"/>
  <c r="G52" i="8"/>
  <c r="G55" i="8"/>
  <c r="G54" i="8"/>
  <c r="G63" i="8"/>
  <c r="O59" i="8"/>
  <c r="O60" i="8"/>
  <c r="O61" i="8"/>
  <c r="C82" i="8"/>
  <c r="E82" i="8"/>
  <c r="E70" i="8"/>
  <c r="E2" i="8"/>
  <c r="O63" i="8"/>
  <c r="P61" i="8"/>
</calcChain>
</file>

<file path=xl/sharedStrings.xml><?xml version="1.0" encoding="utf-8"?>
<sst xmlns="http://schemas.openxmlformats.org/spreadsheetml/2006/main" count="261" uniqueCount="118">
  <si>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</si>
  <si>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</si>
  <si>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</si>
  <si>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</si>
  <si>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</si>
  <si>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</si>
  <si>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</si>
  <si>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</si>
  <si>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</si>
  <si>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</si>
  <si>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</si>
  <si>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</si>
  <si>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</si>
  <si>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</si>
  <si>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</si>
  <si>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</si>
  <si>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</si>
  <si>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</si>
  <si>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</si>
  <si>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</si>
  <si>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</si>
  <si>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</si>
  <si>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</si>
  <si>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</si>
  <si>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</si>
  <si>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</si>
  <si>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</si>
  <si>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</si>
  <si>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Cocina</t>
  </si>
  <si>
    <t>Empaque</t>
  </si>
  <si>
    <t>FAS</t>
  </si>
  <si>
    <t>906000014</t>
  </si>
  <si>
    <t>RELLENO ESPINACA Y QUESO</t>
  </si>
  <si>
    <t>902000019</t>
  </si>
  <si>
    <t>EMPAQUE</t>
  </si>
  <si>
    <t>CAJA BLANCA  MEDIANAS (100 X PAQ)</t>
  </si>
  <si>
    <t>ETIQ.BLANCA 1 1/4 * 3/4</t>
  </si>
  <si>
    <t>CEMUSA</t>
  </si>
  <si>
    <t>ROLLO DE ESPINACA Y QUESO</t>
  </si>
  <si>
    <t>4 UD</t>
  </si>
  <si>
    <t>1.- Empacar 4 unidades en la caja blanca mediana con tapa.</t>
  </si>
  <si>
    <t>2.- Etiquetar</t>
  </si>
  <si>
    <t>ETIQ.FECHA VENCIMIENTO BLANCO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</si>
  <si>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</si>
  <si>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</si>
  <si>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</si>
  <si>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</si>
  <si>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</si>
  <si>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</si>
  <si>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</si>
  <si>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</si>
  <si>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</si>
  <si>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</si>
  <si>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</si>
  <si>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</si>
  <si>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</si>
  <si>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</si>
  <si>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</si>
  <si>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</si>
  <si>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</si>
  <si>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</si>
  <si>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</si>
  <si>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</si>
  <si>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</si>
  <si>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</si>
  <si>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</si>
  <si>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</si>
  <si>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</si>
  <si>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</si>
  <si>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</si>
  <si>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</si>
  <si>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</si>
  <si>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</si>
  <si>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</si>
  <si>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</si>
  <si>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</si>
  <si>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</si>
  <si>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</si>
  <si>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</si>
  <si>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</si>
  <si>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</si>
  <si>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</si>
  <si>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</si>
  <si>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</si>
  <si>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</si>
  <si>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</si>
  <si>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</si>
  <si>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</si>
  <si>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</si>
  <si>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</si>
  <si>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</si>
  <si>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</si>
  <si>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</si>
  <si>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</si>
  <si>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1950729</t>
  </si>
  <si>
    <t>0702069</t>
  </si>
  <si>
    <t>0702007</t>
  </si>
  <si>
    <t xml:space="preserve">und </t>
  </si>
  <si>
    <t>und</t>
  </si>
  <si>
    <t># Código Netsuite</t>
  </si>
  <si>
    <t>SE00546</t>
  </si>
  <si>
    <t>20400043 (PTL00181) Empaque rollos de espinaca y queso</t>
  </si>
  <si>
    <t>EM10017</t>
  </si>
  <si>
    <t>EM10004</t>
  </si>
  <si>
    <t>EM10002</t>
  </si>
  <si>
    <t>01</t>
  </si>
  <si>
    <t>Javier Tong, Chef</t>
  </si>
  <si>
    <t>Esteban Cartin, Gte Manufactura</t>
  </si>
  <si>
    <t>Ensamble</t>
  </si>
  <si>
    <t>Decoración</t>
  </si>
  <si>
    <t>LITOGRAFIA CR</t>
  </si>
  <si>
    <t>ETIPLAST</t>
  </si>
  <si>
    <t>Tiempo de Horneo:</t>
  </si>
  <si>
    <t>Horno:</t>
  </si>
  <si>
    <t>Temperatura de Horneo:</t>
  </si>
  <si>
    <t>Otros</t>
  </si>
  <si>
    <t>CONTROL DE CAMBIOS</t>
  </si>
  <si>
    <t>ESP-RE-EMPS-001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</si>
</sst>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8">
    <xf numFmtId="0" fontId="0" fillId="0" borderId="0" xfId="0"/>
    <xf numFmtId="0" fontId="1" fillId="2" borderId="2" xfId="4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38" fillId="2" borderId="0" xfId="4" applyNumberFormat="1" applyFont="1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/>
    </xf>
    <xf numFmtId="0" fontId="8" fillId="0" borderId="3" xfId="0" applyFont="1" applyBorder="1"/>
    <xf numFmtId="0" fontId="10" fillId="0" borderId="17" xfId="0" applyFont="1" applyBorder="1" applyAlignment="1">
      <alignment horizontal="center"/>
    </xf>
    <xf numFmtId="0" fontId="8" fillId="9" borderId="0" xfId="0" applyFont="1" applyFill="1" applyAlignment="1">
      <alignment vertical="center"/>
    </xf>
    <xf numFmtId="0" fontId="9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3" xfId="1" applyFont="1" applyFill="1" applyBorder="1" applyAlignment="1">
      <alignment horizontal="center" vertical="center"/>
    </xf>
    <xf numFmtId="43" fontId="9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Fill="1" applyAlignment="1">
      <alignment vertical="center"/>
    </xf>
    <xf numFmtId="43" fontId="19" fillId="0" borderId="0" xfId="1" applyFont="1" applyFill="1" applyAlignment="1">
      <alignment horizontal="center" vertical="center"/>
    </xf>
    <xf numFmtId="10" fontId="12" fillId="4" borderId="21" xfId="5" applyNumberFormat="1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43" fontId="19" fillId="4" borderId="22" xfId="1" applyFont="1" applyFill="1" applyBorder="1" applyAlignment="1">
      <alignment horizontal="center" vertical="center"/>
    </xf>
    <xf numFmtId="43" fontId="21" fillId="0" borderId="0" xfId="1" applyFont="1" applyFill="1" applyBorder="1" applyAlignment="1">
      <alignment horizontal="right"/>
    </xf>
    <xf numFmtId="0" fontId="8" fillId="4" borderId="22" xfId="0" applyFont="1" applyFill="1" applyBorder="1" applyAlignment="1">
      <alignment vertical="center"/>
    </xf>
    <xf numFmtId="10" fontId="12" fillId="4" borderId="22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39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9" fillId="0" borderId="0" xfId="2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7" xfId="0" applyFont="1" applyBorder="1" applyAlignment="1">
      <alignment horizontal="right"/>
    </xf>
    <xf numFmtId="43" fontId="24" fillId="5" borderId="23" xfId="1" applyFont="1" applyFill="1" applyBorder="1" applyAlignment="1">
      <alignment horizontal="right"/>
    </xf>
    <xf numFmtId="43" fontId="24" fillId="0" borderId="0" xfId="1" applyFont="1" applyFill="1" applyBorder="1" applyAlignment="1">
      <alignment horizontal="right"/>
    </xf>
    <xf numFmtId="43" fontId="9" fillId="0" borderId="3" xfId="1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9" fillId="0" borderId="0" xfId="2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9" fontId="9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6" borderId="3" xfId="1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4" borderId="24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1" applyNumberFormat="1" applyFont="1" applyFill="1" applyBorder="1" applyAlignment="1">
      <alignment horizontal="center"/>
    </xf>
    <xf numFmtId="2" fontId="23" fillId="0" borderId="0" xfId="1" applyNumberFormat="1" applyFont="1" applyFill="1" applyBorder="1" applyAlignment="1">
      <alignment horizontal="center"/>
    </xf>
    <xf numFmtId="0" fontId="8" fillId="4" borderId="24" xfId="0" applyFont="1" applyFill="1" applyBorder="1" applyAlignment="1">
      <alignment vertical="center"/>
    </xf>
    <xf numFmtId="10" fontId="8" fillId="0" borderId="0" xfId="5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43" fontId="24" fillId="4" borderId="9" xfId="1" applyFont="1" applyFill="1" applyBorder="1" applyAlignment="1">
      <alignment horizontal="right"/>
    </xf>
    <xf numFmtId="0" fontId="9" fillId="4" borderId="10" xfId="0" applyFont="1" applyFill="1" applyBorder="1" applyAlignment="1">
      <alignment horizontal="right" vertical="center"/>
    </xf>
    <xf numFmtId="10" fontId="30" fillId="0" borderId="0" xfId="1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43" fontId="32" fillId="0" borderId="0" xfId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9" fillId="7" borderId="23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43" fontId="27" fillId="0" borderId="0" xfId="1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1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8" fillId="0" borderId="0" xfId="1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6" fontId="9" fillId="0" borderId="0" xfId="0" applyNumberFormat="1" applyFont="1"/>
    <xf numFmtId="0" fontId="41" fillId="2" borderId="1" xfId="4" applyFont="1" applyFill="1" applyBorder="1" applyAlignment="1">
      <alignment horizontal="right"/>
    </xf>
    <xf numFmtId="0" fontId="41" fillId="2" borderId="3" xfId="4" applyFont="1" applyFill="1" applyBorder="1" applyAlignment="1">
      <alignment horizontal="right"/>
    </xf>
    <xf numFmtId="49" fontId="11" fillId="2" borderId="4" xfId="4" applyNumberFormat="1" applyFont="1" applyFill="1" applyBorder="1" applyAlignment="1">
      <alignment horizontal="center"/>
    </xf>
    <xf numFmtId="0" fontId="11" fillId="2" borderId="11" xfId="4" applyFont="1" applyFill="1" applyBorder="1" applyAlignment="1">
      <alignment horizontal="right"/>
    </xf>
    <xf numFmtId="0" fontId="11" fillId="2" borderId="3" xfId="4" applyFont="1" applyFill="1" applyBorder="1" applyAlignment="1">
      <alignment horizontal="right"/>
    </xf>
    <xf numFmtId="0" fontId="41" fillId="3" borderId="2" xfId="3" applyFont="1" applyFill="1" applyBorder="1" applyAlignment="1">
      <alignment horizontal="center" vertical="center" wrapText="1"/>
    </xf>
    <xf numFmtId="1" fontId="41" fillId="3" borderId="5" xfId="3" applyNumberFormat="1" applyFont="1" applyFill="1" applyBorder="1" applyAlignment="1">
      <alignment horizontal="center"/>
    </xf>
    <xf numFmtId="1" fontId="41" fillId="3" borderId="5" xfId="3" applyNumberFormat="1" applyFont="1" applyFill="1" applyBorder="1" applyAlignment="1">
      <alignment horizontal="center" wrapText="1"/>
    </xf>
    <xf numFmtId="0" fontId="41" fillId="3" borderId="14" xfId="3" applyFont="1" applyFill="1" applyBorder="1" applyAlignment="1">
      <alignment horizontal="center"/>
    </xf>
    <xf numFmtId="0" fontId="42" fillId="0" borderId="16" xfId="3" applyFont="1" applyBorder="1" applyAlignment="1">
      <alignment horizontal="center" vertical="center"/>
    </xf>
    <xf numFmtId="0" fontId="42" fillId="0" borderId="17" xfId="3" applyFont="1" applyBorder="1" applyAlignment="1">
      <alignment horizontal="center" vertical="center"/>
    </xf>
    <xf numFmtId="0" fontId="43" fillId="0" borderId="3" xfId="3" applyFont="1" applyBorder="1" applyAlignment="1">
      <alignment vertical="center"/>
    </xf>
    <xf numFmtId="0" fontId="42" fillId="0" borderId="3" xfId="3" applyFont="1" applyBorder="1" applyAlignment="1">
      <alignment horizontal="center" vertical="center"/>
    </xf>
    <xf numFmtId="1" fontId="42" fillId="0" borderId="3" xfId="3" applyNumberFormat="1" applyFont="1" applyBorder="1" applyAlignment="1">
      <alignment horizontal="center"/>
    </xf>
    <xf numFmtId="1" fontId="42" fillId="0" borderId="3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1" fontId="11" fillId="0" borderId="11" xfId="0" applyNumberFormat="1" applyFont="1" applyBorder="1" applyAlignment="1">
      <alignment horizontal="center"/>
    </xf>
    <xf numFmtId="1" fontId="41" fillId="9" borderId="50" xfId="3" applyNumberFormat="1" applyFont="1" applyFill="1" applyBorder="1" applyAlignment="1">
      <alignment horizontal="center" wrapText="1"/>
    </xf>
    <xf numFmtId="0" fontId="1" fillId="0" borderId="3" xfId="0" applyFont="1" applyBorder="1"/>
    <xf numFmtId="2" fontId="42" fillId="0" borderId="3" xfId="3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3" xfId="3" applyBorder="1" applyAlignment="1">
      <alignment horizontal="center"/>
    </xf>
    <xf numFmtId="2" fontId="42" fillId="0" borderId="3" xfId="3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9" borderId="3" xfId="0" applyFill="1" applyBorder="1"/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49" fontId="10" fillId="0" borderId="16" xfId="3" applyNumberFormat="1" applyFont="1" applyBorder="1" applyAlignment="1">
      <alignment horizontal="center"/>
    </xf>
    <xf numFmtId="49" fontId="10" fillId="0" borderId="17" xfId="3" applyNumberFormat="1" applyFont="1" applyBorder="1" applyAlignment="1">
      <alignment horizontal="center"/>
    </xf>
    <xf numFmtId="0" fontId="44" fillId="9" borderId="3" xfId="3" applyFont="1" applyFill="1" applyBorder="1" applyAlignment="1">
      <alignment horizontal="left"/>
    </xf>
    <xf numFmtId="0" fontId="10" fillId="0" borderId="3" xfId="3" applyFont="1" applyBorder="1" applyAlignment="1">
      <alignment horizontal="center"/>
    </xf>
    <xf numFmtId="165" fontId="10" fillId="0" borderId="3" xfId="3" applyNumberFormat="1" applyFont="1" applyBorder="1" applyAlignment="1">
      <alignment horizontal="center"/>
    </xf>
    <xf numFmtId="0" fontId="1" fillId="0" borderId="16" xfId="6" applyBorder="1" applyAlignment="1">
      <alignment horizontal="center"/>
    </xf>
    <xf numFmtId="0" fontId="1" fillId="9" borderId="3" xfId="6" applyFill="1" applyBorder="1"/>
    <xf numFmtId="16" fontId="10" fillId="0" borderId="3" xfId="6" applyNumberFormat="1" applyFont="1" applyBorder="1" applyAlignment="1">
      <alignment horizontal="center"/>
    </xf>
    <xf numFmtId="0" fontId="1" fillId="0" borderId="3" xfId="6" applyBorder="1" applyAlignment="1">
      <alignment horizontal="center"/>
    </xf>
    <xf numFmtId="16" fontId="10" fillId="0" borderId="3" xfId="0" applyNumberFormat="1" applyFont="1" applyBorder="1" applyAlignment="1">
      <alignment horizontal="center"/>
    </xf>
    <xf numFmtId="1" fontId="10" fillId="0" borderId="3" xfId="6" applyNumberFormat="1" applyFont="1" applyBorder="1" applyAlignment="1">
      <alignment horizontal="center"/>
    </xf>
    <xf numFmtId="1" fontId="10" fillId="0" borderId="3" xfId="6" applyNumberFormat="1" applyFont="1" applyBorder="1" applyAlignment="1">
      <alignment horizontal="center" wrapText="1"/>
    </xf>
    <xf numFmtId="49" fontId="42" fillId="0" borderId="34" xfId="3" applyNumberFormat="1" applyFont="1" applyBorder="1" applyAlignment="1">
      <alignment horizontal="center"/>
    </xf>
    <xf numFmtId="49" fontId="42" fillId="0" borderId="35" xfId="3" applyNumberFormat="1" applyFont="1" applyBorder="1" applyAlignment="1">
      <alignment horizontal="center"/>
    </xf>
    <xf numFmtId="0" fontId="45" fillId="9" borderId="3" xfId="3" applyFont="1" applyFill="1" applyBorder="1" applyAlignment="1">
      <alignment vertical="center"/>
    </xf>
    <xf numFmtId="0" fontId="42" fillId="0" borderId="17" xfId="3" applyFont="1" applyBorder="1" applyAlignment="1">
      <alignment horizontal="center"/>
    </xf>
    <xf numFmtId="165" fontId="42" fillId="0" borderId="3" xfId="3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0" fontId="41" fillId="9" borderId="3" xfId="1" applyNumberFormat="1" applyFont="1" applyFill="1" applyBorder="1" applyAlignment="1">
      <alignment horizontal="center"/>
    </xf>
    <xf numFmtId="0" fontId="46" fillId="0" borderId="51" xfId="3" applyFont="1" applyBorder="1" applyAlignment="1">
      <alignment horizontal="center" vertical="center"/>
    </xf>
    <xf numFmtId="0" fontId="46" fillId="0" borderId="15" xfId="3" applyFont="1" applyBorder="1" applyAlignment="1">
      <alignment horizontal="center" vertical="center"/>
    </xf>
    <xf numFmtId="0" fontId="4" fillId="0" borderId="11" xfId="3" applyFont="1" applyBorder="1"/>
    <xf numFmtId="0" fontId="4" fillId="0" borderId="11" xfId="3" applyFont="1" applyBorder="1" applyAlignment="1">
      <alignment horizontal="center"/>
    </xf>
    <xf numFmtId="1" fontId="4" fillId="0" borderId="3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 wrapText="1"/>
    </xf>
    <xf numFmtId="1" fontId="41" fillId="9" borderId="3" xfId="3" applyNumberFormat="1" applyFont="1" applyFill="1" applyBorder="1" applyAlignment="1">
      <alignment horizontal="center" wrapText="1"/>
    </xf>
    <xf numFmtId="0" fontId="47" fillId="0" borderId="16" xfId="0" quotePrefix="1" applyFont="1" applyBorder="1" applyAlignment="1">
      <alignment horizontal="center"/>
    </xf>
    <xf numFmtId="0" fontId="47" fillId="0" borderId="17" xfId="0" quotePrefix="1" applyFont="1" applyBorder="1" applyAlignment="1">
      <alignment horizontal="center"/>
    </xf>
    <xf numFmtId="0" fontId="48" fillId="0" borderId="3" xfId="0" quotePrefix="1" applyFont="1" applyBorder="1"/>
    <xf numFmtId="0" fontId="41" fillId="9" borderId="3" xfId="0" applyFont="1" applyFill="1" applyBorder="1" applyAlignment="1">
      <alignment horizontal="center" vertical="center"/>
    </xf>
    <xf numFmtId="1" fontId="11" fillId="9" borderId="3" xfId="0" applyNumberFormat="1" applyFont="1" applyFill="1" applyBorder="1" applyAlignment="1">
      <alignment horizontal="center"/>
    </xf>
    <xf numFmtId="1" fontId="11" fillId="9" borderId="3" xfId="0" applyNumberFormat="1" applyFont="1" applyFill="1" applyBorder="1" applyAlignment="1">
      <alignment horizontal="center" wrapText="1"/>
    </xf>
    <xf numFmtId="49" fontId="10" fillId="9" borderId="16" xfId="3" applyNumberFormat="1" applyFont="1" applyFill="1" applyBorder="1" applyAlignment="1">
      <alignment horizontal="center"/>
    </xf>
    <xf numFmtId="49" fontId="10" fillId="9" borderId="17" xfId="3" applyNumberFormat="1" applyFont="1" applyFill="1" applyBorder="1" applyAlignment="1">
      <alignment horizontal="center"/>
    </xf>
    <xf numFmtId="49" fontId="8" fillId="9" borderId="3" xfId="3" applyNumberFormat="1" applyFont="1" applyFill="1" applyBorder="1"/>
    <xf numFmtId="12" fontId="10" fillId="0" borderId="3" xfId="3" applyNumberFormat="1" applyFont="1" applyBorder="1" applyAlignment="1">
      <alignment horizontal="center"/>
    </xf>
    <xf numFmtId="49" fontId="8" fillId="0" borderId="3" xfId="3" applyNumberFormat="1" applyFont="1" applyBorder="1"/>
    <xf numFmtId="1" fontId="49" fillId="0" borderId="3" xfId="3" applyNumberFormat="1" applyFont="1" applyBorder="1" applyAlignment="1">
      <alignment horizontal="center"/>
    </xf>
    <xf numFmtId="0" fontId="49" fillId="0" borderId="3" xfId="3" applyFont="1" applyBorder="1" applyAlignment="1">
      <alignment horizontal="center"/>
    </xf>
    <xf numFmtId="49" fontId="50" fillId="2" borderId="6" xfId="3" applyNumberFormat="1" applyFont="1" applyFill="1" applyBorder="1" applyAlignment="1">
      <alignment horizontal="center" vertical="center"/>
    </xf>
    <xf numFmtId="49" fontId="50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7" xfId="3" applyFont="1" applyFill="1" applyBorder="1" applyAlignment="1">
      <alignment horizontal="center"/>
    </xf>
    <xf numFmtId="0" fontId="1" fillId="0" borderId="0" xfId="3"/>
    <xf numFmtId="0" fontId="11" fillId="2" borderId="0" xfId="3" applyFont="1" applyFill="1" applyAlignment="1">
      <alignment horizontal="left" indent="1"/>
    </xf>
    <xf numFmtId="0" fontId="11" fillId="3" borderId="8" xfId="3" applyFont="1" applyFill="1" applyBorder="1" applyAlignment="1">
      <alignment horizontal="center"/>
    </xf>
    <xf numFmtId="0" fontId="11" fillId="3" borderId="9" xfId="3" applyFont="1" applyFill="1" applyBorder="1" applyAlignment="1">
      <alignment horizontal="center"/>
    </xf>
    <xf numFmtId="0" fontId="11" fillId="3" borderId="9" xfId="3" applyFont="1" applyFill="1" applyBorder="1"/>
    <xf numFmtId="0" fontId="41" fillId="3" borderId="9" xfId="3" applyFont="1" applyFill="1" applyBorder="1" applyAlignment="1">
      <alignment horizontal="center"/>
    </xf>
    <xf numFmtId="1" fontId="41" fillId="3" borderId="9" xfId="3" applyNumberFormat="1" applyFont="1" applyFill="1" applyBorder="1" applyAlignment="1">
      <alignment horizontal="center"/>
    </xf>
    <xf numFmtId="164" fontId="11" fillId="3" borderId="9" xfId="3" applyNumberFormat="1" applyFont="1" applyFill="1" applyBorder="1" applyAlignment="1">
      <alignment horizontal="center" wrapText="1"/>
    </xf>
    <xf numFmtId="0" fontId="11" fillId="3" borderId="10" xfId="3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9" fontId="11" fillId="2" borderId="0" xfId="7" applyFont="1" applyFill="1"/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35" fillId="0" borderId="8" xfId="0" applyFont="1" applyBorder="1" applyAlignment="1">
      <alignment horizontal="right" vertical="center"/>
    </xf>
    <xf numFmtId="0" fontId="35" fillId="0" borderId="9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28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4" fillId="4" borderId="8" xfId="0" applyFont="1" applyFill="1" applyBorder="1" applyAlignment="1">
      <alignment horizontal="right"/>
    </xf>
    <xf numFmtId="0" fontId="24" fillId="4" borderId="9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8" borderId="8" xfId="0" applyFont="1" applyFill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27" fillId="0" borderId="3" xfId="0" applyFont="1" applyBorder="1" applyAlignment="1">
      <alignment horizontal="right" vertical="center"/>
    </xf>
    <xf numFmtId="0" fontId="28" fillId="0" borderId="6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7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8" fillId="0" borderId="3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41" xfId="0" applyFont="1" applyBorder="1" applyAlignment="1">
      <alignment horizontal="right"/>
    </xf>
    <xf numFmtId="0" fontId="20" fillId="0" borderId="42" xfId="0" applyFont="1" applyBorder="1" applyAlignment="1">
      <alignment horizontal="right"/>
    </xf>
    <xf numFmtId="0" fontId="14" fillId="0" borderId="2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right" vertical="center" wrapText="1"/>
    </xf>
    <xf numFmtId="14" fontId="11" fillId="2" borderId="46" xfId="4" applyNumberFormat="1" applyFont="1" applyFill="1" applyBorder="1" applyAlignment="1">
      <alignment horizontal="center" vertical="center" wrapText="1"/>
    </xf>
    <xf numFmtId="14" fontId="11" fillId="2" borderId="49" xfId="4" applyNumberFormat="1" applyFont="1" applyFill="1" applyBorder="1" applyAlignment="1">
      <alignment horizontal="center" vertical="center" wrapText="1"/>
    </xf>
    <xf numFmtId="14" fontId="11" fillId="2" borderId="13" xfId="4" applyNumberFormat="1" applyFont="1" applyFill="1" applyBorder="1" applyAlignment="1">
      <alignment horizontal="center" vertical="center" wrapText="1"/>
    </xf>
    <xf numFmtId="0" fontId="11" fillId="2" borderId="47" xfId="4" applyFont="1" applyFill="1" applyBorder="1" applyAlignment="1">
      <alignment horizontal="left"/>
    </xf>
    <xf numFmtId="0" fontId="11" fillId="2" borderId="48" xfId="4" applyFont="1" applyFill="1" applyBorder="1" applyAlignment="1">
      <alignment horizontal="left"/>
    </xf>
    <xf numFmtId="0" fontId="11" fillId="2" borderId="25" xfId="4" applyFont="1" applyFill="1" applyBorder="1" applyAlignment="1">
      <alignment horizontal="left"/>
    </xf>
    <xf numFmtId="0" fontId="11" fillId="2" borderId="36" xfId="4" applyFont="1" applyFill="1" applyBorder="1" applyAlignment="1">
      <alignment horizontal="left"/>
    </xf>
    <xf numFmtId="0" fontId="11" fillId="2" borderId="35" xfId="4" applyFont="1" applyFill="1" applyBorder="1" applyAlignment="1">
      <alignment horizontal="left"/>
    </xf>
    <xf numFmtId="0" fontId="11" fillId="2" borderId="17" xfId="4" applyFont="1" applyFill="1" applyBorder="1" applyAlignment="1">
      <alignment horizontal="left"/>
    </xf>
    <xf numFmtId="0" fontId="11" fillId="2" borderId="41" xfId="4" applyFont="1" applyFill="1" applyBorder="1" applyAlignment="1">
      <alignment horizontal="center"/>
    </xf>
    <xf numFmtId="0" fontId="11" fillId="2" borderId="42" xfId="4" applyFont="1" applyFill="1" applyBorder="1" applyAlignment="1">
      <alignment horizontal="center"/>
    </xf>
    <xf numFmtId="0" fontId="11" fillId="2" borderId="6" xfId="4" applyFont="1" applyFill="1" applyBorder="1" applyAlignment="1">
      <alignment horizontal="center"/>
    </xf>
    <xf numFmtId="0" fontId="11" fillId="2" borderId="0" xfId="4" applyFont="1" applyFill="1" applyAlignment="1">
      <alignment horizontal="center"/>
    </xf>
    <xf numFmtId="0" fontId="11" fillId="2" borderId="29" xfId="4" applyFont="1" applyFill="1" applyBorder="1" applyAlignment="1">
      <alignment horizontal="center"/>
    </xf>
    <xf numFmtId="0" fontId="11" fillId="2" borderId="30" xfId="4" applyFont="1" applyFill="1" applyBorder="1" applyAlignment="1">
      <alignment horizontal="center"/>
    </xf>
    <xf numFmtId="0" fontId="40" fillId="2" borderId="1" xfId="4" applyFont="1" applyFill="1" applyBorder="1" applyAlignment="1">
      <alignment horizontal="center"/>
    </xf>
    <xf numFmtId="0" fontId="40" fillId="2" borderId="33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 vertical="center" wrapText="1"/>
    </xf>
    <xf numFmtId="0" fontId="41" fillId="2" borderId="45" xfId="4" applyFont="1" applyFill="1" applyBorder="1" applyAlignment="1">
      <alignment horizontal="right" vertical="top" wrapText="1"/>
    </xf>
    <xf numFmtId="0" fontId="41" fillId="2" borderId="43" xfId="4" applyFont="1" applyFill="1" applyBorder="1" applyAlignment="1">
      <alignment horizontal="right" vertical="top" wrapText="1"/>
    </xf>
    <xf numFmtId="0" fontId="41" fillId="2" borderId="44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8" fillId="2" borderId="28" xfId="4" applyFont="1" applyFill="1" applyBorder="1" applyAlignment="1">
      <alignment horizontal="center"/>
    </xf>
    <xf numFmtId="0" fontId="3" fillId="2" borderId="0" xfId="4" applyFont="1" applyFill="1"/>
    <xf numFmtId="0" fontId="41" fillId="3" borderId="27" xfId="3" applyFont="1" applyFill="1" applyBorder="1" applyAlignment="1">
      <alignment horizontal="center" vertical="center"/>
    </xf>
    <xf numFmtId="0" fontId="41" fillId="3" borderId="32" xfId="3" applyFont="1" applyFill="1" applyBorder="1" applyAlignment="1">
      <alignment horizontal="center" vertical="center"/>
    </xf>
    <xf numFmtId="0" fontId="41" fillId="3" borderId="27" xfId="3" applyFont="1" applyFill="1" applyBorder="1" applyAlignment="1">
      <alignment horizontal="center" vertical="center" wrapText="1"/>
    </xf>
    <xf numFmtId="0" fontId="41" fillId="3" borderId="32" xfId="3" applyFont="1" applyFill="1" applyBorder="1" applyAlignment="1">
      <alignment horizontal="center" vertical="center" wrapText="1"/>
    </xf>
    <xf numFmtId="0" fontId="41" fillId="3" borderId="1" xfId="3" applyFont="1" applyFill="1" applyBorder="1" applyAlignment="1">
      <alignment horizontal="center" vertical="center"/>
    </xf>
    <xf numFmtId="0" fontId="41" fillId="3" borderId="5" xfId="3" applyFont="1" applyFill="1" applyBorder="1" applyAlignment="1">
      <alignment horizontal="center" vertical="center"/>
    </xf>
    <xf numFmtId="0" fontId="41" fillId="0" borderId="29" xfId="3" applyFont="1" applyBorder="1" applyAlignment="1">
      <alignment horizontal="right"/>
    </xf>
    <xf numFmtId="0" fontId="41" fillId="0" borderId="30" xfId="3" applyFont="1" applyBorder="1" applyAlignment="1">
      <alignment horizontal="right"/>
    </xf>
    <xf numFmtId="0" fontId="41" fillId="0" borderId="15" xfId="3" applyFont="1" applyBorder="1" applyAlignment="1">
      <alignment horizontal="right"/>
    </xf>
    <xf numFmtId="164" fontId="11" fillId="0" borderId="11" xfId="3" applyNumberFormat="1" applyFont="1" applyBorder="1" applyAlignment="1">
      <alignment horizontal="right"/>
    </xf>
    <xf numFmtId="0" fontId="11" fillId="2" borderId="12" xfId="3" applyFont="1" applyFill="1" applyBorder="1" applyAlignment="1">
      <alignment horizontal="center"/>
    </xf>
    <xf numFmtId="0" fontId="11" fillId="2" borderId="31" xfId="3" applyFont="1" applyFill="1" applyBorder="1" applyAlignment="1">
      <alignment horizontal="center"/>
    </xf>
    <xf numFmtId="0" fontId="41" fillId="0" borderId="34" xfId="3" applyFont="1" applyBorder="1" applyAlignment="1">
      <alignment horizontal="right"/>
    </xf>
    <xf numFmtId="0" fontId="41" fillId="0" borderId="35" xfId="3" applyFont="1" applyBorder="1" applyAlignment="1">
      <alignment horizontal="right"/>
    </xf>
    <xf numFmtId="0" fontId="41" fillId="0" borderId="17" xfId="3" applyFont="1" applyBorder="1" applyAlignment="1">
      <alignment horizontal="right"/>
    </xf>
    <xf numFmtId="0" fontId="11" fillId="0" borderId="3" xfId="3" applyFont="1" applyBorder="1" applyAlignment="1">
      <alignment horizontal="right"/>
    </xf>
    <xf numFmtId="164" fontId="11" fillId="0" borderId="36" xfId="3" applyNumberFormat="1" applyFont="1" applyBorder="1" applyAlignment="1">
      <alignment horizontal="center"/>
    </xf>
    <xf numFmtId="164" fontId="11" fillId="0" borderId="37" xfId="3" applyNumberFormat="1" applyFont="1" applyBorder="1" applyAlignment="1">
      <alignment horizontal="center"/>
    </xf>
    <xf numFmtId="0" fontId="5" fillId="0" borderId="29" xfId="3" applyFont="1" applyBorder="1" applyAlignment="1">
      <alignment horizontal="left" wrapText="1"/>
    </xf>
    <xf numFmtId="0" fontId="5" fillId="0" borderId="30" xfId="3" applyFont="1" applyBorder="1" applyAlignment="1">
      <alignment horizontal="left" wrapText="1"/>
    </xf>
    <xf numFmtId="0" fontId="5" fillId="0" borderId="31" xfId="3" applyFont="1" applyBorder="1" applyAlignment="1">
      <alignment horizontal="left" wrapText="1"/>
    </xf>
    <xf numFmtId="164" fontId="11" fillId="0" borderId="36" xfId="3" applyNumberFormat="1" applyFont="1" applyBorder="1" applyAlignment="1">
      <alignment horizontal="right" wrapText="1"/>
    </xf>
    <xf numFmtId="164" fontId="11" fillId="0" borderId="17" xfId="3" applyNumberFormat="1" applyFont="1" applyBorder="1" applyAlignment="1">
      <alignment horizontal="right" wrapText="1"/>
    </xf>
    <xf numFmtId="0" fontId="41" fillId="0" borderId="32" xfId="3" applyFont="1" applyBorder="1" applyAlignment="1">
      <alignment horizontal="right"/>
    </xf>
    <xf numFmtId="0" fontId="41" fillId="0" borderId="26" xfId="3" applyFont="1" applyBorder="1" applyAlignment="1">
      <alignment horizontal="right"/>
    </xf>
    <xf numFmtId="0" fontId="41" fillId="0" borderId="5" xfId="3" applyFont="1" applyBorder="1" applyAlignment="1">
      <alignment horizontal="right"/>
    </xf>
    <xf numFmtId="0" fontId="11" fillId="0" borderId="5" xfId="3" applyFont="1" applyBorder="1" applyAlignment="1">
      <alignment horizontal="right"/>
    </xf>
    <xf numFmtId="164" fontId="11" fillId="0" borderId="39" xfId="3" applyNumberFormat="1" applyFont="1" applyBorder="1" applyAlignment="1">
      <alignment horizontal="center"/>
    </xf>
    <xf numFmtId="164" fontId="11" fillId="0" borderId="40" xfId="3" applyNumberFormat="1" applyFont="1" applyBorder="1" applyAlignment="1">
      <alignment horizontal="center"/>
    </xf>
    <xf numFmtId="0" fontId="41" fillId="3" borderId="8" xfId="3" applyFont="1" applyFill="1" applyBorder="1" applyAlignment="1">
      <alignment horizontal="left"/>
    </xf>
    <xf numFmtId="0" fontId="41" fillId="3" borderId="9" xfId="3" applyFont="1" applyFill="1" applyBorder="1" applyAlignment="1">
      <alignment horizontal="left"/>
    </xf>
    <xf numFmtId="0" fontId="41" fillId="3" borderId="10" xfId="3" applyFont="1" applyFill="1" applyBorder="1" applyAlignment="1">
      <alignment horizontal="left"/>
    </xf>
    <xf numFmtId="0" fontId="11" fillId="0" borderId="52" xfId="3" applyFont="1" applyBorder="1" applyAlignment="1">
      <alignment horizontal="left"/>
    </xf>
    <xf numFmtId="0" fontId="11" fillId="0" borderId="53" xfId="3" applyFont="1" applyBorder="1" applyAlignment="1">
      <alignment horizontal="left"/>
    </xf>
    <xf numFmtId="0" fontId="11" fillId="0" borderId="40" xfId="3" applyFont="1" applyBorder="1" applyAlignment="1">
      <alignment horizontal="left"/>
    </xf>
    <xf numFmtId="0" fontId="41" fillId="11" borderId="54" xfId="4" applyFont="1" applyFill="1" applyBorder="1" applyAlignment="1">
      <alignment horizontal="center"/>
    </xf>
    <xf numFmtId="0" fontId="41" fillId="11" borderId="42" xfId="4" applyFont="1" applyFill="1" applyBorder="1" applyAlignment="1">
      <alignment horizontal="center"/>
    </xf>
    <xf numFmtId="0" fontId="11" fillId="2" borderId="55" xfId="4" applyFont="1" applyFill="1" applyBorder="1" applyAlignment="1">
      <alignment horizontal="left"/>
    </xf>
    <xf numFmtId="0" fontId="11" fillId="2" borderId="0" xfId="4" applyFont="1" applyFill="1" applyAlignment="1">
      <alignment horizontal="left"/>
    </xf>
    <xf numFmtId="0" fontId="8" fillId="0" borderId="34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11" fillId="0" borderId="34" xfId="3" applyFont="1" applyBorder="1" applyAlignment="1">
      <alignment horizontal="left" wrapText="1"/>
    </xf>
    <xf numFmtId="0" fontId="11" fillId="0" borderId="35" xfId="3" applyFont="1" applyBorder="1" applyAlignment="1">
      <alignment horizontal="left" wrapText="1"/>
    </xf>
    <xf numFmtId="0" fontId="11" fillId="0" borderId="37" xfId="3" applyFont="1" applyBorder="1" applyAlignment="1">
      <alignment horizontal="left" wrapText="1"/>
    </xf>
  </cellXfs>
  <cellStyles count="8">
    <cellStyle name="Millares" xfId="1" builtinId="3"/>
    <cellStyle name="Millares [0]" xfId="2" builtinId="6"/>
    <cellStyle name="Normal" xfId="0" builtinId="0"/>
    <cellStyle name="Normal 2" xfId="3" xr:uid="{FFB0D0DC-A0DE-496A-9D08-7DA50EFD38D1}"/>
    <cellStyle name="Normal 3 2" xfId="6" xr:uid="{E47CD961-3035-4362-9BAD-BA2EC86B74E6}"/>
    <cellStyle name="Normal_CRITERIOS DE EVALUACION PT DE GB 2" xfId="4" xr:uid="{7F73C4AF-115B-42C1-AD11-C9C0A860AE03}"/>
    <cellStyle name="Porcentaje 2" xfId="5" xr:uid="{1CF1CBFD-5FC2-4545-96DE-1A49A62B98C8}"/>
    <cellStyle name="Porcentaje 2 2" xfId="7" xr:uid="{FC28B616-0290-430C-A3CD-EE85B65778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ong\AppData\Local\Microsoft\Windows\INetCache\Content.Outlook\SNF1NLOV\Relleno%20de%20espinaca%20y%20que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leno espinaca y queso "/>
      <sheetName val="Costo"/>
    </sheetNames>
    <sheetDataSet>
      <sheetData sheetId="0"/>
      <sheetData sheetId="1">
        <row r="69">
          <cell r="E69">
            <v>3.6973547999999994</v>
          </cell>
        </row>
        <row r="74">
          <cell r="E74">
            <v>0.18709221623040001</v>
          </cell>
        </row>
        <row r="76">
          <cell r="E76">
            <v>3.3125910362521674E-2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183E-F7B8-4B19-A4B0-84203268B1C0}">
  <dimension ref="A1:Q91"/>
  <sheetViews>
    <sheetView workbookViewId="0">
      <selection sqref="A1:IV65536"/>
    </sheetView>
  </sheetViews>
  <sheetFormatPr baseColWidth="10" defaultColWidth="8.42578125" defaultRowHeight="12.75" x14ac:dyDescent="0.2"/>
  <cols>
    <col min="1" max="1" width="10" style="15" bestFit="1" customWidth="1"/>
    <col min="2" max="2" width="44.28515625" style="15" bestFit="1" customWidth="1"/>
    <col min="3" max="3" width="10.42578125" style="15" bestFit="1" customWidth="1"/>
    <col min="4" max="4" width="10.42578125" style="15" customWidth="1"/>
    <col min="5" max="5" width="9.7109375" style="15" bestFit="1" customWidth="1"/>
    <col min="6" max="6" width="9.5703125" style="15" bestFit="1" customWidth="1"/>
    <col min="7" max="7" width="9.5703125" style="97" bestFit="1" customWidth="1"/>
    <col min="8" max="8" width="10.42578125" style="88" bestFit="1" customWidth="1"/>
    <col min="9" max="9" width="4.5703125" style="88" customWidth="1"/>
    <col min="10" max="10" width="1.85546875" style="14" customWidth="1"/>
    <col min="11" max="11" width="7" style="15" bestFit="1" customWidth="1"/>
    <col min="12" max="12" width="6.28515625" style="15" customWidth="1"/>
    <col min="13" max="13" width="20.42578125" style="15" customWidth="1"/>
    <col min="14" max="14" width="6.42578125" style="15" bestFit="1" customWidth="1"/>
    <col min="15" max="16" width="8.42578125" style="15"/>
    <col min="17" max="17" width="3.28515625" style="15" customWidth="1"/>
    <col min="18" max="16384" width="8.42578125" style="15"/>
  </cols>
  <sheetData>
    <row r="1" spans="1:10" ht="27.75" customHeight="1" x14ac:dyDescent="0.2">
      <c r="A1" s="10"/>
      <c r="B1" s="10"/>
      <c r="C1" s="10"/>
      <c r="D1" s="10"/>
      <c r="E1" s="11" t="s">
        <v>43</v>
      </c>
      <c r="F1" s="12" t="s">
        <v>44</v>
      </c>
      <c r="G1" s="12" t="s">
        <v>45</v>
      </c>
      <c r="H1" s="12" t="s">
        <v>46</v>
      </c>
      <c r="I1" s="13"/>
    </row>
    <row r="2" spans="1:10" ht="30.75" customHeight="1" x14ac:dyDescent="0.2">
      <c r="A2" s="10"/>
      <c r="B2" s="10"/>
      <c r="C2" s="10"/>
      <c r="D2" s="10"/>
      <c r="E2" s="16">
        <f>IFERROR(O62,"")</f>
        <v>278.10302553702212</v>
      </c>
      <c r="F2" s="16">
        <f>IFERROR(H53,"")</f>
        <v>259.86773999999997</v>
      </c>
      <c r="G2" s="16">
        <f>IFERROR(H54,"")</f>
        <v>6.779341293126083</v>
      </c>
      <c r="H2" s="16">
        <f>IFERROR(H56,"")</f>
        <v>58.723747804845502</v>
      </c>
      <c r="I2" s="17"/>
    </row>
    <row r="3" spans="1:10" ht="15" customHeight="1" x14ac:dyDescent="0.2">
      <c r="A3" s="10"/>
      <c r="B3" s="10"/>
      <c r="C3" s="10"/>
      <c r="D3" s="10"/>
      <c r="E3" s="10"/>
      <c r="F3" s="18"/>
      <c r="G3" s="18"/>
      <c r="H3" s="18"/>
      <c r="I3" s="18"/>
    </row>
    <row r="4" spans="1:10" ht="24.75" customHeight="1" thickBot="1" x14ac:dyDescent="0.25">
      <c r="A4" s="224"/>
      <c r="B4" s="224"/>
      <c r="C4" s="224"/>
      <c r="D4" s="224"/>
      <c r="E4" s="224"/>
      <c r="F4" s="224"/>
      <c r="G4" s="224"/>
      <c r="H4" s="224"/>
      <c r="I4" s="19"/>
    </row>
    <row r="5" spans="1:10" ht="19.5" customHeight="1" thickBot="1" x14ac:dyDescent="0.25">
      <c r="A5" s="225" t="s">
        <v>47</v>
      </c>
      <c r="B5" s="226"/>
      <c r="C5" s="226"/>
      <c r="D5" s="226"/>
      <c r="E5" s="226"/>
      <c r="F5" s="226"/>
      <c r="G5" s="226"/>
      <c r="H5" s="227"/>
      <c r="I5" s="20"/>
    </row>
    <row r="6" spans="1:10" ht="19.5" thickBot="1" x14ac:dyDescent="0.25">
      <c r="A6" s="20"/>
      <c r="B6" s="20"/>
      <c r="C6" s="20"/>
      <c r="D6" s="20"/>
      <c r="E6" s="20"/>
      <c r="F6" s="228" t="s">
        <v>48</v>
      </c>
      <c r="G6" s="228"/>
      <c r="H6" s="21">
        <f ca="1">TODAY()</f>
        <v>45744</v>
      </c>
      <c r="I6" s="21"/>
    </row>
    <row r="7" spans="1:10" ht="26.25" hidden="1" thickBot="1" x14ac:dyDescent="0.25">
      <c r="A7" s="22" t="s">
        <v>49</v>
      </c>
      <c r="B7" s="23" t="s">
        <v>50</v>
      </c>
      <c r="C7" s="23" t="s">
        <v>49</v>
      </c>
      <c r="D7" s="24" t="s">
        <v>51</v>
      </c>
      <c r="E7" s="24" t="s">
        <v>52</v>
      </c>
      <c r="F7" s="24" t="s">
        <v>53</v>
      </c>
      <c r="G7" s="24" t="s">
        <v>54</v>
      </c>
      <c r="H7" s="25" t="s">
        <v>55</v>
      </c>
      <c r="I7" s="26"/>
    </row>
    <row r="8" spans="1:10" ht="13.5" hidden="1" x14ac:dyDescent="0.25">
      <c r="A8" s="27"/>
      <c r="B8" s="15" t="str">
        <f>IFERROR(VLOOKUP(H8,'[1]Consolidado MP Planta'!$A$2:$M$823,3,0),"")</f>
        <v/>
      </c>
      <c r="C8" s="28">
        <f>+A8</f>
        <v>0</v>
      </c>
      <c r="D8" s="29" t="str">
        <f>IFERROR(VLOOKUP(H8,'[1]Consolidado MP Planta'!$A$2:$M$823,13,0),"")</f>
        <v/>
      </c>
      <c r="E8" s="29" t="str">
        <f>IFERROR(VLOOKUP(H8,'[1]Consolidado MP Planta'!$A$2:$M$823,12,0),"")</f>
        <v/>
      </c>
      <c r="F8" s="29" t="str">
        <f>IFERROR(C8*E8,"")</f>
        <v/>
      </c>
      <c r="G8" s="30" t="str">
        <f t="shared" ref="G8:G14" si="0">IFERROR(F8/$F$66,"")</f>
        <v/>
      </c>
      <c r="H8" s="31"/>
      <c r="I8" s="31"/>
      <c r="J8" s="32"/>
    </row>
    <row r="9" spans="1:10" ht="13.5" hidden="1" x14ac:dyDescent="0.25">
      <c r="A9" s="27"/>
      <c r="B9" s="15" t="str">
        <f>IFERROR(VLOOKUP(H9,'[1]Consolidado MP Planta'!$A$2:$M$823,3,0),"")</f>
        <v/>
      </c>
      <c r="C9" s="28">
        <f t="shared" ref="C9:C14" si="1">+A9</f>
        <v>0</v>
      </c>
      <c r="D9" s="29" t="str">
        <f>IFERROR(VLOOKUP(H9,'[1]Consolidado MP Planta'!$A$2:$M$823,13,0),"")</f>
        <v/>
      </c>
      <c r="E9" s="29" t="str">
        <f>IFERROR(VLOOKUP(H9,'[1]Consolidado MP Planta'!$A$2:$M$823,12,0),"")</f>
        <v/>
      </c>
      <c r="F9" s="29" t="str">
        <f t="shared" ref="F9:F14" si="2">IFERROR(C9*E9,"")</f>
        <v/>
      </c>
      <c r="G9" s="30" t="str">
        <f t="shared" si="0"/>
        <v/>
      </c>
      <c r="H9" s="31"/>
      <c r="I9" s="31"/>
      <c r="J9" s="32"/>
    </row>
    <row r="10" spans="1:10" ht="13.5" hidden="1" x14ac:dyDescent="0.25">
      <c r="A10" s="27"/>
      <c r="B10" s="15" t="str">
        <f>IFERROR(VLOOKUP(H10,'[1]Consolidado MP Planta'!$A$2:$M$823,3,0),"")</f>
        <v/>
      </c>
      <c r="C10" s="28">
        <f t="shared" si="1"/>
        <v>0</v>
      </c>
      <c r="D10" s="29" t="str">
        <f>IFERROR(VLOOKUP(H10,'[1]Consolidado MP Planta'!$A$2:$M$823,13,0),"")</f>
        <v/>
      </c>
      <c r="E10" s="29" t="str">
        <f>IFERROR(VLOOKUP(H10,'[1]Consolidado MP Planta'!$A$2:$M$823,12,0),"")</f>
        <v/>
      </c>
      <c r="F10" s="29" t="str">
        <f t="shared" si="2"/>
        <v/>
      </c>
      <c r="G10" s="30" t="str">
        <f t="shared" si="0"/>
        <v/>
      </c>
      <c r="H10" s="31"/>
      <c r="I10" s="31"/>
      <c r="J10" s="32"/>
    </row>
    <row r="11" spans="1:10" ht="13.5" hidden="1" x14ac:dyDescent="0.25">
      <c r="A11" s="27"/>
      <c r="B11" s="15" t="str">
        <f>IFERROR(VLOOKUP(H11,'[1]Consolidado MP Planta'!$A$2:$M$823,3,0),"")</f>
        <v/>
      </c>
      <c r="C11" s="28">
        <f t="shared" si="1"/>
        <v>0</v>
      </c>
      <c r="D11" s="29" t="str">
        <f>IFERROR(VLOOKUP(H11,'[1]Consolidado MP Planta'!$A$2:$M$823,13,0),"")</f>
        <v/>
      </c>
      <c r="E11" s="29" t="str">
        <f>IFERROR(VLOOKUP(H11,'[1]Consolidado MP Planta'!$A$2:$M$823,12,0),"")</f>
        <v/>
      </c>
      <c r="F11" s="29" t="str">
        <f t="shared" si="2"/>
        <v/>
      </c>
      <c r="G11" s="30" t="str">
        <f t="shared" si="0"/>
        <v/>
      </c>
      <c r="H11" s="31"/>
      <c r="I11" s="31"/>
      <c r="J11" s="32"/>
    </row>
    <row r="12" spans="1:10" ht="13.5" hidden="1" x14ac:dyDescent="0.25">
      <c r="A12" s="27"/>
      <c r="B12" s="15" t="str">
        <f>IFERROR(VLOOKUP(H12,'[1]Consolidado MP Planta'!$A$2:$M$823,3,0),"")</f>
        <v/>
      </c>
      <c r="C12" s="28">
        <f t="shared" si="1"/>
        <v>0</v>
      </c>
      <c r="D12" s="29" t="str">
        <f>IFERROR(VLOOKUP(H12,'[1]Consolidado MP Planta'!$A$2:$M$823,13,0),"")</f>
        <v/>
      </c>
      <c r="E12" s="29" t="str">
        <f>IFERROR(VLOOKUP(H12,'[1]Consolidado MP Planta'!$A$2:$M$823,12,0),"")</f>
        <v/>
      </c>
      <c r="F12" s="29" t="str">
        <f t="shared" si="2"/>
        <v/>
      </c>
      <c r="G12" s="30" t="str">
        <f t="shared" si="0"/>
        <v/>
      </c>
      <c r="H12" s="31"/>
      <c r="I12" s="31"/>
      <c r="J12" s="32"/>
    </row>
    <row r="13" spans="1:10" ht="13.5" hidden="1" x14ac:dyDescent="0.25">
      <c r="A13" s="27"/>
      <c r="B13" s="15" t="str">
        <f>IFERROR(VLOOKUP(H13,'[1]Consolidado MP Planta'!$A$2:$M$823,3,0),"")</f>
        <v/>
      </c>
      <c r="C13" s="28">
        <f t="shared" si="1"/>
        <v>0</v>
      </c>
      <c r="D13" s="29" t="str">
        <f>IFERROR(VLOOKUP(H13,'[1]Consolidado MP Planta'!$A$2:$M$823,13,0),"")</f>
        <v/>
      </c>
      <c r="E13" s="29" t="str">
        <f>IFERROR(VLOOKUP(H13,'[1]Consolidado MP Planta'!$A$2:$M$823,12,0),"")</f>
        <v/>
      </c>
      <c r="F13" s="29" t="str">
        <f t="shared" si="2"/>
        <v/>
      </c>
      <c r="G13" s="30" t="str">
        <f t="shared" si="0"/>
        <v/>
      </c>
      <c r="H13" s="31"/>
      <c r="I13" s="31"/>
      <c r="J13" s="32"/>
    </row>
    <row r="14" spans="1:10" ht="13.5" hidden="1" x14ac:dyDescent="0.25">
      <c r="A14" s="27"/>
      <c r="B14" s="15" t="str">
        <f>IFERROR(VLOOKUP(H14,'[1]Consolidado MP Planta'!$A$2:$M$823,3,0),"")</f>
        <v/>
      </c>
      <c r="C14" s="28">
        <f t="shared" si="1"/>
        <v>0</v>
      </c>
      <c r="D14" s="29" t="str">
        <f>IFERROR(VLOOKUP(H14,'[1]Consolidado MP Planta'!$A$2:$M$823,13,0),"")</f>
        <v/>
      </c>
      <c r="E14" s="29" t="str">
        <f>IFERROR(VLOOKUP(H14,'[1]Consolidado MP Planta'!$A$2:$M$823,12,0),"")</f>
        <v/>
      </c>
      <c r="F14" s="29" t="str">
        <f t="shared" si="2"/>
        <v/>
      </c>
      <c r="G14" s="30" t="str">
        <f t="shared" si="0"/>
        <v/>
      </c>
      <c r="H14" s="31"/>
      <c r="I14" s="31"/>
      <c r="J14" s="32"/>
    </row>
    <row r="15" spans="1:10" ht="14.25" hidden="1" thickBot="1" x14ac:dyDescent="0.3">
      <c r="A15" s="27"/>
      <c r="B15" s="15" t="str">
        <f>IFERROR(VLOOKUP(H15,'[2]ARTICULOS MP PLANTA'!$A$2:$G$589,2,0),"")</f>
        <v/>
      </c>
      <c r="C15" s="28"/>
      <c r="D15" s="29"/>
      <c r="E15" s="29"/>
      <c r="F15" s="29"/>
      <c r="G15" s="30"/>
      <c r="H15" s="31"/>
      <c r="I15" s="31"/>
      <c r="J15" s="32"/>
    </row>
    <row r="16" spans="1:10" ht="26.25" thickBot="1" x14ac:dyDescent="0.25">
      <c r="A16" s="22" t="s">
        <v>49</v>
      </c>
      <c r="B16" s="23" t="s">
        <v>56</v>
      </c>
      <c r="C16" s="23" t="s">
        <v>49</v>
      </c>
      <c r="D16" s="24" t="s">
        <v>51</v>
      </c>
      <c r="E16" s="24" t="s">
        <v>52</v>
      </c>
      <c r="F16" s="24" t="s">
        <v>53</v>
      </c>
      <c r="G16" s="24" t="s">
        <v>54</v>
      </c>
      <c r="H16" s="25" t="s">
        <v>55</v>
      </c>
      <c r="I16" s="26"/>
      <c r="J16" s="32"/>
    </row>
    <row r="17" spans="1:12" ht="13.5" x14ac:dyDescent="0.25">
      <c r="A17" s="27">
        <v>600</v>
      </c>
      <c r="B17" s="15" t="str">
        <f>IFERROR(VLOOKUP(H17,[1]SEMIELABORADOS!$A$2:$M$6000,2,0),"")</f>
        <v>LAMINADO PASTA HOJALDRE (KILO)</v>
      </c>
      <c r="C17" s="28">
        <f>+A17</f>
        <v>600</v>
      </c>
      <c r="D17" s="28" t="str">
        <f>IFERROR(VLOOKUP(H17,[1]SEMIELABORADOS!$A$2:$M$6000,6,0),"")</f>
        <v>Und</v>
      </c>
      <c r="E17" s="29">
        <v>0.74</v>
      </c>
      <c r="F17" s="29">
        <f>IFERROR(E17*C17,"")</f>
        <v>444</v>
      </c>
      <c r="G17" s="30">
        <f t="shared" ref="G17:G24" si="3">IFERROR(F17/$F$66,"")</f>
        <v>0.14394813069863477</v>
      </c>
      <c r="H17" s="31" t="s">
        <v>31</v>
      </c>
      <c r="I17" s="31"/>
      <c r="J17" s="32"/>
    </row>
    <row r="18" spans="1:12" ht="13.5" x14ac:dyDescent="0.25">
      <c r="A18" s="27">
        <v>500</v>
      </c>
      <c r="B18" s="15" t="s">
        <v>32</v>
      </c>
      <c r="C18" s="28">
        <f t="shared" ref="C18:C24" si="4">+A18</f>
        <v>500</v>
      </c>
      <c r="D18" s="28" t="s">
        <v>93</v>
      </c>
      <c r="E18" s="29">
        <f>+[3]Costo!$E$69</f>
        <v>3.6973547999999994</v>
      </c>
      <c r="F18" s="29">
        <f t="shared" ref="F18:F24" si="5">IFERROR(E18*C18,"")</f>
        <v>1848.6773999999996</v>
      </c>
      <c r="G18" s="30">
        <f t="shared" si="3"/>
        <v>0.59935508106939694</v>
      </c>
      <c r="H18" s="31"/>
      <c r="I18" s="31"/>
      <c r="J18" s="32"/>
    </row>
    <row r="19" spans="1:12" ht="13.5" x14ac:dyDescent="0.25">
      <c r="A19" s="27">
        <v>150</v>
      </c>
      <c r="B19" s="15" t="str">
        <f>IFERROR(VLOOKUP(H19,[1]SEMIELABORADOS!$A$2:$M$6000,2,0),"")</f>
        <v>MEZCLA P/ENGRASE MOLDES KILO</v>
      </c>
      <c r="C19" s="28">
        <f>+A19</f>
        <v>150</v>
      </c>
      <c r="D19" s="28" t="str">
        <f>IFERROR(VLOOKUP(H19,[1]SEMIELABORADOS!$A$2:$M$6000,6,0),"")</f>
        <v>Gramo</v>
      </c>
      <c r="E19" s="29">
        <v>2.04</v>
      </c>
      <c r="F19" s="29">
        <f>IFERROR(E19*C19,"")</f>
        <v>306</v>
      </c>
      <c r="G19" s="30">
        <f t="shared" si="3"/>
        <v>9.920749548149152E-2</v>
      </c>
      <c r="H19" s="31" t="s">
        <v>33</v>
      </c>
      <c r="I19" s="31"/>
      <c r="J19" s="32"/>
    </row>
    <row r="20" spans="1:12" ht="13.5" hidden="1" x14ac:dyDescent="0.25">
      <c r="A20" s="27"/>
      <c r="B20" s="15" t="str">
        <f>IFERROR(VLOOKUP(H20,[1]SEMIELABORADOS!$A$2:$M$6000,2,0),"")</f>
        <v/>
      </c>
      <c r="C20" s="28">
        <f>+A20</f>
        <v>0</v>
      </c>
      <c r="D20" s="28" t="str">
        <f>IFERROR(VLOOKUP(H20,[1]SEMIELABORADOS!$A$2:$M$6000,6,0),"")</f>
        <v/>
      </c>
      <c r="E20" s="29" t="str">
        <f>IFERROR(VLOOKUP(H20,[1]SEMIELABORADOS!$A$2:$H$65536,8,0),"")</f>
        <v/>
      </c>
      <c r="F20" s="29" t="str">
        <f>IFERROR(E20*C20,"")</f>
        <v/>
      </c>
      <c r="G20" s="30" t="str">
        <f t="shared" si="3"/>
        <v/>
      </c>
      <c r="H20" s="31"/>
      <c r="I20" s="31"/>
      <c r="J20" s="32"/>
    </row>
    <row r="21" spans="1:12" ht="13.5" hidden="1" x14ac:dyDescent="0.25">
      <c r="A21" s="27"/>
      <c r="B21" s="15" t="str">
        <f>IFERROR(VLOOKUP(H21,[1]SEMIELABORADOS!$A$2:$M$6000,2,0),"")</f>
        <v/>
      </c>
      <c r="C21" s="28">
        <f>+A21</f>
        <v>0</v>
      </c>
      <c r="D21" s="28" t="str">
        <f>IFERROR(VLOOKUP(H21,[1]SEMIELABORADOS!$A$2:$M$6000,6,0),"")</f>
        <v/>
      </c>
      <c r="E21" s="29" t="str">
        <f>IFERROR(VLOOKUP(H21,[1]SEMIELABORADOS!$A$2:$H$65536,8,0),"")</f>
        <v/>
      </c>
      <c r="F21" s="29" t="str">
        <f>IFERROR(E21*C21,"")</f>
        <v/>
      </c>
      <c r="G21" s="30" t="str">
        <f t="shared" si="3"/>
        <v/>
      </c>
      <c r="H21" s="31"/>
      <c r="I21" s="31"/>
      <c r="J21" s="32"/>
    </row>
    <row r="22" spans="1:12" ht="13.5" hidden="1" x14ac:dyDescent="0.25">
      <c r="A22" s="27"/>
      <c r="B22" s="15" t="str">
        <f>IFERROR(VLOOKUP(H22,[1]SEMIELABORADOS!$A$2:$M$6000,2,0),"")</f>
        <v/>
      </c>
      <c r="C22" s="28">
        <f t="shared" si="4"/>
        <v>0</v>
      </c>
      <c r="D22" s="28" t="str">
        <f>IFERROR(VLOOKUP(H22,[1]SEMIELABORADOS!$A$2:$M$6000,6,0),"")</f>
        <v/>
      </c>
      <c r="E22" s="29" t="str">
        <f>IFERROR(VLOOKUP(H22,[1]SEMIELABORADOS!$A$2:$H$65536,8,0),"")</f>
        <v/>
      </c>
      <c r="F22" s="29" t="str">
        <f t="shared" si="5"/>
        <v/>
      </c>
      <c r="G22" s="30" t="str">
        <f t="shared" si="3"/>
        <v/>
      </c>
      <c r="H22" s="31"/>
      <c r="I22" s="31"/>
      <c r="J22" s="32"/>
    </row>
    <row r="23" spans="1:12" ht="13.5" hidden="1" x14ac:dyDescent="0.25">
      <c r="A23" s="27"/>
      <c r="B23" s="15" t="str">
        <f>IFERROR(VLOOKUP(H23,[1]SEMIELABORADOS!$A$2:$M$6000,2,0),"")</f>
        <v/>
      </c>
      <c r="C23" s="28">
        <f t="shared" si="4"/>
        <v>0</v>
      </c>
      <c r="D23" s="28" t="str">
        <f>IFERROR(VLOOKUP(H23,[1]SEMIELABORADOS!$A$2:$M$6000,6,0),"")</f>
        <v/>
      </c>
      <c r="E23" s="29" t="str">
        <f>IFERROR(VLOOKUP(H23,[1]SEMIELABORADOS!$A$2:$H$65536,8,0),"")</f>
        <v/>
      </c>
      <c r="F23" s="29" t="str">
        <f t="shared" si="5"/>
        <v/>
      </c>
      <c r="G23" s="30" t="str">
        <f t="shared" si="3"/>
        <v/>
      </c>
      <c r="H23" s="31"/>
      <c r="I23" s="31"/>
      <c r="J23" s="32"/>
    </row>
    <row r="24" spans="1:12" ht="13.5" hidden="1" x14ac:dyDescent="0.25">
      <c r="A24" s="27"/>
      <c r="B24" s="15" t="str">
        <f>IFERROR(VLOOKUP(H24,[1]SEMIELABORADOS!$A$2:$M$6000,2,0),"")</f>
        <v/>
      </c>
      <c r="C24" s="28">
        <f t="shared" si="4"/>
        <v>0</v>
      </c>
      <c r="D24" s="28" t="str">
        <f>IFERROR(VLOOKUP(H24,[1]SEMIELABORADOS!$A$2:$M$6000,6,0),"")</f>
        <v/>
      </c>
      <c r="E24" s="29" t="str">
        <f>IFERROR(VLOOKUP(H24,[1]SEMIELABORADOS!$A$2:$H$65536,8,0),"")</f>
        <v/>
      </c>
      <c r="F24" s="29" t="str">
        <f t="shared" si="5"/>
        <v/>
      </c>
      <c r="G24" s="30" t="str">
        <f t="shared" si="3"/>
        <v/>
      </c>
      <c r="H24" s="31"/>
      <c r="I24" s="31"/>
      <c r="J24" s="32"/>
    </row>
    <row r="25" spans="1:12" ht="14.25" thickBot="1" x14ac:dyDescent="0.3">
      <c r="A25" s="27"/>
      <c r="C25" s="28"/>
      <c r="D25" s="28"/>
      <c r="E25" s="29"/>
      <c r="F25" s="29"/>
      <c r="G25" s="30"/>
      <c r="H25" s="31"/>
      <c r="I25" s="31"/>
      <c r="J25" s="32"/>
    </row>
    <row r="26" spans="1:12" ht="26.25" hidden="1" thickBot="1" x14ac:dyDescent="0.25">
      <c r="A26" s="22" t="s">
        <v>49</v>
      </c>
      <c r="B26" s="23" t="s">
        <v>34</v>
      </c>
      <c r="C26" s="23" t="s">
        <v>49</v>
      </c>
      <c r="D26" s="24" t="s">
        <v>51</v>
      </c>
      <c r="E26" s="24" t="s">
        <v>52</v>
      </c>
      <c r="F26" s="24" t="s">
        <v>53</v>
      </c>
      <c r="G26" s="24" t="s">
        <v>54</v>
      </c>
      <c r="H26" s="25" t="s">
        <v>55</v>
      </c>
      <c r="I26" s="26"/>
    </row>
    <row r="27" spans="1:12" ht="13.5" hidden="1" x14ac:dyDescent="0.25">
      <c r="A27" s="27">
        <v>0</v>
      </c>
      <c r="B27" s="33" t="str">
        <f>IFERROR(VLOOKUP(H27,'[1]Consolidado MP Planta'!$A$2:$M$823,3,0),"")</f>
        <v/>
      </c>
      <c r="C27" s="28">
        <f t="shared" ref="C27:C32" si="6">+A27</f>
        <v>0</v>
      </c>
      <c r="D27" s="29" t="str">
        <f>IFERROR(VLOOKUP(H27,'[1]Consolidado MP Planta'!$A$2:$M$823,13,0),"")</f>
        <v/>
      </c>
      <c r="E27" s="29" t="str">
        <f>IFERROR(VLOOKUP(H27,'[1]Consolidado MP Planta'!$A$2:$M$823,12,0),"")</f>
        <v/>
      </c>
      <c r="F27" s="29" t="str">
        <f t="shared" ref="F27:F32" si="7">IFERROR(C27*E27,"")</f>
        <v/>
      </c>
      <c r="G27" s="30" t="str">
        <f t="shared" ref="G27:G32" si="8">IFERROR(F27/$F$66,"")</f>
        <v/>
      </c>
      <c r="H27" s="34"/>
      <c r="I27" s="34"/>
      <c r="J27" s="32"/>
      <c r="K27" s="221"/>
      <c r="L27" s="221"/>
    </row>
    <row r="28" spans="1:12" ht="13.5" hidden="1" x14ac:dyDescent="0.25">
      <c r="A28" s="27"/>
      <c r="B28" s="33" t="str">
        <f>IFERROR(VLOOKUP(H28,'[1]Consolidado MP Planta'!$A$2:$M$823,3,0),"")</f>
        <v/>
      </c>
      <c r="C28" s="28">
        <f t="shared" si="6"/>
        <v>0</v>
      </c>
      <c r="D28" s="29" t="str">
        <f>IFERROR(VLOOKUP(H28,'[1]Consolidado MP Planta'!$A$2:$M$823,13,0),"")</f>
        <v/>
      </c>
      <c r="E28" s="29" t="str">
        <f>IFERROR(VLOOKUP(H28,'[1]Consolidado MP Planta'!$A$2:$M$823,12,0),"")</f>
        <v/>
      </c>
      <c r="F28" s="29" t="str">
        <f t="shared" si="7"/>
        <v/>
      </c>
      <c r="G28" s="30" t="str">
        <f t="shared" si="8"/>
        <v/>
      </c>
      <c r="H28" s="34"/>
      <c r="I28" s="34"/>
      <c r="J28" s="32"/>
      <c r="K28" s="221"/>
      <c r="L28" s="221"/>
    </row>
    <row r="29" spans="1:12" ht="13.5" hidden="1" x14ac:dyDescent="0.25">
      <c r="A29" s="27"/>
      <c r="B29" s="33" t="str">
        <f>IFERROR(VLOOKUP(H29,'[1]Consolidado MP Planta'!$A$2:$M$823,3,0),"")</f>
        <v/>
      </c>
      <c r="C29" s="28">
        <f t="shared" si="6"/>
        <v>0</v>
      </c>
      <c r="D29" s="29" t="str">
        <f>IFERROR(VLOOKUP(H29,'[1]Consolidado MP Planta'!$A$2:$M$823,13,0),"")</f>
        <v/>
      </c>
      <c r="E29" s="29" t="str">
        <f>IFERROR(VLOOKUP(H29,'[1]Consolidado MP Planta'!$A$2:$M$823,12,0),"")</f>
        <v/>
      </c>
      <c r="F29" s="29" t="str">
        <f t="shared" si="7"/>
        <v/>
      </c>
      <c r="G29" s="30" t="str">
        <f t="shared" si="8"/>
        <v/>
      </c>
      <c r="H29" s="34"/>
      <c r="I29" s="34"/>
      <c r="J29" s="32"/>
      <c r="K29" s="221"/>
      <c r="L29" s="221"/>
    </row>
    <row r="30" spans="1:12" ht="13.5" hidden="1" x14ac:dyDescent="0.25">
      <c r="A30" s="27"/>
      <c r="B30" s="33" t="str">
        <f>IFERROR(VLOOKUP(H30,'[1]Consolidado MP Planta'!$A$2:$M$823,3,0),"")</f>
        <v/>
      </c>
      <c r="C30" s="28">
        <f t="shared" si="6"/>
        <v>0</v>
      </c>
      <c r="D30" s="29" t="str">
        <f>IFERROR(VLOOKUP(H30,'[1]Consolidado MP Planta'!$A$2:$M$823,13,0),"")</f>
        <v/>
      </c>
      <c r="E30" s="29" t="str">
        <f>IFERROR(VLOOKUP(H30,'[1]Consolidado MP Planta'!$A$2:$M$823,12,0),"")</f>
        <v/>
      </c>
      <c r="F30" s="29" t="str">
        <f t="shared" si="7"/>
        <v/>
      </c>
      <c r="G30" s="30" t="str">
        <f t="shared" si="8"/>
        <v/>
      </c>
      <c r="H30" s="34"/>
      <c r="I30" s="34"/>
      <c r="J30" s="32"/>
      <c r="K30" s="221"/>
      <c r="L30" s="221"/>
    </row>
    <row r="31" spans="1:12" ht="13.5" hidden="1" x14ac:dyDescent="0.25">
      <c r="A31" s="27"/>
      <c r="B31" s="33" t="str">
        <f>IFERROR(VLOOKUP(H31,'[1]Consolidado MP Planta'!$A$2:$M$823,3,0),"")</f>
        <v/>
      </c>
      <c r="C31" s="28">
        <f t="shared" si="6"/>
        <v>0</v>
      </c>
      <c r="D31" s="29" t="str">
        <f>IFERROR(VLOOKUP(H31,'[1]Consolidado MP Planta'!$A$2:$M$823,13,0),"")</f>
        <v/>
      </c>
      <c r="E31" s="29" t="str">
        <f>IFERROR(VLOOKUP(H31,'[1]Consolidado MP Planta'!$A$2:$M$823,12,0),"")</f>
        <v/>
      </c>
      <c r="F31" s="29" t="str">
        <f t="shared" si="7"/>
        <v/>
      </c>
      <c r="G31" s="30" t="str">
        <f t="shared" si="8"/>
        <v/>
      </c>
      <c r="H31" s="34"/>
      <c r="I31" s="34"/>
      <c r="J31" s="32"/>
      <c r="K31" s="35"/>
      <c r="L31" s="36"/>
    </row>
    <row r="32" spans="1:12" ht="13.5" hidden="1" x14ac:dyDescent="0.25">
      <c r="A32" s="27"/>
      <c r="B32" s="33" t="str">
        <f>IFERROR(VLOOKUP(H32,'[1]Consolidado MP Planta'!$A$2:$M$823,3,0),"")</f>
        <v/>
      </c>
      <c r="C32" s="28">
        <f t="shared" si="6"/>
        <v>0</v>
      </c>
      <c r="D32" s="29" t="str">
        <f>IFERROR(VLOOKUP(H32,'[1]Consolidado MP Planta'!$A$2:$M$823,13,0),"")</f>
        <v/>
      </c>
      <c r="E32" s="29" t="str">
        <f>IFERROR(VLOOKUP(H32,'[1]Consolidado MP Planta'!$A$2:$M$823,12,0),"")</f>
        <v/>
      </c>
      <c r="F32" s="29" t="str">
        <f t="shared" si="7"/>
        <v/>
      </c>
      <c r="G32" s="30" t="str">
        <f t="shared" si="8"/>
        <v/>
      </c>
      <c r="H32" s="34"/>
      <c r="I32" s="34"/>
      <c r="J32" s="32"/>
    </row>
    <row r="33" spans="1:13" ht="14.25" hidden="1" thickBot="1" x14ac:dyDescent="0.3">
      <c r="A33" s="27"/>
      <c r="B33" s="33"/>
      <c r="C33" s="28"/>
      <c r="D33" s="29"/>
      <c r="E33" s="29"/>
      <c r="F33" s="29"/>
      <c r="G33" s="30"/>
      <c r="H33" s="34"/>
      <c r="I33" s="34"/>
      <c r="J33" s="32"/>
    </row>
    <row r="34" spans="1:13" ht="26.25" thickBot="1" x14ac:dyDescent="0.25">
      <c r="A34" s="22" t="s">
        <v>49</v>
      </c>
      <c r="B34" s="23" t="s">
        <v>57</v>
      </c>
      <c r="C34" s="23" t="s">
        <v>49</v>
      </c>
      <c r="D34" s="24" t="s">
        <v>51</v>
      </c>
      <c r="E34" s="24" t="s">
        <v>52</v>
      </c>
      <c r="F34" s="24" t="s">
        <v>53</v>
      </c>
      <c r="G34" s="24" t="s">
        <v>54</v>
      </c>
      <c r="H34" s="25" t="s">
        <v>55</v>
      </c>
      <c r="I34" s="34"/>
      <c r="J34" s="32"/>
    </row>
    <row r="35" spans="1:13" ht="13.5" x14ac:dyDescent="0.25">
      <c r="A35" s="27">
        <f>+A17</f>
        <v>600</v>
      </c>
      <c r="B35" s="33" t="str">
        <f>IFERROR(VLOOKUP(H35,[1]SEMIELABORADOS!$A$2:$M$6000,2,0),"")</f>
        <v>LAMINADO PASTA HOJALDRE (KILO)</v>
      </c>
      <c r="C35" s="28">
        <f>+A35</f>
        <v>600</v>
      </c>
      <c r="D35" s="29" t="str">
        <f>IFERROR(VLOOKUP(H35,[1]SEMIELABORADOS!$A$2:$M$6000,6,0),"")</f>
        <v>Und</v>
      </c>
      <c r="E35" s="29">
        <v>0.08</v>
      </c>
      <c r="F35" s="29">
        <f>IFERROR(E35*C35,"")</f>
        <v>48</v>
      </c>
      <c r="G35" s="30">
        <f t="shared" ref="G35:G41" si="9">IFERROR(F35/$F$66,"")</f>
        <v>1.5561960075528082E-2</v>
      </c>
      <c r="H35" s="34" t="s">
        <v>31</v>
      </c>
      <c r="I35" s="34"/>
      <c r="J35" s="32"/>
    </row>
    <row r="36" spans="1:13" ht="13.5" x14ac:dyDescent="0.25">
      <c r="A36" s="27">
        <f t="shared" ref="A36:A41" si="10">+A18</f>
        <v>500</v>
      </c>
      <c r="B36" s="33" t="s">
        <v>32</v>
      </c>
      <c r="C36" s="28">
        <f t="shared" ref="C36:C41" si="11">+A36</f>
        <v>500</v>
      </c>
      <c r="D36" s="29" t="s">
        <v>93</v>
      </c>
      <c r="E36" s="29">
        <f>+[3]Costo!$E$76</f>
        <v>3.3125910362521674E-2</v>
      </c>
      <c r="F36" s="29">
        <f t="shared" ref="F36:F41" si="12">IFERROR(E36*C36,"")</f>
        <v>16.562955181260836</v>
      </c>
      <c r="G36" s="30">
        <f t="shared" si="9"/>
        <v>5.3698343179904608E-3</v>
      </c>
      <c r="H36" s="34"/>
      <c r="I36" s="34"/>
      <c r="J36" s="32"/>
    </row>
    <row r="37" spans="1:13" ht="13.5" x14ac:dyDescent="0.25">
      <c r="A37" s="27">
        <f t="shared" si="10"/>
        <v>150</v>
      </c>
      <c r="B37" s="33" t="str">
        <f>IFERROR(VLOOKUP(H37,[1]SEMIELABORADOS!$A$2:$M$6000,2,0),"")</f>
        <v>MEZCLA P/ENGRASE MOLDES KILO</v>
      </c>
      <c r="C37" s="28">
        <f t="shared" si="11"/>
        <v>150</v>
      </c>
      <c r="D37" s="29" t="str">
        <f>IFERROR(VLOOKUP(H37,[1]SEMIELABORADOS!$A$2:$M$6000,6,0),"")</f>
        <v>Gramo</v>
      </c>
      <c r="E37" s="29">
        <f>IFERROR(VLOOKUP(H37,[1]SEMIELABORADOS!$A$2:$M$65536,10,0),"")</f>
        <v>2.1536385000000002E-2</v>
      </c>
      <c r="F37" s="29">
        <f t="shared" si="12"/>
        <v>3.2304577500000002</v>
      </c>
      <c r="G37" s="30">
        <f t="shared" si="9"/>
        <v>1.0473386360662557E-3</v>
      </c>
      <c r="H37" s="34" t="s">
        <v>33</v>
      </c>
      <c r="I37" s="34"/>
      <c r="J37" s="32"/>
    </row>
    <row r="38" spans="1:13" ht="13.5" hidden="1" x14ac:dyDescent="0.25">
      <c r="A38" s="27">
        <f t="shared" si="10"/>
        <v>0</v>
      </c>
      <c r="B38" s="33" t="str">
        <f>IFERROR(VLOOKUP(H38,[1]SEMIELABORADOS!$A$2:$M$6000,2,0),"")</f>
        <v/>
      </c>
      <c r="C38" s="28">
        <f>+A38</f>
        <v>0</v>
      </c>
      <c r="D38" s="29" t="str">
        <f>IFERROR(VLOOKUP(H38,[1]SEMIELABORADOS!$A$2:$M$6000,6,0),"")</f>
        <v/>
      </c>
      <c r="E38" s="29" t="str">
        <f>IFERROR(VLOOKUP(H38,[1]SEMIELABORADOS!$A$2:$M$65536,10,0),"")</f>
        <v/>
      </c>
      <c r="F38" s="29" t="str">
        <f>IFERROR(E38*C38,"")</f>
        <v/>
      </c>
      <c r="G38" s="30" t="str">
        <f t="shared" si="9"/>
        <v/>
      </c>
      <c r="H38" s="34"/>
      <c r="I38" s="34"/>
      <c r="J38" s="32"/>
    </row>
    <row r="39" spans="1:13" ht="13.5" hidden="1" x14ac:dyDescent="0.25">
      <c r="A39" s="27">
        <f t="shared" si="10"/>
        <v>0</v>
      </c>
      <c r="B39" s="33" t="str">
        <f>IFERROR(VLOOKUP(H39,[1]SEMIELABORADOS!$A$2:$M$6000,2,0),"")</f>
        <v/>
      </c>
      <c r="C39" s="28">
        <f>+A39</f>
        <v>0</v>
      </c>
      <c r="D39" s="29" t="str">
        <f>IFERROR(VLOOKUP(H39,[1]SEMIELABORADOS!$A$2:$M$6000,6,0),"")</f>
        <v/>
      </c>
      <c r="E39" s="29" t="str">
        <f>IFERROR(VLOOKUP(H39,[1]SEMIELABORADOS!$A$2:$M$65536,10,0),"")</f>
        <v/>
      </c>
      <c r="F39" s="29" t="str">
        <f>IFERROR(E39*C39,"")</f>
        <v/>
      </c>
      <c r="G39" s="30" t="str">
        <f t="shared" si="9"/>
        <v/>
      </c>
      <c r="H39" s="34"/>
      <c r="I39" s="34"/>
      <c r="J39" s="32"/>
    </row>
    <row r="40" spans="1:13" ht="13.5" hidden="1" x14ac:dyDescent="0.25">
      <c r="A40" s="27">
        <f t="shared" si="10"/>
        <v>0</v>
      </c>
      <c r="B40" s="33" t="str">
        <f>IFERROR(VLOOKUP(H40,[1]SEMIELABORADOS!$A$2:$M$6000,2,0),"")</f>
        <v/>
      </c>
      <c r="C40" s="28">
        <f t="shared" si="11"/>
        <v>0</v>
      </c>
      <c r="D40" s="29" t="str">
        <f>IFERROR(VLOOKUP(H40,[1]SEMIELABORADOS!$A$2:$M$6000,6,0),"")</f>
        <v/>
      </c>
      <c r="E40" s="29" t="str">
        <f>IFERROR(VLOOKUP(H40,[1]SEMIELABORADOS!$A$2:$M$65536,10,0),"")</f>
        <v/>
      </c>
      <c r="F40" s="29" t="str">
        <f t="shared" si="12"/>
        <v/>
      </c>
      <c r="G40" s="30" t="str">
        <f t="shared" si="9"/>
        <v/>
      </c>
      <c r="H40" s="34"/>
      <c r="I40" s="34"/>
      <c r="J40" s="32"/>
    </row>
    <row r="41" spans="1:13" ht="13.5" hidden="1" x14ac:dyDescent="0.25">
      <c r="A41" s="27">
        <f t="shared" si="10"/>
        <v>0</v>
      </c>
      <c r="B41" s="33" t="str">
        <f>IFERROR(VLOOKUP(H41,[1]SEMIELABORADOS!$A$2:$M$6000,2,0),"")</f>
        <v/>
      </c>
      <c r="C41" s="28">
        <f t="shared" si="11"/>
        <v>0</v>
      </c>
      <c r="D41" s="29" t="str">
        <f>IFERROR(VLOOKUP(H41,[1]SEMIELABORADOS!$A$2:$M$6000,6,0),"")</f>
        <v/>
      </c>
      <c r="E41" s="29" t="str">
        <f>IFERROR(VLOOKUP(H41,[1]SEMIELABORADOS!$A$2:$M$65536,10,0),"")</f>
        <v/>
      </c>
      <c r="F41" s="29" t="str">
        <f t="shared" si="12"/>
        <v/>
      </c>
      <c r="G41" s="30" t="str">
        <f t="shared" si="9"/>
        <v/>
      </c>
      <c r="H41" s="34"/>
      <c r="I41" s="34"/>
      <c r="J41" s="32"/>
    </row>
    <row r="42" spans="1:13" ht="14.25" thickBot="1" x14ac:dyDescent="0.3">
      <c r="A42" s="27"/>
      <c r="B42" s="33"/>
      <c r="C42" s="28"/>
      <c r="D42" s="29"/>
      <c r="E42" s="29"/>
      <c r="F42" s="29"/>
      <c r="G42" s="30"/>
      <c r="H42" s="34"/>
      <c r="I42" s="34"/>
      <c r="J42" s="32"/>
    </row>
    <row r="43" spans="1:13" ht="26.25" thickBot="1" x14ac:dyDescent="0.25">
      <c r="A43" s="22" t="s">
        <v>49</v>
      </c>
      <c r="B43" s="23" t="s">
        <v>58</v>
      </c>
      <c r="C43" s="23" t="s">
        <v>49</v>
      </c>
      <c r="D43" s="24" t="s">
        <v>51</v>
      </c>
      <c r="E43" s="24" t="s">
        <v>52</v>
      </c>
      <c r="F43" s="24" t="s">
        <v>53</v>
      </c>
      <c r="G43" s="24" t="s">
        <v>54</v>
      </c>
      <c r="H43" s="25" t="s">
        <v>55</v>
      </c>
      <c r="I43" s="26"/>
      <c r="J43" s="32"/>
    </row>
    <row r="44" spans="1:13" ht="13.5" x14ac:dyDescent="0.25">
      <c r="A44" s="27">
        <f>+A35</f>
        <v>600</v>
      </c>
      <c r="B44" s="33" t="str">
        <f>IFERROR(VLOOKUP(H44,[1]SEMIELABORADOS!$A$2:$M$6000,2,0),"")</f>
        <v>LAMINADO PASTA HOJALDRE (KILO)</v>
      </c>
      <c r="C44" s="28">
        <f>+A44</f>
        <v>600</v>
      </c>
      <c r="D44" s="29" t="str">
        <f>IFERROR(VLOOKUP(H44,[1]SEMIELABORADOS!$A$2:$M$6000,6,0),"")</f>
        <v>Und</v>
      </c>
      <c r="E44" s="29">
        <v>0.15</v>
      </c>
      <c r="F44" s="29">
        <f>IFERROR(E44*C44,"")</f>
        <v>90</v>
      </c>
      <c r="G44" s="30">
        <f>IFERROR(F44/$F$66,"")</f>
        <v>2.9178675141615155E-2</v>
      </c>
      <c r="H44" s="34" t="s">
        <v>31</v>
      </c>
      <c r="I44" s="26"/>
      <c r="J44" s="32"/>
    </row>
    <row r="45" spans="1:13" ht="13.5" x14ac:dyDescent="0.25">
      <c r="A45" s="27">
        <f t="shared" ref="A45:A50" si="13">+A36</f>
        <v>500</v>
      </c>
      <c r="B45" s="33" t="s">
        <v>32</v>
      </c>
      <c r="C45" s="28">
        <f t="shared" ref="C45:C50" si="14">+A45</f>
        <v>500</v>
      </c>
      <c r="D45" s="29" t="s">
        <v>93</v>
      </c>
      <c r="E45" s="29">
        <f>+[3]Costo!$E$74</f>
        <v>0.18709221623040001</v>
      </c>
      <c r="F45" s="29">
        <f t="shared" ref="F45:F50" si="15">IFERROR(E45*C45,"")</f>
        <v>93.546108115199999</v>
      </c>
      <c r="G45" s="30">
        <f t="shared" ref="G45:G50" si="16">IFERROR(F45/$F$66,"")</f>
        <v>3.0328349993953663E-2</v>
      </c>
      <c r="H45" s="34"/>
      <c r="I45" s="26"/>
      <c r="J45" s="32"/>
      <c r="M45" s="37"/>
    </row>
    <row r="46" spans="1:13" ht="13.5" x14ac:dyDescent="0.25">
      <c r="A46" s="27">
        <f t="shared" si="13"/>
        <v>150</v>
      </c>
      <c r="B46" s="33" t="str">
        <f>IFERROR(VLOOKUP(H46,[1]SEMIELABORADOS!$A$2:$M$6000,2,0),"")</f>
        <v>MEZCLA P/ENGRASE MOLDES KILO</v>
      </c>
      <c r="C46" s="28">
        <f t="shared" si="14"/>
        <v>150</v>
      </c>
      <c r="D46" s="29" t="str">
        <f>IFERROR(VLOOKUP(H46,[1]SEMIELABORADOS!$A$2:$M$6000,6,0),"")</f>
        <v>Gramo</v>
      </c>
      <c r="E46" s="29">
        <f>IFERROR(VLOOKUP(H46,[1]SEMIELABORADOS!$A$2:$M$65536,12,0),"")</f>
        <v>0.25127579955503354</v>
      </c>
      <c r="F46" s="29">
        <f t="shared" si="15"/>
        <v>37.691369933255032</v>
      </c>
      <c r="G46" s="30">
        <f t="shared" si="16"/>
        <v>1.2219824876943215E-2</v>
      </c>
      <c r="H46" s="34" t="s">
        <v>33</v>
      </c>
      <c r="I46" s="26"/>
      <c r="J46" s="32"/>
    </row>
    <row r="47" spans="1:13" ht="13.5" hidden="1" x14ac:dyDescent="0.25">
      <c r="A47" s="27">
        <f t="shared" si="13"/>
        <v>0</v>
      </c>
      <c r="B47" s="33" t="str">
        <f>IFERROR(VLOOKUP(H47,[1]SEMIELABORADOS!$A$2:$M$6000,2,0),"")</f>
        <v/>
      </c>
      <c r="C47" s="28">
        <f t="shared" si="14"/>
        <v>0</v>
      </c>
      <c r="D47" s="29" t="str">
        <f>IFERROR(VLOOKUP(H47,[1]SEMIELABORADOS!$A$2:$M$6000,6,0),"")</f>
        <v/>
      </c>
      <c r="E47" s="29" t="str">
        <f>IFERROR(VLOOKUP(H47,[1]SEMIELABORADOS!$A$2:$M$65536,12,0),"")</f>
        <v/>
      </c>
      <c r="F47" s="29" t="str">
        <f t="shared" si="15"/>
        <v/>
      </c>
      <c r="G47" s="30" t="str">
        <f t="shared" si="16"/>
        <v/>
      </c>
      <c r="H47" s="34"/>
      <c r="I47" s="26"/>
      <c r="J47" s="32"/>
    </row>
    <row r="48" spans="1:13" ht="13.5" hidden="1" x14ac:dyDescent="0.25">
      <c r="A48" s="27">
        <f t="shared" si="13"/>
        <v>0</v>
      </c>
      <c r="B48" s="33" t="str">
        <f>IFERROR(VLOOKUP(H48,[1]SEMIELABORADOS!$A$2:$M$6000,2,0),"")</f>
        <v/>
      </c>
      <c r="C48" s="28">
        <f t="shared" si="14"/>
        <v>0</v>
      </c>
      <c r="D48" s="29" t="str">
        <f>IFERROR(VLOOKUP(H48,[1]SEMIELABORADOS!$A$2:$M$6000,6,0),"")</f>
        <v/>
      </c>
      <c r="E48" s="29" t="str">
        <f>IFERROR(VLOOKUP(H48,[1]SEMIELABORADOS!$A$2:$M$65536,12,0),"")</f>
        <v/>
      </c>
      <c r="F48" s="29" t="str">
        <f t="shared" si="15"/>
        <v/>
      </c>
      <c r="G48" s="30" t="str">
        <f t="shared" si="16"/>
        <v/>
      </c>
      <c r="H48" s="34"/>
      <c r="I48" s="26"/>
      <c r="J48" s="32"/>
    </row>
    <row r="49" spans="1:17" ht="13.5" hidden="1" x14ac:dyDescent="0.25">
      <c r="A49" s="27">
        <f t="shared" si="13"/>
        <v>0</v>
      </c>
      <c r="B49" s="33" t="str">
        <f>IFERROR(VLOOKUP(H49,[1]SEMIELABORADOS!$A$2:$M$6000,2,0),"")</f>
        <v/>
      </c>
      <c r="C49" s="28">
        <f t="shared" si="14"/>
        <v>0</v>
      </c>
      <c r="D49" s="29" t="str">
        <f>IFERROR(VLOOKUP(H49,[1]SEMIELABORADOS!$A$2:$M$6000,6,0),"")</f>
        <v/>
      </c>
      <c r="E49" s="29" t="str">
        <f>IFERROR(VLOOKUP(H49,[1]SEMIELABORADOS!$A$2:$M$65536,12,0),"")</f>
        <v/>
      </c>
      <c r="F49" s="29" t="str">
        <f t="shared" si="15"/>
        <v/>
      </c>
      <c r="G49" s="30" t="str">
        <f t="shared" si="16"/>
        <v/>
      </c>
      <c r="H49" s="34"/>
      <c r="I49" s="26"/>
      <c r="J49" s="32"/>
    </row>
    <row r="50" spans="1:17" ht="13.5" hidden="1" x14ac:dyDescent="0.25">
      <c r="A50" s="27">
        <f t="shared" si="13"/>
        <v>0</v>
      </c>
      <c r="B50" s="33" t="str">
        <f>IFERROR(VLOOKUP(H50,[1]SEMIELABORADOS!$A$2:$M$6000,2,0),"")</f>
        <v/>
      </c>
      <c r="C50" s="28">
        <f t="shared" si="14"/>
        <v>0</v>
      </c>
      <c r="D50" s="29" t="str">
        <f>IFERROR(VLOOKUP(H50,[1]SEMIELABORADOS!$A$2:$M$6000,6,0),"")</f>
        <v/>
      </c>
      <c r="E50" s="29" t="str">
        <f>IFERROR(VLOOKUP(H50,[1]SEMIELABORADOS!$A$2:$M$65536,12,0),"")</f>
        <v/>
      </c>
      <c r="F50" s="29" t="str">
        <f t="shared" si="15"/>
        <v/>
      </c>
      <c r="G50" s="30" t="str">
        <f t="shared" si="16"/>
        <v/>
      </c>
      <c r="H50" s="33"/>
      <c r="I50" s="26"/>
      <c r="J50" s="32"/>
    </row>
    <row r="51" spans="1:17" ht="13.5" x14ac:dyDescent="0.25">
      <c r="A51" s="27">
        <v>1</v>
      </c>
      <c r="B51" s="33" t="s">
        <v>59</v>
      </c>
      <c r="C51" s="28">
        <f>+A51</f>
        <v>1</v>
      </c>
      <c r="D51" s="28" t="s">
        <v>60</v>
      </c>
      <c r="E51" s="29">
        <f>+F65</f>
        <v>366</v>
      </c>
      <c r="F51" s="29">
        <f>IFERROR(C51*E51,"")</f>
        <v>366</v>
      </c>
      <c r="G51" s="30">
        <f>IFERROR(F51/$F$66,"")</f>
        <v>0.11865994557590162</v>
      </c>
      <c r="H51" s="38"/>
      <c r="I51" s="38"/>
      <c r="J51" s="32"/>
    </row>
    <row r="52" spans="1:17" ht="14.25" thickBot="1" x14ac:dyDescent="0.3">
      <c r="A52" s="27"/>
      <c r="B52" s="33"/>
      <c r="C52" s="28"/>
      <c r="D52" s="28"/>
      <c r="E52" s="29"/>
      <c r="F52" s="29"/>
      <c r="G52" s="30"/>
      <c r="H52" s="38"/>
      <c r="I52" s="38"/>
      <c r="J52" s="32"/>
    </row>
    <row r="53" spans="1:17" ht="13.5" thickBot="1" x14ac:dyDescent="0.25">
      <c r="A53" s="39"/>
      <c r="B53" s="218" t="s">
        <v>61</v>
      </c>
      <c r="C53" s="218"/>
      <c r="D53" s="218"/>
      <c r="E53" s="218"/>
      <c r="F53" s="41">
        <f>SUM(F8:F14,F17:F24)</f>
        <v>2598.6773999999996</v>
      </c>
      <c r="G53" s="30">
        <f>+F53/$F$66</f>
        <v>0.84251070724952315</v>
      </c>
      <c r="H53" s="42">
        <f>+F53/$D$60</f>
        <v>259.86773999999997</v>
      </c>
      <c r="I53" s="42"/>
      <c r="J53" s="43"/>
      <c r="K53" s="44"/>
      <c r="L53" s="44"/>
      <c r="M53" s="44"/>
      <c r="N53" s="44"/>
      <c r="O53" s="44"/>
      <c r="P53" s="44"/>
      <c r="Q53" s="45"/>
    </row>
    <row r="54" spans="1:17" x14ac:dyDescent="0.2">
      <c r="A54" s="39"/>
      <c r="B54" s="218" t="s">
        <v>62</v>
      </c>
      <c r="C54" s="218"/>
      <c r="D54" s="218"/>
      <c r="E54" s="218"/>
      <c r="F54" s="41">
        <f>SUM(F27:F32,F35:F41)</f>
        <v>67.793412931260832</v>
      </c>
      <c r="G54" s="30">
        <f>+F54/$F$66</f>
        <v>2.1979133029584798E-2</v>
      </c>
      <c r="H54" s="42">
        <f>+F54/$D$60</f>
        <v>6.779341293126083</v>
      </c>
      <c r="I54" s="42"/>
      <c r="J54" s="46"/>
      <c r="K54" s="222" t="s">
        <v>63</v>
      </c>
      <c r="L54" s="223"/>
      <c r="M54" s="223"/>
      <c r="N54" s="223"/>
      <c r="O54" s="47">
        <f>+F55</f>
        <v>2666.4708129312603</v>
      </c>
      <c r="P54" s="47"/>
      <c r="Q54" s="48"/>
    </row>
    <row r="55" spans="1:17" x14ac:dyDescent="0.2">
      <c r="A55" s="39"/>
      <c r="B55" s="218" t="s">
        <v>64</v>
      </c>
      <c r="C55" s="218"/>
      <c r="D55" s="218"/>
      <c r="E55" s="218"/>
      <c r="F55" s="41">
        <f>+F53+F54</f>
        <v>2666.4708129312603</v>
      </c>
      <c r="G55" s="30">
        <f>+F55/$F$66</f>
        <v>0.86448984027910791</v>
      </c>
      <c r="H55" s="42">
        <f>+F55/$D$60</f>
        <v>266.64708129312601</v>
      </c>
      <c r="I55" s="42"/>
      <c r="J55" s="49"/>
      <c r="K55" s="50"/>
      <c r="M55" s="51" t="s">
        <v>65</v>
      </c>
      <c r="N55" s="52"/>
      <c r="O55" s="47">
        <f>+H56</f>
        <v>58.723747804845502</v>
      </c>
      <c r="P55" s="47"/>
      <c r="Q55" s="48"/>
    </row>
    <row r="56" spans="1:17" ht="13.5" thickBot="1" x14ac:dyDescent="0.25">
      <c r="A56" s="39"/>
      <c r="B56" s="40"/>
      <c r="C56" s="218" t="s">
        <v>66</v>
      </c>
      <c r="D56" s="218"/>
      <c r="E56" s="218"/>
      <c r="F56" s="41">
        <f>SUM(F44:F51)</f>
        <v>587.23747804845505</v>
      </c>
      <c r="G56" s="30">
        <f>+F56/$F$66</f>
        <v>0.19038679558841365</v>
      </c>
      <c r="H56" s="42">
        <f>+F56/$D$60</f>
        <v>58.723747804845502</v>
      </c>
      <c r="I56" s="42"/>
      <c r="J56" s="49"/>
      <c r="K56" s="50"/>
      <c r="L56" s="50"/>
      <c r="M56" s="50" t="s">
        <v>67</v>
      </c>
      <c r="N56" s="53"/>
      <c r="O56" s="47">
        <f>O54*N56</f>
        <v>0</v>
      </c>
      <c r="P56" s="47"/>
      <c r="Q56" s="48"/>
    </row>
    <row r="57" spans="1:17" ht="13.5" thickBot="1" x14ac:dyDescent="0.25">
      <c r="A57" s="39"/>
      <c r="B57" s="54"/>
      <c r="C57" s="54"/>
      <c r="D57" s="54"/>
      <c r="E57" s="54"/>
      <c r="F57" s="55"/>
      <c r="G57" s="30"/>
      <c r="H57" s="56"/>
      <c r="I57" s="42"/>
      <c r="J57" s="49"/>
      <c r="K57" s="57"/>
      <c r="M57" s="58" t="s">
        <v>68</v>
      </c>
      <c r="N57" s="59"/>
      <c r="O57" s="60">
        <f>SUM(O54:O56)</f>
        <v>2725.1945607361058</v>
      </c>
      <c r="P57" s="61"/>
      <c r="Q57" s="48"/>
    </row>
    <row r="58" spans="1:17" x14ac:dyDescent="0.2">
      <c r="B58" s="220" t="s">
        <v>69</v>
      </c>
      <c r="C58" s="220"/>
      <c r="D58" s="62">
        <v>1100</v>
      </c>
      <c r="E58" s="63"/>
      <c r="G58" s="30"/>
      <c r="H58" s="56">
        <f>+H56/61</f>
        <v>0.96268439024336883</v>
      </c>
      <c r="I58" s="64"/>
      <c r="J58" s="49"/>
      <c r="K58" s="57"/>
      <c r="L58" s="50"/>
      <c r="M58" s="50" t="s">
        <v>70</v>
      </c>
      <c r="N58" s="65"/>
      <c r="O58" s="47">
        <f>+H59</f>
        <v>55.835694634115391</v>
      </c>
      <c r="P58" s="47"/>
      <c r="Q58" s="48"/>
    </row>
    <row r="59" spans="1:17" x14ac:dyDescent="0.2">
      <c r="B59" s="220" t="s">
        <v>71</v>
      </c>
      <c r="C59" s="220"/>
      <c r="D59" s="66">
        <v>110</v>
      </c>
      <c r="E59" s="63"/>
      <c r="G59" s="30"/>
      <c r="H59" s="56">
        <f>+H58*58</f>
        <v>55.835694634115391</v>
      </c>
      <c r="I59" s="64"/>
      <c r="J59" s="49"/>
      <c r="K59" s="57"/>
      <c r="L59" s="50"/>
      <c r="M59" s="213" t="s">
        <v>68</v>
      </c>
      <c r="N59" s="213"/>
      <c r="O59" s="47">
        <f>SUM(O57:O58)</f>
        <v>2781.0302553702213</v>
      </c>
      <c r="P59" s="47"/>
      <c r="Q59" s="48"/>
    </row>
    <row r="60" spans="1:17" ht="13.5" thickBot="1" x14ac:dyDescent="0.25">
      <c r="B60" s="214" t="s">
        <v>72</v>
      </c>
      <c r="C60" s="214"/>
      <c r="D60" s="62">
        <f>+D58/D59</f>
        <v>10</v>
      </c>
      <c r="E60" s="63"/>
      <c r="F60" s="67"/>
      <c r="G60" s="30"/>
      <c r="H60" s="56"/>
      <c r="I60" s="64"/>
      <c r="J60" s="49"/>
      <c r="K60" s="57"/>
      <c r="L60" s="213"/>
      <c r="M60" s="213"/>
      <c r="N60" s="65"/>
      <c r="O60" s="47">
        <f>+O59*N60</f>
        <v>0</v>
      </c>
      <c r="P60" s="47"/>
      <c r="Q60" s="48"/>
    </row>
    <row r="61" spans="1:17" ht="13.5" thickBot="1" x14ac:dyDescent="0.25">
      <c r="B61" s="214" t="s">
        <v>73</v>
      </c>
      <c r="C61" s="214"/>
      <c r="D61" s="68"/>
      <c r="E61" s="63"/>
      <c r="F61" s="67"/>
      <c r="G61" s="30"/>
      <c r="H61" s="56"/>
      <c r="I61" s="64"/>
      <c r="J61" s="49"/>
      <c r="K61" s="215" t="s">
        <v>74</v>
      </c>
      <c r="L61" s="216"/>
      <c r="M61" s="216"/>
      <c r="N61" s="217"/>
      <c r="O61" s="60">
        <f>SUM(O59:O60)</f>
        <v>2781.0302553702213</v>
      </c>
      <c r="P61" s="69" t="s">
        <v>75</v>
      </c>
      <c r="Q61" s="48"/>
    </row>
    <row r="62" spans="1:17" ht="13.5" thickBot="1" x14ac:dyDescent="0.25">
      <c r="C62" s="39" t="s">
        <v>76</v>
      </c>
      <c r="D62" s="70"/>
      <c r="E62" s="13" t="s">
        <v>77</v>
      </c>
      <c r="F62" s="71" t="s">
        <v>78</v>
      </c>
      <c r="G62" s="30"/>
      <c r="H62" s="56"/>
      <c r="I62" s="64"/>
      <c r="J62" s="72"/>
      <c r="K62" s="73"/>
      <c r="L62" s="203" t="s">
        <v>79</v>
      </c>
      <c r="M62" s="203"/>
      <c r="N62" s="203"/>
      <c r="O62" s="74">
        <f>+O61/D60</f>
        <v>278.10302553702212</v>
      </c>
      <c r="P62" s="75">
        <f>+O62/D59</f>
        <v>2.5282093230638374</v>
      </c>
      <c r="Q62" s="76"/>
    </row>
    <row r="63" spans="1:17" ht="13.5" thickBot="1" x14ac:dyDescent="0.25">
      <c r="B63" s="204" t="s">
        <v>64</v>
      </c>
      <c r="C63" s="204"/>
      <c r="D63" s="204"/>
      <c r="E63" s="77">
        <f>+F63/F63</f>
        <v>1</v>
      </c>
      <c r="F63" s="78">
        <f>SUM(F55)</f>
        <v>2666.4708129312603</v>
      </c>
      <c r="G63" s="30">
        <f>+F63/$F$66</f>
        <v>0.86448984027910791</v>
      </c>
      <c r="H63" s="56"/>
      <c r="I63" s="64"/>
      <c r="K63" s="205"/>
      <c r="L63" s="206"/>
      <c r="M63" s="206"/>
      <c r="N63" s="206"/>
      <c r="O63" s="79"/>
      <c r="P63" s="80"/>
    </row>
    <row r="64" spans="1:17" ht="13.5" thickBot="1" x14ac:dyDescent="0.25">
      <c r="B64" s="207" t="s">
        <v>80</v>
      </c>
      <c r="C64" s="207"/>
      <c r="D64" s="207"/>
      <c r="E64" s="81">
        <v>0.02</v>
      </c>
      <c r="F64" s="78">
        <f>+F53*E64</f>
        <v>51.973547999999994</v>
      </c>
      <c r="G64" s="30">
        <f>+F64/$F$66</f>
        <v>1.6850214144990463E-2</v>
      </c>
      <c r="H64" s="42"/>
      <c r="I64" s="64"/>
      <c r="J64" s="82"/>
      <c r="O64" s="83"/>
      <c r="P64" s="40"/>
    </row>
    <row r="65" spans="2:13" ht="13.5" thickBot="1" x14ac:dyDescent="0.25">
      <c r="B65" s="208" t="s">
        <v>81</v>
      </c>
      <c r="C65" s="209"/>
      <c r="D65" s="84">
        <v>6</v>
      </c>
      <c r="E65" s="85">
        <v>61</v>
      </c>
      <c r="F65" s="78">
        <f>+E65*D65</f>
        <v>366</v>
      </c>
      <c r="G65" s="30">
        <f>+F65/$F$66</f>
        <v>0.11865994557590162</v>
      </c>
      <c r="H65" s="42"/>
      <c r="I65" s="42"/>
      <c r="J65" s="32"/>
    </row>
    <row r="66" spans="2:13" ht="13.5" thickBot="1" x14ac:dyDescent="0.25">
      <c r="B66" s="210" t="s">
        <v>82</v>
      </c>
      <c r="C66" s="211"/>
      <c r="D66" s="211"/>
      <c r="E66" s="212"/>
      <c r="F66" s="55">
        <f>SUM(F63:F65)</f>
        <v>3084.4443609312602</v>
      </c>
      <c r="G66" s="30">
        <f>+F66/$F$66</f>
        <v>1</v>
      </c>
      <c r="H66" s="219"/>
      <c r="I66" s="42"/>
      <c r="J66" s="32"/>
      <c r="M66" s="15" t="s">
        <v>83</v>
      </c>
    </row>
    <row r="67" spans="2:13" x14ac:dyDescent="0.2">
      <c r="C67" s="37"/>
      <c r="D67" s="37"/>
      <c r="E67" s="87"/>
      <c r="F67" s="78"/>
      <c r="G67" s="30"/>
      <c r="H67" s="219"/>
      <c r="I67" s="86"/>
      <c r="J67" s="15"/>
      <c r="M67" s="15" t="s">
        <v>84</v>
      </c>
    </row>
    <row r="68" spans="2:13" ht="13.5" thickBot="1" x14ac:dyDescent="0.25">
      <c r="B68" s="198" t="s">
        <v>85</v>
      </c>
      <c r="C68" s="198"/>
      <c r="D68" s="198"/>
      <c r="E68" s="198"/>
      <c r="F68" s="198"/>
      <c r="G68" s="30"/>
      <c r="H68" s="89"/>
      <c r="I68" s="86"/>
      <c r="J68" s="15"/>
    </row>
    <row r="69" spans="2:13" ht="13.5" thickBot="1" x14ac:dyDescent="0.25">
      <c r="B69" s="90" t="s">
        <v>86</v>
      </c>
      <c r="C69" s="91">
        <f>+F53</f>
        <v>2598.6773999999996</v>
      </c>
      <c r="D69" s="91">
        <f>+D58</f>
        <v>1100</v>
      </c>
      <c r="E69" s="92">
        <f>+C69/D69</f>
        <v>2.3624339999999995</v>
      </c>
      <c r="F69" s="30"/>
      <c r="G69" s="89"/>
      <c r="H69" s="32"/>
      <c r="I69" s="89"/>
      <c r="J69" s="15"/>
    </row>
    <row r="70" spans="2:13" x14ac:dyDescent="0.2">
      <c r="B70" s="93"/>
      <c r="C70" s="94"/>
      <c r="D70" s="95"/>
      <c r="E70" s="78"/>
      <c r="F70" s="30"/>
      <c r="G70" s="89"/>
      <c r="H70" s="32"/>
      <c r="I70" s="32"/>
      <c r="J70" s="15"/>
    </row>
    <row r="71" spans="2:13" x14ac:dyDescent="0.2">
      <c r="B71" s="90" t="s">
        <v>87</v>
      </c>
      <c r="C71" s="91">
        <f>SUM(F63:F64)</f>
        <v>2718.4443609312602</v>
      </c>
      <c r="D71" s="91">
        <f>+D58</f>
        <v>1100</v>
      </c>
      <c r="E71" s="96">
        <f>+C71/D71</f>
        <v>2.4713130553920548</v>
      </c>
      <c r="F71" s="30"/>
      <c r="G71" s="89"/>
      <c r="H71" s="32"/>
      <c r="I71" s="32"/>
      <c r="J71" s="15"/>
    </row>
    <row r="72" spans="2:13" x14ac:dyDescent="0.2">
      <c r="B72" s="90"/>
      <c r="C72" s="91"/>
      <c r="D72" s="91"/>
      <c r="E72" s="96"/>
      <c r="F72" s="30"/>
      <c r="G72" s="89"/>
      <c r="H72" s="32"/>
      <c r="I72" s="32"/>
      <c r="J72" s="15"/>
    </row>
    <row r="73" spans="2:13" ht="13.5" thickBot="1" x14ac:dyDescent="0.25">
      <c r="B73" s="90" t="s">
        <v>88</v>
      </c>
      <c r="C73" s="91">
        <f>+F65</f>
        <v>366</v>
      </c>
      <c r="D73" s="91">
        <f>+D58</f>
        <v>1100</v>
      </c>
      <c r="E73" s="96">
        <f>+C73/D73</f>
        <v>0.3327272727272727</v>
      </c>
      <c r="F73" s="30"/>
      <c r="G73" s="89"/>
      <c r="H73" s="32"/>
      <c r="I73" s="32"/>
      <c r="J73" s="15"/>
    </row>
    <row r="74" spans="2:13" ht="13.5" thickBot="1" x14ac:dyDescent="0.25">
      <c r="B74" s="90" t="s">
        <v>89</v>
      </c>
      <c r="C74" s="91">
        <f>+F56</f>
        <v>587.23747804845505</v>
      </c>
      <c r="D74" s="91">
        <f>+D73</f>
        <v>1100</v>
      </c>
      <c r="E74" s="92">
        <f>+C74/D74</f>
        <v>0.53385225277132276</v>
      </c>
      <c r="F74" s="30"/>
      <c r="G74" s="89"/>
      <c r="H74" s="32"/>
      <c r="I74" s="32"/>
      <c r="J74" s="15"/>
    </row>
    <row r="75" spans="2:13" ht="13.5" thickBot="1" x14ac:dyDescent="0.25">
      <c r="B75" s="54"/>
      <c r="C75" s="55"/>
      <c r="D75" s="55"/>
      <c r="E75" s="96"/>
      <c r="F75" s="30"/>
      <c r="G75" s="89"/>
      <c r="H75" s="32"/>
      <c r="I75" s="32"/>
      <c r="J75" s="15"/>
    </row>
    <row r="76" spans="2:13" ht="13.5" thickBot="1" x14ac:dyDescent="0.25">
      <c r="B76" s="90" t="s">
        <v>90</v>
      </c>
      <c r="C76" s="91">
        <f>+F54</f>
        <v>67.793412931260832</v>
      </c>
      <c r="D76" s="91">
        <f>+D74</f>
        <v>1100</v>
      </c>
      <c r="E76" s="92">
        <f>+C76/D76</f>
        <v>6.1630375392055299E-2</v>
      </c>
      <c r="F76" s="30"/>
      <c r="G76" s="89"/>
      <c r="H76" s="32"/>
      <c r="I76" s="32"/>
      <c r="J76" s="32"/>
    </row>
    <row r="77" spans="2:13" ht="13.5" thickBot="1" x14ac:dyDescent="0.25">
      <c r="B77" s="54"/>
      <c r="C77" s="55"/>
      <c r="D77" s="55"/>
      <c r="E77" s="96"/>
      <c r="F77" s="30"/>
      <c r="G77" s="89"/>
      <c r="H77" s="32"/>
      <c r="I77" s="32"/>
    </row>
    <row r="78" spans="2:13" ht="13.5" thickBot="1" x14ac:dyDescent="0.25">
      <c r="B78" s="199" t="s">
        <v>91</v>
      </c>
      <c r="C78" s="200"/>
      <c r="D78" s="201"/>
      <c r="E78" s="92">
        <f>+E69+E74</f>
        <v>2.896286252771322</v>
      </c>
      <c r="G78" s="30"/>
      <c r="H78" s="89"/>
      <c r="I78" s="32"/>
      <c r="J78" s="96"/>
    </row>
    <row r="79" spans="2:13" x14ac:dyDescent="0.2">
      <c r="I79" s="89"/>
      <c r="J79" s="15"/>
    </row>
    <row r="80" spans="2:13" ht="13.5" thickBot="1" x14ac:dyDescent="0.25">
      <c r="B80" s="198" t="s">
        <v>92</v>
      </c>
      <c r="C80" s="198"/>
      <c r="D80" s="198"/>
      <c r="E80" s="198"/>
      <c r="F80" s="198"/>
      <c r="G80" s="30"/>
      <c r="H80" s="89"/>
      <c r="J80" s="15"/>
    </row>
    <row r="81" spans="1:10" ht="13.5" thickBot="1" x14ac:dyDescent="0.25">
      <c r="B81" s="90" t="s">
        <v>86</v>
      </c>
      <c r="C81" s="91">
        <f>+C69</f>
        <v>2598.6773999999996</v>
      </c>
      <c r="D81" s="91">
        <f>+D60</f>
        <v>10</v>
      </c>
      <c r="E81" s="92">
        <f>+C81/D81</f>
        <v>259.86773999999997</v>
      </c>
      <c r="F81" s="30"/>
      <c r="G81" s="89"/>
      <c r="H81" s="32"/>
      <c r="I81" s="89"/>
      <c r="J81" s="15"/>
    </row>
    <row r="82" spans="1:10" x14ac:dyDescent="0.2">
      <c r="B82" s="93"/>
      <c r="C82" s="94"/>
      <c r="D82" s="95"/>
      <c r="E82" s="78"/>
      <c r="F82" s="30"/>
      <c r="G82" s="89"/>
      <c r="H82" s="32"/>
      <c r="I82" s="32"/>
      <c r="J82" s="15"/>
    </row>
    <row r="83" spans="1:10" x14ac:dyDescent="0.2">
      <c r="B83" s="90" t="s">
        <v>87</v>
      </c>
      <c r="C83" s="91">
        <f>+C71</f>
        <v>2718.4443609312602</v>
      </c>
      <c r="D83" s="91">
        <f>+D60</f>
        <v>10</v>
      </c>
      <c r="E83" s="96">
        <f>+C83/D83</f>
        <v>271.84443609312603</v>
      </c>
      <c r="F83" s="30"/>
      <c r="G83" s="89"/>
      <c r="H83" s="32"/>
      <c r="I83" s="32"/>
      <c r="J83" s="15"/>
    </row>
    <row r="84" spans="1:10" x14ac:dyDescent="0.2">
      <c r="B84" s="90"/>
      <c r="C84" s="91"/>
      <c r="D84" s="91"/>
      <c r="E84" s="96"/>
      <c r="F84" s="30"/>
      <c r="G84" s="89"/>
      <c r="H84" s="32"/>
      <c r="I84" s="32"/>
      <c r="J84" s="15"/>
    </row>
    <row r="85" spans="1:10" ht="13.5" thickBot="1" x14ac:dyDescent="0.25">
      <c r="B85" s="90" t="s">
        <v>89</v>
      </c>
      <c r="C85" s="91">
        <f>+C73</f>
        <v>366</v>
      </c>
      <c r="D85" s="91">
        <f>+D60</f>
        <v>10</v>
      </c>
      <c r="E85" s="96">
        <f>+C85/D85</f>
        <v>36.6</v>
      </c>
      <c r="F85" s="98"/>
      <c r="G85" s="88"/>
      <c r="H85" s="14"/>
      <c r="I85" s="32"/>
    </row>
    <row r="86" spans="1:10" ht="13.5" thickBot="1" x14ac:dyDescent="0.25">
      <c r="B86" s="90" t="s">
        <v>89</v>
      </c>
      <c r="C86" s="91">
        <f>+C74</f>
        <v>587.23747804845505</v>
      </c>
      <c r="D86" s="91">
        <f>+D85</f>
        <v>10</v>
      </c>
      <c r="E86" s="92">
        <f>+C86/D86</f>
        <v>58.723747804845502</v>
      </c>
      <c r="F86" s="97"/>
      <c r="G86" s="88"/>
      <c r="H86" s="14"/>
      <c r="I86" s="14"/>
    </row>
    <row r="87" spans="1:10" x14ac:dyDescent="0.2">
      <c r="I87" s="14"/>
    </row>
    <row r="88" spans="1:10" x14ac:dyDescent="0.2">
      <c r="A88" s="202"/>
      <c r="B88" s="202"/>
      <c r="C88" s="99"/>
      <c r="D88" s="99"/>
      <c r="E88" s="100"/>
      <c r="G88" s="101"/>
    </row>
    <row r="89" spans="1:10" x14ac:dyDescent="0.2">
      <c r="A89" s="33"/>
      <c r="B89" s="102"/>
      <c r="C89" s="103"/>
      <c r="D89" s="103"/>
      <c r="E89" s="104"/>
      <c r="G89" s="101"/>
    </row>
    <row r="90" spans="1:10" x14ac:dyDescent="0.2">
      <c r="A90" s="33"/>
      <c r="B90" s="102"/>
      <c r="C90" s="105"/>
      <c r="D90" s="105"/>
      <c r="E90" s="33"/>
      <c r="G90" s="101"/>
    </row>
    <row r="91" spans="1:10" x14ac:dyDescent="0.2">
      <c r="A91" s="33"/>
      <c r="B91" s="102"/>
      <c r="C91" s="106"/>
      <c r="D91" s="106"/>
      <c r="E91" s="33"/>
      <c r="G91" s="101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EB6D-6D2E-4976-80BC-AD15A7532716}">
  <dimension ref="A1:M53"/>
  <sheetViews>
    <sheetView tabSelected="1" view="pageBreakPreview" zoomScale="60" zoomScaleNormal="70" workbookViewId="0">
      <selection activeCell="L12" sqref="L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238"/>
      <c r="B1" s="239"/>
      <c r="C1" s="244" t="s">
        <v>22</v>
      </c>
      <c r="D1" s="244"/>
      <c r="E1" s="244"/>
      <c r="F1" s="244"/>
      <c r="G1" s="244"/>
      <c r="H1" s="107" t="s">
        <v>21</v>
      </c>
      <c r="I1" s="1" t="s">
        <v>117</v>
      </c>
    </row>
    <row r="2" spans="1:9" ht="15.75" x14ac:dyDescent="0.25">
      <c r="A2" s="240"/>
      <c r="B2" s="241"/>
      <c r="C2" s="245" t="s">
        <v>0</v>
      </c>
      <c r="D2" s="245"/>
      <c r="E2" s="245"/>
      <c r="F2" s="245"/>
      <c r="G2" s="245"/>
      <c r="H2" s="108" t="s">
        <v>20</v>
      </c>
      <c r="I2" s="109" t="s">
        <v>105</v>
      </c>
    </row>
    <row r="3" spans="1:9" ht="15.95" customHeight="1" thickBot="1" x14ac:dyDescent="0.25">
      <c r="A3" s="240"/>
      <c r="B3" s="241"/>
      <c r="C3" s="246" t="s">
        <v>101</v>
      </c>
      <c r="D3" s="246"/>
      <c r="E3" s="246"/>
      <c r="F3" s="246"/>
      <c r="G3" s="246"/>
      <c r="H3" s="247" t="s">
        <v>19</v>
      </c>
      <c r="I3" s="229">
        <v>45610</v>
      </c>
    </row>
    <row r="4" spans="1:9" ht="18" customHeight="1" x14ac:dyDescent="0.25">
      <c r="A4" s="240"/>
      <c r="B4" s="241"/>
      <c r="C4" s="110" t="s">
        <v>18</v>
      </c>
      <c r="D4" s="232" t="s">
        <v>106</v>
      </c>
      <c r="E4" s="233"/>
      <c r="F4" s="233"/>
      <c r="G4" s="234"/>
      <c r="H4" s="248"/>
      <c r="I4" s="230"/>
    </row>
    <row r="5" spans="1:9" ht="14.25" thickBot="1" x14ac:dyDescent="0.3">
      <c r="A5" s="242"/>
      <c r="B5" s="243"/>
      <c r="C5" s="111" t="s">
        <v>17</v>
      </c>
      <c r="D5" s="235" t="s">
        <v>107</v>
      </c>
      <c r="E5" s="236"/>
      <c r="F5" s="236"/>
      <c r="G5" s="237"/>
      <c r="H5" s="249"/>
      <c r="I5" s="231"/>
    </row>
    <row r="6" spans="1:9" ht="18.75" thickBot="1" x14ac:dyDescent="0.3">
      <c r="A6" s="250" t="s">
        <v>23</v>
      </c>
      <c r="B6" s="250"/>
      <c r="C6" s="250"/>
      <c r="D6" s="251" t="s">
        <v>28</v>
      </c>
      <c r="E6" s="251"/>
      <c r="F6" s="251"/>
      <c r="G6" s="252" t="s">
        <v>24</v>
      </c>
      <c r="H6" s="252"/>
      <c r="I6" s="4" t="s">
        <v>29</v>
      </c>
    </row>
    <row r="7" spans="1:9" ht="25.5" x14ac:dyDescent="0.2">
      <c r="A7" s="253" t="s">
        <v>1</v>
      </c>
      <c r="B7" s="255" t="s">
        <v>99</v>
      </c>
      <c r="C7" s="257" t="s">
        <v>2</v>
      </c>
      <c r="D7" s="257" t="s">
        <v>3</v>
      </c>
      <c r="E7" s="257" t="s">
        <v>4</v>
      </c>
      <c r="F7" s="257"/>
      <c r="G7" s="257" t="s">
        <v>16</v>
      </c>
      <c r="H7" s="257"/>
      <c r="I7" s="112" t="s">
        <v>5</v>
      </c>
    </row>
    <row r="8" spans="1:9" ht="26.25" thickBot="1" x14ac:dyDescent="0.25">
      <c r="A8" s="254"/>
      <c r="B8" s="256"/>
      <c r="C8" s="258"/>
      <c r="D8" s="258"/>
      <c r="E8" s="113" t="s">
        <v>6</v>
      </c>
      <c r="F8" s="114" t="s">
        <v>7</v>
      </c>
      <c r="G8" s="113" t="s">
        <v>6</v>
      </c>
      <c r="H8" s="114" t="s">
        <v>7</v>
      </c>
      <c r="I8" s="115" t="s">
        <v>8</v>
      </c>
    </row>
    <row r="9" spans="1:9" ht="15" x14ac:dyDescent="0.25">
      <c r="A9" s="116"/>
      <c r="B9" s="117"/>
      <c r="C9" s="118" t="s">
        <v>108</v>
      </c>
      <c r="D9" s="119"/>
      <c r="E9" s="120"/>
      <c r="F9" s="121"/>
      <c r="G9" s="120"/>
      <c r="H9" s="121"/>
      <c r="I9" s="122"/>
    </row>
    <row r="10" spans="1:9" ht="15" x14ac:dyDescent="0.25">
      <c r="A10" s="123">
        <v>903000197</v>
      </c>
      <c r="B10" s="9" t="s">
        <v>100</v>
      </c>
      <c r="C10" s="8" t="s">
        <v>38</v>
      </c>
      <c r="D10" s="7" t="s">
        <v>30</v>
      </c>
      <c r="E10" s="7">
        <v>380</v>
      </c>
      <c r="F10" s="124" t="s">
        <v>25</v>
      </c>
      <c r="G10" s="125" t="s">
        <v>39</v>
      </c>
      <c r="H10" s="126"/>
      <c r="I10" s="122"/>
    </row>
    <row r="11" spans="1:9" ht="15" x14ac:dyDescent="0.25">
      <c r="A11" s="2"/>
      <c r="B11" s="2"/>
      <c r="C11" s="127"/>
      <c r="D11" s="2"/>
      <c r="E11" s="3"/>
      <c r="F11" s="3"/>
      <c r="G11" s="128"/>
      <c r="H11" s="126"/>
      <c r="I11" s="122"/>
    </row>
    <row r="12" spans="1:9" ht="15" x14ac:dyDescent="0.25">
      <c r="A12" s="129"/>
      <c r="B12" s="5"/>
      <c r="C12" s="6"/>
      <c r="D12" s="130"/>
      <c r="E12" s="130"/>
      <c r="F12" s="130"/>
      <c r="G12" s="128"/>
      <c r="H12" s="131"/>
      <c r="I12" s="122"/>
    </row>
    <row r="13" spans="1:9" ht="15" x14ac:dyDescent="0.25">
      <c r="A13" s="129"/>
      <c r="B13" s="5"/>
      <c r="C13" s="6"/>
      <c r="D13" s="130"/>
      <c r="E13" s="130"/>
      <c r="F13" s="130"/>
      <c r="G13" s="128"/>
      <c r="H13" s="131"/>
      <c r="I13" s="122"/>
    </row>
    <row r="14" spans="1:9" ht="15" x14ac:dyDescent="0.25">
      <c r="A14" s="129"/>
      <c r="B14" s="5"/>
      <c r="C14" s="132"/>
      <c r="D14" s="130"/>
      <c r="E14" s="130"/>
      <c r="F14" s="130"/>
      <c r="G14" s="128"/>
      <c r="H14" s="131"/>
      <c r="I14" s="122"/>
    </row>
    <row r="15" spans="1:9" ht="15" x14ac:dyDescent="0.25">
      <c r="A15" s="129"/>
      <c r="B15" s="5"/>
      <c r="C15" s="6"/>
      <c r="D15" s="130"/>
      <c r="E15" s="130"/>
      <c r="F15" s="130"/>
      <c r="G15" s="128"/>
      <c r="H15" s="131"/>
      <c r="I15" s="122"/>
    </row>
    <row r="16" spans="1:9" ht="15" x14ac:dyDescent="0.25">
      <c r="A16" s="129"/>
      <c r="B16" s="5"/>
      <c r="C16" s="6"/>
      <c r="D16" s="130"/>
      <c r="E16" s="130"/>
      <c r="F16" s="130"/>
      <c r="G16" s="128"/>
      <c r="H16" s="131"/>
      <c r="I16" s="122"/>
    </row>
    <row r="17" spans="1:9" ht="15" x14ac:dyDescent="0.25">
      <c r="A17" s="5"/>
      <c r="B17" s="5"/>
      <c r="C17" s="133"/>
      <c r="D17" s="134"/>
      <c r="E17" s="134"/>
      <c r="F17" s="135"/>
      <c r="G17" s="120"/>
      <c r="H17" s="121"/>
      <c r="I17" s="122"/>
    </row>
    <row r="18" spans="1:9" ht="15.75" x14ac:dyDescent="0.25">
      <c r="A18" s="136"/>
      <c r="B18" s="137"/>
      <c r="C18" s="138" t="s">
        <v>109</v>
      </c>
      <c r="D18" s="139"/>
      <c r="E18" s="140"/>
      <c r="F18" s="135"/>
      <c r="G18" s="120"/>
      <c r="H18" s="121"/>
      <c r="I18" s="122"/>
    </row>
    <row r="19" spans="1:9" ht="15" x14ac:dyDescent="0.25">
      <c r="A19" s="141"/>
      <c r="B19" s="130"/>
      <c r="C19" s="142"/>
      <c r="D19" s="143"/>
      <c r="E19" s="134"/>
      <c r="F19" s="135"/>
      <c r="G19" s="120"/>
      <c r="H19" s="121"/>
      <c r="I19" s="122"/>
    </row>
    <row r="20" spans="1:9" ht="15" x14ac:dyDescent="0.25">
      <c r="A20" s="5"/>
      <c r="B20" s="5"/>
      <c r="C20" s="133"/>
      <c r="D20" s="143"/>
      <c r="E20" s="134"/>
      <c r="F20" s="135"/>
      <c r="G20" s="120"/>
      <c r="H20" s="121"/>
      <c r="I20" s="122"/>
    </row>
    <row r="21" spans="1:9" ht="15" x14ac:dyDescent="0.25">
      <c r="A21" s="144"/>
      <c r="B21" s="144"/>
      <c r="C21" s="142"/>
      <c r="D21" s="143"/>
      <c r="E21" s="134"/>
      <c r="F21" s="135"/>
      <c r="G21" s="120"/>
      <c r="H21" s="121"/>
      <c r="I21" s="122"/>
    </row>
    <row r="22" spans="1:9" ht="15" x14ac:dyDescent="0.25">
      <c r="A22" s="5"/>
      <c r="B22" s="5"/>
      <c r="C22" s="133"/>
      <c r="D22" s="134"/>
      <c r="E22" s="139"/>
      <c r="F22" s="135"/>
      <c r="G22" s="120"/>
      <c r="H22" s="121"/>
      <c r="I22" s="122"/>
    </row>
    <row r="23" spans="1:9" ht="15" x14ac:dyDescent="0.25">
      <c r="A23" s="5"/>
      <c r="B23" s="5"/>
      <c r="C23" s="133"/>
      <c r="D23" s="145"/>
      <c r="E23" s="146"/>
      <c r="F23" s="147"/>
      <c r="G23" s="120"/>
      <c r="H23" s="121"/>
      <c r="I23" s="122"/>
    </row>
    <row r="24" spans="1:9" ht="15.75" x14ac:dyDescent="0.25">
      <c r="A24" s="148"/>
      <c r="B24" s="149"/>
      <c r="C24" s="150" t="s">
        <v>29</v>
      </c>
      <c r="D24" s="151"/>
      <c r="E24" s="152"/>
      <c r="F24" s="121"/>
      <c r="G24" s="120"/>
      <c r="I24" s="122"/>
    </row>
    <row r="25" spans="1:9" ht="15" x14ac:dyDescent="0.25">
      <c r="A25" s="153">
        <v>1950729</v>
      </c>
      <c r="B25" s="153" t="s">
        <v>102</v>
      </c>
      <c r="C25" s="154" t="s">
        <v>35</v>
      </c>
      <c r="D25" s="7" t="s">
        <v>110</v>
      </c>
      <c r="E25" s="3">
        <v>2</v>
      </c>
      <c r="F25" s="3" t="s">
        <v>26</v>
      </c>
      <c r="G25" s="155"/>
      <c r="H25" s="121"/>
      <c r="I25" s="122"/>
    </row>
    <row r="26" spans="1:9" ht="15" x14ac:dyDescent="0.25">
      <c r="A26" s="5">
        <v>702007</v>
      </c>
      <c r="B26" s="2" t="s">
        <v>103</v>
      </c>
      <c r="C26" s="6" t="s">
        <v>42</v>
      </c>
      <c r="D26" s="2" t="s">
        <v>111</v>
      </c>
      <c r="E26" s="3">
        <v>1</v>
      </c>
      <c r="F26" s="3" t="s">
        <v>26</v>
      </c>
      <c r="G26" s="155"/>
      <c r="H26" s="121"/>
      <c r="I26" s="122"/>
    </row>
    <row r="27" spans="1:9" ht="15" x14ac:dyDescent="0.25">
      <c r="A27" s="5">
        <v>702069</v>
      </c>
      <c r="B27" s="2" t="s">
        <v>104</v>
      </c>
      <c r="C27" s="6" t="s">
        <v>36</v>
      </c>
      <c r="D27" s="2" t="s">
        <v>37</v>
      </c>
      <c r="E27" s="3">
        <v>1</v>
      </c>
      <c r="F27" s="3" t="s">
        <v>26</v>
      </c>
      <c r="G27" s="155"/>
      <c r="H27" s="121"/>
      <c r="I27" s="122"/>
    </row>
    <row r="28" spans="1:9" ht="15" x14ac:dyDescent="0.25">
      <c r="A28" s="156"/>
      <c r="B28" s="157"/>
      <c r="C28" s="158"/>
      <c r="D28" s="159"/>
      <c r="E28" s="160"/>
      <c r="F28" s="161"/>
      <c r="G28" s="120"/>
      <c r="H28" s="162"/>
      <c r="I28" s="122"/>
    </row>
    <row r="29" spans="1:9" ht="15" x14ac:dyDescent="0.25">
      <c r="A29" s="163"/>
      <c r="B29" s="164"/>
      <c r="C29" s="165"/>
      <c r="D29" s="166"/>
      <c r="E29" s="167"/>
      <c r="F29" s="168"/>
      <c r="G29" s="120"/>
      <c r="H29" s="121"/>
      <c r="I29" s="122"/>
    </row>
    <row r="30" spans="1:9" ht="15" x14ac:dyDescent="0.25">
      <c r="A30" s="169"/>
      <c r="B30" s="170"/>
      <c r="C30" s="171"/>
      <c r="D30" s="7"/>
      <c r="E30" s="134"/>
      <c r="F30" s="135"/>
      <c r="G30" s="172"/>
      <c r="H30" s="139"/>
      <c r="I30" s="122"/>
    </row>
    <row r="31" spans="1:9" ht="15" x14ac:dyDescent="0.25">
      <c r="A31" s="136"/>
      <c r="B31" s="137"/>
      <c r="C31" s="173"/>
      <c r="D31" s="7"/>
      <c r="E31" s="134"/>
      <c r="F31" s="135"/>
      <c r="G31" s="134"/>
      <c r="H31" s="139"/>
      <c r="I31" s="122"/>
    </row>
    <row r="32" spans="1:9" ht="15.75" x14ac:dyDescent="0.25">
      <c r="A32" s="136"/>
      <c r="B32" s="137"/>
      <c r="C32" s="173"/>
      <c r="D32" s="7"/>
      <c r="E32" s="134"/>
      <c r="F32" s="135"/>
      <c r="G32" s="174"/>
      <c r="H32" s="135"/>
      <c r="I32" s="122"/>
    </row>
    <row r="33" spans="1:13" ht="15.75" x14ac:dyDescent="0.25">
      <c r="A33" s="136"/>
      <c r="B33" s="137"/>
      <c r="C33" s="173"/>
      <c r="D33" s="139"/>
      <c r="E33" s="139"/>
      <c r="F33" s="135"/>
      <c r="G33" s="175"/>
      <c r="H33" s="175"/>
      <c r="I33" s="122"/>
    </row>
    <row r="34" spans="1:13" ht="14.25" thickBot="1" x14ac:dyDescent="0.3">
      <c r="A34" s="176"/>
      <c r="B34" s="177"/>
      <c r="C34" s="178"/>
      <c r="D34" s="178"/>
      <c r="E34" s="179"/>
      <c r="F34" s="180"/>
      <c r="G34" s="178"/>
      <c r="H34" s="178"/>
      <c r="I34" s="181"/>
      <c r="J34" s="182"/>
      <c r="K34" s="182"/>
      <c r="L34" s="183"/>
      <c r="M34" s="182"/>
    </row>
    <row r="35" spans="1:13" ht="14.25" thickBot="1" x14ac:dyDescent="0.3">
      <c r="A35" s="184"/>
      <c r="B35" s="185"/>
      <c r="C35" s="186"/>
      <c r="D35" s="187" t="s">
        <v>6</v>
      </c>
      <c r="E35" s="188" t="s">
        <v>15</v>
      </c>
      <c r="F35" s="189"/>
      <c r="G35" s="186"/>
      <c r="H35" s="186"/>
      <c r="I35" s="190"/>
      <c r="J35" s="182"/>
      <c r="K35" s="182"/>
      <c r="L35" s="183"/>
      <c r="M35" s="182"/>
    </row>
    <row r="36" spans="1:13" ht="13.5" x14ac:dyDescent="0.25">
      <c r="A36" s="259" t="s">
        <v>10</v>
      </c>
      <c r="B36" s="260"/>
      <c r="C36" s="261"/>
      <c r="D36" s="125">
        <v>380</v>
      </c>
      <c r="E36" s="191" t="s">
        <v>25</v>
      </c>
      <c r="F36" s="262" t="s">
        <v>112</v>
      </c>
      <c r="G36" s="262"/>
      <c r="H36" s="263"/>
      <c r="I36" s="264"/>
      <c r="J36" s="182"/>
      <c r="K36" s="182"/>
      <c r="L36" s="183"/>
      <c r="M36" s="182"/>
    </row>
    <row r="37" spans="1:13" ht="13.5" x14ac:dyDescent="0.25">
      <c r="A37" s="265" t="s">
        <v>9</v>
      </c>
      <c r="B37" s="266"/>
      <c r="C37" s="267"/>
      <c r="D37" s="192">
        <v>1</v>
      </c>
      <c r="E37" s="193" t="s">
        <v>27</v>
      </c>
      <c r="F37" s="268" t="s">
        <v>113</v>
      </c>
      <c r="G37" s="268"/>
      <c r="H37" s="269"/>
      <c r="I37" s="270"/>
      <c r="J37" s="182"/>
      <c r="K37" s="182"/>
      <c r="L37" s="183"/>
      <c r="M37" s="182"/>
    </row>
    <row r="38" spans="1:13" ht="13.5" x14ac:dyDescent="0.25">
      <c r="A38" s="265" t="s">
        <v>14</v>
      </c>
      <c r="B38" s="266"/>
      <c r="C38" s="267"/>
      <c r="D38" s="193">
        <v>1</v>
      </c>
      <c r="E38" s="193" t="s">
        <v>26</v>
      </c>
      <c r="F38" s="268" t="s">
        <v>114</v>
      </c>
      <c r="G38" s="268"/>
      <c r="H38" s="269"/>
      <c r="I38" s="270"/>
      <c r="J38" s="182"/>
      <c r="K38" s="182"/>
      <c r="L38" s="183"/>
      <c r="M38" s="182"/>
    </row>
    <row r="39" spans="1:13" ht="13.5" x14ac:dyDescent="0.25">
      <c r="A39" s="265" t="s">
        <v>13</v>
      </c>
      <c r="B39" s="266"/>
      <c r="C39" s="267"/>
      <c r="D39" s="194">
        <v>380</v>
      </c>
      <c r="E39" s="193" t="s">
        <v>25</v>
      </c>
      <c r="F39" s="274" t="s">
        <v>115</v>
      </c>
      <c r="G39" s="275"/>
      <c r="H39" s="269"/>
      <c r="I39" s="270"/>
      <c r="J39" s="182"/>
      <c r="K39" s="182"/>
      <c r="L39" s="183"/>
      <c r="M39" s="195"/>
    </row>
    <row r="40" spans="1:13" ht="14.25" thickBot="1" x14ac:dyDescent="0.3">
      <c r="A40" s="276" t="s">
        <v>12</v>
      </c>
      <c r="B40" s="277"/>
      <c r="C40" s="278"/>
      <c r="D40" s="196">
        <v>0</v>
      </c>
      <c r="E40" s="197" t="s">
        <v>25</v>
      </c>
      <c r="F40" s="279"/>
      <c r="G40" s="279"/>
      <c r="H40" s="280"/>
      <c r="I40" s="281"/>
      <c r="J40" s="178"/>
      <c r="K40" s="178"/>
      <c r="L40" s="183"/>
      <c r="M40" s="178"/>
    </row>
    <row r="41" spans="1:13" ht="13.5" thickBot="1" x14ac:dyDescent="0.25">
      <c r="A41" s="282" t="s">
        <v>11</v>
      </c>
      <c r="B41" s="283"/>
      <c r="C41" s="283"/>
      <c r="D41" s="283"/>
      <c r="E41" s="283"/>
      <c r="F41" s="283"/>
      <c r="G41" s="283"/>
      <c r="H41" s="283"/>
      <c r="I41" s="284"/>
      <c r="J41" s="182"/>
      <c r="K41" s="182"/>
      <c r="L41" s="182"/>
      <c r="M41" s="182"/>
    </row>
    <row r="42" spans="1:13" ht="18.600000000000001" customHeight="1" x14ac:dyDescent="0.25">
      <c r="A42" s="271" t="s">
        <v>40</v>
      </c>
      <c r="B42" s="272"/>
      <c r="C42" s="272"/>
      <c r="D42" s="272"/>
      <c r="E42" s="272"/>
      <c r="F42" s="272"/>
      <c r="G42" s="272"/>
      <c r="H42" s="272"/>
      <c r="I42" s="273"/>
      <c r="J42" s="182"/>
      <c r="K42" s="182"/>
      <c r="L42" s="182"/>
      <c r="M42" s="182"/>
    </row>
    <row r="43" spans="1:13" ht="14.45" customHeight="1" x14ac:dyDescent="0.25">
      <c r="A43" s="271" t="s">
        <v>41</v>
      </c>
      <c r="B43" s="272"/>
      <c r="C43" s="272"/>
      <c r="D43" s="272"/>
      <c r="E43" s="272"/>
      <c r="F43" s="272"/>
      <c r="G43" s="272"/>
      <c r="H43" s="272"/>
      <c r="I43" s="273"/>
      <c r="J43" s="182"/>
      <c r="K43" s="182"/>
      <c r="L43" s="182"/>
      <c r="M43" s="182"/>
    </row>
    <row r="44" spans="1:13" ht="14.45" customHeight="1" x14ac:dyDescent="0.25">
      <c r="A44" s="271"/>
      <c r="B44" s="272"/>
      <c r="C44" s="272"/>
      <c r="D44" s="272"/>
      <c r="E44" s="272"/>
      <c r="F44" s="272"/>
      <c r="G44" s="272"/>
      <c r="H44" s="272"/>
      <c r="I44" s="273"/>
      <c r="J44" s="182"/>
      <c r="K44" s="182"/>
      <c r="L44" s="182"/>
      <c r="M44" s="182"/>
    </row>
    <row r="45" spans="1:13" ht="14.45" customHeight="1" x14ac:dyDescent="0.25">
      <c r="A45" s="271"/>
      <c r="B45" s="272"/>
      <c r="C45" s="272"/>
      <c r="D45" s="272"/>
      <c r="E45" s="272"/>
      <c r="F45" s="272"/>
      <c r="G45" s="272"/>
      <c r="H45" s="272"/>
      <c r="I45" s="273"/>
      <c r="J45" s="182"/>
      <c r="K45" s="182"/>
      <c r="L45" s="182"/>
      <c r="M45" s="182"/>
    </row>
    <row r="46" spans="1:13" ht="14.45" customHeight="1" x14ac:dyDescent="0.25">
      <c r="A46" s="271"/>
      <c r="B46" s="272"/>
      <c r="C46" s="272"/>
      <c r="D46" s="272"/>
      <c r="E46" s="272"/>
      <c r="F46" s="272"/>
      <c r="G46" s="272"/>
      <c r="H46" s="272"/>
      <c r="I46" s="273"/>
      <c r="J46" s="182"/>
      <c r="K46" s="182"/>
      <c r="L46" s="182"/>
      <c r="M46" s="182"/>
    </row>
    <row r="47" spans="1:13" ht="15" x14ac:dyDescent="0.25">
      <c r="A47" s="271"/>
      <c r="B47" s="272"/>
      <c r="C47" s="272"/>
      <c r="D47" s="272"/>
      <c r="E47" s="272"/>
      <c r="F47" s="272"/>
      <c r="G47" s="272"/>
      <c r="H47" s="272"/>
      <c r="I47" s="273"/>
      <c r="J47" s="182"/>
      <c r="K47" s="182"/>
      <c r="L47" s="182"/>
      <c r="M47" s="182"/>
    </row>
    <row r="48" spans="1:13" ht="18" customHeight="1" x14ac:dyDescent="0.2">
      <c r="A48" s="292"/>
      <c r="B48" s="293"/>
      <c r="C48" s="293"/>
      <c r="D48" s="293"/>
      <c r="E48" s="293"/>
      <c r="F48" s="293"/>
      <c r="G48" s="293"/>
      <c r="H48" s="293"/>
      <c r="I48" s="294"/>
      <c r="J48" s="182"/>
      <c r="K48" s="182"/>
      <c r="L48" s="182"/>
      <c r="M48" s="182"/>
    </row>
    <row r="49" spans="1:13" ht="13.5" x14ac:dyDescent="0.25">
      <c r="A49" s="295"/>
      <c r="B49" s="296"/>
      <c r="C49" s="296"/>
      <c r="D49" s="296"/>
      <c r="E49" s="296"/>
      <c r="F49" s="296"/>
      <c r="G49" s="296"/>
      <c r="H49" s="296"/>
      <c r="I49" s="297"/>
      <c r="J49" s="182"/>
      <c r="K49" s="182"/>
      <c r="L49" s="182"/>
      <c r="M49" s="182"/>
    </row>
    <row r="50" spans="1:13" ht="14.25" thickBot="1" x14ac:dyDescent="0.3">
      <c r="A50" s="285"/>
      <c r="B50" s="286"/>
      <c r="C50" s="286"/>
      <c r="D50" s="286"/>
      <c r="E50" s="286"/>
      <c r="F50" s="286"/>
      <c r="G50" s="286"/>
      <c r="H50" s="286"/>
      <c r="I50" s="287"/>
      <c r="J50" s="182"/>
      <c r="K50" s="182"/>
      <c r="L50" s="182"/>
      <c r="M50" s="182"/>
    </row>
    <row r="51" spans="1:13" x14ac:dyDescent="0.2">
      <c r="A51" s="288" t="s">
        <v>116</v>
      </c>
      <c r="B51" s="289"/>
      <c r="C51" s="289"/>
      <c r="D51" s="289"/>
      <c r="E51" s="289"/>
      <c r="F51" s="289"/>
      <c r="G51" s="289"/>
      <c r="H51" s="289"/>
      <c r="I51" s="289"/>
      <c r="J51" s="182"/>
      <c r="K51" s="182"/>
      <c r="L51" s="182"/>
      <c r="M51" s="182"/>
    </row>
    <row r="52" spans="1:13" ht="13.5" x14ac:dyDescent="0.25">
      <c r="A52" s="290"/>
      <c r="B52" s="291"/>
      <c r="C52" s="291"/>
      <c r="D52" s="291"/>
      <c r="E52" s="291"/>
      <c r="F52" s="291"/>
      <c r="G52" s="291"/>
      <c r="H52" s="291"/>
      <c r="I52" s="291"/>
      <c r="J52" s="182"/>
      <c r="K52" s="182"/>
      <c r="L52" s="182"/>
      <c r="M52" s="182"/>
    </row>
    <row r="53" spans="1:13" ht="13.5" x14ac:dyDescent="0.25">
      <c r="A53" s="290"/>
      <c r="B53" s="291"/>
      <c r="C53" s="291"/>
      <c r="D53" s="291"/>
      <c r="E53" s="291"/>
      <c r="F53" s="291"/>
      <c r="G53" s="291"/>
      <c r="H53" s="291"/>
      <c r="I53" s="291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3D8E-1342-4666-9ED7-591D4EAE332E}">
  <dimension ref="A1:Q90"/>
  <sheetViews>
    <sheetView workbookViewId="0">
      <selection activeCell="M17" sqref="M17"/>
    </sheetView>
  </sheetViews>
  <sheetFormatPr baseColWidth="10" defaultColWidth="8.42578125" defaultRowHeight="12.75" x14ac:dyDescent="0.2"/>
  <cols>
    <col min="1" max="1" width="10" style="15" bestFit="1" customWidth="1"/>
    <col min="2" max="2" width="44.28515625" style="15" bestFit="1" customWidth="1"/>
    <col min="3" max="3" width="10.42578125" style="15" bestFit="1" customWidth="1"/>
    <col min="4" max="4" width="10.42578125" style="15" customWidth="1"/>
    <col min="5" max="5" width="9.7109375" style="15" bestFit="1" customWidth="1"/>
    <col min="6" max="6" width="9.5703125" style="15" bestFit="1" customWidth="1"/>
    <col min="7" max="7" width="9.5703125" style="97" bestFit="1" customWidth="1"/>
    <col min="8" max="8" width="10.42578125" style="88" bestFit="1" customWidth="1"/>
    <col min="9" max="9" width="4.5703125" style="88" customWidth="1"/>
    <col min="10" max="10" width="1.85546875" style="14" customWidth="1"/>
    <col min="11" max="11" width="7" style="15" bestFit="1" customWidth="1"/>
    <col min="12" max="12" width="6.28515625" style="15" customWidth="1"/>
    <col min="13" max="13" width="20.42578125" style="15" customWidth="1"/>
    <col min="14" max="14" width="6.42578125" style="15" bestFit="1" customWidth="1"/>
    <col min="15" max="16" width="8.42578125" style="15"/>
    <col min="17" max="17" width="3.28515625" style="15" customWidth="1"/>
    <col min="18" max="16384" width="8.42578125" style="15"/>
  </cols>
  <sheetData>
    <row r="1" spans="1:13" ht="27.75" customHeight="1" x14ac:dyDescent="0.2">
      <c r="A1" s="10"/>
      <c r="B1" s="10"/>
      <c r="C1" s="10"/>
      <c r="D1" s="10"/>
      <c r="E1" s="11" t="s">
        <v>43</v>
      </c>
      <c r="F1" s="12" t="s">
        <v>44</v>
      </c>
      <c r="G1" s="12" t="s">
        <v>45</v>
      </c>
      <c r="H1" s="12" t="s">
        <v>46</v>
      </c>
      <c r="I1" s="13"/>
    </row>
    <row r="2" spans="1:13" ht="30.75" customHeight="1" x14ac:dyDescent="0.2">
      <c r="A2" s="10"/>
      <c r="B2" s="10"/>
      <c r="C2" s="10"/>
      <c r="D2" s="10"/>
      <c r="E2" s="16">
        <f>IFERROR(O61,"")</f>
        <v>1744.239428261681</v>
      </c>
      <c r="F2" s="16">
        <f>IFERROR(H52,"")</f>
        <v>1039.4709599999999</v>
      </c>
      <c r="G2" s="16">
        <f>IFERROR(H53,"")</f>
        <v>127.53069850583766</v>
      </c>
      <c r="H2" s="16">
        <f>IFERROR(H55,"")</f>
        <v>295.89499121938201</v>
      </c>
      <c r="I2" s="17"/>
    </row>
    <row r="3" spans="1:13" ht="15" customHeight="1" x14ac:dyDescent="0.2">
      <c r="A3" s="10"/>
      <c r="B3" s="10"/>
      <c r="C3" s="10"/>
      <c r="D3" s="10"/>
      <c r="E3" s="10"/>
      <c r="F3" s="18"/>
      <c r="G3" s="18"/>
      <c r="H3" s="18"/>
      <c r="I3" s="18"/>
    </row>
    <row r="4" spans="1:13" ht="24.75" customHeight="1" thickBot="1" x14ac:dyDescent="0.25">
      <c r="A4" s="224"/>
      <c r="B4" s="224"/>
      <c r="C4" s="224"/>
      <c r="D4" s="224"/>
      <c r="E4" s="224"/>
      <c r="F4" s="224"/>
      <c r="G4" s="224"/>
      <c r="H4" s="224"/>
      <c r="I4" s="19"/>
    </row>
    <row r="5" spans="1:13" ht="19.5" customHeight="1" thickBot="1" x14ac:dyDescent="0.25">
      <c r="A5" s="225" t="s">
        <v>47</v>
      </c>
      <c r="B5" s="226"/>
      <c r="C5" s="226"/>
      <c r="D5" s="226"/>
      <c r="E5" s="226"/>
      <c r="F5" s="226"/>
      <c r="G5" s="226"/>
      <c r="H5" s="227"/>
      <c r="I5" s="20"/>
    </row>
    <row r="6" spans="1:13" ht="19.5" thickBot="1" x14ac:dyDescent="0.25">
      <c r="A6" s="20"/>
      <c r="B6" s="20"/>
      <c r="C6" s="20"/>
      <c r="D6" s="20"/>
      <c r="E6" s="20"/>
      <c r="F6" s="228" t="s">
        <v>48</v>
      </c>
      <c r="G6" s="228"/>
      <c r="H6" s="21">
        <f ca="1">TODAY()</f>
        <v>45744</v>
      </c>
      <c r="I6" s="21"/>
    </row>
    <row r="7" spans="1:13" ht="26.25" hidden="1" thickBot="1" x14ac:dyDescent="0.25">
      <c r="A7" s="22" t="s">
        <v>49</v>
      </c>
      <c r="B7" s="23" t="s">
        <v>50</v>
      </c>
      <c r="C7" s="23" t="s">
        <v>49</v>
      </c>
      <c r="D7" s="24" t="s">
        <v>51</v>
      </c>
      <c r="E7" s="24" t="s">
        <v>52</v>
      </c>
      <c r="F7" s="24" t="s">
        <v>53</v>
      </c>
      <c r="G7" s="24" t="s">
        <v>54</v>
      </c>
      <c r="H7" s="25" t="s">
        <v>55</v>
      </c>
      <c r="I7" s="26"/>
    </row>
    <row r="8" spans="1:13" ht="13.5" hidden="1" x14ac:dyDescent="0.25">
      <c r="A8" s="27"/>
      <c r="B8" s="15" t="str">
        <f>IFERROR(VLOOKUP(H8,'[1]Consolidado MP Planta'!$A$2:$M$823,3,0),"")</f>
        <v/>
      </c>
      <c r="C8" s="28">
        <f>+A8</f>
        <v>0</v>
      </c>
      <c r="D8" s="29" t="str">
        <f>IFERROR(VLOOKUP(H8,'[1]Consolidado MP Planta'!$A$2:$M$823,13,0),"")</f>
        <v/>
      </c>
      <c r="E8" s="29" t="str">
        <f>IFERROR(VLOOKUP(H8,'[1]Consolidado MP Planta'!$A$2:$M$823,12,0),"")</f>
        <v/>
      </c>
      <c r="F8" s="29" t="str">
        <f>IFERROR(C8*E8,"")</f>
        <v/>
      </c>
      <c r="G8" s="30" t="str">
        <f t="shared" ref="G8:G14" si="0">IFERROR(F8/$F$65,"")</f>
        <v/>
      </c>
      <c r="H8" s="31"/>
      <c r="I8" s="31"/>
      <c r="J8" s="32"/>
    </row>
    <row r="9" spans="1:13" ht="13.5" hidden="1" x14ac:dyDescent="0.25">
      <c r="A9" s="27"/>
      <c r="B9" s="15" t="str">
        <f>IFERROR(VLOOKUP(H9,'[1]Consolidado MP Planta'!$A$2:$M$823,3,0),"")</f>
        <v/>
      </c>
      <c r="C9" s="28">
        <f t="shared" ref="C9:C14" si="1">+A9</f>
        <v>0</v>
      </c>
      <c r="D9" s="29" t="str">
        <f>IFERROR(VLOOKUP(H9,'[1]Consolidado MP Planta'!$A$2:$M$823,13,0),"")</f>
        <v/>
      </c>
      <c r="E9" s="29" t="str">
        <f>IFERROR(VLOOKUP(H9,'[1]Consolidado MP Planta'!$A$2:$M$823,12,0),"")</f>
        <v/>
      </c>
      <c r="F9" s="29" t="str">
        <f t="shared" ref="F9:F14" si="2">IFERROR(C9*E9,"")</f>
        <v/>
      </c>
      <c r="G9" s="30" t="str">
        <f t="shared" si="0"/>
        <v/>
      </c>
      <c r="H9" s="31"/>
      <c r="I9" s="31"/>
      <c r="J9" s="32"/>
    </row>
    <row r="10" spans="1:13" ht="13.5" hidden="1" x14ac:dyDescent="0.25">
      <c r="A10" s="27"/>
      <c r="B10" s="15" t="str">
        <f>IFERROR(VLOOKUP(H10,'[1]Consolidado MP Planta'!$A$2:$M$823,3,0),"")</f>
        <v/>
      </c>
      <c r="C10" s="28">
        <f t="shared" si="1"/>
        <v>0</v>
      </c>
      <c r="D10" s="29" t="str">
        <f>IFERROR(VLOOKUP(H10,'[1]Consolidado MP Planta'!$A$2:$M$823,13,0),"")</f>
        <v/>
      </c>
      <c r="E10" s="29" t="str">
        <f>IFERROR(VLOOKUP(H10,'[1]Consolidado MP Planta'!$A$2:$M$823,12,0),"")</f>
        <v/>
      </c>
      <c r="F10" s="29" t="str">
        <f t="shared" si="2"/>
        <v/>
      </c>
      <c r="G10" s="30" t="str">
        <f t="shared" si="0"/>
        <v/>
      </c>
      <c r="H10" s="31"/>
      <c r="I10" s="31"/>
      <c r="J10" s="32"/>
    </row>
    <row r="11" spans="1:13" ht="13.5" hidden="1" x14ac:dyDescent="0.25">
      <c r="A11" s="27"/>
      <c r="B11" s="15" t="str">
        <f>IFERROR(VLOOKUP(H11,'[1]Consolidado MP Planta'!$A$2:$M$823,3,0),"")</f>
        <v/>
      </c>
      <c r="C11" s="28">
        <f t="shared" si="1"/>
        <v>0</v>
      </c>
      <c r="D11" s="29" t="str">
        <f>IFERROR(VLOOKUP(H11,'[1]Consolidado MP Planta'!$A$2:$M$823,13,0),"")</f>
        <v/>
      </c>
      <c r="E11" s="29" t="str">
        <f>IFERROR(VLOOKUP(H11,'[1]Consolidado MP Planta'!$A$2:$M$823,12,0),"")</f>
        <v/>
      </c>
      <c r="F11" s="29" t="str">
        <f t="shared" si="2"/>
        <v/>
      </c>
      <c r="G11" s="30" t="str">
        <f t="shared" si="0"/>
        <v/>
      </c>
      <c r="H11" s="31"/>
      <c r="I11" s="31"/>
      <c r="J11" s="32"/>
    </row>
    <row r="12" spans="1:13" ht="13.5" hidden="1" x14ac:dyDescent="0.25">
      <c r="A12" s="27"/>
      <c r="B12" s="15" t="str">
        <f>IFERROR(VLOOKUP(H12,'[1]Consolidado MP Planta'!$A$2:$M$823,3,0),"")</f>
        <v/>
      </c>
      <c r="C12" s="28">
        <f t="shared" si="1"/>
        <v>0</v>
      </c>
      <c r="D12" s="29" t="str">
        <f>IFERROR(VLOOKUP(H12,'[1]Consolidado MP Planta'!$A$2:$M$823,13,0),"")</f>
        <v/>
      </c>
      <c r="E12" s="29" t="str">
        <f>IFERROR(VLOOKUP(H12,'[1]Consolidado MP Planta'!$A$2:$M$823,12,0),"")</f>
        <v/>
      </c>
      <c r="F12" s="29" t="str">
        <f t="shared" si="2"/>
        <v/>
      </c>
      <c r="G12" s="30" t="str">
        <f t="shared" si="0"/>
        <v/>
      </c>
      <c r="H12" s="31"/>
      <c r="I12" s="31"/>
      <c r="J12" s="32"/>
    </row>
    <row r="13" spans="1:13" ht="13.5" hidden="1" x14ac:dyDescent="0.25">
      <c r="A13" s="27"/>
      <c r="B13" s="15" t="str">
        <f>IFERROR(VLOOKUP(H13,'[1]Consolidado MP Planta'!$A$2:$M$823,3,0),"")</f>
        <v/>
      </c>
      <c r="C13" s="28">
        <f t="shared" si="1"/>
        <v>0</v>
      </c>
      <c r="D13" s="29" t="str">
        <f>IFERROR(VLOOKUP(H13,'[1]Consolidado MP Planta'!$A$2:$M$823,13,0),"")</f>
        <v/>
      </c>
      <c r="E13" s="29" t="str">
        <f>IFERROR(VLOOKUP(H13,'[1]Consolidado MP Planta'!$A$2:$M$823,12,0),"")</f>
        <v/>
      </c>
      <c r="F13" s="29" t="str">
        <f t="shared" si="2"/>
        <v/>
      </c>
      <c r="G13" s="30" t="str">
        <f t="shared" si="0"/>
        <v/>
      </c>
      <c r="H13" s="31"/>
      <c r="I13" s="31"/>
      <c r="J13" s="32"/>
    </row>
    <row r="14" spans="1:13" ht="13.5" hidden="1" x14ac:dyDescent="0.25">
      <c r="A14" s="27"/>
      <c r="B14" s="15" t="str">
        <f>IFERROR(VLOOKUP(H14,'[1]Consolidado MP Planta'!$A$2:$M$823,3,0),"")</f>
        <v/>
      </c>
      <c r="C14" s="28">
        <f t="shared" si="1"/>
        <v>0</v>
      </c>
      <c r="D14" s="29" t="str">
        <f>IFERROR(VLOOKUP(H14,'[1]Consolidado MP Planta'!$A$2:$M$823,13,0),"")</f>
        <v/>
      </c>
      <c r="E14" s="29" t="str">
        <f>IFERROR(VLOOKUP(H14,'[1]Consolidado MP Planta'!$A$2:$M$823,12,0),"")</f>
        <v/>
      </c>
      <c r="F14" s="29" t="str">
        <f t="shared" si="2"/>
        <v/>
      </c>
      <c r="G14" s="30" t="str">
        <f t="shared" si="0"/>
        <v/>
      </c>
      <c r="H14" s="31"/>
      <c r="I14" s="31"/>
      <c r="J14" s="32"/>
    </row>
    <row r="15" spans="1:13" ht="14.25" hidden="1" thickBot="1" x14ac:dyDescent="0.3">
      <c r="A15" s="27"/>
      <c r="B15" s="15" t="str">
        <f>IFERROR(VLOOKUP(H15,'[2]ARTICULOS MP PLANTA'!$A$2:$G$589,2,0),"")</f>
        <v/>
      </c>
      <c r="C15" s="28"/>
      <c r="D15" s="29"/>
      <c r="E15" s="29"/>
      <c r="F15" s="29"/>
      <c r="G15" s="30"/>
      <c r="H15" s="31"/>
      <c r="I15" s="31"/>
      <c r="J15" s="32"/>
    </row>
    <row r="16" spans="1:13" ht="26.25" thickBot="1" x14ac:dyDescent="0.25">
      <c r="A16" s="22" t="s">
        <v>49</v>
      </c>
      <c r="B16" s="23" t="s">
        <v>56</v>
      </c>
      <c r="C16" s="23" t="s">
        <v>49</v>
      </c>
      <c r="D16" s="24" t="s">
        <v>51</v>
      </c>
      <c r="E16" s="24" t="s">
        <v>52</v>
      </c>
      <c r="F16" s="24" t="s">
        <v>53</v>
      </c>
      <c r="G16" s="24" t="s">
        <v>54</v>
      </c>
      <c r="H16" s="25" t="s">
        <v>55</v>
      </c>
      <c r="I16" s="26"/>
      <c r="J16" s="32"/>
      <c r="M16" s="15">
        <f>110*4</f>
        <v>440</v>
      </c>
    </row>
    <row r="17" spans="1:12" ht="13.5" x14ac:dyDescent="0.25">
      <c r="A17" s="27">
        <v>4</v>
      </c>
      <c r="B17" s="15" t="s">
        <v>38</v>
      </c>
      <c r="C17" s="28">
        <f>+A17</f>
        <v>4</v>
      </c>
      <c r="D17" s="28" t="s">
        <v>97</v>
      </c>
      <c r="E17" s="29">
        <f>+'Costo Rollo'!H53</f>
        <v>259.86773999999997</v>
      </c>
      <c r="F17" s="29">
        <f>IFERROR(E17*C17,"")</f>
        <v>1039.4709599999999</v>
      </c>
      <c r="G17" s="30">
        <f t="shared" ref="G17:G24" si="3">IFERROR(F17/$F$65,"")</f>
        <v>0.83238179592828221</v>
      </c>
      <c r="H17" s="31"/>
      <c r="I17" s="31"/>
      <c r="J17" s="32"/>
    </row>
    <row r="18" spans="1:12" ht="13.5" hidden="1" x14ac:dyDescent="0.25">
      <c r="A18" s="27"/>
      <c r="B18" s="15" t="str">
        <f>IFERROR(VLOOKUP(H18,[1]SEMIELABORADOS!$A$2:$M$6000,2,0),"")</f>
        <v/>
      </c>
      <c r="C18" s="28">
        <f t="shared" ref="C18:C24" si="4">+A18</f>
        <v>0</v>
      </c>
      <c r="D18" s="28" t="str">
        <f>IFERROR(VLOOKUP(H18,[1]SEMIELABORADOS!$A$2:$M$6000,6,0),"")</f>
        <v/>
      </c>
      <c r="E18" s="29" t="str">
        <f>IFERROR(VLOOKUP(H18,[1]SEMIELABORADOS!$A$2:$H$65536,8,0),"")</f>
        <v/>
      </c>
      <c r="F18" s="29" t="str">
        <f t="shared" ref="F18:F24" si="5">IFERROR(E18*C18,"")</f>
        <v/>
      </c>
      <c r="G18" s="30" t="str">
        <f t="shared" si="3"/>
        <v/>
      </c>
      <c r="H18" s="31"/>
      <c r="I18" s="31"/>
      <c r="J18" s="32"/>
    </row>
    <row r="19" spans="1:12" ht="13.5" hidden="1" x14ac:dyDescent="0.25">
      <c r="A19" s="27"/>
      <c r="B19" s="15" t="str">
        <f>IFERROR(VLOOKUP(H19,[1]SEMIELABORADOS!$A$2:$M$6000,2,0),"")</f>
        <v/>
      </c>
      <c r="C19" s="28">
        <f>+A19</f>
        <v>0</v>
      </c>
      <c r="D19" s="28" t="str">
        <f>IFERROR(VLOOKUP(H19,[1]SEMIELABORADOS!$A$2:$M$6000,6,0),"")</f>
        <v/>
      </c>
      <c r="E19" s="29" t="str">
        <f>IFERROR(VLOOKUP(H19,[1]SEMIELABORADOS!$A$2:$H$65536,8,0),"")</f>
        <v/>
      </c>
      <c r="F19" s="29" t="str">
        <f>IFERROR(E19*C19,"")</f>
        <v/>
      </c>
      <c r="G19" s="30" t="str">
        <f t="shared" si="3"/>
        <v/>
      </c>
      <c r="H19" s="31"/>
      <c r="I19" s="31"/>
      <c r="J19" s="32"/>
    </row>
    <row r="20" spans="1:12" ht="13.5" hidden="1" x14ac:dyDescent="0.25">
      <c r="A20" s="27"/>
      <c r="B20" s="15" t="str">
        <f>IFERROR(VLOOKUP(H20,[1]SEMIELABORADOS!$A$2:$M$6000,2,0),"")</f>
        <v/>
      </c>
      <c r="C20" s="28">
        <f>+A20</f>
        <v>0</v>
      </c>
      <c r="D20" s="28" t="str">
        <f>IFERROR(VLOOKUP(H20,[1]SEMIELABORADOS!$A$2:$M$6000,6,0),"")</f>
        <v/>
      </c>
      <c r="E20" s="29" t="str">
        <f>IFERROR(VLOOKUP(H20,[1]SEMIELABORADOS!$A$2:$H$65536,8,0),"")</f>
        <v/>
      </c>
      <c r="F20" s="29" t="str">
        <f>IFERROR(E20*C20,"")</f>
        <v/>
      </c>
      <c r="G20" s="30" t="str">
        <f t="shared" si="3"/>
        <v/>
      </c>
      <c r="H20" s="31"/>
      <c r="I20" s="31"/>
      <c r="J20" s="32"/>
    </row>
    <row r="21" spans="1:12" ht="13.5" hidden="1" x14ac:dyDescent="0.25">
      <c r="A21" s="27"/>
      <c r="B21" s="15" t="str">
        <f>IFERROR(VLOOKUP(H21,[1]SEMIELABORADOS!$A$2:$M$6000,2,0),"")</f>
        <v/>
      </c>
      <c r="C21" s="28">
        <f>+A21</f>
        <v>0</v>
      </c>
      <c r="D21" s="28" t="str">
        <f>IFERROR(VLOOKUP(H21,[1]SEMIELABORADOS!$A$2:$M$6000,6,0),"")</f>
        <v/>
      </c>
      <c r="E21" s="29" t="str">
        <f>IFERROR(VLOOKUP(H21,[1]SEMIELABORADOS!$A$2:$H$65536,8,0),"")</f>
        <v/>
      </c>
      <c r="F21" s="29" t="str">
        <f>IFERROR(E21*C21,"")</f>
        <v/>
      </c>
      <c r="G21" s="30" t="str">
        <f t="shared" si="3"/>
        <v/>
      </c>
      <c r="H21" s="31"/>
      <c r="I21" s="31"/>
      <c r="J21" s="32"/>
    </row>
    <row r="22" spans="1:12" ht="13.5" hidden="1" x14ac:dyDescent="0.25">
      <c r="A22" s="27"/>
      <c r="B22" s="15" t="str">
        <f>IFERROR(VLOOKUP(H22,[1]SEMIELABORADOS!$A$2:$M$6000,2,0),"")</f>
        <v/>
      </c>
      <c r="C22" s="28">
        <f t="shared" si="4"/>
        <v>0</v>
      </c>
      <c r="D22" s="28" t="str">
        <f>IFERROR(VLOOKUP(H22,[1]SEMIELABORADOS!$A$2:$M$6000,6,0),"")</f>
        <v/>
      </c>
      <c r="E22" s="29" t="str">
        <f>IFERROR(VLOOKUP(H22,[1]SEMIELABORADOS!$A$2:$H$65536,8,0),"")</f>
        <v/>
      </c>
      <c r="F22" s="29" t="str">
        <f t="shared" si="5"/>
        <v/>
      </c>
      <c r="G22" s="30" t="str">
        <f t="shared" si="3"/>
        <v/>
      </c>
      <c r="H22" s="31"/>
      <c r="I22" s="31"/>
      <c r="J22" s="32"/>
    </row>
    <row r="23" spans="1:12" ht="13.5" hidden="1" x14ac:dyDescent="0.25">
      <c r="A23" s="27"/>
      <c r="B23" s="15" t="str">
        <f>IFERROR(VLOOKUP(H23,[1]SEMIELABORADOS!$A$2:$M$6000,2,0),"")</f>
        <v/>
      </c>
      <c r="C23" s="28">
        <f t="shared" si="4"/>
        <v>0</v>
      </c>
      <c r="D23" s="28" t="str">
        <f>IFERROR(VLOOKUP(H23,[1]SEMIELABORADOS!$A$2:$M$6000,6,0),"")</f>
        <v/>
      </c>
      <c r="E23" s="29" t="str">
        <f>IFERROR(VLOOKUP(H23,[1]SEMIELABORADOS!$A$2:$H$65536,8,0),"")</f>
        <v/>
      </c>
      <c r="F23" s="29" t="str">
        <f t="shared" si="5"/>
        <v/>
      </c>
      <c r="G23" s="30" t="str">
        <f t="shared" si="3"/>
        <v/>
      </c>
      <c r="H23" s="31"/>
      <c r="I23" s="31"/>
      <c r="J23" s="32"/>
    </row>
    <row r="24" spans="1:12" ht="13.5" hidden="1" x14ac:dyDescent="0.25">
      <c r="A24" s="27"/>
      <c r="B24" s="15" t="str">
        <f>IFERROR(VLOOKUP(H24,[1]SEMIELABORADOS!$A$2:$M$6000,2,0),"")</f>
        <v/>
      </c>
      <c r="C24" s="28">
        <f t="shared" si="4"/>
        <v>0</v>
      </c>
      <c r="D24" s="28" t="str">
        <f>IFERROR(VLOOKUP(H24,[1]SEMIELABORADOS!$A$2:$M$6000,6,0),"")</f>
        <v/>
      </c>
      <c r="E24" s="29" t="str">
        <f>IFERROR(VLOOKUP(H24,[1]SEMIELABORADOS!$A$2:$H$65536,8,0),"")</f>
        <v/>
      </c>
      <c r="F24" s="29" t="str">
        <f t="shared" si="5"/>
        <v/>
      </c>
      <c r="G24" s="30" t="str">
        <f t="shared" si="3"/>
        <v/>
      </c>
      <c r="H24" s="31"/>
      <c r="I24" s="31"/>
      <c r="J24" s="32"/>
    </row>
    <row r="25" spans="1:12" ht="14.25" thickBot="1" x14ac:dyDescent="0.3">
      <c r="A25" s="27"/>
      <c r="C25" s="28"/>
      <c r="D25" s="28"/>
      <c r="E25" s="29"/>
      <c r="F25" s="29"/>
      <c r="G25" s="30"/>
      <c r="H25" s="31"/>
      <c r="I25" s="31"/>
      <c r="J25" s="32"/>
    </row>
    <row r="26" spans="1:12" ht="26.25" thickBot="1" x14ac:dyDescent="0.25">
      <c r="A26" s="22" t="s">
        <v>49</v>
      </c>
      <c r="B26" s="23" t="s">
        <v>34</v>
      </c>
      <c r="C26" s="23" t="s">
        <v>49</v>
      </c>
      <c r="D26" s="24" t="s">
        <v>51</v>
      </c>
      <c r="E26" s="24" t="s">
        <v>52</v>
      </c>
      <c r="F26" s="24" t="s">
        <v>53</v>
      </c>
      <c r="G26" s="24" t="s">
        <v>54</v>
      </c>
      <c r="H26" s="25" t="s">
        <v>55</v>
      </c>
      <c r="I26" s="26"/>
    </row>
    <row r="27" spans="1:12" ht="13.5" x14ac:dyDescent="0.25">
      <c r="A27" s="27">
        <v>2</v>
      </c>
      <c r="B27" s="33" t="str">
        <f>IFERROR(VLOOKUP(H27,'[1]Consolidado MP Planta'!$A$2:$M$823,3,0),"")</f>
        <v>CAJA BLANCA MEDIANA (PAQ:100 UND)</v>
      </c>
      <c r="C27" s="28">
        <f>+A27</f>
        <v>2</v>
      </c>
      <c r="D27" s="29" t="str">
        <f>IFERROR(VLOOKUP(H27,'[1]Consolidado MP Planta'!$A$2:$M$823,13,0),"")</f>
        <v>Und</v>
      </c>
      <c r="E27" s="29">
        <v>49.75</v>
      </c>
      <c r="F27" s="29">
        <f>IFERROR(C27*E27,"")</f>
        <v>99.5</v>
      </c>
      <c r="G27" s="30">
        <f>IFERROR(F27/$F$65,"")</f>
        <v>7.9677058698074732E-2</v>
      </c>
      <c r="H27" s="34" t="s">
        <v>94</v>
      </c>
      <c r="I27" s="34"/>
      <c r="J27" s="32"/>
      <c r="K27" s="221"/>
      <c r="L27" s="221"/>
    </row>
    <row r="28" spans="1:12" ht="13.5" x14ac:dyDescent="0.25">
      <c r="A28" s="27">
        <v>1</v>
      </c>
      <c r="B28" s="33" t="str">
        <f>IFERROR(VLOOKUP(H28,'[1]Consolidado MP Planta'!$A$2:$M$823,3,0),"")</f>
        <v>ETIQ.BLANCA 1 1/4 * 3/4 (UND)</v>
      </c>
      <c r="C28" s="28">
        <f>+A28</f>
        <v>1</v>
      </c>
      <c r="D28" s="29" t="str">
        <f>IFERROR(VLOOKUP(H28,'[1]Consolidado MP Planta'!$A$2:$M$823,13,0),"")</f>
        <v>Und</v>
      </c>
      <c r="E28" s="29">
        <f>IFERROR(VLOOKUP(H28,'[1]Consolidado MP Planta'!$A$2:$M$823,12,0),"")</f>
        <v>0.57999999999999996</v>
      </c>
      <c r="F28" s="29">
        <f>IFERROR(C28*E28,"")</f>
        <v>0.57999999999999996</v>
      </c>
      <c r="G28" s="30">
        <f>IFERROR(F28/$F$65,"")</f>
        <v>4.644491863807371E-4</v>
      </c>
      <c r="H28" s="34" t="s">
        <v>95</v>
      </c>
      <c r="I28" s="34"/>
      <c r="J28" s="32"/>
      <c r="K28" s="221"/>
      <c r="L28" s="221"/>
    </row>
    <row r="29" spans="1:12" ht="13.5" x14ac:dyDescent="0.25">
      <c r="A29" s="27">
        <v>1</v>
      </c>
      <c r="B29" s="33" t="str">
        <f>IFERROR(VLOOKUP(H29,'[1]Consolidado MP Planta'!$A$2:$M$823,3,0),"")</f>
        <v>ETIQ.FECHA VENCIMIENTO BLANCO (ROLLO)</v>
      </c>
      <c r="C29" s="28">
        <f>+A29</f>
        <v>1</v>
      </c>
      <c r="D29" s="29" t="str">
        <f>IFERROR(VLOOKUP(H29,'[1]Consolidado MP Planta'!$A$2:$M$823,13,0),"")</f>
        <v>Gramos</v>
      </c>
      <c r="E29" s="29">
        <f>IFERROR(VLOOKUP(H29,'[1]Consolidado MP Planta'!$A$2:$M$823,12,0),"")</f>
        <v>0.33333333333333331</v>
      </c>
      <c r="F29" s="29">
        <f>IFERROR(C29*E29,"")</f>
        <v>0.33333333333333331</v>
      </c>
      <c r="G29" s="30">
        <f>IFERROR(F29/$F$65,"")</f>
        <v>2.6692481975904432E-4</v>
      </c>
      <c r="H29" s="34" t="s">
        <v>96</v>
      </c>
      <c r="I29" s="34"/>
      <c r="J29" s="32"/>
      <c r="K29" s="221"/>
      <c r="L29" s="221"/>
    </row>
    <row r="30" spans="1:12" ht="13.5" hidden="1" x14ac:dyDescent="0.25">
      <c r="A30" s="27"/>
      <c r="B30" s="33" t="str">
        <f>IFERROR(VLOOKUP(H30,'[1]Consolidado MP Planta'!$A$2:$M$823,3,0),"")</f>
        <v/>
      </c>
      <c r="C30" s="28">
        <f>+A30</f>
        <v>0</v>
      </c>
      <c r="D30" s="29" t="str">
        <f>IFERROR(VLOOKUP(H30,'[1]Consolidado MP Planta'!$A$2:$M$823,13,0),"")</f>
        <v/>
      </c>
      <c r="E30" s="29" t="str">
        <f>IFERROR(VLOOKUP(H30,'[1]Consolidado MP Planta'!$A$2:$M$823,12,0),"")</f>
        <v/>
      </c>
      <c r="F30" s="29" t="str">
        <f>IFERROR(C30*E30,"")</f>
        <v/>
      </c>
      <c r="G30" s="30" t="str">
        <f>IFERROR(F30/$F$65,"")</f>
        <v/>
      </c>
      <c r="H30" s="34"/>
      <c r="I30" s="34"/>
      <c r="J30" s="32"/>
      <c r="K30" s="35"/>
      <c r="L30" s="36"/>
    </row>
    <row r="31" spans="1:12" ht="13.5" hidden="1" x14ac:dyDescent="0.25">
      <c r="A31" s="27"/>
      <c r="B31" s="33" t="str">
        <f>IFERROR(VLOOKUP(H31,'[1]Consolidado MP Planta'!$A$2:$M$823,3,0),"")</f>
        <v/>
      </c>
      <c r="C31" s="28">
        <f>+A31</f>
        <v>0</v>
      </c>
      <c r="D31" s="29" t="str">
        <f>IFERROR(VLOOKUP(H31,'[1]Consolidado MP Planta'!$A$2:$M$823,13,0),"")</f>
        <v/>
      </c>
      <c r="E31" s="29" t="str">
        <f>IFERROR(VLOOKUP(H31,'[1]Consolidado MP Planta'!$A$2:$M$823,12,0),"")</f>
        <v/>
      </c>
      <c r="F31" s="29" t="str">
        <f>IFERROR(C31*E31,"")</f>
        <v/>
      </c>
      <c r="G31" s="30" t="str">
        <f>IFERROR(F31/$F$65,"")</f>
        <v/>
      </c>
      <c r="H31" s="34"/>
      <c r="I31" s="34"/>
      <c r="J31" s="32"/>
    </row>
    <row r="32" spans="1:12" ht="14.25" thickBot="1" x14ac:dyDescent="0.3">
      <c r="A32" s="27"/>
      <c r="B32" s="33"/>
      <c r="C32" s="28"/>
      <c r="D32" s="29"/>
      <c r="E32" s="29"/>
      <c r="F32" s="29"/>
      <c r="G32" s="30"/>
      <c r="H32" s="34"/>
      <c r="I32" s="34"/>
      <c r="J32" s="32"/>
    </row>
    <row r="33" spans="1:13" ht="26.25" thickBot="1" x14ac:dyDescent="0.25">
      <c r="A33" s="22" t="s">
        <v>49</v>
      </c>
      <c r="B33" s="23" t="s">
        <v>57</v>
      </c>
      <c r="C33" s="23" t="s">
        <v>49</v>
      </c>
      <c r="D33" s="24" t="s">
        <v>51</v>
      </c>
      <c r="E33" s="24" t="s">
        <v>52</v>
      </c>
      <c r="F33" s="24" t="s">
        <v>53</v>
      </c>
      <c r="G33" s="24" t="s">
        <v>54</v>
      </c>
      <c r="H33" s="25" t="s">
        <v>55</v>
      </c>
      <c r="I33" s="34"/>
      <c r="J33" s="32"/>
    </row>
    <row r="34" spans="1:13" ht="13.5" x14ac:dyDescent="0.25">
      <c r="A34" s="27">
        <f t="shared" ref="A34:A40" si="6">+A17</f>
        <v>4</v>
      </c>
      <c r="B34" s="33" t="s">
        <v>38</v>
      </c>
      <c r="C34" s="28">
        <f>+A34</f>
        <v>4</v>
      </c>
      <c r="D34" s="29" t="s">
        <v>98</v>
      </c>
      <c r="E34" s="29">
        <f>+'Costo Rollo'!H54</f>
        <v>6.779341293126083</v>
      </c>
      <c r="F34" s="29">
        <f>IFERROR(E34*C34,"")</f>
        <v>27.117365172504332</v>
      </c>
      <c r="G34" s="30">
        <f t="shared" ref="G34:G40" si="7">IFERROR(F34/$F$65,"")</f>
        <v>2.1714893433032713E-2</v>
      </c>
      <c r="H34" s="34"/>
      <c r="I34" s="34"/>
      <c r="J34" s="32"/>
    </row>
    <row r="35" spans="1:13" ht="13.5" hidden="1" x14ac:dyDescent="0.25">
      <c r="A35" s="27">
        <f t="shared" si="6"/>
        <v>0</v>
      </c>
      <c r="B35" s="33" t="str">
        <f>IFERROR(VLOOKUP(H35,[1]SEMIELABORADOS!$A$2:$M$6000,2,0),"")</f>
        <v/>
      </c>
      <c r="C35" s="28">
        <f t="shared" ref="C35:C40" si="8">+A35</f>
        <v>0</v>
      </c>
      <c r="D35" s="29" t="str">
        <f>IFERROR(VLOOKUP(H35,[1]SEMIELABORADOS!$A$2:$M$6000,6,0),"")</f>
        <v/>
      </c>
      <c r="E35" s="29" t="str">
        <f>IFERROR(VLOOKUP(H35,[1]SEMIELABORADOS!$A$2:$M$65536,10,0),"")</f>
        <v/>
      </c>
      <c r="F35" s="29" t="str">
        <f t="shared" ref="F35:F40" si="9">IFERROR(E35*C35,"")</f>
        <v/>
      </c>
      <c r="G35" s="30" t="str">
        <f t="shared" si="7"/>
        <v/>
      </c>
      <c r="H35" s="34"/>
      <c r="I35" s="34"/>
      <c r="J35" s="32"/>
    </row>
    <row r="36" spans="1:13" ht="13.5" hidden="1" x14ac:dyDescent="0.25">
      <c r="A36" s="27">
        <f t="shared" si="6"/>
        <v>0</v>
      </c>
      <c r="B36" s="33" t="str">
        <f>IFERROR(VLOOKUP(H36,[1]SEMIELABORADOS!$A$2:$M$6000,2,0),"")</f>
        <v/>
      </c>
      <c r="C36" s="28">
        <f t="shared" si="8"/>
        <v>0</v>
      </c>
      <c r="D36" s="29" t="str">
        <f>IFERROR(VLOOKUP(H36,[1]SEMIELABORADOS!$A$2:$M$6000,6,0),"")</f>
        <v/>
      </c>
      <c r="E36" s="29" t="str">
        <f>IFERROR(VLOOKUP(H36,[1]SEMIELABORADOS!$A$2:$M$65536,10,0),"")</f>
        <v/>
      </c>
      <c r="F36" s="29" t="str">
        <f t="shared" si="9"/>
        <v/>
      </c>
      <c r="G36" s="30" t="str">
        <f t="shared" si="7"/>
        <v/>
      </c>
      <c r="H36" s="34"/>
      <c r="I36" s="34"/>
      <c r="J36" s="32"/>
    </row>
    <row r="37" spans="1:13" ht="13.5" hidden="1" x14ac:dyDescent="0.25">
      <c r="A37" s="27">
        <f t="shared" si="6"/>
        <v>0</v>
      </c>
      <c r="B37" s="33" t="str">
        <f>IFERROR(VLOOKUP(H37,[1]SEMIELABORADOS!$A$2:$M$6000,2,0),"")</f>
        <v/>
      </c>
      <c r="C37" s="28">
        <f>+A37</f>
        <v>0</v>
      </c>
      <c r="D37" s="29" t="str">
        <f>IFERROR(VLOOKUP(H37,[1]SEMIELABORADOS!$A$2:$M$6000,6,0),"")</f>
        <v/>
      </c>
      <c r="E37" s="29" t="str">
        <f>IFERROR(VLOOKUP(H37,[1]SEMIELABORADOS!$A$2:$M$65536,10,0),"")</f>
        <v/>
      </c>
      <c r="F37" s="29" t="str">
        <f>IFERROR(E37*C37,"")</f>
        <v/>
      </c>
      <c r="G37" s="30" t="str">
        <f t="shared" si="7"/>
        <v/>
      </c>
      <c r="H37" s="34"/>
      <c r="I37" s="34"/>
      <c r="J37" s="32"/>
    </row>
    <row r="38" spans="1:13" ht="13.5" hidden="1" x14ac:dyDescent="0.25">
      <c r="A38" s="27">
        <f t="shared" si="6"/>
        <v>0</v>
      </c>
      <c r="B38" s="33" t="str">
        <f>IFERROR(VLOOKUP(H38,[1]SEMIELABORADOS!$A$2:$M$6000,2,0),"")</f>
        <v/>
      </c>
      <c r="C38" s="28">
        <f>+A38</f>
        <v>0</v>
      </c>
      <c r="D38" s="29" t="str">
        <f>IFERROR(VLOOKUP(H38,[1]SEMIELABORADOS!$A$2:$M$6000,6,0),"")</f>
        <v/>
      </c>
      <c r="E38" s="29" t="str">
        <f>IFERROR(VLOOKUP(H38,[1]SEMIELABORADOS!$A$2:$M$65536,10,0),"")</f>
        <v/>
      </c>
      <c r="F38" s="29" t="str">
        <f>IFERROR(E38*C38,"")</f>
        <v/>
      </c>
      <c r="G38" s="30" t="str">
        <f t="shared" si="7"/>
        <v/>
      </c>
      <c r="H38" s="34"/>
      <c r="I38" s="34"/>
      <c r="J38" s="32"/>
    </row>
    <row r="39" spans="1:13" ht="13.5" hidden="1" x14ac:dyDescent="0.25">
      <c r="A39" s="27">
        <f t="shared" si="6"/>
        <v>0</v>
      </c>
      <c r="B39" s="33" t="str">
        <f>IFERROR(VLOOKUP(H39,[1]SEMIELABORADOS!$A$2:$M$6000,2,0),"")</f>
        <v/>
      </c>
      <c r="C39" s="28">
        <f t="shared" si="8"/>
        <v>0</v>
      </c>
      <c r="D39" s="29" t="str">
        <f>IFERROR(VLOOKUP(H39,[1]SEMIELABORADOS!$A$2:$M$6000,6,0),"")</f>
        <v/>
      </c>
      <c r="E39" s="29" t="str">
        <f>IFERROR(VLOOKUP(H39,[1]SEMIELABORADOS!$A$2:$M$65536,10,0),"")</f>
        <v/>
      </c>
      <c r="F39" s="29" t="str">
        <f t="shared" si="9"/>
        <v/>
      </c>
      <c r="G39" s="30" t="str">
        <f t="shared" si="7"/>
        <v/>
      </c>
      <c r="H39" s="34"/>
      <c r="I39" s="34"/>
      <c r="J39" s="32"/>
    </row>
    <row r="40" spans="1:13" ht="13.5" hidden="1" x14ac:dyDescent="0.25">
      <c r="A40" s="27">
        <f t="shared" si="6"/>
        <v>0</v>
      </c>
      <c r="B40" s="33" t="str">
        <f>IFERROR(VLOOKUP(H40,[1]SEMIELABORADOS!$A$2:$M$6000,2,0),"")</f>
        <v/>
      </c>
      <c r="C40" s="28">
        <f t="shared" si="8"/>
        <v>0</v>
      </c>
      <c r="D40" s="29" t="str">
        <f>IFERROR(VLOOKUP(H40,[1]SEMIELABORADOS!$A$2:$M$6000,6,0),"")</f>
        <v/>
      </c>
      <c r="E40" s="29" t="str">
        <f>IFERROR(VLOOKUP(H40,[1]SEMIELABORADOS!$A$2:$M$65536,10,0),"")</f>
        <v/>
      </c>
      <c r="F40" s="29" t="str">
        <f t="shared" si="9"/>
        <v/>
      </c>
      <c r="G40" s="30" t="str">
        <f t="shared" si="7"/>
        <v/>
      </c>
      <c r="H40" s="34"/>
      <c r="I40" s="34"/>
      <c r="J40" s="32"/>
    </row>
    <row r="41" spans="1:13" ht="14.25" thickBot="1" x14ac:dyDescent="0.3">
      <c r="A41" s="27"/>
      <c r="B41" s="33"/>
      <c r="C41" s="28"/>
      <c r="D41" s="29"/>
      <c r="E41" s="29"/>
      <c r="F41" s="29"/>
      <c r="G41" s="30"/>
      <c r="H41" s="34"/>
      <c r="I41" s="34"/>
      <c r="J41" s="32"/>
    </row>
    <row r="42" spans="1:13" ht="26.25" thickBot="1" x14ac:dyDescent="0.25">
      <c r="A42" s="22" t="s">
        <v>49</v>
      </c>
      <c r="B42" s="23" t="s">
        <v>58</v>
      </c>
      <c r="C42" s="23" t="s">
        <v>49</v>
      </c>
      <c r="D42" s="24" t="s">
        <v>51</v>
      </c>
      <c r="E42" s="24" t="s">
        <v>52</v>
      </c>
      <c r="F42" s="24" t="s">
        <v>53</v>
      </c>
      <c r="G42" s="24" t="s">
        <v>54</v>
      </c>
      <c r="H42" s="25" t="s">
        <v>55</v>
      </c>
      <c r="I42" s="26"/>
      <c r="J42" s="32"/>
    </row>
    <row r="43" spans="1:13" ht="13.5" x14ac:dyDescent="0.25">
      <c r="A43" s="27">
        <f>+A34</f>
        <v>4</v>
      </c>
      <c r="B43" s="33" t="s">
        <v>38</v>
      </c>
      <c r="C43" s="28">
        <f>+A43</f>
        <v>4</v>
      </c>
      <c r="D43" s="29" t="s">
        <v>98</v>
      </c>
      <c r="E43" s="29">
        <f>+'Costo Rollo'!H56</f>
        <v>58.723747804845502</v>
      </c>
      <c r="F43" s="29">
        <f>IFERROR(E43*C43,"")</f>
        <v>234.89499121938201</v>
      </c>
      <c r="G43" s="30">
        <f>IFERROR(F43/$F$65,"")</f>
        <v>0.18809790958060751</v>
      </c>
      <c r="H43" s="34"/>
      <c r="I43" s="26"/>
      <c r="J43" s="32"/>
    </row>
    <row r="44" spans="1:13" ht="13.5" hidden="1" x14ac:dyDescent="0.25">
      <c r="A44" s="27">
        <f t="shared" ref="A44:A49" si="10">+A35</f>
        <v>0</v>
      </c>
      <c r="B44" s="33" t="str">
        <f>IFERROR(VLOOKUP(H44,[1]SEMIELABORADOS!$A$2:$M$6000,2,0),"")</f>
        <v/>
      </c>
      <c r="C44" s="28">
        <f t="shared" ref="C44:C49" si="11">+A44</f>
        <v>0</v>
      </c>
      <c r="D44" s="29" t="str">
        <f>IFERROR(VLOOKUP(H44,[1]SEMIELABORADOS!$A$2:$M$6000,6,0),"")</f>
        <v/>
      </c>
      <c r="E44" s="29" t="str">
        <f>IFERROR(VLOOKUP(H44,[1]SEMIELABORADOS!$A$2:$M$65536,12,0),"")</f>
        <v/>
      </c>
      <c r="F44" s="29" t="str">
        <f t="shared" ref="F44:F49" si="12">IFERROR(E44*C44,"")</f>
        <v/>
      </c>
      <c r="G44" s="30" t="str">
        <f t="shared" ref="G44:G49" si="13">IFERROR(F44/$F$65,"")</f>
        <v/>
      </c>
      <c r="H44" s="34"/>
      <c r="I44" s="26"/>
      <c r="J44" s="32"/>
      <c r="M44" s="37"/>
    </row>
    <row r="45" spans="1:13" ht="13.5" hidden="1" x14ac:dyDescent="0.25">
      <c r="A45" s="27">
        <f t="shared" si="10"/>
        <v>0</v>
      </c>
      <c r="B45" s="33" t="str">
        <f>IFERROR(VLOOKUP(H45,[1]SEMIELABORADOS!$A$2:$M$6000,2,0),"")</f>
        <v/>
      </c>
      <c r="C45" s="28">
        <f t="shared" si="11"/>
        <v>0</v>
      </c>
      <c r="D45" s="29" t="str">
        <f>IFERROR(VLOOKUP(H45,[1]SEMIELABORADOS!$A$2:$M$6000,6,0),"")</f>
        <v/>
      </c>
      <c r="E45" s="29" t="str">
        <f>IFERROR(VLOOKUP(H45,[1]SEMIELABORADOS!$A$2:$M$65536,12,0),"")</f>
        <v/>
      </c>
      <c r="F45" s="29" t="str">
        <f t="shared" si="12"/>
        <v/>
      </c>
      <c r="G45" s="30" t="str">
        <f t="shared" si="13"/>
        <v/>
      </c>
      <c r="H45" s="34"/>
      <c r="I45" s="26"/>
      <c r="J45" s="32"/>
    </row>
    <row r="46" spans="1:13" ht="13.5" hidden="1" x14ac:dyDescent="0.25">
      <c r="A46" s="27">
        <f t="shared" si="10"/>
        <v>0</v>
      </c>
      <c r="B46" s="33" t="str">
        <f>IFERROR(VLOOKUP(H46,[1]SEMIELABORADOS!$A$2:$M$6000,2,0),"")</f>
        <v/>
      </c>
      <c r="C46" s="28">
        <f t="shared" si="11"/>
        <v>0</v>
      </c>
      <c r="D46" s="29" t="str">
        <f>IFERROR(VLOOKUP(H46,[1]SEMIELABORADOS!$A$2:$M$6000,6,0),"")</f>
        <v/>
      </c>
      <c r="E46" s="29" t="str">
        <f>IFERROR(VLOOKUP(H46,[1]SEMIELABORADOS!$A$2:$M$65536,12,0),"")</f>
        <v/>
      </c>
      <c r="F46" s="29" t="str">
        <f t="shared" si="12"/>
        <v/>
      </c>
      <c r="G46" s="30" t="str">
        <f t="shared" si="13"/>
        <v/>
      </c>
      <c r="H46" s="34"/>
      <c r="I46" s="26"/>
      <c r="J46" s="32"/>
    </row>
    <row r="47" spans="1:13" ht="13.5" hidden="1" x14ac:dyDescent="0.25">
      <c r="A47" s="27">
        <f t="shared" si="10"/>
        <v>0</v>
      </c>
      <c r="B47" s="33" t="str">
        <f>IFERROR(VLOOKUP(H47,[1]SEMIELABORADOS!$A$2:$M$6000,2,0),"")</f>
        <v/>
      </c>
      <c r="C47" s="28">
        <f t="shared" si="11"/>
        <v>0</v>
      </c>
      <c r="D47" s="29" t="str">
        <f>IFERROR(VLOOKUP(H47,[1]SEMIELABORADOS!$A$2:$M$6000,6,0),"")</f>
        <v/>
      </c>
      <c r="E47" s="29" t="str">
        <f>IFERROR(VLOOKUP(H47,[1]SEMIELABORADOS!$A$2:$M$65536,12,0),"")</f>
        <v/>
      </c>
      <c r="F47" s="29" t="str">
        <f t="shared" si="12"/>
        <v/>
      </c>
      <c r="G47" s="30" t="str">
        <f t="shared" si="13"/>
        <v/>
      </c>
      <c r="H47" s="34"/>
      <c r="I47" s="26"/>
      <c r="J47" s="32"/>
    </row>
    <row r="48" spans="1:13" ht="13.5" hidden="1" x14ac:dyDescent="0.25">
      <c r="A48" s="27">
        <f t="shared" si="10"/>
        <v>0</v>
      </c>
      <c r="B48" s="33" t="str">
        <f>IFERROR(VLOOKUP(H48,[1]SEMIELABORADOS!$A$2:$M$6000,2,0),"")</f>
        <v/>
      </c>
      <c r="C48" s="28">
        <f t="shared" si="11"/>
        <v>0</v>
      </c>
      <c r="D48" s="29" t="str">
        <f>IFERROR(VLOOKUP(H48,[1]SEMIELABORADOS!$A$2:$M$6000,6,0),"")</f>
        <v/>
      </c>
      <c r="E48" s="29" t="str">
        <f>IFERROR(VLOOKUP(H48,[1]SEMIELABORADOS!$A$2:$M$65536,12,0),"")</f>
        <v/>
      </c>
      <c r="F48" s="29" t="str">
        <f t="shared" si="12"/>
        <v/>
      </c>
      <c r="G48" s="30" t="str">
        <f t="shared" si="13"/>
        <v/>
      </c>
      <c r="H48" s="34"/>
      <c r="I48" s="26"/>
      <c r="J48" s="32"/>
    </row>
    <row r="49" spans="1:17" ht="13.5" hidden="1" x14ac:dyDescent="0.25">
      <c r="A49" s="27">
        <f t="shared" si="10"/>
        <v>0</v>
      </c>
      <c r="B49" s="33" t="str">
        <f>IFERROR(VLOOKUP(H49,[1]SEMIELABORADOS!$A$2:$M$6000,2,0),"")</f>
        <v/>
      </c>
      <c r="C49" s="28">
        <f t="shared" si="11"/>
        <v>0</v>
      </c>
      <c r="D49" s="29" t="str">
        <f>IFERROR(VLOOKUP(H49,[1]SEMIELABORADOS!$A$2:$M$6000,6,0),"")</f>
        <v/>
      </c>
      <c r="E49" s="29" t="str">
        <f>IFERROR(VLOOKUP(H49,[1]SEMIELABORADOS!$A$2:$M$65536,12,0),"")</f>
        <v/>
      </c>
      <c r="F49" s="29" t="str">
        <f t="shared" si="12"/>
        <v/>
      </c>
      <c r="G49" s="30" t="str">
        <f t="shared" si="13"/>
        <v/>
      </c>
      <c r="H49" s="33"/>
      <c r="I49" s="26"/>
      <c r="J49" s="32"/>
    </row>
    <row r="50" spans="1:17" ht="13.5" x14ac:dyDescent="0.25">
      <c r="A50" s="27">
        <v>1</v>
      </c>
      <c r="B50" s="33" t="s">
        <v>59</v>
      </c>
      <c r="C50" s="28">
        <f>+A50</f>
        <v>1</v>
      </c>
      <c r="D50" s="28" t="s">
        <v>60</v>
      </c>
      <c r="E50" s="29">
        <f>+F64</f>
        <v>61</v>
      </c>
      <c r="F50" s="29">
        <f>IFERROR(C50*E50,"")</f>
        <v>61</v>
      </c>
      <c r="G50" s="30">
        <f>IFERROR(F50/$F$65,"")</f>
        <v>4.884724201590511E-2</v>
      </c>
      <c r="H50" s="38"/>
      <c r="I50" s="38"/>
      <c r="J50" s="32"/>
    </row>
    <row r="51" spans="1:17" ht="14.25" thickBot="1" x14ac:dyDescent="0.3">
      <c r="A51" s="27"/>
      <c r="B51" s="33"/>
      <c r="C51" s="28"/>
      <c r="D51" s="28"/>
      <c r="E51" s="29"/>
      <c r="F51" s="29"/>
      <c r="G51" s="30"/>
      <c r="H51" s="38"/>
      <c r="I51" s="38"/>
      <c r="J51" s="32"/>
    </row>
    <row r="52" spans="1:17" ht="13.5" thickBot="1" x14ac:dyDescent="0.25">
      <c r="A52" s="39"/>
      <c r="B52" s="218" t="s">
        <v>61</v>
      </c>
      <c r="C52" s="218"/>
      <c r="D52" s="218"/>
      <c r="E52" s="218"/>
      <c r="F52" s="41">
        <f>SUM(F8:F14,F17:F24)</f>
        <v>1039.4709599999999</v>
      </c>
      <c r="G52" s="30">
        <f>+F52/$F$65</f>
        <v>0.83238179592828221</v>
      </c>
      <c r="H52" s="42">
        <f>+F52/$D$59</f>
        <v>1039.4709599999999</v>
      </c>
      <c r="I52" s="42"/>
      <c r="J52" s="43"/>
      <c r="K52" s="44"/>
      <c r="L52" s="44"/>
      <c r="M52" s="44"/>
      <c r="N52" s="44"/>
      <c r="O52" s="44"/>
      <c r="P52" s="44"/>
      <c r="Q52" s="45"/>
    </row>
    <row r="53" spans="1:17" x14ac:dyDescent="0.2">
      <c r="A53" s="39"/>
      <c r="B53" s="218" t="s">
        <v>62</v>
      </c>
      <c r="C53" s="218"/>
      <c r="D53" s="218"/>
      <c r="E53" s="218"/>
      <c r="F53" s="41">
        <f>SUM(F27:F31,F34:F40)</f>
        <v>127.53069850583766</v>
      </c>
      <c r="G53" s="30">
        <f>+F53/$F$65</f>
        <v>0.10212332613724723</v>
      </c>
      <c r="H53" s="42">
        <f>+F53/$D$59</f>
        <v>127.53069850583766</v>
      </c>
      <c r="I53" s="42"/>
      <c r="J53" s="46"/>
      <c r="K53" s="222" t="s">
        <v>63</v>
      </c>
      <c r="L53" s="223"/>
      <c r="M53" s="223"/>
      <c r="N53" s="223"/>
      <c r="O53" s="47">
        <f>+F54</f>
        <v>1167.0016585058374</v>
      </c>
      <c r="P53" s="47"/>
      <c r="Q53" s="48"/>
    </row>
    <row r="54" spans="1:17" x14ac:dyDescent="0.2">
      <c r="A54" s="39"/>
      <c r="B54" s="218" t="s">
        <v>64</v>
      </c>
      <c r="C54" s="218"/>
      <c r="D54" s="218"/>
      <c r="E54" s="218"/>
      <c r="F54" s="41">
        <f>+F52+F53</f>
        <v>1167.0016585058374</v>
      </c>
      <c r="G54" s="30">
        <f>+F54/$F$65</f>
        <v>0.93450512206552938</v>
      </c>
      <c r="H54" s="42">
        <f>+F54/$D$59</f>
        <v>1167.0016585058374</v>
      </c>
      <c r="I54" s="42"/>
      <c r="J54" s="49"/>
      <c r="K54" s="50"/>
      <c r="M54" s="51" t="s">
        <v>65</v>
      </c>
      <c r="N54" s="52"/>
      <c r="O54" s="47">
        <f>+H55</f>
        <v>295.89499121938201</v>
      </c>
      <c r="P54" s="47"/>
      <c r="Q54" s="48"/>
    </row>
    <row r="55" spans="1:17" ht="13.5" thickBot="1" x14ac:dyDescent="0.25">
      <c r="A55" s="39"/>
      <c r="B55" s="40"/>
      <c r="C55" s="218" t="s">
        <v>66</v>
      </c>
      <c r="D55" s="218"/>
      <c r="E55" s="218"/>
      <c r="F55" s="41">
        <f>SUM(F43:F50)</f>
        <v>295.89499121938201</v>
      </c>
      <c r="G55" s="30">
        <f>+F55/$F$65</f>
        <v>0.23694515159651264</v>
      </c>
      <c r="H55" s="42">
        <f>+F55/$D$59</f>
        <v>295.89499121938201</v>
      </c>
      <c r="I55" s="42"/>
      <c r="J55" s="49"/>
      <c r="K55" s="50"/>
      <c r="L55" s="50"/>
      <c r="M55" s="50" t="s">
        <v>67</v>
      </c>
      <c r="N55" s="53"/>
      <c r="O55" s="47">
        <f>O53*N55</f>
        <v>0</v>
      </c>
      <c r="P55" s="47"/>
      <c r="Q55" s="48"/>
    </row>
    <row r="56" spans="1:17" ht="13.5" thickBot="1" x14ac:dyDescent="0.25">
      <c r="A56" s="39"/>
      <c r="B56" s="54"/>
      <c r="C56" s="54"/>
      <c r="D56" s="54"/>
      <c r="E56" s="54"/>
      <c r="F56" s="55"/>
      <c r="G56" s="30"/>
      <c r="H56" s="56"/>
      <c r="I56" s="42"/>
      <c r="J56" s="49"/>
      <c r="K56" s="57"/>
      <c r="M56" s="58" t="s">
        <v>68</v>
      </c>
      <c r="N56" s="59"/>
      <c r="O56" s="60">
        <f>SUM(O53:O55)</f>
        <v>1462.8966497252195</v>
      </c>
      <c r="P56" s="61"/>
      <c r="Q56" s="48"/>
    </row>
    <row r="57" spans="1:17" x14ac:dyDescent="0.2">
      <c r="B57" s="220" t="s">
        <v>69</v>
      </c>
      <c r="C57" s="220"/>
      <c r="D57" s="62">
        <v>380</v>
      </c>
      <c r="E57" s="63"/>
      <c r="G57" s="30"/>
      <c r="H57" s="56">
        <f>+H55/61</f>
        <v>4.8507375609734753</v>
      </c>
      <c r="I57" s="64"/>
      <c r="J57" s="49"/>
      <c r="K57" s="57"/>
      <c r="L57" s="50"/>
      <c r="M57" s="50" t="s">
        <v>70</v>
      </c>
      <c r="N57" s="65"/>
      <c r="O57" s="47">
        <f>+H58</f>
        <v>281.34277853646159</v>
      </c>
      <c r="P57" s="47"/>
      <c r="Q57" s="48"/>
    </row>
    <row r="58" spans="1:17" x14ac:dyDescent="0.2">
      <c r="B58" s="220" t="s">
        <v>71</v>
      </c>
      <c r="C58" s="220"/>
      <c r="D58" s="66">
        <v>380</v>
      </c>
      <c r="E58" s="63"/>
      <c r="G58" s="30"/>
      <c r="H58" s="56">
        <f>+H57*58</f>
        <v>281.34277853646159</v>
      </c>
      <c r="I58" s="64"/>
      <c r="J58" s="49"/>
      <c r="K58" s="57"/>
      <c r="L58" s="50"/>
      <c r="M58" s="213" t="s">
        <v>68</v>
      </c>
      <c r="N58" s="213"/>
      <c r="O58" s="47">
        <f>SUM(O56:O57)</f>
        <v>1744.239428261681</v>
      </c>
      <c r="P58" s="47"/>
      <c r="Q58" s="48"/>
    </row>
    <row r="59" spans="1:17" ht="13.5" thickBot="1" x14ac:dyDescent="0.25">
      <c r="B59" s="214" t="s">
        <v>72</v>
      </c>
      <c r="C59" s="214"/>
      <c r="D59" s="62">
        <f>+D57/D58</f>
        <v>1</v>
      </c>
      <c r="E59" s="63"/>
      <c r="F59" s="67"/>
      <c r="G59" s="30"/>
      <c r="H59" s="56"/>
      <c r="I59" s="64"/>
      <c r="J59" s="49"/>
      <c r="K59" s="57"/>
      <c r="L59" s="213"/>
      <c r="M59" s="213"/>
      <c r="N59" s="65"/>
      <c r="O59" s="47">
        <f>+O58*N59</f>
        <v>0</v>
      </c>
      <c r="P59" s="47"/>
      <c r="Q59" s="48"/>
    </row>
    <row r="60" spans="1:17" ht="13.5" thickBot="1" x14ac:dyDescent="0.25">
      <c r="B60" s="214" t="s">
        <v>73</v>
      </c>
      <c r="C60" s="214"/>
      <c r="D60" s="68"/>
      <c r="E60" s="63"/>
      <c r="F60" s="67"/>
      <c r="G60" s="30"/>
      <c r="H60" s="56"/>
      <c r="I60" s="64"/>
      <c r="J60" s="49"/>
      <c r="K60" s="215" t="s">
        <v>74</v>
      </c>
      <c r="L60" s="216"/>
      <c r="M60" s="216"/>
      <c r="N60" s="217"/>
      <c r="O60" s="60">
        <f>SUM(O58:O59)</f>
        <v>1744.239428261681</v>
      </c>
      <c r="P60" s="69" t="s">
        <v>75</v>
      </c>
      <c r="Q60" s="48"/>
    </row>
    <row r="61" spans="1:17" ht="13.5" thickBot="1" x14ac:dyDescent="0.25">
      <c r="C61" s="39" t="s">
        <v>76</v>
      </c>
      <c r="D61" s="70"/>
      <c r="E61" s="13" t="s">
        <v>77</v>
      </c>
      <c r="F61" s="71" t="s">
        <v>78</v>
      </c>
      <c r="G61" s="30"/>
      <c r="H61" s="56"/>
      <c r="I61" s="64"/>
      <c r="J61" s="72"/>
      <c r="K61" s="73"/>
      <c r="L61" s="203" t="s">
        <v>79</v>
      </c>
      <c r="M61" s="203"/>
      <c r="N61" s="203"/>
      <c r="O61" s="74">
        <f>+O60/D59</f>
        <v>1744.239428261681</v>
      </c>
      <c r="P61" s="75">
        <f>+O61/D58</f>
        <v>4.5901037585833713</v>
      </c>
      <c r="Q61" s="76"/>
    </row>
    <row r="62" spans="1:17" ht="13.5" thickBot="1" x14ac:dyDescent="0.25">
      <c r="B62" s="204" t="s">
        <v>64</v>
      </c>
      <c r="C62" s="204"/>
      <c r="D62" s="204"/>
      <c r="E62" s="77">
        <f>+F62/F62</f>
        <v>1</v>
      </c>
      <c r="F62" s="78">
        <f>SUM(F54)</f>
        <v>1167.0016585058374</v>
      </c>
      <c r="G62" s="30">
        <f>+F62/$F$65</f>
        <v>0.93450512206552938</v>
      </c>
      <c r="H62" s="56"/>
      <c r="I62" s="64"/>
      <c r="K62" s="205"/>
      <c r="L62" s="206"/>
      <c r="M62" s="206"/>
      <c r="N62" s="206"/>
      <c r="O62" s="79"/>
      <c r="P62" s="80"/>
    </row>
    <row r="63" spans="1:17" ht="13.5" thickBot="1" x14ac:dyDescent="0.25">
      <c r="B63" s="207" t="s">
        <v>80</v>
      </c>
      <c r="C63" s="207"/>
      <c r="D63" s="207"/>
      <c r="E63" s="81">
        <v>0.02</v>
      </c>
      <c r="F63" s="78">
        <f>+F52*E63</f>
        <v>20.789419199999998</v>
      </c>
      <c r="G63" s="30">
        <f>+F63/$F$65</f>
        <v>1.6647635918565645E-2</v>
      </c>
      <c r="H63" s="42"/>
      <c r="I63" s="64"/>
      <c r="J63" s="82"/>
      <c r="O63" s="83">
        <f>+O61/4</f>
        <v>436.05985706542026</v>
      </c>
      <c r="P63" s="40"/>
    </row>
    <row r="64" spans="1:17" ht="13.5" thickBot="1" x14ac:dyDescent="0.25">
      <c r="B64" s="208" t="s">
        <v>81</v>
      </c>
      <c r="C64" s="209"/>
      <c r="D64" s="84">
        <v>1</v>
      </c>
      <c r="E64" s="85">
        <v>61</v>
      </c>
      <c r="F64" s="78">
        <f>+E64*D64</f>
        <v>61</v>
      </c>
      <c r="G64" s="30">
        <f>+F64/$F$65</f>
        <v>4.884724201590511E-2</v>
      </c>
      <c r="H64" s="42"/>
      <c r="I64" s="42"/>
      <c r="J64" s="32"/>
    </row>
    <row r="65" spans="2:13" ht="13.5" thickBot="1" x14ac:dyDescent="0.25">
      <c r="B65" s="210" t="s">
        <v>82</v>
      </c>
      <c r="C65" s="211"/>
      <c r="D65" s="211"/>
      <c r="E65" s="212"/>
      <c r="F65" s="55">
        <f>SUM(F62:F64)</f>
        <v>1248.7910777058373</v>
      </c>
      <c r="G65" s="30">
        <f>+F65/$F$65</f>
        <v>1</v>
      </c>
      <c r="H65" s="219"/>
      <c r="I65" s="42"/>
      <c r="J65" s="32"/>
      <c r="M65" s="15" t="s">
        <v>83</v>
      </c>
    </row>
    <row r="66" spans="2:13" x14ac:dyDescent="0.2">
      <c r="C66" s="37"/>
      <c r="D66" s="37"/>
      <c r="E66" s="87"/>
      <c r="F66" s="78"/>
      <c r="G66" s="30"/>
      <c r="H66" s="219"/>
      <c r="I66" s="86"/>
      <c r="J66" s="15"/>
      <c r="M66" s="15" t="s">
        <v>84</v>
      </c>
    </row>
    <row r="67" spans="2:13" ht="13.5" thickBot="1" x14ac:dyDescent="0.25">
      <c r="B67" s="198" t="s">
        <v>85</v>
      </c>
      <c r="C67" s="198"/>
      <c r="D67" s="198"/>
      <c r="E67" s="198"/>
      <c r="F67" s="198"/>
      <c r="G67" s="30"/>
      <c r="H67" s="89"/>
      <c r="I67" s="86"/>
      <c r="J67" s="15"/>
    </row>
    <row r="68" spans="2:13" ht="13.5" thickBot="1" x14ac:dyDescent="0.25">
      <c r="B68" s="90" t="s">
        <v>86</v>
      </c>
      <c r="C68" s="91">
        <f>+F52</f>
        <v>1039.4709599999999</v>
      </c>
      <c r="D68" s="91">
        <f>+D57</f>
        <v>380</v>
      </c>
      <c r="E68" s="92">
        <f>+C68/D68</f>
        <v>2.735449894736842</v>
      </c>
      <c r="F68" s="30"/>
      <c r="G68" s="89"/>
      <c r="H68" s="32"/>
      <c r="I68" s="89"/>
      <c r="J68" s="15"/>
    </row>
    <row r="69" spans="2:13" x14ac:dyDescent="0.2">
      <c r="B69" s="93"/>
      <c r="C69" s="94"/>
      <c r="D69" s="95"/>
      <c r="E69" s="78"/>
      <c r="F69" s="30"/>
      <c r="G69" s="89"/>
      <c r="H69" s="32"/>
      <c r="I69" s="32"/>
      <c r="J69" s="15"/>
    </row>
    <row r="70" spans="2:13" x14ac:dyDescent="0.2">
      <c r="B70" s="90" t="s">
        <v>87</v>
      </c>
      <c r="C70" s="91">
        <f>SUM(F62:F63)</f>
        <v>1187.7910777058373</v>
      </c>
      <c r="D70" s="91">
        <f>+D57</f>
        <v>380</v>
      </c>
      <c r="E70" s="96">
        <f>+C70/D70</f>
        <v>3.1257659939627298</v>
      </c>
      <c r="F70" s="30"/>
      <c r="G70" s="89"/>
      <c r="H70" s="32"/>
      <c r="I70" s="32"/>
      <c r="J70" s="15"/>
    </row>
    <row r="71" spans="2:13" x14ac:dyDescent="0.2">
      <c r="B71" s="90"/>
      <c r="C71" s="91"/>
      <c r="D71" s="91"/>
      <c r="E71" s="96"/>
      <c r="F71" s="30"/>
      <c r="G71" s="89"/>
      <c r="H71" s="32"/>
      <c r="I71" s="32"/>
      <c r="J71" s="15"/>
    </row>
    <row r="72" spans="2:13" ht="13.5" thickBot="1" x14ac:dyDescent="0.25">
      <c r="B72" s="90" t="s">
        <v>88</v>
      </c>
      <c r="C72" s="91">
        <f>+F64</f>
        <v>61</v>
      </c>
      <c r="D72" s="91">
        <f>+D57</f>
        <v>380</v>
      </c>
      <c r="E72" s="96">
        <f>+C72/D72</f>
        <v>0.16052631578947368</v>
      </c>
      <c r="F72" s="30"/>
      <c r="G72" s="89"/>
      <c r="H72" s="32"/>
      <c r="I72" s="32"/>
      <c r="J72" s="15"/>
    </row>
    <row r="73" spans="2:13" ht="13.5" thickBot="1" x14ac:dyDescent="0.25">
      <c r="B73" s="90" t="s">
        <v>89</v>
      </c>
      <c r="C73" s="91">
        <f>+F55</f>
        <v>295.89499121938201</v>
      </c>
      <c r="D73" s="91">
        <f>+D72</f>
        <v>380</v>
      </c>
      <c r="E73" s="92">
        <f>+C73/D73</f>
        <v>0.77867102952468947</v>
      </c>
      <c r="F73" s="30"/>
      <c r="G73" s="89"/>
      <c r="H73" s="32"/>
      <c r="I73" s="32"/>
      <c r="J73" s="15"/>
    </row>
    <row r="74" spans="2:13" ht="13.5" thickBot="1" x14ac:dyDescent="0.25">
      <c r="B74" s="54"/>
      <c r="C74" s="55"/>
      <c r="D74" s="55"/>
      <c r="E74" s="96"/>
      <c r="F74" s="30"/>
      <c r="G74" s="89"/>
      <c r="H74" s="32"/>
      <c r="I74" s="32"/>
      <c r="J74" s="15"/>
    </row>
    <row r="75" spans="2:13" ht="13.5" thickBot="1" x14ac:dyDescent="0.25">
      <c r="B75" s="90" t="s">
        <v>90</v>
      </c>
      <c r="C75" s="91">
        <f>+F53</f>
        <v>127.53069850583766</v>
      </c>
      <c r="D75" s="91">
        <f>+D73</f>
        <v>380</v>
      </c>
      <c r="E75" s="92">
        <f>+C75/D75</f>
        <v>0.33560710133115174</v>
      </c>
      <c r="F75" s="30"/>
      <c r="G75" s="89"/>
      <c r="H75" s="32"/>
      <c r="I75" s="32"/>
      <c r="J75" s="32"/>
    </row>
    <row r="76" spans="2:13" ht="13.5" thickBot="1" x14ac:dyDescent="0.25">
      <c r="B76" s="54"/>
      <c r="C76" s="55"/>
      <c r="D76" s="55"/>
      <c r="E76" s="96"/>
      <c r="F76" s="30"/>
      <c r="G76" s="89"/>
      <c r="H76" s="32"/>
      <c r="I76" s="32"/>
    </row>
    <row r="77" spans="2:13" ht="13.5" thickBot="1" x14ac:dyDescent="0.25">
      <c r="B77" s="199" t="s">
        <v>91</v>
      </c>
      <c r="C77" s="200"/>
      <c r="D77" s="201"/>
      <c r="E77" s="92">
        <f>+E68+E73</f>
        <v>3.5141209242615314</v>
      </c>
      <c r="G77" s="30"/>
      <c r="H77" s="89"/>
      <c r="I77" s="32"/>
      <c r="J77" s="96"/>
    </row>
    <row r="78" spans="2:13" x14ac:dyDescent="0.2">
      <c r="I78" s="89"/>
      <c r="J78" s="15"/>
    </row>
    <row r="79" spans="2:13" ht="13.5" thickBot="1" x14ac:dyDescent="0.25">
      <c r="B79" s="198" t="s">
        <v>92</v>
      </c>
      <c r="C79" s="198"/>
      <c r="D79" s="198"/>
      <c r="E79" s="198"/>
      <c r="F79" s="198"/>
      <c r="G79" s="30"/>
      <c r="H79" s="89"/>
      <c r="J79" s="15"/>
    </row>
    <row r="80" spans="2:13" ht="13.5" thickBot="1" x14ac:dyDescent="0.25">
      <c r="B80" s="90" t="s">
        <v>86</v>
      </c>
      <c r="C80" s="91">
        <f>+C68</f>
        <v>1039.4709599999999</v>
      </c>
      <c r="D80" s="91">
        <f>+D59</f>
        <v>1</v>
      </c>
      <c r="E80" s="92">
        <f>+C80/D80</f>
        <v>1039.4709599999999</v>
      </c>
      <c r="F80" s="30"/>
      <c r="G80" s="89"/>
      <c r="H80" s="32"/>
      <c r="I80" s="89"/>
      <c r="J80" s="15"/>
    </row>
    <row r="81" spans="1:10" x14ac:dyDescent="0.2">
      <c r="B81" s="93"/>
      <c r="C81" s="94"/>
      <c r="D81" s="95"/>
      <c r="E81" s="78"/>
      <c r="F81" s="30"/>
      <c r="G81" s="89"/>
      <c r="H81" s="32"/>
      <c r="I81" s="32"/>
      <c r="J81" s="15"/>
    </row>
    <row r="82" spans="1:10" x14ac:dyDescent="0.2">
      <c r="B82" s="90" t="s">
        <v>87</v>
      </c>
      <c r="C82" s="91">
        <f>+C70</f>
        <v>1187.7910777058373</v>
      </c>
      <c r="D82" s="91">
        <f>+D59</f>
        <v>1</v>
      </c>
      <c r="E82" s="96">
        <f>+C82/D82</f>
        <v>1187.7910777058373</v>
      </c>
      <c r="F82" s="30"/>
      <c r="G82" s="89"/>
      <c r="H82" s="32"/>
      <c r="I82" s="32"/>
      <c r="J82" s="15"/>
    </row>
    <row r="83" spans="1:10" x14ac:dyDescent="0.2">
      <c r="B83" s="90"/>
      <c r="C83" s="91"/>
      <c r="D83" s="91"/>
      <c r="E83" s="96"/>
      <c r="F83" s="30"/>
      <c r="G83" s="89"/>
      <c r="H83" s="32"/>
      <c r="I83" s="32"/>
      <c r="J83" s="15"/>
    </row>
    <row r="84" spans="1:10" ht="13.5" thickBot="1" x14ac:dyDescent="0.25">
      <c r="B84" s="90" t="s">
        <v>89</v>
      </c>
      <c r="C84" s="91">
        <f>+C72</f>
        <v>61</v>
      </c>
      <c r="D84" s="91">
        <f>+D59</f>
        <v>1</v>
      </c>
      <c r="E84" s="96">
        <f>+C84/D84</f>
        <v>61</v>
      </c>
      <c r="F84" s="98"/>
      <c r="G84" s="88"/>
      <c r="H84" s="14"/>
      <c r="I84" s="32"/>
    </row>
    <row r="85" spans="1:10" ht="13.5" thickBot="1" x14ac:dyDescent="0.25">
      <c r="B85" s="90" t="s">
        <v>89</v>
      </c>
      <c r="C85" s="91">
        <f>+C73</f>
        <v>295.89499121938201</v>
      </c>
      <c r="D85" s="91">
        <f>+D84</f>
        <v>1</v>
      </c>
      <c r="E85" s="92">
        <f>+C85/D85</f>
        <v>295.89499121938201</v>
      </c>
      <c r="F85" s="97"/>
      <c r="G85" s="88"/>
      <c r="H85" s="14"/>
      <c r="I85" s="14"/>
    </row>
    <row r="86" spans="1:10" x14ac:dyDescent="0.2">
      <c r="I86" s="14"/>
    </row>
    <row r="87" spans="1:10" x14ac:dyDescent="0.2">
      <c r="A87" s="202"/>
      <c r="B87" s="202"/>
      <c r="C87" s="99"/>
      <c r="D87" s="99"/>
      <c r="E87" s="100"/>
      <c r="G87" s="101"/>
    </row>
    <row r="88" spans="1:10" x14ac:dyDescent="0.2">
      <c r="A88" s="33"/>
      <c r="B88" s="102"/>
      <c r="C88" s="103"/>
      <c r="D88" s="103"/>
      <c r="E88" s="104"/>
      <c r="G88" s="101"/>
    </row>
    <row r="89" spans="1:10" x14ac:dyDescent="0.2">
      <c r="A89" s="33"/>
      <c r="B89" s="102"/>
      <c r="C89" s="105"/>
      <c r="D89" s="105"/>
      <c r="E89" s="33"/>
      <c r="G89" s="101"/>
    </row>
    <row r="90" spans="1:10" x14ac:dyDescent="0.2">
      <c r="A90" s="33"/>
      <c r="B90" s="102"/>
      <c r="C90" s="106"/>
      <c r="D90" s="106"/>
      <c r="E90" s="33"/>
      <c r="G90" s="101"/>
    </row>
  </sheetData>
  <mergeCells count="29">
    <mergeCell ref="A4:H4"/>
    <mergeCell ref="A5:H5"/>
    <mergeCell ref="F6:G6"/>
    <mergeCell ref="K27:L27"/>
    <mergeCell ref="K28:L28"/>
    <mergeCell ref="K29:L29"/>
    <mergeCell ref="B52:E52"/>
    <mergeCell ref="B53:E53"/>
    <mergeCell ref="K53:N53"/>
    <mergeCell ref="B54:E54"/>
    <mergeCell ref="C55:E55"/>
    <mergeCell ref="H65:H66"/>
    <mergeCell ref="B57:C57"/>
    <mergeCell ref="B58:C58"/>
    <mergeCell ref="M58:N58"/>
    <mergeCell ref="B59:C59"/>
    <mergeCell ref="L59:M59"/>
    <mergeCell ref="B60:C60"/>
    <mergeCell ref="K60:N60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F5793C9-9961-4ADB-97BA-BA45F23E5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D6102E-81C1-4E83-8129-D94B3A2F6F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C0C58C-9AF8-4553-8EDA-8DAF50CBBE6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Rollo</vt:lpstr>
      <vt:lpstr>Hoja1</vt:lpstr>
      <vt:lpstr>costo empaque 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2025-03-28T21:56:48Z</cp:lastPrinted>
  <dcterms:created xsi:type="dcterms:W3CDTF">2009-03-11T22:07:15Z</dcterms:created>
  <dcterms:modified xsi:type="dcterms:W3CDTF">2025-03-28T21:56:49Z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